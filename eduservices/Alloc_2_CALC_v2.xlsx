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13_ncr:20001_{D21327BD-6396-4E72-ABE0-CD4751BF0A1F}" xr6:coauthVersionLast="47" xr6:coauthVersionMax="47" xr10:uidLastSave="{00000000-0000-0000-0000-000000000000}"/>
  <bookViews>
    <workbookView xWindow="-98" yWindow="-98" windowWidth="21795" windowHeight="12975" tabRatio="1000" firstSheet="4" activeTab="4" xr2:uid="{8B79C2BB-407D-4FA4-9397-53DB8E009D54}"/>
  </bookViews>
  <sheets>
    <sheet name="_TGK_HIDDEN" sheetId="2" state="veryHidden" r:id="rId1"/>
    <sheet name="cad" sheetId="3" r:id="rId2"/>
    <sheet name="PIL" sheetId="13" r:id="rId3"/>
    <sheet name="ALLOC" sheetId="14" r:id="rId4"/>
    <sheet name="Allocation2" sheetId="4" r:id="rId5"/>
    <sheet name="Campagne" sheetId="5" r:id="rId6"/>
    <sheet name="Moteur" sheetId="7" r:id="rId7"/>
    <sheet name="Compta" sheetId="8" r:id="rId8"/>
    <sheet name="PNL" sheetId="9" r:id="rId9"/>
    <sheet name="Allocation" sheetId="12" r:id="rId10"/>
    <sheet name="_CALC_MOTEUR" sheetId="15" r:id="rId11"/>
    <sheet name="_CALC_PNL" sheetId="16" r:id="rId12"/>
    <sheet name="_CALC_ALLOC" sheetId="17" r:id="rId13"/>
  </sheets>
  <externalReferences>
    <externalReference r:id="rId14"/>
    <externalReference r:id="rId15"/>
  </externalReference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G2" i="15"/>
  <c r="L95" i="14"/>
  <c r="J95" i="14"/>
  <c r="I95" i="14"/>
  <c r="H95" i="14"/>
  <c r="G95" i="14"/>
  <c r="F95" i="14"/>
  <c r="E95" i="14"/>
  <c r="D95" i="14"/>
  <c r="C95" i="14"/>
  <c r="L94" i="14"/>
  <c r="J94" i="14"/>
  <c r="I94" i="14"/>
  <c r="H94" i="14"/>
  <c r="G94" i="14"/>
  <c r="F94" i="14"/>
  <c r="E94" i="14"/>
  <c r="D94" i="14"/>
  <c r="C94" i="14"/>
  <c r="L93" i="14"/>
  <c r="J93" i="14"/>
  <c r="I93" i="14"/>
  <c r="H93" i="14"/>
  <c r="G93" i="14"/>
  <c r="F93" i="14"/>
  <c r="E93" i="14"/>
  <c r="D93" i="14"/>
  <c r="C93" i="14"/>
  <c r="L92" i="14"/>
  <c r="J92" i="14"/>
  <c r="I92" i="14"/>
  <c r="H92" i="14"/>
  <c r="G92" i="14"/>
  <c r="F92" i="14"/>
  <c r="E92" i="14"/>
  <c r="D92" i="14"/>
  <c r="C92" i="14"/>
  <c r="L91" i="14"/>
  <c r="J91" i="14"/>
  <c r="I91" i="14"/>
  <c r="H91" i="14"/>
  <c r="G91" i="14"/>
  <c r="F91" i="14"/>
  <c r="E91" i="14"/>
  <c r="D91" i="14"/>
  <c r="C91" i="14"/>
  <c r="L90" i="14"/>
  <c r="J90" i="14"/>
  <c r="I90" i="14"/>
  <c r="H90" i="14"/>
  <c r="G90" i="14"/>
  <c r="F90" i="14"/>
  <c r="E90" i="14"/>
  <c r="D90" i="14"/>
  <c r="C90" i="14"/>
  <c r="L89" i="14"/>
  <c r="J89" i="14"/>
  <c r="I89" i="14"/>
  <c r="H89" i="14"/>
  <c r="G89" i="14"/>
  <c r="F89" i="14"/>
  <c r="E89" i="14"/>
  <c r="D89" i="14"/>
  <c r="C89" i="14"/>
  <c r="L88" i="14"/>
  <c r="J88" i="14"/>
  <c r="I88" i="14"/>
  <c r="H88" i="14"/>
  <c r="G88" i="14"/>
  <c r="F88" i="14"/>
  <c r="E88" i="14"/>
  <c r="D88" i="14"/>
  <c r="C88" i="14"/>
  <c r="L87" i="14"/>
  <c r="J87" i="14"/>
  <c r="I87" i="14"/>
  <c r="H87" i="14"/>
  <c r="G87" i="14"/>
  <c r="F87" i="14"/>
  <c r="E87" i="14"/>
  <c r="D87" i="14"/>
  <c r="C87" i="14"/>
  <c r="L86" i="14"/>
  <c r="J86" i="14"/>
  <c r="I86" i="14"/>
  <c r="H86" i="14"/>
  <c r="G86" i="14"/>
  <c r="F86" i="14"/>
  <c r="E86" i="14"/>
  <c r="D86" i="14"/>
  <c r="C86" i="14"/>
  <c r="L85" i="14"/>
  <c r="J85" i="14"/>
  <c r="I85" i="14"/>
  <c r="H85" i="14"/>
  <c r="G85" i="14"/>
  <c r="F85" i="14"/>
  <c r="E85" i="14"/>
  <c r="D85" i="14"/>
  <c r="C85" i="14"/>
  <c r="L84" i="14"/>
  <c r="J84" i="14"/>
  <c r="I84" i="14"/>
  <c r="H84" i="14"/>
  <c r="G84" i="14"/>
  <c r="F84" i="14"/>
  <c r="E84" i="14"/>
  <c r="D84" i="14"/>
  <c r="C84" i="14"/>
  <c r="L83" i="14"/>
  <c r="J83" i="14"/>
  <c r="I83" i="14"/>
  <c r="H83" i="14"/>
  <c r="G83" i="14"/>
  <c r="F83" i="14"/>
  <c r="E83" i="14"/>
  <c r="D83" i="14"/>
  <c r="C83" i="14"/>
  <c r="L82" i="14"/>
  <c r="J82" i="14"/>
  <c r="I82" i="14"/>
  <c r="H82" i="14"/>
  <c r="G82" i="14"/>
  <c r="F82" i="14"/>
  <c r="E82" i="14"/>
  <c r="D82" i="14"/>
  <c r="C82" i="14"/>
  <c r="L81" i="14"/>
  <c r="J81" i="14"/>
  <c r="I81" i="14"/>
  <c r="H81" i="14"/>
  <c r="G81" i="14"/>
  <c r="F81" i="14"/>
  <c r="E81" i="14"/>
  <c r="D81" i="14"/>
  <c r="C81" i="14"/>
  <c r="L80" i="14"/>
  <c r="J80" i="14"/>
  <c r="I80" i="14"/>
  <c r="H80" i="14"/>
  <c r="G80" i="14"/>
  <c r="F80" i="14"/>
  <c r="E80" i="14"/>
  <c r="D80" i="14"/>
  <c r="C80" i="14"/>
  <c r="L79" i="14"/>
  <c r="J79" i="14"/>
  <c r="I79" i="14"/>
  <c r="H79" i="14"/>
  <c r="G79" i="14"/>
  <c r="F79" i="14"/>
  <c r="E79" i="14"/>
  <c r="D79" i="14"/>
  <c r="C79" i="14"/>
  <c r="L78" i="14"/>
  <c r="J78" i="14"/>
  <c r="I78" i="14"/>
  <c r="H78" i="14"/>
  <c r="G78" i="14"/>
  <c r="F78" i="14"/>
  <c r="E78" i="14"/>
  <c r="D78" i="14"/>
  <c r="C78" i="14"/>
  <c r="L77" i="14"/>
  <c r="J77" i="14"/>
  <c r="I77" i="14"/>
  <c r="H77" i="14"/>
  <c r="G77" i="14"/>
  <c r="F77" i="14"/>
  <c r="E77" i="14"/>
  <c r="D77" i="14"/>
  <c r="C77" i="14"/>
  <c r="L76" i="14"/>
  <c r="J76" i="14"/>
  <c r="I76" i="14"/>
  <c r="H76" i="14"/>
  <c r="G76" i="14"/>
  <c r="F76" i="14"/>
  <c r="E76" i="14"/>
  <c r="D76" i="14"/>
  <c r="C76" i="14"/>
  <c r="L75" i="14"/>
  <c r="J75" i="14"/>
  <c r="I75" i="14"/>
  <c r="H75" i="14"/>
  <c r="G75" i="14"/>
  <c r="F75" i="14"/>
  <c r="E75" i="14"/>
  <c r="D75" i="14"/>
  <c r="C75" i="14"/>
  <c r="L74" i="14"/>
  <c r="J74" i="14"/>
  <c r="I74" i="14"/>
  <c r="H74" i="14"/>
  <c r="G74" i="14"/>
  <c r="F74" i="14"/>
  <c r="E74" i="14"/>
  <c r="D74" i="14"/>
  <c r="C74" i="14"/>
  <c r="L73" i="14"/>
  <c r="J73" i="14"/>
  <c r="I73" i="14"/>
  <c r="H73" i="14"/>
  <c r="G73" i="14"/>
  <c r="F73" i="14"/>
  <c r="E73" i="14"/>
  <c r="D73" i="14"/>
  <c r="C73" i="14"/>
  <c r="L72" i="14"/>
  <c r="J72" i="14"/>
  <c r="I72" i="14"/>
  <c r="H72" i="14"/>
  <c r="G72" i="14"/>
  <c r="F72" i="14"/>
  <c r="E72" i="14"/>
  <c r="D72" i="14"/>
  <c r="C72" i="14"/>
  <c r="L71" i="14"/>
  <c r="J71" i="14"/>
  <c r="I71" i="14"/>
  <c r="H71" i="14"/>
  <c r="G71" i="14"/>
  <c r="F71" i="14"/>
  <c r="E71" i="14"/>
  <c r="D71" i="14"/>
  <c r="C71" i="14"/>
  <c r="L70" i="14"/>
  <c r="J70" i="14"/>
  <c r="I70" i="14"/>
  <c r="H70" i="14"/>
  <c r="G70" i="14"/>
  <c r="F70" i="14"/>
  <c r="E70" i="14"/>
  <c r="D70" i="14"/>
  <c r="C70" i="14"/>
  <c r="L69" i="14"/>
  <c r="J69" i="14"/>
  <c r="I69" i="14"/>
  <c r="H69" i="14"/>
  <c r="G69" i="14"/>
  <c r="F69" i="14"/>
  <c r="E69" i="14"/>
  <c r="D69" i="14"/>
  <c r="C69" i="14"/>
  <c r="L68" i="14"/>
  <c r="J68" i="14"/>
  <c r="I68" i="14"/>
  <c r="H68" i="14"/>
  <c r="G68" i="14"/>
  <c r="F68" i="14"/>
  <c r="E68" i="14"/>
  <c r="D68" i="14"/>
  <c r="C68" i="14"/>
  <c r="L67" i="14"/>
  <c r="J67" i="14"/>
  <c r="I67" i="14"/>
  <c r="H67" i="14"/>
  <c r="G67" i="14"/>
  <c r="F67" i="14"/>
  <c r="E67" i="14"/>
  <c r="D67" i="14"/>
  <c r="C67" i="14"/>
  <c r="L66" i="14"/>
  <c r="J66" i="14"/>
  <c r="I66" i="14"/>
  <c r="H66" i="14"/>
  <c r="G66" i="14"/>
  <c r="F66" i="14"/>
  <c r="E66" i="14"/>
  <c r="D66" i="14"/>
  <c r="C66" i="14"/>
  <c r="L65" i="14"/>
  <c r="J65" i="14"/>
  <c r="I65" i="14"/>
  <c r="H65" i="14"/>
  <c r="G65" i="14"/>
  <c r="F65" i="14"/>
  <c r="E65" i="14"/>
  <c r="D65" i="14"/>
  <c r="C65" i="14"/>
  <c r="L64" i="14"/>
  <c r="J64" i="14"/>
  <c r="I64" i="14"/>
  <c r="H64" i="14"/>
  <c r="G64" i="14"/>
  <c r="F64" i="14"/>
  <c r="E64" i="14"/>
  <c r="D64" i="14"/>
  <c r="C64" i="14"/>
  <c r="L63" i="14"/>
  <c r="J63" i="14"/>
  <c r="I63" i="14"/>
  <c r="H63" i="14"/>
  <c r="G63" i="14"/>
  <c r="F63" i="14"/>
  <c r="E63" i="14"/>
  <c r="D63" i="14"/>
  <c r="C63" i="14"/>
  <c r="L62" i="14"/>
  <c r="J62" i="14"/>
  <c r="I62" i="14"/>
  <c r="H62" i="14"/>
  <c r="G62" i="14"/>
  <c r="F62" i="14"/>
  <c r="E62" i="14"/>
  <c r="D62" i="14"/>
  <c r="C62" i="14"/>
  <c r="L61" i="14"/>
  <c r="J61" i="14"/>
  <c r="I61" i="14"/>
  <c r="H61" i="14"/>
  <c r="G61" i="14"/>
  <c r="F61" i="14"/>
  <c r="E61" i="14"/>
  <c r="D61" i="14"/>
  <c r="C61" i="14"/>
  <c r="L60" i="14"/>
  <c r="J60" i="14"/>
  <c r="I60" i="14"/>
  <c r="H60" i="14"/>
  <c r="G60" i="14"/>
  <c r="F60" i="14"/>
  <c r="E60" i="14"/>
  <c r="D60" i="14"/>
  <c r="C60" i="14"/>
  <c r="L59" i="14"/>
  <c r="J59" i="14"/>
  <c r="I59" i="14"/>
  <c r="H59" i="14"/>
  <c r="G59" i="14"/>
  <c r="F59" i="14"/>
  <c r="E59" i="14"/>
  <c r="D59" i="14"/>
  <c r="C59" i="14"/>
  <c r="L58" i="14"/>
  <c r="J58" i="14"/>
  <c r="I58" i="14"/>
  <c r="H58" i="14"/>
  <c r="G58" i="14"/>
  <c r="F58" i="14"/>
  <c r="E58" i="14"/>
  <c r="D58" i="14"/>
  <c r="C58" i="14"/>
  <c r="L57" i="14"/>
  <c r="J57" i="14"/>
  <c r="I57" i="14"/>
  <c r="H57" i="14"/>
  <c r="G57" i="14"/>
  <c r="F57" i="14"/>
  <c r="E57" i="14"/>
  <c r="D57" i="14"/>
  <c r="C57" i="14"/>
  <c r="L56" i="14"/>
  <c r="J56" i="14"/>
  <c r="I56" i="14"/>
  <c r="H56" i="14"/>
  <c r="G56" i="14"/>
  <c r="F56" i="14"/>
  <c r="E56" i="14"/>
  <c r="D56" i="14"/>
  <c r="C56" i="14"/>
  <c r="L55" i="14"/>
  <c r="J55" i="14"/>
  <c r="I55" i="14"/>
  <c r="H55" i="14"/>
  <c r="G55" i="14"/>
  <c r="F55" i="14"/>
  <c r="E55" i="14"/>
  <c r="D55" i="14"/>
  <c r="C55" i="14"/>
  <c r="L54" i="14"/>
  <c r="J54" i="14"/>
  <c r="I54" i="14"/>
  <c r="H54" i="14"/>
  <c r="G54" i="14"/>
  <c r="F54" i="14"/>
  <c r="E54" i="14"/>
  <c r="D54" i="14"/>
  <c r="C54" i="14"/>
  <c r="L53" i="14"/>
  <c r="J53" i="14"/>
  <c r="I53" i="14"/>
  <c r="H53" i="14"/>
  <c r="G53" i="14"/>
  <c r="F53" i="14"/>
  <c r="E53" i="14"/>
  <c r="D53" i="14"/>
  <c r="C53" i="14"/>
  <c r="L52" i="14"/>
  <c r="J52" i="14"/>
  <c r="I52" i="14"/>
  <c r="H52" i="14"/>
  <c r="G52" i="14"/>
  <c r="F52" i="14"/>
  <c r="E52" i="14"/>
  <c r="D52" i="14"/>
  <c r="C52" i="14"/>
  <c r="L51" i="14"/>
  <c r="J51" i="14"/>
  <c r="I51" i="14"/>
  <c r="H51" i="14"/>
  <c r="G51" i="14"/>
  <c r="F51" i="14"/>
  <c r="E51" i="14"/>
  <c r="D51" i="14"/>
  <c r="C51" i="14"/>
  <c r="L50" i="14"/>
  <c r="J50" i="14"/>
  <c r="I50" i="14"/>
  <c r="H50" i="14"/>
  <c r="G50" i="14"/>
  <c r="F50" i="14"/>
  <c r="E50" i="14"/>
  <c r="D50" i="14"/>
  <c r="C50" i="14"/>
  <c r="L49" i="14"/>
  <c r="J49" i="14"/>
  <c r="I49" i="14"/>
  <c r="H49" i="14"/>
  <c r="G49" i="14"/>
  <c r="F49" i="14"/>
  <c r="E49" i="14"/>
  <c r="D49" i="14"/>
  <c r="C49" i="14"/>
  <c r="L48" i="14"/>
  <c r="J48" i="14"/>
  <c r="I48" i="14"/>
  <c r="H48" i="14"/>
  <c r="G48" i="14"/>
  <c r="F48" i="14"/>
  <c r="E48" i="14"/>
  <c r="D48" i="14"/>
  <c r="C48" i="14"/>
  <c r="L47" i="14"/>
  <c r="J47" i="14"/>
  <c r="I47" i="14"/>
  <c r="H47" i="14"/>
  <c r="G47" i="14"/>
  <c r="F47" i="14"/>
  <c r="E47" i="14"/>
  <c r="D47" i="14"/>
  <c r="C47" i="14"/>
  <c r="L46" i="14"/>
  <c r="J46" i="14"/>
  <c r="I46" i="14"/>
  <c r="H46" i="14"/>
  <c r="G46" i="14"/>
  <c r="F46" i="14"/>
  <c r="E46" i="14"/>
  <c r="D46" i="14"/>
  <c r="C46" i="14"/>
  <c r="L45" i="14"/>
  <c r="J45" i="14"/>
  <c r="I45" i="14"/>
  <c r="H45" i="14"/>
  <c r="G45" i="14"/>
  <c r="F45" i="14"/>
  <c r="E45" i="14"/>
  <c r="D45" i="14"/>
  <c r="C45" i="14"/>
  <c r="L44" i="14"/>
  <c r="J44" i="14"/>
  <c r="I44" i="14"/>
  <c r="H44" i="14"/>
  <c r="G44" i="14"/>
  <c r="F44" i="14"/>
  <c r="E44" i="14"/>
  <c r="D44" i="14"/>
  <c r="C44" i="14"/>
  <c r="L43" i="14"/>
  <c r="J43" i="14"/>
  <c r="I43" i="14"/>
  <c r="H43" i="14"/>
  <c r="G43" i="14"/>
  <c r="F43" i="14"/>
  <c r="E43" i="14"/>
  <c r="D43" i="14"/>
  <c r="C43" i="14"/>
  <c r="L42" i="14"/>
  <c r="J42" i="14"/>
  <c r="I42" i="14"/>
  <c r="H42" i="14"/>
  <c r="G42" i="14"/>
  <c r="F42" i="14"/>
  <c r="E42" i="14"/>
  <c r="D42" i="14"/>
  <c r="C42" i="14"/>
  <c r="L41" i="14"/>
  <c r="J41" i="14"/>
  <c r="I41" i="14"/>
  <c r="H41" i="14"/>
  <c r="G41" i="14"/>
  <c r="F41" i="14"/>
  <c r="E41" i="14"/>
  <c r="D41" i="14"/>
  <c r="C41" i="14"/>
  <c r="L40" i="14"/>
  <c r="J40" i="14"/>
  <c r="I40" i="14"/>
  <c r="H40" i="14"/>
  <c r="G40" i="14"/>
  <c r="F40" i="14"/>
  <c r="E40" i="14"/>
  <c r="D40" i="14"/>
  <c r="C40" i="14"/>
  <c r="L39" i="14"/>
  <c r="J39" i="14"/>
  <c r="I39" i="14"/>
  <c r="H39" i="14"/>
  <c r="G39" i="14"/>
  <c r="F39" i="14"/>
  <c r="E39" i="14"/>
  <c r="D39" i="14"/>
  <c r="C39" i="14"/>
  <c r="L38" i="14"/>
  <c r="J38" i="14"/>
  <c r="I38" i="14"/>
  <c r="H38" i="14"/>
  <c r="G38" i="14"/>
  <c r="F38" i="14"/>
  <c r="E38" i="14"/>
  <c r="D38" i="14"/>
  <c r="C38" i="14"/>
  <c r="L37" i="14"/>
  <c r="J37" i="14"/>
  <c r="I37" i="14"/>
  <c r="H37" i="14"/>
  <c r="G37" i="14"/>
  <c r="F37" i="14"/>
  <c r="E37" i="14"/>
  <c r="D37" i="14"/>
  <c r="C37" i="14"/>
  <c r="L36" i="14"/>
  <c r="J36" i="14"/>
  <c r="I36" i="14"/>
  <c r="H36" i="14"/>
  <c r="G36" i="14"/>
  <c r="F36" i="14"/>
  <c r="E36" i="14"/>
  <c r="D36" i="14"/>
  <c r="C36" i="14"/>
  <c r="L35" i="14"/>
  <c r="J35" i="14"/>
  <c r="I35" i="14"/>
  <c r="H35" i="14"/>
  <c r="G35" i="14"/>
  <c r="F35" i="14"/>
  <c r="E35" i="14"/>
  <c r="D35" i="14"/>
  <c r="C35" i="14"/>
  <c r="L34" i="14"/>
  <c r="J34" i="14"/>
  <c r="I34" i="14"/>
  <c r="H34" i="14"/>
  <c r="G34" i="14"/>
  <c r="F34" i="14"/>
  <c r="E34" i="14"/>
  <c r="D34" i="14"/>
  <c r="C34" i="14"/>
  <c r="L33" i="14"/>
  <c r="J33" i="14"/>
  <c r="I33" i="14"/>
  <c r="H33" i="14"/>
  <c r="G33" i="14"/>
  <c r="F33" i="14"/>
  <c r="E33" i="14"/>
  <c r="D33" i="14"/>
  <c r="C33" i="14"/>
  <c r="L32" i="14"/>
  <c r="J32" i="14"/>
  <c r="I32" i="14"/>
  <c r="H32" i="14"/>
  <c r="G32" i="14"/>
  <c r="F32" i="14"/>
  <c r="E32" i="14"/>
  <c r="D32" i="14"/>
  <c r="C32" i="14"/>
  <c r="L31" i="14"/>
  <c r="J31" i="14"/>
  <c r="I31" i="14"/>
  <c r="H31" i="14"/>
  <c r="G31" i="14"/>
  <c r="F31" i="14"/>
  <c r="E31" i="14"/>
  <c r="D31" i="14"/>
  <c r="C31" i="14"/>
  <c r="L30" i="14"/>
  <c r="J30" i="14"/>
  <c r="I30" i="14"/>
  <c r="H30" i="14"/>
  <c r="G30" i="14"/>
  <c r="F30" i="14"/>
  <c r="E30" i="14"/>
  <c r="D30" i="14"/>
  <c r="C30" i="14"/>
  <c r="L29" i="14"/>
  <c r="J29" i="14"/>
  <c r="I29" i="14"/>
  <c r="H29" i="14"/>
  <c r="G29" i="14"/>
  <c r="F29" i="14"/>
  <c r="E29" i="14"/>
  <c r="D29" i="14"/>
  <c r="C29" i="14"/>
  <c r="L28" i="14"/>
  <c r="J28" i="14"/>
  <c r="I28" i="14"/>
  <c r="H28" i="14"/>
  <c r="G28" i="14"/>
  <c r="F28" i="14"/>
  <c r="E28" i="14"/>
  <c r="D28" i="14"/>
  <c r="C28" i="14"/>
  <c r="L27" i="14"/>
  <c r="J27" i="14"/>
  <c r="I27" i="14"/>
  <c r="H27" i="14"/>
  <c r="G27" i="14"/>
  <c r="F27" i="14"/>
  <c r="E27" i="14"/>
  <c r="D27" i="14"/>
  <c r="C27" i="14"/>
  <c r="L26" i="14"/>
  <c r="J26" i="14"/>
  <c r="I26" i="14"/>
  <c r="H26" i="14"/>
  <c r="G26" i="14"/>
  <c r="F26" i="14"/>
  <c r="E26" i="14"/>
  <c r="D26" i="14"/>
  <c r="C26" i="14"/>
  <c r="L25" i="14"/>
  <c r="J25" i="14"/>
  <c r="I25" i="14"/>
  <c r="H25" i="14"/>
  <c r="G25" i="14"/>
  <c r="F25" i="14"/>
  <c r="E25" i="14"/>
  <c r="D25" i="14"/>
  <c r="C25" i="14"/>
  <c r="L24" i="14"/>
  <c r="J24" i="14"/>
  <c r="I24" i="14"/>
  <c r="H24" i="14"/>
  <c r="G24" i="14"/>
  <c r="F24" i="14"/>
  <c r="E24" i="14"/>
  <c r="D24" i="14"/>
  <c r="C24" i="14"/>
  <c r="L23" i="14"/>
  <c r="J23" i="14"/>
  <c r="I23" i="14"/>
  <c r="H23" i="14"/>
  <c r="G23" i="14"/>
  <c r="F23" i="14"/>
  <c r="E23" i="14"/>
  <c r="D23" i="14"/>
  <c r="C23" i="14"/>
  <c r="L22" i="14"/>
  <c r="J22" i="14"/>
  <c r="I22" i="14"/>
  <c r="H22" i="14"/>
  <c r="G22" i="14"/>
  <c r="F22" i="14"/>
  <c r="E22" i="14"/>
  <c r="D22" i="14"/>
  <c r="C22" i="14"/>
  <c r="L21" i="14"/>
  <c r="J21" i="14"/>
  <c r="I21" i="14"/>
  <c r="H21" i="14"/>
  <c r="G21" i="14"/>
  <c r="F21" i="14"/>
  <c r="E21" i="14"/>
  <c r="D21" i="14"/>
  <c r="C21" i="14"/>
  <c r="L20" i="14"/>
  <c r="J20" i="14"/>
  <c r="I20" i="14"/>
  <c r="H20" i="14"/>
  <c r="G20" i="14"/>
  <c r="F20" i="14"/>
  <c r="E20" i="14"/>
  <c r="D20" i="14"/>
  <c r="C20" i="14"/>
  <c r="L19" i="14"/>
  <c r="J19" i="14"/>
  <c r="I19" i="14"/>
  <c r="H19" i="14"/>
  <c r="G19" i="14"/>
  <c r="F19" i="14"/>
  <c r="E19" i="14"/>
  <c r="D19" i="14"/>
  <c r="C19" i="14"/>
  <c r="L18" i="14"/>
  <c r="J18" i="14"/>
  <c r="I18" i="14"/>
  <c r="H18" i="14"/>
  <c r="G18" i="14"/>
  <c r="F18" i="14"/>
  <c r="E18" i="14"/>
  <c r="D18" i="14"/>
  <c r="C14" i="3"/>
  <c r="B10" i="2"/>
  <c r="B7" i="2"/>
  <c r="C21" i="3"/>
  <c r="E21" i="3"/>
  <c r="D21" i="3"/>
  <c r="B6" i="2"/>
  <c r="B5" i="2"/>
  <c r="B4" i="2"/>
  <c r="B3" i="2"/>
  <c r="B2" i="2"/>
  <c r="B1" i="2"/>
  <c r="I175" i="17"/>
  <c r="H175" i="17"/>
  <c r="G175" i="17"/>
  <c r="F175" i="17"/>
  <c r="E175" i="17"/>
  <c r="D175" i="17"/>
  <c r="C175" i="17"/>
  <c r="B175" i="17"/>
  <c r="A175" i="17"/>
  <c r="Q175" i="17" s="1"/>
  <c r="I174" i="17"/>
  <c r="H174" i="17"/>
  <c r="G174" i="17"/>
  <c r="F174" i="17"/>
  <c r="E174" i="17"/>
  <c r="D174" i="17"/>
  <c r="C174" i="17"/>
  <c r="B174" i="17"/>
  <c r="A174" i="17"/>
  <c r="T174" i="17" s="1"/>
  <c r="I173" i="17"/>
  <c r="H173" i="17"/>
  <c r="G173" i="17"/>
  <c r="F173" i="17"/>
  <c r="E173" i="17"/>
  <c r="D173" i="17"/>
  <c r="C173" i="17"/>
  <c r="B173" i="17"/>
  <c r="A173" i="17"/>
  <c r="AB173" i="17" s="1"/>
  <c r="I172" i="17"/>
  <c r="H172" i="17"/>
  <c r="G172" i="17"/>
  <c r="F172" i="17"/>
  <c r="E172" i="17"/>
  <c r="D172" i="17"/>
  <c r="C172" i="17"/>
  <c r="B172" i="17"/>
  <c r="A172" i="17"/>
  <c r="I171" i="17"/>
  <c r="H171" i="17"/>
  <c r="G171" i="17"/>
  <c r="F171" i="17"/>
  <c r="E171" i="17"/>
  <c r="D171" i="17"/>
  <c r="C171" i="17"/>
  <c r="B171" i="17"/>
  <c r="A171" i="17"/>
  <c r="T171" i="17" s="1"/>
  <c r="I170" i="17"/>
  <c r="H170" i="17"/>
  <c r="G170" i="17"/>
  <c r="F170" i="17"/>
  <c r="E170" i="17"/>
  <c r="D170" i="17"/>
  <c r="C170" i="17"/>
  <c r="B170" i="17"/>
  <c r="A170" i="17"/>
  <c r="I169" i="17"/>
  <c r="H169" i="17"/>
  <c r="G169" i="17"/>
  <c r="F169" i="17"/>
  <c r="E169" i="17"/>
  <c r="D169" i="17"/>
  <c r="C169" i="17"/>
  <c r="B169" i="17"/>
  <c r="A169" i="17"/>
  <c r="I168" i="17"/>
  <c r="H168" i="17"/>
  <c r="G168" i="17"/>
  <c r="F168" i="17"/>
  <c r="E168" i="17"/>
  <c r="D168" i="17"/>
  <c r="C168" i="17"/>
  <c r="B168" i="17"/>
  <c r="A168" i="17"/>
  <c r="I167" i="17"/>
  <c r="H167" i="17"/>
  <c r="G167" i="17"/>
  <c r="F167" i="17"/>
  <c r="E167" i="17"/>
  <c r="D167" i="17"/>
  <c r="C167" i="17"/>
  <c r="B167" i="17"/>
  <c r="A167" i="17"/>
  <c r="J167" i="17" s="1"/>
  <c r="I166" i="17"/>
  <c r="H166" i="17"/>
  <c r="G166" i="17"/>
  <c r="F166" i="17"/>
  <c r="E166" i="17"/>
  <c r="D166" i="17"/>
  <c r="C166" i="17"/>
  <c r="B166" i="17"/>
  <c r="A166" i="17"/>
  <c r="N166" i="17" s="1"/>
  <c r="I165" i="17"/>
  <c r="H165" i="17"/>
  <c r="G165" i="17"/>
  <c r="F165" i="17"/>
  <c r="E165" i="17"/>
  <c r="D165" i="17"/>
  <c r="C165" i="17"/>
  <c r="B165" i="17"/>
  <c r="A165" i="17"/>
  <c r="R165" i="17" s="1"/>
  <c r="I164" i="17"/>
  <c r="H164" i="17"/>
  <c r="G164" i="17"/>
  <c r="F164" i="17"/>
  <c r="E164" i="17"/>
  <c r="D164" i="17"/>
  <c r="C164" i="17"/>
  <c r="B164" i="17"/>
  <c r="A164" i="17"/>
  <c r="AB164" i="17" s="1"/>
  <c r="I163" i="17"/>
  <c r="H163" i="17"/>
  <c r="G163" i="17"/>
  <c r="F163" i="17"/>
  <c r="E163" i="17"/>
  <c r="D163" i="17"/>
  <c r="C163" i="17"/>
  <c r="B163" i="17"/>
  <c r="A163" i="17"/>
  <c r="I162" i="17"/>
  <c r="H162" i="17"/>
  <c r="G162" i="17"/>
  <c r="F162" i="17"/>
  <c r="E162" i="17"/>
  <c r="D162" i="17"/>
  <c r="C162" i="17"/>
  <c r="B162" i="17"/>
  <c r="A162" i="17"/>
  <c r="AO162" i="17" s="1"/>
  <c r="I161" i="17"/>
  <c r="H161" i="17"/>
  <c r="G161" i="17"/>
  <c r="F161" i="17"/>
  <c r="E161" i="17"/>
  <c r="D161" i="17"/>
  <c r="C161" i="17"/>
  <c r="B161" i="17"/>
  <c r="A161" i="17"/>
  <c r="I160" i="17"/>
  <c r="H160" i="17"/>
  <c r="G160" i="17"/>
  <c r="F160" i="17"/>
  <c r="E160" i="17"/>
  <c r="D160" i="17"/>
  <c r="C160" i="17"/>
  <c r="B160" i="17"/>
  <c r="A160" i="17"/>
  <c r="X160" i="17" s="1"/>
  <c r="I159" i="17"/>
  <c r="H159" i="17"/>
  <c r="G159" i="17"/>
  <c r="F159" i="17"/>
  <c r="E159" i="17"/>
  <c r="D159" i="17"/>
  <c r="C159" i="17"/>
  <c r="B159" i="17"/>
  <c r="A159" i="17"/>
  <c r="Q159" i="17" s="1"/>
  <c r="I158" i="17"/>
  <c r="H158" i="17"/>
  <c r="G158" i="17"/>
  <c r="F158" i="17"/>
  <c r="E158" i="17"/>
  <c r="D158" i="17"/>
  <c r="C158" i="17"/>
  <c r="B158" i="17"/>
  <c r="A158" i="17"/>
  <c r="I157" i="17"/>
  <c r="H157" i="17"/>
  <c r="G157" i="17"/>
  <c r="F157" i="17"/>
  <c r="E157" i="17"/>
  <c r="D157" i="17"/>
  <c r="C157" i="17"/>
  <c r="B157" i="17"/>
  <c r="A157" i="17"/>
  <c r="J157" i="17" s="1"/>
  <c r="I156" i="17"/>
  <c r="H156" i="17"/>
  <c r="G156" i="17"/>
  <c r="F156" i="17"/>
  <c r="E156" i="17"/>
  <c r="D156" i="17"/>
  <c r="C156" i="17"/>
  <c r="B156" i="17"/>
  <c r="A156" i="17"/>
  <c r="I155" i="17"/>
  <c r="H155" i="17"/>
  <c r="G155" i="17"/>
  <c r="F155" i="17"/>
  <c r="E155" i="17"/>
  <c r="D155" i="17"/>
  <c r="C155" i="17"/>
  <c r="B155" i="17"/>
  <c r="A155" i="17"/>
  <c r="I154" i="17"/>
  <c r="H154" i="17"/>
  <c r="G154" i="17"/>
  <c r="F154" i="17"/>
  <c r="E154" i="17"/>
  <c r="D154" i="17"/>
  <c r="C154" i="17"/>
  <c r="B154" i="17"/>
  <c r="A154" i="17"/>
  <c r="L154" i="17" s="1"/>
  <c r="I153" i="17"/>
  <c r="H153" i="17"/>
  <c r="G153" i="17"/>
  <c r="F153" i="17"/>
  <c r="E153" i="17"/>
  <c r="D153" i="17"/>
  <c r="C153" i="17"/>
  <c r="B153" i="17"/>
  <c r="A153" i="17"/>
  <c r="I152" i="17"/>
  <c r="H152" i="17"/>
  <c r="G152" i="17"/>
  <c r="F152" i="17"/>
  <c r="E152" i="17"/>
  <c r="D152" i="17"/>
  <c r="C152" i="17"/>
  <c r="B152" i="17"/>
  <c r="A152" i="17"/>
  <c r="I151" i="17"/>
  <c r="H151" i="17"/>
  <c r="G151" i="17"/>
  <c r="F151" i="17"/>
  <c r="E151" i="17"/>
  <c r="D151" i="17"/>
  <c r="C151" i="17"/>
  <c r="B151" i="17"/>
  <c r="A151" i="17"/>
  <c r="Q151" i="17" s="1"/>
  <c r="I150" i="17"/>
  <c r="H150" i="17"/>
  <c r="G150" i="17"/>
  <c r="F150" i="17"/>
  <c r="E150" i="17"/>
  <c r="D150" i="17"/>
  <c r="C150" i="17"/>
  <c r="B150" i="17"/>
  <c r="A150" i="17"/>
  <c r="I149" i="17"/>
  <c r="H149" i="17"/>
  <c r="G149" i="17"/>
  <c r="F149" i="17"/>
  <c r="E149" i="17"/>
  <c r="D149" i="17"/>
  <c r="C149" i="17"/>
  <c r="B149" i="17"/>
  <c r="A149" i="17"/>
  <c r="V149" i="17" s="1"/>
  <c r="I148" i="17"/>
  <c r="H148" i="17"/>
  <c r="G148" i="17"/>
  <c r="F148" i="17"/>
  <c r="E148" i="17"/>
  <c r="D148" i="17"/>
  <c r="C148" i="17"/>
  <c r="B148" i="17"/>
  <c r="A148" i="17"/>
  <c r="I147" i="17"/>
  <c r="H147" i="17"/>
  <c r="G147" i="17"/>
  <c r="F147" i="17"/>
  <c r="E147" i="17"/>
  <c r="D147" i="17"/>
  <c r="C147" i="17"/>
  <c r="B147" i="17"/>
  <c r="A147" i="17"/>
  <c r="I146" i="17"/>
  <c r="H146" i="17"/>
  <c r="G146" i="17"/>
  <c r="F146" i="17"/>
  <c r="E146" i="17"/>
  <c r="D146" i="17"/>
  <c r="C146" i="17"/>
  <c r="B146" i="17"/>
  <c r="A146" i="17"/>
  <c r="I145" i="17"/>
  <c r="H145" i="17"/>
  <c r="G145" i="17"/>
  <c r="F145" i="17"/>
  <c r="E145" i="17"/>
  <c r="D145" i="17"/>
  <c r="C145" i="17"/>
  <c r="B145" i="17"/>
  <c r="A145" i="17"/>
  <c r="I144" i="17"/>
  <c r="H144" i="17"/>
  <c r="G144" i="17"/>
  <c r="F144" i="17"/>
  <c r="E144" i="17"/>
  <c r="D144" i="17"/>
  <c r="C144" i="17"/>
  <c r="B144" i="17"/>
  <c r="A144" i="17"/>
  <c r="I143" i="17"/>
  <c r="H143" i="17"/>
  <c r="G143" i="17"/>
  <c r="F143" i="17"/>
  <c r="E143" i="17"/>
  <c r="D143" i="17"/>
  <c r="C143" i="17"/>
  <c r="B143" i="17"/>
  <c r="A143" i="17"/>
  <c r="I142" i="17"/>
  <c r="H142" i="17"/>
  <c r="G142" i="17"/>
  <c r="F142" i="17"/>
  <c r="E142" i="17"/>
  <c r="D142" i="17"/>
  <c r="C142" i="17"/>
  <c r="B142" i="17"/>
  <c r="A142" i="17"/>
  <c r="N142" i="17" s="1"/>
  <c r="I141" i="17"/>
  <c r="H141" i="17"/>
  <c r="G141" i="17"/>
  <c r="F141" i="17"/>
  <c r="E141" i="17"/>
  <c r="D141" i="17"/>
  <c r="C141" i="17"/>
  <c r="B141" i="17"/>
  <c r="A141" i="17"/>
  <c r="I140" i="17"/>
  <c r="H140" i="17"/>
  <c r="G140" i="17"/>
  <c r="F140" i="17"/>
  <c r="E140" i="17"/>
  <c r="D140" i="17"/>
  <c r="C140" i="17"/>
  <c r="B140" i="17"/>
  <c r="A140" i="17"/>
  <c r="U140" i="17" s="1"/>
  <c r="I139" i="17"/>
  <c r="H139" i="17"/>
  <c r="G139" i="17"/>
  <c r="F139" i="17"/>
  <c r="E139" i="17"/>
  <c r="D139" i="17"/>
  <c r="C139" i="17"/>
  <c r="B139" i="17"/>
  <c r="A139" i="17"/>
  <c r="I138" i="17"/>
  <c r="H138" i="17"/>
  <c r="G138" i="17"/>
  <c r="F138" i="17"/>
  <c r="E138" i="17"/>
  <c r="D138" i="17"/>
  <c r="C138" i="17"/>
  <c r="B138" i="17"/>
  <c r="A138" i="17"/>
  <c r="W138" i="17" s="1"/>
  <c r="I137" i="17"/>
  <c r="H137" i="17"/>
  <c r="G137" i="17"/>
  <c r="F137" i="17"/>
  <c r="E137" i="17"/>
  <c r="D137" i="17"/>
  <c r="C137" i="17"/>
  <c r="B137" i="17"/>
  <c r="A137" i="17"/>
  <c r="I136" i="17"/>
  <c r="H136" i="17"/>
  <c r="G136" i="17"/>
  <c r="F136" i="17"/>
  <c r="E136" i="17"/>
  <c r="D136" i="17"/>
  <c r="C136" i="17"/>
  <c r="B136" i="17"/>
  <c r="A136" i="17"/>
  <c r="X136" i="17" s="1"/>
  <c r="I135" i="17"/>
  <c r="H135" i="17"/>
  <c r="G135" i="17"/>
  <c r="F135" i="17"/>
  <c r="E135" i="17"/>
  <c r="D135" i="17"/>
  <c r="C135" i="17"/>
  <c r="B135" i="17"/>
  <c r="A135" i="17"/>
  <c r="I134" i="17"/>
  <c r="H134" i="17"/>
  <c r="G134" i="17"/>
  <c r="F134" i="17"/>
  <c r="E134" i="17"/>
  <c r="D134" i="17"/>
  <c r="C134" i="17"/>
  <c r="B134" i="17"/>
  <c r="A134" i="17"/>
  <c r="I133" i="17"/>
  <c r="H133" i="17"/>
  <c r="G133" i="17"/>
  <c r="F133" i="17"/>
  <c r="E133" i="17"/>
  <c r="D133" i="17"/>
  <c r="C133" i="17"/>
  <c r="B133" i="17"/>
  <c r="A133" i="17"/>
  <c r="I132" i="17"/>
  <c r="H132" i="17"/>
  <c r="G132" i="17"/>
  <c r="F132" i="17"/>
  <c r="E132" i="17"/>
  <c r="D132" i="17"/>
  <c r="C132" i="17"/>
  <c r="B132" i="17"/>
  <c r="A132" i="17"/>
  <c r="Q132" i="17" s="1"/>
  <c r="I131" i="17"/>
  <c r="H131" i="17"/>
  <c r="G131" i="17"/>
  <c r="F131" i="17"/>
  <c r="E131" i="17"/>
  <c r="D131" i="17"/>
  <c r="C131" i="17"/>
  <c r="B131" i="17"/>
  <c r="A131" i="17"/>
  <c r="AA131" i="17" s="1"/>
  <c r="I130" i="17"/>
  <c r="H130" i="17"/>
  <c r="G130" i="17"/>
  <c r="F130" i="17"/>
  <c r="E130" i="17"/>
  <c r="D130" i="17"/>
  <c r="C130" i="17"/>
  <c r="B130" i="17"/>
  <c r="A130" i="17"/>
  <c r="T130" i="17" s="1"/>
  <c r="I129" i="17"/>
  <c r="H129" i="17"/>
  <c r="G129" i="17"/>
  <c r="F129" i="17"/>
  <c r="E129" i="17"/>
  <c r="D129" i="17"/>
  <c r="C129" i="17"/>
  <c r="B129" i="17"/>
  <c r="A129" i="17"/>
  <c r="I128" i="17"/>
  <c r="H128" i="17"/>
  <c r="G128" i="17"/>
  <c r="F128" i="17"/>
  <c r="E128" i="17"/>
  <c r="D128" i="17"/>
  <c r="C128" i="17"/>
  <c r="B128" i="17"/>
  <c r="A128" i="17"/>
  <c r="Y128" i="17" s="1"/>
  <c r="I127" i="17"/>
  <c r="H127" i="17"/>
  <c r="G127" i="17"/>
  <c r="F127" i="17"/>
  <c r="E127" i="17"/>
  <c r="D127" i="17"/>
  <c r="C127" i="17"/>
  <c r="B127" i="17"/>
  <c r="A127" i="17"/>
  <c r="Q127" i="17" s="1"/>
  <c r="I126" i="17"/>
  <c r="H126" i="17"/>
  <c r="G126" i="17"/>
  <c r="F126" i="17"/>
  <c r="E126" i="17"/>
  <c r="D126" i="17"/>
  <c r="C126" i="17"/>
  <c r="B126" i="17"/>
  <c r="A126" i="17"/>
  <c r="I125" i="17"/>
  <c r="H125" i="17"/>
  <c r="G125" i="17"/>
  <c r="F125" i="17"/>
  <c r="E125" i="17"/>
  <c r="D125" i="17"/>
  <c r="C125" i="17"/>
  <c r="B125" i="17"/>
  <c r="A125" i="17"/>
  <c r="I124" i="17"/>
  <c r="H124" i="17"/>
  <c r="G124" i="17"/>
  <c r="F124" i="17"/>
  <c r="E124" i="17"/>
  <c r="D124" i="17"/>
  <c r="C124" i="17"/>
  <c r="B124" i="17"/>
  <c r="A124" i="17"/>
  <c r="Q124" i="17" s="1"/>
  <c r="I123" i="17"/>
  <c r="H123" i="17"/>
  <c r="G123" i="17"/>
  <c r="F123" i="17"/>
  <c r="E123" i="17"/>
  <c r="D123" i="17"/>
  <c r="C123" i="17"/>
  <c r="B123" i="17"/>
  <c r="A123" i="17"/>
  <c r="J123" i="17" s="1"/>
  <c r="I122" i="17"/>
  <c r="H122" i="17"/>
  <c r="G122" i="17"/>
  <c r="F122" i="17"/>
  <c r="E122" i="17"/>
  <c r="D122" i="17"/>
  <c r="C122" i="17"/>
  <c r="B122" i="17"/>
  <c r="A122" i="17"/>
  <c r="I121" i="17"/>
  <c r="H121" i="17"/>
  <c r="G121" i="17"/>
  <c r="F121" i="17"/>
  <c r="E121" i="17"/>
  <c r="D121" i="17"/>
  <c r="C121" i="17"/>
  <c r="B121" i="17"/>
  <c r="A121" i="17"/>
  <c r="I120" i="17"/>
  <c r="H120" i="17"/>
  <c r="G120" i="17"/>
  <c r="F120" i="17"/>
  <c r="E120" i="17"/>
  <c r="D120" i="17"/>
  <c r="C120" i="17"/>
  <c r="B120" i="17"/>
  <c r="A120" i="17"/>
  <c r="I119" i="17"/>
  <c r="H119" i="17"/>
  <c r="G119" i="17"/>
  <c r="F119" i="17"/>
  <c r="E119" i="17"/>
  <c r="D119" i="17"/>
  <c r="C119" i="17"/>
  <c r="B119" i="17"/>
  <c r="A119" i="17"/>
  <c r="V119" i="17" s="1"/>
  <c r="I118" i="17"/>
  <c r="H118" i="17"/>
  <c r="G118" i="17"/>
  <c r="F118" i="17"/>
  <c r="E118" i="17"/>
  <c r="D118" i="17"/>
  <c r="C118" i="17"/>
  <c r="B118" i="17"/>
  <c r="A118" i="17"/>
  <c r="I117" i="17"/>
  <c r="H117" i="17"/>
  <c r="G117" i="17"/>
  <c r="F117" i="17"/>
  <c r="E117" i="17"/>
  <c r="D117" i="17"/>
  <c r="C117" i="17"/>
  <c r="B117" i="17"/>
  <c r="A117" i="17"/>
  <c r="I116" i="17"/>
  <c r="H116" i="17"/>
  <c r="G116" i="17"/>
  <c r="F116" i="17"/>
  <c r="E116" i="17"/>
  <c r="D116" i="17"/>
  <c r="C116" i="17"/>
  <c r="B116" i="17"/>
  <c r="A116" i="17"/>
  <c r="I115" i="17"/>
  <c r="H115" i="17"/>
  <c r="G115" i="17"/>
  <c r="F115" i="17"/>
  <c r="E115" i="17"/>
  <c r="D115" i="17"/>
  <c r="C115" i="17"/>
  <c r="B115" i="17"/>
  <c r="A115" i="17"/>
  <c r="I114" i="17"/>
  <c r="H114" i="17"/>
  <c r="G114" i="17"/>
  <c r="F114" i="17"/>
  <c r="E114" i="17"/>
  <c r="D114" i="17"/>
  <c r="C114" i="17"/>
  <c r="B114" i="17"/>
  <c r="A114" i="17"/>
  <c r="AO114" i="17" s="1"/>
  <c r="I113" i="17"/>
  <c r="H113" i="17"/>
  <c r="G113" i="17"/>
  <c r="F113" i="17"/>
  <c r="E113" i="17"/>
  <c r="D113" i="17"/>
  <c r="C113" i="17"/>
  <c r="B113" i="17"/>
  <c r="A113" i="17"/>
  <c r="I112" i="17"/>
  <c r="H112" i="17"/>
  <c r="G112" i="17"/>
  <c r="F112" i="17"/>
  <c r="E112" i="17"/>
  <c r="D112" i="17"/>
  <c r="C112" i="17"/>
  <c r="B112" i="17"/>
  <c r="A112" i="17"/>
  <c r="U112" i="17" s="1"/>
  <c r="I111" i="17"/>
  <c r="H111" i="17"/>
  <c r="G111" i="17"/>
  <c r="F111" i="17"/>
  <c r="E111" i="17"/>
  <c r="D111" i="17"/>
  <c r="C111" i="17"/>
  <c r="B111" i="17"/>
  <c r="A111" i="17"/>
  <c r="M111" i="17" s="1"/>
  <c r="I110" i="17"/>
  <c r="H110" i="17"/>
  <c r="G110" i="17"/>
  <c r="F110" i="17"/>
  <c r="E110" i="17"/>
  <c r="D110" i="17"/>
  <c r="C110" i="17"/>
  <c r="B110" i="17"/>
  <c r="A110" i="17"/>
  <c r="J110" i="17" s="1"/>
  <c r="I109" i="17"/>
  <c r="H109" i="17"/>
  <c r="G109" i="17"/>
  <c r="F109" i="17"/>
  <c r="E109" i="17"/>
  <c r="D109" i="17"/>
  <c r="C109" i="17"/>
  <c r="B109" i="17"/>
  <c r="A109" i="17"/>
  <c r="T109" i="17" s="1"/>
  <c r="I108" i="17"/>
  <c r="H108" i="17"/>
  <c r="G108" i="17"/>
  <c r="F108" i="17"/>
  <c r="E108" i="17"/>
  <c r="D108" i="17"/>
  <c r="C108" i="17"/>
  <c r="B108" i="17"/>
  <c r="A108" i="17"/>
  <c r="I107" i="17"/>
  <c r="H107" i="17"/>
  <c r="G107" i="17"/>
  <c r="F107" i="17"/>
  <c r="E107" i="17"/>
  <c r="D107" i="17"/>
  <c r="C107" i="17"/>
  <c r="B107" i="17"/>
  <c r="A107" i="17"/>
  <c r="R107" i="17" s="1"/>
  <c r="I106" i="17"/>
  <c r="H106" i="17"/>
  <c r="G106" i="17"/>
  <c r="F106" i="17"/>
  <c r="E106" i="17"/>
  <c r="D106" i="17"/>
  <c r="C106" i="17"/>
  <c r="B106" i="17"/>
  <c r="A106" i="17"/>
  <c r="I105" i="17"/>
  <c r="H105" i="17"/>
  <c r="G105" i="17"/>
  <c r="F105" i="17"/>
  <c r="E105" i="17"/>
  <c r="D105" i="17"/>
  <c r="C105" i="17"/>
  <c r="B105" i="17"/>
  <c r="A105" i="17"/>
  <c r="I104" i="17"/>
  <c r="H104" i="17"/>
  <c r="G104" i="17"/>
  <c r="F104" i="17"/>
  <c r="E104" i="17"/>
  <c r="D104" i="17"/>
  <c r="C104" i="17"/>
  <c r="B104" i="17"/>
  <c r="A104" i="17"/>
  <c r="I103" i="17"/>
  <c r="H103" i="17"/>
  <c r="G103" i="17"/>
  <c r="F103" i="17"/>
  <c r="E103" i="17"/>
  <c r="D103" i="17"/>
  <c r="C103" i="17"/>
  <c r="B103" i="17"/>
  <c r="A103" i="17"/>
  <c r="I102" i="17"/>
  <c r="H102" i="17"/>
  <c r="G102" i="17"/>
  <c r="F102" i="17"/>
  <c r="E102" i="17"/>
  <c r="D102" i="17"/>
  <c r="C102" i="17"/>
  <c r="B102" i="17"/>
  <c r="A102" i="17"/>
  <c r="X102" i="17" s="1"/>
  <c r="I101" i="17"/>
  <c r="H101" i="17"/>
  <c r="G101" i="17"/>
  <c r="F101" i="17"/>
  <c r="E101" i="17"/>
  <c r="D101" i="17"/>
  <c r="C101" i="17"/>
  <c r="B101" i="17"/>
  <c r="A101" i="17"/>
  <c r="Z101" i="17" s="1"/>
  <c r="I100" i="17"/>
  <c r="H100" i="17"/>
  <c r="G100" i="17"/>
  <c r="F100" i="17"/>
  <c r="E100" i="17"/>
  <c r="D100" i="17"/>
  <c r="C100" i="17"/>
  <c r="B100" i="17"/>
  <c r="A100" i="17"/>
  <c r="M100" i="17" s="1"/>
  <c r="I99" i="17"/>
  <c r="H99" i="17"/>
  <c r="G99" i="17"/>
  <c r="F99" i="17"/>
  <c r="E99" i="17"/>
  <c r="D99" i="17"/>
  <c r="C99" i="17"/>
  <c r="B99" i="17"/>
  <c r="A99" i="17"/>
  <c r="AO99" i="17" s="1"/>
  <c r="I98" i="17"/>
  <c r="H98" i="17"/>
  <c r="G98" i="17"/>
  <c r="F98" i="17"/>
  <c r="E98" i="17"/>
  <c r="D98" i="17"/>
  <c r="C98" i="17"/>
  <c r="B98" i="17"/>
  <c r="A98" i="17"/>
  <c r="I97" i="17"/>
  <c r="H97" i="17"/>
  <c r="G97" i="17"/>
  <c r="F97" i="17"/>
  <c r="E97" i="17"/>
  <c r="D97" i="17"/>
  <c r="C97" i="17"/>
  <c r="B97" i="17"/>
  <c r="A97" i="17"/>
  <c r="I96" i="17"/>
  <c r="H96" i="17"/>
  <c r="G96" i="17"/>
  <c r="F96" i="17"/>
  <c r="E96" i="17"/>
  <c r="D96" i="17"/>
  <c r="C96" i="17"/>
  <c r="B96" i="17"/>
  <c r="A96" i="17"/>
  <c r="Z96" i="17" s="1"/>
  <c r="I95" i="17"/>
  <c r="H95" i="17"/>
  <c r="G95" i="17"/>
  <c r="F95" i="17"/>
  <c r="E95" i="17"/>
  <c r="D95" i="17"/>
  <c r="C95" i="17"/>
  <c r="B95" i="17"/>
  <c r="A95" i="17"/>
  <c r="I94" i="17"/>
  <c r="H94" i="17"/>
  <c r="G94" i="17"/>
  <c r="F94" i="17"/>
  <c r="E94" i="17"/>
  <c r="D94" i="17"/>
  <c r="C94" i="17"/>
  <c r="B94" i="17"/>
  <c r="A94" i="17"/>
  <c r="I93" i="17"/>
  <c r="H93" i="17"/>
  <c r="G93" i="17"/>
  <c r="F93" i="17"/>
  <c r="E93" i="17"/>
  <c r="D93" i="17"/>
  <c r="C93" i="17"/>
  <c r="B93" i="17"/>
  <c r="A93" i="17"/>
  <c r="K93" i="17" s="1"/>
  <c r="I92" i="17"/>
  <c r="H92" i="17"/>
  <c r="G92" i="17"/>
  <c r="F92" i="17"/>
  <c r="E92" i="17"/>
  <c r="D92" i="17"/>
  <c r="C92" i="17"/>
  <c r="B92" i="17"/>
  <c r="A92" i="17"/>
  <c r="I91" i="17"/>
  <c r="H91" i="17"/>
  <c r="G91" i="17"/>
  <c r="F91" i="17"/>
  <c r="E91" i="17"/>
  <c r="D91" i="17"/>
  <c r="C91" i="17"/>
  <c r="B91" i="17"/>
  <c r="A91" i="17"/>
  <c r="AB91" i="17" s="1"/>
  <c r="I90" i="17"/>
  <c r="H90" i="17"/>
  <c r="G90" i="17"/>
  <c r="F90" i="17"/>
  <c r="E90" i="17"/>
  <c r="D90" i="17"/>
  <c r="C90" i="17"/>
  <c r="B90" i="17"/>
  <c r="A90" i="17"/>
  <c r="Y90" i="17" s="1"/>
  <c r="I89" i="17"/>
  <c r="H89" i="17"/>
  <c r="G89" i="17"/>
  <c r="F89" i="17"/>
  <c r="E89" i="17"/>
  <c r="D89" i="17"/>
  <c r="C89" i="17"/>
  <c r="B89" i="17"/>
  <c r="A89" i="17"/>
  <c r="I88" i="17"/>
  <c r="H88" i="17"/>
  <c r="G88" i="17"/>
  <c r="F88" i="17"/>
  <c r="E88" i="17"/>
  <c r="D88" i="17"/>
  <c r="C88" i="17"/>
  <c r="B88" i="17"/>
  <c r="A88" i="17"/>
  <c r="L88" i="17" s="1"/>
  <c r="I87" i="17"/>
  <c r="H87" i="17"/>
  <c r="G87" i="17"/>
  <c r="F87" i="17"/>
  <c r="E87" i="17"/>
  <c r="D87" i="17"/>
  <c r="C87" i="17"/>
  <c r="B87" i="17"/>
  <c r="A87" i="17"/>
  <c r="T87" i="17" s="1"/>
  <c r="I86" i="17"/>
  <c r="H86" i="17"/>
  <c r="G86" i="17"/>
  <c r="F86" i="17"/>
  <c r="E86" i="17"/>
  <c r="D86" i="17"/>
  <c r="C86" i="17"/>
  <c r="B86" i="17"/>
  <c r="A86" i="17"/>
  <c r="J86" i="17" s="1"/>
  <c r="I85" i="17"/>
  <c r="H85" i="17"/>
  <c r="G85" i="17"/>
  <c r="F85" i="17"/>
  <c r="E85" i="17"/>
  <c r="D85" i="17"/>
  <c r="C85" i="17"/>
  <c r="B85" i="17"/>
  <c r="A85" i="17"/>
  <c r="W85" i="17" s="1"/>
  <c r="I84" i="17"/>
  <c r="H84" i="17"/>
  <c r="G84" i="17"/>
  <c r="F84" i="17"/>
  <c r="E84" i="17"/>
  <c r="D84" i="17"/>
  <c r="C84" i="17"/>
  <c r="B84" i="17"/>
  <c r="A84" i="17"/>
  <c r="T84" i="17" s="1"/>
  <c r="I83" i="17"/>
  <c r="H83" i="17"/>
  <c r="G83" i="17"/>
  <c r="F83" i="17"/>
  <c r="E83" i="17"/>
  <c r="D83" i="17"/>
  <c r="C83" i="17"/>
  <c r="B83" i="17"/>
  <c r="A83" i="17"/>
  <c r="AB83" i="17" s="1"/>
  <c r="I82" i="17"/>
  <c r="H82" i="17"/>
  <c r="G82" i="17"/>
  <c r="F82" i="17"/>
  <c r="E82" i="17"/>
  <c r="D82" i="17"/>
  <c r="C82" i="17"/>
  <c r="B82" i="17"/>
  <c r="A82" i="17"/>
  <c r="AO82" i="17" s="1"/>
  <c r="I81" i="17"/>
  <c r="H81" i="17"/>
  <c r="G81" i="17"/>
  <c r="F81" i="17"/>
  <c r="E81" i="17"/>
  <c r="D81" i="17"/>
  <c r="C81" i="17"/>
  <c r="B81" i="17"/>
  <c r="A81" i="17"/>
  <c r="I80" i="17"/>
  <c r="H80" i="17"/>
  <c r="G80" i="17"/>
  <c r="F80" i="17"/>
  <c r="E80" i="17"/>
  <c r="D80" i="17"/>
  <c r="C80" i="17"/>
  <c r="B80" i="17"/>
  <c r="A80" i="17"/>
  <c r="I79" i="17"/>
  <c r="H79" i="17"/>
  <c r="G79" i="17"/>
  <c r="F79" i="17"/>
  <c r="E79" i="17"/>
  <c r="D79" i="17"/>
  <c r="C79" i="17"/>
  <c r="B79" i="17"/>
  <c r="A79" i="17"/>
  <c r="I78" i="17"/>
  <c r="H78" i="17"/>
  <c r="G78" i="17"/>
  <c r="F78" i="17"/>
  <c r="E78" i="17"/>
  <c r="D78" i="17"/>
  <c r="C78" i="17"/>
  <c r="B78" i="17"/>
  <c r="A78" i="17"/>
  <c r="L78" i="17" s="1"/>
  <c r="I77" i="17"/>
  <c r="H77" i="17"/>
  <c r="G77" i="17"/>
  <c r="F77" i="17"/>
  <c r="E77" i="17"/>
  <c r="D77" i="17"/>
  <c r="C77" i="17"/>
  <c r="B77" i="17"/>
  <c r="A77" i="17"/>
  <c r="R77" i="17" s="1"/>
  <c r="I76" i="17"/>
  <c r="H76" i="17"/>
  <c r="G76" i="17"/>
  <c r="F76" i="17"/>
  <c r="E76" i="17"/>
  <c r="D76" i="17"/>
  <c r="C76" i="17"/>
  <c r="B76" i="17"/>
  <c r="A76" i="17"/>
  <c r="X76" i="17" s="1"/>
  <c r="I75" i="17"/>
  <c r="H75" i="17"/>
  <c r="G75" i="17"/>
  <c r="F75" i="17"/>
  <c r="E75" i="17"/>
  <c r="D75" i="17"/>
  <c r="C75" i="17"/>
  <c r="B75" i="17"/>
  <c r="A75" i="17"/>
  <c r="N75" i="17" s="1"/>
  <c r="I74" i="17"/>
  <c r="H74" i="17"/>
  <c r="G74" i="17"/>
  <c r="F74" i="17"/>
  <c r="E74" i="17"/>
  <c r="D74" i="17"/>
  <c r="C74" i="17"/>
  <c r="B74" i="17"/>
  <c r="A74" i="17"/>
  <c r="R74" i="17" s="1"/>
  <c r="I73" i="17"/>
  <c r="H73" i="17"/>
  <c r="G73" i="17"/>
  <c r="F73" i="17"/>
  <c r="E73" i="17"/>
  <c r="D73" i="17"/>
  <c r="C73" i="17"/>
  <c r="B73" i="17"/>
  <c r="A73" i="17"/>
  <c r="I72" i="17"/>
  <c r="H72" i="17"/>
  <c r="G72" i="17"/>
  <c r="F72" i="17"/>
  <c r="E72" i="17"/>
  <c r="D72" i="17"/>
  <c r="C72" i="17"/>
  <c r="B72" i="17"/>
  <c r="A72" i="17"/>
  <c r="R72" i="17" s="1"/>
  <c r="I71" i="17"/>
  <c r="H71" i="17"/>
  <c r="G71" i="17"/>
  <c r="F71" i="17"/>
  <c r="E71" i="17"/>
  <c r="D71" i="17"/>
  <c r="C71" i="17"/>
  <c r="B71" i="17"/>
  <c r="A71" i="17"/>
  <c r="Q71" i="17" s="1"/>
  <c r="I70" i="17"/>
  <c r="H70" i="17"/>
  <c r="G70" i="17"/>
  <c r="F70" i="17"/>
  <c r="E70" i="17"/>
  <c r="D70" i="17"/>
  <c r="C70" i="17"/>
  <c r="B70" i="17"/>
  <c r="A70" i="17"/>
  <c r="AA70" i="17" s="1"/>
  <c r="I69" i="17"/>
  <c r="H69" i="17"/>
  <c r="G69" i="17"/>
  <c r="F69" i="17"/>
  <c r="E69" i="17"/>
  <c r="D69" i="17"/>
  <c r="C69" i="17"/>
  <c r="B69" i="17"/>
  <c r="A69" i="17"/>
  <c r="I68" i="17"/>
  <c r="H68" i="17"/>
  <c r="G68" i="17"/>
  <c r="F68" i="17"/>
  <c r="E68" i="17"/>
  <c r="D68" i="17"/>
  <c r="C68" i="17"/>
  <c r="B68" i="17"/>
  <c r="A68" i="17"/>
  <c r="I67" i="17"/>
  <c r="H67" i="17"/>
  <c r="G67" i="17"/>
  <c r="F67" i="17"/>
  <c r="E67" i="17"/>
  <c r="D67" i="17"/>
  <c r="C67" i="17"/>
  <c r="B67" i="17"/>
  <c r="A67" i="17"/>
  <c r="AA67" i="17" s="1"/>
  <c r="I66" i="17"/>
  <c r="H66" i="17"/>
  <c r="G66" i="17"/>
  <c r="F66" i="17"/>
  <c r="E66" i="17"/>
  <c r="D66" i="17"/>
  <c r="C66" i="17"/>
  <c r="B66" i="17"/>
  <c r="A66" i="17"/>
  <c r="I65" i="17"/>
  <c r="H65" i="17"/>
  <c r="G65" i="17"/>
  <c r="F65" i="17"/>
  <c r="E65" i="17"/>
  <c r="D65" i="17"/>
  <c r="C65" i="17"/>
  <c r="B65" i="17"/>
  <c r="A65" i="17"/>
  <c r="I64" i="17"/>
  <c r="H64" i="17"/>
  <c r="G64" i="17"/>
  <c r="F64" i="17"/>
  <c r="E64" i="17"/>
  <c r="D64" i="17"/>
  <c r="C64" i="17"/>
  <c r="B64" i="17"/>
  <c r="A64" i="17"/>
  <c r="S64" i="17" s="1"/>
  <c r="I63" i="17"/>
  <c r="H63" i="17"/>
  <c r="G63" i="17"/>
  <c r="F63" i="17"/>
  <c r="E63" i="17"/>
  <c r="D63" i="17"/>
  <c r="C63" i="17"/>
  <c r="B63" i="17"/>
  <c r="A63" i="17"/>
  <c r="I62" i="17"/>
  <c r="H62" i="17"/>
  <c r="G62" i="17"/>
  <c r="F62" i="17"/>
  <c r="E62" i="17"/>
  <c r="D62" i="17"/>
  <c r="C62" i="17"/>
  <c r="B62" i="17"/>
  <c r="A62" i="17"/>
  <c r="I61" i="17"/>
  <c r="H61" i="17"/>
  <c r="G61" i="17"/>
  <c r="F61" i="17"/>
  <c r="E61" i="17"/>
  <c r="D61" i="17"/>
  <c r="C61" i="17"/>
  <c r="B61" i="17"/>
  <c r="A61" i="17"/>
  <c r="I60" i="17"/>
  <c r="H60" i="17"/>
  <c r="G60" i="17"/>
  <c r="F60" i="17"/>
  <c r="E60" i="17"/>
  <c r="D60" i="17"/>
  <c r="C60" i="17"/>
  <c r="B60" i="17"/>
  <c r="A60" i="17"/>
  <c r="AB60" i="17" s="1"/>
  <c r="I59" i="17"/>
  <c r="H59" i="17"/>
  <c r="G59" i="17"/>
  <c r="F59" i="17"/>
  <c r="E59" i="17"/>
  <c r="D59" i="17"/>
  <c r="C59" i="17"/>
  <c r="B59" i="17"/>
  <c r="A59" i="17"/>
  <c r="AB59" i="17" s="1"/>
  <c r="I58" i="17"/>
  <c r="H58" i="17"/>
  <c r="G58" i="17"/>
  <c r="F58" i="17"/>
  <c r="E58" i="17"/>
  <c r="D58" i="17"/>
  <c r="C58" i="17"/>
  <c r="B58" i="17"/>
  <c r="A58" i="17"/>
  <c r="I57" i="17"/>
  <c r="H57" i="17"/>
  <c r="G57" i="17"/>
  <c r="F57" i="17"/>
  <c r="E57" i="17"/>
  <c r="D57" i="17"/>
  <c r="C57" i="17"/>
  <c r="B57" i="17"/>
  <c r="A57" i="17"/>
  <c r="I56" i="17"/>
  <c r="H56" i="17"/>
  <c r="G56" i="17"/>
  <c r="F56" i="17"/>
  <c r="E56" i="17"/>
  <c r="D56" i="17"/>
  <c r="C56" i="17"/>
  <c r="B56" i="17"/>
  <c r="A56" i="17"/>
  <c r="T56" i="17" s="1"/>
  <c r="I55" i="17"/>
  <c r="H55" i="17"/>
  <c r="G55" i="17"/>
  <c r="F55" i="17"/>
  <c r="E55" i="17"/>
  <c r="D55" i="17"/>
  <c r="C55" i="17"/>
  <c r="B55" i="17"/>
  <c r="A55" i="17"/>
  <c r="Z55" i="17" s="1"/>
  <c r="I54" i="17"/>
  <c r="H54" i="17"/>
  <c r="G54" i="17"/>
  <c r="F54" i="17"/>
  <c r="E54" i="17"/>
  <c r="D54" i="17"/>
  <c r="C54" i="17"/>
  <c r="B54" i="17"/>
  <c r="A54" i="17"/>
  <c r="I53" i="17"/>
  <c r="H53" i="17"/>
  <c r="G53" i="17"/>
  <c r="F53" i="17"/>
  <c r="E53" i="17"/>
  <c r="D53" i="17"/>
  <c r="C53" i="17"/>
  <c r="B53" i="17"/>
  <c r="A53" i="17"/>
  <c r="Q53" i="17" s="1"/>
  <c r="I52" i="17"/>
  <c r="H52" i="17"/>
  <c r="G52" i="17"/>
  <c r="F52" i="17"/>
  <c r="E52" i="17"/>
  <c r="D52" i="17"/>
  <c r="C52" i="17"/>
  <c r="B52" i="17"/>
  <c r="A52" i="17"/>
  <c r="AB52" i="17" s="1"/>
  <c r="I51" i="17"/>
  <c r="H51" i="17"/>
  <c r="G51" i="17"/>
  <c r="F51" i="17"/>
  <c r="E51" i="17"/>
  <c r="D51" i="17"/>
  <c r="C51" i="17"/>
  <c r="B51" i="17"/>
  <c r="A51" i="17"/>
  <c r="W51" i="17" s="1"/>
  <c r="I50" i="17"/>
  <c r="H50" i="17"/>
  <c r="G50" i="17"/>
  <c r="F50" i="17"/>
  <c r="E50" i="17"/>
  <c r="D50" i="17"/>
  <c r="C50" i="17"/>
  <c r="B50" i="17"/>
  <c r="A50" i="17"/>
  <c r="I49" i="17"/>
  <c r="H49" i="17"/>
  <c r="G49" i="17"/>
  <c r="F49" i="17"/>
  <c r="E49" i="17"/>
  <c r="D49" i="17"/>
  <c r="C49" i="17"/>
  <c r="B49" i="17"/>
  <c r="A49" i="17"/>
  <c r="I48" i="17"/>
  <c r="H48" i="17"/>
  <c r="G48" i="17"/>
  <c r="F48" i="17"/>
  <c r="E48" i="17"/>
  <c r="D48" i="17"/>
  <c r="C48" i="17"/>
  <c r="B48" i="17"/>
  <c r="A48" i="17"/>
  <c r="I47" i="17"/>
  <c r="H47" i="17"/>
  <c r="G47" i="17"/>
  <c r="F47" i="17"/>
  <c r="E47" i="17"/>
  <c r="D47" i="17"/>
  <c r="C47" i="17"/>
  <c r="B47" i="17"/>
  <c r="A47" i="17"/>
  <c r="I46" i="17"/>
  <c r="H46" i="17"/>
  <c r="G46" i="17"/>
  <c r="F46" i="17"/>
  <c r="E46" i="17"/>
  <c r="D46" i="17"/>
  <c r="C46" i="17"/>
  <c r="B46" i="17"/>
  <c r="A46" i="17"/>
  <c r="I45" i="17"/>
  <c r="H45" i="17"/>
  <c r="G45" i="17"/>
  <c r="F45" i="17"/>
  <c r="E45" i="17"/>
  <c r="D45" i="17"/>
  <c r="C45" i="17"/>
  <c r="B45" i="17"/>
  <c r="A45" i="17"/>
  <c r="U45" i="17" s="1"/>
  <c r="I44" i="17"/>
  <c r="H44" i="17"/>
  <c r="G44" i="17"/>
  <c r="F44" i="17"/>
  <c r="E44" i="17"/>
  <c r="D44" i="17"/>
  <c r="C44" i="17"/>
  <c r="B44" i="17"/>
  <c r="A44" i="17"/>
  <c r="I43" i="17"/>
  <c r="H43" i="17"/>
  <c r="G43" i="17"/>
  <c r="F43" i="17"/>
  <c r="E43" i="17"/>
  <c r="D43" i="17"/>
  <c r="C43" i="17"/>
  <c r="B43" i="17"/>
  <c r="A43" i="17"/>
  <c r="L43" i="17" s="1"/>
  <c r="I42" i="17"/>
  <c r="H42" i="17"/>
  <c r="G42" i="17"/>
  <c r="F42" i="17"/>
  <c r="E42" i="17"/>
  <c r="D42" i="17"/>
  <c r="C42" i="17"/>
  <c r="B42" i="17"/>
  <c r="A42" i="17"/>
  <c r="I41" i="17"/>
  <c r="H41" i="17"/>
  <c r="G41" i="17"/>
  <c r="F41" i="17"/>
  <c r="E41" i="17"/>
  <c r="D41" i="17"/>
  <c r="C41" i="17"/>
  <c r="B41" i="17"/>
  <c r="A41" i="17"/>
  <c r="I40" i="17"/>
  <c r="H40" i="17"/>
  <c r="G40" i="17"/>
  <c r="F40" i="17"/>
  <c r="E40" i="17"/>
  <c r="D40" i="17"/>
  <c r="C40" i="17"/>
  <c r="B40" i="17"/>
  <c r="A40" i="17"/>
  <c r="V40" i="17" s="1"/>
  <c r="I39" i="17"/>
  <c r="H39" i="17"/>
  <c r="G39" i="17"/>
  <c r="F39" i="17"/>
  <c r="E39" i="17"/>
  <c r="D39" i="17"/>
  <c r="C39" i="17"/>
  <c r="B39" i="17"/>
  <c r="A39" i="17"/>
  <c r="I38" i="17"/>
  <c r="H38" i="17"/>
  <c r="G38" i="17"/>
  <c r="F38" i="17"/>
  <c r="E38" i="17"/>
  <c r="D38" i="17"/>
  <c r="C38" i="17"/>
  <c r="B38" i="17"/>
  <c r="A38" i="17"/>
  <c r="AO38" i="17" s="1"/>
  <c r="I37" i="17"/>
  <c r="H37" i="17"/>
  <c r="G37" i="17"/>
  <c r="F37" i="17"/>
  <c r="E37" i="17"/>
  <c r="D37" i="17"/>
  <c r="C37" i="17"/>
  <c r="B37" i="17"/>
  <c r="A37" i="17"/>
  <c r="S37" i="17" s="1"/>
  <c r="I36" i="17"/>
  <c r="H36" i="17"/>
  <c r="G36" i="17"/>
  <c r="F36" i="17"/>
  <c r="E36" i="17"/>
  <c r="D36" i="17"/>
  <c r="C36" i="17"/>
  <c r="B36" i="17"/>
  <c r="A36" i="17"/>
  <c r="L36" i="17" s="1"/>
  <c r="I35" i="17"/>
  <c r="H35" i="17"/>
  <c r="G35" i="17"/>
  <c r="F35" i="17"/>
  <c r="E35" i="17"/>
  <c r="D35" i="17"/>
  <c r="C35" i="17"/>
  <c r="B35" i="17"/>
  <c r="A35" i="17"/>
  <c r="X35" i="17" s="1"/>
  <c r="I34" i="17"/>
  <c r="H34" i="17"/>
  <c r="G34" i="17"/>
  <c r="F34" i="17"/>
  <c r="E34" i="17"/>
  <c r="D34" i="17"/>
  <c r="C34" i="17"/>
  <c r="B34" i="17"/>
  <c r="A34" i="17"/>
  <c r="AO34" i="17" s="1"/>
  <c r="I33" i="17"/>
  <c r="H33" i="17"/>
  <c r="G33" i="17"/>
  <c r="F33" i="17"/>
  <c r="E33" i="17"/>
  <c r="D33" i="17"/>
  <c r="C33" i="17"/>
  <c r="B33" i="17"/>
  <c r="A33" i="17"/>
  <c r="I32" i="17"/>
  <c r="H32" i="17"/>
  <c r="G32" i="17"/>
  <c r="F32" i="17"/>
  <c r="E32" i="17"/>
  <c r="D32" i="17"/>
  <c r="C32" i="17"/>
  <c r="B32" i="17"/>
  <c r="A32" i="17"/>
  <c r="I31" i="17"/>
  <c r="H31" i="17"/>
  <c r="G31" i="17"/>
  <c r="F31" i="17"/>
  <c r="E31" i="17"/>
  <c r="D31" i="17"/>
  <c r="C31" i="17"/>
  <c r="B31" i="17"/>
  <c r="A31" i="17"/>
  <c r="I30" i="17"/>
  <c r="H30" i="17"/>
  <c r="G30" i="17"/>
  <c r="F30" i="17"/>
  <c r="E30" i="17"/>
  <c r="D30" i="17"/>
  <c r="C30" i="17"/>
  <c r="B30" i="17"/>
  <c r="A30" i="17"/>
  <c r="V30" i="17" s="1"/>
  <c r="I29" i="17"/>
  <c r="H29" i="17"/>
  <c r="G29" i="17"/>
  <c r="F29" i="17"/>
  <c r="E29" i="17"/>
  <c r="D29" i="17"/>
  <c r="C29" i="17"/>
  <c r="B29" i="17"/>
  <c r="A29" i="17"/>
  <c r="AB29" i="17" s="1"/>
  <c r="I28" i="17"/>
  <c r="H28" i="17"/>
  <c r="G28" i="17"/>
  <c r="F28" i="17"/>
  <c r="E28" i="17"/>
  <c r="D28" i="17"/>
  <c r="C28" i="17"/>
  <c r="B28" i="17"/>
  <c r="A28" i="17"/>
  <c r="Z28" i="17" s="1"/>
  <c r="I27" i="17"/>
  <c r="H27" i="17"/>
  <c r="G27" i="17"/>
  <c r="F27" i="17"/>
  <c r="E27" i="17"/>
  <c r="D27" i="17"/>
  <c r="C27" i="17"/>
  <c r="B27" i="17"/>
  <c r="A27" i="17"/>
  <c r="V27" i="17" s="1"/>
  <c r="I26" i="17"/>
  <c r="H26" i="17"/>
  <c r="G26" i="17"/>
  <c r="F26" i="17"/>
  <c r="E26" i="17"/>
  <c r="D26" i="17"/>
  <c r="C26" i="17"/>
  <c r="B26" i="17"/>
  <c r="A26" i="17"/>
  <c r="Q26" i="17" s="1"/>
  <c r="I25" i="17"/>
  <c r="H25" i="17"/>
  <c r="G25" i="17"/>
  <c r="F25" i="17"/>
  <c r="E25" i="17"/>
  <c r="D25" i="17"/>
  <c r="C25" i="17"/>
  <c r="B25" i="17"/>
  <c r="A25" i="17"/>
  <c r="I24" i="17"/>
  <c r="H24" i="17"/>
  <c r="G24" i="17"/>
  <c r="F24" i="17"/>
  <c r="E24" i="17"/>
  <c r="D24" i="17"/>
  <c r="C24" i="17"/>
  <c r="B24" i="17"/>
  <c r="A24" i="17"/>
  <c r="I23" i="17"/>
  <c r="H23" i="17"/>
  <c r="G23" i="17"/>
  <c r="F23" i="17"/>
  <c r="E23" i="17"/>
  <c r="D23" i="17"/>
  <c r="C23" i="17"/>
  <c r="B23" i="17"/>
  <c r="A23" i="17"/>
  <c r="J23" i="17" s="1"/>
  <c r="I22" i="17"/>
  <c r="H22" i="17"/>
  <c r="G22" i="17"/>
  <c r="F22" i="17"/>
  <c r="E22" i="17"/>
  <c r="D22" i="17"/>
  <c r="C22" i="17"/>
  <c r="B22" i="17"/>
  <c r="A22" i="17"/>
  <c r="I21" i="17"/>
  <c r="H21" i="17"/>
  <c r="G21" i="17"/>
  <c r="F21" i="17"/>
  <c r="E21" i="17"/>
  <c r="D21" i="17"/>
  <c r="C21" i="17"/>
  <c r="B21" i="17"/>
  <c r="A21" i="17"/>
  <c r="I20" i="17"/>
  <c r="H20" i="17"/>
  <c r="G20" i="17"/>
  <c r="F20" i="17"/>
  <c r="E20" i="17"/>
  <c r="D20" i="17"/>
  <c r="C20" i="17"/>
  <c r="B20" i="17"/>
  <c r="A20" i="17"/>
  <c r="AB20" i="17" s="1"/>
  <c r="I19" i="17"/>
  <c r="H19" i="17"/>
  <c r="G19" i="17"/>
  <c r="F19" i="17"/>
  <c r="E19" i="17"/>
  <c r="D19" i="17"/>
  <c r="C19" i="17"/>
  <c r="B19" i="17"/>
  <c r="A19" i="17"/>
  <c r="U19" i="17" s="1"/>
  <c r="I18" i="17"/>
  <c r="H18" i="17"/>
  <c r="G18" i="17"/>
  <c r="F18" i="17"/>
  <c r="E18" i="17"/>
  <c r="D18" i="17"/>
  <c r="C18" i="17"/>
  <c r="B18" i="17"/>
  <c r="A18" i="17"/>
  <c r="N18" i="17" s="1"/>
  <c r="I17" i="17"/>
  <c r="H17" i="17"/>
  <c r="G17" i="17"/>
  <c r="F17" i="17"/>
  <c r="E17" i="17"/>
  <c r="D17" i="17"/>
  <c r="C17" i="17"/>
  <c r="B17" i="17"/>
  <c r="A17" i="17"/>
  <c r="I16" i="17"/>
  <c r="H16" i="17"/>
  <c r="G16" i="17"/>
  <c r="F16" i="17"/>
  <c r="E16" i="17"/>
  <c r="D16" i="17"/>
  <c r="C16" i="17"/>
  <c r="B16" i="17"/>
  <c r="A16" i="17"/>
  <c r="R16" i="17" s="1"/>
  <c r="I15" i="17"/>
  <c r="H15" i="17"/>
  <c r="G15" i="17"/>
  <c r="F15" i="17"/>
  <c r="E15" i="17"/>
  <c r="D15" i="17"/>
  <c r="C15" i="17"/>
  <c r="B15" i="17"/>
  <c r="A15" i="17"/>
  <c r="Q15" i="17" s="1"/>
  <c r="I14" i="17"/>
  <c r="H14" i="17"/>
  <c r="G14" i="17"/>
  <c r="F14" i="17"/>
  <c r="E14" i="17"/>
  <c r="D14" i="17"/>
  <c r="C14" i="17"/>
  <c r="B14" i="17"/>
  <c r="A14" i="17"/>
  <c r="I13" i="17"/>
  <c r="H13" i="17"/>
  <c r="G13" i="17"/>
  <c r="F13" i="17"/>
  <c r="E13" i="17"/>
  <c r="D13" i="17"/>
  <c r="C13" i="17"/>
  <c r="B13" i="17"/>
  <c r="A13" i="17"/>
  <c r="X13" i="17" s="1"/>
  <c r="I12" i="17"/>
  <c r="H12" i="17"/>
  <c r="G12" i="17"/>
  <c r="F12" i="17"/>
  <c r="E12" i="17"/>
  <c r="D12" i="17"/>
  <c r="C12" i="17"/>
  <c r="B12" i="17"/>
  <c r="A12" i="17"/>
  <c r="AB12" i="17" s="1"/>
  <c r="I11" i="17"/>
  <c r="H11" i="17"/>
  <c r="G11" i="17"/>
  <c r="F11" i="17"/>
  <c r="E11" i="17"/>
  <c r="D11" i="17"/>
  <c r="C11" i="17"/>
  <c r="B11" i="17"/>
  <c r="A11" i="17"/>
  <c r="I10" i="17"/>
  <c r="H10" i="17"/>
  <c r="G10" i="17"/>
  <c r="F10" i="17"/>
  <c r="E10" i="17"/>
  <c r="D10" i="17"/>
  <c r="C10" i="17"/>
  <c r="B10" i="17"/>
  <c r="A10" i="17"/>
  <c r="I9" i="17"/>
  <c r="H9" i="17"/>
  <c r="G9" i="17"/>
  <c r="F9" i="17"/>
  <c r="E9" i="17"/>
  <c r="D9" i="17"/>
  <c r="C9" i="17"/>
  <c r="B9" i="17"/>
  <c r="A9" i="17"/>
  <c r="I8" i="17"/>
  <c r="H8" i="17"/>
  <c r="G8" i="17"/>
  <c r="F8" i="17"/>
  <c r="E8" i="17"/>
  <c r="D8" i="17"/>
  <c r="C8" i="17"/>
  <c r="B8" i="17"/>
  <c r="A8" i="17"/>
  <c r="V8" i="17" s="1"/>
  <c r="I7" i="17"/>
  <c r="H7" i="17"/>
  <c r="G7" i="17"/>
  <c r="F7" i="17"/>
  <c r="E7" i="17"/>
  <c r="D7" i="17"/>
  <c r="C7" i="17"/>
  <c r="B7" i="17"/>
  <c r="A7" i="17"/>
  <c r="I6" i="17"/>
  <c r="H6" i="17"/>
  <c r="G6" i="17"/>
  <c r="F6" i="17"/>
  <c r="E6" i="17"/>
  <c r="D6" i="17"/>
  <c r="C6" i="17"/>
  <c r="B6" i="17"/>
  <c r="A6" i="17"/>
  <c r="AO6" i="17" s="1"/>
  <c r="I5" i="17"/>
  <c r="H5" i="17"/>
  <c r="G5" i="17"/>
  <c r="F5" i="17"/>
  <c r="E5" i="17"/>
  <c r="D5" i="17"/>
  <c r="C5" i="17"/>
  <c r="B5" i="17"/>
  <c r="A5" i="17"/>
  <c r="I4" i="17"/>
  <c r="H4" i="17"/>
  <c r="G4" i="17"/>
  <c r="F4" i="17"/>
  <c r="E4" i="17"/>
  <c r="D4" i="17"/>
  <c r="C4" i="17"/>
  <c r="B4" i="17"/>
  <c r="A4" i="17"/>
  <c r="I3" i="17"/>
  <c r="H3" i="17"/>
  <c r="G3" i="17"/>
  <c r="F3" i="17"/>
  <c r="E3" i="17"/>
  <c r="D3" i="17"/>
  <c r="C3" i="17"/>
  <c r="B3" i="17"/>
  <c r="A3" i="17"/>
  <c r="N3" i="17" s="1"/>
  <c r="I2" i="17"/>
  <c r="H2" i="17"/>
  <c r="G2" i="17"/>
  <c r="F2" i="17"/>
  <c r="E2" i="17"/>
  <c r="D2" i="17"/>
  <c r="C2" i="17"/>
  <c r="B2" i="17"/>
  <c r="A2" i="17"/>
  <c r="D1347" i="16"/>
  <c r="C1347" i="16"/>
  <c r="B1347" i="16"/>
  <c r="A1347" i="16"/>
  <c r="D1346" i="16"/>
  <c r="C1346" i="16"/>
  <c r="B1346" i="16"/>
  <c r="A1346" i="16"/>
  <c r="O1346" i="16" s="1"/>
  <c r="D1345" i="16"/>
  <c r="C1345" i="16"/>
  <c r="B1345" i="16"/>
  <c r="A1345" i="16"/>
  <c r="D1344" i="16"/>
  <c r="C1344" i="16"/>
  <c r="B1344" i="16"/>
  <c r="A1344" i="16"/>
  <c r="E1344" i="16" s="1"/>
  <c r="D1343" i="16"/>
  <c r="C1343" i="16"/>
  <c r="B1343" i="16"/>
  <c r="A1343" i="16"/>
  <c r="D1342" i="16"/>
  <c r="C1342" i="16"/>
  <c r="B1342" i="16"/>
  <c r="A1342" i="16"/>
  <c r="E1342" i="16" s="1"/>
  <c r="F1342" i="16" s="1"/>
  <c r="D1341" i="16"/>
  <c r="C1341" i="16"/>
  <c r="B1341" i="16"/>
  <c r="A1341" i="16"/>
  <c r="D1340" i="16"/>
  <c r="C1340" i="16"/>
  <c r="B1340" i="16"/>
  <c r="A1340" i="16"/>
  <c r="D1339" i="16"/>
  <c r="C1339" i="16"/>
  <c r="B1339" i="16"/>
  <c r="A1339" i="16"/>
  <c r="D1338" i="16"/>
  <c r="C1338" i="16"/>
  <c r="B1338" i="16"/>
  <c r="A1338" i="16"/>
  <c r="D1337" i="16"/>
  <c r="C1337" i="16"/>
  <c r="B1337" i="16"/>
  <c r="A1337" i="16"/>
  <c r="D1336" i="16"/>
  <c r="C1336" i="16"/>
  <c r="B1336" i="16"/>
  <c r="A1336" i="16"/>
  <c r="D1335" i="16"/>
  <c r="C1335" i="16"/>
  <c r="B1335" i="16"/>
  <c r="A1335" i="16"/>
  <c r="D1334" i="16"/>
  <c r="C1334" i="16"/>
  <c r="B1334" i="16"/>
  <c r="A1334" i="16"/>
  <c r="E1334" i="16" s="1"/>
  <c r="F1334" i="16" s="1"/>
  <c r="D1333" i="16"/>
  <c r="C1333" i="16"/>
  <c r="B1333" i="16"/>
  <c r="A1333" i="16"/>
  <c r="D1332" i="16"/>
  <c r="C1332" i="16"/>
  <c r="B1332" i="16"/>
  <c r="A1332" i="16"/>
  <c r="F1332" i="16" s="1"/>
  <c r="D1331" i="16"/>
  <c r="C1331" i="16"/>
  <c r="B1331" i="16"/>
  <c r="A1331" i="16"/>
  <c r="D1330" i="16"/>
  <c r="C1330" i="16"/>
  <c r="B1330" i="16"/>
  <c r="A1330" i="16"/>
  <c r="E1330" i="16" s="1"/>
  <c r="O1330" i="16" s="1"/>
  <c r="O1337" i="16" s="1"/>
  <c r="D1329" i="16"/>
  <c r="C1329" i="16"/>
  <c r="B1329" i="16"/>
  <c r="A1329" i="16"/>
  <c r="D1328" i="16"/>
  <c r="C1328" i="16"/>
  <c r="B1328" i="16"/>
  <c r="A1328" i="16"/>
  <c r="D1327" i="16"/>
  <c r="C1327" i="16"/>
  <c r="B1327" i="16"/>
  <c r="A1327" i="16"/>
  <c r="D1326" i="16"/>
  <c r="C1326" i="16"/>
  <c r="B1326" i="16"/>
  <c r="A1326" i="16"/>
  <c r="D1325" i="16"/>
  <c r="C1325" i="16"/>
  <c r="B1325" i="16"/>
  <c r="A1325" i="16"/>
  <c r="D1324" i="16"/>
  <c r="C1324" i="16"/>
  <c r="B1324" i="16"/>
  <c r="A1324" i="16"/>
  <c r="D1323" i="16"/>
  <c r="C1323" i="16"/>
  <c r="B1323" i="16"/>
  <c r="A1323" i="16"/>
  <c r="D1322" i="16"/>
  <c r="C1322" i="16"/>
  <c r="B1322" i="16"/>
  <c r="A1322" i="16"/>
  <c r="D1321" i="16"/>
  <c r="C1321" i="16"/>
  <c r="B1321" i="16"/>
  <c r="A1321" i="16"/>
  <c r="D1320" i="16"/>
  <c r="C1320" i="16"/>
  <c r="B1320" i="16"/>
  <c r="A1320" i="16"/>
  <c r="D1319" i="16"/>
  <c r="C1319" i="16"/>
  <c r="B1319" i="16"/>
  <c r="A1319" i="16"/>
  <c r="E1319" i="16" s="1"/>
  <c r="D1318" i="16"/>
  <c r="C1318" i="16"/>
  <c r="B1318" i="16"/>
  <c r="A1318" i="16"/>
  <c r="E1318" i="16" s="1"/>
  <c r="F1318" i="16" s="1"/>
  <c r="D1317" i="16"/>
  <c r="C1317" i="16"/>
  <c r="B1317" i="16"/>
  <c r="A1317" i="16"/>
  <c r="D1316" i="16"/>
  <c r="C1316" i="16"/>
  <c r="B1316" i="16"/>
  <c r="A1316" i="16"/>
  <c r="E1316" i="16" s="1"/>
  <c r="D1315" i="16"/>
  <c r="C1315" i="16"/>
  <c r="B1315" i="16"/>
  <c r="A1315" i="16"/>
  <c r="D1314" i="16"/>
  <c r="C1314" i="16"/>
  <c r="B1314" i="16"/>
  <c r="A1314" i="16"/>
  <c r="D1313" i="16"/>
  <c r="C1313" i="16"/>
  <c r="B1313" i="16"/>
  <c r="A1313" i="16"/>
  <c r="D1312" i="16"/>
  <c r="C1312" i="16"/>
  <c r="B1312" i="16"/>
  <c r="A1312" i="16"/>
  <c r="O1312" i="16" s="1"/>
  <c r="D1311" i="16"/>
  <c r="C1311" i="16"/>
  <c r="B1311" i="16"/>
  <c r="A1311" i="16"/>
  <c r="E1311" i="16" s="1"/>
  <c r="D1310" i="16"/>
  <c r="C1310" i="16"/>
  <c r="B1310" i="16"/>
  <c r="A1310" i="16"/>
  <c r="E1310" i="16" s="1"/>
  <c r="F1310" i="16" s="1"/>
  <c r="D1309" i="16"/>
  <c r="C1309" i="16"/>
  <c r="B1309" i="16"/>
  <c r="A1309" i="16"/>
  <c r="D1308" i="16"/>
  <c r="C1308" i="16"/>
  <c r="B1308" i="16"/>
  <c r="A1308" i="16"/>
  <c r="E1308" i="16" s="1"/>
  <c r="D1307" i="16"/>
  <c r="C1307" i="16"/>
  <c r="B1307" i="16"/>
  <c r="A1307" i="16"/>
  <c r="D1306" i="16"/>
  <c r="C1306" i="16"/>
  <c r="B1306" i="16"/>
  <c r="A1306" i="16"/>
  <c r="D1305" i="16"/>
  <c r="C1305" i="16"/>
  <c r="B1305" i="16"/>
  <c r="A1305" i="16"/>
  <c r="D1304" i="16"/>
  <c r="C1304" i="16"/>
  <c r="B1304" i="16"/>
  <c r="A1304" i="16"/>
  <c r="D1303" i="16"/>
  <c r="C1303" i="16"/>
  <c r="B1303" i="16"/>
  <c r="A1303" i="16"/>
  <c r="D1302" i="16"/>
  <c r="C1302" i="16"/>
  <c r="B1302" i="16"/>
  <c r="A1302" i="16"/>
  <c r="D1301" i="16"/>
  <c r="C1301" i="16"/>
  <c r="B1301" i="16"/>
  <c r="A1301" i="16"/>
  <c r="D1300" i="16"/>
  <c r="C1300" i="16"/>
  <c r="B1300" i="16"/>
  <c r="A1300" i="16"/>
  <c r="E1300" i="16" s="1"/>
  <c r="D1299" i="16"/>
  <c r="C1299" i="16"/>
  <c r="B1299" i="16"/>
  <c r="A1299" i="16"/>
  <c r="D1298" i="16"/>
  <c r="C1298" i="16"/>
  <c r="B1298" i="16"/>
  <c r="A1298" i="16"/>
  <c r="D1297" i="16"/>
  <c r="C1297" i="16"/>
  <c r="B1297" i="16"/>
  <c r="A1297" i="16"/>
  <c r="D1296" i="16"/>
  <c r="C1296" i="16"/>
  <c r="B1296" i="16"/>
  <c r="A1296" i="16"/>
  <c r="E1296" i="16" s="1"/>
  <c r="D1295" i="16"/>
  <c r="C1295" i="16"/>
  <c r="B1295" i="16"/>
  <c r="A1295" i="16"/>
  <c r="D1294" i="16"/>
  <c r="C1294" i="16"/>
  <c r="B1294" i="16"/>
  <c r="A1294" i="16"/>
  <c r="E1294" i="16" s="1"/>
  <c r="F1294" i="16" s="1"/>
  <c r="D1293" i="16"/>
  <c r="C1293" i="16"/>
  <c r="B1293" i="16"/>
  <c r="A1293" i="16"/>
  <c r="D1292" i="16"/>
  <c r="C1292" i="16"/>
  <c r="B1292" i="16"/>
  <c r="A1292" i="16"/>
  <c r="D1291" i="16"/>
  <c r="C1291" i="16"/>
  <c r="B1291" i="16"/>
  <c r="A1291" i="16"/>
  <c r="D1290" i="16"/>
  <c r="C1290" i="16"/>
  <c r="B1290" i="16"/>
  <c r="A1290" i="16"/>
  <c r="E1290" i="16" s="1"/>
  <c r="D1289" i="16"/>
  <c r="C1289" i="16"/>
  <c r="B1289" i="16"/>
  <c r="A1289" i="16"/>
  <c r="D1288" i="16"/>
  <c r="C1288" i="16"/>
  <c r="B1288" i="16"/>
  <c r="A1288" i="16"/>
  <c r="E1288" i="16" s="1"/>
  <c r="D1287" i="16"/>
  <c r="C1287" i="16"/>
  <c r="B1287" i="16"/>
  <c r="A1287" i="16"/>
  <c r="D1286" i="16"/>
  <c r="C1286" i="16"/>
  <c r="B1286" i="16"/>
  <c r="A1286" i="16"/>
  <c r="E1286" i="16" s="1"/>
  <c r="F1286" i="16" s="1"/>
  <c r="D1285" i="16"/>
  <c r="C1285" i="16"/>
  <c r="B1285" i="16"/>
  <c r="A1285" i="16"/>
  <c r="D1284" i="16"/>
  <c r="C1284" i="16"/>
  <c r="B1284" i="16"/>
  <c r="A1284" i="16"/>
  <c r="O1284" i="16" s="1"/>
  <c r="D1283" i="16"/>
  <c r="C1283" i="16"/>
  <c r="B1283" i="16"/>
  <c r="A1283" i="16"/>
  <c r="D1282" i="16"/>
  <c r="C1282" i="16"/>
  <c r="B1282" i="16"/>
  <c r="A1282" i="16"/>
  <c r="D1281" i="16"/>
  <c r="C1281" i="16"/>
  <c r="B1281" i="16"/>
  <c r="A1281" i="16"/>
  <c r="D1280" i="16"/>
  <c r="C1280" i="16"/>
  <c r="B1280" i="16"/>
  <c r="A1280" i="16"/>
  <c r="E1280" i="16" s="1"/>
  <c r="D1279" i="16"/>
  <c r="C1279" i="16"/>
  <c r="B1279" i="16"/>
  <c r="A1279" i="16"/>
  <c r="O1278" i="16"/>
  <c r="E1278" i="16"/>
  <c r="F1278" i="16" s="1"/>
  <c r="D1278" i="16"/>
  <c r="C1278" i="16"/>
  <c r="B1278" i="16"/>
  <c r="A1278" i="16"/>
  <c r="D1277" i="16"/>
  <c r="C1277" i="16"/>
  <c r="B1277" i="16"/>
  <c r="A1277" i="16"/>
  <c r="D1276" i="16"/>
  <c r="C1276" i="16"/>
  <c r="B1276" i="16"/>
  <c r="A1276" i="16"/>
  <c r="D1275" i="16"/>
  <c r="C1275" i="16"/>
  <c r="B1275" i="16"/>
  <c r="A1275" i="16"/>
  <c r="O1275" i="16" s="1"/>
  <c r="D1274" i="16"/>
  <c r="C1274" i="16"/>
  <c r="B1274" i="16"/>
  <c r="A1274" i="16"/>
  <c r="D1273" i="16"/>
  <c r="C1273" i="16"/>
  <c r="B1273" i="16"/>
  <c r="A1273" i="16"/>
  <c r="E1273" i="16" s="1"/>
  <c r="D1272" i="16"/>
  <c r="C1272" i="16"/>
  <c r="B1272" i="16"/>
  <c r="A1272" i="16"/>
  <c r="D1271" i="16"/>
  <c r="C1271" i="16"/>
  <c r="B1271" i="16"/>
  <c r="A1271" i="16"/>
  <c r="E1271" i="16" s="1"/>
  <c r="D1270" i="16"/>
  <c r="C1270" i="16"/>
  <c r="B1270" i="16"/>
  <c r="A1270" i="16"/>
  <c r="D1269" i="16"/>
  <c r="C1269" i="16"/>
  <c r="B1269" i="16"/>
  <c r="A1269" i="16"/>
  <c r="D1268" i="16"/>
  <c r="C1268" i="16"/>
  <c r="B1268" i="16"/>
  <c r="A1268" i="16"/>
  <c r="D1267" i="16"/>
  <c r="C1267" i="16"/>
  <c r="B1267" i="16"/>
  <c r="A1267" i="16"/>
  <c r="O1267" i="16" s="1"/>
  <c r="O1273" i="16" s="1"/>
  <c r="D1266" i="16"/>
  <c r="C1266" i="16"/>
  <c r="B1266" i="16"/>
  <c r="A1266" i="16"/>
  <c r="D1265" i="16"/>
  <c r="C1265" i="16"/>
  <c r="B1265" i="16"/>
  <c r="A1265" i="16"/>
  <c r="E1265" i="16" s="1"/>
  <c r="D1264" i="16"/>
  <c r="C1264" i="16"/>
  <c r="B1264" i="16"/>
  <c r="A1264" i="16"/>
  <c r="D1263" i="16"/>
  <c r="C1263" i="16"/>
  <c r="B1263" i="16"/>
  <c r="A1263" i="16"/>
  <c r="F1263" i="16" s="1"/>
  <c r="D1262" i="16"/>
  <c r="C1262" i="16"/>
  <c r="B1262" i="16"/>
  <c r="A1262" i="16"/>
  <c r="D1261" i="16"/>
  <c r="C1261" i="16"/>
  <c r="B1261" i="16"/>
  <c r="A1261" i="16"/>
  <c r="E1261" i="16" s="1"/>
  <c r="D1260" i="16"/>
  <c r="C1260" i="16"/>
  <c r="B1260" i="16"/>
  <c r="A1260" i="16"/>
  <c r="D1259" i="16"/>
  <c r="C1259" i="16"/>
  <c r="B1259" i="16"/>
  <c r="A1259" i="16"/>
  <c r="O1258" i="16"/>
  <c r="D1258" i="16"/>
  <c r="C1258" i="16"/>
  <c r="B1258" i="16"/>
  <c r="A1258" i="16"/>
  <c r="D1257" i="16"/>
  <c r="C1257" i="16"/>
  <c r="B1257" i="16"/>
  <c r="A1257" i="16"/>
  <c r="D1256" i="16"/>
  <c r="C1256" i="16"/>
  <c r="B1256" i="16"/>
  <c r="A1256" i="16"/>
  <c r="D1255" i="16"/>
  <c r="C1255" i="16"/>
  <c r="B1255" i="16"/>
  <c r="A1255" i="16"/>
  <c r="F1255" i="16" s="1"/>
  <c r="D1254" i="16"/>
  <c r="C1254" i="16"/>
  <c r="B1254" i="16"/>
  <c r="A1254" i="16"/>
  <c r="D1253" i="16"/>
  <c r="C1253" i="16"/>
  <c r="B1253" i="16"/>
  <c r="A1253" i="16"/>
  <c r="D1252" i="16"/>
  <c r="C1252" i="16"/>
  <c r="B1252" i="16"/>
  <c r="A1252" i="16"/>
  <c r="D1251" i="16"/>
  <c r="C1251" i="16"/>
  <c r="B1251" i="16"/>
  <c r="A1251" i="16"/>
  <c r="E1251" i="16" s="1"/>
  <c r="D1250" i="16"/>
  <c r="C1250" i="16"/>
  <c r="B1250" i="16"/>
  <c r="A1250" i="16"/>
  <c r="D1249" i="16"/>
  <c r="C1249" i="16"/>
  <c r="B1249" i="16"/>
  <c r="A1249" i="16"/>
  <c r="E1249" i="16" s="1"/>
  <c r="D1248" i="16"/>
  <c r="C1248" i="16"/>
  <c r="B1248" i="16"/>
  <c r="A1248" i="16"/>
  <c r="D1247" i="16"/>
  <c r="C1247" i="16"/>
  <c r="B1247" i="16"/>
  <c r="A1247" i="16"/>
  <c r="E1247" i="16" s="1"/>
  <c r="D1246" i="16"/>
  <c r="C1246" i="16"/>
  <c r="B1246" i="16"/>
  <c r="A1246" i="16"/>
  <c r="D1245" i="16"/>
  <c r="C1245" i="16"/>
  <c r="B1245" i="16"/>
  <c r="A1245" i="16"/>
  <c r="E1245" i="16" s="1"/>
  <c r="F1244" i="16"/>
  <c r="P1244" i="16" s="1"/>
  <c r="D1244" i="16"/>
  <c r="C1244" i="16"/>
  <c r="B1244" i="16"/>
  <c r="A1244" i="16"/>
  <c r="D1243" i="16"/>
  <c r="C1243" i="16"/>
  <c r="B1243" i="16"/>
  <c r="A1243" i="16"/>
  <c r="F1243" i="16" s="1"/>
  <c r="D1242" i="16"/>
  <c r="C1242" i="16"/>
  <c r="B1242" i="16"/>
  <c r="A1242" i="16"/>
  <c r="D1241" i="16"/>
  <c r="C1241" i="16"/>
  <c r="B1241" i="16"/>
  <c r="A1241" i="16"/>
  <c r="D1240" i="16"/>
  <c r="C1240" i="16"/>
  <c r="B1240" i="16"/>
  <c r="A1240" i="16"/>
  <c r="D1239" i="16"/>
  <c r="C1239" i="16"/>
  <c r="B1239" i="16"/>
  <c r="A1239" i="16"/>
  <c r="E1239" i="16" s="1"/>
  <c r="D1238" i="16"/>
  <c r="C1238" i="16"/>
  <c r="B1238" i="16"/>
  <c r="A1238" i="16"/>
  <c r="D1237" i="16"/>
  <c r="C1237" i="16"/>
  <c r="B1237" i="16"/>
  <c r="A1237" i="16"/>
  <c r="D1236" i="16"/>
  <c r="C1236" i="16"/>
  <c r="B1236" i="16"/>
  <c r="A1236" i="16"/>
  <c r="D1235" i="16"/>
  <c r="C1235" i="16"/>
  <c r="B1235" i="16"/>
  <c r="A1235" i="16"/>
  <c r="D1234" i="16"/>
  <c r="C1234" i="16"/>
  <c r="B1234" i="16"/>
  <c r="A1234" i="16"/>
  <c r="D1233" i="16"/>
  <c r="C1233" i="16"/>
  <c r="B1233" i="16"/>
  <c r="A1233" i="16"/>
  <c r="D1232" i="16"/>
  <c r="C1232" i="16"/>
  <c r="B1232" i="16"/>
  <c r="A1232" i="16"/>
  <c r="D1231" i="16"/>
  <c r="C1231" i="16"/>
  <c r="B1231" i="16"/>
  <c r="A1231" i="16"/>
  <c r="D1230" i="16"/>
  <c r="C1230" i="16"/>
  <c r="B1230" i="16"/>
  <c r="A1230" i="16"/>
  <c r="D1229" i="16"/>
  <c r="C1229" i="16"/>
  <c r="B1229" i="16"/>
  <c r="A1229" i="16"/>
  <c r="D1228" i="16"/>
  <c r="C1228" i="16"/>
  <c r="B1228" i="16"/>
  <c r="A1228" i="16"/>
  <c r="E1228" i="16" s="1"/>
  <c r="D1227" i="16"/>
  <c r="C1227" i="16"/>
  <c r="B1227" i="16"/>
  <c r="A1227" i="16"/>
  <c r="D1226" i="16"/>
  <c r="C1226" i="16"/>
  <c r="B1226" i="16"/>
  <c r="A1226" i="16"/>
  <c r="D1225" i="16"/>
  <c r="C1225" i="16"/>
  <c r="B1225" i="16"/>
  <c r="A1225" i="16"/>
  <c r="D1224" i="16"/>
  <c r="C1224" i="16"/>
  <c r="B1224" i="16"/>
  <c r="A1224" i="16"/>
  <c r="D1223" i="16"/>
  <c r="C1223" i="16"/>
  <c r="B1223" i="16"/>
  <c r="A1223" i="16"/>
  <c r="F1223" i="16" s="1"/>
  <c r="D1222" i="16"/>
  <c r="C1222" i="16"/>
  <c r="B1222" i="16"/>
  <c r="A1222" i="16"/>
  <c r="D1221" i="16"/>
  <c r="C1221" i="16"/>
  <c r="B1221" i="16"/>
  <c r="A1221" i="16"/>
  <c r="E1221" i="16" s="1"/>
  <c r="D1220" i="16"/>
  <c r="C1220" i="16"/>
  <c r="B1220" i="16"/>
  <c r="A1220" i="16"/>
  <c r="D1219" i="16"/>
  <c r="C1219" i="16"/>
  <c r="B1219" i="16"/>
  <c r="A1219" i="16"/>
  <c r="D1218" i="16"/>
  <c r="C1218" i="16"/>
  <c r="B1218" i="16"/>
  <c r="A1218" i="16"/>
  <c r="D1217" i="16"/>
  <c r="C1217" i="16"/>
  <c r="B1217" i="16"/>
  <c r="A1217" i="16"/>
  <c r="E1217" i="16" s="1"/>
  <c r="D1216" i="16"/>
  <c r="C1216" i="16"/>
  <c r="B1216" i="16"/>
  <c r="A1216" i="16"/>
  <c r="D1215" i="16"/>
  <c r="C1215" i="16"/>
  <c r="B1215" i="16"/>
  <c r="A1215" i="16"/>
  <c r="D1214" i="16"/>
  <c r="C1214" i="16"/>
  <c r="B1214" i="16"/>
  <c r="A1214" i="16"/>
  <c r="D1213" i="16"/>
  <c r="C1213" i="16"/>
  <c r="B1213" i="16"/>
  <c r="A1213" i="16"/>
  <c r="D1212" i="16"/>
  <c r="C1212" i="16"/>
  <c r="B1212" i="16"/>
  <c r="A1212" i="16"/>
  <c r="D1211" i="16"/>
  <c r="C1211" i="16"/>
  <c r="B1211" i="16"/>
  <c r="A1211" i="16"/>
  <c r="E1211" i="16" s="1"/>
  <c r="D1210" i="16"/>
  <c r="C1210" i="16"/>
  <c r="B1210" i="16"/>
  <c r="A1210" i="16"/>
  <c r="D1209" i="16"/>
  <c r="C1209" i="16"/>
  <c r="B1209" i="16"/>
  <c r="A1209" i="16"/>
  <c r="D1208" i="16"/>
  <c r="C1208" i="16"/>
  <c r="B1208" i="16"/>
  <c r="A1208" i="16"/>
  <c r="D1207" i="16"/>
  <c r="C1207" i="16"/>
  <c r="B1207" i="16"/>
  <c r="A1207" i="16"/>
  <c r="E1207" i="16" s="1"/>
  <c r="D1206" i="16"/>
  <c r="C1206" i="16"/>
  <c r="B1206" i="16"/>
  <c r="A1206" i="16"/>
  <c r="E1206" i="16" s="1"/>
  <c r="D1205" i="16"/>
  <c r="C1205" i="16"/>
  <c r="B1205" i="16"/>
  <c r="A1205" i="16"/>
  <c r="E1205" i="16" s="1"/>
  <c r="F1205" i="16" s="1"/>
  <c r="D1204" i="16"/>
  <c r="C1204" i="16"/>
  <c r="B1204" i="16"/>
  <c r="A1204" i="16"/>
  <c r="D1203" i="16"/>
  <c r="C1203" i="16"/>
  <c r="B1203" i="16"/>
  <c r="A1203" i="16"/>
  <c r="D1202" i="16"/>
  <c r="C1202" i="16"/>
  <c r="B1202" i="16"/>
  <c r="A1202" i="16"/>
  <c r="D1201" i="16"/>
  <c r="C1201" i="16"/>
  <c r="B1201" i="16"/>
  <c r="A1201" i="16"/>
  <c r="D1200" i="16"/>
  <c r="C1200" i="16"/>
  <c r="B1200" i="16"/>
  <c r="A1200" i="16"/>
  <c r="D1199" i="16"/>
  <c r="C1199" i="16"/>
  <c r="B1199" i="16"/>
  <c r="A1199" i="16"/>
  <c r="D1198" i="16"/>
  <c r="C1198" i="16"/>
  <c r="B1198" i="16"/>
  <c r="A1198" i="16"/>
  <c r="D1197" i="16"/>
  <c r="C1197" i="16"/>
  <c r="B1197" i="16"/>
  <c r="A1197" i="16"/>
  <c r="D1196" i="16"/>
  <c r="C1196" i="16"/>
  <c r="B1196" i="16"/>
  <c r="A1196" i="16"/>
  <c r="D1195" i="16"/>
  <c r="C1195" i="16"/>
  <c r="B1195" i="16"/>
  <c r="A1195" i="16"/>
  <c r="D1194" i="16"/>
  <c r="C1194" i="16"/>
  <c r="B1194" i="16"/>
  <c r="A1194" i="16"/>
  <c r="D1193" i="16"/>
  <c r="C1193" i="16"/>
  <c r="B1193" i="16"/>
  <c r="A1193" i="16"/>
  <c r="D1192" i="16"/>
  <c r="C1192" i="16"/>
  <c r="B1192" i="16"/>
  <c r="A1192" i="16"/>
  <c r="D1191" i="16"/>
  <c r="C1191" i="16"/>
  <c r="B1191" i="16"/>
  <c r="A1191" i="16"/>
  <c r="E1191" i="16" s="1"/>
  <c r="D1190" i="16"/>
  <c r="C1190" i="16"/>
  <c r="B1190" i="16"/>
  <c r="A1190" i="16"/>
  <c r="D1189" i="16"/>
  <c r="C1189" i="16"/>
  <c r="B1189" i="16"/>
  <c r="A1189" i="16"/>
  <c r="D1188" i="16"/>
  <c r="C1188" i="16"/>
  <c r="B1188" i="16"/>
  <c r="A1188" i="16"/>
  <c r="E1188" i="16" s="1"/>
  <c r="D1187" i="16"/>
  <c r="C1187" i="16"/>
  <c r="B1187" i="16"/>
  <c r="A1187" i="16"/>
  <c r="D1186" i="16"/>
  <c r="C1186" i="16"/>
  <c r="B1186" i="16"/>
  <c r="A1186" i="16"/>
  <c r="D1185" i="16"/>
  <c r="C1185" i="16"/>
  <c r="B1185" i="16"/>
  <c r="A1185" i="16"/>
  <c r="F1185" i="16" s="1"/>
  <c r="D1184" i="16"/>
  <c r="C1184" i="16"/>
  <c r="B1184" i="16"/>
  <c r="A1184" i="16"/>
  <c r="D1183" i="16"/>
  <c r="C1183" i="16"/>
  <c r="B1183" i="16"/>
  <c r="A1183" i="16"/>
  <c r="E1183" i="16" s="1"/>
  <c r="D1182" i="16"/>
  <c r="C1182" i="16"/>
  <c r="B1182" i="16"/>
  <c r="A1182" i="16"/>
  <c r="D1181" i="16"/>
  <c r="C1181" i="16"/>
  <c r="B1181" i="16"/>
  <c r="A1181" i="16"/>
  <c r="F1181" i="16" s="1"/>
  <c r="D1180" i="16"/>
  <c r="C1180" i="16"/>
  <c r="B1180" i="16"/>
  <c r="A1180" i="16"/>
  <c r="D1179" i="16"/>
  <c r="C1179" i="16"/>
  <c r="B1179" i="16"/>
  <c r="A1179" i="16"/>
  <c r="D1178" i="16"/>
  <c r="C1178" i="16"/>
  <c r="B1178" i="16"/>
  <c r="A1178" i="16"/>
  <c r="D1177" i="16"/>
  <c r="C1177" i="16"/>
  <c r="B1177" i="16"/>
  <c r="A1177" i="16"/>
  <c r="D1176" i="16"/>
  <c r="C1176" i="16"/>
  <c r="B1176" i="16"/>
  <c r="A1176" i="16"/>
  <c r="D1175" i="16"/>
  <c r="C1175" i="16"/>
  <c r="B1175" i="16"/>
  <c r="A1175" i="16"/>
  <c r="D1174" i="16"/>
  <c r="C1174" i="16"/>
  <c r="B1174" i="16"/>
  <c r="A1174" i="16"/>
  <c r="E1174" i="16" s="1"/>
  <c r="F1174" i="16" s="1"/>
  <c r="D1173" i="16"/>
  <c r="C1173" i="16"/>
  <c r="B1173" i="16"/>
  <c r="A1173" i="16"/>
  <c r="E1173" i="16" s="1"/>
  <c r="D1172" i="16"/>
  <c r="C1172" i="16"/>
  <c r="B1172" i="16"/>
  <c r="A1172" i="16"/>
  <c r="D1171" i="16"/>
  <c r="C1171" i="16"/>
  <c r="B1171" i="16"/>
  <c r="A1171" i="16"/>
  <c r="E1171" i="16" s="1"/>
  <c r="D1170" i="16"/>
  <c r="C1170" i="16"/>
  <c r="B1170" i="16"/>
  <c r="A1170" i="16"/>
  <c r="D1169" i="16"/>
  <c r="C1169" i="16"/>
  <c r="B1169" i="16"/>
  <c r="A1169" i="16"/>
  <c r="E1169" i="16" s="1"/>
  <c r="D1168" i="16"/>
  <c r="C1168" i="16"/>
  <c r="B1168" i="16"/>
  <c r="A1168" i="16"/>
  <c r="D1167" i="16"/>
  <c r="C1167" i="16"/>
  <c r="B1167" i="16"/>
  <c r="A1167" i="16"/>
  <c r="D1166" i="16"/>
  <c r="C1166" i="16"/>
  <c r="B1166" i="16"/>
  <c r="A1166" i="16"/>
  <c r="D1165" i="16"/>
  <c r="C1165" i="16"/>
  <c r="B1165" i="16"/>
  <c r="A1165" i="16"/>
  <c r="D1164" i="16"/>
  <c r="C1164" i="16"/>
  <c r="B1164" i="16"/>
  <c r="A1164" i="16"/>
  <c r="E1164" i="16" s="1"/>
  <c r="F1164" i="16" s="1"/>
  <c r="D1163" i="16"/>
  <c r="C1163" i="16"/>
  <c r="B1163" i="16"/>
  <c r="A1163" i="16"/>
  <c r="D1162" i="16"/>
  <c r="C1162" i="16"/>
  <c r="B1162" i="16"/>
  <c r="A1162" i="16"/>
  <c r="D1161" i="16"/>
  <c r="C1161" i="16"/>
  <c r="B1161" i="16"/>
  <c r="A1161" i="16"/>
  <c r="E1161" i="16" s="1"/>
  <c r="D1160" i="16"/>
  <c r="C1160" i="16"/>
  <c r="B1160" i="16"/>
  <c r="A1160" i="16"/>
  <c r="E1160" i="16" s="1"/>
  <c r="D1159" i="16"/>
  <c r="C1159" i="16"/>
  <c r="B1159" i="16"/>
  <c r="A1159" i="16"/>
  <c r="E1159" i="16" s="1"/>
  <c r="D1158" i="16"/>
  <c r="C1158" i="16"/>
  <c r="B1158" i="16"/>
  <c r="A1158" i="16"/>
  <c r="D1157" i="16"/>
  <c r="C1157" i="16"/>
  <c r="B1157" i="16"/>
  <c r="A1157" i="16"/>
  <c r="D1156" i="16"/>
  <c r="C1156" i="16"/>
  <c r="B1156" i="16"/>
  <c r="A1156" i="16"/>
  <c r="D1155" i="16"/>
  <c r="C1155" i="16"/>
  <c r="B1155" i="16"/>
  <c r="A1155" i="16"/>
  <c r="E1155" i="16" s="1"/>
  <c r="D1154" i="16"/>
  <c r="C1154" i="16"/>
  <c r="B1154" i="16"/>
  <c r="A1154" i="16"/>
  <c r="D1153" i="16"/>
  <c r="C1153" i="16"/>
  <c r="B1153" i="16"/>
  <c r="A1153" i="16"/>
  <c r="D1152" i="16"/>
  <c r="C1152" i="16"/>
  <c r="B1152" i="16"/>
  <c r="A1152" i="16"/>
  <c r="E1152" i="16" s="1"/>
  <c r="D1151" i="16"/>
  <c r="C1151" i="16"/>
  <c r="B1151" i="16"/>
  <c r="A1151" i="16"/>
  <c r="E1151" i="16" s="1"/>
  <c r="O1254" i="16" s="1"/>
  <c r="D1150" i="16"/>
  <c r="C1150" i="16"/>
  <c r="B1150" i="16"/>
  <c r="A1150" i="16"/>
  <c r="E1150" i="16" s="1"/>
  <c r="D1149" i="16"/>
  <c r="C1149" i="16"/>
  <c r="B1149" i="16"/>
  <c r="A1149" i="16"/>
  <c r="E1149" i="16" s="1"/>
  <c r="D1148" i="16"/>
  <c r="C1148" i="16"/>
  <c r="B1148" i="16"/>
  <c r="A1148" i="16"/>
  <c r="D1147" i="16"/>
  <c r="C1147" i="16"/>
  <c r="B1147" i="16"/>
  <c r="A1147" i="16"/>
  <c r="E1147" i="16" s="1"/>
  <c r="D1146" i="16"/>
  <c r="C1146" i="16"/>
  <c r="B1146" i="16"/>
  <c r="A1146" i="16"/>
  <c r="D1145" i="16"/>
  <c r="C1145" i="16"/>
  <c r="B1145" i="16"/>
  <c r="A1145" i="16"/>
  <c r="E1145" i="16" s="1"/>
  <c r="D1144" i="16"/>
  <c r="C1144" i="16"/>
  <c r="B1144" i="16"/>
  <c r="A1144" i="16"/>
  <c r="D1143" i="16"/>
  <c r="C1143" i="16"/>
  <c r="B1143" i="16"/>
  <c r="A1143" i="16"/>
  <c r="E1143" i="16" s="1"/>
  <c r="D1142" i="16"/>
  <c r="C1142" i="16"/>
  <c r="B1142" i="16"/>
  <c r="A1142" i="16"/>
  <c r="D1141" i="16"/>
  <c r="C1141" i="16"/>
  <c r="B1141" i="16"/>
  <c r="A1141" i="16"/>
  <c r="D1140" i="16"/>
  <c r="C1140" i="16"/>
  <c r="B1140" i="16"/>
  <c r="A1140" i="16"/>
  <c r="D1139" i="16"/>
  <c r="C1139" i="16"/>
  <c r="B1139" i="16"/>
  <c r="A1139" i="16"/>
  <c r="E1139" i="16" s="1"/>
  <c r="D1138" i="16"/>
  <c r="C1138" i="16"/>
  <c r="B1138" i="16"/>
  <c r="A1138" i="16"/>
  <c r="D1137" i="16"/>
  <c r="C1137" i="16"/>
  <c r="B1137" i="16"/>
  <c r="A1137" i="16"/>
  <c r="E1137" i="16" s="1"/>
  <c r="D1136" i="16"/>
  <c r="C1136" i="16"/>
  <c r="B1136" i="16"/>
  <c r="A1136" i="16"/>
  <c r="D1135" i="16"/>
  <c r="C1135" i="16"/>
  <c r="B1135" i="16"/>
  <c r="A1135" i="16"/>
  <c r="E1135" i="16" s="1"/>
  <c r="D1134" i="16"/>
  <c r="C1134" i="16"/>
  <c r="B1134" i="16"/>
  <c r="A1134" i="16"/>
  <c r="F1134" i="16" s="1"/>
  <c r="D1133" i="16"/>
  <c r="C1133" i="16"/>
  <c r="B1133" i="16"/>
  <c r="A1133" i="16"/>
  <c r="F1133" i="16" s="1"/>
  <c r="D1132" i="16"/>
  <c r="C1132" i="16"/>
  <c r="B1132" i="16"/>
  <c r="A1132" i="16"/>
  <c r="D1131" i="16"/>
  <c r="C1131" i="16"/>
  <c r="B1131" i="16"/>
  <c r="A1131" i="16"/>
  <c r="D1130" i="16"/>
  <c r="C1130" i="16"/>
  <c r="B1130" i="16"/>
  <c r="A1130" i="16"/>
  <c r="D1129" i="16"/>
  <c r="C1129" i="16"/>
  <c r="B1129" i="16"/>
  <c r="A1129" i="16"/>
  <c r="E1129" i="16" s="1"/>
  <c r="D1128" i="16"/>
  <c r="C1128" i="16"/>
  <c r="B1128" i="16"/>
  <c r="A1128" i="16"/>
  <c r="D1127" i="16"/>
  <c r="C1127" i="16"/>
  <c r="B1127" i="16"/>
  <c r="A1127" i="16"/>
  <c r="E1127" i="16" s="1"/>
  <c r="D1126" i="16"/>
  <c r="C1126" i="16"/>
  <c r="B1126" i="16"/>
  <c r="A1126" i="16"/>
  <c r="D1125" i="16"/>
  <c r="C1125" i="16"/>
  <c r="B1125" i="16"/>
  <c r="A1125" i="16"/>
  <c r="E1125" i="16" s="1"/>
  <c r="D1124" i="16"/>
  <c r="C1124" i="16"/>
  <c r="B1124" i="16"/>
  <c r="A1124" i="16"/>
  <c r="E1124" i="16" s="1"/>
  <c r="D1123" i="16"/>
  <c r="C1123" i="16"/>
  <c r="B1123" i="16"/>
  <c r="A1123" i="16"/>
  <c r="E1123" i="16" s="1"/>
  <c r="D1122" i="16"/>
  <c r="C1122" i="16"/>
  <c r="B1122" i="16"/>
  <c r="A1122" i="16"/>
  <c r="D1121" i="16"/>
  <c r="C1121" i="16"/>
  <c r="B1121" i="16"/>
  <c r="A1121" i="16"/>
  <c r="D1120" i="16"/>
  <c r="C1120" i="16"/>
  <c r="B1120" i="16"/>
  <c r="A1120" i="16"/>
  <c r="D1119" i="16"/>
  <c r="C1119" i="16"/>
  <c r="B1119" i="16"/>
  <c r="A1119" i="16"/>
  <c r="E1119" i="16" s="1"/>
  <c r="D1118" i="16"/>
  <c r="C1118" i="16"/>
  <c r="B1118" i="16"/>
  <c r="A1118" i="16"/>
  <c r="D1117" i="16"/>
  <c r="C1117" i="16"/>
  <c r="B1117" i="16"/>
  <c r="A1117" i="16"/>
  <c r="E1117" i="16" s="1"/>
  <c r="F1117" i="16" s="1"/>
  <c r="D1116" i="16"/>
  <c r="C1116" i="16"/>
  <c r="B1116" i="16"/>
  <c r="A1116" i="16"/>
  <c r="E1116" i="16" s="1"/>
  <c r="D1115" i="16"/>
  <c r="C1115" i="16"/>
  <c r="B1115" i="16"/>
  <c r="A1115" i="16"/>
  <c r="D1114" i="16"/>
  <c r="C1114" i="16"/>
  <c r="B1114" i="16"/>
  <c r="A1114" i="16"/>
  <c r="D1113" i="16"/>
  <c r="C1113" i="16"/>
  <c r="B1113" i="16"/>
  <c r="A1113" i="16"/>
  <c r="D1112" i="16"/>
  <c r="C1112" i="16"/>
  <c r="B1112" i="16"/>
  <c r="A1112" i="16"/>
  <c r="D1111" i="16"/>
  <c r="C1111" i="16"/>
  <c r="B1111" i="16"/>
  <c r="A1111" i="16"/>
  <c r="F1111" i="16" s="1"/>
  <c r="D1110" i="16"/>
  <c r="C1110" i="16"/>
  <c r="B1110" i="16"/>
  <c r="A1110" i="16"/>
  <c r="D1109" i="16"/>
  <c r="C1109" i="16"/>
  <c r="B1109" i="16"/>
  <c r="A1109" i="16"/>
  <c r="E1109" i="16" s="1"/>
  <c r="D1108" i="16"/>
  <c r="C1108" i="16"/>
  <c r="B1108" i="16"/>
  <c r="A1108" i="16"/>
  <c r="E1108" i="16" s="1"/>
  <c r="F1108" i="16" s="1"/>
  <c r="D1107" i="16"/>
  <c r="C1107" i="16"/>
  <c r="B1107" i="16"/>
  <c r="A1107" i="16"/>
  <c r="D1106" i="16"/>
  <c r="C1106" i="16"/>
  <c r="B1106" i="16"/>
  <c r="A1106" i="16"/>
  <c r="D1105" i="16"/>
  <c r="C1105" i="16"/>
  <c r="B1105" i="16"/>
  <c r="A1105" i="16"/>
  <c r="D1104" i="16"/>
  <c r="C1104" i="16"/>
  <c r="B1104" i="16"/>
  <c r="A1104" i="16"/>
  <c r="E1104" i="16" s="1"/>
  <c r="D1103" i="16"/>
  <c r="C1103" i="16"/>
  <c r="B1103" i="16"/>
  <c r="A1103" i="16"/>
  <c r="E1103" i="16" s="1"/>
  <c r="D1102" i="16"/>
  <c r="C1102" i="16"/>
  <c r="B1102" i="16"/>
  <c r="A1102" i="16"/>
  <c r="E1102" i="16" s="1"/>
  <c r="D1101" i="16"/>
  <c r="C1101" i="16"/>
  <c r="B1101" i="16"/>
  <c r="A1101" i="16"/>
  <c r="F1101" i="16" s="1"/>
  <c r="D1100" i="16"/>
  <c r="C1100" i="16"/>
  <c r="B1100" i="16"/>
  <c r="A1100" i="16"/>
  <c r="D1099" i="16"/>
  <c r="C1099" i="16"/>
  <c r="B1099" i="16"/>
  <c r="A1099" i="16"/>
  <c r="E1099" i="16" s="1"/>
  <c r="D1098" i="16"/>
  <c r="C1098" i="16"/>
  <c r="B1098" i="16"/>
  <c r="A1098" i="16"/>
  <c r="D1097" i="16"/>
  <c r="C1097" i="16"/>
  <c r="B1097" i="16"/>
  <c r="A1097" i="16"/>
  <c r="D1096" i="16"/>
  <c r="C1096" i="16"/>
  <c r="B1096" i="16"/>
  <c r="A1096" i="16"/>
  <c r="D1095" i="16"/>
  <c r="C1095" i="16"/>
  <c r="B1095" i="16"/>
  <c r="A1095" i="16"/>
  <c r="E1095" i="16" s="1"/>
  <c r="D1094" i="16"/>
  <c r="C1094" i="16"/>
  <c r="B1094" i="16"/>
  <c r="A1094" i="16"/>
  <c r="E1094" i="16" s="1"/>
  <c r="F1094" i="16" s="1"/>
  <c r="D1093" i="16"/>
  <c r="C1093" i="16"/>
  <c r="B1093" i="16"/>
  <c r="A1093" i="16"/>
  <c r="D1092" i="16"/>
  <c r="C1092" i="16"/>
  <c r="B1092" i="16"/>
  <c r="A1092" i="16"/>
  <c r="D1091" i="16"/>
  <c r="C1091" i="16"/>
  <c r="B1091" i="16"/>
  <c r="A1091" i="16"/>
  <c r="D1090" i="16"/>
  <c r="C1090" i="16"/>
  <c r="B1090" i="16"/>
  <c r="A1090" i="16"/>
  <c r="D1089" i="16"/>
  <c r="C1089" i="16"/>
  <c r="B1089" i="16"/>
  <c r="A1089" i="16"/>
  <c r="E1089" i="16" s="1"/>
  <c r="D1088" i="16"/>
  <c r="C1088" i="16"/>
  <c r="B1088" i="16"/>
  <c r="A1088" i="16"/>
  <c r="E1088" i="16" s="1"/>
  <c r="D1087" i="16"/>
  <c r="C1087" i="16"/>
  <c r="B1087" i="16"/>
  <c r="A1087" i="16"/>
  <c r="E1087" i="16" s="1"/>
  <c r="D1086" i="16"/>
  <c r="C1086" i="16"/>
  <c r="B1086" i="16"/>
  <c r="A1086" i="16"/>
  <c r="D1085" i="16"/>
  <c r="C1085" i="16"/>
  <c r="B1085" i="16"/>
  <c r="A1085" i="16"/>
  <c r="D1084" i="16"/>
  <c r="C1084" i="16"/>
  <c r="B1084" i="16"/>
  <c r="A1084" i="16"/>
  <c r="D1083" i="16"/>
  <c r="C1083" i="16"/>
  <c r="B1083" i="16"/>
  <c r="A1083" i="16"/>
  <c r="D1082" i="16"/>
  <c r="C1082" i="16"/>
  <c r="B1082" i="16"/>
  <c r="A1082" i="16"/>
  <c r="D1081" i="16"/>
  <c r="C1081" i="16"/>
  <c r="B1081" i="16"/>
  <c r="A1081" i="16"/>
  <c r="D1080" i="16"/>
  <c r="C1080" i="16"/>
  <c r="B1080" i="16"/>
  <c r="A1080" i="16"/>
  <c r="D1079" i="16"/>
  <c r="C1079" i="16"/>
  <c r="B1079" i="16"/>
  <c r="A1079" i="16"/>
  <c r="E1079" i="16" s="1"/>
  <c r="D1078" i="16"/>
  <c r="C1078" i="16"/>
  <c r="B1078" i="16"/>
  <c r="A1078" i="16"/>
  <c r="F1078" i="16" s="1"/>
  <c r="D1077" i="16"/>
  <c r="C1077" i="16"/>
  <c r="B1077" i="16"/>
  <c r="A1077" i="16"/>
  <c r="E1077" i="16" s="1"/>
  <c r="F1077" i="16" s="1"/>
  <c r="D1076" i="16"/>
  <c r="C1076" i="16"/>
  <c r="B1076" i="16"/>
  <c r="A1076" i="16"/>
  <c r="D1075" i="16"/>
  <c r="C1075" i="16"/>
  <c r="B1075" i="16"/>
  <c r="A1075" i="16"/>
  <c r="D1074" i="16"/>
  <c r="C1074" i="16"/>
  <c r="B1074" i="16"/>
  <c r="A1074" i="16"/>
  <c r="D1073" i="16"/>
  <c r="C1073" i="16"/>
  <c r="B1073" i="16"/>
  <c r="A1073" i="16"/>
  <c r="D1072" i="16"/>
  <c r="C1072" i="16"/>
  <c r="B1072" i="16"/>
  <c r="A1072" i="16"/>
  <c r="D1071" i="16"/>
  <c r="C1071" i="16"/>
  <c r="B1071" i="16"/>
  <c r="A1071" i="16"/>
  <c r="D1070" i="16"/>
  <c r="C1070" i="16"/>
  <c r="B1070" i="16"/>
  <c r="A1070" i="16"/>
  <c r="D1069" i="16"/>
  <c r="C1069" i="16"/>
  <c r="B1069" i="16"/>
  <c r="A1069" i="16"/>
  <c r="D1068" i="16"/>
  <c r="C1068" i="16"/>
  <c r="B1068" i="16"/>
  <c r="A1068" i="16"/>
  <c r="D1067" i="16"/>
  <c r="C1067" i="16"/>
  <c r="B1067" i="16"/>
  <c r="A1067" i="16"/>
  <c r="D1066" i="16"/>
  <c r="C1066" i="16"/>
  <c r="B1066" i="16"/>
  <c r="A1066" i="16"/>
  <c r="D1065" i="16"/>
  <c r="C1065" i="16"/>
  <c r="B1065" i="16"/>
  <c r="A1065" i="16"/>
  <c r="D1064" i="16"/>
  <c r="C1064" i="16"/>
  <c r="B1064" i="16"/>
  <c r="A1064" i="16"/>
  <c r="D1063" i="16"/>
  <c r="C1063" i="16"/>
  <c r="B1063" i="16"/>
  <c r="A1063" i="16"/>
  <c r="D1062" i="16"/>
  <c r="C1062" i="16"/>
  <c r="B1062" i="16"/>
  <c r="A1062" i="16"/>
  <c r="D1061" i="16"/>
  <c r="C1061" i="16"/>
  <c r="B1061" i="16"/>
  <c r="A1061" i="16"/>
  <c r="D1060" i="16"/>
  <c r="C1060" i="16"/>
  <c r="B1060" i="16"/>
  <c r="A1060" i="16"/>
  <c r="D1059" i="16"/>
  <c r="C1059" i="16"/>
  <c r="B1059" i="16"/>
  <c r="A1059" i="16"/>
  <c r="D1058" i="16"/>
  <c r="C1058" i="16"/>
  <c r="B1058" i="16"/>
  <c r="A1058" i="16"/>
  <c r="D1057" i="16"/>
  <c r="C1057" i="16"/>
  <c r="B1057" i="16"/>
  <c r="A1057" i="16"/>
  <c r="D1056" i="16"/>
  <c r="C1056" i="16"/>
  <c r="B1056" i="16"/>
  <c r="A1056" i="16"/>
  <c r="D1055" i="16"/>
  <c r="C1055" i="16"/>
  <c r="B1055" i="16"/>
  <c r="A1055" i="16"/>
  <c r="D1054" i="16"/>
  <c r="C1054" i="16"/>
  <c r="B1054" i="16"/>
  <c r="A1054" i="16"/>
  <c r="E1054" i="16" s="1"/>
  <c r="F1054" i="16" s="1"/>
  <c r="D1053" i="16"/>
  <c r="C1053" i="16"/>
  <c r="B1053" i="16"/>
  <c r="A1053" i="16"/>
  <c r="D1052" i="16"/>
  <c r="C1052" i="16"/>
  <c r="B1052" i="16"/>
  <c r="A1052" i="16"/>
  <c r="F1052" i="16" s="1"/>
  <c r="D1051" i="16"/>
  <c r="C1051" i="16"/>
  <c r="B1051" i="16"/>
  <c r="A1051" i="16"/>
  <c r="D1050" i="16"/>
  <c r="C1050" i="16"/>
  <c r="B1050" i="16"/>
  <c r="A1050" i="16"/>
  <c r="D1049" i="16"/>
  <c r="C1049" i="16"/>
  <c r="B1049" i="16"/>
  <c r="A1049" i="16"/>
  <c r="D1048" i="16"/>
  <c r="C1048" i="16"/>
  <c r="B1048" i="16"/>
  <c r="A1048" i="16"/>
  <c r="D1047" i="16"/>
  <c r="C1047" i="16"/>
  <c r="B1047" i="16"/>
  <c r="A1047" i="16"/>
  <c r="D1046" i="16"/>
  <c r="C1046" i="16"/>
  <c r="B1046" i="16"/>
  <c r="A1046" i="16"/>
  <c r="E1046" i="16" s="1"/>
  <c r="F1046" i="16" s="1"/>
  <c r="D1045" i="16"/>
  <c r="C1045" i="16"/>
  <c r="B1045" i="16"/>
  <c r="A1045" i="16"/>
  <c r="D1044" i="16"/>
  <c r="C1044" i="16"/>
  <c r="B1044" i="16"/>
  <c r="A1044" i="16"/>
  <c r="D1043" i="16"/>
  <c r="C1043" i="16"/>
  <c r="B1043" i="16"/>
  <c r="A1043" i="16"/>
  <c r="D1042" i="16"/>
  <c r="C1042" i="16"/>
  <c r="B1042" i="16"/>
  <c r="A1042" i="16"/>
  <c r="D1041" i="16"/>
  <c r="C1041" i="16"/>
  <c r="B1041" i="16"/>
  <c r="A1041" i="16"/>
  <c r="D1040" i="16"/>
  <c r="C1040" i="16"/>
  <c r="B1040" i="16"/>
  <c r="A1040" i="16"/>
  <c r="E1040" i="16" s="1"/>
  <c r="D1039" i="16"/>
  <c r="C1039" i="16"/>
  <c r="B1039" i="16"/>
  <c r="A1039" i="16"/>
  <c r="F1039" i="16" s="1"/>
  <c r="D1038" i="16"/>
  <c r="C1038" i="16"/>
  <c r="B1038" i="16"/>
  <c r="A1038" i="16"/>
  <c r="D1037" i="16"/>
  <c r="C1037" i="16"/>
  <c r="B1037" i="16"/>
  <c r="A1037" i="16"/>
  <c r="D1036" i="16"/>
  <c r="C1036" i="16"/>
  <c r="B1036" i="16"/>
  <c r="A1036" i="16"/>
  <c r="D1035" i="16"/>
  <c r="C1035" i="16"/>
  <c r="B1035" i="16"/>
  <c r="A1035" i="16"/>
  <c r="D1034" i="16"/>
  <c r="C1034" i="16"/>
  <c r="B1034" i="16"/>
  <c r="A1034" i="16"/>
  <c r="D1033" i="16"/>
  <c r="C1033" i="16"/>
  <c r="B1033" i="16"/>
  <c r="A1033" i="16"/>
  <c r="D1032" i="16"/>
  <c r="C1032" i="16"/>
  <c r="B1032" i="16"/>
  <c r="A1032" i="16"/>
  <c r="D1031" i="16"/>
  <c r="C1031" i="16"/>
  <c r="B1031" i="16"/>
  <c r="A1031" i="16"/>
  <c r="D1030" i="16"/>
  <c r="C1030" i="16"/>
  <c r="B1030" i="16"/>
  <c r="A1030" i="16"/>
  <c r="D1029" i="16"/>
  <c r="C1029" i="16"/>
  <c r="B1029" i="16"/>
  <c r="A1029" i="16"/>
  <c r="D1028" i="16"/>
  <c r="C1028" i="16"/>
  <c r="B1028" i="16"/>
  <c r="A1028" i="16"/>
  <c r="D1027" i="16"/>
  <c r="C1027" i="16"/>
  <c r="B1027" i="16"/>
  <c r="A1027" i="16"/>
  <c r="D1026" i="16"/>
  <c r="C1026" i="16"/>
  <c r="B1026" i="16"/>
  <c r="A1026" i="16"/>
  <c r="D1025" i="16"/>
  <c r="C1025" i="16"/>
  <c r="B1025" i="16"/>
  <c r="A1025" i="16"/>
  <c r="D1024" i="16"/>
  <c r="C1024" i="16"/>
  <c r="B1024" i="16"/>
  <c r="A1024" i="16"/>
  <c r="E1024" i="16" s="1"/>
  <c r="D1023" i="16"/>
  <c r="C1023" i="16"/>
  <c r="B1023" i="16"/>
  <c r="A1023" i="16"/>
  <c r="D1022" i="16"/>
  <c r="C1022" i="16"/>
  <c r="B1022" i="16"/>
  <c r="A1022" i="16"/>
  <c r="E1022" i="16" s="1"/>
  <c r="F1022" i="16" s="1"/>
  <c r="D1021" i="16"/>
  <c r="C1021" i="16"/>
  <c r="B1021" i="16"/>
  <c r="A1021" i="16"/>
  <c r="D1020" i="16"/>
  <c r="C1020" i="16"/>
  <c r="B1020" i="16"/>
  <c r="A1020" i="16"/>
  <c r="D1019" i="16"/>
  <c r="C1019" i="16"/>
  <c r="B1019" i="16"/>
  <c r="A1019" i="16"/>
  <c r="D1018" i="16"/>
  <c r="C1018" i="16"/>
  <c r="B1018" i="16"/>
  <c r="A1018" i="16"/>
  <c r="D1017" i="16"/>
  <c r="C1017" i="16"/>
  <c r="B1017" i="16"/>
  <c r="A1017" i="16"/>
  <c r="D1016" i="16"/>
  <c r="C1016" i="16"/>
  <c r="B1016" i="16"/>
  <c r="A1016" i="16"/>
  <c r="D1015" i="16"/>
  <c r="C1015" i="16"/>
  <c r="B1015" i="16"/>
  <c r="A1015" i="16"/>
  <c r="D1014" i="16"/>
  <c r="C1014" i="16"/>
  <c r="B1014" i="16"/>
  <c r="A1014" i="16"/>
  <c r="D1013" i="16"/>
  <c r="C1013" i="16"/>
  <c r="B1013" i="16"/>
  <c r="A1013" i="16"/>
  <c r="D1012" i="16"/>
  <c r="C1012" i="16"/>
  <c r="B1012" i="16"/>
  <c r="A1012" i="16"/>
  <c r="D1011" i="16"/>
  <c r="C1011" i="16"/>
  <c r="B1011" i="16"/>
  <c r="A1011" i="16"/>
  <c r="D1010" i="16"/>
  <c r="C1010" i="16"/>
  <c r="B1010" i="16"/>
  <c r="A1010" i="16"/>
  <c r="D1009" i="16"/>
  <c r="C1009" i="16"/>
  <c r="B1009" i="16"/>
  <c r="A1009" i="16"/>
  <c r="D1008" i="16"/>
  <c r="C1008" i="16"/>
  <c r="B1008" i="16"/>
  <c r="A1008" i="16"/>
  <c r="D1007" i="16"/>
  <c r="C1007" i="16"/>
  <c r="B1007" i="16"/>
  <c r="A1007" i="16"/>
  <c r="E1007" i="16" s="1"/>
  <c r="D1006" i="16"/>
  <c r="C1006" i="16"/>
  <c r="B1006" i="16"/>
  <c r="A1006" i="16"/>
  <c r="D1005" i="16"/>
  <c r="C1005" i="16"/>
  <c r="B1005" i="16"/>
  <c r="A1005" i="16"/>
  <c r="D1004" i="16"/>
  <c r="C1004" i="16"/>
  <c r="B1004" i="16"/>
  <c r="A1004" i="16"/>
  <c r="D1003" i="16"/>
  <c r="C1003" i="16"/>
  <c r="B1003" i="16"/>
  <c r="A1003" i="16"/>
  <c r="D1002" i="16"/>
  <c r="C1002" i="16"/>
  <c r="B1002" i="16"/>
  <c r="A1002" i="16"/>
  <c r="O1002" i="16" s="1"/>
  <c r="D1001" i="16"/>
  <c r="C1001" i="16"/>
  <c r="B1001" i="16"/>
  <c r="A1001" i="16"/>
  <c r="D1000" i="16"/>
  <c r="C1000" i="16"/>
  <c r="B1000" i="16"/>
  <c r="A1000" i="16"/>
  <c r="D999" i="16"/>
  <c r="C999" i="16"/>
  <c r="B999" i="16"/>
  <c r="A999" i="16"/>
  <c r="D998" i="16"/>
  <c r="C998" i="16"/>
  <c r="B998" i="16"/>
  <c r="A998" i="16"/>
  <c r="D997" i="16"/>
  <c r="C997" i="16"/>
  <c r="B997" i="16"/>
  <c r="A997" i="16"/>
  <c r="D996" i="16"/>
  <c r="C996" i="16"/>
  <c r="B996" i="16"/>
  <c r="A996" i="16"/>
  <c r="D995" i="16"/>
  <c r="C995" i="16"/>
  <c r="B995" i="16"/>
  <c r="A995" i="16"/>
  <c r="D994" i="16"/>
  <c r="C994" i="16"/>
  <c r="B994" i="16"/>
  <c r="A994" i="16"/>
  <c r="D993" i="16"/>
  <c r="C993" i="16"/>
  <c r="B993" i="16"/>
  <c r="A993" i="16"/>
  <c r="D992" i="16"/>
  <c r="C992" i="16"/>
  <c r="B992" i="16"/>
  <c r="A992" i="16"/>
  <c r="D991" i="16"/>
  <c r="C991" i="16"/>
  <c r="B991" i="16"/>
  <c r="A991" i="16"/>
  <c r="D990" i="16"/>
  <c r="C990" i="16"/>
  <c r="B990" i="16"/>
  <c r="A990" i="16"/>
  <c r="D989" i="16"/>
  <c r="C989" i="16"/>
  <c r="B989" i="16"/>
  <c r="A989" i="16"/>
  <c r="D988" i="16"/>
  <c r="C988" i="16"/>
  <c r="B988" i="16"/>
  <c r="A988" i="16"/>
  <c r="D987" i="16"/>
  <c r="C987" i="16"/>
  <c r="B987" i="16"/>
  <c r="A987" i="16"/>
  <c r="D986" i="16"/>
  <c r="C986" i="16"/>
  <c r="B986" i="16"/>
  <c r="O986" i="16" s="1"/>
  <c r="A986" i="16"/>
  <c r="D985" i="16"/>
  <c r="C985" i="16"/>
  <c r="B985" i="16"/>
  <c r="A985" i="16"/>
  <c r="D984" i="16"/>
  <c r="C984" i="16"/>
  <c r="B984" i="16"/>
  <c r="A984" i="16"/>
  <c r="D983" i="16"/>
  <c r="C983" i="16"/>
  <c r="B983" i="16"/>
  <c r="A983" i="16"/>
  <c r="D982" i="16"/>
  <c r="C982" i="16"/>
  <c r="B982" i="16"/>
  <c r="A982" i="16"/>
  <c r="D981" i="16"/>
  <c r="C981" i="16"/>
  <c r="B981" i="16"/>
  <c r="A981" i="16"/>
  <c r="D980" i="16"/>
  <c r="C980" i="16"/>
  <c r="B980" i="16"/>
  <c r="A980" i="16"/>
  <c r="D979" i="16"/>
  <c r="C979" i="16"/>
  <c r="B979" i="16"/>
  <c r="A979" i="16"/>
  <c r="D978" i="16"/>
  <c r="C978" i="16"/>
  <c r="B978" i="16"/>
  <c r="A978" i="16"/>
  <c r="D977" i="16"/>
  <c r="C977" i="16"/>
  <c r="B977" i="16"/>
  <c r="A977" i="16"/>
  <c r="D976" i="16"/>
  <c r="C976" i="16"/>
  <c r="B976" i="16"/>
  <c r="A976" i="16"/>
  <c r="D975" i="16"/>
  <c r="C975" i="16"/>
  <c r="B975" i="16"/>
  <c r="A975" i="16"/>
  <c r="D974" i="16"/>
  <c r="C974" i="16"/>
  <c r="E974" i="16" s="1"/>
  <c r="F974" i="16" s="1"/>
  <c r="B974" i="16"/>
  <c r="A974" i="16"/>
  <c r="D973" i="16"/>
  <c r="C973" i="16"/>
  <c r="B973" i="16"/>
  <c r="A973" i="16"/>
  <c r="D972" i="16"/>
  <c r="C972" i="16"/>
  <c r="B972" i="16"/>
  <c r="A972" i="16"/>
  <c r="D971" i="16"/>
  <c r="C971" i="16"/>
  <c r="B971" i="16"/>
  <c r="A971" i="16"/>
  <c r="D970" i="16"/>
  <c r="C970" i="16"/>
  <c r="B970" i="16"/>
  <c r="A970" i="16"/>
  <c r="D969" i="16"/>
  <c r="C969" i="16"/>
  <c r="B969" i="16"/>
  <c r="A969" i="16"/>
  <c r="D968" i="16"/>
  <c r="C968" i="16"/>
  <c r="B968" i="16"/>
  <c r="A968" i="16"/>
  <c r="D967" i="16"/>
  <c r="C967" i="16"/>
  <c r="B967" i="16"/>
  <c r="A967" i="16"/>
  <c r="D966" i="16"/>
  <c r="C966" i="16"/>
  <c r="B966" i="16"/>
  <c r="A966" i="16"/>
  <c r="E966" i="16" s="1"/>
  <c r="F966" i="16" s="1"/>
  <c r="D965" i="16"/>
  <c r="C965" i="16"/>
  <c r="B965" i="16"/>
  <c r="A965" i="16"/>
  <c r="D964" i="16"/>
  <c r="C964" i="16"/>
  <c r="B964" i="16"/>
  <c r="A964" i="16"/>
  <c r="D963" i="16"/>
  <c r="C963" i="16"/>
  <c r="B963" i="16"/>
  <c r="A963" i="16"/>
  <c r="D962" i="16"/>
  <c r="C962" i="16"/>
  <c r="B962" i="16"/>
  <c r="A962" i="16"/>
  <c r="D961" i="16"/>
  <c r="C961" i="16"/>
  <c r="B961" i="16"/>
  <c r="A961" i="16"/>
  <c r="D960" i="16"/>
  <c r="C960" i="16"/>
  <c r="B960" i="16"/>
  <c r="A960" i="16"/>
  <c r="D959" i="16"/>
  <c r="C959" i="16"/>
  <c r="B959" i="16"/>
  <c r="A959" i="16"/>
  <c r="D958" i="16"/>
  <c r="C958" i="16"/>
  <c r="B958" i="16"/>
  <c r="A958" i="16"/>
  <c r="E958" i="16" s="1"/>
  <c r="F958" i="16" s="1"/>
  <c r="D957" i="16"/>
  <c r="C957" i="16"/>
  <c r="B957" i="16"/>
  <c r="A957" i="16"/>
  <c r="D956" i="16"/>
  <c r="C956" i="16"/>
  <c r="B956" i="16"/>
  <c r="A956" i="16"/>
  <c r="F956" i="16" s="1"/>
  <c r="D955" i="16"/>
  <c r="C955" i="16"/>
  <c r="B955" i="16"/>
  <c r="A955" i="16"/>
  <c r="D954" i="16"/>
  <c r="C954" i="16"/>
  <c r="B954" i="16"/>
  <c r="A954" i="16"/>
  <c r="E954" i="16" s="1"/>
  <c r="O954" i="16" s="1"/>
  <c r="D953" i="16"/>
  <c r="C953" i="16"/>
  <c r="B953" i="16"/>
  <c r="A953" i="16"/>
  <c r="D952" i="16"/>
  <c r="C952" i="16"/>
  <c r="B952" i="16"/>
  <c r="A952" i="16"/>
  <c r="D951" i="16"/>
  <c r="C951" i="16"/>
  <c r="B951" i="16"/>
  <c r="A951" i="16"/>
  <c r="E951" i="16" s="1"/>
  <c r="D950" i="16"/>
  <c r="C950" i="16"/>
  <c r="B950" i="16"/>
  <c r="A950" i="16"/>
  <c r="F950" i="16" s="1"/>
  <c r="D949" i="16"/>
  <c r="C949" i="16"/>
  <c r="B949" i="16"/>
  <c r="A949" i="16"/>
  <c r="E949" i="16" s="1"/>
  <c r="D948" i="16"/>
  <c r="C948" i="16"/>
  <c r="B948" i="16"/>
  <c r="A948" i="16"/>
  <c r="D947" i="16"/>
  <c r="C947" i="16"/>
  <c r="B947" i="16"/>
  <c r="A947" i="16"/>
  <c r="D946" i="16"/>
  <c r="C946" i="16"/>
  <c r="B946" i="16"/>
  <c r="A946" i="16"/>
  <c r="E946" i="16" s="1"/>
  <c r="D945" i="16"/>
  <c r="C945" i="16"/>
  <c r="B945" i="16"/>
  <c r="A945" i="16"/>
  <c r="D944" i="16"/>
  <c r="C944" i="16"/>
  <c r="B944" i="16"/>
  <c r="A944" i="16"/>
  <c r="E944" i="16" s="1"/>
  <c r="D943" i="16"/>
  <c r="C943" i="16"/>
  <c r="B943" i="16"/>
  <c r="A943" i="16"/>
  <c r="D942" i="16"/>
  <c r="C942" i="16"/>
  <c r="B942" i="16"/>
  <c r="A942" i="16"/>
  <c r="E942" i="16" s="1"/>
  <c r="F942" i="16" s="1"/>
  <c r="E941" i="16"/>
  <c r="D941" i="16"/>
  <c r="C941" i="16"/>
  <c r="B941" i="16"/>
  <c r="A941" i="16"/>
  <c r="D940" i="16"/>
  <c r="C940" i="16"/>
  <c r="B940" i="16"/>
  <c r="A940" i="16"/>
  <c r="E940" i="16" s="1"/>
  <c r="D939" i="16"/>
  <c r="C939" i="16"/>
  <c r="B939" i="16"/>
  <c r="A939" i="16"/>
  <c r="D938" i="16"/>
  <c r="C938" i="16"/>
  <c r="B938" i="16"/>
  <c r="A938" i="16"/>
  <c r="D937" i="16"/>
  <c r="C937" i="16"/>
  <c r="B937" i="16"/>
  <c r="A937" i="16"/>
  <c r="D936" i="16"/>
  <c r="C936" i="16"/>
  <c r="B936" i="16"/>
  <c r="A936" i="16"/>
  <c r="D935" i="16"/>
  <c r="C935" i="16"/>
  <c r="B935" i="16"/>
  <c r="A935" i="16"/>
  <c r="D934" i="16"/>
  <c r="C934" i="16"/>
  <c r="B934" i="16"/>
  <c r="A934" i="16"/>
  <c r="D933" i="16"/>
  <c r="C933" i="16"/>
  <c r="B933" i="16"/>
  <c r="A933" i="16"/>
  <c r="E933" i="16" s="1"/>
  <c r="F933" i="16" s="1"/>
  <c r="E932" i="16"/>
  <c r="D932" i="16"/>
  <c r="C932" i="16"/>
  <c r="B932" i="16"/>
  <c r="A932" i="16"/>
  <c r="D931" i="16"/>
  <c r="C931" i="16"/>
  <c r="B931" i="16"/>
  <c r="A931" i="16"/>
  <c r="D930" i="16"/>
  <c r="C930" i="16"/>
  <c r="B930" i="16"/>
  <c r="A930" i="16"/>
  <c r="D929" i="16"/>
  <c r="C929" i="16"/>
  <c r="B929" i="16"/>
  <c r="A929" i="16"/>
  <c r="E929" i="16" s="1"/>
  <c r="D928" i="16"/>
  <c r="C928" i="16"/>
  <c r="B928" i="16"/>
  <c r="A928" i="16"/>
  <c r="D927" i="16"/>
  <c r="C927" i="16"/>
  <c r="B927" i="16"/>
  <c r="A927" i="16"/>
  <c r="D926" i="16"/>
  <c r="C926" i="16"/>
  <c r="B926" i="16"/>
  <c r="A926" i="16"/>
  <c r="D925" i="16"/>
  <c r="C925" i="16"/>
  <c r="B925" i="16"/>
  <c r="A925" i="16"/>
  <c r="D924" i="16"/>
  <c r="C924" i="16"/>
  <c r="B924" i="16"/>
  <c r="A924" i="16"/>
  <c r="D923" i="16"/>
  <c r="C923" i="16"/>
  <c r="B923" i="16"/>
  <c r="A923" i="16"/>
  <c r="E923" i="16" s="1"/>
  <c r="O923" i="16" s="1"/>
  <c r="D922" i="16"/>
  <c r="C922" i="16"/>
  <c r="B922" i="16"/>
  <c r="A922" i="16"/>
  <c r="D921" i="16"/>
  <c r="C921" i="16"/>
  <c r="B921" i="16"/>
  <c r="A921" i="16"/>
  <c r="E921" i="16" s="1"/>
  <c r="D920" i="16"/>
  <c r="C920" i="16"/>
  <c r="B920" i="16"/>
  <c r="A920" i="16"/>
  <c r="D919" i="16"/>
  <c r="C919" i="16"/>
  <c r="B919" i="16"/>
  <c r="A919" i="16"/>
  <c r="D918" i="16"/>
  <c r="C918" i="16"/>
  <c r="B918" i="16"/>
  <c r="A918" i="16"/>
  <c r="E918" i="16" s="1"/>
  <c r="F918" i="16" s="1"/>
  <c r="D917" i="16"/>
  <c r="C917" i="16"/>
  <c r="B917" i="16"/>
  <c r="A917" i="16"/>
  <c r="E917" i="16" s="1"/>
  <c r="D916" i="16"/>
  <c r="C916" i="16"/>
  <c r="B916" i="16"/>
  <c r="A916" i="16"/>
  <c r="D915" i="16"/>
  <c r="C915" i="16"/>
  <c r="B915" i="16"/>
  <c r="A915" i="16"/>
  <c r="E915" i="16" s="1"/>
  <c r="O915" i="16" s="1"/>
  <c r="D914" i="16"/>
  <c r="C914" i="16"/>
  <c r="B914" i="16"/>
  <c r="A914" i="16"/>
  <c r="D913" i="16"/>
  <c r="C913" i="16"/>
  <c r="B913" i="16"/>
  <c r="A913" i="16"/>
  <c r="E913" i="16" s="1"/>
  <c r="O913" i="16" s="1"/>
  <c r="D912" i="16"/>
  <c r="C912" i="16"/>
  <c r="B912" i="16"/>
  <c r="A912" i="16"/>
  <c r="D911" i="16"/>
  <c r="C911" i="16"/>
  <c r="B911" i="16"/>
  <c r="A911" i="16"/>
  <c r="E911" i="16" s="1"/>
  <c r="O912" i="16" s="1"/>
  <c r="D910" i="16"/>
  <c r="C910" i="16"/>
  <c r="B910" i="16"/>
  <c r="A910" i="16"/>
  <c r="D909" i="16"/>
  <c r="C909" i="16"/>
  <c r="B909" i="16"/>
  <c r="A909" i="16"/>
  <c r="E909" i="16" s="1"/>
  <c r="F909" i="16" s="1"/>
  <c r="D908" i="16"/>
  <c r="C908" i="16"/>
  <c r="B908" i="16"/>
  <c r="A908" i="16"/>
  <c r="D907" i="16"/>
  <c r="C907" i="16"/>
  <c r="B907" i="16"/>
  <c r="A907" i="16"/>
  <c r="E907" i="16" s="1"/>
  <c r="D906" i="16"/>
  <c r="C906" i="16"/>
  <c r="B906" i="16"/>
  <c r="A906" i="16"/>
  <c r="D905" i="16"/>
  <c r="C905" i="16"/>
  <c r="B905" i="16"/>
  <c r="A905" i="16"/>
  <c r="E905" i="16" s="1"/>
  <c r="D904" i="16"/>
  <c r="C904" i="16"/>
  <c r="B904" i="16"/>
  <c r="A904" i="16"/>
  <c r="D903" i="16"/>
  <c r="C903" i="16"/>
  <c r="B903" i="16"/>
  <c r="A903" i="16"/>
  <c r="F903" i="16" s="1"/>
  <c r="D902" i="16"/>
  <c r="C902" i="16"/>
  <c r="B902" i="16"/>
  <c r="A902" i="16"/>
  <c r="D901" i="16"/>
  <c r="C901" i="16"/>
  <c r="B901" i="16"/>
  <c r="A901" i="16"/>
  <c r="E901" i="16" s="1"/>
  <c r="O908" i="16" s="1"/>
  <c r="D900" i="16"/>
  <c r="C900" i="16"/>
  <c r="B900" i="16"/>
  <c r="A900" i="16"/>
  <c r="D899" i="16"/>
  <c r="C899" i="16"/>
  <c r="B899" i="16"/>
  <c r="A899" i="16"/>
  <c r="E899" i="16" s="1"/>
  <c r="O899" i="16" s="1"/>
  <c r="D898" i="16"/>
  <c r="C898" i="16"/>
  <c r="B898" i="16"/>
  <c r="A898" i="16"/>
  <c r="D897" i="16"/>
  <c r="C897" i="16"/>
  <c r="B897" i="16"/>
  <c r="A897" i="16"/>
  <c r="O897" i="16" s="1"/>
  <c r="D896" i="16"/>
  <c r="C896" i="16"/>
  <c r="B896" i="16"/>
  <c r="A896" i="16"/>
  <c r="D895" i="16"/>
  <c r="C895" i="16"/>
  <c r="B895" i="16"/>
  <c r="A895" i="16"/>
  <c r="D894" i="16"/>
  <c r="C894" i="16"/>
  <c r="B894" i="16"/>
  <c r="A894" i="16"/>
  <c r="D893" i="16"/>
  <c r="C893" i="16"/>
  <c r="B893" i="16"/>
  <c r="A893" i="16"/>
  <c r="E893" i="16" s="1"/>
  <c r="D892" i="16"/>
  <c r="C892" i="16"/>
  <c r="B892" i="16"/>
  <c r="A892" i="16"/>
  <c r="D891" i="16"/>
  <c r="C891" i="16"/>
  <c r="B891" i="16"/>
  <c r="A891" i="16"/>
  <c r="E891" i="16" s="1"/>
  <c r="D890" i="16"/>
  <c r="C890" i="16"/>
  <c r="B890" i="16"/>
  <c r="A890" i="16"/>
  <c r="D889" i="16"/>
  <c r="C889" i="16"/>
  <c r="B889" i="16"/>
  <c r="A889" i="16"/>
  <c r="F889" i="16" s="1"/>
  <c r="P889" i="16" s="1"/>
  <c r="H889" i="9" s="1"/>
  <c r="D888" i="16"/>
  <c r="C888" i="16"/>
  <c r="B888" i="16"/>
  <c r="A888" i="16"/>
  <c r="D887" i="16"/>
  <c r="C887" i="16"/>
  <c r="B887" i="16"/>
  <c r="A887" i="16"/>
  <c r="D886" i="16"/>
  <c r="C886" i="16"/>
  <c r="B886" i="16"/>
  <c r="A886" i="16"/>
  <c r="D885" i="16"/>
  <c r="C885" i="16"/>
  <c r="B885" i="16"/>
  <c r="A885" i="16"/>
  <c r="D884" i="16"/>
  <c r="C884" i="16"/>
  <c r="B884" i="16"/>
  <c r="A884" i="16"/>
  <c r="D883" i="16"/>
  <c r="C883" i="16"/>
  <c r="B883" i="16"/>
  <c r="A883" i="16"/>
  <c r="E883" i="16" s="1"/>
  <c r="D882" i="16"/>
  <c r="C882" i="16"/>
  <c r="B882" i="16"/>
  <c r="A882" i="16"/>
  <c r="D881" i="16"/>
  <c r="C881" i="16"/>
  <c r="B881" i="16"/>
  <c r="A881" i="16"/>
  <c r="E881" i="16" s="1"/>
  <c r="D880" i="16"/>
  <c r="C880" i="16"/>
  <c r="B880" i="16"/>
  <c r="A880" i="16"/>
  <c r="D879" i="16"/>
  <c r="C879" i="16"/>
  <c r="B879" i="16"/>
  <c r="A879" i="16"/>
  <c r="D878" i="16"/>
  <c r="C878" i="16"/>
  <c r="B878" i="16"/>
  <c r="A878" i="16"/>
  <c r="D877" i="16"/>
  <c r="C877" i="16"/>
  <c r="B877" i="16"/>
  <c r="A877" i="16"/>
  <c r="D876" i="16"/>
  <c r="C876" i="16"/>
  <c r="B876" i="16"/>
  <c r="A876" i="16"/>
  <c r="D875" i="16"/>
  <c r="C875" i="16"/>
  <c r="B875" i="16"/>
  <c r="A875" i="16"/>
  <c r="D874" i="16"/>
  <c r="C874" i="16"/>
  <c r="B874" i="16"/>
  <c r="A874" i="16"/>
  <c r="D873" i="16"/>
  <c r="C873" i="16"/>
  <c r="B873" i="16"/>
  <c r="A873" i="16"/>
  <c r="D872" i="16"/>
  <c r="C872" i="16"/>
  <c r="B872" i="16"/>
  <c r="A872" i="16"/>
  <c r="D871" i="16"/>
  <c r="C871" i="16"/>
  <c r="B871" i="16"/>
  <c r="A871" i="16"/>
  <c r="D870" i="16"/>
  <c r="C870" i="16"/>
  <c r="B870" i="16"/>
  <c r="A870" i="16"/>
  <c r="E869" i="16"/>
  <c r="F869" i="16" s="1"/>
  <c r="D869" i="16"/>
  <c r="C869" i="16"/>
  <c r="B869" i="16"/>
  <c r="A869" i="16"/>
  <c r="D868" i="16"/>
  <c r="C868" i="16"/>
  <c r="B868" i="16"/>
  <c r="A868" i="16"/>
  <c r="D867" i="16"/>
  <c r="C867" i="16"/>
  <c r="B867" i="16"/>
  <c r="A867" i="16"/>
  <c r="D866" i="16"/>
  <c r="C866" i="16"/>
  <c r="B866" i="16"/>
  <c r="A866" i="16"/>
  <c r="F866" i="16" s="1"/>
  <c r="O866" i="16" s="1"/>
  <c r="D865" i="16"/>
  <c r="C865" i="16"/>
  <c r="B865" i="16"/>
  <c r="A865" i="16"/>
  <c r="D864" i="16"/>
  <c r="C864" i="16"/>
  <c r="B864" i="16"/>
  <c r="A864" i="16"/>
  <c r="E863" i="16"/>
  <c r="F863" i="16" s="1"/>
  <c r="D863" i="16"/>
  <c r="C863" i="16"/>
  <c r="B863" i="16"/>
  <c r="A863" i="16"/>
  <c r="D862" i="16"/>
  <c r="C862" i="16"/>
  <c r="B862" i="16"/>
  <c r="A862" i="16"/>
  <c r="E862" i="16" s="1"/>
  <c r="D861" i="16"/>
  <c r="C861" i="16"/>
  <c r="B861" i="16"/>
  <c r="A861" i="16"/>
  <c r="E861" i="16" s="1"/>
  <c r="D860" i="16"/>
  <c r="C860" i="16"/>
  <c r="B860" i="16"/>
  <c r="A860" i="16"/>
  <c r="E860" i="16" s="1"/>
  <c r="F860" i="16" s="1"/>
  <c r="D859" i="16"/>
  <c r="C859" i="16"/>
  <c r="B859" i="16"/>
  <c r="A859" i="16"/>
  <c r="D858" i="16"/>
  <c r="C858" i="16"/>
  <c r="B858" i="16"/>
  <c r="A858" i="16"/>
  <c r="D857" i="16"/>
  <c r="C857" i="16"/>
  <c r="B857" i="16"/>
  <c r="A857" i="16"/>
  <c r="D856" i="16"/>
  <c r="C856" i="16"/>
  <c r="B856" i="16"/>
  <c r="A856" i="16"/>
  <c r="E856" i="16" s="1"/>
  <c r="D855" i="16"/>
  <c r="C855" i="16"/>
  <c r="B855" i="16"/>
  <c r="A855" i="16"/>
  <c r="D854" i="16"/>
  <c r="C854" i="16"/>
  <c r="B854" i="16"/>
  <c r="A854" i="16"/>
  <c r="E854" i="16" s="1"/>
  <c r="F854" i="16" s="1"/>
  <c r="D853" i="16"/>
  <c r="C853" i="16"/>
  <c r="B853" i="16"/>
  <c r="A853" i="16"/>
  <c r="D852" i="16"/>
  <c r="C852" i="16"/>
  <c r="B852" i="16"/>
  <c r="A852" i="16"/>
  <c r="E852" i="16" s="1"/>
  <c r="F852" i="16" s="1"/>
  <c r="D851" i="16"/>
  <c r="C851" i="16"/>
  <c r="B851" i="16"/>
  <c r="A851" i="16"/>
  <c r="D850" i="16"/>
  <c r="C850" i="16"/>
  <c r="B850" i="16"/>
  <c r="A850" i="16"/>
  <c r="D849" i="16"/>
  <c r="C849" i="16"/>
  <c r="B849" i="16"/>
  <c r="A849" i="16"/>
  <c r="D848" i="16"/>
  <c r="C848" i="16"/>
  <c r="B848" i="16"/>
  <c r="A848" i="16"/>
  <c r="E848" i="16" s="1"/>
  <c r="O872" i="16" s="1"/>
  <c r="D847" i="16"/>
  <c r="C847" i="16"/>
  <c r="E847" i="16" s="1"/>
  <c r="B847" i="16"/>
  <c r="A847" i="16"/>
  <c r="D846" i="16"/>
  <c r="C846" i="16"/>
  <c r="B846" i="16"/>
  <c r="A846" i="16"/>
  <c r="D845" i="16"/>
  <c r="C845" i="16"/>
  <c r="B845" i="16"/>
  <c r="A845" i="16"/>
  <c r="D844" i="16"/>
  <c r="C844" i="16"/>
  <c r="B844" i="16"/>
  <c r="A844" i="16"/>
  <c r="D843" i="16"/>
  <c r="C843" i="16"/>
  <c r="B843" i="16"/>
  <c r="A843" i="16"/>
  <c r="D842" i="16"/>
  <c r="C842" i="16"/>
  <c r="B842" i="16"/>
  <c r="A842" i="16"/>
  <c r="D841" i="16"/>
  <c r="C841" i="16"/>
  <c r="B841" i="16"/>
  <c r="A841" i="16"/>
  <c r="D840" i="16"/>
  <c r="C840" i="16"/>
  <c r="B840" i="16"/>
  <c r="A840" i="16"/>
  <c r="E840" i="16" s="1"/>
  <c r="D839" i="16"/>
  <c r="C839" i="16"/>
  <c r="E839" i="16" s="1"/>
  <c r="B839" i="16"/>
  <c r="A839" i="16"/>
  <c r="D838" i="16"/>
  <c r="C838" i="16"/>
  <c r="B838" i="16"/>
  <c r="A838" i="16"/>
  <c r="D837" i="16"/>
  <c r="C837" i="16"/>
  <c r="B837" i="16"/>
  <c r="A837" i="16"/>
  <c r="D836" i="16"/>
  <c r="C836" i="16"/>
  <c r="B836" i="16"/>
  <c r="A836" i="16"/>
  <c r="O836" i="16" s="1"/>
  <c r="D835" i="16"/>
  <c r="C835" i="16"/>
  <c r="B835" i="16"/>
  <c r="A835" i="16"/>
  <c r="D834" i="16"/>
  <c r="C834" i="16"/>
  <c r="B834" i="16"/>
  <c r="A834" i="16"/>
  <c r="D833" i="16"/>
  <c r="C833" i="16"/>
  <c r="B833" i="16"/>
  <c r="A833" i="16"/>
  <c r="D832" i="16"/>
  <c r="C832" i="16"/>
  <c r="B832" i="16"/>
  <c r="A832" i="16"/>
  <c r="D831" i="16"/>
  <c r="C831" i="16"/>
  <c r="B831" i="16"/>
  <c r="A831" i="16"/>
  <c r="D830" i="16"/>
  <c r="C830" i="16"/>
  <c r="B830" i="16"/>
  <c r="A830" i="16"/>
  <c r="D829" i="16"/>
  <c r="C829" i="16"/>
  <c r="B829" i="16"/>
  <c r="A829" i="16"/>
  <c r="D828" i="16"/>
  <c r="C828" i="16"/>
  <c r="B828" i="16"/>
  <c r="A828" i="16"/>
  <c r="E828" i="16" s="1"/>
  <c r="O828" i="16" s="1"/>
  <c r="D827" i="16"/>
  <c r="C827" i="16"/>
  <c r="B827" i="16"/>
  <c r="A827" i="16"/>
  <c r="D826" i="16"/>
  <c r="C826" i="16"/>
  <c r="B826" i="16"/>
  <c r="A826" i="16"/>
  <c r="D825" i="16"/>
  <c r="C825" i="16"/>
  <c r="B825" i="16"/>
  <c r="A825" i="16"/>
  <c r="D824" i="16"/>
  <c r="C824" i="16"/>
  <c r="B824" i="16"/>
  <c r="A824" i="16"/>
  <c r="D823" i="16"/>
  <c r="C823" i="16"/>
  <c r="B823" i="16"/>
  <c r="A823" i="16"/>
  <c r="D822" i="16"/>
  <c r="C822" i="16"/>
  <c r="B822" i="16"/>
  <c r="A822" i="16"/>
  <c r="F822" i="16" s="1"/>
  <c r="D821" i="16"/>
  <c r="C821" i="16"/>
  <c r="B821" i="16"/>
  <c r="A821" i="16"/>
  <c r="D820" i="16"/>
  <c r="C820" i="16"/>
  <c r="B820" i="16"/>
  <c r="A820" i="16"/>
  <c r="F820" i="16" s="1"/>
  <c r="D819" i="16"/>
  <c r="C819" i="16"/>
  <c r="B819" i="16"/>
  <c r="A819" i="16"/>
  <c r="D818" i="16"/>
  <c r="C818" i="16"/>
  <c r="B818" i="16"/>
  <c r="A818" i="16"/>
  <c r="E818" i="16" s="1"/>
  <c r="D817" i="16"/>
  <c r="C817" i="16"/>
  <c r="B817" i="16"/>
  <c r="A817" i="16"/>
  <c r="D816" i="16"/>
  <c r="C816" i="16"/>
  <c r="B816" i="16"/>
  <c r="A816" i="16"/>
  <c r="D815" i="16"/>
  <c r="C815" i="16"/>
  <c r="B815" i="16"/>
  <c r="A815" i="16"/>
  <c r="D814" i="16"/>
  <c r="C814" i="16"/>
  <c r="B814" i="16"/>
  <c r="A814" i="16"/>
  <c r="D813" i="16"/>
  <c r="C813" i="16"/>
  <c r="B813" i="16"/>
  <c r="A813" i="16"/>
  <c r="D812" i="16"/>
  <c r="C812" i="16"/>
  <c r="B812" i="16"/>
  <c r="A812" i="16"/>
  <c r="E812" i="16" s="1"/>
  <c r="D811" i="16"/>
  <c r="C811" i="16"/>
  <c r="B811" i="16"/>
  <c r="A811" i="16"/>
  <c r="D810" i="16"/>
  <c r="C810" i="16"/>
  <c r="B810" i="16"/>
  <c r="A810" i="16"/>
  <c r="D809" i="16"/>
  <c r="C809" i="16"/>
  <c r="B809" i="16"/>
  <c r="A809" i="16"/>
  <c r="D808" i="16"/>
  <c r="C808" i="16"/>
  <c r="B808" i="16"/>
  <c r="A808" i="16"/>
  <c r="E808" i="16" s="1"/>
  <c r="D807" i="16"/>
  <c r="C807" i="16"/>
  <c r="B807" i="16"/>
  <c r="A807" i="16"/>
  <c r="D806" i="16"/>
  <c r="C806" i="16"/>
  <c r="B806" i="16"/>
  <c r="A806" i="16"/>
  <c r="D805" i="16"/>
  <c r="C805" i="16"/>
  <c r="B805" i="16"/>
  <c r="A805" i="16"/>
  <c r="D804" i="16"/>
  <c r="C804" i="16"/>
  <c r="B804" i="16"/>
  <c r="A804" i="16"/>
  <c r="E804" i="16" s="1"/>
  <c r="F804" i="16" s="1"/>
  <c r="D803" i="16"/>
  <c r="C803" i="16"/>
  <c r="B803" i="16"/>
  <c r="A803" i="16"/>
  <c r="D802" i="16"/>
  <c r="C802" i="16"/>
  <c r="B802" i="16"/>
  <c r="A802" i="16"/>
  <c r="F802" i="16" s="1"/>
  <c r="O802" i="16" s="1"/>
  <c r="D801" i="16"/>
  <c r="C801" i="16"/>
  <c r="B801" i="16"/>
  <c r="A801" i="16"/>
  <c r="D800" i="16"/>
  <c r="C800" i="16"/>
  <c r="B800" i="16"/>
  <c r="A800" i="16"/>
  <c r="E800" i="16" s="1"/>
  <c r="D799" i="16"/>
  <c r="C799" i="16"/>
  <c r="B799" i="16"/>
  <c r="A799" i="16"/>
  <c r="F799" i="16" s="1"/>
  <c r="D798" i="16"/>
  <c r="C798" i="16"/>
  <c r="B798" i="16"/>
  <c r="A798" i="16"/>
  <c r="E798" i="16" s="1"/>
  <c r="F798" i="16" s="1"/>
  <c r="D797" i="16"/>
  <c r="C797" i="16"/>
  <c r="B797" i="16"/>
  <c r="A797" i="16"/>
  <c r="D796" i="16"/>
  <c r="C796" i="16"/>
  <c r="B796" i="16"/>
  <c r="A796" i="16"/>
  <c r="E796" i="16" s="1"/>
  <c r="F796" i="16" s="1"/>
  <c r="D795" i="16"/>
  <c r="C795" i="16"/>
  <c r="B795" i="16"/>
  <c r="A795" i="16"/>
  <c r="D794" i="16"/>
  <c r="C794" i="16"/>
  <c r="B794" i="16"/>
  <c r="A794" i="16"/>
  <c r="D793" i="16"/>
  <c r="C793" i="16"/>
  <c r="B793" i="16"/>
  <c r="A793" i="16"/>
  <c r="D792" i="16"/>
  <c r="C792" i="16"/>
  <c r="B792" i="16"/>
  <c r="A792" i="16"/>
  <c r="E792" i="16" s="1"/>
  <c r="F791" i="16"/>
  <c r="E791" i="16"/>
  <c r="D791" i="16"/>
  <c r="C791" i="16"/>
  <c r="B791" i="16"/>
  <c r="A791" i="16"/>
  <c r="D790" i="16"/>
  <c r="C790" i="16"/>
  <c r="B790" i="16"/>
  <c r="A790" i="16"/>
  <c r="D789" i="16"/>
  <c r="C789" i="16"/>
  <c r="B789" i="16"/>
  <c r="A789" i="16"/>
  <c r="D788" i="16"/>
  <c r="C788" i="16"/>
  <c r="B788" i="16"/>
  <c r="A788" i="16"/>
  <c r="D787" i="16"/>
  <c r="C787" i="16"/>
  <c r="B787" i="16"/>
  <c r="A787" i="16"/>
  <c r="D786" i="16"/>
  <c r="C786" i="16"/>
  <c r="B786" i="16"/>
  <c r="A786" i="16"/>
  <c r="F786" i="16" s="1"/>
  <c r="O786" i="16" s="1"/>
  <c r="D785" i="16"/>
  <c r="C785" i="16"/>
  <c r="B785" i="16"/>
  <c r="A785" i="16"/>
  <c r="D784" i="16"/>
  <c r="C784" i="16"/>
  <c r="B784" i="16"/>
  <c r="A784" i="16"/>
  <c r="E784" i="16" s="1"/>
  <c r="D783" i="16"/>
  <c r="C783" i="16"/>
  <c r="B783" i="16"/>
  <c r="A783" i="16"/>
  <c r="D782" i="16"/>
  <c r="C782" i="16"/>
  <c r="B782" i="16"/>
  <c r="A782" i="16"/>
  <c r="D781" i="16"/>
  <c r="C781" i="16"/>
  <c r="B781" i="16"/>
  <c r="A781" i="16"/>
  <c r="D780" i="16"/>
  <c r="C780" i="16"/>
  <c r="B780" i="16"/>
  <c r="A780" i="16"/>
  <c r="E780" i="16" s="1"/>
  <c r="D779" i="16"/>
  <c r="C779" i="16"/>
  <c r="B779" i="16"/>
  <c r="A779" i="16"/>
  <c r="D778" i="16"/>
  <c r="C778" i="16"/>
  <c r="B778" i="16"/>
  <c r="A778" i="16"/>
  <c r="E778" i="16" s="1"/>
  <c r="D777" i="16"/>
  <c r="C777" i="16"/>
  <c r="B777" i="16"/>
  <c r="A777" i="16"/>
  <c r="D776" i="16"/>
  <c r="C776" i="16"/>
  <c r="B776" i="16"/>
  <c r="A776" i="16"/>
  <c r="D775" i="16"/>
  <c r="C775" i="16"/>
  <c r="B775" i="16"/>
  <c r="A775" i="16"/>
  <c r="D774" i="16"/>
  <c r="C774" i="16"/>
  <c r="B774" i="16"/>
  <c r="A774" i="16"/>
  <c r="E774" i="16" s="1"/>
  <c r="D773" i="16"/>
  <c r="C773" i="16"/>
  <c r="B773" i="16"/>
  <c r="A773" i="16"/>
  <c r="D772" i="16"/>
  <c r="C772" i="16"/>
  <c r="B772" i="16"/>
  <c r="A772" i="16"/>
  <c r="E772" i="16" s="1"/>
  <c r="O772" i="16" s="1"/>
  <c r="D771" i="16"/>
  <c r="C771" i="16"/>
  <c r="B771" i="16"/>
  <c r="A771" i="16"/>
  <c r="D770" i="16"/>
  <c r="C770" i="16"/>
  <c r="B770" i="16"/>
  <c r="A770" i="16"/>
  <c r="D769" i="16"/>
  <c r="C769" i="16"/>
  <c r="B769" i="16"/>
  <c r="A769" i="16"/>
  <c r="D768" i="16"/>
  <c r="C768" i="16"/>
  <c r="B768" i="16"/>
  <c r="A768" i="16"/>
  <c r="E768" i="16" s="1"/>
  <c r="O768" i="16" s="1"/>
  <c r="D767" i="16"/>
  <c r="C767" i="16"/>
  <c r="B767" i="16"/>
  <c r="A767" i="16"/>
  <c r="E766" i="16"/>
  <c r="F766" i="16" s="1"/>
  <c r="D766" i="16"/>
  <c r="C766" i="16"/>
  <c r="B766" i="16"/>
  <c r="A766" i="16"/>
  <c r="D765" i="16"/>
  <c r="C765" i="16"/>
  <c r="B765" i="16"/>
  <c r="A765" i="16"/>
  <c r="D764" i="16"/>
  <c r="C764" i="16"/>
  <c r="B764" i="16"/>
  <c r="A764" i="16"/>
  <c r="D763" i="16"/>
  <c r="C763" i="16"/>
  <c r="B763" i="16"/>
  <c r="A763" i="16"/>
  <c r="D762" i="16"/>
  <c r="C762" i="16"/>
  <c r="B762" i="16"/>
  <c r="A762" i="16"/>
  <c r="D761" i="16"/>
  <c r="C761" i="16"/>
  <c r="B761" i="16"/>
  <c r="A761" i="16"/>
  <c r="D760" i="16"/>
  <c r="C760" i="16"/>
  <c r="B760" i="16"/>
  <c r="A760" i="16"/>
  <c r="D759" i="16"/>
  <c r="C759" i="16"/>
  <c r="B759" i="16"/>
  <c r="A759" i="16"/>
  <c r="D758" i="16"/>
  <c r="C758" i="16"/>
  <c r="B758" i="16"/>
  <c r="A758" i="16"/>
  <c r="D757" i="16"/>
  <c r="C757" i="16"/>
  <c r="B757" i="16"/>
  <c r="A757" i="16"/>
  <c r="E757" i="16" s="1"/>
  <c r="D756" i="16"/>
  <c r="C756" i="16"/>
  <c r="B756" i="16"/>
  <c r="A756" i="16"/>
  <c r="D755" i="16"/>
  <c r="C755" i="16"/>
  <c r="B755" i="16"/>
  <c r="A755" i="16"/>
  <c r="E755" i="16" s="1"/>
  <c r="F755" i="16" s="1"/>
  <c r="O756" i="16" s="1"/>
  <c r="D754" i="16"/>
  <c r="C754" i="16"/>
  <c r="B754" i="16"/>
  <c r="A754" i="16"/>
  <c r="D753" i="16"/>
  <c r="C753" i="16"/>
  <c r="B753" i="16"/>
  <c r="A753" i="16"/>
  <c r="D752" i="16"/>
  <c r="C752" i="16"/>
  <c r="B752" i="16"/>
  <c r="A752" i="16"/>
  <c r="D751" i="16"/>
  <c r="C751" i="16"/>
  <c r="B751" i="16"/>
  <c r="A751" i="16"/>
  <c r="E751" i="16" s="1"/>
  <c r="D750" i="16"/>
  <c r="C750" i="16"/>
  <c r="B750" i="16"/>
  <c r="A750" i="16"/>
  <c r="D749" i="16"/>
  <c r="C749" i="16"/>
  <c r="B749" i="16"/>
  <c r="A749" i="16"/>
  <c r="E749" i="16" s="1"/>
  <c r="D748" i="16"/>
  <c r="C748" i="16"/>
  <c r="B748" i="16"/>
  <c r="A748" i="16"/>
  <c r="D747" i="16"/>
  <c r="C747" i="16"/>
  <c r="B747" i="16"/>
  <c r="A747" i="16"/>
  <c r="D746" i="16"/>
  <c r="C746" i="16"/>
  <c r="B746" i="16"/>
  <c r="A746" i="16"/>
  <c r="D745" i="16"/>
  <c r="C745" i="16"/>
  <c r="B745" i="16"/>
  <c r="A745" i="16"/>
  <c r="D744" i="16"/>
  <c r="C744" i="16"/>
  <c r="B744" i="16"/>
  <c r="A744" i="16"/>
  <c r="D743" i="16"/>
  <c r="C743" i="16"/>
  <c r="B743" i="16"/>
  <c r="A743" i="16"/>
  <c r="E743" i="16" s="1"/>
  <c r="F743" i="16" s="1"/>
  <c r="D742" i="16"/>
  <c r="C742" i="16"/>
  <c r="B742" i="16"/>
  <c r="A742" i="16"/>
  <c r="D741" i="16"/>
  <c r="C741" i="16"/>
  <c r="B741" i="16"/>
  <c r="A741" i="16"/>
  <c r="E741" i="16" s="1"/>
  <c r="D740" i="16"/>
  <c r="C740" i="16"/>
  <c r="B740" i="16"/>
  <c r="A740" i="16"/>
  <c r="D739" i="16"/>
  <c r="C739" i="16"/>
  <c r="B739" i="16"/>
  <c r="A739" i="16"/>
  <c r="D738" i="16"/>
  <c r="C738" i="16"/>
  <c r="B738" i="16"/>
  <c r="A738" i="16"/>
  <c r="D737" i="16"/>
  <c r="C737" i="16"/>
  <c r="B737" i="16"/>
  <c r="A737" i="16"/>
  <c r="D736" i="16"/>
  <c r="C736" i="16"/>
  <c r="B736" i="16"/>
  <c r="A736" i="16"/>
  <c r="E736" i="16" s="1"/>
  <c r="D735" i="16"/>
  <c r="C735" i="16"/>
  <c r="B735" i="16"/>
  <c r="A735" i="16"/>
  <c r="E735" i="16" s="1"/>
  <c r="F735" i="16" s="1"/>
  <c r="D734" i="16"/>
  <c r="C734" i="16"/>
  <c r="B734" i="16"/>
  <c r="A734" i="16"/>
  <c r="E734" i="16" s="1"/>
  <c r="F734" i="16" s="1"/>
  <c r="D733" i="16"/>
  <c r="C733" i="16"/>
  <c r="B733" i="16"/>
  <c r="A733" i="16"/>
  <c r="E732" i="16"/>
  <c r="D732" i="16"/>
  <c r="C732" i="16"/>
  <c r="B732" i="16"/>
  <c r="A732" i="16"/>
  <c r="D731" i="16"/>
  <c r="C731" i="16"/>
  <c r="B731" i="16"/>
  <c r="A731" i="16"/>
  <c r="D730" i="16"/>
  <c r="C730" i="16"/>
  <c r="B730" i="16"/>
  <c r="A730" i="16"/>
  <c r="D729" i="16"/>
  <c r="C729" i="16"/>
  <c r="B729" i="16"/>
  <c r="A729" i="16"/>
  <c r="O729" i="16" s="1"/>
  <c r="D728" i="16"/>
  <c r="C728" i="16"/>
  <c r="B728" i="16"/>
  <c r="A728" i="16"/>
  <c r="E728" i="16" s="1"/>
  <c r="D727" i="16"/>
  <c r="C727" i="16"/>
  <c r="B727" i="16"/>
  <c r="A727" i="16"/>
  <c r="F727" i="16" s="1"/>
  <c r="D726" i="16"/>
  <c r="C726" i="16"/>
  <c r="B726" i="16"/>
  <c r="A726" i="16"/>
  <c r="D725" i="16"/>
  <c r="C725" i="16"/>
  <c r="B725" i="16"/>
  <c r="A725" i="16"/>
  <c r="E725" i="16" s="1"/>
  <c r="D724" i="16"/>
  <c r="C724" i="16"/>
  <c r="B724" i="16"/>
  <c r="A724" i="16"/>
  <c r="D723" i="16"/>
  <c r="C723" i="16"/>
  <c r="B723" i="16"/>
  <c r="A723" i="16"/>
  <c r="E723" i="16" s="1"/>
  <c r="O723" i="16" s="1"/>
  <c r="O726" i="16" s="1"/>
  <c r="D722" i="16"/>
  <c r="C722" i="16"/>
  <c r="B722" i="16"/>
  <c r="A722" i="16"/>
  <c r="D721" i="16"/>
  <c r="C721" i="16"/>
  <c r="B721" i="16"/>
  <c r="A721" i="16"/>
  <c r="F721" i="16" s="1"/>
  <c r="D720" i="16"/>
  <c r="C720" i="16"/>
  <c r="B720" i="16"/>
  <c r="A720" i="16"/>
  <c r="E720" i="16" s="1"/>
  <c r="D719" i="16"/>
  <c r="C719" i="16"/>
  <c r="B719" i="16"/>
  <c r="A719" i="16"/>
  <c r="F719" i="16" s="1"/>
  <c r="D718" i="16"/>
  <c r="C718" i="16"/>
  <c r="B718" i="16"/>
  <c r="A718" i="16"/>
  <c r="E718" i="16" s="1"/>
  <c r="F718" i="16" s="1"/>
  <c r="D717" i="16"/>
  <c r="C717" i="16"/>
  <c r="B717" i="16"/>
  <c r="A717" i="16"/>
  <c r="E717" i="16" s="1"/>
  <c r="F717" i="16" s="1"/>
  <c r="D716" i="16"/>
  <c r="C716" i="16"/>
  <c r="B716" i="16"/>
  <c r="A716" i="16"/>
  <c r="D715" i="16"/>
  <c r="C715" i="16"/>
  <c r="B715" i="16"/>
  <c r="A715" i="16"/>
  <c r="D714" i="16"/>
  <c r="C714" i="16"/>
  <c r="B714" i="16"/>
  <c r="A714" i="16"/>
  <c r="D713" i="16"/>
  <c r="C713" i="16"/>
  <c r="B713" i="16"/>
  <c r="A713" i="16"/>
  <c r="D712" i="16"/>
  <c r="C712" i="16"/>
  <c r="B712" i="16"/>
  <c r="A712" i="16"/>
  <c r="E712" i="16" s="1"/>
  <c r="D711" i="16"/>
  <c r="C711" i="16"/>
  <c r="B711" i="16"/>
  <c r="A711" i="16"/>
  <c r="E711" i="16" s="1"/>
  <c r="F711" i="16" s="1"/>
  <c r="D710" i="16"/>
  <c r="C710" i="16"/>
  <c r="B710" i="16"/>
  <c r="A710" i="16"/>
  <c r="E710" i="16" s="1"/>
  <c r="F710" i="16" s="1"/>
  <c r="D709" i="16"/>
  <c r="C709" i="16"/>
  <c r="B709" i="16"/>
  <c r="A709" i="16"/>
  <c r="D708" i="16"/>
  <c r="C708" i="16"/>
  <c r="B708" i="16"/>
  <c r="A708" i="16"/>
  <c r="D707" i="16"/>
  <c r="C707" i="16"/>
  <c r="B707" i="16"/>
  <c r="A707" i="16"/>
  <c r="E707" i="16" s="1"/>
  <c r="O707" i="16" s="1"/>
  <c r="O710" i="16" s="1"/>
  <c r="O713" i="16" s="1"/>
  <c r="D706" i="16"/>
  <c r="C706" i="16"/>
  <c r="B706" i="16"/>
  <c r="A706" i="16"/>
  <c r="D705" i="16"/>
  <c r="C705" i="16"/>
  <c r="B705" i="16"/>
  <c r="A705" i="16"/>
  <c r="D704" i="16"/>
  <c r="C704" i="16"/>
  <c r="B704" i="16"/>
  <c r="A704" i="16"/>
  <c r="D703" i="16"/>
  <c r="C703" i="16"/>
  <c r="B703" i="16"/>
  <c r="A703" i="16"/>
  <c r="D702" i="16"/>
  <c r="C702" i="16"/>
  <c r="B702" i="16"/>
  <c r="A702" i="16"/>
  <c r="D701" i="16"/>
  <c r="C701" i="16"/>
  <c r="B701" i="16"/>
  <c r="A701" i="16"/>
  <c r="E701" i="16" s="1"/>
  <c r="D700" i="16"/>
  <c r="C700" i="16"/>
  <c r="B700" i="16"/>
  <c r="A700" i="16"/>
  <c r="D699" i="16"/>
  <c r="C699" i="16"/>
  <c r="B699" i="16"/>
  <c r="A699" i="16"/>
  <c r="O699" i="16" s="1"/>
  <c r="D698" i="16"/>
  <c r="C698" i="16"/>
  <c r="B698" i="16"/>
  <c r="A698" i="16"/>
  <c r="D697" i="16"/>
  <c r="C697" i="16"/>
  <c r="B697" i="16"/>
  <c r="A697" i="16"/>
  <c r="E697" i="16" s="1"/>
  <c r="D696" i="16"/>
  <c r="C696" i="16"/>
  <c r="B696" i="16"/>
  <c r="A696" i="16"/>
  <c r="D695" i="16"/>
  <c r="C695" i="16"/>
  <c r="B695" i="16"/>
  <c r="A695" i="16"/>
  <c r="D694" i="16"/>
  <c r="C694" i="16"/>
  <c r="B694" i="16"/>
  <c r="A694" i="16"/>
  <c r="D693" i="16"/>
  <c r="C693" i="16"/>
  <c r="B693" i="16"/>
  <c r="A693" i="16"/>
  <c r="D692" i="16"/>
  <c r="C692" i="16"/>
  <c r="B692" i="16"/>
  <c r="A692" i="16"/>
  <c r="D691" i="16"/>
  <c r="C691" i="16"/>
  <c r="B691" i="16"/>
  <c r="A691" i="16"/>
  <c r="E691" i="16" s="1"/>
  <c r="O691" i="16" s="1"/>
  <c r="D690" i="16"/>
  <c r="C690" i="16"/>
  <c r="B690" i="16"/>
  <c r="A690" i="16"/>
  <c r="D689" i="16"/>
  <c r="C689" i="16"/>
  <c r="B689" i="16"/>
  <c r="A689" i="16"/>
  <c r="O689" i="16" s="1"/>
  <c r="D688" i="16"/>
  <c r="C688" i="16"/>
  <c r="B688" i="16"/>
  <c r="A688" i="16"/>
  <c r="D687" i="16"/>
  <c r="C687" i="16"/>
  <c r="B687" i="16"/>
  <c r="A687" i="16"/>
  <c r="D686" i="16"/>
  <c r="C686" i="16"/>
  <c r="B686" i="16"/>
  <c r="A686" i="16"/>
  <c r="D685" i="16"/>
  <c r="C685" i="16"/>
  <c r="B685" i="16"/>
  <c r="A685" i="16"/>
  <c r="D684" i="16"/>
  <c r="C684" i="16"/>
  <c r="B684" i="16"/>
  <c r="A684" i="16"/>
  <c r="D683" i="16"/>
  <c r="C683" i="16"/>
  <c r="B683" i="16"/>
  <c r="A683" i="16"/>
  <c r="E683" i="16" s="1"/>
  <c r="O683" i="16" s="1"/>
  <c r="D682" i="16"/>
  <c r="C682" i="16"/>
  <c r="B682" i="16"/>
  <c r="A682" i="16"/>
  <c r="D681" i="16"/>
  <c r="C681" i="16"/>
  <c r="B681" i="16"/>
  <c r="A681" i="16"/>
  <c r="E681" i="16" s="1"/>
  <c r="O681" i="16" s="1"/>
  <c r="D680" i="16"/>
  <c r="C680" i="16"/>
  <c r="B680" i="16"/>
  <c r="A680" i="16"/>
  <c r="D679" i="16"/>
  <c r="C679" i="16"/>
  <c r="B679" i="16"/>
  <c r="A679" i="16"/>
  <c r="E679" i="16" s="1"/>
  <c r="D678" i="16"/>
  <c r="C678" i="16"/>
  <c r="B678" i="16"/>
  <c r="A678" i="16"/>
  <c r="D677" i="16"/>
  <c r="C677" i="16"/>
  <c r="B677" i="16"/>
  <c r="A677" i="16"/>
  <c r="F677" i="16" s="1"/>
  <c r="D676" i="16"/>
  <c r="C676" i="16"/>
  <c r="B676" i="16"/>
  <c r="A676" i="16"/>
  <c r="D675" i="16"/>
  <c r="C675" i="16"/>
  <c r="B675" i="16"/>
  <c r="A675" i="16"/>
  <c r="O675" i="16" s="1"/>
  <c r="D674" i="16"/>
  <c r="C674" i="16"/>
  <c r="B674" i="16"/>
  <c r="A674" i="16"/>
  <c r="D673" i="16"/>
  <c r="C673" i="16"/>
  <c r="B673" i="16"/>
  <c r="A673" i="16"/>
  <c r="E673" i="16" s="1"/>
  <c r="D672" i="16"/>
  <c r="C672" i="16"/>
  <c r="B672" i="16"/>
  <c r="A672" i="16"/>
  <c r="E672" i="16" s="1"/>
  <c r="T672" i="16" s="1"/>
  <c r="D671" i="16"/>
  <c r="C671" i="16"/>
  <c r="B671" i="16"/>
  <c r="A671" i="16"/>
  <c r="E671" i="16" s="1"/>
  <c r="D670" i="16"/>
  <c r="C670" i="16"/>
  <c r="B670" i="16"/>
  <c r="A670" i="16"/>
  <c r="D669" i="16"/>
  <c r="C669" i="16"/>
  <c r="B669" i="16"/>
  <c r="A669" i="16"/>
  <c r="E669" i="16" s="1"/>
  <c r="P669" i="16" s="1"/>
  <c r="D668" i="16"/>
  <c r="C668" i="16"/>
  <c r="B668" i="16"/>
  <c r="A668" i="16"/>
  <c r="F668" i="16" s="1"/>
  <c r="D667" i="16"/>
  <c r="C667" i="16"/>
  <c r="B667" i="16"/>
  <c r="A667" i="16"/>
  <c r="D666" i="16"/>
  <c r="C666" i="16"/>
  <c r="B666" i="16"/>
  <c r="A666" i="16"/>
  <c r="O666" i="16" s="1"/>
  <c r="D665" i="16"/>
  <c r="C665" i="16"/>
  <c r="B665" i="16"/>
  <c r="A665" i="16"/>
  <c r="E665" i="16" s="1"/>
  <c r="O665" i="16" s="1"/>
  <c r="D664" i="16"/>
  <c r="C664" i="16"/>
  <c r="B664" i="16"/>
  <c r="A664" i="16"/>
  <c r="D663" i="16"/>
  <c r="C663" i="16"/>
  <c r="B663" i="16"/>
  <c r="A663" i="16"/>
  <c r="E663" i="16" s="1"/>
  <c r="D662" i="16"/>
  <c r="C662" i="16"/>
  <c r="B662" i="16"/>
  <c r="A662" i="16"/>
  <c r="E662" i="16" s="1"/>
  <c r="F662" i="16" s="1"/>
  <c r="D661" i="16"/>
  <c r="C661" i="16"/>
  <c r="B661" i="16"/>
  <c r="A661" i="16"/>
  <c r="D660" i="16"/>
  <c r="C660" i="16"/>
  <c r="B660" i="16"/>
  <c r="A660" i="16"/>
  <c r="D659" i="16"/>
  <c r="C659" i="16"/>
  <c r="B659" i="16"/>
  <c r="A659" i="16"/>
  <c r="O659" i="16" s="1"/>
  <c r="D658" i="16"/>
  <c r="C658" i="16"/>
  <c r="B658" i="16"/>
  <c r="A658" i="16"/>
  <c r="D657" i="16"/>
  <c r="C657" i="16"/>
  <c r="B657" i="16"/>
  <c r="A657" i="16"/>
  <c r="D656" i="16"/>
  <c r="C656" i="16"/>
  <c r="B656" i="16"/>
  <c r="A656" i="16"/>
  <c r="D655" i="16"/>
  <c r="C655" i="16"/>
  <c r="B655" i="16"/>
  <c r="A655" i="16"/>
  <c r="D654" i="16"/>
  <c r="C654" i="16"/>
  <c r="B654" i="16"/>
  <c r="A654" i="16"/>
  <c r="D653" i="16"/>
  <c r="C653" i="16"/>
  <c r="B653" i="16"/>
  <c r="A653" i="16"/>
  <c r="D652" i="16"/>
  <c r="C652" i="16"/>
  <c r="B652" i="16"/>
  <c r="A652" i="16"/>
  <c r="D651" i="16"/>
  <c r="C651" i="16"/>
  <c r="B651" i="16"/>
  <c r="A651" i="16"/>
  <c r="D650" i="16"/>
  <c r="C650" i="16"/>
  <c r="B650" i="16"/>
  <c r="A650" i="16"/>
  <c r="O650" i="16" s="1"/>
  <c r="D649" i="16"/>
  <c r="C649" i="16"/>
  <c r="B649" i="16"/>
  <c r="A649" i="16"/>
  <c r="D648" i="16"/>
  <c r="C648" i="16"/>
  <c r="B648" i="16"/>
  <c r="A648" i="16"/>
  <c r="D647" i="16"/>
  <c r="C647" i="16"/>
  <c r="B647" i="16"/>
  <c r="A647" i="16"/>
  <c r="D646" i="16"/>
  <c r="C646" i="16"/>
  <c r="B646" i="16"/>
  <c r="A646" i="16"/>
  <c r="D645" i="16"/>
  <c r="C645" i="16"/>
  <c r="B645" i="16"/>
  <c r="A645" i="16"/>
  <c r="D644" i="16"/>
  <c r="C644" i="16"/>
  <c r="B644" i="16"/>
  <c r="A644" i="16"/>
  <c r="D643" i="16"/>
  <c r="C643" i="16"/>
  <c r="B643" i="16"/>
  <c r="A643" i="16"/>
  <c r="D642" i="16"/>
  <c r="C642" i="16"/>
  <c r="B642" i="16"/>
  <c r="A642" i="16"/>
  <c r="D641" i="16"/>
  <c r="C641" i="16"/>
  <c r="B641" i="16"/>
  <c r="A641" i="16"/>
  <c r="D640" i="16"/>
  <c r="C640" i="16"/>
  <c r="B640" i="16"/>
  <c r="A640" i="16"/>
  <c r="D639" i="16"/>
  <c r="C639" i="16"/>
  <c r="B639" i="16"/>
  <c r="A639" i="16"/>
  <c r="D638" i="16"/>
  <c r="C638" i="16"/>
  <c r="B638" i="16"/>
  <c r="A638" i="16"/>
  <c r="D637" i="16"/>
  <c r="C637" i="16"/>
  <c r="B637" i="16"/>
  <c r="A637" i="16"/>
  <c r="E637" i="16" s="1"/>
  <c r="D636" i="16"/>
  <c r="C636" i="16"/>
  <c r="B636" i="16"/>
  <c r="A636" i="16"/>
  <c r="D635" i="16"/>
  <c r="C635" i="16"/>
  <c r="B635" i="16"/>
  <c r="A635" i="16"/>
  <c r="D634" i="16"/>
  <c r="C634" i="16"/>
  <c r="B634" i="16"/>
  <c r="A634" i="16"/>
  <c r="D633" i="16"/>
  <c r="C633" i="16"/>
  <c r="B633" i="16"/>
  <c r="A633" i="16"/>
  <c r="D632" i="16"/>
  <c r="C632" i="16"/>
  <c r="B632" i="16"/>
  <c r="A632" i="16"/>
  <c r="D631" i="16"/>
  <c r="C631" i="16"/>
  <c r="B631" i="16"/>
  <c r="A631" i="16"/>
  <c r="D630" i="16"/>
  <c r="C630" i="16"/>
  <c r="B630" i="16"/>
  <c r="A630" i="16"/>
  <c r="D629" i="16"/>
  <c r="C629" i="16"/>
  <c r="B629" i="16"/>
  <c r="A629" i="16"/>
  <c r="D628" i="16"/>
  <c r="C628" i="16"/>
  <c r="B628" i="16"/>
  <c r="A628" i="16"/>
  <c r="D627" i="16"/>
  <c r="C627" i="16"/>
  <c r="B627" i="16"/>
  <c r="A627" i="16"/>
  <c r="D626" i="16"/>
  <c r="C626" i="16"/>
  <c r="B626" i="16"/>
  <c r="A626" i="16"/>
  <c r="D625" i="16"/>
  <c r="C625" i="16"/>
  <c r="B625" i="16"/>
  <c r="A625" i="16"/>
  <c r="D624" i="16"/>
  <c r="C624" i="16"/>
  <c r="B624" i="16"/>
  <c r="A624" i="16"/>
  <c r="D623" i="16"/>
  <c r="C623" i="16"/>
  <c r="B623" i="16"/>
  <c r="A623" i="16"/>
  <c r="D622" i="16"/>
  <c r="C622" i="16"/>
  <c r="B622" i="16"/>
  <c r="A622" i="16"/>
  <c r="E622" i="16" s="1"/>
  <c r="F622" i="16" s="1"/>
  <c r="D621" i="16"/>
  <c r="C621" i="16"/>
  <c r="B621" i="16"/>
  <c r="A621" i="16"/>
  <c r="D620" i="16"/>
  <c r="C620" i="16"/>
  <c r="B620" i="16"/>
  <c r="A620" i="16"/>
  <c r="D619" i="16"/>
  <c r="C619" i="16"/>
  <c r="B619" i="16"/>
  <c r="A619" i="16"/>
  <c r="D618" i="16"/>
  <c r="C618" i="16"/>
  <c r="B618" i="16"/>
  <c r="A618" i="16"/>
  <c r="D617" i="16"/>
  <c r="C617" i="16"/>
  <c r="B617" i="16"/>
  <c r="A617" i="16"/>
  <c r="D616" i="16"/>
  <c r="C616" i="16"/>
  <c r="B616" i="16"/>
  <c r="A616" i="16"/>
  <c r="D615" i="16"/>
  <c r="C615" i="16"/>
  <c r="B615" i="16"/>
  <c r="A615" i="16"/>
  <c r="D614" i="16"/>
  <c r="C614" i="16"/>
  <c r="B614" i="16"/>
  <c r="A614" i="16"/>
  <c r="D613" i="16"/>
  <c r="C613" i="16"/>
  <c r="B613" i="16"/>
  <c r="A613" i="16"/>
  <c r="E613" i="16" s="1"/>
  <c r="F613" i="16" s="1"/>
  <c r="D612" i="16"/>
  <c r="C612" i="16"/>
  <c r="B612" i="16"/>
  <c r="A612" i="16"/>
  <c r="D611" i="16"/>
  <c r="C611" i="16"/>
  <c r="B611" i="16"/>
  <c r="A611" i="16"/>
  <c r="D610" i="16"/>
  <c r="C610" i="16"/>
  <c r="B610" i="16"/>
  <c r="A610" i="16"/>
  <c r="D609" i="16"/>
  <c r="C609" i="16"/>
  <c r="B609" i="16"/>
  <c r="A609" i="16"/>
  <c r="D608" i="16"/>
  <c r="C608" i="16"/>
  <c r="B608" i="16"/>
  <c r="A608" i="16"/>
  <c r="E608" i="16" s="1"/>
  <c r="T608" i="16" s="1"/>
  <c r="D607" i="16"/>
  <c r="C607" i="16"/>
  <c r="B607" i="16"/>
  <c r="A607" i="16"/>
  <c r="E607" i="16" s="1"/>
  <c r="I607" i="9" s="1"/>
  <c r="D606" i="16"/>
  <c r="C606" i="16"/>
  <c r="B606" i="16"/>
  <c r="A606" i="16"/>
  <c r="D605" i="16"/>
  <c r="C605" i="16"/>
  <c r="B605" i="16"/>
  <c r="A605" i="16"/>
  <c r="D604" i="16"/>
  <c r="C604" i="16"/>
  <c r="B604" i="16"/>
  <c r="A604" i="16"/>
  <c r="T604" i="16" s="1"/>
  <c r="D603" i="16"/>
  <c r="C603" i="16"/>
  <c r="B603" i="16"/>
  <c r="A603" i="16"/>
  <c r="D602" i="16"/>
  <c r="C602" i="16"/>
  <c r="B602" i="16"/>
  <c r="A602" i="16"/>
  <c r="D601" i="16"/>
  <c r="C601" i="16"/>
  <c r="B601" i="16"/>
  <c r="A601" i="16"/>
  <c r="D600" i="16"/>
  <c r="C600" i="16"/>
  <c r="B600" i="16"/>
  <c r="A600" i="16"/>
  <c r="D599" i="16"/>
  <c r="C599" i="16"/>
  <c r="B599" i="16"/>
  <c r="A599" i="16"/>
  <c r="D598" i="16"/>
  <c r="C598" i="16"/>
  <c r="B598" i="16"/>
  <c r="A598" i="16"/>
  <c r="D597" i="16"/>
  <c r="C597" i="16"/>
  <c r="B597" i="16"/>
  <c r="A597" i="16"/>
  <c r="D596" i="16"/>
  <c r="C596" i="16"/>
  <c r="B596" i="16"/>
  <c r="A596" i="16"/>
  <c r="E596" i="16" s="1"/>
  <c r="D595" i="16"/>
  <c r="C595" i="16"/>
  <c r="B595" i="16"/>
  <c r="A595" i="16"/>
  <c r="D594" i="16"/>
  <c r="C594" i="16"/>
  <c r="B594" i="16"/>
  <c r="A594" i="16"/>
  <c r="D593" i="16"/>
  <c r="C593" i="16"/>
  <c r="B593" i="16"/>
  <c r="A593" i="16"/>
  <c r="D592" i="16"/>
  <c r="C592" i="16"/>
  <c r="B592" i="16"/>
  <c r="A592" i="16"/>
  <c r="D591" i="16"/>
  <c r="C591" i="16"/>
  <c r="B591" i="16"/>
  <c r="A591" i="16"/>
  <c r="D590" i="16"/>
  <c r="C590" i="16"/>
  <c r="B590" i="16"/>
  <c r="A590" i="16"/>
  <c r="D589" i="16"/>
  <c r="C589" i="16"/>
  <c r="B589" i="16"/>
  <c r="A589" i="16"/>
  <c r="E589" i="16" s="1"/>
  <c r="F589" i="16" s="1"/>
  <c r="D588" i="16"/>
  <c r="C588" i="16"/>
  <c r="B588" i="16"/>
  <c r="A588" i="16"/>
  <c r="D587" i="16"/>
  <c r="C587" i="16"/>
  <c r="B587" i="16"/>
  <c r="A587" i="16"/>
  <c r="D586" i="16"/>
  <c r="C586" i="16"/>
  <c r="B586" i="16"/>
  <c r="A586" i="16"/>
  <c r="D585" i="16"/>
  <c r="C585" i="16"/>
  <c r="B585" i="16"/>
  <c r="A585" i="16"/>
  <c r="D584" i="16"/>
  <c r="C584" i="16"/>
  <c r="B584" i="16"/>
  <c r="A584" i="16"/>
  <c r="E584" i="16" s="1"/>
  <c r="D583" i="16"/>
  <c r="C583" i="16"/>
  <c r="B583" i="16"/>
  <c r="A583" i="16"/>
  <c r="D582" i="16"/>
  <c r="C582" i="16"/>
  <c r="B582" i="16"/>
  <c r="A582" i="16"/>
  <c r="D581" i="16"/>
  <c r="C581" i="16"/>
  <c r="B581" i="16"/>
  <c r="A581" i="16"/>
  <c r="D580" i="16"/>
  <c r="C580" i="16"/>
  <c r="B580" i="16"/>
  <c r="A580" i="16"/>
  <c r="D579" i="16"/>
  <c r="C579" i="16"/>
  <c r="B579" i="16"/>
  <c r="A579" i="16"/>
  <c r="E579" i="16" s="1"/>
  <c r="D578" i="16"/>
  <c r="C578" i="16"/>
  <c r="B578" i="16"/>
  <c r="A578" i="16"/>
  <c r="D577" i="16"/>
  <c r="C577" i="16"/>
  <c r="B577" i="16"/>
  <c r="A577" i="16"/>
  <c r="D576" i="16"/>
  <c r="C576" i="16"/>
  <c r="B576" i="16"/>
  <c r="A576" i="16"/>
  <c r="D575" i="16"/>
  <c r="C575" i="16"/>
  <c r="B575" i="16"/>
  <c r="A575" i="16"/>
  <c r="E574" i="16"/>
  <c r="D574" i="16"/>
  <c r="C574" i="16"/>
  <c r="B574" i="16"/>
  <c r="A574" i="16"/>
  <c r="D573" i="16"/>
  <c r="C573" i="16"/>
  <c r="B573" i="16"/>
  <c r="A573" i="16"/>
  <c r="D572" i="16"/>
  <c r="C572" i="16"/>
  <c r="B572" i="16"/>
  <c r="A572" i="16"/>
  <c r="D571" i="16"/>
  <c r="C571" i="16"/>
  <c r="B571" i="16"/>
  <c r="A571" i="16"/>
  <c r="D570" i="16"/>
  <c r="C570" i="16"/>
  <c r="B570" i="16"/>
  <c r="A570" i="16"/>
  <c r="D569" i="16"/>
  <c r="C569" i="16"/>
  <c r="B569" i="16"/>
  <c r="A569" i="16"/>
  <c r="D568" i="16"/>
  <c r="C568" i="16"/>
  <c r="B568" i="16"/>
  <c r="A568" i="16"/>
  <c r="D567" i="16"/>
  <c r="C567" i="16"/>
  <c r="B567" i="16"/>
  <c r="A567" i="16"/>
  <c r="D566" i="16"/>
  <c r="C566" i="16"/>
  <c r="B566" i="16"/>
  <c r="A566" i="16"/>
  <c r="D565" i="16"/>
  <c r="C565" i="16"/>
  <c r="B565" i="16"/>
  <c r="A565" i="16"/>
  <c r="D564" i="16"/>
  <c r="C564" i="16"/>
  <c r="B564" i="16"/>
  <c r="A564" i="16"/>
  <c r="D563" i="16"/>
  <c r="C563" i="16"/>
  <c r="B563" i="16"/>
  <c r="A563" i="16"/>
  <c r="D562" i="16"/>
  <c r="C562" i="16"/>
  <c r="B562" i="16"/>
  <c r="A562" i="16"/>
  <c r="D561" i="16"/>
  <c r="C561" i="16"/>
  <c r="B561" i="16"/>
  <c r="A561" i="16"/>
  <c r="D560" i="16"/>
  <c r="C560" i="16"/>
  <c r="B560" i="16"/>
  <c r="A560" i="16"/>
  <c r="D559" i="16"/>
  <c r="C559" i="16"/>
  <c r="B559" i="16"/>
  <c r="A559" i="16"/>
  <c r="D558" i="16"/>
  <c r="C558" i="16"/>
  <c r="B558" i="16"/>
  <c r="A558" i="16"/>
  <c r="D557" i="16"/>
  <c r="C557" i="16"/>
  <c r="B557" i="16"/>
  <c r="A557" i="16"/>
  <c r="E556" i="16"/>
  <c r="D556" i="16"/>
  <c r="C556" i="16"/>
  <c r="B556" i="16"/>
  <c r="A556" i="16"/>
  <c r="D555" i="16"/>
  <c r="C555" i="16"/>
  <c r="B555" i="16"/>
  <c r="A555" i="16"/>
  <c r="D554" i="16"/>
  <c r="C554" i="16"/>
  <c r="B554" i="16"/>
  <c r="A554" i="16"/>
  <c r="D553" i="16"/>
  <c r="C553" i="16"/>
  <c r="B553" i="16"/>
  <c r="A553" i="16"/>
  <c r="D552" i="16"/>
  <c r="C552" i="16"/>
  <c r="B552" i="16"/>
  <c r="A552" i="16"/>
  <c r="D551" i="16"/>
  <c r="C551" i="16"/>
  <c r="B551" i="16"/>
  <c r="A551" i="16"/>
  <c r="D550" i="16"/>
  <c r="C550" i="16"/>
  <c r="B550" i="16"/>
  <c r="A550" i="16"/>
  <c r="D549" i="16"/>
  <c r="C549" i="16"/>
  <c r="B549" i="16"/>
  <c r="A549" i="16"/>
  <c r="D548" i="16"/>
  <c r="C548" i="16"/>
  <c r="B548" i="16"/>
  <c r="A548" i="16"/>
  <c r="D547" i="16"/>
  <c r="C547" i="16"/>
  <c r="B547" i="16"/>
  <c r="A547" i="16"/>
  <c r="D546" i="16"/>
  <c r="C546" i="16"/>
  <c r="B546" i="16"/>
  <c r="A546" i="16"/>
  <c r="D545" i="16"/>
  <c r="C545" i="16"/>
  <c r="B545" i="16"/>
  <c r="A545" i="16"/>
  <c r="D544" i="16"/>
  <c r="C544" i="16"/>
  <c r="B544" i="16"/>
  <c r="A544" i="16"/>
  <c r="E544" i="16" s="1"/>
  <c r="T544" i="16" s="1"/>
  <c r="F543" i="16"/>
  <c r="D543" i="16"/>
  <c r="C543" i="16"/>
  <c r="B543" i="16"/>
  <c r="A543" i="16"/>
  <c r="D542" i="16"/>
  <c r="C542" i="16"/>
  <c r="B542" i="16"/>
  <c r="A542" i="16"/>
  <c r="E542" i="16" s="1"/>
  <c r="D541" i="16"/>
  <c r="C541" i="16"/>
  <c r="B541" i="16"/>
  <c r="A541" i="16"/>
  <c r="D540" i="16"/>
  <c r="C540" i="16"/>
  <c r="B540" i="16"/>
  <c r="A540" i="16"/>
  <c r="D539" i="16"/>
  <c r="C539" i="16"/>
  <c r="B539" i="16"/>
  <c r="A539" i="16"/>
  <c r="D538" i="16"/>
  <c r="C538" i="16"/>
  <c r="B538" i="16"/>
  <c r="A538" i="16"/>
  <c r="D537" i="16"/>
  <c r="C537" i="16"/>
  <c r="B537" i="16"/>
  <c r="A537" i="16"/>
  <c r="D536" i="16"/>
  <c r="C536" i="16"/>
  <c r="B536" i="16"/>
  <c r="A536" i="16"/>
  <c r="D535" i="16"/>
  <c r="C535" i="16"/>
  <c r="B535" i="16"/>
  <c r="A535" i="16"/>
  <c r="D534" i="16"/>
  <c r="C534" i="16"/>
  <c r="B534" i="16"/>
  <c r="A534" i="16"/>
  <c r="D533" i="16"/>
  <c r="C533" i="16"/>
  <c r="B533" i="16"/>
  <c r="A533" i="16"/>
  <c r="D532" i="16"/>
  <c r="C532" i="16"/>
  <c r="B532" i="16"/>
  <c r="A532" i="16"/>
  <c r="E532" i="16" s="1"/>
  <c r="D531" i="16"/>
  <c r="C531" i="16"/>
  <c r="B531" i="16"/>
  <c r="A531" i="16"/>
  <c r="D530" i="16"/>
  <c r="C530" i="16"/>
  <c r="B530" i="16"/>
  <c r="A530" i="16"/>
  <c r="D529" i="16"/>
  <c r="C529" i="16"/>
  <c r="B529" i="16"/>
  <c r="A529" i="16"/>
  <c r="D528" i="16"/>
  <c r="C528" i="16"/>
  <c r="B528" i="16"/>
  <c r="A528" i="16"/>
  <c r="E528" i="16" s="1"/>
  <c r="T528" i="16" s="1"/>
  <c r="D527" i="16"/>
  <c r="C527" i="16"/>
  <c r="B527" i="16"/>
  <c r="A527" i="16"/>
  <c r="D526" i="16"/>
  <c r="C526" i="16"/>
  <c r="B526" i="16"/>
  <c r="A526" i="16"/>
  <c r="F526" i="16" s="1"/>
  <c r="D525" i="16"/>
  <c r="C525" i="16"/>
  <c r="B525" i="16"/>
  <c r="A525" i="16"/>
  <c r="E525" i="16" s="1"/>
  <c r="F525" i="16" s="1"/>
  <c r="D524" i="16"/>
  <c r="C524" i="16"/>
  <c r="B524" i="16"/>
  <c r="A524" i="16"/>
  <c r="E524" i="16" s="1"/>
  <c r="D523" i="16"/>
  <c r="C523" i="16"/>
  <c r="B523" i="16"/>
  <c r="A523" i="16"/>
  <c r="D522" i="16"/>
  <c r="C522" i="16"/>
  <c r="B522" i="16"/>
  <c r="A522" i="16"/>
  <c r="D521" i="16"/>
  <c r="C521" i="16"/>
  <c r="B521" i="16"/>
  <c r="A521" i="16"/>
  <c r="E520" i="16"/>
  <c r="D520" i="16"/>
  <c r="C520" i="16"/>
  <c r="B520" i="16"/>
  <c r="A520" i="16"/>
  <c r="D519" i="16"/>
  <c r="C519" i="16"/>
  <c r="B519" i="16"/>
  <c r="A519" i="16"/>
  <c r="D518" i="16"/>
  <c r="C518" i="16"/>
  <c r="B518" i="16"/>
  <c r="A518" i="16"/>
  <c r="D517" i="16"/>
  <c r="C517" i="16"/>
  <c r="B517" i="16"/>
  <c r="A517" i="16"/>
  <c r="D516" i="16"/>
  <c r="C516" i="16"/>
  <c r="B516" i="16"/>
  <c r="A516" i="16"/>
  <c r="D515" i="16"/>
  <c r="C515" i="16"/>
  <c r="B515" i="16"/>
  <c r="A515" i="16"/>
  <c r="D514" i="16"/>
  <c r="C514" i="16"/>
  <c r="B514" i="16"/>
  <c r="A514" i="16"/>
  <c r="D513" i="16"/>
  <c r="C513" i="16"/>
  <c r="B513" i="16"/>
  <c r="A513" i="16"/>
  <c r="D512" i="16"/>
  <c r="C512" i="16"/>
  <c r="B512" i="16"/>
  <c r="A512" i="16"/>
  <c r="D511" i="16"/>
  <c r="C511" i="16"/>
  <c r="B511" i="16"/>
  <c r="A511" i="16"/>
  <c r="D510" i="16"/>
  <c r="C510" i="16"/>
  <c r="B510" i="16"/>
  <c r="A510" i="16"/>
  <c r="D509" i="16"/>
  <c r="C509" i="16"/>
  <c r="B509" i="16"/>
  <c r="A509" i="16"/>
  <c r="D508" i="16"/>
  <c r="C508" i="16"/>
  <c r="B508" i="16"/>
  <c r="A508" i="16"/>
  <c r="D507" i="16"/>
  <c r="C507" i="16"/>
  <c r="B507" i="16"/>
  <c r="A507" i="16"/>
  <c r="D506" i="16"/>
  <c r="C506" i="16"/>
  <c r="B506" i="16"/>
  <c r="A506" i="16"/>
  <c r="D505" i="16"/>
  <c r="C505" i="16"/>
  <c r="B505" i="16"/>
  <c r="A505" i="16"/>
  <c r="D504" i="16"/>
  <c r="C504" i="16"/>
  <c r="B504" i="16"/>
  <c r="A504" i="16"/>
  <c r="D503" i="16"/>
  <c r="C503" i="16"/>
  <c r="B503" i="16"/>
  <c r="A503" i="16"/>
  <c r="E503" i="16" s="1"/>
  <c r="D502" i="16"/>
  <c r="C502" i="16"/>
  <c r="B502" i="16"/>
  <c r="A502" i="16"/>
  <c r="D501" i="16"/>
  <c r="C501" i="16"/>
  <c r="B501" i="16"/>
  <c r="A501" i="16"/>
  <c r="D500" i="16"/>
  <c r="C500" i="16"/>
  <c r="B500" i="16"/>
  <c r="A500" i="16"/>
  <c r="D499" i="16"/>
  <c r="C499" i="16"/>
  <c r="B499" i="16"/>
  <c r="A499" i="16"/>
  <c r="D498" i="16"/>
  <c r="C498" i="16"/>
  <c r="B498" i="16"/>
  <c r="A498" i="16"/>
  <c r="D497" i="16"/>
  <c r="C497" i="16"/>
  <c r="B497" i="16"/>
  <c r="A497" i="16"/>
  <c r="D496" i="16"/>
  <c r="C496" i="16"/>
  <c r="B496" i="16"/>
  <c r="A496" i="16"/>
  <c r="D495" i="16"/>
  <c r="C495" i="16"/>
  <c r="B495" i="16"/>
  <c r="A495" i="16"/>
  <c r="D494" i="16"/>
  <c r="C494" i="16"/>
  <c r="B494" i="16"/>
  <c r="A494" i="16"/>
  <c r="D493" i="16"/>
  <c r="C493" i="16"/>
  <c r="B493" i="16"/>
  <c r="A493" i="16"/>
  <c r="D492" i="16"/>
  <c r="C492" i="16"/>
  <c r="B492" i="16"/>
  <c r="A492" i="16"/>
  <c r="D491" i="16"/>
  <c r="C491" i="16"/>
  <c r="B491" i="16"/>
  <c r="A491" i="16"/>
  <c r="D490" i="16"/>
  <c r="C490" i="16"/>
  <c r="B490" i="16"/>
  <c r="A490" i="16"/>
  <c r="D489" i="16"/>
  <c r="C489" i="16"/>
  <c r="B489" i="16"/>
  <c r="A489" i="16"/>
  <c r="D488" i="16"/>
  <c r="C488" i="16"/>
  <c r="B488" i="16"/>
  <c r="A488" i="16"/>
  <c r="D487" i="16"/>
  <c r="C487" i="16"/>
  <c r="B487" i="16"/>
  <c r="A487" i="16"/>
  <c r="D486" i="16"/>
  <c r="C486" i="16"/>
  <c r="B486" i="16"/>
  <c r="A486" i="16"/>
  <c r="D485" i="16"/>
  <c r="C485" i="16"/>
  <c r="B485" i="16"/>
  <c r="A485" i="16"/>
  <c r="E485" i="16" s="1"/>
  <c r="P485" i="16" s="1"/>
  <c r="O533" i="16" s="1"/>
  <c r="D484" i="16"/>
  <c r="C484" i="16"/>
  <c r="B484" i="16"/>
  <c r="A484" i="16"/>
  <c r="P484" i="16" s="1"/>
  <c r="H484" i="9" s="1"/>
  <c r="D483" i="16"/>
  <c r="C483" i="16"/>
  <c r="B483" i="16"/>
  <c r="A483" i="16"/>
  <c r="D482" i="16"/>
  <c r="C482" i="16"/>
  <c r="B482" i="16"/>
  <c r="A482" i="16"/>
  <c r="D481" i="16"/>
  <c r="C481" i="16"/>
  <c r="B481" i="16"/>
  <c r="A481" i="16"/>
  <c r="D480" i="16"/>
  <c r="C480" i="16"/>
  <c r="B480" i="16"/>
  <c r="A480" i="16"/>
  <c r="E480" i="16" s="1"/>
  <c r="T480" i="16" s="1"/>
  <c r="D479" i="16"/>
  <c r="C479" i="16"/>
  <c r="B479" i="16"/>
  <c r="A479" i="16"/>
  <c r="D478" i="16"/>
  <c r="C478" i="16"/>
  <c r="B478" i="16"/>
  <c r="A478" i="16"/>
  <c r="T478" i="16" s="1"/>
  <c r="D477" i="16"/>
  <c r="C477" i="16"/>
  <c r="B477" i="16"/>
  <c r="A477" i="16"/>
  <c r="D476" i="16"/>
  <c r="C476" i="16"/>
  <c r="B476" i="16"/>
  <c r="A476" i="16"/>
  <c r="E476" i="16" s="1"/>
  <c r="D475" i="16"/>
  <c r="C475" i="16"/>
  <c r="B475" i="16"/>
  <c r="A475" i="16"/>
  <c r="E475" i="16" s="1"/>
  <c r="D474" i="16"/>
  <c r="C474" i="16"/>
  <c r="B474" i="16"/>
  <c r="A474" i="16"/>
  <c r="D473" i="16"/>
  <c r="C473" i="16"/>
  <c r="B473" i="16"/>
  <c r="A473" i="16"/>
  <c r="E473" i="16" s="1"/>
  <c r="D472" i="16"/>
  <c r="C472" i="16"/>
  <c r="B472" i="16"/>
  <c r="A472" i="16"/>
  <c r="D471" i="16"/>
  <c r="C471" i="16"/>
  <c r="B471" i="16"/>
  <c r="A471" i="16"/>
  <c r="D470" i="16"/>
  <c r="C470" i="16"/>
  <c r="B470" i="16"/>
  <c r="A470" i="16"/>
  <c r="D469" i="16"/>
  <c r="C469" i="16"/>
  <c r="B469" i="16"/>
  <c r="A469" i="16"/>
  <c r="D468" i="16"/>
  <c r="C468" i="16"/>
  <c r="B468" i="16"/>
  <c r="A468" i="16"/>
  <c r="D467" i="16"/>
  <c r="C467" i="16"/>
  <c r="B467" i="16"/>
  <c r="A467" i="16"/>
  <c r="D466" i="16"/>
  <c r="C466" i="16"/>
  <c r="B466" i="16"/>
  <c r="A466" i="16"/>
  <c r="D465" i="16"/>
  <c r="C465" i="16"/>
  <c r="B465" i="16"/>
  <c r="A465" i="16"/>
  <c r="D464" i="16"/>
  <c r="C464" i="16"/>
  <c r="B464" i="16"/>
  <c r="A464" i="16"/>
  <c r="D463" i="16"/>
  <c r="C463" i="16"/>
  <c r="B463" i="16"/>
  <c r="A463" i="16"/>
  <c r="D462" i="16"/>
  <c r="C462" i="16"/>
  <c r="B462" i="16"/>
  <c r="A462" i="16"/>
  <c r="D461" i="16"/>
  <c r="C461" i="16"/>
  <c r="B461" i="16"/>
  <c r="A461" i="16"/>
  <c r="D460" i="16"/>
  <c r="C460" i="16"/>
  <c r="B460" i="16"/>
  <c r="A460" i="16"/>
  <c r="D459" i="16"/>
  <c r="C459" i="16"/>
  <c r="B459" i="16"/>
  <c r="A459" i="16"/>
  <c r="D458" i="16"/>
  <c r="C458" i="16"/>
  <c r="B458" i="16"/>
  <c r="A458" i="16"/>
  <c r="D457" i="16"/>
  <c r="C457" i="16"/>
  <c r="B457" i="16"/>
  <c r="A457" i="16"/>
  <c r="D456" i="16"/>
  <c r="C456" i="16"/>
  <c r="B456" i="16"/>
  <c r="A456" i="16"/>
  <c r="D455" i="16"/>
  <c r="C455" i="16"/>
  <c r="B455" i="16"/>
  <c r="A455" i="16"/>
  <c r="T455" i="16" s="1"/>
  <c r="D454" i="16"/>
  <c r="C454" i="16"/>
  <c r="B454" i="16"/>
  <c r="A454" i="16"/>
  <c r="D453" i="16"/>
  <c r="C453" i="16"/>
  <c r="B453" i="16"/>
  <c r="A453" i="16"/>
  <c r="D452" i="16"/>
  <c r="C452" i="16"/>
  <c r="B452" i="16"/>
  <c r="A452" i="16"/>
  <c r="D451" i="16"/>
  <c r="C451" i="16"/>
  <c r="B451" i="16"/>
  <c r="A451" i="16"/>
  <c r="D450" i="16"/>
  <c r="C450" i="16"/>
  <c r="B450" i="16"/>
  <c r="A450" i="16"/>
  <c r="D449" i="16"/>
  <c r="C449" i="16"/>
  <c r="B449" i="16"/>
  <c r="A449" i="16"/>
  <c r="D448" i="16"/>
  <c r="C448" i="16"/>
  <c r="B448" i="16"/>
  <c r="A448" i="16"/>
  <c r="D447" i="16"/>
  <c r="C447" i="16"/>
  <c r="B447" i="16"/>
  <c r="A447" i="16"/>
  <c r="D446" i="16"/>
  <c r="C446" i="16"/>
  <c r="B446" i="16"/>
  <c r="A446" i="16"/>
  <c r="D445" i="16"/>
  <c r="C445" i="16"/>
  <c r="B445" i="16"/>
  <c r="A445" i="16"/>
  <c r="E445" i="16" s="1"/>
  <c r="D444" i="16"/>
  <c r="C444" i="16"/>
  <c r="B444" i="16"/>
  <c r="A444" i="16"/>
  <c r="D443" i="16"/>
  <c r="C443" i="16"/>
  <c r="B443" i="16"/>
  <c r="A443" i="16"/>
  <c r="D442" i="16"/>
  <c r="C442" i="16"/>
  <c r="B442" i="16"/>
  <c r="A442" i="16"/>
  <c r="D441" i="16"/>
  <c r="C441" i="16"/>
  <c r="B441" i="16"/>
  <c r="A441" i="16"/>
  <c r="D440" i="16"/>
  <c r="C440" i="16"/>
  <c r="B440" i="16"/>
  <c r="A440" i="16"/>
  <c r="D439" i="16"/>
  <c r="C439" i="16"/>
  <c r="B439" i="16"/>
  <c r="A439" i="16"/>
  <c r="D438" i="16"/>
  <c r="C438" i="16"/>
  <c r="B438" i="16"/>
  <c r="A438" i="16"/>
  <c r="D437" i="16"/>
  <c r="C437" i="16"/>
  <c r="B437" i="16"/>
  <c r="A437" i="16"/>
  <c r="D436" i="16"/>
  <c r="C436" i="16"/>
  <c r="B436" i="16"/>
  <c r="A436" i="16"/>
  <c r="D435" i="16"/>
  <c r="C435" i="16"/>
  <c r="B435" i="16"/>
  <c r="A435" i="16"/>
  <c r="D434" i="16"/>
  <c r="C434" i="16"/>
  <c r="B434" i="16"/>
  <c r="A434" i="16"/>
  <c r="D433" i="16"/>
  <c r="C433" i="16"/>
  <c r="B433" i="16"/>
  <c r="A433" i="16"/>
  <c r="D432" i="16"/>
  <c r="C432" i="16"/>
  <c r="B432" i="16"/>
  <c r="A432" i="16"/>
  <c r="D431" i="16"/>
  <c r="C431" i="16"/>
  <c r="B431" i="16"/>
  <c r="A431" i="16"/>
  <c r="E431" i="16" s="1"/>
  <c r="F431" i="16" s="1"/>
  <c r="D430" i="16"/>
  <c r="C430" i="16"/>
  <c r="B430" i="16"/>
  <c r="A430" i="16"/>
  <c r="D429" i="16"/>
  <c r="C429" i="16"/>
  <c r="B429" i="16"/>
  <c r="A429" i="16"/>
  <c r="D428" i="16"/>
  <c r="C428" i="16"/>
  <c r="B428" i="16"/>
  <c r="A428" i="16"/>
  <c r="D427" i="16"/>
  <c r="C427" i="16"/>
  <c r="B427" i="16"/>
  <c r="A427" i="16"/>
  <c r="D426" i="16"/>
  <c r="C426" i="16"/>
  <c r="B426" i="16"/>
  <c r="A426" i="16"/>
  <c r="D425" i="16"/>
  <c r="C425" i="16"/>
  <c r="B425" i="16"/>
  <c r="A425" i="16"/>
  <c r="D424" i="16"/>
  <c r="C424" i="16"/>
  <c r="B424" i="16"/>
  <c r="A424" i="16"/>
  <c r="D423" i="16"/>
  <c r="C423" i="16"/>
  <c r="B423" i="16"/>
  <c r="A423" i="16"/>
  <c r="D422" i="16"/>
  <c r="C422" i="16"/>
  <c r="B422" i="16"/>
  <c r="A422" i="16"/>
  <c r="D421" i="16"/>
  <c r="C421" i="16"/>
  <c r="B421" i="16"/>
  <c r="A421" i="16"/>
  <c r="E421" i="16" s="1"/>
  <c r="D420" i="16"/>
  <c r="C420" i="16"/>
  <c r="B420" i="16"/>
  <c r="A420" i="16"/>
  <c r="D419" i="16"/>
  <c r="C419" i="16"/>
  <c r="B419" i="16"/>
  <c r="A419" i="16"/>
  <c r="D418" i="16"/>
  <c r="C418" i="16"/>
  <c r="B418" i="16"/>
  <c r="A418" i="16"/>
  <c r="D417" i="16"/>
  <c r="C417" i="16"/>
  <c r="B417" i="16"/>
  <c r="A417" i="16"/>
  <c r="D416" i="16"/>
  <c r="C416" i="16"/>
  <c r="B416" i="16"/>
  <c r="A416" i="16"/>
  <c r="D415" i="16"/>
  <c r="C415" i="16"/>
  <c r="B415" i="16"/>
  <c r="A415" i="16"/>
  <c r="D414" i="16"/>
  <c r="C414" i="16"/>
  <c r="B414" i="16"/>
  <c r="A414" i="16"/>
  <c r="D413" i="16"/>
  <c r="C413" i="16"/>
  <c r="B413" i="16"/>
  <c r="A413" i="16"/>
  <c r="F413" i="16" s="1"/>
  <c r="D412" i="16"/>
  <c r="C412" i="16"/>
  <c r="B412" i="16"/>
  <c r="A412" i="16"/>
  <c r="D411" i="16"/>
  <c r="C411" i="16"/>
  <c r="B411" i="16"/>
  <c r="A411" i="16"/>
  <c r="D410" i="16"/>
  <c r="C410" i="16"/>
  <c r="B410" i="16"/>
  <c r="A410" i="16"/>
  <c r="D409" i="16"/>
  <c r="C409" i="16"/>
  <c r="B409" i="16"/>
  <c r="A409" i="16"/>
  <c r="D408" i="16"/>
  <c r="C408" i="16"/>
  <c r="B408" i="16"/>
  <c r="A408" i="16"/>
  <c r="D407" i="16"/>
  <c r="C407" i="16"/>
  <c r="B407" i="16"/>
  <c r="A407" i="16"/>
  <c r="D406" i="16"/>
  <c r="C406" i="16"/>
  <c r="B406" i="16"/>
  <c r="A406" i="16"/>
  <c r="E406" i="16" s="1"/>
  <c r="D405" i="16"/>
  <c r="C405" i="16"/>
  <c r="B405" i="16"/>
  <c r="A405" i="16"/>
  <c r="D404" i="16"/>
  <c r="C404" i="16"/>
  <c r="B404" i="16"/>
  <c r="A404" i="16"/>
  <c r="D403" i="16"/>
  <c r="C403" i="16"/>
  <c r="B403" i="16"/>
  <c r="A403" i="16"/>
  <c r="D402" i="16"/>
  <c r="C402" i="16"/>
  <c r="B402" i="16"/>
  <c r="A402" i="16"/>
  <c r="D401" i="16"/>
  <c r="C401" i="16"/>
  <c r="B401" i="16"/>
  <c r="A401" i="16"/>
  <c r="D400" i="16"/>
  <c r="C400" i="16"/>
  <c r="B400" i="16"/>
  <c r="A400" i="16"/>
  <c r="E400" i="16" s="1"/>
  <c r="T400" i="16" s="1"/>
  <c r="D399" i="16"/>
  <c r="C399" i="16"/>
  <c r="B399" i="16"/>
  <c r="A399" i="16"/>
  <c r="D398" i="16"/>
  <c r="C398" i="16"/>
  <c r="B398" i="16"/>
  <c r="A398" i="16"/>
  <c r="E398" i="16" s="1"/>
  <c r="F398" i="16" s="1"/>
  <c r="D397" i="16"/>
  <c r="C397" i="16"/>
  <c r="B397" i="16"/>
  <c r="A397" i="16"/>
  <c r="E397" i="16" s="1"/>
  <c r="F397" i="16" s="1"/>
  <c r="D396" i="16"/>
  <c r="C396" i="16"/>
  <c r="B396" i="16"/>
  <c r="A396" i="16"/>
  <c r="D395" i="16"/>
  <c r="C395" i="16"/>
  <c r="B395" i="16"/>
  <c r="A395" i="16"/>
  <c r="D394" i="16"/>
  <c r="C394" i="16"/>
  <c r="B394" i="16"/>
  <c r="A394" i="16"/>
  <c r="D393" i="16"/>
  <c r="C393" i="16"/>
  <c r="B393" i="16"/>
  <c r="A393" i="16"/>
  <c r="D392" i="16"/>
  <c r="C392" i="16"/>
  <c r="B392" i="16"/>
  <c r="A392" i="16"/>
  <c r="D391" i="16"/>
  <c r="C391" i="16"/>
  <c r="B391" i="16"/>
  <c r="A391" i="16"/>
  <c r="E391" i="16" s="1"/>
  <c r="D390" i="16"/>
  <c r="C390" i="16"/>
  <c r="B390" i="16"/>
  <c r="A390" i="16"/>
  <c r="D389" i="16"/>
  <c r="C389" i="16"/>
  <c r="B389" i="16"/>
  <c r="A389" i="16"/>
  <c r="D388" i="16"/>
  <c r="C388" i="16"/>
  <c r="B388" i="16"/>
  <c r="A388" i="16"/>
  <c r="D387" i="16"/>
  <c r="C387" i="16"/>
  <c r="B387" i="16"/>
  <c r="A387" i="16"/>
  <c r="O386" i="16" s="1"/>
  <c r="D386" i="16"/>
  <c r="C386" i="16"/>
  <c r="B386" i="16"/>
  <c r="A386" i="16"/>
  <c r="D385" i="16"/>
  <c r="C385" i="16"/>
  <c r="B385" i="16"/>
  <c r="A385" i="16"/>
  <c r="D384" i="16"/>
  <c r="C384" i="16"/>
  <c r="B384" i="16"/>
  <c r="A384" i="16"/>
  <c r="D383" i="16"/>
  <c r="C383" i="16"/>
  <c r="B383" i="16"/>
  <c r="A383" i="16"/>
  <c r="D382" i="16"/>
  <c r="C382" i="16"/>
  <c r="B382" i="16"/>
  <c r="A382" i="16"/>
  <c r="D381" i="16"/>
  <c r="C381" i="16"/>
  <c r="B381" i="16"/>
  <c r="A381" i="16"/>
  <c r="D380" i="16"/>
  <c r="C380" i="16"/>
  <c r="B380" i="16"/>
  <c r="A380" i="16"/>
  <c r="D379" i="16"/>
  <c r="C379" i="16"/>
  <c r="B379" i="16"/>
  <c r="A379" i="16"/>
  <c r="D378" i="16"/>
  <c r="C378" i="16"/>
  <c r="B378" i="16"/>
  <c r="A378" i="16"/>
  <c r="D377" i="16"/>
  <c r="C377" i="16"/>
  <c r="B377" i="16"/>
  <c r="A377" i="16"/>
  <c r="D376" i="16"/>
  <c r="C376" i="16"/>
  <c r="B376" i="16"/>
  <c r="A376" i="16"/>
  <c r="D375" i="16"/>
  <c r="C375" i="16"/>
  <c r="B375" i="16"/>
  <c r="A375" i="16"/>
  <c r="E375" i="16" s="1"/>
  <c r="F375" i="16" s="1"/>
  <c r="D374" i="16"/>
  <c r="C374" i="16"/>
  <c r="B374" i="16"/>
  <c r="A374" i="16"/>
  <c r="D373" i="16"/>
  <c r="C373" i="16"/>
  <c r="B373" i="16"/>
  <c r="A373" i="16"/>
  <c r="E373" i="16" s="1"/>
  <c r="P373" i="16" s="1"/>
  <c r="D372" i="16"/>
  <c r="C372" i="16"/>
  <c r="B372" i="16"/>
  <c r="A372" i="16"/>
  <c r="D371" i="16"/>
  <c r="C371" i="16"/>
  <c r="B371" i="16"/>
  <c r="A371" i="16"/>
  <c r="D370" i="16"/>
  <c r="C370" i="16"/>
  <c r="B370" i="16"/>
  <c r="A370" i="16"/>
  <c r="D369" i="16"/>
  <c r="C369" i="16"/>
  <c r="B369" i="16"/>
  <c r="A369" i="16"/>
  <c r="D368" i="16"/>
  <c r="C368" i="16"/>
  <c r="B368" i="16"/>
  <c r="A368" i="16"/>
  <c r="D367" i="16"/>
  <c r="C367" i="16"/>
  <c r="B367" i="16"/>
  <c r="A367" i="16"/>
  <c r="E367" i="16" s="1"/>
  <c r="D366" i="16"/>
  <c r="C366" i="16"/>
  <c r="B366" i="16"/>
  <c r="A366" i="16"/>
  <c r="D365" i="16"/>
  <c r="C365" i="16"/>
  <c r="B365" i="16"/>
  <c r="A365" i="16"/>
  <c r="D364" i="16"/>
  <c r="C364" i="16"/>
  <c r="B364" i="16"/>
  <c r="A364" i="16"/>
  <c r="D363" i="16"/>
  <c r="C363" i="16"/>
  <c r="B363" i="16"/>
  <c r="A363" i="16"/>
  <c r="D362" i="16"/>
  <c r="C362" i="16"/>
  <c r="B362" i="16"/>
  <c r="A362" i="16"/>
  <c r="D361" i="16"/>
  <c r="C361" i="16"/>
  <c r="B361" i="16"/>
  <c r="A361" i="16"/>
  <c r="D360" i="16"/>
  <c r="C360" i="16"/>
  <c r="B360" i="16"/>
  <c r="A360" i="16"/>
  <c r="D359" i="16"/>
  <c r="C359" i="16"/>
  <c r="B359" i="16"/>
  <c r="A359" i="16"/>
  <c r="D358" i="16"/>
  <c r="C358" i="16"/>
  <c r="B358" i="16"/>
  <c r="A358" i="16"/>
  <c r="D357" i="16"/>
  <c r="C357" i="16"/>
  <c r="B357" i="16"/>
  <c r="A357" i="16"/>
  <c r="P357" i="16" s="1"/>
  <c r="H357" i="9" s="1"/>
  <c r="D356" i="16"/>
  <c r="C356" i="16"/>
  <c r="B356" i="16"/>
  <c r="A356" i="16"/>
  <c r="D355" i="16"/>
  <c r="C355" i="16"/>
  <c r="B355" i="16"/>
  <c r="A355" i="16"/>
  <c r="D354" i="16"/>
  <c r="C354" i="16"/>
  <c r="B354" i="16"/>
  <c r="A354" i="16"/>
  <c r="D353" i="16"/>
  <c r="C353" i="16"/>
  <c r="B353" i="16"/>
  <c r="A353" i="16"/>
  <c r="D352" i="16"/>
  <c r="C352" i="16"/>
  <c r="B352" i="16"/>
  <c r="A352" i="16"/>
  <c r="D351" i="16"/>
  <c r="C351" i="16"/>
  <c r="B351" i="16"/>
  <c r="A351" i="16"/>
  <c r="D350" i="16"/>
  <c r="C350" i="16"/>
  <c r="B350" i="16"/>
  <c r="A350" i="16"/>
  <c r="D349" i="16"/>
  <c r="C349" i="16"/>
  <c r="B349" i="16"/>
  <c r="A349" i="16"/>
  <c r="D348" i="16"/>
  <c r="C348" i="16"/>
  <c r="B348" i="16"/>
  <c r="A348" i="16"/>
  <c r="E348" i="16" s="1"/>
  <c r="F348" i="16" s="1"/>
  <c r="D347" i="16"/>
  <c r="C347" i="16"/>
  <c r="B347" i="16"/>
  <c r="A347" i="16"/>
  <c r="D346" i="16"/>
  <c r="C346" i="16"/>
  <c r="B346" i="16"/>
  <c r="A346" i="16"/>
  <c r="D345" i="16"/>
  <c r="C345" i="16"/>
  <c r="B345" i="16"/>
  <c r="A345" i="16"/>
  <c r="D344" i="16"/>
  <c r="C344" i="16"/>
  <c r="B344" i="16"/>
  <c r="A344" i="16"/>
  <c r="D343" i="16"/>
  <c r="C343" i="16"/>
  <c r="B343" i="16"/>
  <c r="A343" i="16"/>
  <c r="D342" i="16"/>
  <c r="C342" i="16"/>
  <c r="B342" i="16"/>
  <c r="A342" i="16"/>
  <c r="D341" i="16"/>
  <c r="C341" i="16"/>
  <c r="B341" i="16"/>
  <c r="A341" i="16"/>
  <c r="D340" i="16"/>
  <c r="C340" i="16"/>
  <c r="B340" i="16"/>
  <c r="A340" i="16"/>
  <c r="D339" i="16"/>
  <c r="C339" i="16"/>
  <c r="B339" i="16"/>
  <c r="A339" i="16"/>
  <c r="D338" i="16"/>
  <c r="C338" i="16"/>
  <c r="B338" i="16"/>
  <c r="A338" i="16"/>
  <c r="D337" i="16"/>
  <c r="C337" i="16"/>
  <c r="B337" i="16"/>
  <c r="A337" i="16"/>
  <c r="D336" i="16"/>
  <c r="C336" i="16"/>
  <c r="B336" i="16"/>
  <c r="A336" i="16"/>
  <c r="D335" i="16"/>
  <c r="C335" i="16"/>
  <c r="B335" i="16"/>
  <c r="A335" i="16"/>
  <c r="E335" i="16" s="1"/>
  <c r="F335" i="16" s="1"/>
  <c r="D334" i="16"/>
  <c r="C334" i="16"/>
  <c r="B334" i="16"/>
  <c r="A334" i="16"/>
  <c r="E334" i="16" s="1"/>
  <c r="I334" i="9" s="1"/>
  <c r="D333" i="16"/>
  <c r="C333" i="16"/>
  <c r="B333" i="16"/>
  <c r="A333" i="16"/>
  <c r="D332" i="16"/>
  <c r="C332" i="16"/>
  <c r="B332" i="16"/>
  <c r="A332" i="16"/>
  <c r="D331" i="16"/>
  <c r="C331" i="16"/>
  <c r="B331" i="16"/>
  <c r="A331" i="16"/>
  <c r="D330" i="16"/>
  <c r="C330" i="16"/>
  <c r="B330" i="16"/>
  <c r="A330" i="16"/>
  <c r="D329" i="16"/>
  <c r="C329" i="16"/>
  <c r="B329" i="16"/>
  <c r="A329" i="16"/>
  <c r="D328" i="16"/>
  <c r="C328" i="16"/>
  <c r="B328" i="16"/>
  <c r="A328" i="16"/>
  <c r="E328" i="16" s="1"/>
  <c r="D327" i="16"/>
  <c r="C327" i="16"/>
  <c r="B327" i="16"/>
  <c r="A327" i="16"/>
  <c r="E327" i="16" s="1"/>
  <c r="D326" i="16"/>
  <c r="C326" i="16"/>
  <c r="B326" i="16"/>
  <c r="A326" i="16"/>
  <c r="P326" i="16" s="1"/>
  <c r="H326" i="9" s="1"/>
  <c r="D325" i="16"/>
  <c r="C325" i="16"/>
  <c r="B325" i="16"/>
  <c r="A325" i="16"/>
  <c r="D324" i="16"/>
  <c r="C324" i="16"/>
  <c r="B324" i="16"/>
  <c r="A324" i="16"/>
  <c r="D323" i="16"/>
  <c r="C323" i="16"/>
  <c r="B323" i="16"/>
  <c r="A323" i="16"/>
  <c r="D322" i="16"/>
  <c r="C322" i="16"/>
  <c r="B322" i="16"/>
  <c r="A322" i="16"/>
  <c r="O322" i="16" s="1"/>
  <c r="D321" i="16"/>
  <c r="C321" i="16"/>
  <c r="B321" i="16"/>
  <c r="A321" i="16"/>
  <c r="D320" i="16"/>
  <c r="C320" i="16"/>
  <c r="B320" i="16"/>
  <c r="A320" i="16"/>
  <c r="P320" i="16" s="1"/>
  <c r="H320" i="9" s="1"/>
  <c r="D319" i="16"/>
  <c r="C319" i="16"/>
  <c r="B319" i="16"/>
  <c r="A319" i="16"/>
  <c r="T319" i="16" s="1"/>
  <c r="D318" i="16"/>
  <c r="C318" i="16"/>
  <c r="B318" i="16"/>
  <c r="A318" i="16"/>
  <c r="D317" i="16"/>
  <c r="C317" i="16"/>
  <c r="B317" i="16"/>
  <c r="A317" i="16"/>
  <c r="D316" i="16"/>
  <c r="C316" i="16"/>
  <c r="B316" i="16"/>
  <c r="A316" i="16"/>
  <c r="D315" i="16"/>
  <c r="C315" i="16"/>
  <c r="B315" i="16"/>
  <c r="A315" i="16"/>
  <c r="D314" i="16"/>
  <c r="C314" i="16"/>
  <c r="B314" i="16"/>
  <c r="A314" i="16"/>
  <c r="D313" i="16"/>
  <c r="C313" i="16"/>
  <c r="B313" i="16"/>
  <c r="A313" i="16"/>
  <c r="D312" i="16"/>
  <c r="C312" i="16"/>
  <c r="B312" i="16"/>
  <c r="A312" i="16"/>
  <c r="D311" i="16"/>
  <c r="C311" i="16"/>
  <c r="B311" i="16"/>
  <c r="A311" i="16"/>
  <c r="D310" i="16"/>
  <c r="C310" i="16"/>
  <c r="B310" i="16"/>
  <c r="A310" i="16"/>
  <c r="D309" i="16"/>
  <c r="C309" i="16"/>
  <c r="B309" i="16"/>
  <c r="A309" i="16"/>
  <c r="D308" i="16"/>
  <c r="C308" i="16"/>
  <c r="B308" i="16"/>
  <c r="A308" i="16"/>
  <c r="D307" i="16"/>
  <c r="C307" i="16"/>
  <c r="B307" i="16"/>
  <c r="A307" i="16"/>
  <c r="D306" i="16"/>
  <c r="C306" i="16"/>
  <c r="B306" i="16"/>
  <c r="A306" i="16"/>
  <c r="D305" i="16"/>
  <c r="C305" i="16"/>
  <c r="B305" i="16"/>
  <c r="A305" i="16"/>
  <c r="D304" i="16"/>
  <c r="C304" i="16"/>
  <c r="B304" i="16"/>
  <c r="A304" i="16"/>
  <c r="D303" i="16"/>
  <c r="C303" i="16"/>
  <c r="E303" i="16" s="1"/>
  <c r="B303" i="16"/>
  <c r="A303" i="16"/>
  <c r="D302" i="16"/>
  <c r="C302" i="16"/>
  <c r="B302" i="16"/>
  <c r="A302" i="16"/>
  <c r="E302" i="16" s="1"/>
  <c r="F302" i="16" s="1"/>
  <c r="D301" i="16"/>
  <c r="C301" i="16"/>
  <c r="B301" i="16"/>
  <c r="A301" i="16"/>
  <c r="D300" i="16"/>
  <c r="C300" i="16"/>
  <c r="B300" i="16"/>
  <c r="A300" i="16"/>
  <c r="D299" i="16"/>
  <c r="C299" i="16"/>
  <c r="B299" i="16"/>
  <c r="A299" i="16"/>
  <c r="D298" i="16"/>
  <c r="C298" i="16"/>
  <c r="B298" i="16"/>
  <c r="A298" i="16"/>
  <c r="D297" i="16"/>
  <c r="C297" i="16"/>
  <c r="B297" i="16"/>
  <c r="A297" i="16"/>
  <c r="D296" i="16"/>
  <c r="C296" i="16"/>
  <c r="B296" i="16"/>
  <c r="A296" i="16"/>
  <c r="D295" i="16"/>
  <c r="C295" i="16"/>
  <c r="B295" i="16"/>
  <c r="A295" i="16"/>
  <c r="D294" i="16"/>
  <c r="C294" i="16"/>
  <c r="B294" i="16"/>
  <c r="A294" i="16"/>
  <c r="D293" i="16"/>
  <c r="C293" i="16"/>
  <c r="B293" i="16"/>
  <c r="A293" i="16"/>
  <c r="D292" i="16"/>
  <c r="C292" i="16"/>
  <c r="B292" i="16"/>
  <c r="A292" i="16"/>
  <c r="D291" i="16"/>
  <c r="C291" i="16"/>
  <c r="B291" i="16"/>
  <c r="A291" i="16"/>
  <c r="D290" i="16"/>
  <c r="C290" i="16"/>
  <c r="B290" i="16"/>
  <c r="A290" i="16"/>
  <c r="D289" i="16"/>
  <c r="C289" i="16"/>
  <c r="B289" i="16"/>
  <c r="A289" i="16"/>
  <c r="D288" i="16"/>
  <c r="C288" i="16"/>
  <c r="B288" i="16"/>
  <c r="A288" i="16"/>
  <c r="D287" i="16"/>
  <c r="C287" i="16"/>
  <c r="B287" i="16"/>
  <c r="A287" i="16"/>
  <c r="D286" i="16"/>
  <c r="C286" i="16"/>
  <c r="B286" i="16"/>
  <c r="A286" i="16"/>
  <c r="E286" i="16" s="1"/>
  <c r="F286" i="16" s="1"/>
  <c r="F285" i="16"/>
  <c r="D285" i="16"/>
  <c r="C285" i="16"/>
  <c r="B285" i="16"/>
  <c r="A285" i="16"/>
  <c r="D284" i="16"/>
  <c r="C284" i="16"/>
  <c r="B284" i="16"/>
  <c r="A284" i="16"/>
  <c r="D283" i="16"/>
  <c r="C283" i="16"/>
  <c r="B283" i="16"/>
  <c r="A283" i="16"/>
  <c r="D282" i="16"/>
  <c r="C282" i="16"/>
  <c r="B282" i="16"/>
  <c r="A282" i="16"/>
  <c r="D281" i="16"/>
  <c r="C281" i="16"/>
  <c r="B281" i="16"/>
  <c r="A281" i="16"/>
  <c r="O281" i="16" s="1"/>
  <c r="D280" i="16"/>
  <c r="C280" i="16"/>
  <c r="B280" i="16"/>
  <c r="A280" i="16"/>
  <c r="D279" i="16"/>
  <c r="C279" i="16"/>
  <c r="B279" i="16"/>
  <c r="A279" i="16"/>
  <c r="D278" i="16"/>
  <c r="C278" i="16"/>
  <c r="B278" i="16"/>
  <c r="A278" i="16"/>
  <c r="D277" i="16"/>
  <c r="C277" i="16"/>
  <c r="B277" i="16"/>
  <c r="A277" i="16"/>
  <c r="D276" i="16"/>
  <c r="C276" i="16"/>
  <c r="B276" i="16"/>
  <c r="A276" i="16"/>
  <c r="D275" i="16"/>
  <c r="C275" i="16"/>
  <c r="B275" i="16"/>
  <c r="A275" i="16"/>
  <c r="D274" i="16"/>
  <c r="C274" i="16"/>
  <c r="B274" i="16"/>
  <c r="A274" i="16"/>
  <c r="D273" i="16"/>
  <c r="C273" i="16"/>
  <c r="B273" i="16"/>
  <c r="A273" i="16"/>
  <c r="D272" i="16"/>
  <c r="C272" i="16"/>
  <c r="B272" i="16"/>
  <c r="A272" i="16"/>
  <c r="D271" i="16"/>
  <c r="C271" i="16"/>
  <c r="B271" i="16"/>
  <c r="A271" i="16"/>
  <c r="D270" i="16"/>
  <c r="C270" i="16"/>
  <c r="B270" i="16"/>
  <c r="A270" i="16"/>
  <c r="D269" i="16"/>
  <c r="C269" i="16"/>
  <c r="B269" i="16"/>
  <c r="A269" i="16"/>
  <c r="D268" i="16"/>
  <c r="C268" i="16"/>
  <c r="B268" i="16"/>
  <c r="A268" i="16"/>
  <c r="D267" i="16"/>
  <c r="C267" i="16"/>
  <c r="B267" i="16"/>
  <c r="A267" i="16"/>
  <c r="O267" i="16" s="1"/>
  <c r="D266" i="16"/>
  <c r="C266" i="16"/>
  <c r="B266" i="16"/>
  <c r="A266" i="16"/>
  <c r="D265" i="16"/>
  <c r="C265" i="16"/>
  <c r="B265" i="16"/>
  <c r="A265" i="16"/>
  <c r="D264" i="16"/>
  <c r="C264" i="16"/>
  <c r="B264" i="16"/>
  <c r="A264" i="16"/>
  <c r="E264" i="16" s="1"/>
  <c r="D263" i="16"/>
  <c r="C263" i="16"/>
  <c r="B263" i="16"/>
  <c r="A263" i="16"/>
  <c r="D262" i="16"/>
  <c r="C262" i="16"/>
  <c r="B262" i="16"/>
  <c r="A262" i="16"/>
  <c r="D261" i="16"/>
  <c r="C261" i="16"/>
  <c r="B261" i="16"/>
  <c r="A261" i="16"/>
  <c r="D260" i="16"/>
  <c r="C260" i="16"/>
  <c r="B260" i="16"/>
  <c r="A260" i="16"/>
  <c r="D259" i="16"/>
  <c r="C259" i="16"/>
  <c r="B259" i="16"/>
  <c r="A259" i="16"/>
  <c r="D258" i="16"/>
  <c r="C258" i="16"/>
  <c r="B258" i="16"/>
  <c r="A258" i="16"/>
  <c r="D257" i="16"/>
  <c r="C257" i="16"/>
  <c r="B257" i="16"/>
  <c r="A257" i="16"/>
  <c r="D256" i="16"/>
  <c r="C256" i="16"/>
  <c r="B256" i="16"/>
  <c r="A256" i="16"/>
  <c r="D255" i="16"/>
  <c r="C255" i="16"/>
  <c r="B255" i="16"/>
  <c r="A255" i="16"/>
  <c r="D254" i="16"/>
  <c r="C254" i="16"/>
  <c r="B254" i="16"/>
  <c r="A254" i="16"/>
  <c r="E254" i="16" s="1"/>
  <c r="D253" i="16"/>
  <c r="C253" i="16"/>
  <c r="B253" i="16"/>
  <c r="A253" i="16"/>
  <c r="D252" i="16"/>
  <c r="C252" i="16"/>
  <c r="B252" i="16"/>
  <c r="A252" i="16"/>
  <c r="D251" i="16"/>
  <c r="C251" i="16"/>
  <c r="B251" i="16"/>
  <c r="A251" i="16"/>
  <c r="D250" i="16"/>
  <c r="C250" i="16"/>
  <c r="B250" i="16"/>
  <c r="A250" i="16"/>
  <c r="D249" i="16"/>
  <c r="C249" i="16"/>
  <c r="B249" i="16"/>
  <c r="A249" i="16"/>
  <c r="D248" i="16"/>
  <c r="C248" i="16"/>
  <c r="B248" i="16"/>
  <c r="A248" i="16"/>
  <c r="D247" i="16"/>
  <c r="C247" i="16"/>
  <c r="B247" i="16"/>
  <c r="A247" i="16"/>
  <c r="D246" i="16"/>
  <c r="C246" i="16"/>
  <c r="B246" i="16"/>
  <c r="A246" i="16"/>
  <c r="D245" i="16"/>
  <c r="C245" i="16"/>
  <c r="B245" i="16"/>
  <c r="A245" i="16"/>
  <c r="D244" i="16"/>
  <c r="C244" i="16"/>
  <c r="B244" i="16"/>
  <c r="A244" i="16"/>
  <c r="D243" i="16"/>
  <c r="C243" i="16"/>
  <c r="B243" i="16"/>
  <c r="A243" i="16"/>
  <c r="D242" i="16"/>
  <c r="C242" i="16"/>
  <c r="B242" i="16"/>
  <c r="A242" i="16"/>
  <c r="D241" i="16"/>
  <c r="C241" i="16"/>
  <c r="B241" i="16"/>
  <c r="A241" i="16"/>
  <c r="D240" i="16"/>
  <c r="C240" i="16"/>
  <c r="B240" i="16"/>
  <c r="A240" i="16"/>
  <c r="D239" i="16"/>
  <c r="C239" i="16"/>
  <c r="B239" i="16"/>
  <c r="A239" i="16"/>
  <c r="D238" i="16"/>
  <c r="C238" i="16"/>
  <c r="B238" i="16"/>
  <c r="A238" i="16"/>
  <c r="D237" i="16"/>
  <c r="C237" i="16"/>
  <c r="B237" i="16"/>
  <c r="A237" i="16"/>
  <c r="D236" i="16"/>
  <c r="C236" i="16"/>
  <c r="B236" i="16"/>
  <c r="A236" i="16"/>
  <c r="E236" i="16" s="1"/>
  <c r="P236" i="16" s="1"/>
  <c r="H236" i="9" s="1"/>
  <c r="D235" i="16"/>
  <c r="C235" i="16"/>
  <c r="B235" i="16"/>
  <c r="A235" i="16"/>
  <c r="D234" i="16"/>
  <c r="C234" i="16"/>
  <c r="B234" i="16"/>
  <c r="A234" i="16"/>
  <c r="D233" i="16"/>
  <c r="C233" i="16"/>
  <c r="B233" i="16"/>
  <c r="A233" i="16"/>
  <c r="D232" i="16"/>
  <c r="C232" i="16"/>
  <c r="B232" i="16"/>
  <c r="A232" i="16"/>
  <c r="D231" i="16"/>
  <c r="C231" i="16"/>
  <c r="B231" i="16"/>
  <c r="A231" i="16"/>
  <c r="E231" i="16" s="1"/>
  <c r="D230" i="16"/>
  <c r="C230" i="16"/>
  <c r="B230" i="16"/>
  <c r="A230" i="16"/>
  <c r="D229" i="16"/>
  <c r="C229" i="16"/>
  <c r="B229" i="16"/>
  <c r="A229" i="16"/>
  <c r="E229" i="16" s="1"/>
  <c r="P229" i="16" s="1"/>
  <c r="H229" i="9" s="1"/>
  <c r="D228" i="16"/>
  <c r="C228" i="16"/>
  <c r="B228" i="16"/>
  <c r="A228" i="16"/>
  <c r="P228" i="16" s="1"/>
  <c r="H228" i="9" s="1"/>
  <c r="D227" i="16"/>
  <c r="C227" i="16"/>
  <c r="B227" i="16"/>
  <c r="A227" i="16"/>
  <c r="D226" i="16"/>
  <c r="C226" i="16"/>
  <c r="B226" i="16"/>
  <c r="A226" i="16"/>
  <c r="D225" i="16"/>
  <c r="C225" i="16"/>
  <c r="B225" i="16"/>
  <c r="A225" i="16"/>
  <c r="D224" i="16"/>
  <c r="C224" i="16"/>
  <c r="B224" i="16"/>
  <c r="A224" i="16"/>
  <c r="E224" i="16" s="1"/>
  <c r="T224" i="16" s="1"/>
  <c r="D223" i="16"/>
  <c r="C223" i="16"/>
  <c r="B223" i="16"/>
  <c r="A223" i="16"/>
  <c r="D222" i="16"/>
  <c r="C222" i="16"/>
  <c r="B222" i="16"/>
  <c r="A222" i="16"/>
  <c r="T222" i="16" s="1"/>
  <c r="D221" i="16"/>
  <c r="C221" i="16"/>
  <c r="B221" i="16"/>
  <c r="A221" i="16"/>
  <c r="D220" i="16"/>
  <c r="C220" i="16"/>
  <c r="B220" i="16"/>
  <c r="A220" i="16"/>
  <c r="E220" i="16" s="1"/>
  <c r="P220" i="16" s="1"/>
  <c r="H220" i="9" s="1"/>
  <c r="D219" i="16"/>
  <c r="C219" i="16"/>
  <c r="B219" i="16"/>
  <c r="A219" i="16"/>
  <c r="D218" i="16"/>
  <c r="C218" i="16"/>
  <c r="B218" i="16"/>
  <c r="A218" i="16"/>
  <c r="D217" i="16"/>
  <c r="C217" i="16"/>
  <c r="B217" i="16"/>
  <c r="A217" i="16"/>
  <c r="D216" i="16"/>
  <c r="C216" i="16"/>
  <c r="B216" i="16"/>
  <c r="A216" i="16"/>
  <c r="D215" i="16"/>
  <c r="C215" i="16"/>
  <c r="B215" i="16"/>
  <c r="A215" i="16"/>
  <c r="D214" i="16"/>
  <c r="C214" i="16"/>
  <c r="B214" i="16"/>
  <c r="A214" i="16"/>
  <c r="D213" i="16"/>
  <c r="C213" i="16"/>
  <c r="B213" i="16"/>
  <c r="A213" i="16"/>
  <c r="D212" i="16"/>
  <c r="C212" i="16"/>
  <c r="B212" i="16"/>
  <c r="A212" i="16"/>
  <c r="D211" i="16"/>
  <c r="C211" i="16"/>
  <c r="B211" i="16"/>
  <c r="A211" i="16"/>
  <c r="D210" i="16"/>
  <c r="C210" i="16"/>
  <c r="B210" i="16"/>
  <c r="A210" i="16"/>
  <c r="D209" i="16"/>
  <c r="C209" i="16"/>
  <c r="B209" i="16"/>
  <c r="A209" i="16"/>
  <c r="D208" i="16"/>
  <c r="C208" i="16"/>
  <c r="B208" i="16"/>
  <c r="A208" i="16"/>
  <c r="D207" i="16"/>
  <c r="C207" i="16"/>
  <c r="B207" i="16"/>
  <c r="A207" i="16"/>
  <c r="D206" i="16"/>
  <c r="C206" i="16"/>
  <c r="B206" i="16"/>
  <c r="A206" i="16"/>
  <c r="P206" i="16" s="1"/>
  <c r="H206" i="9" s="1"/>
  <c r="D205" i="16"/>
  <c r="C205" i="16"/>
  <c r="B205" i="16"/>
  <c r="A205" i="16"/>
  <c r="E205" i="16" s="1"/>
  <c r="F205" i="16" s="1"/>
  <c r="D204" i="16"/>
  <c r="C204" i="16"/>
  <c r="B204" i="16"/>
  <c r="A204" i="16"/>
  <c r="D203" i="16"/>
  <c r="C203" i="16"/>
  <c r="B203" i="16"/>
  <c r="A203" i="16"/>
  <c r="D202" i="16"/>
  <c r="C202" i="16"/>
  <c r="B202" i="16"/>
  <c r="A202" i="16"/>
  <c r="D201" i="16"/>
  <c r="C201" i="16"/>
  <c r="B201" i="16"/>
  <c r="A201" i="16"/>
  <c r="D200" i="16"/>
  <c r="C200" i="16"/>
  <c r="B200" i="16"/>
  <c r="A200" i="16"/>
  <c r="D199" i="16"/>
  <c r="C199" i="16"/>
  <c r="B199" i="16"/>
  <c r="A199" i="16"/>
  <c r="T199" i="16" s="1"/>
  <c r="D198" i="16"/>
  <c r="C198" i="16"/>
  <c r="B198" i="16"/>
  <c r="A198" i="16"/>
  <c r="D197" i="16"/>
  <c r="C197" i="16"/>
  <c r="B197" i="16"/>
  <c r="A197" i="16"/>
  <c r="D196" i="16"/>
  <c r="C196" i="16"/>
  <c r="B196" i="16"/>
  <c r="A196" i="16"/>
  <c r="D195" i="16"/>
  <c r="C195" i="16"/>
  <c r="B195" i="16"/>
  <c r="A195" i="16"/>
  <c r="D194" i="16"/>
  <c r="C194" i="16"/>
  <c r="B194" i="16"/>
  <c r="A194" i="16"/>
  <c r="D193" i="16"/>
  <c r="C193" i="16"/>
  <c r="B193" i="16"/>
  <c r="A193" i="16"/>
  <c r="D192" i="16"/>
  <c r="C192" i="16"/>
  <c r="B192" i="16"/>
  <c r="A192" i="16"/>
  <c r="D191" i="16"/>
  <c r="C191" i="16"/>
  <c r="B191" i="16"/>
  <c r="A191" i="16"/>
  <c r="E191" i="16" s="1"/>
  <c r="F191" i="16" s="1"/>
  <c r="O302" i="16" s="1"/>
  <c r="D190" i="16"/>
  <c r="C190" i="16"/>
  <c r="B190" i="16"/>
  <c r="A190" i="16"/>
  <c r="D189" i="16"/>
  <c r="C189" i="16"/>
  <c r="B189" i="16"/>
  <c r="A189" i="16"/>
  <c r="D188" i="16"/>
  <c r="C188" i="16"/>
  <c r="B188" i="16"/>
  <c r="A188" i="16"/>
  <c r="D187" i="16"/>
  <c r="C187" i="16"/>
  <c r="B187" i="16"/>
  <c r="A187" i="16"/>
  <c r="D186" i="16"/>
  <c r="C186" i="16"/>
  <c r="B186" i="16"/>
  <c r="A186" i="16"/>
  <c r="D185" i="16"/>
  <c r="C185" i="16"/>
  <c r="B185" i="16"/>
  <c r="A185" i="16"/>
  <c r="D184" i="16"/>
  <c r="C184" i="16"/>
  <c r="B184" i="16"/>
  <c r="A184" i="16"/>
  <c r="D183" i="16"/>
  <c r="C183" i="16"/>
  <c r="B183" i="16"/>
  <c r="A183" i="16"/>
  <c r="D182" i="16"/>
  <c r="C182" i="16"/>
  <c r="B182" i="16"/>
  <c r="A182" i="16"/>
  <c r="E182" i="16" s="1"/>
  <c r="F182" i="16" s="1"/>
  <c r="D181" i="16"/>
  <c r="C181" i="16"/>
  <c r="B181" i="16"/>
  <c r="A181" i="16"/>
  <c r="D180" i="16"/>
  <c r="C180" i="16"/>
  <c r="B180" i="16"/>
  <c r="A180" i="16"/>
  <c r="D179" i="16"/>
  <c r="C179" i="16"/>
  <c r="B179" i="16"/>
  <c r="A179" i="16"/>
  <c r="D178" i="16"/>
  <c r="C178" i="16"/>
  <c r="B178" i="16"/>
  <c r="A178" i="16"/>
  <c r="D177" i="16"/>
  <c r="C177" i="16"/>
  <c r="B177" i="16"/>
  <c r="A177" i="16"/>
  <c r="D176" i="16"/>
  <c r="C176" i="16"/>
  <c r="B176" i="16"/>
  <c r="A176" i="16"/>
  <c r="D175" i="16"/>
  <c r="C175" i="16"/>
  <c r="B175" i="16"/>
  <c r="A175" i="16"/>
  <c r="D174" i="16"/>
  <c r="C174" i="16"/>
  <c r="B174" i="16"/>
  <c r="A174" i="16"/>
  <c r="D173" i="16"/>
  <c r="C173" i="16"/>
  <c r="B173" i="16"/>
  <c r="A173" i="16"/>
  <c r="D172" i="16"/>
  <c r="C172" i="16"/>
  <c r="B172" i="16"/>
  <c r="A172" i="16"/>
  <c r="E172" i="16" s="1"/>
  <c r="D171" i="16"/>
  <c r="C171" i="16"/>
  <c r="B171" i="16"/>
  <c r="A171" i="16"/>
  <c r="D170" i="16"/>
  <c r="C170" i="16"/>
  <c r="B170" i="16"/>
  <c r="A170" i="16"/>
  <c r="D169" i="16"/>
  <c r="C169" i="16"/>
  <c r="B169" i="16"/>
  <c r="A169" i="16"/>
  <c r="D168" i="16"/>
  <c r="C168" i="16"/>
  <c r="B168" i="16"/>
  <c r="A168" i="16"/>
  <c r="D167" i="16"/>
  <c r="C167" i="16"/>
  <c r="B167" i="16"/>
  <c r="A167" i="16"/>
  <c r="D166" i="16"/>
  <c r="C166" i="16"/>
  <c r="B166" i="16"/>
  <c r="A166" i="16"/>
  <c r="E166" i="16" s="1"/>
  <c r="F166" i="16" s="1"/>
  <c r="D165" i="16"/>
  <c r="C165" i="16"/>
  <c r="B165" i="16"/>
  <c r="A165" i="16"/>
  <c r="D164" i="16"/>
  <c r="C164" i="16"/>
  <c r="B164" i="16"/>
  <c r="A164" i="16"/>
  <c r="P164" i="16" s="1"/>
  <c r="D163" i="16"/>
  <c r="C163" i="16"/>
  <c r="B163" i="16"/>
  <c r="A163" i="16"/>
  <c r="D162" i="16"/>
  <c r="C162" i="16"/>
  <c r="B162" i="16"/>
  <c r="A162" i="16"/>
  <c r="D161" i="16"/>
  <c r="C161" i="16"/>
  <c r="B161" i="16"/>
  <c r="A161" i="16"/>
  <c r="D160" i="16"/>
  <c r="C160" i="16"/>
  <c r="B160" i="16"/>
  <c r="A160" i="16"/>
  <c r="E160" i="16" s="1"/>
  <c r="T160" i="16" s="1"/>
  <c r="D159" i="16"/>
  <c r="C159" i="16"/>
  <c r="B159" i="16"/>
  <c r="A159" i="16"/>
  <c r="D158" i="16"/>
  <c r="C158" i="16"/>
  <c r="B158" i="16"/>
  <c r="A158" i="16"/>
  <c r="D157" i="16"/>
  <c r="C157" i="16"/>
  <c r="B157" i="16"/>
  <c r="A157" i="16"/>
  <c r="D156" i="16"/>
  <c r="C156" i="16"/>
  <c r="B156" i="16"/>
  <c r="A156" i="16"/>
  <c r="E156" i="16" s="1"/>
  <c r="F156" i="16" s="1"/>
  <c r="D155" i="16"/>
  <c r="C155" i="16"/>
  <c r="B155" i="16"/>
  <c r="A155" i="16"/>
  <c r="D154" i="16"/>
  <c r="C154" i="16"/>
  <c r="B154" i="16"/>
  <c r="A154" i="16"/>
  <c r="D153" i="16"/>
  <c r="C153" i="16"/>
  <c r="B153" i="16"/>
  <c r="A153" i="16"/>
  <c r="D152" i="16"/>
  <c r="C152" i="16"/>
  <c r="B152" i="16"/>
  <c r="A152" i="16"/>
  <c r="D151" i="16"/>
  <c r="C151" i="16"/>
  <c r="B151" i="16"/>
  <c r="A151" i="16"/>
  <c r="D150" i="16"/>
  <c r="C150" i="16"/>
  <c r="B150" i="16"/>
  <c r="A150" i="16"/>
  <c r="D149" i="16"/>
  <c r="C149" i="16"/>
  <c r="B149" i="16"/>
  <c r="A149" i="16"/>
  <c r="D148" i="16"/>
  <c r="C148" i="16"/>
  <c r="B148" i="16"/>
  <c r="A148" i="16"/>
  <c r="D147" i="16"/>
  <c r="C147" i="16"/>
  <c r="B147" i="16"/>
  <c r="A147" i="16"/>
  <c r="D146" i="16"/>
  <c r="C146" i="16"/>
  <c r="B146" i="16"/>
  <c r="A146" i="16"/>
  <c r="D145" i="16"/>
  <c r="C145" i="16"/>
  <c r="B145" i="16"/>
  <c r="A145" i="16"/>
  <c r="D144" i="16"/>
  <c r="C144" i="16"/>
  <c r="B144" i="16"/>
  <c r="A144" i="16"/>
  <c r="D143" i="16"/>
  <c r="C143" i="16"/>
  <c r="B143" i="16"/>
  <c r="A143" i="16"/>
  <c r="D142" i="16"/>
  <c r="C142" i="16"/>
  <c r="B142" i="16"/>
  <c r="A142" i="16"/>
  <c r="D141" i="16"/>
  <c r="C141" i="16"/>
  <c r="B141" i="16"/>
  <c r="A141" i="16"/>
  <c r="D140" i="16"/>
  <c r="C140" i="16"/>
  <c r="B140" i="16"/>
  <c r="A140" i="16"/>
  <c r="D139" i="16"/>
  <c r="C139" i="16"/>
  <c r="B139" i="16"/>
  <c r="A139" i="16"/>
  <c r="D138" i="16"/>
  <c r="C138" i="16"/>
  <c r="B138" i="16"/>
  <c r="A138" i="16"/>
  <c r="D137" i="16"/>
  <c r="C137" i="16"/>
  <c r="B137" i="16"/>
  <c r="A137" i="16"/>
  <c r="E137" i="16" s="1"/>
  <c r="D136" i="16"/>
  <c r="C136" i="16"/>
  <c r="B136" i="16"/>
  <c r="A136" i="16"/>
  <c r="D135" i="16"/>
  <c r="C135" i="16"/>
  <c r="B135" i="16"/>
  <c r="A135" i="16"/>
  <c r="D134" i="16"/>
  <c r="C134" i="16"/>
  <c r="B134" i="16"/>
  <c r="A134" i="16"/>
  <c r="D133" i="16"/>
  <c r="C133" i="16"/>
  <c r="B133" i="16"/>
  <c r="A133" i="16"/>
  <c r="D132" i="16"/>
  <c r="E132" i="16" s="1"/>
  <c r="C132" i="16"/>
  <c r="B132" i="16"/>
  <c r="A132" i="16"/>
  <c r="D131" i="16"/>
  <c r="C131" i="16"/>
  <c r="B131" i="16"/>
  <c r="A131" i="16"/>
  <c r="D130" i="16"/>
  <c r="C130" i="16"/>
  <c r="B130" i="16"/>
  <c r="A130" i="16"/>
  <c r="F130" i="16" s="1"/>
  <c r="D129" i="16"/>
  <c r="C129" i="16"/>
  <c r="B129" i="16"/>
  <c r="A129" i="16"/>
  <c r="D128" i="16"/>
  <c r="C128" i="16"/>
  <c r="B128" i="16"/>
  <c r="A128" i="16"/>
  <c r="D127" i="16"/>
  <c r="C127" i="16"/>
  <c r="B127" i="16"/>
  <c r="A127" i="16"/>
  <c r="D126" i="16"/>
  <c r="C126" i="16"/>
  <c r="B126" i="16"/>
  <c r="A126" i="16"/>
  <c r="D125" i="16"/>
  <c r="C125" i="16"/>
  <c r="B125" i="16"/>
  <c r="A125" i="16"/>
  <c r="E125" i="16" s="1"/>
  <c r="T125" i="16" s="1"/>
  <c r="D124" i="16"/>
  <c r="C124" i="16"/>
  <c r="B124" i="16"/>
  <c r="A124" i="16"/>
  <c r="D123" i="16"/>
  <c r="C123" i="16"/>
  <c r="B123" i="16"/>
  <c r="A123" i="16"/>
  <c r="D122" i="16"/>
  <c r="C122" i="16"/>
  <c r="B122" i="16"/>
  <c r="A122" i="16"/>
  <c r="D121" i="16"/>
  <c r="C121" i="16"/>
  <c r="B121" i="16"/>
  <c r="A121" i="16"/>
  <c r="T121" i="16" s="1"/>
  <c r="D120" i="16"/>
  <c r="C120" i="16"/>
  <c r="B120" i="16"/>
  <c r="A120" i="16"/>
  <c r="D119" i="16"/>
  <c r="C119" i="16"/>
  <c r="B119" i="16"/>
  <c r="A119" i="16"/>
  <c r="D118" i="16"/>
  <c r="C118" i="16"/>
  <c r="B118" i="16"/>
  <c r="A118" i="16"/>
  <c r="D117" i="16"/>
  <c r="C117" i="16"/>
  <c r="B117" i="16"/>
  <c r="A117" i="16"/>
  <c r="E117" i="16" s="1"/>
  <c r="T117" i="16" s="1"/>
  <c r="D116" i="16"/>
  <c r="C116" i="16"/>
  <c r="B116" i="16"/>
  <c r="A116" i="16"/>
  <c r="T116" i="16" s="1"/>
  <c r="D115" i="16"/>
  <c r="C115" i="16"/>
  <c r="B115" i="16"/>
  <c r="A115" i="16"/>
  <c r="E115" i="16" s="1"/>
  <c r="D114" i="16"/>
  <c r="C114" i="16"/>
  <c r="B114" i="16"/>
  <c r="A114" i="16"/>
  <c r="D113" i="16"/>
  <c r="C113" i="16"/>
  <c r="B113" i="16"/>
  <c r="A113" i="16"/>
  <c r="E113" i="16" s="1"/>
  <c r="D112" i="16"/>
  <c r="C112" i="16"/>
  <c r="B112" i="16"/>
  <c r="A112" i="16"/>
  <c r="D111" i="16"/>
  <c r="C111" i="16"/>
  <c r="B111" i="16"/>
  <c r="A111" i="16"/>
  <c r="D110" i="16"/>
  <c r="C110" i="16"/>
  <c r="B110" i="16"/>
  <c r="A110" i="16"/>
  <c r="D109" i="16"/>
  <c r="C109" i="16"/>
  <c r="B109" i="16"/>
  <c r="A109" i="16"/>
  <c r="E109" i="16" s="1"/>
  <c r="I109" i="9" s="1"/>
  <c r="D108" i="16"/>
  <c r="C108" i="16"/>
  <c r="B108" i="16"/>
  <c r="A108" i="16"/>
  <c r="D107" i="16"/>
  <c r="C107" i="16"/>
  <c r="B107" i="16"/>
  <c r="A107" i="16"/>
  <c r="E107" i="16" s="1"/>
  <c r="D106" i="16"/>
  <c r="C106" i="16"/>
  <c r="B106" i="16"/>
  <c r="A106" i="16"/>
  <c r="D105" i="16"/>
  <c r="C105" i="16"/>
  <c r="B105" i="16"/>
  <c r="A105" i="16"/>
  <c r="D104" i="16"/>
  <c r="C104" i="16"/>
  <c r="B104" i="16"/>
  <c r="A104" i="16"/>
  <c r="D103" i="16"/>
  <c r="C103" i="16"/>
  <c r="B103" i="16"/>
  <c r="A103" i="16"/>
  <c r="D102" i="16"/>
  <c r="C102" i="16"/>
  <c r="B102" i="16"/>
  <c r="A102" i="16"/>
  <c r="D101" i="16"/>
  <c r="C101" i="16"/>
  <c r="B101" i="16"/>
  <c r="A101" i="16"/>
  <c r="E101" i="16" s="1"/>
  <c r="D100" i="16"/>
  <c r="C100" i="16"/>
  <c r="B100" i="16"/>
  <c r="A100" i="16"/>
  <c r="T100" i="16" s="1"/>
  <c r="D99" i="16"/>
  <c r="C99" i="16"/>
  <c r="B99" i="16"/>
  <c r="A99" i="16"/>
  <c r="D98" i="16"/>
  <c r="C98" i="16"/>
  <c r="B98" i="16"/>
  <c r="A98" i="16"/>
  <c r="D97" i="16"/>
  <c r="C97" i="16"/>
  <c r="B97" i="16"/>
  <c r="A97" i="16"/>
  <c r="D96" i="16"/>
  <c r="C96" i="16"/>
  <c r="B96" i="16"/>
  <c r="A96" i="16"/>
  <c r="D95" i="16"/>
  <c r="C95" i="16"/>
  <c r="B95" i="16"/>
  <c r="A95" i="16"/>
  <c r="D94" i="16"/>
  <c r="C94" i="16"/>
  <c r="B94" i="16"/>
  <c r="A94" i="16"/>
  <c r="D93" i="16"/>
  <c r="C93" i="16"/>
  <c r="B93" i="16"/>
  <c r="A93" i="16"/>
  <c r="D92" i="16"/>
  <c r="C92" i="16"/>
  <c r="B92" i="16"/>
  <c r="A92" i="16"/>
  <c r="D91" i="16"/>
  <c r="C91" i="16"/>
  <c r="B91" i="16"/>
  <c r="A91" i="16"/>
  <c r="E91" i="16" s="1"/>
  <c r="I91" i="9" s="1"/>
  <c r="D90" i="16"/>
  <c r="C90" i="16"/>
  <c r="B90" i="16"/>
  <c r="A90" i="16"/>
  <c r="D89" i="16"/>
  <c r="C89" i="16"/>
  <c r="B89" i="16"/>
  <c r="A89" i="16"/>
  <c r="D88" i="16"/>
  <c r="C88" i="16"/>
  <c r="B88" i="16"/>
  <c r="A88" i="16"/>
  <c r="D87" i="16"/>
  <c r="C87" i="16"/>
  <c r="B87" i="16"/>
  <c r="A87" i="16"/>
  <c r="D86" i="16"/>
  <c r="C86" i="16"/>
  <c r="B86" i="16"/>
  <c r="A86" i="16"/>
  <c r="D85" i="16"/>
  <c r="C85" i="16"/>
  <c r="B85" i="16"/>
  <c r="A85" i="16"/>
  <c r="D84" i="16"/>
  <c r="C84" i="16"/>
  <c r="B84" i="16"/>
  <c r="A84" i="16"/>
  <c r="D83" i="16"/>
  <c r="C83" i="16"/>
  <c r="B83" i="16"/>
  <c r="A83" i="16"/>
  <c r="E83" i="16" s="1"/>
  <c r="F83" i="16" s="1"/>
  <c r="D82" i="16"/>
  <c r="C82" i="16"/>
  <c r="B82" i="16"/>
  <c r="A82" i="16"/>
  <c r="F82" i="16" s="1"/>
  <c r="D81" i="16"/>
  <c r="C81" i="16"/>
  <c r="B81" i="16"/>
  <c r="A81" i="16"/>
  <c r="D80" i="16"/>
  <c r="C80" i="16"/>
  <c r="B80" i="16"/>
  <c r="A80" i="16"/>
  <c r="D79" i="16"/>
  <c r="C79" i="16"/>
  <c r="B79" i="16"/>
  <c r="A79" i="16"/>
  <c r="D78" i="16"/>
  <c r="C78" i="16"/>
  <c r="B78" i="16"/>
  <c r="A78" i="16"/>
  <c r="D77" i="16"/>
  <c r="C77" i="16"/>
  <c r="B77" i="16"/>
  <c r="A77" i="16"/>
  <c r="D76" i="16"/>
  <c r="C76" i="16"/>
  <c r="B76" i="16"/>
  <c r="A76" i="16"/>
  <c r="D75" i="16"/>
  <c r="C75" i="16"/>
  <c r="B75" i="16"/>
  <c r="A75" i="16"/>
  <c r="D74" i="16"/>
  <c r="C74" i="16"/>
  <c r="B74" i="16"/>
  <c r="A74" i="16"/>
  <c r="D73" i="16"/>
  <c r="C73" i="16"/>
  <c r="B73" i="16"/>
  <c r="A73" i="16"/>
  <c r="D72" i="16"/>
  <c r="C72" i="16"/>
  <c r="B72" i="16"/>
  <c r="A72" i="16"/>
  <c r="D71" i="16"/>
  <c r="C71" i="16"/>
  <c r="B71" i="16"/>
  <c r="A71" i="16"/>
  <c r="T71" i="16" s="1"/>
  <c r="D70" i="16"/>
  <c r="C70" i="16"/>
  <c r="B70" i="16"/>
  <c r="A70" i="16"/>
  <c r="D69" i="16"/>
  <c r="C69" i="16"/>
  <c r="B69" i="16"/>
  <c r="A69" i="16"/>
  <c r="D68" i="16"/>
  <c r="C68" i="16"/>
  <c r="B68" i="16"/>
  <c r="A68" i="16"/>
  <c r="D67" i="16"/>
  <c r="C67" i="16"/>
  <c r="B67" i="16"/>
  <c r="A67" i="16"/>
  <c r="D66" i="16"/>
  <c r="C66" i="16"/>
  <c r="B66" i="16"/>
  <c r="A66" i="16"/>
  <c r="D65" i="16"/>
  <c r="C65" i="16"/>
  <c r="B65" i="16"/>
  <c r="A65" i="16"/>
  <c r="D64" i="16"/>
  <c r="C64" i="16"/>
  <c r="B64" i="16"/>
  <c r="A64" i="16"/>
  <c r="D63" i="16"/>
  <c r="C63" i="16"/>
  <c r="B63" i="16"/>
  <c r="A63" i="16"/>
  <c r="E63" i="16" s="1"/>
  <c r="D62" i="16"/>
  <c r="C62" i="16"/>
  <c r="B62" i="16"/>
  <c r="A62" i="16"/>
  <c r="D61" i="16"/>
  <c r="C61" i="16"/>
  <c r="B61" i="16"/>
  <c r="A61" i="16"/>
  <c r="D60" i="16"/>
  <c r="C60" i="16"/>
  <c r="B60" i="16"/>
  <c r="A60" i="16"/>
  <c r="E60" i="16" s="1"/>
  <c r="D59" i="16"/>
  <c r="C59" i="16"/>
  <c r="B59" i="16"/>
  <c r="A59" i="16"/>
  <c r="D58" i="16"/>
  <c r="C58" i="16"/>
  <c r="B58" i="16"/>
  <c r="A58" i="16"/>
  <c r="D57" i="16"/>
  <c r="C57" i="16"/>
  <c r="B57" i="16"/>
  <c r="A57" i="16"/>
  <c r="D56" i="16"/>
  <c r="C56" i="16"/>
  <c r="B56" i="16"/>
  <c r="A56" i="16"/>
  <c r="D55" i="16"/>
  <c r="C55" i="16"/>
  <c r="B55" i="16"/>
  <c r="A55" i="16"/>
  <c r="D54" i="16"/>
  <c r="C54" i="16"/>
  <c r="B54" i="16"/>
  <c r="A54" i="16"/>
  <c r="D53" i="16"/>
  <c r="C53" i="16"/>
  <c r="B53" i="16"/>
  <c r="A53" i="16"/>
  <c r="E53" i="16" s="1"/>
  <c r="D52" i="16"/>
  <c r="C52" i="16"/>
  <c r="B52" i="16"/>
  <c r="A52" i="16"/>
  <c r="T52" i="16" s="1"/>
  <c r="D51" i="16"/>
  <c r="C51" i="16"/>
  <c r="B51" i="16"/>
  <c r="A51" i="16"/>
  <c r="D50" i="16"/>
  <c r="C50" i="16"/>
  <c r="B50" i="16"/>
  <c r="A50" i="16"/>
  <c r="D49" i="16"/>
  <c r="C49" i="16"/>
  <c r="B49" i="16"/>
  <c r="A49" i="16"/>
  <c r="F49" i="16" s="1"/>
  <c r="D48" i="16"/>
  <c r="C48" i="16"/>
  <c r="B48" i="16"/>
  <c r="A48" i="16"/>
  <c r="D47" i="16"/>
  <c r="C47" i="16"/>
  <c r="B47" i="16"/>
  <c r="A47" i="16"/>
  <c r="E47" i="16" s="1"/>
  <c r="D46" i="16"/>
  <c r="C46" i="16"/>
  <c r="B46" i="16"/>
  <c r="A46" i="16"/>
  <c r="D45" i="16"/>
  <c r="C45" i="16"/>
  <c r="B45" i="16"/>
  <c r="A45" i="16"/>
  <c r="D44" i="16"/>
  <c r="C44" i="16"/>
  <c r="B44" i="16"/>
  <c r="A44" i="16"/>
  <c r="D43" i="16"/>
  <c r="C43" i="16"/>
  <c r="B43" i="16"/>
  <c r="A43" i="16"/>
  <c r="D42" i="16"/>
  <c r="C42" i="16"/>
  <c r="B42" i="16"/>
  <c r="A42" i="16"/>
  <c r="D41" i="16"/>
  <c r="C41" i="16"/>
  <c r="B41" i="16"/>
  <c r="A41" i="16"/>
  <c r="D40" i="16"/>
  <c r="C40" i="16"/>
  <c r="B40" i="16"/>
  <c r="A40" i="16"/>
  <c r="D39" i="16"/>
  <c r="C39" i="16"/>
  <c r="B39" i="16"/>
  <c r="A39" i="16"/>
  <c r="E39" i="16" s="1"/>
  <c r="P39" i="16" s="1"/>
  <c r="H39" i="9" s="1"/>
  <c r="D38" i="16"/>
  <c r="C38" i="16"/>
  <c r="B38" i="16"/>
  <c r="A38" i="16"/>
  <c r="E38" i="16" s="1"/>
  <c r="P38" i="16" s="1"/>
  <c r="H38" i="9" s="1"/>
  <c r="D37" i="16"/>
  <c r="C37" i="16"/>
  <c r="B37" i="16"/>
  <c r="A37" i="16"/>
  <c r="D36" i="16"/>
  <c r="C36" i="16"/>
  <c r="B36" i="16"/>
  <c r="A36" i="16"/>
  <c r="D35" i="16"/>
  <c r="C35" i="16"/>
  <c r="B35" i="16"/>
  <c r="A35" i="16"/>
  <c r="D34" i="16"/>
  <c r="C34" i="16"/>
  <c r="B34" i="16"/>
  <c r="A34" i="16"/>
  <c r="D33" i="16"/>
  <c r="C33" i="16"/>
  <c r="B33" i="16"/>
  <c r="A33" i="16"/>
  <c r="T33" i="16" s="1"/>
  <c r="D32" i="16"/>
  <c r="C32" i="16"/>
  <c r="B32" i="16"/>
  <c r="A32" i="16"/>
  <c r="D31" i="16"/>
  <c r="C31" i="16"/>
  <c r="B31" i="16"/>
  <c r="A31" i="16"/>
  <c r="D30" i="16"/>
  <c r="C30" i="16"/>
  <c r="B30" i="16"/>
  <c r="A30" i="16"/>
  <c r="D29" i="16"/>
  <c r="C29" i="16"/>
  <c r="B29" i="16"/>
  <c r="A29" i="16"/>
  <c r="D28" i="16"/>
  <c r="C28" i="16"/>
  <c r="B28" i="16"/>
  <c r="A28" i="16"/>
  <c r="D27" i="16"/>
  <c r="C27" i="16"/>
  <c r="B27" i="16"/>
  <c r="A27" i="16"/>
  <c r="D26" i="16"/>
  <c r="C26" i="16"/>
  <c r="B26" i="16"/>
  <c r="A26" i="16"/>
  <c r="D25" i="16"/>
  <c r="C25" i="16"/>
  <c r="B25" i="16"/>
  <c r="A25" i="16"/>
  <c r="E25" i="16" s="1"/>
  <c r="D24" i="16"/>
  <c r="C24" i="16"/>
  <c r="B24" i="16"/>
  <c r="A24" i="16"/>
  <c r="F24" i="16" s="1"/>
  <c r="D23" i="16"/>
  <c r="C23" i="16"/>
  <c r="B23" i="16"/>
  <c r="A23" i="16"/>
  <c r="D22" i="16"/>
  <c r="C22" i="16"/>
  <c r="B22" i="16"/>
  <c r="A22" i="16"/>
  <c r="F22" i="16" s="1"/>
  <c r="D21" i="16"/>
  <c r="C21" i="16"/>
  <c r="B21" i="16"/>
  <c r="A21" i="16"/>
  <c r="D20" i="16"/>
  <c r="C20" i="16"/>
  <c r="B20" i="16"/>
  <c r="A20" i="16"/>
  <c r="D19" i="16"/>
  <c r="C19" i="16"/>
  <c r="B19" i="16"/>
  <c r="A19" i="16"/>
  <c r="D18" i="16"/>
  <c r="C18" i="16"/>
  <c r="B18" i="16"/>
  <c r="A18" i="16"/>
  <c r="D17" i="16"/>
  <c r="C17" i="16"/>
  <c r="B17" i="16"/>
  <c r="A17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E10" i="16" s="1"/>
  <c r="D9" i="16"/>
  <c r="C9" i="16"/>
  <c r="B9" i="16"/>
  <c r="A9" i="16"/>
  <c r="T9" i="16" s="1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T3" i="16" s="1"/>
  <c r="D2" i="16"/>
  <c r="C2" i="16"/>
  <c r="B2" i="16"/>
  <c r="A2" i="16"/>
  <c r="R1" i="16"/>
  <c r="F175" i="15"/>
  <c r="E175" i="15"/>
  <c r="D175" i="15"/>
  <c r="C175" i="15"/>
  <c r="B175" i="15"/>
  <c r="A175" i="15"/>
  <c r="O174" i="15"/>
  <c r="F174" i="15"/>
  <c r="E174" i="15"/>
  <c r="D174" i="15"/>
  <c r="C174" i="15"/>
  <c r="B174" i="15"/>
  <c r="A174" i="15"/>
  <c r="Q174" i="15" s="1"/>
  <c r="F173" i="15"/>
  <c r="E173" i="15"/>
  <c r="D173" i="15"/>
  <c r="C173" i="15"/>
  <c r="B173" i="15"/>
  <c r="A173" i="15"/>
  <c r="F172" i="15"/>
  <c r="E172" i="15"/>
  <c r="D172" i="15"/>
  <c r="C172" i="15"/>
  <c r="B172" i="15"/>
  <c r="A172" i="15"/>
  <c r="F171" i="15"/>
  <c r="E171" i="15"/>
  <c r="D171" i="15"/>
  <c r="C171" i="15"/>
  <c r="B171" i="15"/>
  <c r="A171" i="15"/>
  <c r="F170" i="15"/>
  <c r="E170" i="15"/>
  <c r="D170" i="15"/>
  <c r="C170" i="15"/>
  <c r="B170" i="15"/>
  <c r="A170" i="15"/>
  <c r="F169" i="15"/>
  <c r="E169" i="15"/>
  <c r="D169" i="15"/>
  <c r="C169" i="15"/>
  <c r="B169" i="15"/>
  <c r="A169" i="15"/>
  <c r="Q169" i="15" s="1"/>
  <c r="F168" i="15"/>
  <c r="E168" i="15"/>
  <c r="D168" i="15"/>
  <c r="C168" i="15"/>
  <c r="B168" i="15"/>
  <c r="A168" i="15"/>
  <c r="U168" i="15" s="1"/>
  <c r="F167" i="15"/>
  <c r="E167" i="15"/>
  <c r="D167" i="15"/>
  <c r="C167" i="15"/>
  <c r="B167" i="15"/>
  <c r="A167" i="15"/>
  <c r="U167" i="15" s="1"/>
  <c r="F166" i="15"/>
  <c r="E166" i="15"/>
  <c r="D166" i="15"/>
  <c r="C166" i="15"/>
  <c r="B166" i="15"/>
  <c r="A166" i="15"/>
  <c r="J165" i="15"/>
  <c r="F165" i="15"/>
  <c r="E165" i="15"/>
  <c r="D165" i="15"/>
  <c r="C165" i="15"/>
  <c r="B165" i="15"/>
  <c r="A165" i="15"/>
  <c r="Q164" i="15"/>
  <c r="F164" i="15"/>
  <c r="E164" i="15"/>
  <c r="D164" i="15"/>
  <c r="C164" i="15"/>
  <c r="B164" i="15"/>
  <c r="A164" i="15"/>
  <c r="F163" i="15"/>
  <c r="E163" i="15"/>
  <c r="D163" i="15"/>
  <c r="C163" i="15"/>
  <c r="B163" i="15"/>
  <c r="A163" i="15"/>
  <c r="U163" i="15" s="1"/>
  <c r="F162" i="15"/>
  <c r="E162" i="15"/>
  <c r="D162" i="15"/>
  <c r="C162" i="15"/>
  <c r="B162" i="15"/>
  <c r="A162" i="15"/>
  <c r="S162" i="15" s="1"/>
  <c r="F161" i="15"/>
  <c r="E161" i="15"/>
  <c r="D161" i="15"/>
  <c r="C161" i="15"/>
  <c r="B161" i="15"/>
  <c r="A161" i="15"/>
  <c r="F160" i="15"/>
  <c r="E160" i="15"/>
  <c r="D160" i="15"/>
  <c r="C160" i="15"/>
  <c r="B160" i="15"/>
  <c r="A160" i="15"/>
  <c r="F159" i="15"/>
  <c r="E159" i="15"/>
  <c r="D159" i="15"/>
  <c r="C159" i="15"/>
  <c r="B159" i="15"/>
  <c r="A159" i="15"/>
  <c r="F158" i="15"/>
  <c r="E158" i="15"/>
  <c r="D158" i="15"/>
  <c r="C158" i="15"/>
  <c r="B158" i="15"/>
  <c r="A158" i="15"/>
  <c r="Q158" i="15" s="1"/>
  <c r="F157" i="15"/>
  <c r="E157" i="15"/>
  <c r="D157" i="15"/>
  <c r="C157" i="15"/>
  <c r="B157" i="15"/>
  <c r="A157" i="15"/>
  <c r="N157" i="15" s="1"/>
  <c r="AE157" i="15" s="1"/>
  <c r="O157" i="7" s="1"/>
  <c r="F156" i="15"/>
  <c r="E156" i="15"/>
  <c r="D156" i="15"/>
  <c r="C156" i="15"/>
  <c r="B156" i="15"/>
  <c r="A156" i="15"/>
  <c r="I156" i="15" s="1"/>
  <c r="S155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F153" i="15"/>
  <c r="E153" i="15"/>
  <c r="D153" i="15"/>
  <c r="C153" i="15"/>
  <c r="B153" i="15"/>
  <c r="A153" i="15"/>
  <c r="F152" i="15"/>
  <c r="E152" i="15"/>
  <c r="D152" i="15"/>
  <c r="C152" i="15"/>
  <c r="B152" i="15"/>
  <c r="A152" i="15"/>
  <c r="F151" i="15"/>
  <c r="E151" i="15"/>
  <c r="D151" i="15"/>
  <c r="C151" i="15"/>
  <c r="B151" i="15"/>
  <c r="A151" i="15"/>
  <c r="U151" i="15" s="1"/>
  <c r="F150" i="15"/>
  <c r="E150" i="15"/>
  <c r="D150" i="15"/>
  <c r="C150" i="15"/>
  <c r="B150" i="15"/>
  <c r="A150" i="15"/>
  <c r="S150" i="15" s="1"/>
  <c r="F149" i="15"/>
  <c r="E149" i="15"/>
  <c r="D149" i="15"/>
  <c r="C149" i="15"/>
  <c r="B149" i="15"/>
  <c r="A149" i="15"/>
  <c r="F148" i="15"/>
  <c r="E148" i="15"/>
  <c r="D148" i="15"/>
  <c r="C148" i="15"/>
  <c r="B148" i="15"/>
  <c r="A148" i="15"/>
  <c r="F147" i="15"/>
  <c r="E147" i="15"/>
  <c r="D147" i="15"/>
  <c r="C147" i="15"/>
  <c r="B147" i="15"/>
  <c r="A147" i="15"/>
  <c r="F146" i="15"/>
  <c r="E146" i="15"/>
  <c r="D146" i="15"/>
  <c r="C146" i="15"/>
  <c r="B146" i="15"/>
  <c r="A146" i="15"/>
  <c r="F145" i="15"/>
  <c r="E145" i="15"/>
  <c r="D145" i="15"/>
  <c r="C145" i="15"/>
  <c r="B145" i="15"/>
  <c r="A145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F140" i="15"/>
  <c r="E140" i="15"/>
  <c r="D140" i="15"/>
  <c r="C140" i="15"/>
  <c r="B140" i="15"/>
  <c r="A140" i="15"/>
  <c r="F139" i="15"/>
  <c r="E139" i="15"/>
  <c r="D139" i="15"/>
  <c r="C139" i="15"/>
  <c r="B139" i="15"/>
  <c r="A139" i="15"/>
  <c r="F138" i="15"/>
  <c r="E138" i="15"/>
  <c r="D138" i="15"/>
  <c r="C138" i="15"/>
  <c r="B138" i="15"/>
  <c r="A138" i="15"/>
  <c r="F137" i="15"/>
  <c r="E137" i="15"/>
  <c r="D137" i="15"/>
  <c r="C137" i="15"/>
  <c r="B137" i="15"/>
  <c r="A137" i="15"/>
  <c r="R137" i="15" s="1"/>
  <c r="F136" i="15"/>
  <c r="E136" i="15"/>
  <c r="D136" i="15"/>
  <c r="C136" i="15"/>
  <c r="B136" i="15"/>
  <c r="A136" i="15"/>
  <c r="F135" i="15"/>
  <c r="E135" i="15"/>
  <c r="D135" i="15"/>
  <c r="C135" i="15"/>
  <c r="B135" i="15"/>
  <c r="A135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Q132" i="15" s="1"/>
  <c r="F131" i="15"/>
  <c r="E131" i="15"/>
  <c r="D131" i="15"/>
  <c r="C131" i="15"/>
  <c r="B131" i="15"/>
  <c r="A131" i="15"/>
  <c r="F130" i="15"/>
  <c r="E130" i="15"/>
  <c r="D130" i="15"/>
  <c r="C130" i="15"/>
  <c r="B130" i="15"/>
  <c r="A130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F127" i="15"/>
  <c r="E127" i="15"/>
  <c r="D127" i="15"/>
  <c r="C127" i="15"/>
  <c r="B127" i="15"/>
  <c r="A127" i="15"/>
  <c r="F126" i="15"/>
  <c r="E126" i="15"/>
  <c r="D126" i="15"/>
  <c r="C126" i="15"/>
  <c r="B126" i="15"/>
  <c r="A126" i="15"/>
  <c r="F125" i="15"/>
  <c r="E125" i="15"/>
  <c r="D125" i="15"/>
  <c r="C125" i="15"/>
  <c r="B125" i="15"/>
  <c r="A125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J123" i="15" s="1"/>
  <c r="F122" i="15"/>
  <c r="E122" i="15"/>
  <c r="D122" i="15"/>
  <c r="C122" i="15"/>
  <c r="B122" i="15"/>
  <c r="A122" i="15"/>
  <c r="H122" i="15" s="1"/>
  <c r="F121" i="15"/>
  <c r="E121" i="15"/>
  <c r="D121" i="15"/>
  <c r="C121" i="15"/>
  <c r="B121" i="15"/>
  <c r="A121" i="15"/>
  <c r="F120" i="15"/>
  <c r="E120" i="15"/>
  <c r="D120" i="15"/>
  <c r="C120" i="15"/>
  <c r="B120" i="15"/>
  <c r="A120" i="15"/>
  <c r="F119" i="15"/>
  <c r="E119" i="15"/>
  <c r="D119" i="15"/>
  <c r="C119" i="15"/>
  <c r="B119" i="15"/>
  <c r="A119" i="15"/>
  <c r="S118" i="15"/>
  <c r="F118" i="15"/>
  <c r="E118" i="15"/>
  <c r="D118" i="15"/>
  <c r="C118" i="15"/>
  <c r="B118" i="15"/>
  <c r="A118" i="15"/>
  <c r="I118" i="15" s="1"/>
  <c r="F117" i="15"/>
  <c r="E117" i="15"/>
  <c r="D117" i="15"/>
  <c r="C117" i="15"/>
  <c r="B117" i="15"/>
  <c r="A117" i="15"/>
  <c r="G117" i="15" s="1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F114" i="15"/>
  <c r="E114" i="15"/>
  <c r="D114" i="15"/>
  <c r="C114" i="15"/>
  <c r="B114" i="15"/>
  <c r="A114" i="15"/>
  <c r="F113" i="15"/>
  <c r="E113" i="15"/>
  <c r="D113" i="15"/>
  <c r="C113" i="15"/>
  <c r="B113" i="15"/>
  <c r="A113" i="15"/>
  <c r="F112" i="15"/>
  <c r="E112" i="15"/>
  <c r="D112" i="15"/>
  <c r="C112" i="15"/>
  <c r="B112" i="15"/>
  <c r="A112" i="15"/>
  <c r="H112" i="15" s="1"/>
  <c r="F111" i="15"/>
  <c r="E111" i="15"/>
  <c r="D111" i="15"/>
  <c r="C111" i="15"/>
  <c r="B111" i="15"/>
  <c r="A111" i="15"/>
  <c r="F110" i="15"/>
  <c r="E110" i="15"/>
  <c r="D110" i="15"/>
  <c r="C110" i="15"/>
  <c r="B110" i="15"/>
  <c r="A110" i="15"/>
  <c r="F109" i="15"/>
  <c r="E109" i="15"/>
  <c r="D109" i="15"/>
  <c r="C109" i="15"/>
  <c r="B109" i="15"/>
  <c r="A109" i="15"/>
  <c r="H109" i="15" s="1"/>
  <c r="F108" i="15"/>
  <c r="E108" i="15"/>
  <c r="D108" i="15"/>
  <c r="C108" i="15"/>
  <c r="B108" i="15"/>
  <c r="A108" i="15"/>
  <c r="I108" i="15" s="1"/>
  <c r="S107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H106" i="15" s="1"/>
  <c r="O105" i="15"/>
  <c r="F105" i="15"/>
  <c r="E105" i="15"/>
  <c r="D105" i="15"/>
  <c r="C105" i="15"/>
  <c r="B105" i="15"/>
  <c r="A105" i="15"/>
  <c r="Q105" i="15" s="1"/>
  <c r="F104" i="15"/>
  <c r="E104" i="15"/>
  <c r="D104" i="15"/>
  <c r="C104" i="15"/>
  <c r="B104" i="15"/>
  <c r="A104" i="15"/>
  <c r="F103" i="15"/>
  <c r="E103" i="15"/>
  <c r="D103" i="15"/>
  <c r="C103" i="15"/>
  <c r="B103" i="15"/>
  <c r="A103" i="15"/>
  <c r="S103" i="15" s="1"/>
  <c r="F102" i="15"/>
  <c r="E102" i="15"/>
  <c r="D102" i="15"/>
  <c r="C102" i="15"/>
  <c r="B102" i="15"/>
  <c r="A102" i="15"/>
  <c r="F101" i="15"/>
  <c r="E101" i="15"/>
  <c r="D101" i="15"/>
  <c r="C101" i="15"/>
  <c r="B101" i="15"/>
  <c r="A101" i="15"/>
  <c r="F100" i="15"/>
  <c r="E100" i="15"/>
  <c r="D100" i="15"/>
  <c r="C100" i="15"/>
  <c r="B100" i="15"/>
  <c r="A100" i="15"/>
  <c r="Q100" i="15" s="1"/>
  <c r="F99" i="15"/>
  <c r="E99" i="15"/>
  <c r="D99" i="15"/>
  <c r="C99" i="15"/>
  <c r="B99" i="15"/>
  <c r="A99" i="15"/>
  <c r="AE99" i="15" s="1"/>
  <c r="O99" i="7" s="1"/>
  <c r="F98" i="15"/>
  <c r="E98" i="15"/>
  <c r="D98" i="15"/>
  <c r="C98" i="15"/>
  <c r="B98" i="15"/>
  <c r="A98" i="15"/>
  <c r="Q98" i="15" s="1"/>
  <c r="F97" i="15"/>
  <c r="E97" i="15"/>
  <c r="D97" i="15"/>
  <c r="C97" i="15"/>
  <c r="B97" i="15"/>
  <c r="A97" i="15"/>
  <c r="I97" i="15" s="1"/>
  <c r="I96" i="15"/>
  <c r="F96" i="15"/>
  <c r="E96" i="15"/>
  <c r="D96" i="15"/>
  <c r="C96" i="15"/>
  <c r="B96" i="15"/>
  <c r="A96" i="15"/>
  <c r="Q95" i="15"/>
  <c r="P95" i="15"/>
  <c r="F95" i="15"/>
  <c r="E95" i="15"/>
  <c r="G95" i="15" s="1"/>
  <c r="D95" i="15"/>
  <c r="C95" i="15"/>
  <c r="B95" i="15"/>
  <c r="A95" i="15"/>
  <c r="F94" i="15"/>
  <c r="E94" i="15"/>
  <c r="D94" i="15"/>
  <c r="C94" i="15"/>
  <c r="B94" i="15"/>
  <c r="A94" i="15"/>
  <c r="O94" i="15" s="1"/>
  <c r="F93" i="15"/>
  <c r="E93" i="15"/>
  <c r="D93" i="15"/>
  <c r="C93" i="15"/>
  <c r="B93" i="15"/>
  <c r="A93" i="15"/>
  <c r="F92" i="15"/>
  <c r="E92" i="15"/>
  <c r="D92" i="15"/>
  <c r="C92" i="15"/>
  <c r="B92" i="15"/>
  <c r="A92" i="15"/>
  <c r="F91" i="15"/>
  <c r="E91" i="15"/>
  <c r="D91" i="15"/>
  <c r="C91" i="15"/>
  <c r="B91" i="15"/>
  <c r="A91" i="15"/>
  <c r="H91" i="15" s="1"/>
  <c r="F90" i="15"/>
  <c r="E90" i="15"/>
  <c r="D90" i="15"/>
  <c r="C90" i="15"/>
  <c r="B90" i="15"/>
  <c r="A90" i="15"/>
  <c r="H90" i="15" s="1"/>
  <c r="F89" i="15"/>
  <c r="E89" i="15"/>
  <c r="D89" i="15"/>
  <c r="C89" i="15"/>
  <c r="B89" i="15"/>
  <c r="A89" i="15"/>
  <c r="F88" i="15"/>
  <c r="E88" i="15"/>
  <c r="D88" i="15"/>
  <c r="C88" i="15"/>
  <c r="B88" i="15"/>
  <c r="A88" i="15"/>
  <c r="F87" i="15"/>
  <c r="E87" i="15"/>
  <c r="D87" i="15"/>
  <c r="C87" i="15"/>
  <c r="B87" i="15"/>
  <c r="A87" i="15"/>
  <c r="F86" i="15"/>
  <c r="E86" i="15"/>
  <c r="D86" i="15"/>
  <c r="C86" i="15"/>
  <c r="B86" i="15"/>
  <c r="A86" i="15"/>
  <c r="H86" i="15" s="1"/>
  <c r="F85" i="15"/>
  <c r="E85" i="15"/>
  <c r="D85" i="15"/>
  <c r="C85" i="15"/>
  <c r="B85" i="15"/>
  <c r="A85" i="15"/>
  <c r="M85" i="15" s="1"/>
  <c r="F84" i="15"/>
  <c r="E84" i="15"/>
  <c r="D84" i="15"/>
  <c r="C84" i="15"/>
  <c r="B84" i="15"/>
  <c r="A84" i="15"/>
  <c r="O84" i="15" s="1"/>
  <c r="N83" i="15"/>
  <c r="F83" i="15"/>
  <c r="E83" i="15"/>
  <c r="D83" i="15"/>
  <c r="C83" i="15"/>
  <c r="B83" i="15"/>
  <c r="A83" i="15"/>
  <c r="P83" i="15" s="1"/>
  <c r="F82" i="15"/>
  <c r="E82" i="15"/>
  <c r="D82" i="15"/>
  <c r="C82" i="15"/>
  <c r="B82" i="15"/>
  <c r="A82" i="15"/>
  <c r="F81" i="15"/>
  <c r="E81" i="15"/>
  <c r="D81" i="15"/>
  <c r="C81" i="15"/>
  <c r="B81" i="15"/>
  <c r="A81" i="15"/>
  <c r="F80" i="15"/>
  <c r="E80" i="15"/>
  <c r="D80" i="15"/>
  <c r="C80" i="15"/>
  <c r="B80" i="15"/>
  <c r="A80" i="15"/>
  <c r="S80" i="15" s="1"/>
  <c r="F79" i="15"/>
  <c r="E79" i="15"/>
  <c r="D79" i="15"/>
  <c r="C79" i="15"/>
  <c r="B79" i="15"/>
  <c r="A79" i="15"/>
  <c r="F78" i="15"/>
  <c r="E78" i="15"/>
  <c r="D78" i="15"/>
  <c r="C78" i="15"/>
  <c r="B78" i="15"/>
  <c r="A78" i="15"/>
  <c r="R77" i="15"/>
  <c r="F77" i="15"/>
  <c r="E77" i="15"/>
  <c r="D77" i="15"/>
  <c r="C77" i="15"/>
  <c r="B77" i="15"/>
  <c r="A77" i="15"/>
  <c r="U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R75" i="15" s="1"/>
  <c r="F74" i="15"/>
  <c r="E74" i="15"/>
  <c r="D74" i="15"/>
  <c r="C74" i="15"/>
  <c r="B74" i="15"/>
  <c r="A74" i="15"/>
  <c r="R74" i="15" s="1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R71" i="15" s="1"/>
  <c r="F70" i="15"/>
  <c r="E70" i="15"/>
  <c r="D70" i="15"/>
  <c r="C70" i="15"/>
  <c r="B70" i="15"/>
  <c r="A70" i="15"/>
  <c r="I70" i="15" s="1"/>
  <c r="F69" i="15"/>
  <c r="E69" i="15"/>
  <c r="D69" i="15"/>
  <c r="C69" i="15"/>
  <c r="B69" i="15"/>
  <c r="A69" i="15"/>
  <c r="F68" i="15"/>
  <c r="E68" i="15"/>
  <c r="D68" i="15"/>
  <c r="C68" i="15"/>
  <c r="B68" i="15"/>
  <c r="A68" i="15"/>
  <c r="F67" i="15"/>
  <c r="E67" i="15"/>
  <c r="D67" i="15"/>
  <c r="C67" i="15"/>
  <c r="B67" i="15"/>
  <c r="A67" i="15"/>
  <c r="F66" i="15"/>
  <c r="E66" i="15"/>
  <c r="D66" i="15"/>
  <c r="C66" i="15"/>
  <c r="B66" i="15"/>
  <c r="A66" i="15"/>
  <c r="F65" i="15"/>
  <c r="E65" i="15"/>
  <c r="D65" i="15"/>
  <c r="C65" i="15"/>
  <c r="B65" i="15"/>
  <c r="A65" i="15"/>
  <c r="F64" i="15"/>
  <c r="E64" i="15"/>
  <c r="D64" i="15"/>
  <c r="C64" i="15"/>
  <c r="B64" i="15"/>
  <c r="A64" i="15"/>
  <c r="F63" i="15"/>
  <c r="E63" i="15"/>
  <c r="D63" i="15"/>
  <c r="C63" i="15"/>
  <c r="B63" i="15"/>
  <c r="A63" i="15"/>
  <c r="O63" i="15" s="1"/>
  <c r="F62" i="15"/>
  <c r="E62" i="15"/>
  <c r="D62" i="15"/>
  <c r="C62" i="15"/>
  <c r="B62" i="15"/>
  <c r="A62" i="15"/>
  <c r="N61" i="15"/>
  <c r="AE61" i="15" s="1"/>
  <c r="O61" i="7" s="1"/>
  <c r="F61" i="15"/>
  <c r="E61" i="15"/>
  <c r="D61" i="15"/>
  <c r="C61" i="15"/>
  <c r="B61" i="15"/>
  <c r="A61" i="15"/>
  <c r="F60" i="15"/>
  <c r="E60" i="15"/>
  <c r="D60" i="15"/>
  <c r="C60" i="15"/>
  <c r="B60" i="15"/>
  <c r="A60" i="15"/>
  <c r="F59" i="15"/>
  <c r="E59" i="15"/>
  <c r="D59" i="15"/>
  <c r="C59" i="15"/>
  <c r="B59" i="15"/>
  <c r="A59" i="15"/>
  <c r="F58" i="15"/>
  <c r="E58" i="15"/>
  <c r="D58" i="15"/>
  <c r="C58" i="15"/>
  <c r="B58" i="15"/>
  <c r="A58" i="15"/>
  <c r="F57" i="15"/>
  <c r="E57" i="15"/>
  <c r="D57" i="15"/>
  <c r="C57" i="15"/>
  <c r="B57" i="15"/>
  <c r="A57" i="15"/>
  <c r="F56" i="15"/>
  <c r="E56" i="15"/>
  <c r="D56" i="15"/>
  <c r="C56" i="15"/>
  <c r="B56" i="15"/>
  <c r="A56" i="15"/>
  <c r="O56" i="15" s="1"/>
  <c r="F55" i="15"/>
  <c r="E55" i="15"/>
  <c r="D55" i="15"/>
  <c r="C55" i="15"/>
  <c r="B55" i="15"/>
  <c r="A55" i="15"/>
  <c r="F54" i="15"/>
  <c r="E54" i="15"/>
  <c r="D54" i="15"/>
  <c r="C54" i="15"/>
  <c r="B54" i="15"/>
  <c r="A54" i="15"/>
  <c r="I53" i="15"/>
  <c r="F53" i="15"/>
  <c r="E53" i="15"/>
  <c r="D53" i="15"/>
  <c r="C53" i="15"/>
  <c r="B53" i="15"/>
  <c r="A53" i="15"/>
  <c r="F52" i="15"/>
  <c r="E52" i="15"/>
  <c r="D52" i="15"/>
  <c r="C52" i="15"/>
  <c r="B52" i="15"/>
  <c r="A52" i="15"/>
  <c r="G52" i="15" s="1"/>
  <c r="F51" i="15"/>
  <c r="E51" i="15"/>
  <c r="D51" i="15"/>
  <c r="C51" i="15"/>
  <c r="B51" i="15"/>
  <c r="A51" i="15"/>
  <c r="F50" i="15"/>
  <c r="E50" i="15"/>
  <c r="D50" i="15"/>
  <c r="C50" i="15"/>
  <c r="B50" i="15"/>
  <c r="A50" i="15"/>
  <c r="P50" i="15" s="1"/>
  <c r="F49" i="15"/>
  <c r="E49" i="15"/>
  <c r="D49" i="15"/>
  <c r="C49" i="15"/>
  <c r="B49" i="15"/>
  <c r="A49" i="15"/>
  <c r="F48" i="15"/>
  <c r="E48" i="15"/>
  <c r="D48" i="15"/>
  <c r="C48" i="15"/>
  <c r="B48" i="15"/>
  <c r="A48" i="15"/>
  <c r="F47" i="15"/>
  <c r="E47" i="15"/>
  <c r="D47" i="15"/>
  <c r="C47" i="15"/>
  <c r="B47" i="15"/>
  <c r="A47" i="15"/>
  <c r="H47" i="15" s="1"/>
  <c r="F46" i="15"/>
  <c r="E46" i="15"/>
  <c r="D46" i="15"/>
  <c r="C46" i="15"/>
  <c r="B46" i="15"/>
  <c r="A46" i="15"/>
  <c r="F45" i="15"/>
  <c r="E45" i="15"/>
  <c r="D45" i="15"/>
  <c r="C45" i="15"/>
  <c r="B45" i="15"/>
  <c r="A45" i="15"/>
  <c r="H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P42" i="15"/>
  <c r="F42" i="15"/>
  <c r="E42" i="15"/>
  <c r="D42" i="15"/>
  <c r="C42" i="15"/>
  <c r="B42" i="15"/>
  <c r="A42" i="15"/>
  <c r="Q42" i="15" s="1"/>
  <c r="G41" i="15"/>
  <c r="F41" i="15"/>
  <c r="E41" i="15"/>
  <c r="D41" i="15"/>
  <c r="C41" i="15"/>
  <c r="B41" i="15"/>
  <c r="A41" i="15"/>
  <c r="N40" i="15"/>
  <c r="K40" i="15"/>
  <c r="F40" i="15"/>
  <c r="E40" i="15"/>
  <c r="D40" i="15"/>
  <c r="C40" i="15"/>
  <c r="B40" i="15"/>
  <c r="A40" i="15"/>
  <c r="F39" i="15"/>
  <c r="E39" i="15"/>
  <c r="D39" i="15"/>
  <c r="C39" i="15"/>
  <c r="B39" i="15"/>
  <c r="A39" i="15"/>
  <c r="F38" i="15"/>
  <c r="E38" i="15"/>
  <c r="D38" i="15"/>
  <c r="C38" i="15"/>
  <c r="B38" i="15"/>
  <c r="A38" i="15"/>
  <c r="F37" i="15"/>
  <c r="E37" i="15"/>
  <c r="D37" i="15"/>
  <c r="C37" i="15"/>
  <c r="B37" i="15"/>
  <c r="A37" i="15"/>
  <c r="N36" i="15"/>
  <c r="F36" i="15"/>
  <c r="E36" i="15"/>
  <c r="D36" i="15"/>
  <c r="C36" i="15"/>
  <c r="B36" i="15"/>
  <c r="A36" i="15"/>
  <c r="P36" i="15" s="1"/>
  <c r="N35" i="15"/>
  <c r="F35" i="15"/>
  <c r="E35" i="15"/>
  <c r="D35" i="15"/>
  <c r="C35" i="15"/>
  <c r="B35" i="15"/>
  <c r="A35" i="15"/>
  <c r="U35" i="15" s="1"/>
  <c r="P34" i="15"/>
  <c r="M34" i="15"/>
  <c r="F34" i="15"/>
  <c r="E34" i="15"/>
  <c r="D34" i="15"/>
  <c r="C34" i="15"/>
  <c r="B34" i="15"/>
  <c r="A34" i="15"/>
  <c r="S33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H32" i="15" s="1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R22" i="15"/>
  <c r="F22" i="15"/>
  <c r="E22" i="15"/>
  <c r="D22" i="15"/>
  <c r="C22" i="15"/>
  <c r="B22" i="15"/>
  <c r="A22" i="15"/>
  <c r="I21" i="15"/>
  <c r="F21" i="15"/>
  <c r="E21" i="15"/>
  <c r="D21" i="15"/>
  <c r="C21" i="15"/>
  <c r="B21" i="15"/>
  <c r="A21" i="15"/>
  <c r="P20" i="15"/>
  <c r="F20" i="15"/>
  <c r="E20" i="15"/>
  <c r="D20" i="15"/>
  <c r="C20" i="15"/>
  <c r="B20" i="15"/>
  <c r="A20" i="15"/>
  <c r="F19" i="15"/>
  <c r="E19" i="15"/>
  <c r="D19" i="15"/>
  <c r="C19" i="15"/>
  <c r="B19" i="15"/>
  <c r="A19" i="15"/>
  <c r="O19" i="15" s="1"/>
  <c r="F18" i="15"/>
  <c r="E18" i="15"/>
  <c r="D18" i="15"/>
  <c r="C18" i="15"/>
  <c r="B18" i="15"/>
  <c r="A18" i="15"/>
  <c r="F17" i="15"/>
  <c r="E17" i="15"/>
  <c r="D17" i="15"/>
  <c r="C17" i="15"/>
  <c r="B17" i="15"/>
  <c r="A17" i="15"/>
  <c r="F16" i="15"/>
  <c r="E16" i="15"/>
  <c r="D16" i="15"/>
  <c r="C16" i="15"/>
  <c r="B16" i="15"/>
  <c r="A16" i="15"/>
  <c r="Q15" i="15"/>
  <c r="F15" i="15"/>
  <c r="E15" i="15"/>
  <c r="D15" i="15"/>
  <c r="C15" i="15"/>
  <c r="B15" i="15"/>
  <c r="A15" i="15"/>
  <c r="F14" i="15"/>
  <c r="E14" i="15"/>
  <c r="D14" i="15"/>
  <c r="C14" i="15"/>
  <c r="B14" i="15"/>
  <c r="A14" i="15"/>
  <c r="P14" i="15" s="1"/>
  <c r="F13" i="15"/>
  <c r="E13" i="15"/>
  <c r="D13" i="15"/>
  <c r="C13" i="15"/>
  <c r="B13" i="15"/>
  <c r="A13" i="15"/>
  <c r="F12" i="15"/>
  <c r="E12" i="15"/>
  <c r="D12" i="15"/>
  <c r="C12" i="15"/>
  <c r="B12" i="15"/>
  <c r="A12" i="15"/>
  <c r="F11" i="15"/>
  <c r="E11" i="15"/>
  <c r="D11" i="15"/>
  <c r="C11" i="15"/>
  <c r="B11" i="15"/>
  <c r="A11" i="15"/>
  <c r="F10" i="15"/>
  <c r="E10" i="15"/>
  <c r="D10" i="15"/>
  <c r="C10" i="15"/>
  <c r="B10" i="15"/>
  <c r="A10" i="15"/>
  <c r="H10" i="15" s="1"/>
  <c r="F9" i="15"/>
  <c r="E9" i="15"/>
  <c r="D9" i="15"/>
  <c r="C9" i="15"/>
  <c r="B9" i="15"/>
  <c r="A9" i="15"/>
  <c r="F8" i="15"/>
  <c r="E8" i="15"/>
  <c r="D8" i="15"/>
  <c r="C8" i="15"/>
  <c r="B8" i="15"/>
  <c r="A8" i="15"/>
  <c r="F7" i="15"/>
  <c r="E7" i="15"/>
  <c r="D7" i="15"/>
  <c r="C7" i="15"/>
  <c r="B7" i="15"/>
  <c r="A7" i="15"/>
  <c r="I7" i="15" s="1"/>
  <c r="H6" i="15"/>
  <c r="F6" i="15"/>
  <c r="E6" i="15"/>
  <c r="D6" i="15"/>
  <c r="C6" i="15"/>
  <c r="B6" i="15"/>
  <c r="A6" i="15"/>
  <c r="S6" i="15" s="1"/>
  <c r="F5" i="15"/>
  <c r="E5" i="15"/>
  <c r="D5" i="15"/>
  <c r="C5" i="15"/>
  <c r="B5" i="15"/>
  <c r="A5" i="15"/>
  <c r="F4" i="15"/>
  <c r="E4" i="15"/>
  <c r="D4" i="15"/>
  <c r="C4" i="15"/>
  <c r="B4" i="15"/>
  <c r="A4" i="15"/>
  <c r="K3" i="15"/>
  <c r="F3" i="15"/>
  <c r="E3" i="15"/>
  <c r="D3" i="15"/>
  <c r="C3" i="15"/>
  <c r="B3" i="15"/>
  <c r="A3" i="15"/>
  <c r="F2" i="15"/>
  <c r="E2" i="15"/>
  <c r="H2" i="15" s="1"/>
  <c r="D2" i="15"/>
  <c r="C2" i="15"/>
  <c r="B2" i="15"/>
  <c r="A2" i="15"/>
  <c r="I672" i="9"/>
  <c r="I670" i="9"/>
  <c r="I669" i="9"/>
  <c r="H669" i="9"/>
  <c r="I668" i="9"/>
  <c r="I664" i="9"/>
  <c r="I663" i="9"/>
  <c r="I662" i="9"/>
  <c r="I661" i="9"/>
  <c r="I660" i="9"/>
  <c r="H660" i="9"/>
  <c r="I655" i="9"/>
  <c r="I654" i="9"/>
  <c r="I653" i="9"/>
  <c r="I648" i="9"/>
  <c r="I647" i="9"/>
  <c r="I646" i="9"/>
  <c r="I638" i="9"/>
  <c r="I637" i="9"/>
  <c r="I630" i="9"/>
  <c r="I623" i="9"/>
  <c r="I622" i="9"/>
  <c r="I620" i="9"/>
  <c r="H620" i="9"/>
  <c r="I614" i="9"/>
  <c r="I613" i="9"/>
  <c r="I612" i="9"/>
  <c r="H612" i="9"/>
  <c r="I608" i="9"/>
  <c r="I605" i="9"/>
  <c r="I604" i="9"/>
  <c r="I600" i="9"/>
  <c r="I599" i="9"/>
  <c r="I598" i="9"/>
  <c r="I596" i="9"/>
  <c r="I589" i="9"/>
  <c r="I584" i="9"/>
  <c r="I583" i="9"/>
  <c r="I575" i="9"/>
  <c r="I574" i="9"/>
  <c r="I567" i="9"/>
  <c r="I566" i="9"/>
  <c r="I559" i="9"/>
  <c r="I558" i="9"/>
  <c r="I556" i="9"/>
  <c r="H556" i="9"/>
  <c r="I550" i="9"/>
  <c r="I549" i="9"/>
  <c r="I548" i="9"/>
  <c r="I544" i="9"/>
  <c r="I543" i="9"/>
  <c r="I542" i="9"/>
  <c r="I541" i="9"/>
  <c r="H541" i="9"/>
  <c r="I540" i="9"/>
  <c r="I535" i="9"/>
  <c r="I533" i="9"/>
  <c r="I532" i="9"/>
  <c r="I528" i="9"/>
  <c r="I527" i="9"/>
  <c r="I525" i="9"/>
  <c r="I520" i="9"/>
  <c r="I519" i="9"/>
  <c r="I510" i="9"/>
  <c r="I502" i="9"/>
  <c r="I494" i="9"/>
  <c r="I492" i="9"/>
  <c r="I485" i="9"/>
  <c r="H485" i="9"/>
  <c r="I484" i="9"/>
  <c r="I480" i="9"/>
  <c r="I479" i="9"/>
  <c r="I478" i="9"/>
  <c r="I477" i="9"/>
  <c r="I476" i="9"/>
  <c r="I472" i="9"/>
  <c r="I471" i="9"/>
  <c r="I470" i="9"/>
  <c r="I468" i="9"/>
  <c r="I463" i="9"/>
  <c r="I462" i="9"/>
  <c r="I461" i="9"/>
  <c r="I456" i="9"/>
  <c r="I455" i="9"/>
  <c r="I454" i="9"/>
  <c r="H454" i="9"/>
  <c r="I445" i="9"/>
  <c r="I438" i="9"/>
  <c r="I431" i="9"/>
  <c r="I430" i="9"/>
  <c r="I428" i="9"/>
  <c r="I422" i="9"/>
  <c r="I421" i="9"/>
  <c r="I420" i="9"/>
  <c r="H420" i="9"/>
  <c r="I416" i="9"/>
  <c r="I415" i="9"/>
  <c r="I414" i="9"/>
  <c r="I413" i="9"/>
  <c r="H413" i="9"/>
  <c r="I412" i="9"/>
  <c r="I408" i="9"/>
  <c r="I407" i="9"/>
  <c r="I404" i="9"/>
  <c r="H404" i="9"/>
  <c r="I400" i="9"/>
  <c r="I399" i="9"/>
  <c r="I398" i="9"/>
  <c r="I397" i="9"/>
  <c r="I392" i="9"/>
  <c r="I383" i="9"/>
  <c r="I382" i="9"/>
  <c r="I375" i="9"/>
  <c r="I374" i="9"/>
  <c r="I373" i="9"/>
  <c r="H373" i="9"/>
  <c r="I367" i="9"/>
  <c r="I366" i="9"/>
  <c r="I365" i="9"/>
  <c r="I364" i="9"/>
  <c r="I358" i="9"/>
  <c r="I357" i="9"/>
  <c r="I356" i="9"/>
  <c r="I349" i="9"/>
  <c r="H349" i="9"/>
  <c r="I348" i="9"/>
  <c r="I344" i="9"/>
  <c r="I343" i="9"/>
  <c r="I342" i="9"/>
  <c r="I341" i="9"/>
  <c r="I340" i="9"/>
  <c r="I335" i="9"/>
  <c r="I333" i="9"/>
  <c r="I328" i="9"/>
  <c r="I319" i="9"/>
  <c r="I318" i="9"/>
  <c r="I311" i="9"/>
  <c r="I310" i="9"/>
  <c r="I302" i="9"/>
  <c r="I301" i="9"/>
  <c r="H301" i="9"/>
  <c r="I300" i="9"/>
  <c r="I294" i="9"/>
  <c r="I293" i="9"/>
  <c r="I292" i="9"/>
  <c r="H292" i="9"/>
  <c r="I288" i="9"/>
  <c r="I287" i="9"/>
  <c r="I285" i="9"/>
  <c r="I284" i="9"/>
  <c r="I280" i="9"/>
  <c r="I279" i="9"/>
  <c r="I278" i="9"/>
  <c r="I277" i="9"/>
  <c r="I276" i="9"/>
  <c r="I271" i="9"/>
  <c r="I270" i="9"/>
  <c r="I269" i="9"/>
  <c r="I264" i="9"/>
  <c r="I263" i="9"/>
  <c r="I255" i="9"/>
  <c r="I254" i="9"/>
  <c r="I247" i="9"/>
  <c r="I246" i="9"/>
  <c r="I238" i="9"/>
  <c r="I230" i="9"/>
  <c r="I228" i="9"/>
  <c r="I222" i="9"/>
  <c r="I221" i="9"/>
  <c r="I220" i="9"/>
  <c r="I216" i="9"/>
  <c r="I215" i="9"/>
  <c r="I213" i="9"/>
  <c r="H213" i="9"/>
  <c r="I212" i="9"/>
  <c r="I208" i="9"/>
  <c r="I205" i="9"/>
  <c r="I199" i="9"/>
  <c r="I191" i="9"/>
  <c r="I182" i="9"/>
  <c r="I175" i="9"/>
  <c r="I174" i="9"/>
  <c r="I172" i="9"/>
  <c r="I167" i="9"/>
  <c r="I166" i="9"/>
  <c r="I164" i="9"/>
  <c r="H164" i="9"/>
  <c r="I160" i="9"/>
  <c r="I158" i="9"/>
  <c r="I157" i="9"/>
  <c r="I156" i="9"/>
  <c r="I147" i="9"/>
  <c r="I140" i="9"/>
  <c r="I139" i="9"/>
  <c r="I137" i="9"/>
  <c r="I132" i="9"/>
  <c r="I131" i="9"/>
  <c r="I130" i="9"/>
  <c r="I129" i="9"/>
  <c r="H129" i="9"/>
  <c r="I125" i="9"/>
  <c r="I124" i="9"/>
  <c r="H124" i="9"/>
  <c r="I121" i="9"/>
  <c r="I117" i="9"/>
  <c r="I113" i="9"/>
  <c r="I108" i="9"/>
  <c r="I101" i="9"/>
  <c r="I100" i="9"/>
  <c r="I92" i="9"/>
  <c r="I83" i="9"/>
  <c r="I82" i="9"/>
  <c r="H82" i="9"/>
  <c r="I76" i="9"/>
  <c r="I74" i="9"/>
  <c r="I60" i="9"/>
  <c r="I58" i="9"/>
  <c r="I57" i="9"/>
  <c r="H57" i="9"/>
  <c r="I53" i="9"/>
  <c r="I52" i="9"/>
  <c r="I46" i="9"/>
  <c r="I41" i="9"/>
  <c r="I40" i="9"/>
  <c r="I39" i="9"/>
  <c r="I38" i="9"/>
  <c r="I33" i="9"/>
  <c r="I30" i="9"/>
  <c r="H30" i="9"/>
  <c r="I24" i="9"/>
  <c r="I22" i="9"/>
  <c r="H22" i="9"/>
  <c r="I14" i="9"/>
  <c r="I9" i="9"/>
  <c r="I8" i="9"/>
  <c r="I6" i="9"/>
  <c r="I3" i="9"/>
  <c r="O137" i="7"/>
  <c r="O68" i="7"/>
  <c r="N4" i="14"/>
  <c r="N3" i="14"/>
  <c r="N2" i="14"/>
  <c r="N1" i="14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K49" i="13" s="1"/>
  <c r="F39" i="3"/>
  <c r="F36" i="3"/>
  <c r="F35" i="3"/>
  <c r="F34" i="3"/>
  <c r="F33" i="3"/>
  <c r="F32" i="3"/>
  <c r="P1" i="3"/>
  <c r="E15" i="3" s="1"/>
  <c r="E287" i="16"/>
  <c r="F287" i="16" s="1"/>
  <c r="F988" i="16"/>
  <c r="E988" i="16"/>
  <c r="J39" i="15"/>
  <c r="U60" i="15"/>
  <c r="Q60" i="15"/>
  <c r="Q162" i="15"/>
  <c r="O162" i="15"/>
  <c r="O1252" i="16"/>
  <c r="E1252" i="16"/>
  <c r="Q46" i="15"/>
  <c r="I87" i="15"/>
  <c r="U87" i="15"/>
  <c r="E340" i="16"/>
  <c r="F340" i="16"/>
  <c r="M14" i="15"/>
  <c r="L14" i="15"/>
  <c r="G26" i="15"/>
  <c r="R38" i="15"/>
  <c r="N77" i="15"/>
  <c r="L77" i="15"/>
  <c r="R86" i="15"/>
  <c r="E454" i="16"/>
  <c r="P454" i="16" s="1"/>
  <c r="F454" i="16"/>
  <c r="F646" i="16"/>
  <c r="E646" i="16"/>
  <c r="I133" i="15"/>
  <c r="O651" i="16"/>
  <c r="O34" i="15"/>
  <c r="Q34" i="15"/>
  <c r="N47" i="15"/>
  <c r="E279" i="16"/>
  <c r="U30" i="15"/>
  <c r="P30" i="15"/>
  <c r="L30" i="15"/>
  <c r="R33" i="15"/>
  <c r="M36" i="15"/>
  <c r="I160" i="15"/>
  <c r="S32" i="15"/>
  <c r="P64" i="15"/>
  <c r="H124" i="15"/>
  <c r="I124" i="15"/>
  <c r="G144" i="15"/>
  <c r="N125" i="15"/>
  <c r="S60" i="15"/>
  <c r="K65" i="15"/>
  <c r="I117" i="15"/>
  <c r="L142" i="15"/>
  <c r="R7" i="15"/>
  <c r="M7" i="15"/>
  <c r="G10" i="15"/>
  <c r="U66" i="15"/>
  <c r="J87" i="15"/>
  <c r="N104" i="15"/>
  <c r="Q136" i="15"/>
  <c r="P136" i="15"/>
  <c r="M136" i="15"/>
  <c r="O1253" i="16"/>
  <c r="Q52" i="15"/>
  <c r="M52" i="15"/>
  <c r="N159" i="15"/>
  <c r="O163" i="15"/>
  <c r="N163" i="15"/>
  <c r="T535" i="16"/>
  <c r="Q18" i="15"/>
  <c r="Q79" i="15"/>
  <c r="U119" i="15"/>
  <c r="R119" i="15"/>
  <c r="E1013" i="16"/>
  <c r="E1141" i="16"/>
  <c r="E1175" i="16"/>
  <c r="F404" i="16"/>
  <c r="E404" i="16"/>
  <c r="F566" i="16"/>
  <c r="E926" i="16"/>
  <c r="F926" i="16" s="1"/>
  <c r="O4" i="15"/>
  <c r="O15" i="15"/>
  <c r="N15" i="15"/>
  <c r="R151" i="15"/>
  <c r="M151" i="15"/>
  <c r="G159" i="15"/>
  <c r="N168" i="15"/>
  <c r="E74" i="16"/>
  <c r="F76" i="16"/>
  <c r="T108" i="16"/>
  <c r="O262" i="16"/>
  <c r="P364" i="16"/>
  <c r="H364" i="9" s="1"/>
  <c r="E558" i="16"/>
  <c r="F558" i="16" s="1"/>
  <c r="E983" i="16"/>
  <c r="E1168" i="16"/>
  <c r="O1244" i="16"/>
  <c r="E1244" i="16"/>
  <c r="O69" i="15"/>
  <c r="G69" i="15"/>
  <c r="J107" i="15"/>
  <c r="Q107" i="15"/>
  <c r="S123" i="15"/>
  <c r="R123" i="15"/>
  <c r="Q123" i="15"/>
  <c r="F46" i="16"/>
  <c r="E228" i="16"/>
  <c r="F228" i="16" s="1"/>
  <c r="E352" i="16"/>
  <c r="E876" i="16"/>
  <c r="E76" i="16"/>
  <c r="P76" i="16" s="1"/>
  <c r="H76" i="9" s="1"/>
  <c r="P428" i="16"/>
  <c r="H428" i="9" s="1"/>
  <c r="E446" i="16"/>
  <c r="I446" i="9" s="1"/>
  <c r="E1078" i="16"/>
  <c r="E351" i="16"/>
  <c r="E638" i="16"/>
  <c r="F638" i="16" s="1"/>
  <c r="E1031" i="16"/>
  <c r="G3" i="15"/>
  <c r="O35" i="15"/>
  <c r="L50" i="15"/>
  <c r="J97" i="15"/>
  <c r="S98" i="15"/>
  <c r="P100" i="15"/>
  <c r="P130" i="15"/>
  <c r="E130" i="16"/>
  <c r="E430" i="16"/>
  <c r="F430" i="16" s="1"/>
  <c r="E468" i="16"/>
  <c r="F468" i="16" s="1"/>
  <c r="P556" i="16"/>
  <c r="O50" i="15"/>
  <c r="S130" i="15"/>
  <c r="F38" i="16"/>
  <c r="P212" i="16"/>
  <c r="H212" i="9" s="1"/>
  <c r="F212" i="16"/>
  <c r="E285" i="16"/>
  <c r="P285" i="16" s="1"/>
  <c r="H285" i="9" s="1"/>
  <c r="P420" i="16"/>
  <c r="E420" i="16"/>
  <c r="F420" i="16" s="1"/>
  <c r="E470" i="16"/>
  <c r="F470" i="16" s="1"/>
  <c r="E510" i="16"/>
  <c r="F510" i="16" s="1"/>
  <c r="E559" i="16"/>
  <c r="F559" i="16" s="1"/>
  <c r="E668" i="16"/>
  <c r="E676" i="16"/>
  <c r="F758" i="16"/>
  <c r="E758" i="16"/>
  <c r="E799" i="16"/>
  <c r="E967" i="16"/>
  <c r="E200" i="16"/>
  <c r="I200" i="9" s="1"/>
  <c r="E342" i="16"/>
  <c r="F342" i="16" s="1"/>
  <c r="E366" i="16"/>
  <c r="F366" i="16" s="1"/>
  <c r="E502" i="16"/>
  <c r="E846" i="16"/>
  <c r="F846" i="16" s="1"/>
  <c r="E976" i="16"/>
  <c r="O1283" i="16"/>
  <c r="E408" i="16"/>
  <c r="T408" i="16" s="1"/>
  <c r="E486" i="16"/>
  <c r="F486" i="16" s="1"/>
  <c r="E623" i="16"/>
  <c r="F623" i="16"/>
  <c r="E814" i="16"/>
  <c r="F814" i="16" s="1"/>
  <c r="E164" i="16"/>
  <c r="F164" i="16" s="1"/>
  <c r="E399" i="16"/>
  <c r="F399" i="16" s="1"/>
  <c r="E422" i="16"/>
  <c r="F422" i="16" s="1"/>
  <c r="E543" i="16"/>
  <c r="F574" i="16"/>
  <c r="E815" i="16"/>
  <c r="E878" i="16"/>
  <c r="F878" i="16" s="1"/>
  <c r="E1045" i="16"/>
  <c r="E1240" i="16"/>
  <c r="E216" i="16"/>
  <c r="T216" i="16" s="1"/>
  <c r="E222" i="16"/>
  <c r="F222" i="16" s="1"/>
  <c r="E230" i="16"/>
  <c r="F230" i="16" s="1"/>
  <c r="E686" i="16"/>
  <c r="F686" i="16" s="1"/>
  <c r="E719" i="16"/>
  <c r="E870" i="16"/>
  <c r="F870" i="16" s="1"/>
  <c r="V19" i="17"/>
  <c r="AB101" i="17"/>
  <c r="AA156" i="17"/>
  <c r="Y156" i="17"/>
  <c r="Z156" i="17"/>
  <c r="AB73" i="17"/>
  <c r="R156" i="17"/>
  <c r="U29" i="17"/>
  <c r="T29" i="17"/>
  <c r="V13" i="17"/>
  <c r="W13" i="17"/>
  <c r="X75" i="17"/>
  <c r="U7" i="17"/>
  <c r="V7" i="17"/>
  <c r="X156" i="17"/>
  <c r="L29" i="17"/>
  <c r="S29" i="17"/>
  <c r="K52" i="17"/>
  <c r="S12" i="15"/>
  <c r="S82" i="15"/>
  <c r="L82" i="15"/>
  <c r="K82" i="15"/>
  <c r="Q154" i="15"/>
  <c r="R5" i="15"/>
  <c r="Q82" i="15"/>
  <c r="S126" i="15"/>
  <c r="Q126" i="15"/>
  <c r="O25" i="15"/>
  <c r="S7" i="15"/>
  <c r="G14" i="15"/>
  <c r="S14" i="15"/>
  <c r="Q14" i="15"/>
  <c r="M146" i="15"/>
  <c r="Q146" i="15"/>
  <c r="O146" i="15"/>
  <c r="Q8" i="15"/>
  <c r="O8" i="15"/>
  <c r="P8" i="15"/>
  <c r="R41" i="15"/>
  <c r="O41" i="15"/>
  <c r="S48" i="15"/>
  <c r="G48" i="15"/>
  <c r="Q56" i="15"/>
  <c r="Q76" i="15"/>
  <c r="S76" i="15"/>
  <c r="L76" i="15"/>
  <c r="Q142" i="15"/>
  <c r="O142" i="15"/>
  <c r="S142" i="15"/>
  <c r="M142" i="15"/>
  <c r="U147" i="15"/>
  <c r="N147" i="15"/>
  <c r="P19" i="15"/>
  <c r="Q41" i="15"/>
  <c r="O132" i="15"/>
  <c r="U12" i="15"/>
  <c r="P82" i="15"/>
  <c r="Q94" i="15"/>
  <c r="I134" i="15"/>
  <c r="M137" i="15"/>
  <c r="N137" i="15"/>
  <c r="AE137" i="15" s="1"/>
  <c r="S172" i="15"/>
  <c r="Q172" i="15"/>
  <c r="G32" i="15"/>
  <c r="I11" i="15"/>
  <c r="H12" i="15"/>
  <c r="R26" i="15"/>
  <c r="P26" i="15"/>
  <c r="O26" i="15"/>
  <c r="Q36" i="15"/>
  <c r="O36" i="15"/>
  <c r="O137" i="15"/>
  <c r="Q143" i="15"/>
  <c r="G154" i="15"/>
  <c r="O164" i="15"/>
  <c r="U172" i="15"/>
  <c r="S94" i="15"/>
  <c r="H16" i="15"/>
  <c r="G16" i="15"/>
  <c r="Q25" i="15"/>
  <c r="O47" i="15"/>
  <c r="Q47" i="15"/>
  <c r="O126" i="15"/>
  <c r="P47" i="15"/>
  <c r="J81" i="15"/>
  <c r="Q84" i="15"/>
  <c r="P84" i="15"/>
  <c r="P56" i="15"/>
  <c r="P98" i="15"/>
  <c r="O98" i="15"/>
  <c r="H118" i="15"/>
  <c r="Q141" i="15"/>
  <c r="I12" i="15"/>
  <c r="P15" i="15"/>
  <c r="G25" i="15"/>
  <c r="H28" i="15"/>
  <c r="G42" i="15"/>
  <c r="O42" i="15"/>
  <c r="R42" i="15"/>
  <c r="G47" i="15"/>
  <c r="Q57" i="15"/>
  <c r="K92" i="15"/>
  <c r="P94" i="15"/>
  <c r="Q137" i="15"/>
  <c r="H154" i="15"/>
  <c r="N169" i="15"/>
  <c r="R169" i="15"/>
  <c r="N173" i="15"/>
  <c r="AE173" i="15" s="1"/>
  <c r="O173" i="7" s="1"/>
  <c r="M173" i="15"/>
  <c r="O173" i="15"/>
  <c r="P174" i="15"/>
  <c r="U174" i="15"/>
  <c r="R167" i="15"/>
  <c r="I167" i="15"/>
  <c r="M3" i="15"/>
  <c r="I6" i="15"/>
  <c r="Q10" i="15"/>
  <c r="P35" i="15"/>
  <c r="Q38" i="15"/>
  <c r="S38" i="15"/>
  <c r="Q43" i="15"/>
  <c r="O52" i="15"/>
  <c r="L66" i="15"/>
  <c r="O83" i="15"/>
  <c r="U83" i="15"/>
  <c r="P120" i="15"/>
  <c r="S171" i="15"/>
  <c r="O175" i="15"/>
  <c r="U162" i="15"/>
  <c r="U33" i="15"/>
  <c r="N52" i="15"/>
  <c r="AE52" i="15" s="1"/>
  <c r="O52" i="7" s="1"/>
  <c r="Q106" i="15"/>
  <c r="O120" i="15"/>
  <c r="N3" i="15"/>
  <c r="R6" i="15"/>
  <c r="R10" i="15"/>
  <c r="H15" i="15"/>
  <c r="P52" i="15"/>
  <c r="H75" i="15"/>
  <c r="S91" i="15"/>
  <c r="R91" i="15"/>
  <c r="K93" i="15"/>
  <c r="O93" i="15"/>
  <c r="O95" i="15"/>
  <c r="N95" i="15"/>
  <c r="G132" i="15"/>
  <c r="O168" i="15"/>
  <c r="I173" i="15"/>
  <c r="R29" i="15"/>
  <c r="Q88" i="15"/>
  <c r="P116" i="15"/>
  <c r="Q9" i="15"/>
  <c r="O66" i="15"/>
  <c r="S75" i="15"/>
  <c r="Q91" i="15"/>
  <c r="G94" i="15"/>
  <c r="R122" i="15"/>
  <c r="R138" i="15"/>
  <c r="P159" i="15"/>
  <c r="N24" i="15"/>
  <c r="Q40" i="15"/>
  <c r="M40" i="15"/>
  <c r="M50" i="15"/>
  <c r="P66" i="15"/>
  <c r="O80" i="15"/>
  <c r="G83" i="15"/>
  <c r="N88" i="15"/>
  <c r="Q93" i="15"/>
  <c r="I102" i="15"/>
  <c r="H102" i="15"/>
  <c r="Q127" i="15"/>
  <c r="N131" i="15"/>
  <c r="AE131" i="15" s="1"/>
  <c r="O131" i="7" s="1"/>
  <c r="S151" i="15"/>
  <c r="Q69" i="15"/>
  <c r="S110" i="15"/>
  <c r="H143" i="15"/>
  <c r="I151" i="15"/>
  <c r="P163" i="15"/>
  <c r="H76" i="15"/>
  <c r="P78" i="15"/>
  <c r="P79" i="15"/>
  <c r="I86" i="15"/>
  <c r="R105" i="15"/>
  <c r="S119" i="15"/>
  <c r="Q125" i="15"/>
  <c r="R150" i="15"/>
  <c r="H152" i="15"/>
  <c r="M116" i="15"/>
  <c r="P123" i="15"/>
  <c r="U2" i="15"/>
  <c r="O2" i="15"/>
  <c r="P2" i="15"/>
  <c r="T52" i="17"/>
  <c r="N171" i="17"/>
  <c r="V11" i="17"/>
  <c r="X27" i="17"/>
  <c r="N35" i="17"/>
  <c r="T35" i="17"/>
  <c r="U75" i="17"/>
  <c r="AB154" i="17"/>
  <c r="W171" i="17"/>
  <c r="X44" i="17"/>
  <c r="X164" i="17"/>
  <c r="M27" i="17"/>
  <c r="Q44" i="17"/>
  <c r="X59" i="17"/>
  <c r="AB76" i="17"/>
  <c r="Q98" i="17"/>
  <c r="AO164" i="17"/>
  <c r="AA170" i="17"/>
  <c r="U27" i="17"/>
  <c r="S59" i="17"/>
  <c r="T154" i="17"/>
  <c r="U11" i="17"/>
  <c r="T75" i="17"/>
  <c r="W154" i="17"/>
  <c r="V165" i="17"/>
  <c r="W7" i="17"/>
  <c r="T7" i="17"/>
  <c r="T21" i="17"/>
  <c r="U35" i="17"/>
  <c r="T73" i="17"/>
  <c r="V75" i="17"/>
  <c r="AB171" i="17"/>
  <c r="N27" i="17"/>
  <c r="AB51" i="17"/>
  <c r="AA83" i="17"/>
  <c r="W27" i="17"/>
  <c r="W52" i="17"/>
  <c r="AA9" i="17"/>
  <c r="S21" i="17"/>
  <c r="W75" i="17"/>
  <c r="W147" i="17"/>
  <c r="K6" i="17"/>
  <c r="K98" i="17"/>
  <c r="K59" i="17"/>
  <c r="Q156" i="17"/>
  <c r="T2" i="17"/>
  <c r="M7" i="17"/>
  <c r="L59" i="17"/>
  <c r="AA138" i="17"/>
  <c r="X138" i="17"/>
  <c r="X163" i="17"/>
  <c r="V163" i="17"/>
  <c r="T163" i="17"/>
  <c r="U163" i="17"/>
  <c r="AB90" i="17"/>
  <c r="N15" i="17"/>
  <c r="X17" i="17"/>
  <c r="W163" i="17"/>
  <c r="Q82" i="17"/>
  <c r="N147" i="17"/>
  <c r="K20" i="17"/>
  <c r="L22" i="17"/>
  <c r="Y22" i="17"/>
  <c r="AO22" i="17"/>
  <c r="S34" i="17"/>
  <c r="Z58" i="17"/>
  <c r="X58" i="17"/>
  <c r="AB82" i="17"/>
  <c r="L108" i="17"/>
  <c r="AB155" i="17"/>
  <c r="AA155" i="17"/>
  <c r="U155" i="17"/>
  <c r="X155" i="17"/>
  <c r="X7" i="17"/>
  <c r="R34" i="17"/>
  <c r="L6" i="17"/>
  <c r="T6" i="17"/>
  <c r="K7" i="17"/>
  <c r="W34" i="17"/>
  <c r="AA37" i="17"/>
  <c r="X52" i="17"/>
  <c r="AB58" i="17"/>
  <c r="Q60" i="17"/>
  <c r="U61" i="17"/>
  <c r="U93" i="17"/>
  <c r="K114" i="17"/>
  <c r="N133" i="17"/>
  <c r="M133" i="17"/>
  <c r="AB133" i="17"/>
  <c r="AA133" i="17"/>
  <c r="X133" i="17"/>
  <c r="Y170" i="17"/>
  <c r="X170" i="17"/>
  <c r="AB170" i="17"/>
  <c r="AB172" i="17"/>
  <c r="X172" i="17"/>
  <c r="AA172" i="17"/>
  <c r="AB107" i="17"/>
  <c r="M59" i="17"/>
  <c r="X135" i="17"/>
  <c r="N163" i="17"/>
  <c r="AA59" i="17"/>
  <c r="AB139" i="17"/>
  <c r="K141" i="17"/>
  <c r="AO4" i="17"/>
  <c r="L4" i="17"/>
  <c r="AB4" i="17"/>
  <c r="U97" i="17"/>
  <c r="K155" i="17"/>
  <c r="R20" i="17"/>
  <c r="AB28" i="17"/>
  <c r="AA28" i="17"/>
  <c r="Y28" i="17"/>
  <c r="Q28" i="17"/>
  <c r="X28" i="17"/>
  <c r="T34" i="17"/>
  <c r="AA58" i="17"/>
  <c r="AA60" i="17"/>
  <c r="K83" i="17"/>
  <c r="AA34" i="17"/>
  <c r="AB40" i="17"/>
  <c r="W59" i="17"/>
  <c r="U59" i="17"/>
  <c r="V59" i="17"/>
  <c r="N59" i="17"/>
  <c r="T59" i="17"/>
  <c r="K73" i="17"/>
  <c r="AA74" i="17"/>
  <c r="AB74" i="17"/>
  <c r="AA93" i="17"/>
  <c r="U127" i="17"/>
  <c r="Q172" i="17"/>
  <c r="W83" i="17"/>
  <c r="K90" i="17"/>
  <c r="R172" i="17"/>
  <c r="S4" i="17"/>
  <c r="M13" i="17"/>
  <c r="S22" i="17"/>
  <c r="R28" i="17"/>
  <c r="V51" i="17"/>
  <c r="K66" i="17"/>
  <c r="Q76" i="17"/>
  <c r="X83" i="17"/>
  <c r="K89" i="17"/>
  <c r="AA91" i="17"/>
  <c r="S101" i="17"/>
  <c r="S107" i="17"/>
  <c r="Q114" i="17"/>
  <c r="V171" i="17"/>
  <c r="U171" i="17"/>
  <c r="W4" i="17"/>
  <c r="V9" i="17"/>
  <c r="R12" i="17"/>
  <c r="K27" i="17"/>
  <c r="L28" i="17"/>
  <c r="Z74" i="17"/>
  <c r="W114" i="17"/>
  <c r="U165" i="17"/>
  <c r="S13" i="17"/>
  <c r="N13" i="17"/>
  <c r="K22" i="17"/>
  <c r="K58" i="17"/>
  <c r="Y76" i="17"/>
  <c r="T89" i="17"/>
  <c r="W109" i="17"/>
  <c r="X109" i="17"/>
  <c r="U109" i="17"/>
  <c r="L156" i="17"/>
  <c r="R170" i="17"/>
  <c r="S6" i="17"/>
  <c r="S17" i="17"/>
  <c r="R76" i="17"/>
  <c r="S133" i="17"/>
  <c r="AA33" i="17"/>
  <c r="M81" i="17"/>
  <c r="L81" i="17"/>
  <c r="AA81" i="17"/>
  <c r="Q92" i="17"/>
  <c r="L92" i="17"/>
  <c r="X92" i="17"/>
  <c r="R92" i="17"/>
  <c r="Y92" i="17"/>
  <c r="AB92" i="17"/>
  <c r="Z92" i="17"/>
  <c r="AA92" i="17"/>
  <c r="X105" i="17"/>
  <c r="S5" i="17"/>
  <c r="AB5" i="17"/>
  <c r="N5" i="17"/>
  <c r="W5" i="17"/>
  <c r="V5" i="17"/>
  <c r="AA5" i="17"/>
  <c r="T5" i="17"/>
  <c r="X5" i="17"/>
  <c r="U5" i="17"/>
  <c r="AO16" i="17"/>
  <c r="T50" i="17"/>
  <c r="S50" i="17"/>
  <c r="AO50" i="17"/>
  <c r="AB50" i="17"/>
  <c r="W50" i="17"/>
  <c r="R66" i="17"/>
  <c r="AA125" i="17"/>
  <c r="U125" i="17"/>
  <c r="L44" i="17"/>
  <c r="Q50" i="17"/>
  <c r="Z106" i="17"/>
  <c r="Y106" i="17"/>
  <c r="W106" i="17"/>
  <c r="Q106" i="17"/>
  <c r="AA106" i="17"/>
  <c r="X106" i="17"/>
  <c r="AB106" i="17"/>
  <c r="W122" i="17"/>
  <c r="L122" i="17"/>
  <c r="AA122" i="17"/>
  <c r="Z122" i="17"/>
  <c r="AB122" i="17"/>
  <c r="Y122" i="17"/>
  <c r="S128" i="17"/>
  <c r="AB128" i="17"/>
  <c r="R44" i="17"/>
  <c r="R106" i="17"/>
  <c r="AB141" i="17"/>
  <c r="N141" i="17"/>
  <c r="AA141" i="17"/>
  <c r="M141" i="17"/>
  <c r="S141" i="17"/>
  <c r="L141" i="17"/>
  <c r="X141" i="17"/>
  <c r="U141" i="17"/>
  <c r="W141" i="17"/>
  <c r="V141" i="17"/>
  <c r="X169" i="17"/>
  <c r="X12" i="17"/>
  <c r="Y12" i="17"/>
  <c r="L12" i="17"/>
  <c r="Y42" i="17"/>
  <c r="X42" i="17"/>
  <c r="AB42" i="17"/>
  <c r="AA42" i="17"/>
  <c r="Z42" i="17"/>
  <c r="K42" i="17"/>
  <c r="W42" i="17"/>
  <c r="Q42" i="17"/>
  <c r="L42" i="17"/>
  <c r="W65" i="17"/>
  <c r="V65" i="17"/>
  <c r="N65" i="17"/>
  <c r="U91" i="17"/>
  <c r="T91" i="17"/>
  <c r="N91" i="17"/>
  <c r="M91" i="17"/>
  <c r="X91" i="17"/>
  <c r="K91" i="17"/>
  <c r="W91" i="17"/>
  <c r="L91" i="17"/>
  <c r="V91" i="17"/>
  <c r="T141" i="17"/>
  <c r="M5" i="17"/>
  <c r="K106" i="17"/>
  <c r="X122" i="17"/>
  <c r="Z128" i="17"/>
  <c r="Y30" i="17"/>
  <c r="L106" i="17"/>
  <c r="Q12" i="17"/>
  <c r="AB43" i="17"/>
  <c r="N43" i="17"/>
  <c r="AA43" i="17"/>
  <c r="M43" i="17"/>
  <c r="W43" i="17"/>
  <c r="V43" i="17"/>
  <c r="T43" i="17"/>
  <c r="X43" i="17"/>
  <c r="S43" i="17"/>
  <c r="U43" i="17"/>
  <c r="V55" i="17"/>
  <c r="N127" i="17"/>
  <c r="L5" i="17"/>
  <c r="J50" i="17"/>
  <c r="X49" i="17"/>
  <c r="AA49" i="17"/>
  <c r="R50" i="17"/>
  <c r="X11" i="17"/>
  <c r="W11" i="17"/>
  <c r="L11" i="17"/>
  <c r="K43" i="17"/>
  <c r="L100" i="17"/>
  <c r="V121" i="17"/>
  <c r="AA121" i="17"/>
  <c r="X121" i="17"/>
  <c r="N121" i="17"/>
  <c r="L60" i="17"/>
  <c r="N67" i="17"/>
  <c r="AB67" i="17"/>
  <c r="M67" i="17"/>
  <c r="T67" i="17"/>
  <c r="L67" i="17"/>
  <c r="M41" i="17"/>
  <c r="AL41" i="17" s="1"/>
  <c r="W41" i="17"/>
  <c r="T51" i="17"/>
  <c r="N51" i="17"/>
  <c r="AA51" i="17"/>
  <c r="X51" i="17"/>
  <c r="S91" i="17"/>
  <c r="T155" i="17"/>
  <c r="S155" i="17"/>
  <c r="W155" i="17"/>
  <c r="V155" i="17"/>
  <c r="J20" i="17"/>
  <c r="N29" i="17"/>
  <c r="AO36" i="17"/>
  <c r="L51" i="17"/>
  <c r="R60" i="17"/>
  <c r="V67" i="17"/>
  <c r="Q74" i="17"/>
  <c r="U83" i="17"/>
  <c r="T83" i="17"/>
  <c r="V83" i="17"/>
  <c r="N83" i="17"/>
  <c r="V113" i="17"/>
  <c r="U113" i="17"/>
  <c r="T129" i="17"/>
  <c r="N129" i="17"/>
  <c r="V131" i="17"/>
  <c r="U147" i="17"/>
  <c r="T147" i="17"/>
  <c r="AA147" i="17"/>
  <c r="X147" i="17"/>
  <c r="L155" i="17"/>
  <c r="R162" i="17"/>
  <c r="T173" i="17"/>
  <c r="K4" i="17"/>
  <c r="K10" i="17"/>
  <c r="J36" i="17"/>
  <c r="U67" i="17"/>
  <c r="L74" i="17"/>
  <c r="S84" i="17"/>
  <c r="R84" i="17"/>
  <c r="AO84" i="17"/>
  <c r="L124" i="17"/>
  <c r="K13" i="17"/>
  <c r="N19" i="17"/>
  <c r="AB19" i="17"/>
  <c r="M19" i="17"/>
  <c r="X19" i="17"/>
  <c r="W19" i="17"/>
  <c r="L20" i="17"/>
  <c r="AB35" i="17"/>
  <c r="M35" i="17"/>
  <c r="AA35" i="17"/>
  <c r="L35" i="17"/>
  <c r="W35" i="17"/>
  <c r="V35" i="17"/>
  <c r="S51" i="17"/>
  <c r="M51" i="17"/>
  <c r="Z60" i="17"/>
  <c r="W67" i="17"/>
  <c r="Y74" i="17"/>
  <c r="L83" i="17"/>
  <c r="AA90" i="17"/>
  <c r="Z90" i="17"/>
  <c r="W90" i="17"/>
  <c r="L90" i="17"/>
  <c r="L129" i="17"/>
  <c r="V133" i="17"/>
  <c r="U133" i="17"/>
  <c r="W133" i="17"/>
  <c r="T133" i="17"/>
  <c r="L147" i="17"/>
  <c r="Z154" i="17"/>
  <c r="Y154" i="17"/>
  <c r="AA154" i="17"/>
  <c r="X154" i="17"/>
  <c r="M155" i="17"/>
  <c r="S162" i="17"/>
  <c r="AA29" i="17"/>
  <c r="X29" i="17"/>
  <c r="U57" i="17"/>
  <c r="T57" i="17"/>
  <c r="M29" i="17"/>
  <c r="R42" i="17"/>
  <c r="W111" i="17"/>
  <c r="J114" i="17"/>
  <c r="AA114" i="17"/>
  <c r="V3" i="17"/>
  <c r="K5" i="17"/>
  <c r="X20" i="17"/>
  <c r="AA44" i="17"/>
  <c r="Z44" i="17"/>
  <c r="AB44" i="17"/>
  <c r="Y44" i="17"/>
  <c r="K50" i="17"/>
  <c r="U51" i="17"/>
  <c r="X67" i="17"/>
  <c r="AB77" i="17"/>
  <c r="S83" i="17"/>
  <c r="M83" i="17"/>
  <c r="AL83" i="17" s="1"/>
  <c r="S89" i="17"/>
  <c r="N89" i="17"/>
  <c r="X90" i="17"/>
  <c r="J98" i="17"/>
  <c r="K107" i="17"/>
  <c r="S129" i="17"/>
  <c r="M129" i="17"/>
  <c r="L133" i="17"/>
  <c r="K138" i="17"/>
  <c r="S147" i="17"/>
  <c r="M147" i="17"/>
  <c r="J154" i="17"/>
  <c r="K154" i="17"/>
  <c r="N155" i="17"/>
  <c r="W164" i="17"/>
  <c r="L164" i="17"/>
  <c r="U173" i="17"/>
  <c r="S7" i="17"/>
  <c r="AB7" i="17"/>
  <c r="N7" i="17"/>
  <c r="AA7" i="17"/>
  <c r="K11" i="17"/>
  <c r="U13" i="17"/>
  <c r="T13" i="17"/>
  <c r="AA13" i="17"/>
  <c r="AB21" i="17"/>
  <c r="N21" i="17"/>
  <c r="AA21" i="17"/>
  <c r="M21" i="17"/>
  <c r="T27" i="17"/>
  <c r="S27" i="17"/>
  <c r="AA27" i="17"/>
  <c r="AB75" i="17"/>
  <c r="M75" i="17"/>
  <c r="AA75" i="17"/>
  <c r="L75" i="17"/>
  <c r="AA76" i="17"/>
  <c r="Z76" i="17"/>
  <c r="S82" i="17"/>
  <c r="R82" i="17"/>
  <c r="AA104" i="17"/>
  <c r="L117" i="17"/>
  <c r="K122" i="17"/>
  <c r="AB163" i="17"/>
  <c r="M163" i="17"/>
  <c r="AA163" i="17"/>
  <c r="L163" i="17"/>
  <c r="W170" i="17"/>
  <c r="Q170" i="17"/>
  <c r="AA171" i="17"/>
  <c r="L171" i="17"/>
  <c r="X171" i="17"/>
  <c r="K171" i="17"/>
  <c r="Z172" i="17"/>
  <c r="Y172" i="17"/>
  <c r="L7" i="17"/>
  <c r="AB11" i="17"/>
  <c r="N11" i="17"/>
  <c r="AA11" i="17"/>
  <c r="M11" i="17"/>
  <c r="AA12" i="17"/>
  <c r="Z12" i="17"/>
  <c r="L13" i="17"/>
  <c r="AB13" i="17"/>
  <c r="L21" i="17"/>
  <c r="W22" i="17"/>
  <c r="L27" i="17"/>
  <c r="AB27" i="17"/>
  <c r="W29" i="17"/>
  <c r="Q58" i="17"/>
  <c r="L58" i="17"/>
  <c r="Y60" i="17"/>
  <c r="X60" i="17"/>
  <c r="X74" i="17"/>
  <c r="W74" i="17"/>
  <c r="K75" i="17"/>
  <c r="L76" i="17"/>
  <c r="W82" i="17"/>
  <c r="K82" i="17"/>
  <c r="AA85" i="17"/>
  <c r="R90" i="17"/>
  <c r="L97" i="17"/>
  <c r="K147" i="17"/>
  <c r="K170" i="17"/>
  <c r="M171" i="17"/>
  <c r="L172" i="17"/>
  <c r="S19" i="17"/>
  <c r="K29" i="17"/>
  <c r="V29" i="17"/>
  <c r="V49" i="17"/>
  <c r="S65" i="17"/>
  <c r="S67" i="17"/>
  <c r="K74" i="17"/>
  <c r="S75" i="17"/>
  <c r="V109" i="17"/>
  <c r="S113" i="17"/>
  <c r="K132" i="17"/>
  <c r="O133" i="17" s="1"/>
  <c r="AI133" i="17" s="1"/>
  <c r="AB156" i="17"/>
  <c r="K169" i="17"/>
  <c r="V169" i="17"/>
  <c r="S35" i="17"/>
  <c r="R58" i="17"/>
  <c r="J130" i="17"/>
  <c r="K133" i="17"/>
  <c r="S163" i="17"/>
  <c r="S171" i="17"/>
  <c r="T263" i="16"/>
  <c r="F894" i="16"/>
  <c r="E894" i="16"/>
  <c r="T191" i="16"/>
  <c r="T255" i="16"/>
  <c r="F724" i="16"/>
  <c r="E724" i="16"/>
  <c r="T271" i="16"/>
  <c r="F365" i="16"/>
  <c r="E365" i="16"/>
  <c r="P365" i="16" s="1"/>
  <c r="H365" i="9" s="1"/>
  <c r="E412" i="16"/>
  <c r="E648" i="16"/>
  <c r="E684" i="16"/>
  <c r="E158" i="16"/>
  <c r="F158" i="16" s="1"/>
  <c r="T327" i="16"/>
  <c r="F541" i="16"/>
  <c r="E541" i="16"/>
  <c r="P541" i="16" s="1"/>
  <c r="F999" i="16"/>
  <c r="E1333" i="16"/>
  <c r="E3" i="16"/>
  <c r="P46" i="16"/>
  <c r="H46" i="9" s="1"/>
  <c r="E92" i="16"/>
  <c r="E139" i="16"/>
  <c r="F139" i="16" s="1"/>
  <c r="E271" i="16"/>
  <c r="F271" i="16" s="1"/>
  <c r="E280" i="16"/>
  <c r="T280" i="16" s="1"/>
  <c r="E293" i="16"/>
  <c r="E356" i="16"/>
  <c r="E357" i="16"/>
  <c r="F357" i="16" s="1"/>
  <c r="E364" i="16"/>
  <c r="F477" i="16"/>
  <c r="E477" i="16"/>
  <c r="P477" i="16" s="1"/>
  <c r="H477" i="9" s="1"/>
  <c r="T647" i="16"/>
  <c r="E660" i="16"/>
  <c r="F660" i="16" s="1"/>
  <c r="T660" i="16"/>
  <c r="P660" i="16"/>
  <c r="E661" i="16"/>
  <c r="E864" i="16"/>
  <c r="E981" i="16"/>
  <c r="F981" i="16"/>
  <c r="E1086" i="16"/>
  <c r="F1086" i="16"/>
  <c r="F1142" i="16"/>
  <c r="E1142" i="16"/>
  <c r="E1303" i="16"/>
  <c r="O1338" i="16" s="1"/>
  <c r="E33" i="16"/>
  <c r="F293" i="16"/>
  <c r="E318" i="16"/>
  <c r="F318" i="16" s="1"/>
  <c r="F356" i="16"/>
  <c r="E392" i="16"/>
  <c r="O394" i="16" s="1"/>
  <c r="E461" i="16"/>
  <c r="F461" i="16" s="1"/>
  <c r="E549" i="16"/>
  <c r="E630" i="16"/>
  <c r="F630" i="16"/>
  <c r="E740" i="16"/>
  <c r="F740" i="16" s="1"/>
  <c r="F855" i="16"/>
  <c r="E855" i="16"/>
  <c r="F1309" i="16"/>
  <c r="E1309" i="16"/>
  <c r="T276" i="16"/>
  <c r="E276" i="16"/>
  <c r="F276" i="16" s="1"/>
  <c r="P293" i="16"/>
  <c r="H293" i="9" s="1"/>
  <c r="F374" i="16"/>
  <c r="E374" i="16"/>
  <c r="F797" i="16"/>
  <c r="E797" i="16"/>
  <c r="E886" i="16"/>
  <c r="F886" i="16"/>
  <c r="E484" i="16"/>
  <c r="F484" i="16" s="1"/>
  <c r="E805" i="16"/>
  <c r="E920" i="16"/>
  <c r="E1004" i="16"/>
  <c r="T57" i="16"/>
  <c r="E100" i="16"/>
  <c r="E140" i="16"/>
  <c r="E246" i="16"/>
  <c r="T343" i="16"/>
  <c r="E781" i="16"/>
  <c r="F781" i="16" s="1"/>
  <c r="E902" i="16"/>
  <c r="F902" i="16" s="1"/>
  <c r="E957" i="16"/>
  <c r="F1214" i="16"/>
  <c r="E1214" i="16"/>
  <c r="E319" i="16"/>
  <c r="F319" i="16" s="1"/>
  <c r="E382" i="16"/>
  <c r="F382" i="16" s="1"/>
  <c r="E550" i="16"/>
  <c r="F550" i="16" s="1"/>
  <c r="T663" i="16"/>
  <c r="E1006" i="16"/>
  <c r="F1006" i="16" s="1"/>
  <c r="E8" i="16"/>
  <c r="E22" i="16"/>
  <c r="P22" i="16" s="1"/>
  <c r="E23" i="16"/>
  <c r="E40" i="16"/>
  <c r="E48" i="16"/>
  <c r="E58" i="16"/>
  <c r="F58" i="16" s="1"/>
  <c r="E61" i="16"/>
  <c r="T61" i="16" s="1"/>
  <c r="E71" i="16"/>
  <c r="E81" i="16"/>
  <c r="P81" i="16" s="1"/>
  <c r="H81" i="9" s="1"/>
  <c r="E82" i="16"/>
  <c r="P82" i="16" s="1"/>
  <c r="F113" i="16"/>
  <c r="E124" i="16"/>
  <c r="P124" i="16" s="1"/>
  <c r="T156" i="16"/>
  <c r="P156" i="16"/>
  <c r="H156" i="9" s="1"/>
  <c r="E167" i="16"/>
  <c r="E198" i="16"/>
  <c r="F198" i="16" s="1"/>
  <c r="F246" i="16"/>
  <c r="F254" i="16"/>
  <c r="E269" i="16"/>
  <c r="F269" i="16" s="1"/>
  <c r="T348" i="16"/>
  <c r="P348" i="16"/>
  <c r="H348" i="9" s="1"/>
  <c r="T407" i="16"/>
  <c r="E438" i="16"/>
  <c r="F438" i="16"/>
  <c r="E456" i="16"/>
  <c r="F476" i="16"/>
  <c r="E653" i="16"/>
  <c r="F653" i="16" s="1"/>
  <c r="T664" i="16"/>
  <c r="E823" i="16"/>
  <c r="E831" i="16"/>
  <c r="E845" i="16"/>
  <c r="F845" i="16" s="1"/>
  <c r="E916" i="16"/>
  <c r="F916" i="16" s="1"/>
  <c r="F924" i="16"/>
  <c r="E924" i="16"/>
  <c r="F292" i="16"/>
  <c r="E292" i="16"/>
  <c r="T292" i="16" s="1"/>
  <c r="O643" i="16" s="1"/>
  <c r="E492" i="16"/>
  <c r="P492" i="16" s="1"/>
  <c r="H492" i="9" s="1"/>
  <c r="E1180" i="16"/>
  <c r="F1180" i="16"/>
  <c r="E84" i="16"/>
  <c r="E108" i="16"/>
  <c r="E9" i="16"/>
  <c r="E46" i="16"/>
  <c r="E52" i="16"/>
  <c r="P130" i="16"/>
  <c r="H130" i="9" s="1"/>
  <c r="P276" i="16"/>
  <c r="H276" i="9" s="1"/>
  <c r="P292" i="16"/>
  <c r="T358" i="16"/>
  <c r="F367" i="16"/>
  <c r="E413" i="16"/>
  <c r="P413" i="16" s="1"/>
  <c r="T655" i="16"/>
  <c r="F663" i="16"/>
  <c r="E702" i="16"/>
  <c r="F702" i="16" s="1"/>
  <c r="O714" i="16" s="1"/>
  <c r="E1060" i="16"/>
  <c r="E174" i="16"/>
  <c r="F174" i="16" s="1"/>
  <c r="E175" i="16"/>
  <c r="E255" i="16"/>
  <c r="F255" i="16" s="1"/>
  <c r="E263" i="16"/>
  <c r="F263" i="16" s="1"/>
  <c r="E278" i="16"/>
  <c r="F278" i="16" s="1"/>
  <c r="P284" i="16"/>
  <c r="H284" i="9" s="1"/>
  <c r="E358" i="16"/>
  <c r="F358" i="16" s="1"/>
  <c r="E462" i="16"/>
  <c r="F462" i="16" s="1"/>
  <c r="E478" i="16"/>
  <c r="F478" i="16" s="1"/>
  <c r="T494" i="16"/>
  <c r="E566" i="16"/>
  <c r="P613" i="16"/>
  <c r="H613" i="9" s="1"/>
  <c r="E678" i="16"/>
  <c r="F678" i="16" s="1"/>
  <c r="E996" i="16"/>
  <c r="E183" i="16"/>
  <c r="E247" i="16"/>
  <c r="F247" i="16" s="1"/>
  <c r="T284" i="16"/>
  <c r="E344" i="16"/>
  <c r="T344" i="16" s="1"/>
  <c r="O358" i="16" s="1"/>
  <c r="T399" i="16"/>
  <c r="E428" i="16"/>
  <c r="E455" i="16"/>
  <c r="F455" i="16" s="1"/>
  <c r="P468" i="16"/>
  <c r="H468" i="9" s="1"/>
  <c r="E533" i="16"/>
  <c r="T612" i="16"/>
  <c r="E647" i="16"/>
  <c r="F647" i="16" s="1"/>
  <c r="O706" i="16"/>
  <c r="E775" i="16"/>
  <c r="F775" i="16" s="1"/>
  <c r="E989" i="16"/>
  <c r="E991" i="16"/>
  <c r="E1100" i="16"/>
  <c r="E1270" i="16"/>
  <c r="F1270" i="16" s="1"/>
  <c r="O1270" i="16" s="1"/>
  <c r="E277" i="16"/>
  <c r="T463" i="16"/>
  <c r="T468" i="16"/>
  <c r="E472" i="16"/>
  <c r="T472" i="16" s="1"/>
  <c r="E494" i="16"/>
  <c r="F494" i="16" s="1"/>
  <c r="F980" i="16"/>
  <c r="E980" i="16"/>
  <c r="T980" i="16"/>
  <c r="F1044" i="16"/>
  <c r="E1044" i="16"/>
  <c r="E1236" i="16"/>
  <c r="F1236" i="16" s="1"/>
  <c r="E973" i="16"/>
  <c r="F973" i="16" s="1"/>
  <c r="E1014" i="16"/>
  <c r="F1014" i="16" s="1"/>
  <c r="E1053" i="16"/>
  <c r="E1304" i="16"/>
  <c r="E270" i="16"/>
  <c r="F270" i="16" s="1"/>
  <c r="E311" i="16"/>
  <c r="F311" i="16" s="1"/>
  <c r="E414" i="16"/>
  <c r="F414" i="16" s="1"/>
  <c r="E511" i="16"/>
  <c r="E598" i="16"/>
  <c r="F598" i="16" s="1"/>
  <c r="E614" i="16"/>
  <c r="F614" i="16" s="1"/>
  <c r="E654" i="16"/>
  <c r="F654" i="16" s="1"/>
  <c r="E687" i="16"/>
  <c r="F687" i="16" s="1"/>
  <c r="E903" i="16"/>
  <c r="E935" i="16"/>
  <c r="E1172" i="16"/>
  <c r="F1172" i="16"/>
  <c r="E726" i="16"/>
  <c r="E1216" i="16"/>
  <c r="F1300" i="16"/>
  <c r="E748" i="16"/>
  <c r="E904" i="16"/>
  <c r="E934" i="16"/>
  <c r="F934" i="16" s="1"/>
  <c r="E984" i="16"/>
  <c r="E1005" i="16"/>
  <c r="F1005" i="16" s="1"/>
  <c r="E1052" i="16"/>
  <c r="E1111" i="16"/>
  <c r="E1126" i="16"/>
  <c r="F1126" i="16" s="1"/>
  <c r="E1229" i="16"/>
  <c r="F861" i="16"/>
  <c r="F1045" i="16"/>
  <c r="E1295" i="16"/>
  <c r="E670" i="16"/>
  <c r="F670" i="16" s="1"/>
  <c r="E750" i="16"/>
  <c r="F750" i="16" s="1"/>
  <c r="E910" i="16"/>
  <c r="F910" i="16" s="1"/>
  <c r="F1036" i="16"/>
  <c r="E1036" i="16"/>
  <c r="E1133" i="16"/>
  <c r="E1166" i="16"/>
  <c r="F1166" i="16" s="1"/>
  <c r="E1335" i="16"/>
  <c r="E928" i="16"/>
  <c r="T988" i="16"/>
  <c r="E998" i="16"/>
  <c r="F998" i="16" s="1"/>
  <c r="E999" i="16"/>
  <c r="E1015" i="16"/>
  <c r="E1023" i="16"/>
  <c r="E1047" i="16"/>
  <c r="E1048" i="16"/>
  <c r="E1112" i="16"/>
  <c r="E1182" i="16"/>
  <c r="F1182" i="16" s="1"/>
  <c r="E1190" i="16"/>
  <c r="E1215" i="16"/>
  <c r="E1222" i="16"/>
  <c r="F1222" i="16" s="1"/>
  <c r="E1230" i="16"/>
  <c r="F1230" i="16" s="1"/>
  <c r="E1246" i="16"/>
  <c r="F1246" i="16" s="1"/>
  <c r="E1110" i="16"/>
  <c r="F1110" i="16" s="1"/>
  <c r="E1198" i="16"/>
  <c r="F1198" i="16" s="1"/>
  <c r="E1199" i="16"/>
  <c r="O1246" i="16" s="1"/>
  <c r="O1262" i="16" s="1"/>
  <c r="E1343" i="16"/>
  <c r="E1062" i="16"/>
  <c r="F1062" i="16" s="1"/>
  <c r="E1254" i="16"/>
  <c r="F1254" i="16" s="1"/>
  <c r="E1279" i="16"/>
  <c r="E1287" i="16"/>
  <c r="E1293" i="16"/>
  <c r="T1244" i="16"/>
  <c r="H1244" i="9"/>
  <c r="I1244" i="9" s="1"/>
  <c r="AF35" i="15"/>
  <c r="O54" i="15"/>
  <c r="M54" i="15"/>
  <c r="AF54" i="15" s="1"/>
  <c r="U54" i="15"/>
  <c r="L54" i="15"/>
  <c r="S54" i="15"/>
  <c r="L125" i="15"/>
  <c r="M125" i="15"/>
  <c r="K125" i="15"/>
  <c r="N141" i="15"/>
  <c r="K141" i="15"/>
  <c r="M141" i="15"/>
  <c r="L141" i="15"/>
  <c r="M164" i="15"/>
  <c r="G164" i="15"/>
  <c r="P48" i="16"/>
  <c r="H48" i="9" s="1"/>
  <c r="F48" i="16"/>
  <c r="I48" i="9"/>
  <c r="F951" i="16"/>
  <c r="E1208" i="16"/>
  <c r="K98" i="15"/>
  <c r="J98" i="15"/>
  <c r="M98" i="15"/>
  <c r="L98" i="15"/>
  <c r="F34" i="16"/>
  <c r="E34" i="16"/>
  <c r="I34" i="9" s="1"/>
  <c r="P183" i="16"/>
  <c r="H183" i="9" s="1"/>
  <c r="F183" i="16"/>
  <c r="I183" i="9"/>
  <c r="I29" i="15"/>
  <c r="G29" i="15"/>
  <c r="K29" i="15"/>
  <c r="M29" i="15"/>
  <c r="L29" i="15"/>
  <c r="G62" i="15"/>
  <c r="U24" i="15"/>
  <c r="L33" i="15"/>
  <c r="J33" i="15"/>
  <c r="I33" i="15"/>
  <c r="M72" i="15"/>
  <c r="I73" i="15"/>
  <c r="H79" i="15"/>
  <c r="G79" i="15"/>
  <c r="R96" i="15"/>
  <c r="J96" i="15"/>
  <c r="AF96" i="15"/>
  <c r="N96" i="15"/>
  <c r="AE96" i="15"/>
  <c r="O96" i="7" s="1"/>
  <c r="M96" i="15"/>
  <c r="U96" i="15"/>
  <c r="L96" i="15"/>
  <c r="K96" i="15"/>
  <c r="H96" i="15"/>
  <c r="S96" i="15"/>
  <c r="G96" i="15"/>
  <c r="Q96" i="15"/>
  <c r="P96" i="15"/>
  <c r="O96" i="15"/>
  <c r="AG96" i="15" s="1"/>
  <c r="Q96" i="7" s="1"/>
  <c r="K100" i="15"/>
  <c r="H100" i="15"/>
  <c r="M100" i="15"/>
  <c r="N100" i="15"/>
  <c r="G100" i="15"/>
  <c r="AF165" i="15"/>
  <c r="P165" i="15"/>
  <c r="H165" i="15"/>
  <c r="AG165" i="15"/>
  <c r="Q165" i="7" s="1"/>
  <c r="N165" i="15"/>
  <c r="L165" i="15"/>
  <c r="K165" i="15"/>
  <c r="I165" i="15"/>
  <c r="S165" i="15"/>
  <c r="G165" i="15"/>
  <c r="H168" i="15"/>
  <c r="M168" i="15"/>
  <c r="L168" i="15"/>
  <c r="K168" i="15"/>
  <c r="M169" i="15"/>
  <c r="G169" i="15"/>
  <c r="H172" i="15"/>
  <c r="I172" i="15"/>
  <c r="P132" i="16"/>
  <c r="H132" i="9" s="1"/>
  <c r="F132" i="16"/>
  <c r="G51" i="15"/>
  <c r="M51" i="15"/>
  <c r="K51" i="15"/>
  <c r="U85" i="15"/>
  <c r="L85" i="15"/>
  <c r="K85" i="15"/>
  <c r="H88" i="15"/>
  <c r="G88" i="15"/>
  <c r="M88" i="15"/>
  <c r="K88" i="15"/>
  <c r="L88" i="15"/>
  <c r="H130" i="15"/>
  <c r="G130" i="15"/>
  <c r="M130" i="15"/>
  <c r="L130" i="15"/>
  <c r="J130" i="15"/>
  <c r="K130" i="15"/>
  <c r="L46" i="15"/>
  <c r="G46" i="15"/>
  <c r="M46" i="15"/>
  <c r="AE104" i="15"/>
  <c r="O104" i="7" s="1"/>
  <c r="K162" i="15"/>
  <c r="M162" i="15"/>
  <c r="L162" i="15"/>
  <c r="J162" i="15"/>
  <c r="M174" i="15"/>
  <c r="L174" i="15"/>
  <c r="G174" i="15"/>
  <c r="I49" i="9"/>
  <c r="N58" i="15"/>
  <c r="M58" i="15"/>
  <c r="U98" i="15"/>
  <c r="U104" i="15"/>
  <c r="U94" i="15"/>
  <c r="L13" i="15"/>
  <c r="K13" i="15"/>
  <c r="AE20" i="15"/>
  <c r="O20" i="7" s="1"/>
  <c r="AF65" i="15"/>
  <c r="P65" i="7" s="1"/>
  <c r="P65" i="15"/>
  <c r="H65" i="15"/>
  <c r="Q65" i="15"/>
  <c r="G65" i="15"/>
  <c r="O65" i="15"/>
  <c r="N65" i="15"/>
  <c r="AE65" i="15"/>
  <c r="O65" i="7" s="1"/>
  <c r="M65" i="15"/>
  <c r="J65" i="15"/>
  <c r="S65" i="15"/>
  <c r="I65" i="15"/>
  <c r="U65" i="15"/>
  <c r="R65" i="15"/>
  <c r="L65" i="15"/>
  <c r="P63" i="16"/>
  <c r="H63" i="9" s="1"/>
  <c r="I63" i="9"/>
  <c r="T63" i="16"/>
  <c r="F726" i="16"/>
  <c r="K19" i="15"/>
  <c r="M19" i="15"/>
  <c r="L23" i="15"/>
  <c r="N23" i="15"/>
  <c r="AE23" i="15" s="1"/>
  <c r="O23" i="7" s="1"/>
  <c r="J23" i="15"/>
  <c r="M56" i="15"/>
  <c r="L56" i="15"/>
  <c r="K56" i="15"/>
  <c r="R92" i="15"/>
  <c r="J92" i="15"/>
  <c r="P92" i="15"/>
  <c r="G92" i="15"/>
  <c r="O92" i="15"/>
  <c r="N92" i="15"/>
  <c r="M92" i="15"/>
  <c r="I92" i="15"/>
  <c r="AG92" i="15" s="1"/>
  <c r="Q92" i="7" s="1"/>
  <c r="H92" i="15"/>
  <c r="S92" i="15"/>
  <c r="L92" i="15"/>
  <c r="U92" i="15"/>
  <c r="Q92" i="15"/>
  <c r="M114" i="15"/>
  <c r="R160" i="15"/>
  <c r="J160" i="15"/>
  <c r="N160" i="15"/>
  <c r="M160" i="15"/>
  <c r="U160" i="15"/>
  <c r="L160" i="15"/>
  <c r="K160" i="15"/>
  <c r="H160" i="15"/>
  <c r="S160" i="15"/>
  <c r="G160" i="15"/>
  <c r="Q160" i="15"/>
  <c r="AG160" i="15" s="1"/>
  <c r="Q160" i="7" s="1"/>
  <c r="P160" i="15"/>
  <c r="O160" i="15"/>
  <c r="L170" i="15"/>
  <c r="K170" i="15"/>
  <c r="S170" i="15"/>
  <c r="J170" i="15"/>
  <c r="H170" i="15"/>
  <c r="P170" i="15"/>
  <c r="T352" i="16"/>
  <c r="I352" i="9"/>
  <c r="E439" i="16"/>
  <c r="E819" i="16"/>
  <c r="F1150" i="16"/>
  <c r="U142" i="15"/>
  <c r="U136" i="15"/>
  <c r="U141" i="15"/>
  <c r="AE83" i="15"/>
  <c r="O83" i="7" s="1"/>
  <c r="AF139" i="15"/>
  <c r="M139" i="15"/>
  <c r="U139" i="15"/>
  <c r="K139" i="15"/>
  <c r="P16" i="16"/>
  <c r="H16" i="9" s="1"/>
  <c r="I16" i="9"/>
  <c r="U19" i="15"/>
  <c r="U29" i="15"/>
  <c r="L11" i="15"/>
  <c r="AG11" i="15"/>
  <c r="Q11" i="7" s="1"/>
  <c r="O11" i="15"/>
  <c r="N11" i="15"/>
  <c r="M11" i="15"/>
  <c r="U11" i="15"/>
  <c r="K11" i="15"/>
  <c r="H11" i="15"/>
  <c r="G11" i="15"/>
  <c r="S11" i="15"/>
  <c r="R11" i="15"/>
  <c r="Q11" i="15"/>
  <c r="J11" i="15"/>
  <c r="P11" i="15"/>
  <c r="M57" i="15"/>
  <c r="L60" i="15"/>
  <c r="I60" i="15"/>
  <c r="H60" i="15"/>
  <c r="M84" i="15"/>
  <c r="G84" i="15"/>
  <c r="J114" i="15"/>
  <c r="K114" i="15"/>
  <c r="M119" i="15"/>
  <c r="I119" i="15"/>
  <c r="J119" i="15"/>
  <c r="P23" i="16"/>
  <c r="H23" i="9" s="1"/>
  <c r="I23" i="9"/>
  <c r="F23" i="16"/>
  <c r="I351" i="9"/>
  <c r="F351" i="16"/>
  <c r="F401" i="16"/>
  <c r="E401" i="16"/>
  <c r="I401" i="9" s="1"/>
  <c r="O401" i="16" s="1"/>
  <c r="P401" i="16"/>
  <c r="H401" i="9" s="1"/>
  <c r="T401" i="16"/>
  <c r="F511" i="16"/>
  <c r="I511" i="9"/>
  <c r="I526" i="9"/>
  <c r="F1047" i="16"/>
  <c r="N70" i="15"/>
  <c r="P70" i="15"/>
  <c r="G70" i="15"/>
  <c r="AG70" i="15"/>
  <c r="Q70" i="7" s="1"/>
  <c r="O70" i="15"/>
  <c r="M70" i="15"/>
  <c r="L70" i="15"/>
  <c r="F759" i="16"/>
  <c r="J101" i="15"/>
  <c r="G104" i="15"/>
  <c r="K108" i="15"/>
  <c r="E7" i="16"/>
  <c r="E20" i="16"/>
  <c r="E72" i="16"/>
  <c r="E80" i="16"/>
  <c r="I80" i="9" s="1"/>
  <c r="T80" i="16"/>
  <c r="P80" i="16"/>
  <c r="H80" i="9" s="1"/>
  <c r="F80" i="16"/>
  <c r="E99" i="16"/>
  <c r="E120" i="16"/>
  <c r="I120" i="9" s="1"/>
  <c r="T120" i="16"/>
  <c r="F120" i="16"/>
  <c r="P120" i="16"/>
  <c r="H120" i="9" s="1"/>
  <c r="O245" i="16" s="1"/>
  <c r="E245" i="16"/>
  <c r="O524" i="16"/>
  <c r="F767" i="16"/>
  <c r="L81" i="15"/>
  <c r="P97" i="15"/>
  <c r="H97" i="15"/>
  <c r="Q97" i="15"/>
  <c r="G97" i="15"/>
  <c r="O97" i="15"/>
  <c r="N97" i="15"/>
  <c r="AE97" i="15" s="1"/>
  <c r="O97" i="7" s="1"/>
  <c r="M97" i="15"/>
  <c r="AF97" i="15" s="1"/>
  <c r="K97" i="15"/>
  <c r="O101" i="15"/>
  <c r="O112" i="15"/>
  <c r="AG117" i="15" s="1"/>
  <c r="Q117" i="7" s="1"/>
  <c r="P117" i="15"/>
  <c r="H117" i="15"/>
  <c r="N117" i="15"/>
  <c r="M117" i="15"/>
  <c r="U117" i="15"/>
  <c r="L117" i="15"/>
  <c r="K117" i="15"/>
  <c r="J117" i="15"/>
  <c r="K124" i="15"/>
  <c r="R128" i="15"/>
  <c r="J128" i="15"/>
  <c r="AF128" i="15"/>
  <c r="N128" i="15"/>
  <c r="AE128" i="15" s="1"/>
  <c r="O128" i="7" s="1"/>
  <c r="M128" i="15"/>
  <c r="U128" i="15"/>
  <c r="L128" i="15"/>
  <c r="K128" i="15"/>
  <c r="I128" i="15"/>
  <c r="K148" i="15"/>
  <c r="H148" i="15"/>
  <c r="J158" i="15"/>
  <c r="H158" i="15"/>
  <c r="M161" i="15"/>
  <c r="AF161" i="15" s="1"/>
  <c r="P161" i="7" s="1"/>
  <c r="F391" i="16"/>
  <c r="I391" i="9"/>
  <c r="O811" i="16" s="1"/>
  <c r="E811" i="16"/>
  <c r="F989" i="16"/>
  <c r="O992" i="16"/>
  <c r="F992" i="16"/>
  <c r="E992" i="16"/>
  <c r="T992" i="16" s="1"/>
  <c r="O1001" i="16"/>
  <c r="F1001" i="16"/>
  <c r="E1001" i="16"/>
  <c r="F1335" i="16"/>
  <c r="P1335" i="16" s="1"/>
  <c r="E19" i="16"/>
  <c r="P19" i="16"/>
  <c r="H19" i="9" s="1"/>
  <c r="F60" i="16"/>
  <c r="P60" i="16"/>
  <c r="H60" i="9" s="1"/>
  <c r="P71" i="16"/>
  <c r="H71" i="9" s="1"/>
  <c r="I71" i="9"/>
  <c r="E189" i="16"/>
  <c r="F334" i="16"/>
  <c r="O396" i="16" s="1"/>
  <c r="E396" i="16"/>
  <c r="I396" i="9" s="1"/>
  <c r="E487" i="16"/>
  <c r="F570" i="16"/>
  <c r="E570" i="16"/>
  <c r="I570" i="9" s="1"/>
  <c r="P570" i="16"/>
  <c r="H570" i="9" s="1"/>
  <c r="T570" i="16"/>
  <c r="I591" i="9"/>
  <c r="E592" i="16"/>
  <c r="F607" i="16"/>
  <c r="F725" i="16"/>
  <c r="O824" i="16"/>
  <c r="E824" i="16"/>
  <c r="T984" i="16"/>
  <c r="F1333" i="16"/>
  <c r="G18" i="15"/>
  <c r="L27" i="15"/>
  <c r="O27" i="15"/>
  <c r="N27" i="15"/>
  <c r="I27" i="15"/>
  <c r="L39" i="15"/>
  <c r="Q39" i="15"/>
  <c r="H39" i="15"/>
  <c r="P39" i="15"/>
  <c r="G39" i="15"/>
  <c r="O39" i="15"/>
  <c r="N39" i="15"/>
  <c r="K39" i="15"/>
  <c r="R108" i="15"/>
  <c r="J108" i="15"/>
  <c r="P108" i="15"/>
  <c r="G108" i="15"/>
  <c r="AG108" i="15"/>
  <c r="Q108" i="7" s="1"/>
  <c r="O108" i="15"/>
  <c r="N108" i="15"/>
  <c r="M108" i="15"/>
  <c r="R112" i="15"/>
  <c r="J112" i="15"/>
  <c r="N112" i="15"/>
  <c r="M112" i="15"/>
  <c r="U112" i="15"/>
  <c r="L112" i="15"/>
  <c r="K112" i="15"/>
  <c r="I112" i="15"/>
  <c r="R156" i="15"/>
  <c r="J156" i="15"/>
  <c r="P156" i="15"/>
  <c r="G156" i="15"/>
  <c r="AG156" i="15" s="1"/>
  <c r="Q156" i="7" s="1"/>
  <c r="O156" i="15"/>
  <c r="N156" i="15"/>
  <c r="M156" i="15"/>
  <c r="K156" i="15"/>
  <c r="T55" i="16"/>
  <c r="E55" i="16"/>
  <c r="I55" i="9" s="1"/>
  <c r="P84" i="16"/>
  <c r="H84" i="9" s="1"/>
  <c r="F84" i="16"/>
  <c r="F176" i="16"/>
  <c r="E176" i="16"/>
  <c r="I176" i="9" s="1"/>
  <c r="T176" i="16"/>
  <c r="O252" i="16" s="1"/>
  <c r="P252" i="16"/>
  <c r="H252" i="9" s="1"/>
  <c r="E252" i="16"/>
  <c r="E518" i="16"/>
  <c r="O545" i="16"/>
  <c r="E545" i="16"/>
  <c r="I545" i="9" s="1"/>
  <c r="T545" i="16"/>
  <c r="F596" i="16"/>
  <c r="T596" i="16"/>
  <c r="P596" i="16"/>
  <c r="H596" i="9" s="1"/>
  <c r="F1076" i="16"/>
  <c r="E1076" i="16"/>
  <c r="J27" i="15"/>
  <c r="H34" i="15"/>
  <c r="G34" i="15"/>
  <c r="AE36" i="15"/>
  <c r="O36" i="7" s="1"/>
  <c r="M39" i="15"/>
  <c r="Q55" i="15"/>
  <c r="H55" i="15"/>
  <c r="P55" i="15"/>
  <c r="G55" i="15"/>
  <c r="AG55" i="15" s="1"/>
  <c r="Q55" i="7" s="1"/>
  <c r="N90" i="15"/>
  <c r="M90" i="15"/>
  <c r="U90" i="15"/>
  <c r="L90" i="15"/>
  <c r="K90" i="15"/>
  <c r="S90" i="15"/>
  <c r="J90" i="15"/>
  <c r="I90" i="15"/>
  <c r="K105" i="15"/>
  <c r="I105" i="15"/>
  <c r="AG105" i="15" s="1"/>
  <c r="Q105" i="7" s="1"/>
  <c r="R124" i="15"/>
  <c r="J124" i="15"/>
  <c r="P124" i="15"/>
  <c r="G124" i="15"/>
  <c r="AG124" i="15"/>
  <c r="Q124" i="7" s="1"/>
  <c r="O124" i="15"/>
  <c r="N124" i="15"/>
  <c r="AE124" i="15"/>
  <c r="O124" i="7" s="1"/>
  <c r="M124" i="15"/>
  <c r="AF124" i="15" s="1"/>
  <c r="K153" i="15"/>
  <c r="P25" i="16"/>
  <c r="H25" i="9" s="1"/>
  <c r="F25" i="16"/>
  <c r="O244" i="16" s="1"/>
  <c r="T244" i="16"/>
  <c r="F244" i="16"/>
  <c r="P244" i="16"/>
  <c r="H244" i="9" s="1"/>
  <c r="E244" i="16"/>
  <c r="I244" i="9" s="1"/>
  <c r="E347" i="16"/>
  <c r="F347" i="16"/>
  <c r="O347" i="16"/>
  <c r="I84" i="9"/>
  <c r="U13" i="15"/>
  <c r="R16" i="15"/>
  <c r="J16" i="15"/>
  <c r="AF16" i="15"/>
  <c r="N16" i="15"/>
  <c r="AE16" i="15" s="1"/>
  <c r="O16" i="7" s="1"/>
  <c r="M16" i="15"/>
  <c r="U16" i="15"/>
  <c r="L16" i="15"/>
  <c r="AG16" i="15" s="1"/>
  <c r="Q16" i="7" s="1"/>
  <c r="K16" i="15"/>
  <c r="I16" i="15"/>
  <c r="P27" i="15"/>
  <c r="J43" i="15"/>
  <c r="AG43" i="15" s="1"/>
  <c r="Q43" i="7" s="1"/>
  <c r="H50" i="15"/>
  <c r="G50" i="15"/>
  <c r="I77" i="15"/>
  <c r="G77" i="15"/>
  <c r="Q101" i="15"/>
  <c r="N102" i="15"/>
  <c r="P102" i="15"/>
  <c r="G102" i="15"/>
  <c r="O102" i="15"/>
  <c r="M102" i="15"/>
  <c r="U102" i="15"/>
  <c r="L102" i="15"/>
  <c r="J102" i="15"/>
  <c r="AG133" i="15" s="1"/>
  <c r="Q133" i="7" s="1"/>
  <c r="P133" i="15"/>
  <c r="H133" i="15"/>
  <c r="N133" i="15"/>
  <c r="AE133" i="15"/>
  <c r="O133" i="7" s="1"/>
  <c r="M133" i="15"/>
  <c r="AF133" i="15" s="1"/>
  <c r="U133" i="15"/>
  <c r="L133" i="15"/>
  <c r="K133" i="15"/>
  <c r="J133" i="15"/>
  <c r="P149" i="15"/>
  <c r="H149" i="15"/>
  <c r="N149" i="15"/>
  <c r="AF149" i="15" s="1"/>
  <c r="AE149" i="15"/>
  <c r="O149" i="7" s="1"/>
  <c r="M149" i="15"/>
  <c r="U149" i="15"/>
  <c r="L149" i="15"/>
  <c r="AG149" i="15" s="1"/>
  <c r="Q149" i="7" s="1"/>
  <c r="K149" i="15"/>
  <c r="J149" i="15"/>
  <c r="E54" i="16"/>
  <c r="I54" i="9" s="1"/>
  <c r="F54" i="16"/>
  <c r="P54" i="16"/>
  <c r="H54" i="9" s="1"/>
  <c r="F141" i="16"/>
  <c r="E141" i="16"/>
  <c r="I141" i="9" s="1"/>
  <c r="T141" i="16"/>
  <c r="E223" i="16"/>
  <c r="E795" i="16"/>
  <c r="O795" i="16" s="1"/>
  <c r="K47" i="13"/>
  <c r="I198" i="9"/>
  <c r="L12" i="15"/>
  <c r="O16" i="15"/>
  <c r="P21" i="15"/>
  <c r="H21" i="15"/>
  <c r="AG21" i="15"/>
  <c r="Q21" i="7" s="1"/>
  <c r="N21" i="15"/>
  <c r="M21" i="15"/>
  <c r="U21" i="15"/>
  <c r="L21" i="15"/>
  <c r="K21" i="15"/>
  <c r="J21" i="15"/>
  <c r="H24" i="15"/>
  <c r="AF24" i="15" s="1"/>
  <c r="P24" i="7" s="1"/>
  <c r="G24" i="15"/>
  <c r="R32" i="15"/>
  <c r="J32" i="15"/>
  <c r="N32" i="15"/>
  <c r="M32" i="15"/>
  <c r="U32" i="15"/>
  <c r="L32" i="15"/>
  <c r="K32" i="15"/>
  <c r="K36" i="15"/>
  <c r="H36" i="15"/>
  <c r="AF36" i="15" s="1"/>
  <c r="S39" i="15"/>
  <c r="Q86" i="15"/>
  <c r="K87" i="15"/>
  <c r="P90" i="15"/>
  <c r="H95" i="15"/>
  <c r="S108" i="15"/>
  <c r="G111" i="15"/>
  <c r="N118" i="15"/>
  <c r="P118" i="15"/>
  <c r="G118" i="15"/>
  <c r="AG118" i="15" s="1"/>
  <c r="Q118" i="7" s="1"/>
  <c r="O118" i="15"/>
  <c r="M118" i="15"/>
  <c r="U118" i="15"/>
  <c r="L118" i="15"/>
  <c r="I122" i="15"/>
  <c r="AG122" i="15" s="1"/>
  <c r="Q122" i="7" s="1"/>
  <c r="P129" i="15"/>
  <c r="H129" i="15"/>
  <c r="Q129" i="15"/>
  <c r="G129" i="15"/>
  <c r="O129" i="15"/>
  <c r="AG129" i="15"/>
  <c r="Q129" i="7" s="1"/>
  <c r="N129" i="15"/>
  <c r="AE129" i="15"/>
  <c r="O129" i="7" s="1"/>
  <c r="M129" i="15"/>
  <c r="K129" i="15"/>
  <c r="K137" i="15"/>
  <c r="I137" i="15"/>
  <c r="L140" i="15"/>
  <c r="AG144" i="15"/>
  <c r="Q144" i="7" s="1"/>
  <c r="H159" i="15"/>
  <c r="I61" i="9"/>
  <c r="I229" i="9"/>
  <c r="I236" i="9"/>
  <c r="Q5" i="15"/>
  <c r="N6" i="15"/>
  <c r="AF6" i="15" s="1"/>
  <c r="P6" i="15"/>
  <c r="G6" i="15"/>
  <c r="AG6" i="15"/>
  <c r="Q6" i="7" s="1"/>
  <c r="O6" i="15"/>
  <c r="M6" i="15"/>
  <c r="U6" i="15"/>
  <c r="L6" i="15"/>
  <c r="J6" i="15"/>
  <c r="N10" i="15"/>
  <c r="AE10" i="15" s="1"/>
  <c r="O10" i="7" s="1"/>
  <c r="M10" i="15"/>
  <c r="AF10" i="15" s="1"/>
  <c r="U10" i="15"/>
  <c r="L10" i="15"/>
  <c r="K10" i="15"/>
  <c r="S10" i="15"/>
  <c r="J10" i="15"/>
  <c r="I10" i="15"/>
  <c r="Q12" i="15"/>
  <c r="J14" i="15"/>
  <c r="H14" i="15"/>
  <c r="P16" i="15"/>
  <c r="AG17" i="15" s="1"/>
  <c r="Q17" i="7" s="1"/>
  <c r="G17" i="15"/>
  <c r="O17" i="15"/>
  <c r="N17" i="15"/>
  <c r="O21" i="15"/>
  <c r="K25" i="15"/>
  <c r="I25" i="15"/>
  <c r="AG25" i="15" s="1"/>
  <c r="Q25" i="7" s="1"/>
  <c r="R27" i="15"/>
  <c r="L28" i="15"/>
  <c r="O32" i="15"/>
  <c r="AG37" i="15" s="1"/>
  <c r="Q37" i="7" s="1"/>
  <c r="K37" i="15"/>
  <c r="J37" i="15"/>
  <c r="U39" i="15"/>
  <c r="H40" i="15"/>
  <c r="AF40" i="15" s="1"/>
  <c r="P40" i="7" s="1"/>
  <c r="G40" i="15"/>
  <c r="O44" i="15"/>
  <c r="N44" i="15"/>
  <c r="AF44" i="15" s="1"/>
  <c r="K45" i="15"/>
  <c r="R48" i="15"/>
  <c r="J48" i="15"/>
  <c r="N48" i="15"/>
  <c r="M48" i="15"/>
  <c r="U48" i="15"/>
  <c r="L48" i="15"/>
  <c r="K48" i="15"/>
  <c r="I48" i="15"/>
  <c r="K52" i="15"/>
  <c r="H52" i="15"/>
  <c r="AF52" i="15" s="1"/>
  <c r="S55" i="15"/>
  <c r="P59" i="15"/>
  <c r="S70" i="15"/>
  <c r="J75" i="15"/>
  <c r="H82" i="15"/>
  <c r="G82" i="15"/>
  <c r="AE84" i="15"/>
  <c r="O84" i="7" s="1"/>
  <c r="M87" i="15"/>
  <c r="Q90" i="15"/>
  <c r="L91" i="15"/>
  <c r="O91" i="15"/>
  <c r="AF91" i="15"/>
  <c r="N91" i="15"/>
  <c r="AE91" i="15"/>
  <c r="O91" i="7" s="1"/>
  <c r="M91" i="15"/>
  <c r="U91" i="15"/>
  <c r="K91" i="15"/>
  <c r="I91" i="15"/>
  <c r="S97" i="15"/>
  <c r="Q102" i="15"/>
  <c r="K104" i="15"/>
  <c r="G105" i="15"/>
  <c r="P106" i="15"/>
  <c r="S112" i="15"/>
  <c r="R113" i="15"/>
  <c r="R117" i="15"/>
  <c r="K118" i="15"/>
  <c r="O122" i="15"/>
  <c r="S124" i="15"/>
  <c r="G127" i="15"/>
  <c r="Q128" i="15"/>
  <c r="L129" i="15"/>
  <c r="U130" i="15"/>
  <c r="Q133" i="15"/>
  <c r="N134" i="15"/>
  <c r="P134" i="15"/>
  <c r="G134" i="15"/>
  <c r="O134" i="15"/>
  <c r="M134" i="15"/>
  <c r="U134" i="15"/>
  <c r="L134" i="15"/>
  <c r="J134" i="15"/>
  <c r="N138" i="15"/>
  <c r="AE138" i="15" s="1"/>
  <c r="O138" i="7" s="1"/>
  <c r="AF138" i="15"/>
  <c r="M138" i="15"/>
  <c r="U138" i="15"/>
  <c r="L138" i="15"/>
  <c r="K138" i="15"/>
  <c r="S138" i="15"/>
  <c r="J138" i="15"/>
  <c r="I138" i="15"/>
  <c r="J142" i="15"/>
  <c r="H142" i="15"/>
  <c r="P144" i="15"/>
  <c r="N145" i="15"/>
  <c r="AE145" i="15" s="1"/>
  <c r="O145" i="7" s="1"/>
  <c r="M145" i="15"/>
  <c r="J146" i="15"/>
  <c r="Q149" i="15"/>
  <c r="N150" i="15"/>
  <c r="AE150" i="15" s="1"/>
  <c r="O150" i="7" s="1"/>
  <c r="P150" i="15"/>
  <c r="G150" i="15"/>
  <c r="O150" i="15"/>
  <c r="M150" i="15"/>
  <c r="U150" i="15"/>
  <c r="L150" i="15"/>
  <c r="J150" i="15"/>
  <c r="G153" i="15"/>
  <c r="P154" i="15"/>
  <c r="G158" i="15"/>
  <c r="AE164" i="15"/>
  <c r="O164" i="7" s="1"/>
  <c r="M167" i="15"/>
  <c r="E17" i="16"/>
  <c r="P33" i="16"/>
  <c r="H33" i="9" s="1"/>
  <c r="F33" i="16"/>
  <c r="T45" i="16"/>
  <c r="P92" i="16"/>
  <c r="H92" i="9" s="1"/>
  <c r="F92" i="16"/>
  <c r="I107" i="9"/>
  <c r="F107" i="16"/>
  <c r="T137" i="16"/>
  <c r="F137" i="16"/>
  <c r="P137" i="16"/>
  <c r="H137" i="9" s="1"/>
  <c r="E138" i="16"/>
  <c r="P192" i="16"/>
  <c r="H192" i="9" s="1"/>
  <c r="E192" i="16"/>
  <c r="T220" i="16"/>
  <c r="E281" i="16"/>
  <c r="I281" i="9" s="1"/>
  <c r="F446" i="16"/>
  <c r="T476" i="16"/>
  <c r="P476" i="16"/>
  <c r="H476" i="9" s="1"/>
  <c r="E483" i="16"/>
  <c r="O483" i="16" s="1"/>
  <c r="E634" i="16"/>
  <c r="I634" i="9" s="1"/>
  <c r="O634" i="16" s="1"/>
  <c r="T634" i="16"/>
  <c r="P634" i="16"/>
  <c r="H634" i="9" s="1"/>
  <c r="F1102" i="16"/>
  <c r="N74" i="15"/>
  <c r="M74" i="15"/>
  <c r="U74" i="15"/>
  <c r="L74" i="15"/>
  <c r="AG74" i="15" s="1"/>
  <c r="Q74" i="7" s="1"/>
  <c r="K74" i="15"/>
  <c r="S74" i="15"/>
  <c r="J74" i="15"/>
  <c r="I74" i="15"/>
  <c r="H78" i="15"/>
  <c r="P81" i="15"/>
  <c r="H81" i="15"/>
  <c r="Q81" i="15"/>
  <c r="G81" i="15"/>
  <c r="O81" i="15"/>
  <c r="AG81" i="15"/>
  <c r="Q81" i="7" s="1"/>
  <c r="N81" i="15"/>
  <c r="AF81" i="15" s="1"/>
  <c r="AE81" i="15"/>
  <c r="O81" i="7" s="1"/>
  <c r="M81" i="15"/>
  <c r="K81" i="15"/>
  <c r="K89" i="15"/>
  <c r="H101" i="15"/>
  <c r="N101" i="15"/>
  <c r="M101" i="15"/>
  <c r="U101" i="15"/>
  <c r="L101" i="15"/>
  <c r="K101" i="15"/>
  <c r="K116" i="15"/>
  <c r="H116" i="15"/>
  <c r="P65" i="16"/>
  <c r="H65" i="9" s="1"/>
  <c r="F65" i="16"/>
  <c r="E65" i="16"/>
  <c r="I65" i="9" s="1"/>
  <c r="T81" i="16"/>
  <c r="F81" i="16"/>
  <c r="F503" i="16"/>
  <c r="I503" i="9"/>
  <c r="E627" i="16"/>
  <c r="O627" i="16" s="1"/>
  <c r="N43" i="15"/>
  <c r="M43" i="15"/>
  <c r="U43" i="15"/>
  <c r="K70" i="15"/>
  <c r="O74" i="15"/>
  <c r="N86" i="15"/>
  <c r="P86" i="15"/>
  <c r="G86" i="15"/>
  <c r="AG86" i="15" s="1"/>
  <c r="Q86" i="7" s="1"/>
  <c r="O86" i="15"/>
  <c r="M86" i="15"/>
  <c r="U86" i="15"/>
  <c r="L86" i="15"/>
  <c r="J86" i="15"/>
  <c r="J94" i="15"/>
  <c r="H94" i="15"/>
  <c r="L108" i="15"/>
  <c r="K132" i="15"/>
  <c r="H132" i="15"/>
  <c r="L156" i="15"/>
  <c r="U166" i="15"/>
  <c r="L166" i="15"/>
  <c r="P116" i="16"/>
  <c r="H116" i="9" s="1"/>
  <c r="F116" i="16"/>
  <c r="I231" i="9"/>
  <c r="I116" i="9"/>
  <c r="H8" i="15"/>
  <c r="AF8" i="15" s="1"/>
  <c r="G8" i="15"/>
  <c r="K20" i="15"/>
  <c r="H20" i="15"/>
  <c r="K35" i="15"/>
  <c r="R39" i="15"/>
  <c r="G71" i="15"/>
  <c r="AG71" i="15"/>
  <c r="Q71" i="7" s="1"/>
  <c r="O71" i="15"/>
  <c r="N71" i="15"/>
  <c r="R81" i="15"/>
  <c r="K86" i="15"/>
  <c r="O90" i="15"/>
  <c r="L97" i="15"/>
  <c r="J110" i="15"/>
  <c r="H110" i="15"/>
  <c r="AE115" i="15"/>
  <c r="O115" i="7" s="1"/>
  <c r="O117" i="15"/>
  <c r="K121" i="15"/>
  <c r="I121" i="15"/>
  <c r="AG121" i="15" s="1"/>
  <c r="Q121" i="7" s="1"/>
  <c r="G136" i="15"/>
  <c r="R140" i="15"/>
  <c r="J140" i="15"/>
  <c r="P140" i="15"/>
  <c r="G140" i="15"/>
  <c r="M140" i="15"/>
  <c r="K140" i="15"/>
  <c r="N171" i="15"/>
  <c r="AE171" i="15" s="1"/>
  <c r="O171" i="7" s="1"/>
  <c r="I171" i="15"/>
  <c r="AG171" i="15" s="1"/>
  <c r="Q171" i="7" s="1"/>
  <c r="AF171" i="15" s="1"/>
  <c r="F220" i="16"/>
  <c r="O248" i="16"/>
  <c r="F248" i="16"/>
  <c r="E248" i="16"/>
  <c r="O568" i="16" s="1"/>
  <c r="E568" i="16"/>
  <c r="F732" i="16"/>
  <c r="E997" i="16"/>
  <c r="I286" i="9"/>
  <c r="R70" i="15"/>
  <c r="M71" i="15"/>
  <c r="Q74" i="15"/>
  <c r="L75" i="15"/>
  <c r="AG75" i="15" s="1"/>
  <c r="Q75" i="7" s="1"/>
  <c r="O75" i="15"/>
  <c r="AF75" i="15"/>
  <c r="N75" i="15"/>
  <c r="AE75" i="15"/>
  <c r="O75" i="7" s="1"/>
  <c r="M75" i="15"/>
  <c r="U75" i="15"/>
  <c r="K75" i="15"/>
  <c r="I75" i="15"/>
  <c r="S81" i="15"/>
  <c r="L87" i="15"/>
  <c r="Q87" i="15"/>
  <c r="H87" i="15"/>
  <c r="P87" i="15"/>
  <c r="G87" i="15"/>
  <c r="AG87" i="15"/>
  <c r="Q87" i="7" s="1"/>
  <c r="O87" i="15"/>
  <c r="N87" i="15"/>
  <c r="O106" i="15"/>
  <c r="AG106" i="15"/>
  <c r="Q106" i="7" s="1"/>
  <c r="Q112" i="15"/>
  <c r="L113" i="15"/>
  <c r="P128" i="15"/>
  <c r="O144" i="15"/>
  <c r="I25" i="9"/>
  <c r="I224" i="9"/>
  <c r="I486" i="9"/>
  <c r="U3" i="15"/>
  <c r="M4" i="15"/>
  <c r="K6" i="15"/>
  <c r="J7" i="15"/>
  <c r="O10" i="15"/>
  <c r="AG10" i="15"/>
  <c r="Q10" i="7" s="1"/>
  <c r="G15" i="15"/>
  <c r="Q16" i="15"/>
  <c r="L17" i="15"/>
  <c r="K18" i="15"/>
  <c r="G19" i="15"/>
  <c r="G20" i="15"/>
  <c r="Q21" i="15"/>
  <c r="U22" i="15"/>
  <c r="L22" i="15"/>
  <c r="N26" i="15"/>
  <c r="M26" i="15"/>
  <c r="U26" i="15"/>
  <c r="L26" i="15"/>
  <c r="K26" i="15"/>
  <c r="S26" i="15"/>
  <c r="J26" i="15"/>
  <c r="I26" i="15"/>
  <c r="J30" i="15"/>
  <c r="H30" i="15"/>
  <c r="P32" i="15"/>
  <c r="AG33" i="15" s="1"/>
  <c r="Q33" i="7" s="1"/>
  <c r="P33" i="15"/>
  <c r="H33" i="15"/>
  <c r="Q33" i="15"/>
  <c r="G33" i="15"/>
  <c r="O33" i="15"/>
  <c r="N33" i="15"/>
  <c r="M33" i="15"/>
  <c r="K33" i="15"/>
  <c r="J34" i="15"/>
  <c r="AE35" i="15"/>
  <c r="O35" i="7" s="1"/>
  <c r="K41" i="15"/>
  <c r="I41" i="15"/>
  <c r="H42" i="15"/>
  <c r="R43" i="15"/>
  <c r="L44" i="15"/>
  <c r="O48" i="15"/>
  <c r="AG48" i="15"/>
  <c r="Q48" i="7" s="1"/>
  <c r="P53" i="15"/>
  <c r="H53" i="15"/>
  <c r="AG53" i="15"/>
  <c r="Q53" i="7" s="1"/>
  <c r="N53" i="15"/>
  <c r="AE53" i="15" s="1"/>
  <c r="O53" i="7" s="1"/>
  <c r="M53" i="15"/>
  <c r="U55" i="15"/>
  <c r="H56" i="15"/>
  <c r="G56" i="15"/>
  <c r="R60" i="15"/>
  <c r="J60" i="15"/>
  <c r="P60" i="15"/>
  <c r="G60" i="15"/>
  <c r="AG60" i="15"/>
  <c r="Q60" i="7" s="1"/>
  <c r="O60" i="15"/>
  <c r="N60" i="15"/>
  <c r="AF60" i="15" s="1"/>
  <c r="M60" i="15"/>
  <c r="K60" i="15"/>
  <c r="K61" i="15"/>
  <c r="N64" i="15"/>
  <c r="M64" i="15"/>
  <c r="U64" i="15"/>
  <c r="L64" i="15"/>
  <c r="K64" i="15"/>
  <c r="H68" i="15"/>
  <c r="AF68" i="15" s="1"/>
  <c r="P68" i="7" s="1"/>
  <c r="I69" i="15"/>
  <c r="S71" i="15"/>
  <c r="P75" i="15"/>
  <c r="I76" i="15"/>
  <c r="M78" i="15"/>
  <c r="U81" i="15"/>
  <c r="K83" i="15"/>
  <c r="S86" i="15"/>
  <c r="R87" i="15"/>
  <c r="N89" i="15"/>
  <c r="AE89" i="15" s="1"/>
  <c r="O89" i="7" s="1"/>
  <c r="R90" i="15"/>
  <c r="J91" i="15"/>
  <c r="AG91" i="15" s="1"/>
  <c r="Q91" i="7" s="1"/>
  <c r="L94" i="15"/>
  <c r="H98" i="15"/>
  <c r="G98" i="15"/>
  <c r="R102" i="15"/>
  <c r="M103" i="15"/>
  <c r="L104" i="15"/>
  <c r="M105" i="15"/>
  <c r="L107" i="15"/>
  <c r="AG107" i="15" s="1"/>
  <c r="Q107" i="7" s="1"/>
  <c r="O107" i="15"/>
  <c r="N107" i="15"/>
  <c r="M107" i="15"/>
  <c r="U107" i="15"/>
  <c r="K107" i="15"/>
  <c r="I107" i="15"/>
  <c r="U108" i="15"/>
  <c r="G110" i="15"/>
  <c r="AG112" i="15" s="1"/>
  <c r="Q112" i="7" s="1"/>
  <c r="N116" i="15"/>
  <c r="S117" i="15"/>
  <c r="Q118" i="15"/>
  <c r="L119" i="15"/>
  <c r="Q119" i="15"/>
  <c r="H119" i="15"/>
  <c r="P119" i="15"/>
  <c r="G119" i="15"/>
  <c r="AG119" i="15"/>
  <c r="Q119" i="7" s="1"/>
  <c r="O119" i="15"/>
  <c r="AF119" i="15"/>
  <c r="N119" i="15"/>
  <c r="AE119" i="15" s="1"/>
  <c r="O119" i="7" s="1"/>
  <c r="K119" i="15"/>
  <c r="K120" i="15"/>
  <c r="U120" i="15"/>
  <c r="AE120" i="15"/>
  <c r="O120" i="7" s="1"/>
  <c r="G121" i="15"/>
  <c r="P122" i="15"/>
  <c r="H123" i="15"/>
  <c r="I125" i="15"/>
  <c r="AG125" i="15" s="1"/>
  <c r="Q125" i="7" s="1"/>
  <c r="G125" i="15"/>
  <c r="U126" i="15"/>
  <c r="S128" i="15"/>
  <c r="R129" i="15"/>
  <c r="U131" i="15"/>
  <c r="M132" i="15"/>
  <c r="R133" i="15"/>
  <c r="K134" i="15"/>
  <c r="AG134" i="15" s="1"/>
  <c r="Q134" i="7" s="1"/>
  <c r="J135" i="15"/>
  <c r="O138" i="15"/>
  <c r="AG138" i="15"/>
  <c r="Q138" i="7" s="1"/>
  <c r="S140" i="15"/>
  <c r="G143" i="15"/>
  <c r="K146" i="15"/>
  <c r="M148" i="15"/>
  <c r="R149" i="15"/>
  <c r="K150" i="15"/>
  <c r="AG150" i="15" s="1"/>
  <c r="Q150" i="7" s="1"/>
  <c r="J151" i="15"/>
  <c r="M153" i="15"/>
  <c r="L155" i="15"/>
  <c r="AG155" i="15" s="1"/>
  <c r="Q155" i="7" s="1"/>
  <c r="O155" i="15"/>
  <c r="AF155" i="15"/>
  <c r="N155" i="15"/>
  <c r="AE155" i="15"/>
  <c r="O155" i="7" s="1"/>
  <c r="M155" i="15"/>
  <c r="U155" i="15"/>
  <c r="K155" i="15"/>
  <c r="I155" i="15"/>
  <c r="U156" i="15"/>
  <c r="L158" i="15"/>
  <c r="H162" i="15"/>
  <c r="K163" i="15"/>
  <c r="S166" i="15"/>
  <c r="Q171" i="15"/>
  <c r="R172" i="15"/>
  <c r="J172" i="15"/>
  <c r="P172" i="15"/>
  <c r="G172" i="15"/>
  <c r="O172" i="15"/>
  <c r="N172" i="15"/>
  <c r="M172" i="15"/>
  <c r="K172" i="15"/>
  <c r="AG172" i="15" s="1"/>
  <c r="Q172" i="7" s="1"/>
  <c r="K173" i="15"/>
  <c r="P12" i="16"/>
  <c r="H12" i="9" s="1"/>
  <c r="F91" i="16"/>
  <c r="E159" i="16"/>
  <c r="F210" i="16"/>
  <c r="E210" i="16"/>
  <c r="I210" i="9" s="1"/>
  <c r="F303" i="16"/>
  <c r="I303" i="9"/>
  <c r="F327" i="16"/>
  <c r="I327" i="9"/>
  <c r="F445" i="16"/>
  <c r="P445" i="16"/>
  <c r="H445" i="9" s="1"/>
  <c r="E450" i="16"/>
  <c r="O450" i="16" s="1"/>
  <c r="I671" i="9"/>
  <c r="E695" i="16"/>
  <c r="E773" i="16"/>
  <c r="F857" i="16"/>
  <c r="E857" i="16"/>
  <c r="F949" i="16"/>
  <c r="E13" i="16"/>
  <c r="F13" i="16"/>
  <c r="E419" i="16"/>
  <c r="I419" i="9" s="1"/>
  <c r="T419" i="16"/>
  <c r="F419" i="16"/>
  <c r="P419" i="16"/>
  <c r="H419" i="9" s="1"/>
  <c r="O419" i="16" s="1"/>
  <c r="AG5" i="15" s="1"/>
  <c r="Q5" i="7" s="1"/>
  <c r="P5" i="15"/>
  <c r="H5" i="15"/>
  <c r="U5" i="15"/>
  <c r="L5" i="15"/>
  <c r="K5" i="15"/>
  <c r="J5" i="15"/>
  <c r="U7" i="15"/>
  <c r="R12" i="15"/>
  <c r="J12" i="15"/>
  <c r="P12" i="15"/>
  <c r="G12" i="15"/>
  <c r="AG12" i="15" s="1"/>
  <c r="Q12" i="7" s="1"/>
  <c r="O12" i="15"/>
  <c r="N12" i="15"/>
  <c r="M12" i="15"/>
  <c r="K12" i="15"/>
  <c r="M55" i="15"/>
  <c r="L59" i="15"/>
  <c r="O59" i="15"/>
  <c r="N59" i="15"/>
  <c r="M59" i="15"/>
  <c r="U59" i="15"/>
  <c r="K59" i="15"/>
  <c r="I59" i="15"/>
  <c r="P74" i="15"/>
  <c r="N106" i="15"/>
  <c r="AF106" i="15" s="1"/>
  <c r="M106" i="15"/>
  <c r="AE106" i="15"/>
  <c r="O106" i="7" s="1"/>
  <c r="U106" i="15"/>
  <c r="L106" i="15"/>
  <c r="K106" i="15"/>
  <c r="S106" i="15"/>
  <c r="J106" i="15"/>
  <c r="I106" i="15"/>
  <c r="Q108" i="15"/>
  <c r="P112" i="15"/>
  <c r="P113" i="15"/>
  <c r="H113" i="15"/>
  <c r="AF113" i="15" s="1"/>
  <c r="Q113" i="15"/>
  <c r="G113" i="15"/>
  <c r="O113" i="15"/>
  <c r="N113" i="15"/>
  <c r="AE113" i="15" s="1"/>
  <c r="O113" i="7" s="1"/>
  <c r="M113" i="15"/>
  <c r="K113" i="15"/>
  <c r="AG113" i="15" s="1"/>
  <c r="Q113" i="7" s="1"/>
  <c r="L124" i="15"/>
  <c r="O128" i="15"/>
  <c r="R144" i="15"/>
  <c r="J144" i="15"/>
  <c r="N144" i="15"/>
  <c r="M144" i="15"/>
  <c r="U144" i="15"/>
  <c r="L144" i="15"/>
  <c r="K144" i="15"/>
  <c r="I144" i="15"/>
  <c r="N154" i="15"/>
  <c r="M154" i="15"/>
  <c r="U154" i="15"/>
  <c r="L154" i="15"/>
  <c r="K154" i="15"/>
  <c r="S154" i="15"/>
  <c r="J154" i="15"/>
  <c r="I154" i="15"/>
  <c r="AG154" i="15" s="1"/>
  <c r="Q154" i="7" s="1"/>
  <c r="Q156" i="15"/>
  <c r="K166" i="15"/>
  <c r="AG166" i="15" s="1"/>
  <c r="Q166" i="7" s="1"/>
  <c r="E148" i="16"/>
  <c r="F229" i="16"/>
  <c r="F239" i="16"/>
  <c r="I239" i="9"/>
  <c r="E493" i="16"/>
  <c r="O504" i="16" s="1"/>
  <c r="E504" i="16"/>
  <c r="I504" i="9" s="1"/>
  <c r="F1183" i="16"/>
  <c r="E1235" i="16"/>
  <c r="Q27" i="15"/>
  <c r="J28" i="15"/>
  <c r="P28" i="15"/>
  <c r="G28" i="15"/>
  <c r="AG28" i="15" s="1"/>
  <c r="Q28" i="7" s="1"/>
  <c r="O28" i="15"/>
  <c r="N28" i="15"/>
  <c r="M28" i="15"/>
  <c r="I32" i="15"/>
  <c r="AG32" i="15" s="1"/>
  <c r="Q32" i="7" s="1"/>
  <c r="J59" i="15"/>
  <c r="H66" i="15"/>
  <c r="G66" i="15"/>
  <c r="I93" i="15"/>
  <c r="G93" i="15"/>
  <c r="R97" i="15"/>
  <c r="K102" i="15"/>
  <c r="AG102" i="15" s="1"/>
  <c r="Q102" i="7" s="1"/>
  <c r="G116" i="15"/>
  <c r="Q117" i="15"/>
  <c r="J118" i="15"/>
  <c r="N122" i="15"/>
  <c r="AE122" i="15" s="1"/>
  <c r="O122" i="7" s="1"/>
  <c r="M122" i="15"/>
  <c r="AF122" i="15" s="1"/>
  <c r="U122" i="15"/>
  <c r="L122" i="15"/>
  <c r="K122" i="15"/>
  <c r="S122" i="15"/>
  <c r="J122" i="15"/>
  <c r="Q124" i="15"/>
  <c r="J126" i="15"/>
  <c r="H126" i="15"/>
  <c r="O133" i="15"/>
  <c r="O149" i="15"/>
  <c r="O154" i="15"/>
  <c r="S156" i="15"/>
  <c r="L167" i="15"/>
  <c r="Q167" i="15"/>
  <c r="H167" i="15"/>
  <c r="P167" i="15"/>
  <c r="G167" i="15"/>
  <c r="AG167" i="15"/>
  <c r="Q167" i="7" s="1"/>
  <c r="O167" i="15"/>
  <c r="N167" i="15"/>
  <c r="K167" i="15"/>
  <c r="J171" i="15"/>
  <c r="I81" i="9"/>
  <c r="I536" i="9"/>
  <c r="S5" i="15"/>
  <c r="Q6" i="15"/>
  <c r="L7" i="15"/>
  <c r="Q7" i="15"/>
  <c r="H7" i="15"/>
  <c r="P7" i="15"/>
  <c r="G7" i="15"/>
  <c r="AG7" i="15" s="1"/>
  <c r="Q7" i="7" s="1"/>
  <c r="O7" i="15"/>
  <c r="N7" i="15"/>
  <c r="AE7" i="15" s="1"/>
  <c r="O7" i="7" s="1"/>
  <c r="K7" i="15"/>
  <c r="K8" i="15"/>
  <c r="U8" i="15"/>
  <c r="G9" i="15"/>
  <c r="P10" i="15"/>
  <c r="U14" i="15"/>
  <c r="S16" i="15"/>
  <c r="R17" i="15"/>
  <c r="L18" i="15"/>
  <c r="M20" i="15"/>
  <c r="R21" i="15"/>
  <c r="G27" i="15"/>
  <c r="Q32" i="15"/>
  <c r="K34" i="15"/>
  <c r="U34" i="15"/>
  <c r="G35" i="15"/>
  <c r="G36" i="15"/>
  <c r="Q37" i="15"/>
  <c r="N38" i="15"/>
  <c r="AF38" i="15" s="1"/>
  <c r="P38" i="15"/>
  <c r="M38" i="15"/>
  <c r="AE38" i="15"/>
  <c r="O38" i="7" s="1"/>
  <c r="U38" i="15"/>
  <c r="L38" i="15"/>
  <c r="J38" i="15"/>
  <c r="I39" i="15"/>
  <c r="AG39" i="15" s="1"/>
  <c r="Q39" i="7" s="1"/>
  <c r="N42" i="15"/>
  <c r="M42" i="15"/>
  <c r="U42" i="15"/>
  <c r="L42" i="15"/>
  <c r="K42" i="15"/>
  <c r="S42" i="15"/>
  <c r="J42" i="15"/>
  <c r="I42" i="15"/>
  <c r="M45" i="15"/>
  <c r="J46" i="15"/>
  <c r="H46" i="15"/>
  <c r="P48" i="15"/>
  <c r="H49" i="15"/>
  <c r="AG49" i="15"/>
  <c r="Q49" i="7" s="1"/>
  <c r="N49" i="15"/>
  <c r="J50" i="15"/>
  <c r="K57" i="15"/>
  <c r="I57" i="15"/>
  <c r="R59" i="15"/>
  <c r="L61" i="15"/>
  <c r="P69" i="15"/>
  <c r="H69" i="15"/>
  <c r="N69" i="15"/>
  <c r="M69" i="15"/>
  <c r="U69" i="15"/>
  <c r="L69" i="15"/>
  <c r="K69" i="15"/>
  <c r="J69" i="15"/>
  <c r="H70" i="15"/>
  <c r="AF70" i="15" s="1"/>
  <c r="H72" i="15"/>
  <c r="G72" i="15"/>
  <c r="G74" i="15"/>
  <c r="Q75" i="15"/>
  <c r="R76" i="15"/>
  <c r="J76" i="15"/>
  <c r="P76" i="15"/>
  <c r="G76" i="15"/>
  <c r="AG76" i="15" s="1"/>
  <c r="Q76" i="7" s="1"/>
  <c r="O76" i="15"/>
  <c r="N76" i="15"/>
  <c r="M76" i="15"/>
  <c r="K76" i="15"/>
  <c r="K77" i="15"/>
  <c r="U80" i="15"/>
  <c r="I81" i="15"/>
  <c r="M83" i="15"/>
  <c r="AF83" i="15" s="1"/>
  <c r="K84" i="15"/>
  <c r="H84" i="15"/>
  <c r="S87" i="15"/>
  <c r="AG90" i="15" s="1"/>
  <c r="Q90" i="7" s="1"/>
  <c r="P91" i="15"/>
  <c r="M94" i="15"/>
  <c r="U97" i="15"/>
  <c r="G101" i="15"/>
  <c r="S102" i="15"/>
  <c r="M104" i="15"/>
  <c r="N105" i="15"/>
  <c r="AE105" i="15" s="1"/>
  <c r="O105" i="7" s="1"/>
  <c r="R106" i="15"/>
  <c r="H108" i="15"/>
  <c r="L110" i="15"/>
  <c r="G112" i="15"/>
  <c r="G114" i="15"/>
  <c r="R118" i="15"/>
  <c r="L120" i="15"/>
  <c r="M121" i="15"/>
  <c r="Q122" i="15"/>
  <c r="L123" i="15"/>
  <c r="AG123" i="15"/>
  <c r="Q123" i="7" s="1"/>
  <c r="O123" i="15"/>
  <c r="N123" i="15"/>
  <c r="AE123" i="15"/>
  <c r="O123" i="7" s="1"/>
  <c r="M123" i="15"/>
  <c r="AF123" i="15" s="1"/>
  <c r="U123" i="15"/>
  <c r="K123" i="15"/>
  <c r="I123" i="15"/>
  <c r="U124" i="15"/>
  <c r="G126" i="15"/>
  <c r="AG128" i="15" s="1"/>
  <c r="Q128" i="7" s="1"/>
  <c r="S129" i="15"/>
  <c r="N132" i="15"/>
  <c r="S133" i="15"/>
  <c r="Q134" i="15"/>
  <c r="O135" i="15"/>
  <c r="N135" i="15"/>
  <c r="K135" i="15"/>
  <c r="K136" i="15"/>
  <c r="G137" i="15"/>
  <c r="P138" i="15"/>
  <c r="I141" i="15"/>
  <c r="G141" i="15"/>
  <c r="S144" i="15"/>
  <c r="L146" i="15"/>
  <c r="N148" i="15"/>
  <c r="S149" i="15"/>
  <c r="Q150" i="15"/>
  <c r="L151" i="15"/>
  <c r="Q151" i="15"/>
  <c r="H151" i="15"/>
  <c r="P151" i="15"/>
  <c r="G151" i="15"/>
  <c r="AG151" i="15"/>
  <c r="Q151" i="7" s="1"/>
  <c r="O151" i="15"/>
  <c r="N151" i="15"/>
  <c r="AE151" i="15" s="1"/>
  <c r="O151" i="7" s="1"/>
  <c r="K151" i="15"/>
  <c r="K152" i="15"/>
  <c r="N153" i="15"/>
  <c r="R154" i="15"/>
  <c r="H156" i="15"/>
  <c r="M158" i="15"/>
  <c r="K164" i="15"/>
  <c r="H164" i="15"/>
  <c r="AF164" i="15" s="1"/>
  <c r="P164" i="7" s="1"/>
  <c r="S167" i="15"/>
  <c r="K169" i="15"/>
  <c r="I169" i="15"/>
  <c r="L172" i="15"/>
  <c r="L173" i="15"/>
  <c r="J174" i="15"/>
  <c r="H174" i="15"/>
  <c r="E18" i="16"/>
  <c r="E44" i="16"/>
  <c r="T65" i="16"/>
  <c r="E90" i="16"/>
  <c r="P93" i="16"/>
  <c r="H93" i="9" s="1"/>
  <c r="F93" i="16"/>
  <c r="E93" i="16"/>
  <c r="I93" i="9" s="1"/>
  <c r="T93" i="16"/>
  <c r="T113" i="16"/>
  <c r="P113" i="16"/>
  <c r="H113" i="9" s="1"/>
  <c r="F115" i="16"/>
  <c r="I115" i="9"/>
  <c r="E144" i="16"/>
  <c r="I144" i="9" s="1"/>
  <c r="T144" i="16"/>
  <c r="E155" i="16"/>
  <c r="I155" i="9" s="1"/>
  <c r="T155" i="16"/>
  <c r="F155" i="16"/>
  <c r="P155" i="16"/>
  <c r="H155" i="9" s="1"/>
  <c r="E214" i="16"/>
  <c r="E317" i="16"/>
  <c r="O617" i="16"/>
  <c r="E617" i="16"/>
  <c r="F676" i="16"/>
  <c r="E764" i="16"/>
  <c r="O764" i="16"/>
  <c r="F778" i="16"/>
  <c r="E943" i="16"/>
  <c r="T436" i="16"/>
  <c r="F436" i="16"/>
  <c r="E436" i="16"/>
  <c r="I436" i="9" s="1"/>
  <c r="O436" i="16" s="1"/>
  <c r="O467" i="16"/>
  <c r="O506" i="16"/>
  <c r="O512" i="16"/>
  <c r="E512" i="16"/>
  <c r="T512" i="16" s="1"/>
  <c r="E555" i="16"/>
  <c r="I555" i="9" s="1"/>
  <c r="P555" i="16"/>
  <c r="H555" i="9" s="1"/>
  <c r="O555" i="16" s="1"/>
  <c r="E563" i="16"/>
  <c r="I563" i="9" s="1"/>
  <c r="O563" i="16" s="1"/>
  <c r="T563" i="16"/>
  <c r="F563" i="16"/>
  <c r="P563" i="16"/>
  <c r="H563" i="9" s="1"/>
  <c r="O737" i="16"/>
  <c r="E737" i="16"/>
  <c r="E965" i="16"/>
  <c r="O979" i="16"/>
  <c r="E1120" i="16"/>
  <c r="F1175" i="16"/>
  <c r="F1279" i="16"/>
  <c r="E1284" i="16"/>
  <c r="E1320" i="16"/>
  <c r="O1320" i="16" s="1"/>
  <c r="AL97" i="17" s="1"/>
  <c r="L15" i="15"/>
  <c r="I15" i="15"/>
  <c r="R15" i="15"/>
  <c r="L31" i="15"/>
  <c r="I31" i="15"/>
  <c r="AG31" i="15" s="1"/>
  <c r="Q31" i="7" s="1"/>
  <c r="L47" i="15"/>
  <c r="I47" i="15"/>
  <c r="AG47" i="15" s="1"/>
  <c r="Q47" i="7" s="1"/>
  <c r="R47" i="15"/>
  <c r="L79" i="15"/>
  <c r="I79" i="15"/>
  <c r="R79" i="15"/>
  <c r="L95" i="15"/>
  <c r="I95" i="15"/>
  <c r="AG95" i="15" s="1"/>
  <c r="Q95" i="7" s="1"/>
  <c r="R95" i="15"/>
  <c r="I111" i="15"/>
  <c r="R111" i="15"/>
  <c r="L127" i="15"/>
  <c r="I127" i="15"/>
  <c r="R127" i="15"/>
  <c r="L143" i="15"/>
  <c r="I143" i="15"/>
  <c r="R143" i="15"/>
  <c r="L159" i="15"/>
  <c r="I159" i="15"/>
  <c r="L175" i="15"/>
  <c r="I175" i="15"/>
  <c r="AG175" i="15" s="1"/>
  <c r="Q175" i="7" s="1"/>
  <c r="R175" i="15"/>
  <c r="F4" i="16"/>
  <c r="P9" i="16"/>
  <c r="H9" i="9" s="1"/>
  <c r="F9" i="16"/>
  <c r="P40" i="16"/>
  <c r="H40" i="9" s="1"/>
  <c r="F40" i="16"/>
  <c r="F79" i="16"/>
  <c r="P79" i="16"/>
  <c r="H79" i="9" s="1"/>
  <c r="E79" i="16"/>
  <c r="I79" i="9" s="1"/>
  <c r="F97" i="16"/>
  <c r="E97" i="16"/>
  <c r="E98" i="16"/>
  <c r="E111" i="16"/>
  <c r="T114" i="16"/>
  <c r="P167" i="16"/>
  <c r="H167" i="9" s="1"/>
  <c r="F167" i="16"/>
  <c r="P175" i="16"/>
  <c r="H175" i="9" s="1"/>
  <c r="F175" i="16"/>
  <c r="T209" i="16"/>
  <c r="P209" i="16"/>
  <c r="H209" i="9" s="1"/>
  <c r="O295" i="16" s="1"/>
  <c r="P316" i="16"/>
  <c r="H316" i="9" s="1"/>
  <c r="E316" i="16"/>
  <c r="I316" i="9" s="1"/>
  <c r="E325" i="16"/>
  <c r="P332" i="16"/>
  <c r="H332" i="9" s="1"/>
  <c r="F332" i="16"/>
  <c r="E363" i="16"/>
  <c r="O363" i="16"/>
  <c r="E381" i="16"/>
  <c r="O385" i="16" s="1"/>
  <c r="P412" i="16"/>
  <c r="H412" i="9" s="1"/>
  <c r="F412" i="16"/>
  <c r="T412" i="16"/>
  <c r="P421" i="16"/>
  <c r="H421" i="9" s="1"/>
  <c r="F421" i="16"/>
  <c r="P424" i="16"/>
  <c r="H424" i="9" s="1"/>
  <c r="F424" i="16"/>
  <c r="E424" i="16"/>
  <c r="I424" i="9" s="1"/>
  <c r="T424" i="16"/>
  <c r="F485" i="16"/>
  <c r="E501" i="16"/>
  <c r="O616" i="16"/>
  <c r="E616" i="16"/>
  <c r="E722" i="16"/>
  <c r="O722" i="16" s="1"/>
  <c r="E803" i="16"/>
  <c r="F803" i="16"/>
  <c r="O803" i="16" s="1"/>
  <c r="F890" i="16"/>
  <c r="E890" i="16"/>
  <c r="O890" i="16" s="1"/>
  <c r="F932" i="16"/>
  <c r="F1190" i="16"/>
  <c r="F1191" i="16"/>
  <c r="H3" i="15"/>
  <c r="Q3" i="15"/>
  <c r="R4" i="15"/>
  <c r="J4" i="15"/>
  <c r="I4" i="15"/>
  <c r="AG4" i="15" s="1"/>
  <c r="Q4" i="7" s="1"/>
  <c r="J9" i="15"/>
  <c r="S9" i="15"/>
  <c r="N14" i="15"/>
  <c r="I14" i="15"/>
  <c r="R14" i="15"/>
  <c r="J15" i="15"/>
  <c r="S15" i="15"/>
  <c r="H19" i="15"/>
  <c r="Q19" i="15"/>
  <c r="R20" i="15"/>
  <c r="J20" i="15"/>
  <c r="I20" i="15"/>
  <c r="AG20" i="15" s="1"/>
  <c r="Q20" i="7" s="1"/>
  <c r="S20" i="15"/>
  <c r="P25" i="15"/>
  <c r="H25" i="15"/>
  <c r="AF25" i="15" s="1"/>
  <c r="J25" i="15"/>
  <c r="S25" i="15"/>
  <c r="N30" i="15"/>
  <c r="I30" i="15"/>
  <c r="R30" i="15"/>
  <c r="J31" i="15"/>
  <c r="H35" i="15"/>
  <c r="Q35" i="15"/>
  <c r="R36" i="15"/>
  <c r="J36" i="15"/>
  <c r="I36" i="15"/>
  <c r="AG36" i="15" s="1"/>
  <c r="Q36" i="7" s="1"/>
  <c r="S36" i="15"/>
  <c r="P41" i="15"/>
  <c r="H41" i="15"/>
  <c r="J41" i="15"/>
  <c r="S41" i="15"/>
  <c r="N46" i="15"/>
  <c r="I46" i="15"/>
  <c r="R46" i="15"/>
  <c r="J47" i="15"/>
  <c r="S47" i="15"/>
  <c r="H51" i="15"/>
  <c r="AF51" i="15" s="1"/>
  <c r="Q51" i="15"/>
  <c r="R52" i="15"/>
  <c r="J52" i="15"/>
  <c r="I52" i="15"/>
  <c r="AG52" i="15" s="1"/>
  <c r="Q52" i="7" s="1"/>
  <c r="S52" i="15"/>
  <c r="J57" i="15"/>
  <c r="S57" i="15"/>
  <c r="R68" i="15"/>
  <c r="J68" i="15"/>
  <c r="I68" i="15"/>
  <c r="AG68" i="15" s="1"/>
  <c r="Q68" i="7" s="1"/>
  <c r="S68" i="15"/>
  <c r="N78" i="15"/>
  <c r="I78" i="15"/>
  <c r="AG78" i="15" s="1"/>
  <c r="Q78" i="7" s="1"/>
  <c r="R78" i="15"/>
  <c r="J79" i="15"/>
  <c r="S79" i="15"/>
  <c r="H83" i="15"/>
  <c r="Q83" i="15"/>
  <c r="R84" i="15"/>
  <c r="J84" i="15"/>
  <c r="I84" i="15"/>
  <c r="AG84" i="15" s="1"/>
  <c r="Q84" i="7" s="1"/>
  <c r="S84" i="15"/>
  <c r="S89" i="15"/>
  <c r="N94" i="15"/>
  <c r="I94" i="15"/>
  <c r="R94" i="15"/>
  <c r="J95" i="15"/>
  <c r="S95" i="15"/>
  <c r="Q99" i="15"/>
  <c r="R100" i="15"/>
  <c r="J100" i="15"/>
  <c r="I100" i="15"/>
  <c r="AG100" i="15" s="1"/>
  <c r="Q100" i="7" s="1"/>
  <c r="S100" i="15"/>
  <c r="AF105" i="15"/>
  <c r="P105" i="15"/>
  <c r="H105" i="15"/>
  <c r="J105" i="15"/>
  <c r="S105" i="15"/>
  <c r="N110" i="15"/>
  <c r="I110" i="15"/>
  <c r="R110" i="15"/>
  <c r="H115" i="15"/>
  <c r="AF115" i="15" s="1"/>
  <c r="Q115" i="15"/>
  <c r="R116" i="15"/>
  <c r="J116" i="15"/>
  <c r="I116" i="15"/>
  <c r="AG116" i="15" s="1"/>
  <c r="Q116" i="7" s="1"/>
  <c r="S116" i="15"/>
  <c r="AF121" i="15"/>
  <c r="P121" i="15"/>
  <c r="H121" i="15"/>
  <c r="J121" i="15"/>
  <c r="S121" i="15"/>
  <c r="N126" i="15"/>
  <c r="I126" i="15"/>
  <c r="R126" i="15"/>
  <c r="J127" i="15"/>
  <c r="S127" i="15"/>
  <c r="H131" i="15"/>
  <c r="AF131" i="15" s="1"/>
  <c r="Q131" i="15"/>
  <c r="R132" i="15"/>
  <c r="J132" i="15"/>
  <c r="I132" i="15"/>
  <c r="AG132" i="15" s="1"/>
  <c r="Q132" i="7" s="1"/>
  <c r="S132" i="15"/>
  <c r="P137" i="15"/>
  <c r="H137" i="15"/>
  <c r="AF137" i="15" s="1"/>
  <c r="J137" i="15"/>
  <c r="S137" i="15"/>
  <c r="N142" i="15"/>
  <c r="I142" i="15"/>
  <c r="R142" i="15"/>
  <c r="J143" i="15"/>
  <c r="S143" i="15"/>
  <c r="G146" i="15"/>
  <c r="P146" i="15"/>
  <c r="H147" i="15"/>
  <c r="Q147" i="15"/>
  <c r="R148" i="15"/>
  <c r="J148" i="15"/>
  <c r="I148" i="15"/>
  <c r="AG148" i="15" s="1"/>
  <c r="Q148" i="7" s="1"/>
  <c r="S148" i="15"/>
  <c r="G152" i="15"/>
  <c r="P152" i="15"/>
  <c r="P153" i="15"/>
  <c r="H153" i="15"/>
  <c r="J153" i="15"/>
  <c r="S153" i="15"/>
  <c r="N158" i="15"/>
  <c r="I158" i="15"/>
  <c r="R158" i="15"/>
  <c r="J159" i="15"/>
  <c r="S159" i="15"/>
  <c r="G162" i="15"/>
  <c r="P162" i="15"/>
  <c r="H163" i="15"/>
  <c r="Q163" i="15"/>
  <c r="R164" i="15"/>
  <c r="J164" i="15"/>
  <c r="I164" i="15"/>
  <c r="AG164" i="15" s="1"/>
  <c r="Q164" i="7" s="1"/>
  <c r="S164" i="15"/>
  <c r="G168" i="15"/>
  <c r="P168" i="15"/>
  <c r="P169" i="15"/>
  <c r="H169" i="15"/>
  <c r="J169" i="15"/>
  <c r="S169" i="15"/>
  <c r="G173" i="15"/>
  <c r="Q173" i="15"/>
  <c r="N174" i="15"/>
  <c r="I174" i="15"/>
  <c r="R174" i="15"/>
  <c r="J175" i="15"/>
  <c r="T17" i="16"/>
  <c r="T25" i="16"/>
  <c r="F28" i="16"/>
  <c r="E28" i="16"/>
  <c r="E29" i="16"/>
  <c r="F29" i="16"/>
  <c r="E50" i="16"/>
  <c r="P58" i="16"/>
  <c r="H58" i="9" s="1"/>
  <c r="P95" i="16"/>
  <c r="H95" i="9" s="1"/>
  <c r="P100" i="16"/>
  <c r="H100" i="9" s="1"/>
  <c r="F100" i="16"/>
  <c r="F134" i="16"/>
  <c r="E134" i="16"/>
  <c r="I134" i="9" s="1"/>
  <c r="T134" i="16"/>
  <c r="P134" i="16"/>
  <c r="H134" i="9" s="1"/>
  <c r="F151" i="16"/>
  <c r="E151" i="16"/>
  <c r="E181" i="16"/>
  <c r="F204" i="16"/>
  <c r="E204" i="16"/>
  <c r="I204" i="9" s="1"/>
  <c r="P204" i="16"/>
  <c r="H204" i="9" s="1"/>
  <c r="E206" i="16"/>
  <c r="F258" i="16"/>
  <c r="E258" i="16"/>
  <c r="I258" i="9" s="1"/>
  <c r="T258" i="16"/>
  <c r="O258" i="16"/>
  <c r="E295" i="16"/>
  <c r="E324" i="16"/>
  <c r="T340" i="16"/>
  <c r="P340" i="16"/>
  <c r="H340" i="9" s="1"/>
  <c r="F341" i="16"/>
  <c r="P341" i="16"/>
  <c r="H341" i="9" s="1"/>
  <c r="E345" i="16"/>
  <c r="O345" i="16" s="1"/>
  <c r="P356" i="16"/>
  <c r="H356" i="9" s="1"/>
  <c r="T356" i="16"/>
  <c r="O361" i="16"/>
  <c r="F361" i="16"/>
  <c r="E361" i="16"/>
  <c r="P361" i="16"/>
  <c r="H361" i="9" s="1"/>
  <c r="E390" i="16"/>
  <c r="E435" i="16"/>
  <c r="I435" i="9" s="1"/>
  <c r="T435" i="16"/>
  <c r="P435" i="16"/>
  <c r="H435" i="9" s="1"/>
  <c r="T532" i="16"/>
  <c r="P532" i="16"/>
  <c r="H532" i="9" s="1"/>
  <c r="F533" i="16"/>
  <c r="P533" i="16"/>
  <c r="H533" i="9" s="1"/>
  <c r="O554" i="16"/>
  <c r="F793" i="16"/>
  <c r="E793" i="16"/>
  <c r="O793" i="16" s="1"/>
  <c r="F941" i="16"/>
  <c r="E978" i="16"/>
  <c r="T978" i="16"/>
  <c r="O978" i="16" s="1"/>
  <c r="F1015" i="16"/>
  <c r="E1082" i="16"/>
  <c r="E1197" i="16"/>
  <c r="F1202" i="16"/>
  <c r="E1202" i="16"/>
  <c r="E1317" i="16"/>
  <c r="L3" i="15"/>
  <c r="I3" i="15"/>
  <c r="R3" i="15"/>
  <c r="K15" i="15"/>
  <c r="U15" i="15"/>
  <c r="L19" i="15"/>
  <c r="I19" i="15"/>
  <c r="AG19" i="15" s="1"/>
  <c r="Q19" i="7" s="1"/>
  <c r="R19" i="15"/>
  <c r="K31" i="15"/>
  <c r="U31" i="15"/>
  <c r="L35" i="15"/>
  <c r="I35" i="15"/>
  <c r="AG35" i="15" s="1"/>
  <c r="Q35" i="7" s="1"/>
  <c r="R35" i="15"/>
  <c r="K47" i="15"/>
  <c r="U47" i="15"/>
  <c r="R51" i="15"/>
  <c r="L67" i="15"/>
  <c r="I67" i="15"/>
  <c r="K79" i="15"/>
  <c r="U79" i="15"/>
  <c r="L83" i="15"/>
  <c r="I83" i="15"/>
  <c r="R83" i="15"/>
  <c r="K95" i="15"/>
  <c r="U95" i="15"/>
  <c r="K111" i="15"/>
  <c r="U111" i="15"/>
  <c r="L115" i="15"/>
  <c r="I115" i="15"/>
  <c r="R115" i="15"/>
  <c r="K127" i="15"/>
  <c r="U127" i="15"/>
  <c r="L131" i="15"/>
  <c r="I131" i="15"/>
  <c r="AG131" i="15" s="1"/>
  <c r="Q131" i="7" s="1"/>
  <c r="R131" i="15"/>
  <c r="K143" i="15"/>
  <c r="U143" i="15"/>
  <c r="L147" i="15"/>
  <c r="I147" i="15"/>
  <c r="R147" i="15"/>
  <c r="K159" i="15"/>
  <c r="U159" i="15"/>
  <c r="L163" i="15"/>
  <c r="I163" i="15"/>
  <c r="R163" i="15"/>
  <c r="S174" i="15"/>
  <c r="P3" i="16"/>
  <c r="H3" i="9" s="1"/>
  <c r="F3" i="16"/>
  <c r="E35" i="16"/>
  <c r="T35" i="16" s="1"/>
  <c r="E36" i="16"/>
  <c r="T36" i="16"/>
  <c r="P36" i="16"/>
  <c r="H36" i="9" s="1"/>
  <c r="P41" i="16"/>
  <c r="H41" i="9" s="1"/>
  <c r="P59" i="16"/>
  <c r="H59" i="9" s="1"/>
  <c r="T59" i="16"/>
  <c r="F59" i="16"/>
  <c r="E59" i="16"/>
  <c r="I59" i="9" s="1"/>
  <c r="E110" i="16"/>
  <c r="E118" i="16"/>
  <c r="P118" i="16"/>
  <c r="H118" i="9" s="1"/>
  <c r="E133" i="16"/>
  <c r="P140" i="16"/>
  <c r="H140" i="9" s="1"/>
  <c r="F140" i="16"/>
  <c r="F149" i="16"/>
  <c r="E149" i="16"/>
  <c r="O237" i="16" s="1"/>
  <c r="E237" i="16"/>
  <c r="F266" i="16"/>
  <c r="E266" i="16"/>
  <c r="I266" i="9" s="1"/>
  <c r="O266" i="16" s="1"/>
  <c r="T266" i="16"/>
  <c r="P266" i="16"/>
  <c r="H266" i="9" s="1"/>
  <c r="E402" i="16"/>
  <c r="F466" i="16"/>
  <c r="E466" i="16"/>
  <c r="I466" i="9" s="1"/>
  <c r="T466" i="16"/>
  <c r="P466" i="16"/>
  <c r="H466" i="9" s="1"/>
  <c r="O466" i="16"/>
  <c r="E517" i="16"/>
  <c r="T517" i="16" s="1"/>
  <c r="E547" i="16"/>
  <c r="O547" i="16" s="1"/>
  <c r="T580" i="16"/>
  <c r="E580" i="16"/>
  <c r="O580" i="16"/>
  <c r="E657" i="16"/>
  <c r="O657" i="16" s="1"/>
  <c r="T657" i="16"/>
  <c r="E739" i="16"/>
  <c r="F739" i="16"/>
  <c r="O739" i="16"/>
  <c r="E790" i="16"/>
  <c r="E873" i="16"/>
  <c r="O873" i="16" s="1"/>
  <c r="F1023" i="16"/>
  <c r="E1051" i="16"/>
  <c r="E1069" i="16"/>
  <c r="E1113" i="16"/>
  <c r="F1196" i="16"/>
  <c r="E1196" i="16"/>
  <c r="F1316" i="16"/>
  <c r="P1316" i="16" s="1"/>
  <c r="N2" i="15"/>
  <c r="R2" i="15"/>
  <c r="J3" i="15"/>
  <c r="S3" i="15"/>
  <c r="R8" i="15"/>
  <c r="J8" i="15"/>
  <c r="I8" i="15"/>
  <c r="AG8" i="15" s="1"/>
  <c r="Q8" i="7" s="1"/>
  <c r="S8" i="15"/>
  <c r="L9" i="15"/>
  <c r="J13" i="15"/>
  <c r="S13" i="15"/>
  <c r="K14" i="15"/>
  <c r="M15" i="15"/>
  <c r="AF15" i="15" s="1"/>
  <c r="AE15" i="15"/>
  <c r="O15" i="7" s="1"/>
  <c r="J19" i="15"/>
  <c r="S19" i="15"/>
  <c r="L20" i="15"/>
  <c r="U20" i="15"/>
  <c r="J24" i="15"/>
  <c r="I24" i="15"/>
  <c r="AG24" i="15" s="1"/>
  <c r="Q24" i="7" s="1"/>
  <c r="S24" i="15"/>
  <c r="L25" i="15"/>
  <c r="U25" i="15"/>
  <c r="P29" i="15"/>
  <c r="H29" i="15"/>
  <c r="J29" i="15"/>
  <c r="S29" i="15"/>
  <c r="K30" i="15"/>
  <c r="N34" i="15"/>
  <c r="I34" i="15"/>
  <c r="R34" i="15"/>
  <c r="J35" i="15"/>
  <c r="S35" i="15"/>
  <c r="L36" i="15"/>
  <c r="U36" i="15"/>
  <c r="AH40" i="15"/>
  <c r="R40" i="7" s="1"/>
  <c r="S40" i="7" s="1"/>
  <c r="R40" i="15"/>
  <c r="J40" i="15"/>
  <c r="I40" i="15"/>
  <c r="AG40" i="15" s="1"/>
  <c r="Q40" i="7" s="1"/>
  <c r="S40" i="15"/>
  <c r="L41" i="15"/>
  <c r="U41" i="15"/>
  <c r="J45" i="15"/>
  <c r="S45" i="15"/>
  <c r="M47" i="15"/>
  <c r="N50" i="15"/>
  <c r="I50" i="15"/>
  <c r="R50" i="15"/>
  <c r="J51" i="15"/>
  <c r="S51" i="15"/>
  <c r="L52" i="15"/>
  <c r="U52" i="15"/>
  <c r="J56" i="15"/>
  <c r="I56" i="15"/>
  <c r="AG56" i="15" s="1"/>
  <c r="Q56" i="7" s="1"/>
  <c r="S56" i="15"/>
  <c r="L57" i="15"/>
  <c r="U57" i="15"/>
  <c r="P61" i="15"/>
  <c r="S61" i="15"/>
  <c r="K62" i="15"/>
  <c r="N66" i="15"/>
  <c r="I66" i="15"/>
  <c r="R66" i="15"/>
  <c r="L68" i="15"/>
  <c r="U68" i="15"/>
  <c r="R72" i="15"/>
  <c r="J72" i="15"/>
  <c r="I72" i="15"/>
  <c r="AG72" i="15" s="1"/>
  <c r="Q72" i="7" s="1"/>
  <c r="S72" i="15"/>
  <c r="P77" i="15"/>
  <c r="H77" i="15"/>
  <c r="J77" i="15"/>
  <c r="S77" i="15"/>
  <c r="K78" i="15"/>
  <c r="M79" i="15"/>
  <c r="N82" i="15"/>
  <c r="I82" i="15"/>
  <c r="R82" i="15"/>
  <c r="J83" i="15"/>
  <c r="S83" i="15"/>
  <c r="L84" i="15"/>
  <c r="U84" i="15"/>
  <c r="R88" i="15"/>
  <c r="J88" i="15"/>
  <c r="I88" i="15"/>
  <c r="AG88" i="15" s="1"/>
  <c r="Q88" i="7" s="1"/>
  <c r="S88" i="15"/>
  <c r="P93" i="15"/>
  <c r="H93" i="15"/>
  <c r="J93" i="15"/>
  <c r="S93" i="15"/>
  <c r="K94" i="15"/>
  <c r="M95" i="15"/>
  <c r="AE95" i="15"/>
  <c r="O95" i="7" s="1"/>
  <c r="N98" i="15"/>
  <c r="I98" i="15"/>
  <c r="AG98" i="15" s="1"/>
  <c r="Q98" i="7" s="1"/>
  <c r="R98" i="15"/>
  <c r="J99" i="15"/>
  <c r="S99" i="15"/>
  <c r="L100" i="15"/>
  <c r="U100" i="15"/>
  <c r="AH104" i="15"/>
  <c r="R104" i="7" s="1"/>
  <c r="S104" i="7" s="1"/>
  <c r="R104" i="15"/>
  <c r="J104" i="15"/>
  <c r="I104" i="15"/>
  <c r="AG104" i="15" s="1"/>
  <c r="Q104" i="7" s="1"/>
  <c r="S104" i="15"/>
  <c r="L105" i="15"/>
  <c r="U105" i="15"/>
  <c r="K110" i="15"/>
  <c r="M111" i="15"/>
  <c r="AF111" i="15" s="1"/>
  <c r="AE111" i="15"/>
  <c r="O111" i="7" s="1"/>
  <c r="N114" i="15"/>
  <c r="I114" i="15"/>
  <c r="AG114" i="15" s="1"/>
  <c r="Q114" i="7" s="1"/>
  <c r="R114" i="15"/>
  <c r="J115" i="15"/>
  <c r="S115" i="15"/>
  <c r="L116" i="15"/>
  <c r="U116" i="15"/>
  <c r="R120" i="15"/>
  <c r="J120" i="15"/>
  <c r="I120" i="15"/>
  <c r="AG120" i="15" s="1"/>
  <c r="Q120" i="7" s="1"/>
  <c r="S120" i="15"/>
  <c r="L121" i="15"/>
  <c r="U121" i="15"/>
  <c r="P125" i="15"/>
  <c r="H125" i="15"/>
  <c r="J125" i="15"/>
  <c r="S125" i="15"/>
  <c r="K126" i="15"/>
  <c r="M127" i="15"/>
  <c r="N130" i="15"/>
  <c r="I130" i="15"/>
  <c r="AG130" i="15" s="1"/>
  <c r="Q130" i="7" s="1"/>
  <c r="R130" i="15"/>
  <c r="J131" i="15"/>
  <c r="S131" i="15"/>
  <c r="L132" i="15"/>
  <c r="U132" i="15"/>
  <c r="R136" i="15"/>
  <c r="J136" i="15"/>
  <c r="I136" i="15"/>
  <c r="AG136" i="15" s="1"/>
  <c r="Q136" i="7" s="1"/>
  <c r="S136" i="15"/>
  <c r="L137" i="15"/>
  <c r="U137" i="15"/>
  <c r="P141" i="15"/>
  <c r="H141" i="15"/>
  <c r="J141" i="15"/>
  <c r="S141" i="15"/>
  <c r="K142" i="15"/>
  <c r="M143" i="15"/>
  <c r="AF143" i="15" s="1"/>
  <c r="AE143" i="15"/>
  <c r="O143" i="7" s="1"/>
  <c r="N146" i="15"/>
  <c r="I146" i="15"/>
  <c r="AG146" i="15" s="1"/>
  <c r="Q146" i="7" s="1"/>
  <c r="R146" i="15"/>
  <c r="J147" i="15"/>
  <c r="S147" i="15"/>
  <c r="L148" i="15"/>
  <c r="U148" i="15"/>
  <c r="R152" i="15"/>
  <c r="J152" i="15"/>
  <c r="I152" i="15"/>
  <c r="AG152" i="15" s="1"/>
  <c r="Q152" i="7" s="1"/>
  <c r="S152" i="15"/>
  <c r="L153" i="15"/>
  <c r="K158" i="15"/>
  <c r="M159" i="15"/>
  <c r="N162" i="15"/>
  <c r="I162" i="15"/>
  <c r="R162" i="15"/>
  <c r="J163" i="15"/>
  <c r="S163" i="15"/>
  <c r="L164" i="15"/>
  <c r="U164" i="15"/>
  <c r="R168" i="15"/>
  <c r="J168" i="15"/>
  <c r="I168" i="15"/>
  <c r="AG168" i="15" s="1"/>
  <c r="Q168" i="7" s="1"/>
  <c r="S168" i="15"/>
  <c r="L169" i="15"/>
  <c r="U169" i="15"/>
  <c r="AG173" i="15" s="1"/>
  <c r="Q173" i="7" s="1"/>
  <c r="P173" i="15"/>
  <c r="H173" i="15"/>
  <c r="AF173" i="15" s="1"/>
  <c r="J173" i="15"/>
  <c r="S173" i="15"/>
  <c r="K174" i="15"/>
  <c r="M175" i="15"/>
  <c r="AF175" i="15" s="1"/>
  <c r="AE175" i="15"/>
  <c r="O175" i="7" s="1"/>
  <c r="P24" i="16"/>
  <c r="H24" i="9" s="1"/>
  <c r="E32" i="16"/>
  <c r="T49" i="16"/>
  <c r="E67" i="16"/>
  <c r="E68" i="16"/>
  <c r="P73" i="16"/>
  <c r="H73" i="9" s="1"/>
  <c r="F73" i="16"/>
  <c r="E73" i="16"/>
  <c r="I73" i="9" s="1"/>
  <c r="T92" i="16"/>
  <c r="F103" i="16"/>
  <c r="E103" i="16"/>
  <c r="I103" i="9" s="1"/>
  <c r="T103" i="16"/>
  <c r="P103" i="16"/>
  <c r="H103" i="9" s="1"/>
  <c r="P105" i="16"/>
  <c r="H105" i="9" s="1"/>
  <c r="E105" i="16"/>
  <c r="F105" i="16"/>
  <c r="F124" i="16"/>
  <c r="T145" i="16"/>
  <c r="F145" i="16"/>
  <c r="P145" i="16"/>
  <c r="H145" i="9" s="1"/>
  <c r="E145" i="16"/>
  <c r="I145" i="9" s="1"/>
  <c r="E163" i="16"/>
  <c r="P163" i="16"/>
  <c r="H163" i="9" s="1"/>
  <c r="O270" i="16" s="1"/>
  <c r="E283" i="16"/>
  <c r="T283" i="16"/>
  <c r="O283" i="16" s="1"/>
  <c r="T508" i="16"/>
  <c r="F508" i="16"/>
  <c r="P508" i="16"/>
  <c r="H508" i="9" s="1"/>
  <c r="E508" i="16"/>
  <c r="I508" i="9" s="1"/>
  <c r="O508" i="16"/>
  <c r="T511" i="16"/>
  <c r="T516" i="16"/>
  <c r="F516" i="16"/>
  <c r="P516" i="16"/>
  <c r="H516" i="9" s="1"/>
  <c r="E516" i="16"/>
  <c r="I516" i="9" s="1"/>
  <c r="O516" i="16" s="1"/>
  <c r="O522" i="16" s="1"/>
  <c r="E522" i="16"/>
  <c r="I522" i="9" s="1"/>
  <c r="T522" i="16"/>
  <c r="E539" i="16"/>
  <c r="I539" i="9" s="1"/>
  <c r="O539" i="16" s="1"/>
  <c r="T539" i="16"/>
  <c r="F539" i="16"/>
  <c r="P539" i="16"/>
  <c r="H539" i="9" s="1"/>
  <c r="E572" i="16"/>
  <c r="O572" i="16" s="1"/>
  <c r="O576" i="16"/>
  <c r="F576" i="16"/>
  <c r="E576" i="16"/>
  <c r="T576" i="16"/>
  <c r="T591" i="16"/>
  <c r="E628" i="16"/>
  <c r="F637" i="16"/>
  <c r="P637" i="16"/>
  <c r="H637" i="9" s="1"/>
  <c r="E765" i="16"/>
  <c r="F816" i="16"/>
  <c r="O816" i="16" s="1"/>
  <c r="E816" i="16"/>
  <c r="E834" i="16"/>
  <c r="O834" i="16"/>
  <c r="F847" i="16"/>
  <c r="E884" i="16"/>
  <c r="O884" i="16" s="1"/>
  <c r="E936" i="16"/>
  <c r="O936" i="16" s="1"/>
  <c r="E972" i="16"/>
  <c r="O972" i="16" s="1"/>
  <c r="F972" i="16"/>
  <c r="P972" i="16" s="1"/>
  <c r="H972" i="9" s="1"/>
  <c r="T972" i="16"/>
  <c r="E982" i="16"/>
  <c r="E990" i="16"/>
  <c r="F1068" i="16"/>
  <c r="E1068" i="16"/>
  <c r="F1100" i="16"/>
  <c r="F1252" i="16"/>
  <c r="P1252" i="16" s="1"/>
  <c r="H1252" i="9" s="1"/>
  <c r="I1252" i="9" s="1"/>
  <c r="F1293" i="16"/>
  <c r="F1308" i="16"/>
  <c r="P1308" i="16" s="1"/>
  <c r="O1313" i="16"/>
  <c r="E1313" i="16"/>
  <c r="O1327" i="16" s="1"/>
  <c r="E26" i="16"/>
  <c r="I26" i="9" s="1"/>
  <c r="T26" i="16"/>
  <c r="P42" i="16"/>
  <c r="H42" i="9" s="1"/>
  <c r="F42" i="16"/>
  <c r="E42" i="16"/>
  <c r="I42" i="9" s="1"/>
  <c r="T42" i="16"/>
  <c r="F52" i="16"/>
  <c r="P52" i="16"/>
  <c r="H52" i="9" s="1"/>
  <c r="T76" i="16"/>
  <c r="E87" i="16"/>
  <c r="F126" i="16"/>
  <c r="E126" i="16"/>
  <c r="T126" i="16"/>
  <c r="E136" i="16"/>
  <c r="T136" i="16"/>
  <c r="E169" i="16"/>
  <c r="T169" i="16" s="1"/>
  <c r="P169" i="16"/>
  <c r="H169" i="9" s="1"/>
  <c r="P184" i="16"/>
  <c r="H184" i="9" s="1"/>
  <c r="F184" i="16"/>
  <c r="E184" i="16"/>
  <c r="I184" i="9" s="1"/>
  <c r="T184" i="16"/>
  <c r="E211" i="16"/>
  <c r="F211" i="16"/>
  <c r="E217" i="16"/>
  <c r="E330" i="16"/>
  <c r="O330" i="16" s="1"/>
  <c r="O426" i="16"/>
  <c r="E427" i="16"/>
  <c r="I427" i="9" s="1"/>
  <c r="F427" i="16"/>
  <c r="P427" i="16"/>
  <c r="H427" i="9" s="1"/>
  <c r="O427" i="16"/>
  <c r="F481" i="16"/>
  <c r="E481" i="16"/>
  <c r="I481" i="9" s="1"/>
  <c r="T481" i="16"/>
  <c r="O481" i="16" s="1"/>
  <c r="E495" i="16"/>
  <c r="F586" i="16"/>
  <c r="E586" i="16"/>
  <c r="O586" i="16" s="1"/>
  <c r="E603" i="16"/>
  <c r="O603" i="16" s="1"/>
  <c r="T603" i="16"/>
  <c r="F603" i="16"/>
  <c r="O624" i="16" s="1"/>
  <c r="E624" i="16"/>
  <c r="P624" i="16" s="1"/>
  <c r="H624" i="9" s="1"/>
  <c r="T668" i="16"/>
  <c r="P668" i="16"/>
  <c r="H668" i="9" s="1"/>
  <c r="O687" i="16" s="1"/>
  <c r="P687" i="16" s="1"/>
  <c r="E703" i="16"/>
  <c r="E716" i="16"/>
  <c r="O716" i="16"/>
  <c r="F716" i="16"/>
  <c r="P716" i="16" s="1"/>
  <c r="H716" i="9" s="1"/>
  <c r="F760" i="16"/>
  <c r="E760" i="16"/>
  <c r="O760" i="16" s="1"/>
  <c r="O769" i="16" s="1"/>
  <c r="F815" i="16"/>
  <c r="E826" i="16"/>
  <c r="O826" i="16" s="1"/>
  <c r="O832" i="16"/>
  <c r="E832" i="16"/>
  <c r="E836" i="16"/>
  <c r="E872" i="16"/>
  <c r="F883" i="16"/>
  <c r="F893" i="16"/>
  <c r="E959" i="16"/>
  <c r="F983" i="16"/>
  <c r="E1185" i="16"/>
  <c r="F1218" i="16"/>
  <c r="E1218" i="16"/>
  <c r="E1299" i="16"/>
  <c r="O1299" i="16" s="1"/>
  <c r="E1327" i="16"/>
  <c r="F1343" i="16"/>
  <c r="P1343" i="16" s="1"/>
  <c r="H1343" i="9" s="1"/>
  <c r="I1343" i="9" s="1"/>
  <c r="E11" i="16"/>
  <c r="E27" i="16"/>
  <c r="I27" i="9" s="1"/>
  <c r="P27" i="16"/>
  <c r="H27" i="9" s="1"/>
  <c r="E62" i="16"/>
  <c r="P62" i="16"/>
  <c r="H62" i="9" s="1"/>
  <c r="P74" i="16"/>
  <c r="H74" i="9" s="1"/>
  <c r="F74" i="16"/>
  <c r="E85" i="16"/>
  <c r="T85" i="16"/>
  <c r="P89" i="16"/>
  <c r="H89" i="9" s="1"/>
  <c r="E89" i="16"/>
  <c r="P108" i="16"/>
  <c r="H108" i="9" s="1"/>
  <c r="F108" i="16"/>
  <c r="E123" i="16"/>
  <c r="E128" i="16"/>
  <c r="I128" i="9" s="1"/>
  <c r="F128" i="16"/>
  <c r="P128" i="16"/>
  <c r="H128" i="9" s="1"/>
  <c r="E165" i="16"/>
  <c r="T183" i="16"/>
  <c r="O240" i="16"/>
  <c r="F240" i="16"/>
  <c r="E240" i="16"/>
  <c r="I240" i="9" s="1"/>
  <c r="O297" i="16"/>
  <c r="F297" i="16"/>
  <c r="E297" i="16"/>
  <c r="I297" i="9" s="1"/>
  <c r="T297" i="16"/>
  <c r="P297" i="16"/>
  <c r="H297" i="9" s="1"/>
  <c r="E309" i="16"/>
  <c r="E312" i="16"/>
  <c r="O312" i="16" s="1"/>
  <c r="E336" i="16"/>
  <c r="P336" i="16" s="1"/>
  <c r="H336" i="9" s="1"/>
  <c r="E389" i="16"/>
  <c r="F417" i="16"/>
  <c r="O417" i="16" s="1"/>
  <c r="E417" i="16"/>
  <c r="T417" i="16"/>
  <c r="F537" i="16"/>
  <c r="E537" i="16"/>
  <c r="I537" i="9" s="1"/>
  <c r="T537" i="16"/>
  <c r="P537" i="16"/>
  <c r="H537" i="9" s="1"/>
  <c r="P549" i="16"/>
  <c r="H549" i="9" s="1"/>
  <c r="F549" i="16"/>
  <c r="P552" i="16"/>
  <c r="H552" i="9" s="1"/>
  <c r="E552" i="16"/>
  <c r="I552" i="9" s="1"/>
  <c r="T552" i="16"/>
  <c r="O552" i="16" s="1"/>
  <c r="E642" i="16"/>
  <c r="O642" i="16" s="1"/>
  <c r="F658" i="16"/>
  <c r="E658" i="16"/>
  <c r="I658" i="9" s="1"/>
  <c r="T658" i="16"/>
  <c r="P658" i="16"/>
  <c r="H658" i="9" s="1"/>
  <c r="O658" i="16"/>
  <c r="O801" i="16"/>
  <c r="E801" i="16"/>
  <c r="F823" i="16"/>
  <c r="P823" i="16" s="1"/>
  <c r="F842" i="16"/>
  <c r="E842" i="16"/>
  <c r="E859" i="16"/>
  <c r="O859" i="16" s="1"/>
  <c r="O880" i="16"/>
  <c r="E880" i="16"/>
  <c r="E914" i="16"/>
  <c r="O914" i="16" s="1"/>
  <c r="E939" i="16"/>
  <c r="F939" i="16"/>
  <c r="P939" i="16" s="1"/>
  <c r="O939" i="16"/>
  <c r="F957" i="16"/>
  <c r="T996" i="16"/>
  <c r="F996" i="16"/>
  <c r="E1055" i="16"/>
  <c r="E1072" i="16"/>
  <c r="F1245" i="16"/>
  <c r="P1245" i="16" s="1"/>
  <c r="H1245" i="9" s="1"/>
  <c r="I1245" i="9" s="1"/>
  <c r="E5" i="16"/>
  <c r="E15" i="16"/>
  <c r="E21" i="16"/>
  <c r="T27" i="16"/>
  <c r="E31" i="16"/>
  <c r="E37" i="16"/>
  <c r="T69" i="16"/>
  <c r="E69" i="16"/>
  <c r="E75" i="16"/>
  <c r="F77" i="16"/>
  <c r="T77" i="16"/>
  <c r="E77" i="16"/>
  <c r="I77" i="9" s="1"/>
  <c r="F95" i="16"/>
  <c r="E95" i="16"/>
  <c r="I95" i="9" s="1"/>
  <c r="T95" i="16"/>
  <c r="E146" i="16"/>
  <c r="F168" i="16"/>
  <c r="E168" i="16"/>
  <c r="E173" i="16"/>
  <c r="E243" i="16"/>
  <c r="P243" i="16"/>
  <c r="H243" i="9" s="1"/>
  <c r="O243" i="16"/>
  <c r="F250" i="16"/>
  <c r="E250" i="16"/>
  <c r="P250" i="16"/>
  <c r="H250" i="9" s="1"/>
  <c r="O250" i="16"/>
  <c r="P256" i="16"/>
  <c r="H256" i="9" s="1"/>
  <c r="O256" i="16"/>
  <c r="F256" i="16"/>
  <c r="E256" i="16"/>
  <c r="I256" i="9" s="1"/>
  <c r="E260" i="16"/>
  <c r="O260" i="16"/>
  <c r="E272" i="16"/>
  <c r="F320" i="16"/>
  <c r="E320" i="16"/>
  <c r="I320" i="9" s="1"/>
  <c r="T320" i="16"/>
  <c r="O320" i="16" s="1"/>
  <c r="E326" i="16"/>
  <c r="F360" i="16"/>
  <c r="O360" i="16" s="1"/>
  <c r="E360" i="16"/>
  <c r="F373" i="16"/>
  <c r="P432" i="16"/>
  <c r="H432" i="9" s="1"/>
  <c r="O432" i="16"/>
  <c r="F432" i="16"/>
  <c r="E432" i="16"/>
  <c r="E442" i="16"/>
  <c r="O465" i="16"/>
  <c r="F465" i="16"/>
  <c r="E465" i="16"/>
  <c r="P465" i="16"/>
  <c r="H465" i="9" s="1"/>
  <c r="E509" i="16"/>
  <c r="E534" i="16"/>
  <c r="F560" i="16"/>
  <c r="O560" i="16" s="1"/>
  <c r="E560" i="16"/>
  <c r="P560" i="16" s="1"/>
  <c r="H560" i="9" s="1"/>
  <c r="E564" i="16"/>
  <c r="E578" i="16"/>
  <c r="O578" i="16" s="1"/>
  <c r="T578" i="16"/>
  <c r="E590" i="16"/>
  <c r="O601" i="16"/>
  <c r="F601" i="16"/>
  <c r="E601" i="16"/>
  <c r="E619" i="16"/>
  <c r="E631" i="16"/>
  <c r="E685" i="16"/>
  <c r="E709" i="16"/>
  <c r="F741" i="16"/>
  <c r="F805" i="16"/>
  <c r="F808" i="16"/>
  <c r="E898" i="16"/>
  <c r="F935" i="16"/>
  <c r="O937" i="16"/>
  <c r="F937" i="16"/>
  <c r="E937" i="16"/>
  <c r="E977" i="16"/>
  <c r="O977" i="16" s="1"/>
  <c r="E1010" i="16"/>
  <c r="O1010" i="16"/>
  <c r="E1041" i="16"/>
  <c r="E1063" i="16"/>
  <c r="F1173" i="16"/>
  <c r="E1200" i="16"/>
  <c r="E1224" i="16"/>
  <c r="O1289" i="16"/>
  <c r="F1289" i="16"/>
  <c r="E1289" i="16"/>
  <c r="T22" i="16"/>
  <c r="T30" i="16"/>
  <c r="T38" i="16"/>
  <c r="T46" i="16"/>
  <c r="P61" i="16"/>
  <c r="H61" i="9" s="1"/>
  <c r="F61" i="16"/>
  <c r="E64" i="16"/>
  <c r="F71" i="16"/>
  <c r="E88" i="16"/>
  <c r="P101" i="16"/>
  <c r="H101" i="9" s="1"/>
  <c r="F101" i="16"/>
  <c r="E119" i="16"/>
  <c r="T119" i="16" s="1"/>
  <c r="T124" i="16"/>
  <c r="E142" i="16"/>
  <c r="E152" i="16"/>
  <c r="F178" i="16"/>
  <c r="E178" i="16"/>
  <c r="T178" i="16"/>
  <c r="E186" i="16"/>
  <c r="T186" i="16"/>
  <c r="E194" i="16"/>
  <c r="T194" i="16" s="1"/>
  <c r="E197" i="16"/>
  <c r="E201" i="16"/>
  <c r="E202" i="16"/>
  <c r="P202" i="16" s="1"/>
  <c r="H202" i="9" s="1"/>
  <c r="T202" i="16"/>
  <c r="T228" i="16"/>
  <c r="P296" i="16"/>
  <c r="H296" i="9" s="1"/>
  <c r="E296" i="16"/>
  <c r="F296" i="16" s="1"/>
  <c r="E338" i="16"/>
  <c r="I338" i="9" s="1"/>
  <c r="T338" i="16"/>
  <c r="P338" i="16"/>
  <c r="H338" i="9" s="1"/>
  <c r="O338" i="16"/>
  <c r="O353" i="16"/>
  <c r="E353" i="16"/>
  <c r="E355" i="16"/>
  <c r="O355" i="16" s="1"/>
  <c r="P355" i="16"/>
  <c r="H355" i="9" s="1"/>
  <c r="P368" i="16"/>
  <c r="H368" i="9" s="1"/>
  <c r="O368" i="16"/>
  <c r="E368" i="16"/>
  <c r="E371" i="16"/>
  <c r="O371" i="16" s="1"/>
  <c r="T372" i="16"/>
  <c r="E372" i="16"/>
  <c r="P440" i="16"/>
  <c r="H440" i="9" s="1"/>
  <c r="F440" i="16"/>
  <c r="O440" i="16" s="1"/>
  <c r="E440" i="16"/>
  <c r="I440" i="9" s="1"/>
  <c r="T440" i="16"/>
  <c r="E444" i="16"/>
  <c r="O444" i="16"/>
  <c r="O448" i="16"/>
  <c r="E448" i="16"/>
  <c r="T448" i="16"/>
  <c r="O452" i="16" s="1"/>
  <c r="E452" i="16"/>
  <c r="F458" i="16"/>
  <c r="E458" i="16"/>
  <c r="I458" i="9" s="1"/>
  <c r="O458" i="16" s="1"/>
  <c r="T458" i="16"/>
  <c r="P458" i="16"/>
  <c r="H458" i="9" s="1"/>
  <c r="T484" i="16"/>
  <c r="F530" i="16"/>
  <c r="E530" i="16"/>
  <c r="I530" i="9" s="1"/>
  <c r="T530" i="16"/>
  <c r="P530" i="16"/>
  <c r="H530" i="9" s="1"/>
  <c r="E609" i="16"/>
  <c r="O609" i="16" s="1"/>
  <c r="E611" i="16"/>
  <c r="O611" i="16" s="1"/>
  <c r="P611" i="16"/>
  <c r="H611" i="9" s="1"/>
  <c r="O632" i="16"/>
  <c r="E632" i="16"/>
  <c r="F636" i="16"/>
  <c r="P636" i="16"/>
  <c r="H636" i="9" s="1"/>
  <c r="E636" i="16"/>
  <c r="I636" i="9" s="1"/>
  <c r="O636" i="16"/>
  <c r="P640" i="16"/>
  <c r="H640" i="9" s="1"/>
  <c r="O640" i="16"/>
  <c r="F640" i="16"/>
  <c r="E640" i="16"/>
  <c r="I640" i="9" s="1"/>
  <c r="T640" i="16"/>
  <c r="T644" i="16"/>
  <c r="E644" i="16"/>
  <c r="O644" i="16"/>
  <c r="E650" i="16"/>
  <c r="E667" i="16"/>
  <c r="O667" i="16" s="1"/>
  <c r="F667" i="16"/>
  <c r="O678" i="16"/>
  <c r="O680" i="16"/>
  <c r="E680" i="16"/>
  <c r="P733" i="16"/>
  <c r="H733" i="9" s="1"/>
  <c r="I733" i="9" s="1"/>
  <c r="O734" i="16" s="1"/>
  <c r="P734" i="16" s="1"/>
  <c r="H734" i="9" s="1"/>
  <c r="I734" i="9" s="1"/>
  <c r="F839" i="16"/>
  <c r="P839" i="16" s="1"/>
  <c r="F865" i="16"/>
  <c r="E865" i="16"/>
  <c r="O865" i="16" s="1"/>
  <c r="E867" i="16"/>
  <c r="O888" i="16"/>
  <c r="E888" i="16"/>
  <c r="E892" i="16"/>
  <c r="O892" i="16"/>
  <c r="O896" i="16"/>
  <c r="F896" i="16"/>
  <c r="E896" i="16"/>
  <c r="O900" i="16" s="1"/>
  <c r="E900" i="16"/>
  <c r="E906" i="16"/>
  <c r="O906" i="16" s="1"/>
  <c r="E947" i="16"/>
  <c r="F947" i="16"/>
  <c r="P947" i="16" s="1"/>
  <c r="H947" i="9" s="1"/>
  <c r="O947" i="16"/>
  <c r="O948" i="16" s="1"/>
  <c r="F948" i="16"/>
  <c r="E948" i="16"/>
  <c r="E987" i="16"/>
  <c r="T987" i="16"/>
  <c r="F987" i="16"/>
  <c r="O987" i="16" s="1"/>
  <c r="F1000" i="16"/>
  <c r="O1000" i="16" s="1"/>
  <c r="E1000" i="16"/>
  <c r="F1013" i="16"/>
  <c r="F1074" i="16"/>
  <c r="E1074" i="16"/>
  <c r="F1090" i="16"/>
  <c r="E1090" i="16"/>
  <c r="F1138" i="16"/>
  <c r="E1138" i="16"/>
  <c r="F1212" i="16"/>
  <c r="E1212" i="16"/>
  <c r="F1233" i="16"/>
  <c r="E1233" i="16"/>
  <c r="E1243" i="16"/>
  <c r="O1243" i="16" s="1"/>
  <c r="O1256" i="16"/>
  <c r="E1256" i="16"/>
  <c r="O1269" i="16" s="1"/>
  <c r="E1276" i="16"/>
  <c r="O1276" i="16"/>
  <c r="E1282" i="16"/>
  <c r="O1282" i="16" s="1"/>
  <c r="F1295" i="16"/>
  <c r="P1295" i="16" s="1"/>
  <c r="H1295" i="9" s="1"/>
  <c r="I1295" i="9" s="1"/>
  <c r="T7" i="16"/>
  <c r="T23" i="16"/>
  <c r="T31" i="16"/>
  <c r="T39" i="16"/>
  <c r="T47" i="16"/>
  <c r="E66" i="16"/>
  <c r="T66" i="16" s="1"/>
  <c r="T68" i="16"/>
  <c r="P75" i="16"/>
  <c r="H75" i="9" s="1"/>
  <c r="E78" i="16"/>
  <c r="E86" i="16"/>
  <c r="E96" i="16"/>
  <c r="E106" i="16"/>
  <c r="P109" i="16"/>
  <c r="H109" i="9" s="1"/>
  <c r="F109" i="16"/>
  <c r="E127" i="16"/>
  <c r="P127" i="16" s="1"/>
  <c r="H127" i="9" s="1"/>
  <c r="T132" i="16"/>
  <c r="E150" i="16"/>
  <c r="E153" i="16"/>
  <c r="P153" i="16"/>
  <c r="H153" i="9" s="1"/>
  <c r="E171" i="16"/>
  <c r="I171" i="9" s="1"/>
  <c r="T171" i="16"/>
  <c r="F171" i="16"/>
  <c r="P171" i="16"/>
  <c r="H171" i="9" s="1"/>
  <c r="E179" i="16"/>
  <c r="E219" i="16"/>
  <c r="P224" i="16"/>
  <c r="H224" i="9" s="1"/>
  <c r="F224" i="16"/>
  <c r="F225" i="16"/>
  <c r="E225" i="16"/>
  <c r="I225" i="9" s="1"/>
  <c r="T225" i="16"/>
  <c r="P225" i="16"/>
  <c r="H225" i="9" s="1"/>
  <c r="O233" i="16" s="1"/>
  <c r="E233" i="16"/>
  <c r="T233" i="16" s="1"/>
  <c r="O253" i="16" s="1"/>
  <c r="O261" i="16" s="1"/>
  <c r="E261" i="16"/>
  <c r="P268" i="16"/>
  <c r="H268" i="9" s="1"/>
  <c r="E268" i="16"/>
  <c r="O268" i="16"/>
  <c r="T268" i="16"/>
  <c r="F277" i="16"/>
  <c r="P277" i="16"/>
  <c r="H277" i="9" s="1"/>
  <c r="E299" i="16"/>
  <c r="O299" i="16" s="1"/>
  <c r="F337" i="16"/>
  <c r="E337" i="16"/>
  <c r="O337" i="16" s="1"/>
  <c r="O344" i="16" s="1"/>
  <c r="O366" i="16"/>
  <c r="O374" i="16"/>
  <c r="E378" i="16"/>
  <c r="O378" i="16" s="1"/>
  <c r="F386" i="16"/>
  <c r="E386" i="16"/>
  <c r="E423" i="16"/>
  <c r="T423" i="16" s="1"/>
  <c r="F473" i="16"/>
  <c r="O473" i="16" s="1"/>
  <c r="O489" i="16"/>
  <c r="F489" i="16"/>
  <c r="E489" i="16"/>
  <c r="I489" i="9" s="1"/>
  <c r="T489" i="16"/>
  <c r="P489" i="16"/>
  <c r="H489" i="9" s="1"/>
  <c r="E529" i="16"/>
  <c r="O529" i="16" s="1"/>
  <c r="P542" i="16"/>
  <c r="H542" i="9" s="1"/>
  <c r="F542" i="16"/>
  <c r="E551" i="16"/>
  <c r="E557" i="16"/>
  <c r="E565" i="16"/>
  <c r="T565" i="16" s="1"/>
  <c r="E581" i="16"/>
  <c r="P588" i="16"/>
  <c r="H588" i="9" s="1"/>
  <c r="E588" i="16"/>
  <c r="O588" i="16"/>
  <c r="F688" i="16"/>
  <c r="O688" i="16" s="1"/>
  <c r="E688" i="16"/>
  <c r="F691" i="16"/>
  <c r="F692" i="16"/>
  <c r="E692" i="16"/>
  <c r="F698" i="16"/>
  <c r="E698" i="16"/>
  <c r="O698" i="16" s="1"/>
  <c r="F706" i="16"/>
  <c r="E706" i="16"/>
  <c r="O745" i="16"/>
  <c r="E745" i="16"/>
  <c r="F785" i="16"/>
  <c r="E785" i="16"/>
  <c r="O785" i="16" s="1"/>
  <c r="E807" i="16"/>
  <c r="E813" i="16"/>
  <c r="E821" i="16"/>
  <c r="F831" i="16"/>
  <c r="E837" i="16"/>
  <c r="E844" i="16"/>
  <c r="O844" i="16"/>
  <c r="F1053" i="16"/>
  <c r="E1061" i="16"/>
  <c r="E1080" i="16"/>
  <c r="E1096" i="16"/>
  <c r="E1132" i="16"/>
  <c r="F1151" i="16"/>
  <c r="E1189" i="16"/>
  <c r="F1199" i="16"/>
  <c r="F1239" i="16"/>
  <c r="O1261" i="16" s="1"/>
  <c r="O1263" i="16" s="1"/>
  <c r="E1269" i="16"/>
  <c r="T24" i="16"/>
  <c r="T32" i="16"/>
  <c r="T40" i="16"/>
  <c r="T48" i="16"/>
  <c r="E56" i="16"/>
  <c r="F63" i="16"/>
  <c r="F94" i="16"/>
  <c r="E94" i="16"/>
  <c r="T101" i="16"/>
  <c r="E104" i="16"/>
  <c r="E114" i="16"/>
  <c r="P117" i="16"/>
  <c r="H117" i="9" s="1"/>
  <c r="F117" i="16"/>
  <c r="E135" i="16"/>
  <c r="T140" i="16"/>
  <c r="T146" i="16"/>
  <c r="P150" i="16"/>
  <c r="H150" i="9" s="1"/>
  <c r="T153" i="16"/>
  <c r="T164" i="16"/>
  <c r="T172" i="16"/>
  <c r="F172" i="16"/>
  <c r="T179" i="16"/>
  <c r="E190" i="16"/>
  <c r="P232" i="16"/>
  <c r="H232" i="9" s="1"/>
  <c r="E232" i="16"/>
  <c r="O234" i="16"/>
  <c r="E253" i="16"/>
  <c r="E262" i="16"/>
  <c r="E274" i="16"/>
  <c r="O274" i="16" s="1"/>
  <c r="O289" i="16"/>
  <c r="F289" i="16"/>
  <c r="E289" i="16"/>
  <c r="T289" i="16"/>
  <c r="E291" i="16"/>
  <c r="O291" i="16" s="1"/>
  <c r="E304" i="16"/>
  <c r="E307" i="16"/>
  <c r="O307" i="16"/>
  <c r="O308" i="16" s="1"/>
  <c r="F308" i="16"/>
  <c r="P308" i="16"/>
  <c r="H308" i="9" s="1"/>
  <c r="E308" i="16"/>
  <c r="T335" i="16"/>
  <c r="O359" i="16" s="1"/>
  <c r="O376" i="16"/>
  <c r="E376" i="16"/>
  <c r="O380" i="16" s="1"/>
  <c r="T380" i="16"/>
  <c r="F380" i="16"/>
  <c r="E380" i="16"/>
  <c r="I380" i="9" s="1"/>
  <c r="O384" i="16"/>
  <c r="E384" i="16"/>
  <c r="I384" i="9" s="1"/>
  <c r="O388" i="16" s="1"/>
  <c r="T388" i="16"/>
  <c r="P388" i="16"/>
  <c r="H388" i="9" s="1"/>
  <c r="E388" i="16"/>
  <c r="I388" i="9" s="1"/>
  <c r="T391" i="16"/>
  <c r="E394" i="16"/>
  <c r="I394" i="9" s="1"/>
  <c r="T394" i="16"/>
  <c r="P394" i="16"/>
  <c r="H394" i="9" s="1"/>
  <c r="T420" i="16"/>
  <c r="E429" i="16"/>
  <c r="E437" i="16"/>
  <c r="E464" i="16"/>
  <c r="T486" i="16"/>
  <c r="P488" i="16"/>
  <c r="H488" i="9" s="1"/>
  <c r="O488" i="16" s="1"/>
  <c r="E488" i="16"/>
  <c r="F488" i="16" s="1"/>
  <c r="E491" i="16"/>
  <c r="I491" i="9" s="1"/>
  <c r="T491" i="16"/>
  <c r="P491" i="16"/>
  <c r="H491" i="9" s="1"/>
  <c r="O491" i="16"/>
  <c r="T527" i="16"/>
  <c r="O536" i="16" s="1"/>
  <c r="T548" i="16"/>
  <c r="E573" i="16"/>
  <c r="E582" i="16"/>
  <c r="F594" i="16"/>
  <c r="E594" i="16"/>
  <c r="I594" i="9" s="1"/>
  <c r="P594" i="16"/>
  <c r="H594" i="9" s="1"/>
  <c r="O594" i="16"/>
  <c r="E656" i="16"/>
  <c r="O673" i="16"/>
  <c r="F673" i="16"/>
  <c r="E675" i="16"/>
  <c r="I675" i="9" s="1"/>
  <c r="T675" i="16"/>
  <c r="F675" i="16"/>
  <c r="O686" i="16"/>
  <c r="O694" i="16"/>
  <c r="O696" i="16"/>
  <c r="F696" i="16"/>
  <c r="E696" i="16"/>
  <c r="E700" i="16"/>
  <c r="O704" i="16"/>
  <c r="E704" i="16"/>
  <c r="E708" i="16"/>
  <c r="O708" i="16"/>
  <c r="E714" i="16"/>
  <c r="F729" i="16"/>
  <c r="E729" i="16"/>
  <c r="E731" i="16"/>
  <c r="O731" i="16" s="1"/>
  <c r="F731" i="16"/>
  <c r="F744" i="16"/>
  <c r="O744" i="16" s="1"/>
  <c r="E744" i="16"/>
  <c r="E747" i="16"/>
  <c r="O747" i="16" s="1"/>
  <c r="O759" i="16" s="1"/>
  <c r="E829" i="16"/>
  <c r="E838" i="16"/>
  <c r="F850" i="16"/>
  <c r="O850" i="16" s="1"/>
  <c r="E850" i="16"/>
  <c r="E912" i="16"/>
  <c r="O951" i="16"/>
  <c r="O967" i="16"/>
  <c r="E970" i="16"/>
  <c r="O994" i="16"/>
  <c r="F1031" i="16"/>
  <c r="E1067" i="16"/>
  <c r="F1067" i="16"/>
  <c r="F1084" i="16"/>
  <c r="E1084" i="16"/>
  <c r="E1131" i="16"/>
  <c r="F1143" i="16"/>
  <c r="F1188" i="16"/>
  <c r="E1195" i="16"/>
  <c r="F1195" i="16" s="1"/>
  <c r="E1210" i="16"/>
  <c r="F1228" i="16"/>
  <c r="O1272" i="16"/>
  <c r="E1272" i="16"/>
  <c r="P1311" i="16"/>
  <c r="F1319" i="16"/>
  <c r="P1319" i="16" s="1"/>
  <c r="F1324" i="16"/>
  <c r="E1324" i="16"/>
  <c r="T60" i="16"/>
  <c r="E70" i="16"/>
  <c r="T84" i="16"/>
  <c r="P94" i="16"/>
  <c r="H94" i="9" s="1"/>
  <c r="E102" i="16"/>
  <c r="T109" i="16"/>
  <c r="E112" i="16"/>
  <c r="E122" i="16"/>
  <c r="P125" i="16"/>
  <c r="H125" i="9" s="1"/>
  <c r="F125" i="16"/>
  <c r="E143" i="16"/>
  <c r="T148" i="16"/>
  <c r="P160" i="16"/>
  <c r="H160" i="9" s="1"/>
  <c r="F160" i="16"/>
  <c r="E161" i="16"/>
  <c r="I161" i="9" s="1"/>
  <c r="P161" i="16"/>
  <c r="H161" i="9" s="1"/>
  <c r="P172" i="16"/>
  <c r="H172" i="9" s="1"/>
  <c r="E180" i="16"/>
  <c r="E188" i="16"/>
  <c r="P196" i="16"/>
  <c r="H196" i="9" s="1"/>
  <c r="E196" i="16"/>
  <c r="T207" i="16"/>
  <c r="E227" i="16"/>
  <c r="I227" i="9" s="1"/>
  <c r="T227" i="16"/>
  <c r="F227" i="16"/>
  <c r="P227" i="16"/>
  <c r="H227" i="9" s="1"/>
  <c r="E235" i="16"/>
  <c r="I235" i="9" s="1"/>
  <c r="O235" i="16" s="1"/>
  <c r="T235" i="16"/>
  <c r="F235" i="16"/>
  <c r="O273" i="16"/>
  <c r="F273" i="16"/>
  <c r="E273" i="16"/>
  <c r="T286" i="16"/>
  <c r="O288" i="16" s="1"/>
  <c r="O294" i="16"/>
  <c r="T302" i="16"/>
  <c r="F322" i="16"/>
  <c r="E322" i="16"/>
  <c r="T322" i="16"/>
  <c r="E350" i="16"/>
  <c r="E359" i="16"/>
  <c r="T383" i="16"/>
  <c r="F409" i="16"/>
  <c r="E409" i="16"/>
  <c r="O409" i="16" s="1"/>
  <c r="E411" i="16"/>
  <c r="T411" i="16"/>
  <c r="F425" i="16"/>
  <c r="O425" i="16" s="1"/>
  <c r="E425" i="16"/>
  <c r="I425" i="9" s="1"/>
  <c r="T425" i="16"/>
  <c r="P425" i="16"/>
  <c r="H425" i="9" s="1"/>
  <c r="E447" i="16"/>
  <c r="E453" i="16"/>
  <c r="P460" i="16"/>
  <c r="H460" i="9" s="1"/>
  <c r="E460" i="16"/>
  <c r="T460" i="16" s="1"/>
  <c r="O460" i="16"/>
  <c r="F496" i="16"/>
  <c r="O496" i="16" s="1"/>
  <c r="E496" i="16"/>
  <c r="E499" i="16"/>
  <c r="I499" i="9" s="1"/>
  <c r="O499" i="16" s="1"/>
  <c r="T499" i="16"/>
  <c r="F499" i="16"/>
  <c r="P499" i="16"/>
  <c r="H499" i="9" s="1"/>
  <c r="O500" i="16" s="1"/>
  <c r="T500" i="16"/>
  <c r="F500" i="16"/>
  <c r="P500" i="16"/>
  <c r="H500" i="9" s="1"/>
  <c r="E500" i="16"/>
  <c r="I500" i="9" s="1"/>
  <c r="F506" i="16"/>
  <c r="E506" i="16"/>
  <c r="F514" i="16"/>
  <c r="E514" i="16"/>
  <c r="O514" i="16" s="1"/>
  <c r="F553" i="16"/>
  <c r="O553" i="16" s="1"/>
  <c r="E553" i="16"/>
  <c r="I553" i="9" s="1"/>
  <c r="F593" i="16"/>
  <c r="E593" i="16"/>
  <c r="O593" i="16" s="1"/>
  <c r="E606" i="16"/>
  <c r="E615" i="16"/>
  <c r="E621" i="16"/>
  <c r="E629" i="16"/>
  <c r="E639" i="16"/>
  <c r="E645" i="16"/>
  <c r="P652" i="16"/>
  <c r="H652" i="9" s="1"/>
  <c r="E652" i="16"/>
  <c r="T652" i="16" s="1"/>
  <c r="O652" i="16"/>
  <c r="F661" i="16"/>
  <c r="P661" i="16"/>
  <c r="H661" i="9" s="1"/>
  <c r="O752" i="16" s="1"/>
  <c r="E752" i="16"/>
  <c r="F756" i="16"/>
  <c r="P756" i="16" s="1"/>
  <c r="H756" i="9" s="1"/>
  <c r="E756" i="16"/>
  <c r="E762" i="16"/>
  <c r="E770" i="16"/>
  <c r="O771" i="16"/>
  <c r="P799" i="16"/>
  <c r="H799" i="9" s="1"/>
  <c r="I799" i="9" s="1"/>
  <c r="O809" i="16" s="1"/>
  <c r="E809" i="16"/>
  <c r="E849" i="16"/>
  <c r="O849" i="16" s="1"/>
  <c r="E871" i="16"/>
  <c r="E877" i="16"/>
  <c r="E885" i="16"/>
  <c r="E895" i="16"/>
  <c r="E908" i="16"/>
  <c r="F967" i="16"/>
  <c r="P967" i="16" s="1"/>
  <c r="F993" i="16"/>
  <c r="E993" i="16"/>
  <c r="T993" i="16"/>
  <c r="O993" i="16" s="1"/>
  <c r="F1007" i="16"/>
  <c r="E1021" i="16"/>
  <c r="E1032" i="16"/>
  <c r="E1043" i="16"/>
  <c r="F1043" i="16"/>
  <c r="F1060" i="16"/>
  <c r="F1098" i="16"/>
  <c r="E1098" i="16"/>
  <c r="F1103" i="16"/>
  <c r="E1128" i="16"/>
  <c r="F1141" i="16"/>
  <c r="E1156" i="16"/>
  <c r="F1171" i="16"/>
  <c r="E1176" i="16"/>
  <c r="E1179" i="16"/>
  <c r="F1179" i="16"/>
  <c r="F1204" i="16"/>
  <c r="E1204" i="16"/>
  <c r="F1297" i="16"/>
  <c r="E1297" i="16"/>
  <c r="F1303" i="16"/>
  <c r="P1303" i="16" s="1"/>
  <c r="F1311" i="16"/>
  <c r="E1323" i="16"/>
  <c r="O1323" i="16" s="1"/>
  <c r="O1335" i="16"/>
  <c r="E1341" i="16"/>
  <c r="O1343" i="16"/>
  <c r="T58" i="16"/>
  <c r="T74" i="16"/>
  <c r="T82" i="16"/>
  <c r="P83" i="16"/>
  <c r="H83" i="9" s="1"/>
  <c r="T90" i="16"/>
  <c r="P91" i="16"/>
  <c r="H91" i="9" s="1"/>
  <c r="T98" i="16"/>
  <c r="P99" i="16"/>
  <c r="H99" i="9" s="1"/>
  <c r="P107" i="16"/>
  <c r="H107" i="9" s="1"/>
  <c r="P115" i="16"/>
  <c r="H115" i="9" s="1"/>
  <c r="P123" i="16"/>
  <c r="H123" i="9" s="1"/>
  <c r="T130" i="16"/>
  <c r="P131" i="16"/>
  <c r="H131" i="9" s="1"/>
  <c r="T138" i="16"/>
  <c r="P139" i="16"/>
  <c r="H139" i="9" s="1"/>
  <c r="P147" i="16"/>
  <c r="H147" i="9" s="1"/>
  <c r="F154" i="16"/>
  <c r="E154" i="16"/>
  <c r="T159" i="16"/>
  <c r="T165" i="16"/>
  <c r="F177" i="16"/>
  <c r="E177" i="16"/>
  <c r="E187" i="16"/>
  <c r="P200" i="16"/>
  <c r="H200" i="9" s="1"/>
  <c r="F200" i="16"/>
  <c r="F218" i="16"/>
  <c r="E218" i="16"/>
  <c r="T223" i="16"/>
  <c r="F236" i="16"/>
  <c r="T236" i="16"/>
  <c r="O241" i="16"/>
  <c r="F241" i="16"/>
  <c r="E241" i="16"/>
  <c r="E251" i="16"/>
  <c r="T254" i="16"/>
  <c r="P264" i="16"/>
  <c r="H264" i="9" s="1"/>
  <c r="O264" i="16" s="1"/>
  <c r="F264" i="16"/>
  <c r="O276" i="16" s="1"/>
  <c r="F282" i="16"/>
  <c r="E282" i="16"/>
  <c r="O282" i="16" s="1"/>
  <c r="T287" i="16"/>
  <c r="O293" i="16" s="1"/>
  <c r="F300" i="16"/>
  <c r="O305" i="16"/>
  <c r="F305" i="16"/>
  <c r="E305" i="16"/>
  <c r="E315" i="16"/>
  <c r="O315" i="16" s="1"/>
  <c r="O318" i="16" s="1"/>
  <c r="P328" i="16"/>
  <c r="H328" i="9" s="1"/>
  <c r="O328" i="16"/>
  <c r="F328" i="16"/>
  <c r="E346" i="16"/>
  <c r="O346" i="16" s="1"/>
  <c r="T351" i="16"/>
  <c r="O357" i="16" s="1"/>
  <c r="F364" i="16"/>
  <c r="T364" i="16"/>
  <c r="O369" i="16"/>
  <c r="E369" i="16"/>
  <c r="E379" i="16"/>
  <c r="O382" i="16" s="1"/>
  <c r="P392" i="16"/>
  <c r="H392" i="9" s="1"/>
  <c r="O392" i="16"/>
  <c r="F392" i="16"/>
  <c r="F410" i="16"/>
  <c r="E410" i="16"/>
  <c r="O410" i="16" s="1"/>
  <c r="T415" i="16"/>
  <c r="F428" i="16"/>
  <c r="T428" i="16"/>
  <c r="F433" i="16"/>
  <c r="E433" i="16"/>
  <c r="O433" i="16" s="1"/>
  <c r="E443" i="16"/>
  <c r="O443" i="16" s="1"/>
  <c r="P456" i="16"/>
  <c r="H456" i="9" s="1"/>
  <c r="F456" i="16"/>
  <c r="O456" i="16" s="1"/>
  <c r="O468" i="16" s="1"/>
  <c r="F474" i="16"/>
  <c r="E474" i="16"/>
  <c r="P474" i="16" s="1"/>
  <c r="H474" i="9" s="1"/>
  <c r="O474" i="16" s="1"/>
  <c r="T479" i="16"/>
  <c r="F492" i="16"/>
  <c r="T492" i="16"/>
  <c r="O497" i="16"/>
  <c r="F497" i="16"/>
  <c r="E497" i="16"/>
  <c r="E507" i="16"/>
  <c r="T510" i="16"/>
  <c r="P520" i="16"/>
  <c r="H520" i="9" s="1"/>
  <c r="O520" i="16"/>
  <c r="F520" i="16"/>
  <c r="O521" i="16" s="1"/>
  <c r="E538" i="16"/>
  <c r="T543" i="16"/>
  <c r="F556" i="16"/>
  <c r="T556" i="16"/>
  <c r="E561" i="16"/>
  <c r="O561" i="16" s="1"/>
  <c r="E571" i="16"/>
  <c r="T574" i="16"/>
  <c r="P584" i="16"/>
  <c r="H584" i="9" s="1"/>
  <c r="F584" i="16"/>
  <c r="O584" i="16" s="1"/>
  <c r="O585" i="16" s="1"/>
  <c r="O596" i="16" s="1"/>
  <c r="E602" i="16"/>
  <c r="O602" i="16" s="1"/>
  <c r="T607" i="16"/>
  <c r="F620" i="16"/>
  <c r="T620" i="16"/>
  <c r="O625" i="16"/>
  <c r="E625" i="16"/>
  <c r="E635" i="16"/>
  <c r="P648" i="16"/>
  <c r="H648" i="9" s="1"/>
  <c r="O648" i="16"/>
  <c r="F648" i="16"/>
  <c r="O649" i="16" s="1"/>
  <c r="O660" i="16" s="1"/>
  <c r="E666" i="16"/>
  <c r="T671" i="16"/>
  <c r="F684" i="16"/>
  <c r="E689" i="16"/>
  <c r="E699" i="16"/>
  <c r="O712" i="16"/>
  <c r="F712" i="16"/>
  <c r="P712" i="16" s="1"/>
  <c r="H712" i="9" s="1"/>
  <c r="I712" i="9" s="1"/>
  <c r="F730" i="16"/>
  <c r="E730" i="16"/>
  <c r="O730" i="16" s="1"/>
  <c r="F748" i="16"/>
  <c r="E763" i="16"/>
  <c r="O763" i="16" s="1"/>
  <c r="F794" i="16"/>
  <c r="E794" i="16"/>
  <c r="O794" i="16" s="1"/>
  <c r="F817" i="16"/>
  <c r="E817" i="16"/>
  <c r="O817" i="16" s="1"/>
  <c r="O827" i="16" s="1"/>
  <c r="E827" i="16"/>
  <c r="O855" i="16"/>
  <c r="P855" i="16" s="1"/>
  <c r="E858" i="16"/>
  <c r="F876" i="16"/>
  <c r="O881" i="16"/>
  <c r="O904" i="16"/>
  <c r="F904" i="16"/>
  <c r="P904" i="16" s="1"/>
  <c r="F922" i="16"/>
  <c r="E922" i="16"/>
  <c r="O922" i="16" s="1"/>
  <c r="F940" i="16"/>
  <c r="F945" i="16"/>
  <c r="E945" i="16"/>
  <c r="O945" i="16" s="1"/>
  <c r="E955" i="16"/>
  <c r="O955" i="16" s="1"/>
  <c r="E995" i="16"/>
  <c r="T995" i="16"/>
  <c r="F995" i="16"/>
  <c r="P995" i="16" s="1"/>
  <c r="H995" i="9" s="1"/>
  <c r="O995" i="16"/>
  <c r="O1004" i="16" s="1"/>
  <c r="O1008" i="16"/>
  <c r="E1008" i="16"/>
  <c r="T1008" i="16" s="1"/>
  <c r="E1012" i="16"/>
  <c r="F1018" i="16"/>
  <c r="E1018" i="16"/>
  <c r="F1057" i="16"/>
  <c r="E1057" i="16"/>
  <c r="E1092" i="16"/>
  <c r="F1097" i="16"/>
  <c r="E1097" i="16"/>
  <c r="E1115" i="16"/>
  <c r="F1136" i="16"/>
  <c r="E1136" i="16"/>
  <c r="F1140" i="16"/>
  <c r="E1140" i="16"/>
  <c r="F1146" i="16"/>
  <c r="E1146" i="16"/>
  <c r="E1184" i="16"/>
  <c r="F1226" i="16"/>
  <c r="E1226" i="16"/>
  <c r="F1229" i="16"/>
  <c r="O1271" i="16" s="1"/>
  <c r="O1277" i="16" s="1"/>
  <c r="E1277" i="16"/>
  <c r="F1312" i="16"/>
  <c r="E1312" i="16"/>
  <c r="O1326" i="16"/>
  <c r="O1328" i="16"/>
  <c r="F1328" i="16"/>
  <c r="E1328" i="16"/>
  <c r="O1332" i="16"/>
  <c r="T83" i="16"/>
  <c r="T91" i="16"/>
  <c r="T99" i="16"/>
  <c r="T107" i="16"/>
  <c r="T115" i="16"/>
  <c r="T123" i="16"/>
  <c r="T131" i="16"/>
  <c r="T139" i="16"/>
  <c r="T147" i="16"/>
  <c r="E162" i="16"/>
  <c r="T167" i="16"/>
  <c r="T173" i="16"/>
  <c r="F185" i="16"/>
  <c r="E185" i="16"/>
  <c r="E195" i="16"/>
  <c r="P205" i="16"/>
  <c r="H205" i="9" s="1"/>
  <c r="P208" i="16"/>
  <c r="H208" i="9" s="1"/>
  <c r="F208" i="16"/>
  <c r="F226" i="16"/>
  <c r="E226" i="16"/>
  <c r="T231" i="16"/>
  <c r="O236" i="16" s="1"/>
  <c r="O249" i="16"/>
  <c r="F249" i="16"/>
  <c r="E249" i="16"/>
  <c r="E259" i="16"/>
  <c r="P269" i="16"/>
  <c r="H269" i="9" s="1"/>
  <c r="P272" i="16"/>
  <c r="H272" i="9" s="1"/>
  <c r="O272" i="16"/>
  <c r="O284" i="16" s="1"/>
  <c r="F290" i="16"/>
  <c r="E290" i="16"/>
  <c r="O290" i="16" s="1"/>
  <c r="T295" i="16"/>
  <c r="O301" i="16" s="1"/>
  <c r="O313" i="16"/>
  <c r="F313" i="16"/>
  <c r="E313" i="16"/>
  <c r="P313" i="16" s="1"/>
  <c r="H313" i="9" s="1"/>
  <c r="E323" i="16"/>
  <c r="T326" i="16"/>
  <c r="P333" i="16"/>
  <c r="H333" i="9" s="1"/>
  <c r="O336" i="16"/>
  <c r="F336" i="16"/>
  <c r="E354" i="16"/>
  <c r="O354" i="16" s="1"/>
  <c r="T359" i="16"/>
  <c r="O377" i="16"/>
  <c r="E377" i="16"/>
  <c r="E387" i="16"/>
  <c r="O387" i="16" s="1"/>
  <c r="O390" i="16" s="1"/>
  <c r="O393" i="16" s="1"/>
  <c r="P397" i="16"/>
  <c r="H397" i="9" s="1"/>
  <c r="P400" i="16"/>
  <c r="H400" i="9" s="1"/>
  <c r="O400" i="16"/>
  <c r="F400" i="16"/>
  <c r="E418" i="16"/>
  <c r="O434" i="16" s="1"/>
  <c r="O441" i="16"/>
  <c r="F441" i="16"/>
  <c r="E441" i="16"/>
  <c r="E451" i="16"/>
  <c r="T454" i="16"/>
  <c r="P461" i="16"/>
  <c r="H461" i="9" s="1"/>
  <c r="P464" i="16"/>
  <c r="H464" i="9" s="1"/>
  <c r="F464" i="16"/>
  <c r="O482" i="16" s="1"/>
  <c r="E482" i="16"/>
  <c r="T487" i="16"/>
  <c r="O498" i="16" s="1"/>
  <c r="F505" i="16"/>
  <c r="E505" i="16"/>
  <c r="O505" i="16" s="1"/>
  <c r="E515" i="16"/>
  <c r="T518" i="16"/>
  <c r="P525" i="16"/>
  <c r="H525" i="9" s="1"/>
  <c r="P528" i="16"/>
  <c r="H528" i="9" s="1"/>
  <c r="F528" i="16"/>
  <c r="F546" i="16"/>
  <c r="E546" i="16"/>
  <c r="T551" i="16"/>
  <c r="E569" i="16"/>
  <c r="P589" i="16"/>
  <c r="H589" i="9" s="1"/>
  <c r="P592" i="16"/>
  <c r="H592" i="9" s="1"/>
  <c r="F592" i="16"/>
  <c r="O592" i="16" s="1"/>
  <c r="E610" i="16"/>
  <c r="O610" i="16" s="1"/>
  <c r="O633" i="16"/>
  <c r="F633" i="16"/>
  <c r="E633" i="16"/>
  <c r="E643" i="16"/>
  <c r="P653" i="16"/>
  <c r="H653" i="9" s="1"/>
  <c r="O656" i="16"/>
  <c r="F656" i="16"/>
  <c r="F674" i="16"/>
  <c r="E674" i="16"/>
  <c r="F697" i="16"/>
  <c r="P697" i="16" s="1"/>
  <c r="H697" i="9" s="1"/>
  <c r="P717" i="16"/>
  <c r="H717" i="9" s="1"/>
  <c r="I717" i="9" s="1"/>
  <c r="O720" i="16"/>
  <c r="F720" i="16"/>
  <c r="O732" i="16" s="1"/>
  <c r="F738" i="16"/>
  <c r="E738" i="16"/>
  <c r="F761" i="16"/>
  <c r="E761" i="16"/>
  <c r="O761" i="16" s="1"/>
  <c r="E771" i="16"/>
  <c r="P781" i="16"/>
  <c r="O825" i="16"/>
  <c r="F825" i="16"/>
  <c r="E825" i="16"/>
  <c r="E835" i="16"/>
  <c r="P845" i="16"/>
  <c r="F848" i="16"/>
  <c r="E866" i="16"/>
  <c r="F912" i="16"/>
  <c r="P912" i="16" s="1"/>
  <c r="H912" i="9" s="1"/>
  <c r="E930" i="16"/>
  <c r="O953" i="16"/>
  <c r="F953" i="16"/>
  <c r="E953" i="16"/>
  <c r="E963" i="16"/>
  <c r="O976" i="16"/>
  <c r="F976" i="16"/>
  <c r="P976" i="16" s="1"/>
  <c r="H976" i="9" s="1"/>
  <c r="I976" i="9" s="1"/>
  <c r="E1016" i="16"/>
  <c r="E1026" i="16"/>
  <c r="F1056" i="16"/>
  <c r="E1056" i="16"/>
  <c r="F1079" i="16"/>
  <c r="F1087" i="16"/>
  <c r="F1124" i="16"/>
  <c r="F1144" i="16"/>
  <c r="E1144" i="16"/>
  <c r="F1154" i="16"/>
  <c r="E1154" i="16"/>
  <c r="E1187" i="16"/>
  <c r="F1207" i="16"/>
  <c r="F1215" i="16"/>
  <c r="E1220" i="16"/>
  <c r="E1225" i="16"/>
  <c r="O1249" i="16"/>
  <c r="O1259" i="16"/>
  <c r="O1260" i="16" s="1"/>
  <c r="F1260" i="16"/>
  <c r="P1260" i="16"/>
  <c r="H1260" i="9" s="1"/>
  <c r="E1260" i="16"/>
  <c r="F1266" i="16"/>
  <c r="E1266" i="16"/>
  <c r="O1266" i="16" s="1"/>
  <c r="O1274" i="16"/>
  <c r="O1287" i="16"/>
  <c r="O1305" i="16"/>
  <c r="E1305" i="16"/>
  <c r="O1310" i="16"/>
  <c r="E1315" i="16"/>
  <c r="O1315" i="16" s="1"/>
  <c r="E1338" i="16"/>
  <c r="E170" i="16"/>
  <c r="T175" i="16"/>
  <c r="T177" i="16"/>
  <c r="P185" i="16"/>
  <c r="H185" i="9" s="1"/>
  <c r="F193" i="16"/>
  <c r="E193" i="16"/>
  <c r="T200" i="16"/>
  <c r="E203" i="16"/>
  <c r="P216" i="16"/>
  <c r="H216" i="9" s="1"/>
  <c r="F216" i="16"/>
  <c r="P218" i="16"/>
  <c r="H218" i="9" s="1"/>
  <c r="F234" i="16"/>
  <c r="E234" i="16"/>
  <c r="T239" i="16"/>
  <c r="T241" i="16"/>
  <c r="P249" i="16"/>
  <c r="H249" i="9" s="1"/>
  <c r="O251" i="16"/>
  <c r="O257" i="16" s="1"/>
  <c r="E257" i="16"/>
  <c r="T264" i="16"/>
  <c r="E267" i="16"/>
  <c r="P280" i="16"/>
  <c r="H280" i="9" s="1"/>
  <c r="O280" i="16"/>
  <c r="F280" i="16"/>
  <c r="O292" i="16" s="1"/>
  <c r="E298" i="16"/>
  <c r="O298" i="16" s="1"/>
  <c r="T303" i="16"/>
  <c r="T305" i="16"/>
  <c r="O321" i="16"/>
  <c r="E321" i="16"/>
  <c r="T328" i="16"/>
  <c r="E331" i="16"/>
  <c r="T334" i="16"/>
  <c r="P344" i="16"/>
  <c r="H344" i="9" s="1"/>
  <c r="F344" i="16"/>
  <c r="P346" i="16"/>
  <c r="H346" i="9" s="1"/>
  <c r="F362" i="16"/>
  <c r="E362" i="16"/>
  <c r="O362" i="16" s="1"/>
  <c r="T367" i="16"/>
  <c r="P377" i="16"/>
  <c r="H377" i="9" s="1"/>
  <c r="O379" i="16"/>
  <c r="E385" i="16"/>
  <c r="T392" i="16"/>
  <c r="E395" i="16"/>
  <c r="O395" i="16" s="1"/>
  <c r="E405" i="16"/>
  <c r="P408" i="16"/>
  <c r="H408" i="9" s="1"/>
  <c r="F408" i="16"/>
  <c r="O408" i="16" s="1"/>
  <c r="P410" i="16"/>
  <c r="H410" i="9" s="1"/>
  <c r="O420" i="16" s="1"/>
  <c r="F426" i="16"/>
  <c r="E426" i="16"/>
  <c r="T431" i="16"/>
  <c r="T433" i="16"/>
  <c r="P441" i="16"/>
  <c r="H441" i="9" s="1"/>
  <c r="F449" i="16"/>
  <c r="E449" i="16"/>
  <c r="T456" i="16"/>
  <c r="E459" i="16"/>
  <c r="O459" i="16" s="1"/>
  <c r="T462" i="16"/>
  <c r="O464" i="16" s="1"/>
  <c r="E469" i="16"/>
  <c r="P472" i="16"/>
  <c r="H472" i="9" s="1"/>
  <c r="O472" i="16"/>
  <c r="F472" i="16"/>
  <c r="F490" i="16"/>
  <c r="O490" i="16" s="1"/>
  <c r="E490" i="16"/>
  <c r="T495" i="16"/>
  <c r="P505" i="16"/>
  <c r="H505" i="9" s="1"/>
  <c r="O507" i="16"/>
  <c r="F513" i="16"/>
  <c r="E513" i="16"/>
  <c r="O513" i="16" s="1"/>
  <c r="T520" i="16"/>
  <c r="E523" i="16"/>
  <c r="O523" i="16" s="1"/>
  <c r="T526" i="16"/>
  <c r="P536" i="16"/>
  <c r="H536" i="9" s="1"/>
  <c r="F536" i="16"/>
  <c r="O546" i="16"/>
  <c r="O548" i="16" s="1"/>
  <c r="E554" i="16"/>
  <c r="T559" i="16"/>
  <c r="T561" i="16"/>
  <c r="O571" i="16"/>
  <c r="F577" i="16"/>
  <c r="E577" i="16"/>
  <c r="T584" i="16"/>
  <c r="E587" i="16"/>
  <c r="O587" i="16" s="1"/>
  <c r="T590" i="16"/>
  <c r="E597" i="16"/>
  <c r="T597" i="16" s="1"/>
  <c r="P600" i="16"/>
  <c r="H600" i="9" s="1"/>
  <c r="O600" i="16"/>
  <c r="F600" i="16"/>
  <c r="F618" i="16"/>
  <c r="E618" i="16"/>
  <c r="O618" i="16" s="1"/>
  <c r="T623" i="16"/>
  <c r="O635" i="16"/>
  <c r="O641" i="16"/>
  <c r="F641" i="16"/>
  <c r="E641" i="16"/>
  <c r="T648" i="16"/>
  <c r="E651" i="16"/>
  <c r="T654" i="16"/>
  <c r="O664" i="16"/>
  <c r="F664" i="16"/>
  <c r="O674" i="16"/>
  <c r="E682" i="16"/>
  <c r="O682" i="16" s="1"/>
  <c r="O705" i="16"/>
  <c r="E705" i="16"/>
  <c r="E715" i="16"/>
  <c r="O718" i="16" s="1"/>
  <c r="O728" i="16"/>
  <c r="F728" i="16"/>
  <c r="P728" i="16" s="1"/>
  <c r="O738" i="16"/>
  <c r="E746" i="16"/>
  <c r="O746" i="16" s="1"/>
  <c r="F769" i="16"/>
  <c r="E769" i="16"/>
  <c r="E779" i="16"/>
  <c r="O779" i="16" s="1"/>
  <c r="E789" i="16"/>
  <c r="F792" i="16"/>
  <c r="E833" i="16"/>
  <c r="E843" i="16"/>
  <c r="E853" i="16"/>
  <c r="F856" i="16"/>
  <c r="O871" i="16"/>
  <c r="E874" i="16"/>
  <c r="O874" i="16" s="1"/>
  <c r="F920" i="16"/>
  <c r="O920" i="16" s="1"/>
  <c r="O930" i="16"/>
  <c r="O932" i="16" s="1"/>
  <c r="O935" i="16"/>
  <c r="P935" i="16" s="1"/>
  <c r="F938" i="16"/>
  <c r="E938" i="16"/>
  <c r="O938" i="16" s="1"/>
  <c r="E961" i="16"/>
  <c r="E971" i="16"/>
  <c r="E975" i="16"/>
  <c r="T983" i="16"/>
  <c r="F991" i="16"/>
  <c r="E1003" i="16"/>
  <c r="T1003" i="16"/>
  <c r="F1003" i="16"/>
  <c r="P1003" i="16" s="1"/>
  <c r="H1003" i="9" s="1"/>
  <c r="O1003" i="16"/>
  <c r="E1020" i="16"/>
  <c r="F1034" i="16"/>
  <c r="E1034" i="16"/>
  <c r="E1038" i="16"/>
  <c r="E1059" i="16"/>
  <c r="E1071" i="16"/>
  <c r="E1085" i="16"/>
  <c r="F1109" i="16"/>
  <c r="F1148" i="16"/>
  <c r="E1148" i="16"/>
  <c r="F1165" i="16"/>
  <c r="E1213" i="16"/>
  <c r="O1248" i="16" s="1"/>
  <c r="E1248" i="16"/>
  <c r="E1253" i="16"/>
  <c r="O1264" i="16"/>
  <c r="F1264" i="16"/>
  <c r="P1264" i="16" s="1"/>
  <c r="E1264" i="16"/>
  <c r="E1268" i="16"/>
  <c r="O1268" i="16"/>
  <c r="F1287" i="16"/>
  <c r="O1301" i="16"/>
  <c r="E1302" i="16"/>
  <c r="E1307" i="16"/>
  <c r="O1307" i="16" s="1"/>
  <c r="F1307" i="16"/>
  <c r="O1336" i="16"/>
  <c r="F1336" i="16"/>
  <c r="E1336" i="16"/>
  <c r="E1346" i="16"/>
  <c r="E242" i="16"/>
  <c r="T247" i="16"/>
  <c r="O265" i="16" s="1"/>
  <c r="E265" i="16"/>
  <c r="E275" i="16"/>
  <c r="O275" i="16" s="1"/>
  <c r="O278" i="16" s="1"/>
  <c r="F288" i="16"/>
  <c r="E306" i="16"/>
  <c r="O306" i="16" s="1"/>
  <c r="T311" i="16"/>
  <c r="O329" i="16"/>
  <c r="F329" i="16"/>
  <c r="E329" i="16"/>
  <c r="E339" i="16"/>
  <c r="O339" i="16" s="1"/>
  <c r="O342" i="16" s="1"/>
  <c r="P352" i="16"/>
  <c r="H352" i="9" s="1"/>
  <c r="O352" i="16"/>
  <c r="F352" i="16"/>
  <c r="E370" i="16"/>
  <c r="O370" i="16" s="1"/>
  <c r="T375" i="16"/>
  <c r="F393" i="16"/>
  <c r="E393" i="16"/>
  <c r="E403" i="16"/>
  <c r="O403" i="16" s="1"/>
  <c r="P416" i="16"/>
  <c r="H416" i="9" s="1"/>
  <c r="F416" i="16"/>
  <c r="E434" i="16"/>
  <c r="T439" i="16"/>
  <c r="E457" i="16"/>
  <c r="E467" i="16"/>
  <c r="T470" i="16"/>
  <c r="P480" i="16"/>
  <c r="H480" i="9" s="1"/>
  <c r="F480" i="16"/>
  <c r="O480" i="16" s="1"/>
  <c r="E498" i="16"/>
  <c r="T503" i="16"/>
  <c r="F521" i="16"/>
  <c r="E521" i="16"/>
  <c r="E531" i="16"/>
  <c r="P544" i="16"/>
  <c r="H544" i="9" s="1"/>
  <c r="F544" i="16"/>
  <c r="O544" i="16" s="1"/>
  <c r="E562" i="16"/>
  <c r="T567" i="16"/>
  <c r="E585" i="16"/>
  <c r="E595" i="16"/>
  <c r="O595" i="16" s="1"/>
  <c r="P608" i="16"/>
  <c r="H608" i="9" s="1"/>
  <c r="F608" i="16"/>
  <c r="O608" i="16" s="1"/>
  <c r="E626" i="16"/>
  <c r="F649" i="16"/>
  <c r="E649" i="16"/>
  <c r="E659" i="16"/>
  <c r="P672" i="16"/>
  <c r="H672" i="9" s="1"/>
  <c r="O672" i="16"/>
  <c r="F672" i="16"/>
  <c r="E690" i="16"/>
  <c r="O690" i="16" s="1"/>
  <c r="O701" i="16" s="1"/>
  <c r="E713" i="16"/>
  <c r="O736" i="16"/>
  <c r="F736" i="16"/>
  <c r="P736" i="16" s="1"/>
  <c r="E754" i="16"/>
  <c r="F777" i="16"/>
  <c r="E777" i="16"/>
  <c r="E787" i="16"/>
  <c r="F800" i="16"/>
  <c r="P800" i="16" s="1"/>
  <c r="O800" i="16" s="1"/>
  <c r="O812" i="16" s="1"/>
  <c r="F841" i="16"/>
  <c r="E841" i="16"/>
  <c r="E851" i="16"/>
  <c r="O851" i="16" s="1"/>
  <c r="O864" i="16"/>
  <c r="F864" i="16"/>
  <c r="O876" i="16" s="1"/>
  <c r="F882" i="16"/>
  <c r="E882" i="16"/>
  <c r="F928" i="16"/>
  <c r="O963" i="16"/>
  <c r="O969" i="16"/>
  <c r="F969" i="16"/>
  <c r="E969" i="16"/>
  <c r="T976" i="16"/>
  <c r="E979" i="16"/>
  <c r="F985" i="16"/>
  <c r="E985" i="16"/>
  <c r="T985" i="16" s="1"/>
  <c r="O985" i="16" s="1"/>
  <c r="T1004" i="16"/>
  <c r="F1004" i="16"/>
  <c r="E1028" i="16"/>
  <c r="E1033" i="16"/>
  <c r="E1049" i="16"/>
  <c r="E1064" i="16"/>
  <c r="F1105" i="16"/>
  <c r="E1105" i="16"/>
  <c r="E1107" i="16"/>
  <c r="F1107" i="16"/>
  <c r="F1121" i="16"/>
  <c r="E1121" i="16"/>
  <c r="F1162" i="16"/>
  <c r="E1162" i="16"/>
  <c r="F1167" i="16"/>
  <c r="E1177" i="16"/>
  <c r="F1192" i="16"/>
  <c r="E1192" i="16"/>
  <c r="F1241" i="16"/>
  <c r="E1241" i="16"/>
  <c r="F1251" i="16"/>
  <c r="P1251" i="16" s="1"/>
  <c r="H1251" i="9" s="1"/>
  <c r="E1274" i="16"/>
  <c r="O1340" i="16" s="1"/>
  <c r="F1340" i="16"/>
  <c r="E1340" i="16"/>
  <c r="R122" i="17"/>
  <c r="Q122" i="17"/>
  <c r="E1011" i="16"/>
  <c r="F1024" i="16"/>
  <c r="E1042" i="16"/>
  <c r="F1065" i="16"/>
  <c r="E1065" i="16"/>
  <c r="E1075" i="16"/>
  <c r="F1088" i="16"/>
  <c r="F1106" i="16"/>
  <c r="E1106" i="16"/>
  <c r="F1129" i="16"/>
  <c r="F1152" i="16"/>
  <c r="F1170" i="16"/>
  <c r="E1170" i="16"/>
  <c r="F1193" i="16"/>
  <c r="E1193" i="16"/>
  <c r="E1203" i="16"/>
  <c r="F1216" i="16"/>
  <c r="F1234" i="16"/>
  <c r="E1234" i="16"/>
  <c r="E1257" i="16"/>
  <c r="E1267" i="16"/>
  <c r="O1279" i="16" s="1"/>
  <c r="O1280" i="16"/>
  <c r="F1280" i="16"/>
  <c r="O1295" i="16"/>
  <c r="E1298" i="16"/>
  <c r="O1321" i="16"/>
  <c r="F1321" i="16"/>
  <c r="E1321" i="16"/>
  <c r="E1331" i="16"/>
  <c r="O1344" i="16"/>
  <c r="F1344" i="16"/>
  <c r="P1344" i="16" s="1"/>
  <c r="F986" i="16"/>
  <c r="E986" i="16"/>
  <c r="T991" i="16"/>
  <c r="O1009" i="16"/>
  <c r="F1009" i="16"/>
  <c r="E1009" i="16"/>
  <c r="E1019" i="16"/>
  <c r="E1029" i="16"/>
  <c r="F1032" i="16"/>
  <c r="F1050" i="16"/>
  <c r="E1050" i="16"/>
  <c r="E1073" i="16"/>
  <c r="E1083" i="16"/>
  <c r="E1093" i="16"/>
  <c r="F1114" i="16"/>
  <c r="E1114" i="16"/>
  <c r="F1137" i="16"/>
  <c r="E1157" i="16"/>
  <c r="F1160" i="16"/>
  <c r="F1178" i="16"/>
  <c r="E1178" i="16"/>
  <c r="F1201" i="16"/>
  <c r="E1201" i="16"/>
  <c r="F1224" i="16"/>
  <c r="E1242" i="16"/>
  <c r="O1265" i="16"/>
  <c r="E1275" i="16"/>
  <c r="E1285" i="16"/>
  <c r="O1288" i="16"/>
  <c r="F1288" i="16"/>
  <c r="P1288" i="16" s="1"/>
  <c r="O1298" i="16"/>
  <c r="O1303" i="16"/>
  <c r="F1306" i="16"/>
  <c r="P1306" i="16" s="1"/>
  <c r="H1306" i="9" s="1"/>
  <c r="E1306" i="16"/>
  <c r="O1329" i="16"/>
  <c r="F1329" i="16"/>
  <c r="E1329" i="16"/>
  <c r="E1339" i="16"/>
  <c r="O988" i="16" s="1"/>
  <c r="P988" i="16" s="1"/>
  <c r="H988" i="9" s="1"/>
  <c r="I988" i="9" s="1"/>
  <c r="E994" i="16"/>
  <c r="T999" i="16"/>
  <c r="O1011" i="16"/>
  <c r="E1017" i="16"/>
  <c r="E1027" i="16"/>
  <c r="E1037" i="16"/>
  <c r="F1040" i="16"/>
  <c r="F1058" i="16"/>
  <c r="E1058" i="16"/>
  <c r="F1081" i="16"/>
  <c r="E1081" i="16"/>
  <c r="E1091" i="16"/>
  <c r="F1104" i="16"/>
  <c r="F1122" i="16"/>
  <c r="E1122" i="16"/>
  <c r="F1168" i="16"/>
  <c r="E1186" i="16"/>
  <c r="E1209" i="16"/>
  <c r="E1219" i="16"/>
  <c r="F1232" i="16"/>
  <c r="E1250" i="16"/>
  <c r="E1283" i="16"/>
  <c r="O1296" i="16"/>
  <c r="F1296" i="16"/>
  <c r="O1306" i="16"/>
  <c r="O1308" i="16" s="1"/>
  <c r="O1311" i="16"/>
  <c r="E1314" i="16"/>
  <c r="O1314" i="16" s="1"/>
  <c r="O1331" i="16"/>
  <c r="F1337" i="16"/>
  <c r="E1337" i="16"/>
  <c r="E1347" i="16"/>
  <c r="O984" i="16"/>
  <c r="F984" i="16"/>
  <c r="P984" i="16" s="1"/>
  <c r="H984" i="9" s="1"/>
  <c r="I984" i="9" s="1"/>
  <c r="O996" i="16" s="1"/>
  <c r="P996" i="16" s="1"/>
  <c r="H996" i="9" s="1"/>
  <c r="I996" i="9" s="1"/>
  <c r="O999" i="16"/>
  <c r="P999" i="16" s="1"/>
  <c r="H999" i="9" s="1"/>
  <c r="I999" i="9" s="1"/>
  <c r="F1002" i="16"/>
  <c r="E1002" i="16"/>
  <c r="T1007" i="16"/>
  <c r="T1009" i="16"/>
  <c r="F1025" i="16"/>
  <c r="E1025" i="16"/>
  <c r="E1035" i="16"/>
  <c r="F1048" i="16"/>
  <c r="F1066" i="16"/>
  <c r="E1066" i="16"/>
  <c r="F1089" i="16"/>
  <c r="F1112" i="16"/>
  <c r="F1130" i="16"/>
  <c r="E1130" i="16"/>
  <c r="E1153" i="16"/>
  <c r="E1163" i="16"/>
  <c r="F1194" i="16"/>
  <c r="E1194" i="16"/>
  <c r="E1227" i="16"/>
  <c r="F1240" i="16"/>
  <c r="O1250" i="16"/>
  <c r="O1255" i="16"/>
  <c r="F1258" i="16"/>
  <c r="E1258" i="16"/>
  <c r="O1281" i="16"/>
  <c r="E1281" i="16"/>
  <c r="E1291" i="16"/>
  <c r="O1292" i="16"/>
  <c r="E1301" i="16"/>
  <c r="O1304" i="16"/>
  <c r="F1304" i="16"/>
  <c r="P1304" i="16" s="1"/>
  <c r="O1316" i="16" s="1"/>
  <c r="O1319" i="16"/>
  <c r="F1322" i="16"/>
  <c r="E1322" i="16"/>
  <c r="O1322" i="16" s="1"/>
  <c r="O1339" i="16"/>
  <c r="O1345" i="16"/>
  <c r="F1345" i="16"/>
  <c r="E1345" i="16"/>
  <c r="Z18" i="17"/>
  <c r="Y18" i="17"/>
  <c r="X18" i="17"/>
  <c r="L18" i="17"/>
  <c r="AA18" i="17"/>
  <c r="AB18" i="17"/>
  <c r="S18" i="17"/>
  <c r="V68" i="17"/>
  <c r="N68" i="17"/>
  <c r="U68" i="17"/>
  <c r="M68" i="17"/>
  <c r="AA68" i="17"/>
  <c r="AL68" i="17" s="1"/>
  <c r="Q68" i="17"/>
  <c r="Z68" i="17"/>
  <c r="Y68" i="17"/>
  <c r="R68" i="17"/>
  <c r="L68" i="17"/>
  <c r="K68" i="17"/>
  <c r="AB68" i="17"/>
  <c r="X68" i="17"/>
  <c r="W68" i="17"/>
  <c r="T68" i="17"/>
  <c r="AO68" i="17"/>
  <c r="S68" i="17"/>
  <c r="J68" i="17"/>
  <c r="AA56" i="17"/>
  <c r="Q66" i="17"/>
  <c r="J38" i="17"/>
  <c r="V54" i="17"/>
  <c r="V14" i="17"/>
  <c r="N14" i="17"/>
  <c r="U14" i="17"/>
  <c r="M14" i="17"/>
  <c r="X14" i="17"/>
  <c r="L14" i="17"/>
  <c r="W14" i="17"/>
  <c r="K14" i="17"/>
  <c r="T14" i="17"/>
  <c r="J14" i="17"/>
  <c r="S14" i="17"/>
  <c r="R14" i="17"/>
  <c r="Q14" i="17"/>
  <c r="Z14" i="17"/>
  <c r="Y14" i="17"/>
  <c r="AB14" i="17"/>
  <c r="AA14" i="17"/>
  <c r="AA24" i="17"/>
  <c r="X24" i="17"/>
  <c r="W24" i="17"/>
  <c r="N64" i="17"/>
  <c r="L80" i="17"/>
  <c r="K80" i="17"/>
  <c r="S80" i="17"/>
  <c r="R4" i="17"/>
  <c r="K113" i="17"/>
  <c r="AO14" i="17"/>
  <c r="X112" i="17"/>
  <c r="Q112" i="17"/>
  <c r="AB112" i="17"/>
  <c r="J112" i="17"/>
  <c r="V146" i="17"/>
  <c r="N146" i="17"/>
  <c r="U146" i="17"/>
  <c r="M146" i="17"/>
  <c r="Z146" i="17"/>
  <c r="Y146" i="17"/>
  <c r="X146" i="17"/>
  <c r="L146" i="17"/>
  <c r="R146" i="17"/>
  <c r="Q146" i="17"/>
  <c r="K146" i="17"/>
  <c r="AB146" i="17"/>
  <c r="AA146" i="17"/>
  <c r="T146" i="17"/>
  <c r="S146" i="17"/>
  <c r="W146" i="17"/>
  <c r="AO146" i="17"/>
  <c r="J146" i="17"/>
  <c r="V148" i="17"/>
  <c r="N148" i="17"/>
  <c r="U148" i="17"/>
  <c r="M148" i="17"/>
  <c r="AA148" i="17"/>
  <c r="Q148" i="17"/>
  <c r="Z148" i="17"/>
  <c r="Y148" i="17"/>
  <c r="AO148" i="17"/>
  <c r="W148" i="17"/>
  <c r="T148" i="17"/>
  <c r="S148" i="17"/>
  <c r="L148" i="17"/>
  <c r="K148" i="17"/>
  <c r="J148" i="17"/>
  <c r="X148" i="17"/>
  <c r="R148" i="17"/>
  <c r="AB148" i="17"/>
  <c r="T157" i="16"/>
  <c r="P158" i="16"/>
  <c r="H158" i="9" s="1"/>
  <c r="P166" i="16"/>
  <c r="H166" i="9" s="1"/>
  <c r="P174" i="16"/>
  <c r="H174" i="9" s="1"/>
  <c r="T181" i="16"/>
  <c r="P182" i="16"/>
  <c r="H182" i="9" s="1"/>
  <c r="T189" i="16"/>
  <c r="P190" i="16"/>
  <c r="H190" i="9" s="1"/>
  <c r="T197" i="16"/>
  <c r="P198" i="16"/>
  <c r="H198" i="9" s="1"/>
  <c r="T205" i="16"/>
  <c r="T213" i="16"/>
  <c r="P214" i="16"/>
  <c r="H214" i="9" s="1"/>
  <c r="T221" i="16"/>
  <c r="P222" i="16"/>
  <c r="H222" i="9" s="1"/>
  <c r="T229" i="16"/>
  <c r="P230" i="16"/>
  <c r="H230" i="9" s="1"/>
  <c r="T237" i="16"/>
  <c r="P238" i="16"/>
  <c r="H238" i="9" s="1"/>
  <c r="O239" i="16"/>
  <c r="T245" i="16"/>
  <c r="P246" i="16"/>
  <c r="H246" i="9" s="1"/>
  <c r="O247" i="16"/>
  <c r="T253" i="16"/>
  <c r="P254" i="16"/>
  <c r="H254" i="9" s="1"/>
  <c r="O255" i="16"/>
  <c r="T261" i="16"/>
  <c r="P262" i="16"/>
  <c r="H262" i="9" s="1"/>
  <c r="O263" i="16"/>
  <c r="T269" i="16"/>
  <c r="P270" i="16"/>
  <c r="H270" i="9" s="1"/>
  <c r="O271" i="16"/>
  <c r="T277" i="16"/>
  <c r="P278" i="16"/>
  <c r="H278" i="9" s="1"/>
  <c r="O279" i="16"/>
  <c r="T285" i="16"/>
  <c r="P286" i="16"/>
  <c r="H286" i="9" s="1"/>
  <c r="O287" i="16"/>
  <c r="T293" i="16"/>
  <c r="P294" i="16"/>
  <c r="H294" i="9" s="1"/>
  <c r="T301" i="16"/>
  <c r="P302" i="16"/>
  <c r="H302" i="9" s="1"/>
  <c r="O303" i="16"/>
  <c r="T309" i="16"/>
  <c r="P310" i="16"/>
  <c r="H310" i="9" s="1"/>
  <c r="O311" i="16"/>
  <c r="T317" i="16"/>
  <c r="P318" i="16"/>
  <c r="H318" i="9" s="1"/>
  <c r="O319" i="16"/>
  <c r="T325" i="16"/>
  <c r="O327" i="16"/>
  <c r="T333" i="16"/>
  <c r="P334" i="16"/>
  <c r="H334" i="9" s="1"/>
  <c r="O335" i="16"/>
  <c r="T341" i="16"/>
  <c r="P342" i="16"/>
  <c r="H342" i="9" s="1"/>
  <c r="O343" i="16"/>
  <c r="T349" i="16"/>
  <c r="O351" i="16"/>
  <c r="T357" i="16"/>
  <c r="P358" i="16"/>
  <c r="H358" i="9" s="1"/>
  <c r="T365" i="16"/>
  <c r="P366" i="16"/>
  <c r="H366" i="9" s="1"/>
  <c r="O367" i="16"/>
  <c r="T373" i="16"/>
  <c r="P374" i="16"/>
  <c r="H374" i="9" s="1"/>
  <c r="O375" i="16"/>
  <c r="T381" i="16"/>
  <c r="P382" i="16"/>
  <c r="H382" i="9" s="1"/>
  <c r="O383" i="16"/>
  <c r="T389" i="16"/>
  <c r="P390" i="16"/>
  <c r="H390" i="9" s="1"/>
  <c r="O391" i="16"/>
  <c r="T397" i="16"/>
  <c r="P398" i="16"/>
  <c r="H398" i="9" s="1"/>
  <c r="O399" i="16"/>
  <c r="O405" i="16" s="1"/>
  <c r="T405" i="16"/>
  <c r="P406" i="16"/>
  <c r="H406" i="9" s="1"/>
  <c r="O407" i="16"/>
  <c r="O413" i="16" s="1"/>
  <c r="T413" i="16"/>
  <c r="P414" i="16"/>
  <c r="H414" i="9" s="1"/>
  <c r="O415" i="16"/>
  <c r="O421" i="16" s="1"/>
  <c r="T421" i="16"/>
  <c r="P422" i="16"/>
  <c r="H422" i="9" s="1"/>
  <c r="T429" i="16"/>
  <c r="P430" i="16"/>
  <c r="H430" i="9" s="1"/>
  <c r="T437" i="16"/>
  <c r="P438" i="16"/>
  <c r="H438" i="9" s="1"/>
  <c r="O439" i="16"/>
  <c r="O445" i="16" s="1"/>
  <c r="T445" i="16"/>
  <c r="P446" i="16"/>
  <c r="H446" i="9" s="1"/>
  <c r="O453" i="16" s="1"/>
  <c r="T453" i="16"/>
  <c r="O461" i="16" s="1"/>
  <c r="T461" i="16"/>
  <c r="P462" i="16"/>
  <c r="H462" i="9" s="1"/>
  <c r="O469" i="16" s="1"/>
  <c r="T469" i="16"/>
  <c r="P470" i="16"/>
  <c r="H470" i="9" s="1"/>
  <c r="O477" i="16" s="1"/>
  <c r="T477" i="16"/>
  <c r="P478" i="16"/>
  <c r="H478" i="9" s="1"/>
  <c r="O485" i="16" s="1"/>
  <c r="T485" i="16"/>
  <c r="P486" i="16"/>
  <c r="H486" i="9" s="1"/>
  <c r="O493" i="16" s="1"/>
  <c r="T493" i="16"/>
  <c r="P494" i="16"/>
  <c r="H494" i="9" s="1"/>
  <c r="O501" i="16" s="1"/>
  <c r="T501" i="16"/>
  <c r="P502" i="16"/>
  <c r="H502" i="9" s="1"/>
  <c r="O509" i="16" s="1"/>
  <c r="T509" i="16"/>
  <c r="P510" i="16"/>
  <c r="H510" i="9" s="1"/>
  <c r="O517" i="16" s="1"/>
  <c r="P518" i="16"/>
  <c r="H518" i="9" s="1"/>
  <c r="O525" i="16" s="1"/>
  <c r="T525" i="16"/>
  <c r="P526" i="16"/>
  <c r="H526" i="9" s="1"/>
  <c r="T533" i="16"/>
  <c r="O534" i="16" s="1"/>
  <c r="P534" i="16"/>
  <c r="H534" i="9" s="1"/>
  <c r="O541" i="16" s="1"/>
  <c r="T541" i="16"/>
  <c r="T549" i="16"/>
  <c r="P550" i="16"/>
  <c r="H550" i="9" s="1"/>
  <c r="O557" i="16" s="1"/>
  <c r="P558" i="16"/>
  <c r="H558" i="9" s="1"/>
  <c r="P566" i="16"/>
  <c r="H566" i="9" s="1"/>
  <c r="T573" i="16"/>
  <c r="P574" i="16"/>
  <c r="H574" i="9" s="1"/>
  <c r="O581" i="16" s="1"/>
  <c r="O589" i="16" s="1"/>
  <c r="T589" i="16"/>
  <c r="O597" i="16" s="1"/>
  <c r="P598" i="16"/>
  <c r="H598" i="9" s="1"/>
  <c r="O605" i="16" s="1"/>
  <c r="T605" i="16"/>
  <c r="O607" i="16"/>
  <c r="O613" i="16" s="1"/>
  <c r="T613" i="16"/>
  <c r="P614" i="16"/>
  <c r="H614" i="9" s="1"/>
  <c r="O621" i="16" s="1"/>
  <c r="T621" i="16"/>
  <c r="P622" i="16"/>
  <c r="H622" i="9" s="1"/>
  <c r="O629" i="16" s="1"/>
  <c r="P630" i="16"/>
  <c r="H630" i="9" s="1"/>
  <c r="O637" i="16" s="1"/>
  <c r="T637" i="16"/>
  <c r="P638" i="16"/>
  <c r="H638" i="9" s="1"/>
  <c r="O639" i="16"/>
  <c r="O645" i="16" s="1"/>
  <c r="P646" i="16"/>
  <c r="H646" i="9" s="1"/>
  <c r="O653" i="16" s="1"/>
  <c r="T653" i="16"/>
  <c r="P654" i="16"/>
  <c r="H654" i="9" s="1"/>
  <c r="O661" i="16" s="1"/>
  <c r="T661" i="16"/>
  <c r="P662" i="16"/>
  <c r="H662" i="9" s="1"/>
  <c r="O669" i="16" s="1"/>
  <c r="T669" i="16"/>
  <c r="P670" i="16"/>
  <c r="H670" i="9" s="1"/>
  <c r="P678" i="16"/>
  <c r="H678" i="9" s="1"/>
  <c r="I678" i="9" s="1"/>
  <c r="O679" i="16"/>
  <c r="P686" i="16"/>
  <c r="H686" i="9" s="1"/>
  <c r="I686" i="9" s="1"/>
  <c r="P694" i="16"/>
  <c r="O695" i="16"/>
  <c r="P702" i="16"/>
  <c r="H702" i="9" s="1"/>
  <c r="I702" i="9" s="1"/>
  <c r="O703" i="16"/>
  <c r="P710" i="16"/>
  <c r="T717" i="16"/>
  <c r="P718" i="16"/>
  <c r="O719" i="16"/>
  <c r="O727" i="16"/>
  <c r="T733" i="16"/>
  <c r="O735" i="16"/>
  <c r="P742" i="16"/>
  <c r="H742" i="9" s="1"/>
  <c r="I742" i="9" s="1"/>
  <c r="P758" i="16"/>
  <c r="H758" i="9" s="1"/>
  <c r="I758" i="9" s="1"/>
  <c r="O773" i="16" s="1"/>
  <c r="O775" i="16"/>
  <c r="O781" i="16" s="1"/>
  <c r="O791" i="16"/>
  <c r="O797" i="16" s="1"/>
  <c r="P797" i="16" s="1"/>
  <c r="O805" i="16" s="1"/>
  <c r="O813" i="16" s="1"/>
  <c r="P814" i="16"/>
  <c r="H814" i="9" s="1"/>
  <c r="I814" i="9" s="1"/>
  <c r="O821" i="16" s="1"/>
  <c r="O829" i="16" s="1"/>
  <c r="O837" i="16" s="1"/>
  <c r="O845" i="16" s="1"/>
  <c r="O853" i="16" s="1"/>
  <c r="O861" i="16" s="1"/>
  <c r="P861" i="16" s="1"/>
  <c r="O869" i="16" s="1"/>
  <c r="P869" i="16" s="1"/>
  <c r="H869" i="9" s="1"/>
  <c r="I869" i="9" s="1"/>
  <c r="T973" i="16"/>
  <c r="O981" i="16" s="1"/>
  <c r="P981" i="16" s="1"/>
  <c r="H981" i="9" s="1"/>
  <c r="I981" i="9" s="1"/>
  <c r="T981" i="16"/>
  <c r="O989" i="16" s="1"/>
  <c r="T989" i="16"/>
  <c r="O997" i="16" s="1"/>
  <c r="T997" i="16"/>
  <c r="O1005" i="16" s="1"/>
  <c r="P1005" i="16" s="1"/>
  <c r="H1005" i="9" s="1"/>
  <c r="I1005" i="9" s="1"/>
  <c r="T1005" i="16"/>
  <c r="P1246" i="16"/>
  <c r="H1246" i="9" s="1"/>
  <c r="I1246" i="9" s="1"/>
  <c r="P1254" i="16"/>
  <c r="H1254" i="9" s="1"/>
  <c r="I1254" i="9" s="1"/>
  <c r="P1262" i="16"/>
  <c r="H1262" i="9" s="1"/>
  <c r="I1262" i="9" s="1"/>
  <c r="P1270" i="16"/>
  <c r="H1270" i="9" s="1"/>
  <c r="I1270" i="9" s="1"/>
  <c r="P1278" i="16"/>
  <c r="H1278" i="9" s="1"/>
  <c r="I1278" i="9" s="1"/>
  <c r="P1310" i="16"/>
  <c r="P1318" i="16"/>
  <c r="H1318" i="9" s="1"/>
  <c r="I1318" i="9" s="1"/>
  <c r="P1326" i="16"/>
  <c r="H1326" i="9" s="1"/>
  <c r="I1326" i="9" s="1"/>
  <c r="P1334" i="16"/>
  <c r="H1334" i="9" s="1"/>
  <c r="I1334" i="9" s="1"/>
  <c r="V36" i="17"/>
  <c r="N36" i="17"/>
  <c r="U36" i="17"/>
  <c r="M36" i="17"/>
  <c r="AA36" i="17"/>
  <c r="Q36" i="17"/>
  <c r="Z36" i="17"/>
  <c r="Y36" i="17"/>
  <c r="T36" i="17"/>
  <c r="S36" i="17"/>
  <c r="R36" i="17"/>
  <c r="AB36" i="17"/>
  <c r="X36" i="17"/>
  <c r="W36" i="17"/>
  <c r="V130" i="17"/>
  <c r="N130" i="17"/>
  <c r="U130" i="17"/>
  <c r="M130" i="17"/>
  <c r="Z130" i="17"/>
  <c r="Y130" i="17"/>
  <c r="X130" i="17"/>
  <c r="L130" i="17"/>
  <c r="S130" i="17"/>
  <c r="R130" i="17"/>
  <c r="Q130" i="17"/>
  <c r="AB130" i="17"/>
  <c r="AA130" i="17"/>
  <c r="W130" i="17"/>
  <c r="AO130" i="17"/>
  <c r="Y152" i="17"/>
  <c r="Z152" i="17"/>
  <c r="R154" i="17"/>
  <c r="Q154" i="17"/>
  <c r="T158" i="16"/>
  <c r="T166" i="16"/>
  <c r="T174" i="16"/>
  <c r="T182" i="16"/>
  <c r="T190" i="16"/>
  <c r="P191" i="16"/>
  <c r="H191" i="9" s="1"/>
  <c r="T198" i="16"/>
  <c r="P199" i="16"/>
  <c r="H199" i="9" s="1"/>
  <c r="T206" i="16"/>
  <c r="P207" i="16"/>
  <c r="H207" i="9" s="1"/>
  <c r="T214" i="16"/>
  <c r="P215" i="16"/>
  <c r="H215" i="9" s="1"/>
  <c r="P223" i="16"/>
  <c r="H223" i="9" s="1"/>
  <c r="T230" i="16"/>
  <c r="P231" i="16"/>
  <c r="H231" i="9" s="1"/>
  <c r="T238" i="16"/>
  <c r="P239" i="16"/>
  <c r="H239" i="9" s="1"/>
  <c r="T246" i="16"/>
  <c r="P247" i="16"/>
  <c r="H247" i="9" s="1"/>
  <c r="P255" i="16"/>
  <c r="H255" i="9" s="1"/>
  <c r="T262" i="16"/>
  <c r="P263" i="16"/>
  <c r="H263" i="9" s="1"/>
  <c r="T270" i="16"/>
  <c r="P271" i="16"/>
  <c r="H271" i="9" s="1"/>
  <c r="O277" i="16" s="1"/>
  <c r="T278" i="16"/>
  <c r="P279" i="16"/>
  <c r="H279" i="9" s="1"/>
  <c r="P287" i="16"/>
  <c r="H287" i="9" s="1"/>
  <c r="P295" i="16"/>
  <c r="H295" i="9" s="1"/>
  <c r="P303" i="16"/>
  <c r="H303" i="9" s="1"/>
  <c r="O309" i="16" s="1"/>
  <c r="T310" i="16"/>
  <c r="P311" i="16"/>
  <c r="H311" i="9" s="1"/>
  <c r="T318" i="16"/>
  <c r="P319" i="16"/>
  <c r="H319" i="9" s="1"/>
  <c r="O325" i="16" s="1"/>
  <c r="P327" i="16"/>
  <c r="H327" i="9" s="1"/>
  <c r="P335" i="16"/>
  <c r="H335" i="9" s="1"/>
  <c r="O341" i="16" s="1"/>
  <c r="T342" i="16"/>
  <c r="P343" i="16"/>
  <c r="H343" i="9" s="1"/>
  <c r="P351" i="16"/>
  <c r="H351" i="9" s="1"/>
  <c r="P359" i="16"/>
  <c r="H359" i="9" s="1"/>
  <c r="O365" i="16" s="1"/>
  <c r="T366" i="16"/>
  <c r="P367" i="16"/>
  <c r="H367" i="9" s="1"/>
  <c r="T374" i="16"/>
  <c r="P375" i="16"/>
  <c r="H375" i="9" s="1"/>
  <c r="O381" i="16" s="1"/>
  <c r="T382" i="16"/>
  <c r="P383" i="16"/>
  <c r="H383" i="9" s="1"/>
  <c r="T390" i="16"/>
  <c r="P391" i="16"/>
  <c r="H391" i="9" s="1"/>
  <c r="O397" i="16" s="1"/>
  <c r="T398" i="16"/>
  <c r="P399" i="16"/>
  <c r="H399" i="9" s="1"/>
  <c r="O406" i="16" s="1"/>
  <c r="P407" i="16"/>
  <c r="H407" i="9" s="1"/>
  <c r="O414" i="16" s="1"/>
  <c r="T414" i="16"/>
  <c r="P415" i="16"/>
  <c r="H415" i="9" s="1"/>
  <c r="O422" i="16" s="1"/>
  <c r="T422" i="16"/>
  <c r="P423" i="16"/>
  <c r="H423" i="9" s="1"/>
  <c r="O430" i="16" s="1"/>
  <c r="T430" i="16"/>
  <c r="P431" i="16"/>
  <c r="H431" i="9" s="1"/>
  <c r="O438" i="16" s="1"/>
  <c r="T438" i="16"/>
  <c r="P439" i="16"/>
  <c r="H439" i="9" s="1"/>
  <c r="O446" i="16" s="1"/>
  <c r="T446" i="16"/>
  <c r="O454" i="16" s="1"/>
  <c r="P455" i="16"/>
  <c r="H455" i="9" s="1"/>
  <c r="P463" i="16"/>
  <c r="H463" i="9" s="1"/>
  <c r="O470" i="16" s="1"/>
  <c r="P471" i="16"/>
  <c r="H471" i="9" s="1"/>
  <c r="O478" i="16" s="1"/>
  <c r="P487" i="16"/>
  <c r="H487" i="9" s="1"/>
  <c r="O494" i="16" s="1"/>
  <c r="P495" i="16"/>
  <c r="H495" i="9" s="1"/>
  <c r="O502" i="16" s="1"/>
  <c r="P503" i="16"/>
  <c r="H503" i="9" s="1"/>
  <c r="P511" i="16"/>
  <c r="H511" i="9" s="1"/>
  <c r="O518" i="16" s="1"/>
  <c r="P519" i="16"/>
  <c r="H519" i="9" s="1"/>
  <c r="O526" i="16" s="1"/>
  <c r="P527" i="16"/>
  <c r="H527" i="9" s="1"/>
  <c r="T534" i="16"/>
  <c r="O535" i="16" s="1"/>
  <c r="P535" i="16"/>
  <c r="H535" i="9" s="1"/>
  <c r="O542" i="16" s="1"/>
  <c r="T542" i="16"/>
  <c r="P543" i="16"/>
  <c r="H543" i="9" s="1"/>
  <c r="O550" i="16" s="1"/>
  <c r="T550" i="16"/>
  <c r="P551" i="16"/>
  <c r="H551" i="9" s="1"/>
  <c r="O558" i="16" s="1"/>
  <c r="T558" i="16"/>
  <c r="P559" i="16"/>
  <c r="H559" i="9" s="1"/>
  <c r="O566" i="16" s="1"/>
  <c r="T566" i="16"/>
  <c r="P567" i="16"/>
  <c r="H567" i="9" s="1"/>
  <c r="P575" i="16"/>
  <c r="H575" i="9" s="1"/>
  <c r="O582" i="16" s="1"/>
  <c r="T582" i="16"/>
  <c r="P583" i="16"/>
  <c r="H583" i="9" s="1"/>
  <c r="O590" i="16" s="1"/>
  <c r="T598" i="16"/>
  <c r="P599" i="16"/>
  <c r="H599" i="9" s="1"/>
  <c r="O606" i="16" s="1"/>
  <c r="P607" i="16"/>
  <c r="H607" i="9" s="1"/>
  <c r="O614" i="16" s="1"/>
  <c r="T614" i="16"/>
  <c r="O622" i="16" s="1"/>
  <c r="T622" i="16"/>
  <c r="P623" i="16"/>
  <c r="H623" i="9" s="1"/>
  <c r="O630" i="16" s="1"/>
  <c r="T630" i="16"/>
  <c r="O638" i="16" s="1"/>
  <c r="T638" i="16"/>
  <c r="P639" i="16"/>
  <c r="H639" i="9" s="1"/>
  <c r="O646" i="16" s="1"/>
  <c r="T646" i="16"/>
  <c r="P647" i="16"/>
  <c r="H647" i="9" s="1"/>
  <c r="O654" i="16" s="1"/>
  <c r="P655" i="16"/>
  <c r="H655" i="9" s="1"/>
  <c r="O662" i="16" s="1"/>
  <c r="T662" i="16"/>
  <c r="P663" i="16"/>
  <c r="H663" i="9" s="1"/>
  <c r="O670" i="16" s="1"/>
  <c r="T670" i="16"/>
  <c r="P727" i="16"/>
  <c r="P735" i="16"/>
  <c r="O742" i="16" s="1"/>
  <c r="O750" i="16" s="1"/>
  <c r="P750" i="16" s="1"/>
  <c r="O758" i="16" s="1"/>
  <c r="O766" i="16" s="1"/>
  <c r="P766" i="16" s="1"/>
  <c r="P775" i="16"/>
  <c r="O782" i="16" s="1"/>
  <c r="O790" i="16" s="1"/>
  <c r="P791" i="16"/>
  <c r="T822" i="16"/>
  <c r="O838" i="16" s="1"/>
  <c r="O862" i="16" s="1"/>
  <c r="O870" i="16" s="1"/>
  <c r="P870" i="16" s="1"/>
  <c r="H870" i="9" s="1"/>
  <c r="I870" i="9" s="1"/>
  <c r="O878" i="16" s="1"/>
  <c r="P878" i="16" s="1"/>
  <c r="O886" i="16" s="1"/>
  <c r="P886" i="16" s="1"/>
  <c r="H886" i="9" s="1"/>
  <c r="I886" i="9" s="1"/>
  <c r="O902" i="16" s="1"/>
  <c r="P902" i="16" s="1"/>
  <c r="H902" i="9" s="1"/>
  <c r="I902" i="9" s="1"/>
  <c r="O926" i="16" s="1"/>
  <c r="P926" i="16" s="1"/>
  <c r="O934" i="16" s="1"/>
  <c r="P934" i="16" s="1"/>
  <c r="H934" i="9" s="1"/>
  <c r="I934" i="9" s="1"/>
  <c r="T974" i="16"/>
  <c r="O982" i="16" s="1"/>
  <c r="T982" i="16"/>
  <c r="O990" i="16" s="1"/>
  <c r="O998" i="16" s="1"/>
  <c r="P998" i="16" s="1"/>
  <c r="H998" i="9" s="1"/>
  <c r="I998" i="9" s="1"/>
  <c r="T998" i="16"/>
  <c r="O1006" i="16" s="1"/>
  <c r="P1006" i="16" s="1"/>
  <c r="H1006" i="9" s="1"/>
  <c r="I1006" i="9" s="1"/>
  <c r="T1006" i="16"/>
  <c r="O1285" i="16" s="1"/>
  <c r="O1293" i="16" s="1"/>
  <c r="O1309" i="16" s="1"/>
  <c r="P1309" i="16" s="1"/>
  <c r="O1317" i="16" s="1"/>
  <c r="O1325" i="16" s="1"/>
  <c r="P1325" i="16" s="1"/>
  <c r="H1325" i="9" s="1"/>
  <c r="I1325" i="9" s="1"/>
  <c r="O1333" i="16" s="1"/>
  <c r="V2" i="17"/>
  <c r="U2" i="17"/>
  <c r="Y2" i="17"/>
  <c r="X2" i="17"/>
  <c r="L2" i="17"/>
  <c r="S2" i="17"/>
  <c r="R2" i="17"/>
  <c r="Q2" i="17"/>
  <c r="AB2" i="17"/>
  <c r="W2" i="17"/>
  <c r="K3" i="17"/>
  <c r="O6" i="17" s="1"/>
  <c r="K39" i="17"/>
  <c r="V46" i="17"/>
  <c r="J2" i="17"/>
  <c r="K21" i="17"/>
  <c r="K36" i="17"/>
  <c r="K130" i="17"/>
  <c r="L152" i="17"/>
  <c r="V84" i="17"/>
  <c r="N84" i="17"/>
  <c r="U84" i="17"/>
  <c r="M84" i="17"/>
  <c r="AA84" i="17"/>
  <c r="Q84" i="17"/>
  <c r="Z84" i="17"/>
  <c r="Y84" i="17"/>
  <c r="L84" i="17"/>
  <c r="K84" i="17"/>
  <c r="AB84" i="17"/>
  <c r="J84" i="17"/>
  <c r="X84" i="17"/>
  <c r="W84" i="17"/>
  <c r="Z88" i="17"/>
  <c r="J164" i="17"/>
  <c r="V98" i="17"/>
  <c r="N98" i="17"/>
  <c r="U98" i="17"/>
  <c r="M98" i="17"/>
  <c r="Z98" i="17"/>
  <c r="Y98" i="17"/>
  <c r="X98" i="17"/>
  <c r="L98" i="17"/>
  <c r="AO98" i="17"/>
  <c r="W98" i="17"/>
  <c r="T98" i="17"/>
  <c r="S98" i="17"/>
  <c r="AB98" i="17"/>
  <c r="AA98" i="17"/>
  <c r="R98" i="17"/>
  <c r="AA102" i="17"/>
  <c r="Q102" i="17"/>
  <c r="L142" i="17"/>
  <c r="J142" i="17"/>
  <c r="K164" i="17"/>
  <c r="R138" i="17"/>
  <c r="V162" i="17"/>
  <c r="N162" i="17"/>
  <c r="U162" i="17"/>
  <c r="M162" i="17"/>
  <c r="Z162" i="17"/>
  <c r="Y162" i="17"/>
  <c r="X162" i="17"/>
  <c r="L162" i="17"/>
  <c r="Q162" i="17"/>
  <c r="K162" i="17"/>
  <c r="AB162" i="17"/>
  <c r="J162" i="17"/>
  <c r="AA162" i="17"/>
  <c r="W162" i="17"/>
  <c r="T162" i="17"/>
  <c r="Z166" i="17"/>
  <c r="R10" i="17"/>
  <c r="Q10" i="17"/>
  <c r="K19" i="17"/>
  <c r="J22" i="17"/>
  <c r="W48" i="17"/>
  <c r="K48" i="17"/>
  <c r="AO48" i="17"/>
  <c r="Z48" i="17"/>
  <c r="V52" i="17"/>
  <c r="N52" i="17"/>
  <c r="U52" i="17"/>
  <c r="M52" i="17"/>
  <c r="AA52" i="17"/>
  <c r="Q52" i="17"/>
  <c r="Z52" i="17"/>
  <c r="Y52" i="17"/>
  <c r="S52" i="17"/>
  <c r="R52" i="17"/>
  <c r="L52" i="17"/>
  <c r="K86" i="17"/>
  <c r="AB114" i="17"/>
  <c r="J116" i="17"/>
  <c r="V164" i="17"/>
  <c r="N164" i="17"/>
  <c r="U164" i="17"/>
  <c r="M164" i="17"/>
  <c r="AA164" i="17"/>
  <c r="Q164" i="17"/>
  <c r="Z164" i="17"/>
  <c r="Y164" i="17"/>
  <c r="T164" i="17"/>
  <c r="S164" i="17"/>
  <c r="R164" i="17"/>
  <c r="V20" i="17"/>
  <c r="N20" i="17"/>
  <c r="U20" i="17"/>
  <c r="M20" i="17"/>
  <c r="AA20" i="17"/>
  <c r="Q20" i="17"/>
  <c r="Z20" i="17"/>
  <c r="Y20" i="17"/>
  <c r="AO20" i="17"/>
  <c r="W20" i="17"/>
  <c r="T20" i="17"/>
  <c r="S20" i="17"/>
  <c r="V34" i="17"/>
  <c r="N34" i="17"/>
  <c r="U34" i="17"/>
  <c r="M34" i="17"/>
  <c r="Z34" i="17"/>
  <c r="Y34" i="17"/>
  <c r="X34" i="17"/>
  <c r="L34" i="17"/>
  <c r="Q34" i="17"/>
  <c r="K34" i="17"/>
  <c r="AB34" i="17"/>
  <c r="J34" i="17"/>
  <c r="AA40" i="17"/>
  <c r="W40" i="17"/>
  <c r="J40" i="17"/>
  <c r="J52" i="17"/>
  <c r="AO52" i="17"/>
  <c r="L72" i="17"/>
  <c r="J72" i="17"/>
  <c r="J82" i="17"/>
  <c r="N96" i="17"/>
  <c r="R96" i="17"/>
  <c r="Q96" i="17"/>
  <c r="J4" i="17"/>
  <c r="M30" i="17"/>
  <c r="Q72" i="17"/>
  <c r="Q90" i="17"/>
  <c r="V114" i="17"/>
  <c r="N114" i="17"/>
  <c r="U114" i="17"/>
  <c r="M114" i="17"/>
  <c r="Z114" i="17"/>
  <c r="Y114" i="17"/>
  <c r="X114" i="17"/>
  <c r="L114" i="17"/>
  <c r="T114" i="17"/>
  <c r="S114" i="17"/>
  <c r="R114" i="17"/>
  <c r="T4" i="17"/>
  <c r="W6" i="17"/>
  <c r="T22" i="17"/>
  <c r="K35" i="17"/>
  <c r="V50" i="17"/>
  <c r="N50" i="17"/>
  <c r="U50" i="17"/>
  <c r="M50" i="17"/>
  <c r="Z50" i="17"/>
  <c r="Y50" i="17"/>
  <c r="X50" i="17"/>
  <c r="L50" i="17"/>
  <c r="AA50" i="17"/>
  <c r="W66" i="17"/>
  <c r="T82" i="17"/>
  <c r="R88" i="17"/>
  <c r="Q88" i="17"/>
  <c r="N100" i="17"/>
  <c r="Y100" i="17"/>
  <c r="AA118" i="17"/>
  <c r="Q118" i="17"/>
  <c r="L128" i="17"/>
  <c r="T132" i="17"/>
  <c r="W134" i="17"/>
  <c r="W136" i="17"/>
  <c r="K163" i="17"/>
  <c r="V6" i="17"/>
  <c r="N6" i="17"/>
  <c r="U6" i="17"/>
  <c r="M6" i="17"/>
  <c r="AB6" i="17"/>
  <c r="R6" i="17"/>
  <c r="AA6" i="17"/>
  <c r="Q6" i="17"/>
  <c r="Z6" i="17"/>
  <c r="X6" i="17"/>
  <c r="N16" i="17"/>
  <c r="U16" i="17"/>
  <c r="M16" i="17"/>
  <c r="Y16" i="17"/>
  <c r="K51" i="17"/>
  <c r="V66" i="17"/>
  <c r="N66" i="17"/>
  <c r="U66" i="17"/>
  <c r="M66" i="17"/>
  <c r="Z66" i="17"/>
  <c r="Y66" i="17"/>
  <c r="X66" i="17"/>
  <c r="L66" i="17"/>
  <c r="AA66" i="17"/>
  <c r="R104" i="17"/>
  <c r="Q104" i="17"/>
  <c r="Z116" i="17"/>
  <c r="Y116" i="17"/>
  <c r="X116" i="17"/>
  <c r="W132" i="17"/>
  <c r="U134" i="17"/>
  <c r="M134" i="17"/>
  <c r="V144" i="17"/>
  <c r="N144" i="17"/>
  <c r="X144" i="17"/>
  <c r="L144" i="17"/>
  <c r="V4" i="17"/>
  <c r="N4" i="17"/>
  <c r="U4" i="17"/>
  <c r="M4" i="17"/>
  <c r="AA4" i="17"/>
  <c r="Q4" i="17"/>
  <c r="Z4" i="17"/>
  <c r="Y4" i="17"/>
  <c r="X4" i="17"/>
  <c r="J6" i="17"/>
  <c r="Y6" i="17"/>
  <c r="J8" i="17"/>
  <c r="Y8" i="17"/>
  <c r="V22" i="17"/>
  <c r="N22" i="17"/>
  <c r="U22" i="17"/>
  <c r="M22" i="17"/>
  <c r="AB22" i="17"/>
  <c r="R22" i="17"/>
  <c r="AA22" i="17"/>
  <c r="Q22" i="17"/>
  <c r="Z22" i="17"/>
  <c r="X22" i="17"/>
  <c r="U32" i="17"/>
  <c r="M32" i="17"/>
  <c r="Y32" i="17"/>
  <c r="AA32" i="17"/>
  <c r="J66" i="17"/>
  <c r="AB66" i="17"/>
  <c r="K67" i="17"/>
  <c r="V82" i="17"/>
  <c r="N82" i="17"/>
  <c r="U82" i="17"/>
  <c r="M82" i="17"/>
  <c r="Z82" i="17"/>
  <c r="Y82" i="17"/>
  <c r="X82" i="17"/>
  <c r="L82" i="17"/>
  <c r="AA82" i="17"/>
  <c r="L94" i="17"/>
  <c r="K94" i="17"/>
  <c r="O92" i="17" s="1"/>
  <c r="N132" i="17"/>
  <c r="U132" i="17"/>
  <c r="M132" i="17"/>
  <c r="Y132" i="17"/>
  <c r="J136" i="17"/>
  <c r="X150" i="17"/>
  <c r="V12" i="17"/>
  <c r="N12" i="17"/>
  <c r="U12" i="17"/>
  <c r="M12" i="17"/>
  <c r="S12" i="17"/>
  <c r="AO12" i="17"/>
  <c r="V28" i="17"/>
  <c r="N28" i="17"/>
  <c r="U28" i="17"/>
  <c r="M28" i="17"/>
  <c r="S28" i="17"/>
  <c r="AO28" i="17"/>
  <c r="V44" i="17"/>
  <c r="N44" i="17"/>
  <c r="U44" i="17"/>
  <c r="M44" i="17"/>
  <c r="S44" i="17"/>
  <c r="AO44" i="17"/>
  <c r="V60" i="17"/>
  <c r="N60" i="17"/>
  <c r="U60" i="17"/>
  <c r="M60" i="17"/>
  <c r="S60" i="17"/>
  <c r="AO60" i="17"/>
  <c r="V76" i="17"/>
  <c r="N76" i="17"/>
  <c r="U76" i="17"/>
  <c r="M76" i="17"/>
  <c r="S76" i="17"/>
  <c r="AO76" i="17"/>
  <c r="V92" i="17"/>
  <c r="N92" i="17"/>
  <c r="U92" i="17"/>
  <c r="M92" i="17"/>
  <c r="S92" i="17"/>
  <c r="AO92" i="17"/>
  <c r="V108" i="17"/>
  <c r="N108" i="17"/>
  <c r="U108" i="17"/>
  <c r="M124" i="17"/>
  <c r="S124" i="17"/>
  <c r="AO124" i="17"/>
  <c r="S140" i="17"/>
  <c r="AO140" i="17"/>
  <c r="V156" i="17"/>
  <c r="N156" i="17"/>
  <c r="U156" i="17"/>
  <c r="M156" i="17"/>
  <c r="S156" i="17"/>
  <c r="AO156" i="17"/>
  <c r="V172" i="17"/>
  <c r="N172" i="17"/>
  <c r="U172" i="17"/>
  <c r="M172" i="17"/>
  <c r="S172" i="17"/>
  <c r="AO172" i="17"/>
  <c r="U10" i="17"/>
  <c r="M10" i="17"/>
  <c r="S10" i="17"/>
  <c r="AO10" i="17"/>
  <c r="J12" i="17"/>
  <c r="T12" i="17"/>
  <c r="U26" i="17"/>
  <c r="M26" i="17"/>
  <c r="S26" i="17"/>
  <c r="AO26" i="17"/>
  <c r="J28" i="17"/>
  <c r="T28" i="17"/>
  <c r="V42" i="17"/>
  <c r="N42" i="17"/>
  <c r="U42" i="17"/>
  <c r="M42" i="17"/>
  <c r="S42" i="17"/>
  <c r="AO42" i="17"/>
  <c r="J44" i="17"/>
  <c r="T44" i="17"/>
  <c r="V58" i="17"/>
  <c r="N58" i="17"/>
  <c r="U58" i="17"/>
  <c r="M58" i="17"/>
  <c r="S58" i="17"/>
  <c r="AO58" i="17"/>
  <c r="J60" i="17"/>
  <c r="T60" i="17"/>
  <c r="V74" i="17"/>
  <c r="N74" i="17"/>
  <c r="U74" i="17"/>
  <c r="M74" i="17"/>
  <c r="S74" i="17"/>
  <c r="AO74" i="17"/>
  <c r="J76" i="17"/>
  <c r="T76" i="17"/>
  <c r="V90" i="17"/>
  <c r="N90" i="17"/>
  <c r="U90" i="17"/>
  <c r="M90" i="17"/>
  <c r="S90" i="17"/>
  <c r="AO90" i="17"/>
  <c r="J92" i="17"/>
  <c r="T92" i="17"/>
  <c r="V106" i="17"/>
  <c r="N106" i="17"/>
  <c r="U106" i="17"/>
  <c r="M106" i="17"/>
  <c r="S106" i="17"/>
  <c r="AO106" i="17"/>
  <c r="T108" i="17"/>
  <c r="V122" i="17"/>
  <c r="N122" i="17"/>
  <c r="U122" i="17"/>
  <c r="M122" i="17"/>
  <c r="S122" i="17"/>
  <c r="AO122" i="17"/>
  <c r="T124" i="17"/>
  <c r="AB136" i="17"/>
  <c r="AO138" i="17"/>
  <c r="J140" i="17"/>
  <c r="T140" i="17"/>
  <c r="V154" i="17"/>
  <c r="N154" i="17"/>
  <c r="U154" i="17"/>
  <c r="M154" i="17"/>
  <c r="S154" i="17"/>
  <c r="AO154" i="17"/>
  <c r="J156" i="17"/>
  <c r="T156" i="17"/>
  <c r="V170" i="17"/>
  <c r="N170" i="17"/>
  <c r="U170" i="17"/>
  <c r="M170" i="17"/>
  <c r="S170" i="17"/>
  <c r="AO170" i="17"/>
  <c r="J172" i="17"/>
  <c r="T172" i="17"/>
  <c r="AO8" i="17"/>
  <c r="K12" i="17"/>
  <c r="W12" i="17"/>
  <c r="U24" i="17"/>
  <c r="K28" i="17"/>
  <c r="W28" i="17"/>
  <c r="U40" i="17"/>
  <c r="J42" i="17"/>
  <c r="T42" i="17"/>
  <c r="K44" i="17"/>
  <c r="W44" i="17"/>
  <c r="J58" i="17"/>
  <c r="T58" i="17"/>
  <c r="K60" i="17"/>
  <c r="W60" i="17"/>
  <c r="J74" i="17"/>
  <c r="T74" i="17"/>
  <c r="K76" i="17"/>
  <c r="W76" i="17"/>
  <c r="J90" i="17"/>
  <c r="T90" i="17"/>
  <c r="K92" i="17"/>
  <c r="W92" i="17"/>
  <c r="J106" i="17"/>
  <c r="T106" i="17"/>
  <c r="V120" i="17"/>
  <c r="N120" i="17"/>
  <c r="AO120" i="17"/>
  <c r="J122" i="17"/>
  <c r="T122" i="17"/>
  <c r="W124" i="17"/>
  <c r="M136" i="17"/>
  <c r="S136" i="17"/>
  <c r="AO136" i="17"/>
  <c r="K140" i="17"/>
  <c r="W140" i="17"/>
  <c r="K156" i="17"/>
  <c r="O155" i="17" s="1"/>
  <c r="AJ155" i="17" s="1"/>
  <c r="W156" i="17"/>
  <c r="V168" i="17"/>
  <c r="N168" i="17"/>
  <c r="M168" i="17"/>
  <c r="J170" i="17"/>
  <c r="P171" i="17" s="1"/>
  <c r="T170" i="17"/>
  <c r="K172" i="17"/>
  <c r="W172" i="17"/>
  <c r="Y3" i="17"/>
  <c r="AO3" i="17"/>
  <c r="Q5" i="17"/>
  <c r="Y5" i="17"/>
  <c r="AO5" i="17"/>
  <c r="Q7" i="17"/>
  <c r="Y7" i="17"/>
  <c r="AO7" i="17"/>
  <c r="Q9" i="17"/>
  <c r="Y9" i="17"/>
  <c r="AO9" i="17"/>
  <c r="Q11" i="17"/>
  <c r="Y11" i="17"/>
  <c r="AO11" i="17"/>
  <c r="Q13" i="17"/>
  <c r="Y13" i="17"/>
  <c r="AO13" i="17"/>
  <c r="Y15" i="17"/>
  <c r="AO15" i="17"/>
  <c r="Q17" i="17"/>
  <c r="Y17" i="17"/>
  <c r="AO17" i="17"/>
  <c r="Q19" i="17"/>
  <c r="Y19" i="17"/>
  <c r="AO19" i="17"/>
  <c r="Q21" i="17"/>
  <c r="Y21" i="17"/>
  <c r="AO21" i="17"/>
  <c r="Q25" i="17"/>
  <c r="Y25" i="17"/>
  <c r="AO25" i="17"/>
  <c r="Q27" i="17"/>
  <c r="Y27" i="17"/>
  <c r="AO27" i="17"/>
  <c r="Q29" i="17"/>
  <c r="Y29" i="17"/>
  <c r="AO29" i="17"/>
  <c r="Q33" i="17"/>
  <c r="Y33" i="17"/>
  <c r="AO33" i="17"/>
  <c r="Q35" i="17"/>
  <c r="Y35" i="17"/>
  <c r="AO35" i="17"/>
  <c r="Q37" i="17"/>
  <c r="Q41" i="17"/>
  <c r="Y41" i="17"/>
  <c r="AO41" i="17"/>
  <c r="Q43" i="17"/>
  <c r="Y43" i="17"/>
  <c r="AO43" i="17"/>
  <c r="Q47" i="17"/>
  <c r="Q49" i="17"/>
  <c r="Y49" i="17"/>
  <c r="AO49" i="17"/>
  <c r="Q51" i="17"/>
  <c r="Y51" i="17"/>
  <c r="AO51" i="17"/>
  <c r="Y53" i="17"/>
  <c r="AO53" i="17"/>
  <c r="Q57" i="17"/>
  <c r="Y57" i="17"/>
  <c r="AO57" i="17"/>
  <c r="Q59" i="17"/>
  <c r="Y59" i="17"/>
  <c r="AO59" i="17"/>
  <c r="Q65" i="17"/>
  <c r="Y65" i="17"/>
  <c r="AO65" i="17"/>
  <c r="Q67" i="17"/>
  <c r="Y67" i="17"/>
  <c r="AO67" i="17"/>
  <c r="Q73" i="17"/>
  <c r="Y73" i="17"/>
  <c r="AO73" i="17"/>
  <c r="Q75" i="17"/>
  <c r="Y75" i="17"/>
  <c r="AO75" i="17"/>
  <c r="Q77" i="17"/>
  <c r="AO77" i="17"/>
  <c r="Q81" i="17"/>
  <c r="Y81" i="17"/>
  <c r="AO81" i="17"/>
  <c r="Q83" i="17"/>
  <c r="Y83" i="17"/>
  <c r="AO83" i="17"/>
  <c r="Q89" i="17"/>
  <c r="Y89" i="17"/>
  <c r="AO89" i="17"/>
  <c r="Q91" i="17"/>
  <c r="Y91" i="17"/>
  <c r="AO91" i="17"/>
  <c r="Q97" i="17"/>
  <c r="Y97" i="17"/>
  <c r="AO97" i="17"/>
  <c r="Q101" i="17"/>
  <c r="Y101" i="17"/>
  <c r="Q103" i="17"/>
  <c r="Q105" i="17"/>
  <c r="Y105" i="17"/>
  <c r="AO105" i="17"/>
  <c r="Q107" i="17"/>
  <c r="Y111" i="17"/>
  <c r="Q113" i="17"/>
  <c r="Y113" i="17"/>
  <c r="AO113" i="17"/>
  <c r="Q117" i="17"/>
  <c r="Y117" i="17"/>
  <c r="AO117" i="17"/>
  <c r="Q121" i="17"/>
  <c r="Y121" i="17"/>
  <c r="AO121" i="17"/>
  <c r="Y123" i="17"/>
  <c r="AO123" i="17"/>
  <c r="Q129" i="17"/>
  <c r="Y129" i="17"/>
  <c r="AO129" i="17"/>
  <c r="Q133" i="17"/>
  <c r="Y133" i="17"/>
  <c r="AO133" i="17"/>
  <c r="Y139" i="17"/>
  <c r="AO139" i="17"/>
  <c r="Q141" i="17"/>
  <c r="Y141" i="17"/>
  <c r="AO141" i="17"/>
  <c r="AO143" i="17"/>
  <c r="AO145" i="17"/>
  <c r="Q147" i="17"/>
  <c r="Y147" i="17"/>
  <c r="AO147" i="17"/>
  <c r="Q153" i="17"/>
  <c r="Q155" i="17"/>
  <c r="Y155" i="17"/>
  <c r="AO155" i="17"/>
  <c r="Y161" i="17"/>
  <c r="AO161" i="17"/>
  <c r="Q163" i="17"/>
  <c r="Y163" i="17"/>
  <c r="AO163" i="17"/>
  <c r="Q169" i="17"/>
  <c r="Y169" i="17"/>
  <c r="AO169" i="17"/>
  <c r="Q171" i="17"/>
  <c r="Y171" i="17"/>
  <c r="AO171" i="17"/>
  <c r="Y175" i="17"/>
  <c r="AO175" i="17"/>
  <c r="J5" i="17"/>
  <c r="R5" i="17"/>
  <c r="Z5" i="17"/>
  <c r="J7" i="17"/>
  <c r="R7" i="17"/>
  <c r="Z7" i="17"/>
  <c r="J9" i="17"/>
  <c r="R9" i="17"/>
  <c r="Z9" i="17"/>
  <c r="J11" i="17"/>
  <c r="R11" i="17"/>
  <c r="Z11" i="17"/>
  <c r="J13" i="17"/>
  <c r="R13" i="17"/>
  <c r="Z13" i="17"/>
  <c r="J15" i="17"/>
  <c r="R15" i="17"/>
  <c r="J17" i="17"/>
  <c r="R17" i="17"/>
  <c r="Z17" i="17"/>
  <c r="J19" i="17"/>
  <c r="R19" i="17"/>
  <c r="Z19" i="17"/>
  <c r="J21" i="17"/>
  <c r="R21" i="17"/>
  <c r="Z21" i="17"/>
  <c r="J27" i="17"/>
  <c r="R27" i="17"/>
  <c r="Z27" i="17"/>
  <c r="J29" i="17"/>
  <c r="R29" i="17"/>
  <c r="Z29" i="17"/>
  <c r="J33" i="17"/>
  <c r="R33" i="17"/>
  <c r="Z33" i="17"/>
  <c r="J35" i="17"/>
  <c r="R35" i="17"/>
  <c r="Z35" i="17"/>
  <c r="R39" i="17"/>
  <c r="J41" i="17"/>
  <c r="R41" i="17"/>
  <c r="Z41" i="17"/>
  <c r="J43" i="17"/>
  <c r="R43" i="17"/>
  <c r="Z43" i="17"/>
  <c r="Z45" i="17"/>
  <c r="J49" i="17"/>
  <c r="R49" i="17"/>
  <c r="Z49" i="17"/>
  <c r="J51" i="17"/>
  <c r="R51" i="17"/>
  <c r="Z51" i="17"/>
  <c r="R53" i="17"/>
  <c r="J57" i="17"/>
  <c r="R57" i="17"/>
  <c r="Z57" i="17"/>
  <c r="J59" i="17"/>
  <c r="R59" i="17"/>
  <c r="Z59" i="17"/>
  <c r="J63" i="17"/>
  <c r="Z63" i="17"/>
  <c r="J65" i="17"/>
  <c r="R65" i="17"/>
  <c r="Z65" i="17"/>
  <c r="J67" i="17"/>
  <c r="R67" i="17"/>
  <c r="Z67" i="17"/>
  <c r="Z69" i="17"/>
  <c r="J71" i="17"/>
  <c r="J73" i="17"/>
  <c r="R73" i="17"/>
  <c r="Z73" i="17"/>
  <c r="J75" i="17"/>
  <c r="R75" i="17"/>
  <c r="Z75" i="17"/>
  <c r="Z79" i="17"/>
  <c r="J81" i="17"/>
  <c r="R81" i="17"/>
  <c r="Z81" i="17"/>
  <c r="J83" i="17"/>
  <c r="R83" i="17"/>
  <c r="Z83" i="17"/>
  <c r="J87" i="17"/>
  <c r="R87" i="17"/>
  <c r="Z87" i="17"/>
  <c r="J89" i="17"/>
  <c r="R89" i="17"/>
  <c r="Z89" i="17"/>
  <c r="J91" i="17"/>
  <c r="R91" i="17"/>
  <c r="Z91" i="17"/>
  <c r="J93" i="17"/>
  <c r="R93" i="17"/>
  <c r="J97" i="17"/>
  <c r="R97" i="17"/>
  <c r="Z97" i="17"/>
  <c r="J99" i="17"/>
  <c r="J103" i="17"/>
  <c r="R103" i="17"/>
  <c r="J105" i="17"/>
  <c r="R105" i="17"/>
  <c r="Z105" i="17"/>
  <c r="J109" i="17"/>
  <c r="R109" i="17"/>
  <c r="Z109" i="17"/>
  <c r="J111" i="17"/>
  <c r="J113" i="17"/>
  <c r="R113" i="17"/>
  <c r="Z113" i="17"/>
  <c r="J115" i="17"/>
  <c r="R115" i="17"/>
  <c r="J119" i="17"/>
  <c r="R119" i="17"/>
  <c r="J121" i="17"/>
  <c r="R121" i="17"/>
  <c r="Z121" i="17"/>
  <c r="J125" i="17"/>
  <c r="R125" i="17"/>
  <c r="Z125" i="17"/>
  <c r="J127" i="17"/>
  <c r="J129" i="17"/>
  <c r="R129" i="17"/>
  <c r="Z129" i="17"/>
  <c r="R131" i="17"/>
  <c r="Z131" i="17"/>
  <c r="J133" i="17"/>
  <c r="R133" i="17"/>
  <c r="Z133" i="17"/>
  <c r="J135" i="17"/>
  <c r="J137" i="17"/>
  <c r="R137" i="17"/>
  <c r="J141" i="17"/>
  <c r="R141" i="17"/>
  <c r="Z141" i="17"/>
  <c r="J143" i="17"/>
  <c r="J147" i="17"/>
  <c r="R147" i="17"/>
  <c r="Z147" i="17"/>
  <c r="R149" i="17"/>
  <c r="J153" i="17"/>
  <c r="R153" i="17"/>
  <c r="J155" i="17"/>
  <c r="R155" i="17"/>
  <c r="Z155" i="17"/>
  <c r="J161" i="17"/>
  <c r="R161" i="17"/>
  <c r="J163" i="17"/>
  <c r="R163" i="17"/>
  <c r="Z163" i="17"/>
  <c r="J171" i="17"/>
  <c r="R171" i="17"/>
  <c r="Z171" i="17"/>
  <c r="R173" i="17"/>
  <c r="Y54" i="17" l="1"/>
  <c r="X54" i="17"/>
  <c r="L62" i="17"/>
  <c r="J62" i="17"/>
  <c r="AA62" i="17"/>
  <c r="V118" i="17"/>
  <c r="W118" i="17"/>
  <c r="Y118" i="17"/>
  <c r="V126" i="17"/>
  <c r="T126" i="17"/>
  <c r="J126" i="17"/>
  <c r="Q126" i="17"/>
  <c r="T134" i="17"/>
  <c r="AO134" i="17"/>
  <c r="K134" i="17"/>
  <c r="S134" i="17"/>
  <c r="L134" i="17"/>
  <c r="R134" i="17"/>
  <c r="AA134" i="17"/>
  <c r="Q134" i="17"/>
  <c r="N158" i="17"/>
  <c r="J158" i="17"/>
  <c r="R118" i="17"/>
  <c r="S86" i="17"/>
  <c r="M86" i="17"/>
  <c r="Z30" i="17"/>
  <c r="M103" i="17"/>
  <c r="W103" i="17"/>
  <c r="S103" i="17"/>
  <c r="T103" i="17"/>
  <c r="N103" i="17"/>
  <c r="L103" i="17"/>
  <c r="AB103" i="17"/>
  <c r="AA103" i="17"/>
  <c r="X103" i="17"/>
  <c r="Y103" i="17"/>
  <c r="K103" i="17"/>
  <c r="AO103" i="17"/>
  <c r="AA143" i="17"/>
  <c r="K143" i="17"/>
  <c r="L143" i="17"/>
  <c r="X143" i="17"/>
  <c r="U143" i="17"/>
  <c r="T143" i="17"/>
  <c r="M143" i="17"/>
  <c r="W143" i="17"/>
  <c r="V143" i="17"/>
  <c r="S143" i="17"/>
  <c r="Q143" i="17"/>
  <c r="Y143" i="17"/>
  <c r="Q111" i="17"/>
  <c r="V134" i="17"/>
  <c r="K126" i="17"/>
  <c r="O126" i="17" s="1"/>
  <c r="AI126" i="17" s="1"/>
  <c r="N159" i="17"/>
  <c r="F879" i="16"/>
  <c r="E879" i="16"/>
  <c r="R24" i="17"/>
  <c r="M24" i="17"/>
  <c r="S24" i="17"/>
  <c r="Y48" i="17"/>
  <c r="T48" i="17"/>
  <c r="J48" i="17"/>
  <c r="N48" i="17"/>
  <c r="V48" i="17"/>
  <c r="AB104" i="17"/>
  <c r="W104" i="17"/>
  <c r="Z104" i="17"/>
  <c r="X104" i="17"/>
  <c r="L104" i="17"/>
  <c r="K104" i="17"/>
  <c r="U104" i="17"/>
  <c r="S104" i="17"/>
  <c r="J104" i="17"/>
  <c r="M104" i="17"/>
  <c r="Y104" i="17"/>
  <c r="Q144" i="17"/>
  <c r="S144" i="17"/>
  <c r="T144" i="17"/>
  <c r="R144" i="17"/>
  <c r="AO144" i="17"/>
  <c r="AB144" i="17"/>
  <c r="U144" i="17"/>
  <c r="Y144" i="17"/>
  <c r="J144" i="17"/>
  <c r="M144" i="17"/>
  <c r="Z159" i="17"/>
  <c r="V136" i="17"/>
  <c r="M88" i="17"/>
  <c r="N40" i="17"/>
  <c r="S8" i="17"/>
  <c r="K160" i="17"/>
  <c r="X128" i="17"/>
  <c r="U118" i="17"/>
  <c r="U62" i="17"/>
  <c r="L174" i="17"/>
  <c r="X96" i="17"/>
  <c r="Q70" i="17"/>
  <c r="N86" i="17"/>
  <c r="U48" i="17"/>
  <c r="AB142" i="17"/>
  <c r="U142" i="17"/>
  <c r="O774" i="16"/>
  <c r="Y112" i="17"/>
  <c r="Z110" i="17"/>
  <c r="R64" i="17"/>
  <c r="W126" i="17"/>
  <c r="U71" i="15"/>
  <c r="U55" i="17"/>
  <c r="M175" i="17"/>
  <c r="T8" i="17"/>
  <c r="O18" i="15"/>
  <c r="M18" i="15"/>
  <c r="P18" i="15"/>
  <c r="S18" i="15"/>
  <c r="J18" i="15"/>
  <c r="N18" i="15"/>
  <c r="I18" i="15"/>
  <c r="AG18" i="15" s="1"/>
  <c r="Q18" i="7" s="1"/>
  <c r="U18" i="15"/>
  <c r="H18" i="15"/>
  <c r="R18" i="15"/>
  <c r="K38" i="15"/>
  <c r="H38" i="15"/>
  <c r="I38" i="15"/>
  <c r="G38" i="15"/>
  <c r="AG38" i="15"/>
  <c r="Q38" i="7" s="1"/>
  <c r="O38" i="15"/>
  <c r="I54" i="15"/>
  <c r="AG54" i="15" s="1"/>
  <c r="Q54" i="7" s="1"/>
  <c r="J54" i="15"/>
  <c r="N54" i="15"/>
  <c r="AE54" i="15" s="1"/>
  <c r="O54" i="7" s="1"/>
  <c r="R54" i="15"/>
  <c r="P54" i="15"/>
  <c r="H54" i="15"/>
  <c r="Q54" i="15"/>
  <c r="K54" i="15"/>
  <c r="G54" i="15"/>
  <c r="G58" i="15"/>
  <c r="R58" i="15"/>
  <c r="I58" i="15"/>
  <c r="S58" i="15"/>
  <c r="G171" i="15"/>
  <c r="M171" i="15"/>
  <c r="H171" i="15"/>
  <c r="P171" i="15"/>
  <c r="U171" i="15"/>
  <c r="K171" i="15"/>
  <c r="R171" i="15"/>
  <c r="L171" i="15"/>
  <c r="O171" i="15"/>
  <c r="E4" i="16"/>
  <c r="I4" i="9" s="1"/>
  <c r="T4" i="16"/>
  <c r="P4" i="16"/>
  <c r="H4" i="9" s="1"/>
  <c r="F6" i="16"/>
  <c r="E6" i="16"/>
  <c r="P6" i="16" s="1"/>
  <c r="H6" i="9" s="1"/>
  <c r="T6" i="16"/>
  <c r="P8" i="16"/>
  <c r="H8" i="9" s="1"/>
  <c r="F8" i="16"/>
  <c r="T8" i="16"/>
  <c r="F12" i="16"/>
  <c r="E12" i="16"/>
  <c r="I12" i="9" s="1"/>
  <c r="T12" i="16"/>
  <c r="E14" i="16"/>
  <c r="P14" i="16"/>
  <c r="H14" i="9" s="1"/>
  <c r="F14" i="16"/>
  <c r="T14" i="16"/>
  <c r="E16" i="16"/>
  <c r="F16" i="16" s="1"/>
  <c r="T16" i="16"/>
  <c r="P26" i="16"/>
  <c r="H26" i="9" s="1"/>
  <c r="F26" i="16"/>
  <c r="E30" i="16"/>
  <c r="F30" i="16" s="1"/>
  <c r="P30" i="16"/>
  <c r="T210" i="16"/>
  <c r="P210" i="16"/>
  <c r="H210" i="9" s="1"/>
  <c r="T212" i="16"/>
  <c r="E212" i="16"/>
  <c r="L9" i="17"/>
  <c r="K9" i="17"/>
  <c r="W9" i="17"/>
  <c r="U9" i="17"/>
  <c r="X9" i="17"/>
  <c r="S9" i="17"/>
  <c r="N9" i="17"/>
  <c r="T9" i="17"/>
  <c r="M9" i="17"/>
  <c r="AB9" i="17"/>
  <c r="N94" i="17"/>
  <c r="Z94" i="17"/>
  <c r="R150" i="17"/>
  <c r="V150" i="17"/>
  <c r="Z150" i="17"/>
  <c r="X94" i="17"/>
  <c r="R102" i="17"/>
  <c r="X47" i="17"/>
  <c r="Y47" i="17"/>
  <c r="AO47" i="17"/>
  <c r="X71" i="17"/>
  <c r="W71" i="17"/>
  <c r="Y71" i="17"/>
  <c r="J79" i="17"/>
  <c r="X79" i="17"/>
  <c r="M95" i="17"/>
  <c r="AA95" i="17"/>
  <c r="S95" i="17"/>
  <c r="T95" i="17"/>
  <c r="AB95" i="17"/>
  <c r="W95" i="17"/>
  <c r="L95" i="17"/>
  <c r="X95" i="17"/>
  <c r="N95" i="17"/>
  <c r="U95" i="17"/>
  <c r="V95" i="17"/>
  <c r="K95" i="17"/>
  <c r="Y95" i="17"/>
  <c r="Z95" i="17"/>
  <c r="AO95" i="17"/>
  <c r="N135" i="17"/>
  <c r="W135" i="17"/>
  <c r="S135" i="17"/>
  <c r="M135" i="17"/>
  <c r="U135" i="17"/>
  <c r="K135" i="17"/>
  <c r="T135" i="17"/>
  <c r="AA135" i="17"/>
  <c r="L135" i="17"/>
  <c r="Q135" i="17"/>
  <c r="Y135" i="17"/>
  <c r="M118" i="17"/>
  <c r="W55" i="17"/>
  <c r="AB135" i="17"/>
  <c r="U67" i="15"/>
  <c r="P67" i="15"/>
  <c r="O67" i="15"/>
  <c r="K67" i="15"/>
  <c r="M67" i="15"/>
  <c r="R67" i="15"/>
  <c r="J67" i="15"/>
  <c r="S67" i="15"/>
  <c r="E875" i="16"/>
  <c r="O875" i="16"/>
  <c r="W32" i="17"/>
  <c r="Z32" i="17"/>
  <c r="S32" i="17"/>
  <c r="Q32" i="17"/>
  <c r="N32" i="17"/>
  <c r="V32" i="17"/>
  <c r="L56" i="17"/>
  <c r="K56" i="17"/>
  <c r="X56" i="17"/>
  <c r="Z56" i="17"/>
  <c r="K88" i="17"/>
  <c r="T88" i="17"/>
  <c r="W88" i="17"/>
  <c r="S88" i="17"/>
  <c r="J88" i="17"/>
  <c r="AO88" i="17"/>
  <c r="T96" i="17"/>
  <c r="J96" i="17"/>
  <c r="AO96" i="17"/>
  <c r="AB96" i="17"/>
  <c r="L96" i="17"/>
  <c r="V96" i="17"/>
  <c r="K96" i="17"/>
  <c r="S96" i="17"/>
  <c r="W96" i="17"/>
  <c r="AA96" i="17"/>
  <c r="AB120" i="17"/>
  <c r="W120" i="17"/>
  <c r="T120" i="17"/>
  <c r="L120" i="17"/>
  <c r="AA120" i="17"/>
  <c r="K120" i="17"/>
  <c r="X120" i="17"/>
  <c r="J120" i="17"/>
  <c r="R120" i="17"/>
  <c r="U120" i="17"/>
  <c r="Y120" i="17"/>
  <c r="Q120" i="17"/>
  <c r="M120" i="17"/>
  <c r="Z120" i="17"/>
  <c r="S120" i="17"/>
  <c r="R167" i="17"/>
  <c r="Q87" i="17"/>
  <c r="AO104" i="17"/>
  <c r="AO56" i="17"/>
  <c r="W160" i="17"/>
  <c r="AA144" i="17"/>
  <c r="X134" i="17"/>
  <c r="N62" i="17"/>
  <c r="X174" i="17"/>
  <c r="W38" i="17"/>
  <c r="Y96" i="17"/>
  <c r="Q142" i="17"/>
  <c r="O877" i="16"/>
  <c r="O885" i="16" s="1"/>
  <c r="O893" i="16" s="1"/>
  <c r="O901" i="16" s="1"/>
  <c r="O909" i="16" s="1"/>
  <c r="P909" i="16" s="1"/>
  <c r="O917" i="16" s="1"/>
  <c r="O925" i="16" s="1"/>
  <c r="P925" i="16" s="1"/>
  <c r="O933" i="16" s="1"/>
  <c r="P933" i="16" s="1"/>
  <c r="H933" i="9" s="1"/>
  <c r="I933" i="9" s="1"/>
  <c r="O941" i="16" s="1"/>
  <c r="O949" i="16" s="1"/>
  <c r="P949" i="16" s="1"/>
  <c r="H949" i="9" s="1"/>
  <c r="I949" i="9" s="1"/>
  <c r="O957" i="16" s="1"/>
  <c r="O965" i="16" s="1"/>
  <c r="O973" i="16" s="1"/>
  <c r="P973" i="16" s="1"/>
  <c r="H973" i="9" s="1"/>
  <c r="I973" i="9" s="1"/>
  <c r="M112" i="17"/>
  <c r="R158" i="17"/>
  <c r="U126" i="17"/>
  <c r="E889" i="16"/>
  <c r="O889" i="16" s="1"/>
  <c r="O929" i="16"/>
  <c r="E786" i="16"/>
  <c r="T104" i="17"/>
  <c r="N143" i="17"/>
  <c r="S127" i="17"/>
  <c r="U111" i="17"/>
  <c r="N9" i="15"/>
  <c r="AE9" i="15" s="1"/>
  <c r="O9" i="7" s="1"/>
  <c r="M9" i="15"/>
  <c r="O9" i="15"/>
  <c r="R9" i="15"/>
  <c r="K9" i="15"/>
  <c r="I9" i="15"/>
  <c r="U9" i="15"/>
  <c r="P9" i="15"/>
  <c r="H9" i="15"/>
  <c r="AF9" i="15" s="1"/>
  <c r="N13" i="15"/>
  <c r="P13" i="15"/>
  <c r="H13" i="15"/>
  <c r="K23" i="15"/>
  <c r="P23" i="15"/>
  <c r="G23" i="15"/>
  <c r="O23" i="15"/>
  <c r="I23" i="15"/>
  <c r="AG23" i="15" s="1"/>
  <c r="Q23" i="7" s="1"/>
  <c r="R23" i="15"/>
  <c r="M23" i="15"/>
  <c r="H27" i="15"/>
  <c r="M27" i="15"/>
  <c r="U27" i="15"/>
  <c r="S27" i="15"/>
  <c r="K27" i="15"/>
  <c r="S31" i="15"/>
  <c r="M31" i="15"/>
  <c r="AF31" i="15" s="1"/>
  <c r="AE31" i="15"/>
  <c r="O31" i="7" s="1"/>
  <c r="O45" i="15"/>
  <c r="I45" i="15"/>
  <c r="L45" i="15"/>
  <c r="P45" i="15"/>
  <c r="H45" i="15"/>
  <c r="AF45" i="15" s="1"/>
  <c r="R49" i="15"/>
  <c r="J49" i="15"/>
  <c r="I49" i="15"/>
  <c r="Q49" i="15"/>
  <c r="G49" i="15"/>
  <c r="O49" i="15"/>
  <c r="R53" i="15"/>
  <c r="Q53" i="15"/>
  <c r="S53" i="15"/>
  <c r="O53" i="15"/>
  <c r="U53" i="15"/>
  <c r="L53" i="15"/>
  <c r="AF53" i="15"/>
  <c r="K53" i="15"/>
  <c r="G53" i="15"/>
  <c r="J53" i="15"/>
  <c r="M62" i="15"/>
  <c r="N62" i="15"/>
  <c r="I62" i="15"/>
  <c r="AG62" i="15" s="1"/>
  <c r="Q62" i="7" s="1"/>
  <c r="R62" i="15"/>
  <c r="U46" i="17"/>
  <c r="S46" i="17"/>
  <c r="O423" i="16" s="1"/>
  <c r="O431" i="16" s="1"/>
  <c r="O447" i="16" s="1"/>
  <c r="O455" i="16" s="1"/>
  <c r="O463" i="16" s="1"/>
  <c r="O471" i="16" s="1"/>
  <c r="O479" i="16" s="1"/>
  <c r="O487" i="16" s="1"/>
  <c r="O495" i="16" s="1"/>
  <c r="O503" i="16" s="1"/>
  <c r="O511" i="16" s="1"/>
  <c r="O519" i="16" s="1"/>
  <c r="O527" i="16" s="1"/>
  <c r="O543" i="16" s="1"/>
  <c r="O559" i="16" s="1"/>
  <c r="O567" i="16" s="1"/>
  <c r="O575" i="16" s="1"/>
  <c r="O583" i="16" s="1"/>
  <c r="O591" i="16" s="1"/>
  <c r="O599" i="16" s="1"/>
  <c r="O615" i="16" s="1"/>
  <c r="O623" i="16" s="1"/>
  <c r="O631" i="16" s="1"/>
  <c r="O647" i="16" s="1"/>
  <c r="O655" i="16" s="1"/>
  <c r="O663" i="16" s="1"/>
  <c r="O743" i="16" s="1"/>
  <c r="P743" i="16" s="1"/>
  <c r="O751" i="16" s="1"/>
  <c r="O767" i="16" s="1"/>
  <c r="O783" i="16" s="1"/>
  <c r="P783" i="16" s="1"/>
  <c r="O799" i="16" s="1"/>
  <c r="O807" i="16" s="1"/>
  <c r="O815" i="16" s="1"/>
  <c r="P815" i="16" s="1"/>
  <c r="O823" i="16" s="1"/>
  <c r="O831" i="16" s="1"/>
  <c r="O839" i="16" s="1"/>
  <c r="O847" i="16" s="1"/>
  <c r="O879" i="16" s="1"/>
  <c r="P879" i="16" s="1"/>
  <c r="O887" i="16" s="1"/>
  <c r="P887" i="16" s="1"/>
  <c r="H887" i="9" s="1"/>
  <c r="I887" i="9" s="1"/>
  <c r="O895" i="16" s="1"/>
  <c r="O903" i="16" s="1"/>
  <c r="O911" i="16" s="1"/>
  <c r="O919" i="16" s="1"/>
  <c r="P919" i="16" s="1"/>
  <c r="O943" i="16" s="1"/>
  <c r="O959" i="16" s="1"/>
  <c r="O975" i="16" s="1"/>
  <c r="O983" i="16" s="1"/>
  <c r="O991" i="16" s="1"/>
  <c r="O1007" i="16" s="1"/>
  <c r="AB46" i="17"/>
  <c r="X70" i="17"/>
  <c r="AO70" i="17"/>
  <c r="AO78" i="17"/>
  <c r="W78" i="17"/>
  <c r="X110" i="17"/>
  <c r="V110" i="17"/>
  <c r="N110" i="17"/>
  <c r="AO142" i="17"/>
  <c r="Z142" i="17"/>
  <c r="Y142" i="17"/>
  <c r="W142" i="17"/>
  <c r="AA142" i="17"/>
  <c r="T142" i="17"/>
  <c r="K142" i="17"/>
  <c r="V142" i="17"/>
  <c r="J134" i="17"/>
  <c r="N134" i="17"/>
  <c r="X142" i="17"/>
  <c r="O99" i="15"/>
  <c r="M99" i="15"/>
  <c r="N99" i="15"/>
  <c r="P99" i="15"/>
  <c r="G99" i="15"/>
  <c r="U99" i="15"/>
  <c r="L99" i="15"/>
  <c r="I99" i="15"/>
  <c r="K99" i="15"/>
  <c r="H99" i="15"/>
  <c r="AF99" i="15" s="1"/>
  <c r="R99" i="15"/>
  <c r="V15" i="17"/>
  <c r="W15" i="17"/>
  <c r="L15" i="17"/>
  <c r="X15" i="17"/>
  <c r="AA15" i="17"/>
  <c r="AB15" i="17"/>
  <c r="T15" i="17"/>
  <c r="U15" i="17"/>
  <c r="S15" i="17"/>
  <c r="M15" i="17"/>
  <c r="J39" i="17"/>
  <c r="X39" i="17"/>
  <c r="R151" i="17"/>
  <c r="S151" i="17"/>
  <c r="V151" i="17"/>
  <c r="Y151" i="17"/>
  <c r="M94" i="17"/>
  <c r="M142" i="17"/>
  <c r="E776" i="16"/>
  <c r="F776" i="16"/>
  <c r="O776" i="16" s="1"/>
  <c r="F782" i="16"/>
  <c r="E782" i="16"/>
  <c r="F919" i="16"/>
  <c r="E919" i="16"/>
  <c r="AB8" i="17"/>
  <c r="Z8" i="17"/>
  <c r="L8" i="17"/>
  <c r="K8" i="17"/>
  <c r="Q8" i="17"/>
  <c r="W8" i="17"/>
  <c r="N8" i="17"/>
  <c r="U8" i="17"/>
  <c r="M8" i="17"/>
  <c r="X8" i="17"/>
  <c r="T40" i="17"/>
  <c r="K40" i="17"/>
  <c r="M64" i="17"/>
  <c r="AA64" i="17"/>
  <c r="Z64" i="17"/>
  <c r="V64" i="17"/>
  <c r="R128" i="17"/>
  <c r="Q128" i="17"/>
  <c r="AO128" i="17"/>
  <c r="J128" i="17"/>
  <c r="W128" i="17"/>
  <c r="N128" i="17"/>
  <c r="AA128" i="17"/>
  <c r="V128" i="17"/>
  <c r="K128" i="17"/>
  <c r="T128" i="17"/>
  <c r="AB152" i="17"/>
  <c r="K152" i="17"/>
  <c r="Q152" i="17"/>
  <c r="N152" i="17"/>
  <c r="X152" i="17"/>
  <c r="W152" i="17"/>
  <c r="Z168" i="17"/>
  <c r="AA168" i="17"/>
  <c r="R168" i="17"/>
  <c r="W168" i="17"/>
  <c r="Z143" i="17"/>
  <c r="Z135" i="17"/>
  <c r="R95" i="17"/>
  <c r="AO135" i="17"/>
  <c r="Q95" i="17"/>
  <c r="V152" i="17"/>
  <c r="N104" i="17"/>
  <c r="V56" i="17"/>
  <c r="L160" i="17"/>
  <c r="AB16" i="17"/>
  <c r="K144" i="17"/>
  <c r="Z134" i="17"/>
  <c r="AA16" i="17"/>
  <c r="M128" i="17"/>
  <c r="V62" i="17"/>
  <c r="M96" i="17"/>
  <c r="R70" i="17"/>
  <c r="R142" i="17"/>
  <c r="S112" i="17"/>
  <c r="W110" i="17"/>
  <c r="T64" i="17"/>
  <c r="W54" i="17"/>
  <c r="Y150" i="17"/>
  <c r="E897" i="16"/>
  <c r="F784" i="16"/>
  <c r="P784" i="16" s="1"/>
  <c r="H784" i="9" s="1"/>
  <c r="Q67" i="15"/>
  <c r="U103" i="15"/>
  <c r="K151" i="17"/>
  <c r="U103" i="17"/>
  <c r="K15" i="17"/>
  <c r="AB143" i="17"/>
  <c r="Q4" i="15"/>
  <c r="K4" i="15"/>
  <c r="H4" i="15"/>
  <c r="S4" i="15"/>
  <c r="L4" i="15"/>
  <c r="N4" i="15"/>
  <c r="U4" i="15"/>
  <c r="P4" i="15"/>
  <c r="S17" i="15"/>
  <c r="U17" i="15"/>
  <c r="P17" i="15"/>
  <c r="I17" i="15"/>
  <c r="H17" i="15"/>
  <c r="Q17" i="15"/>
  <c r="M17" i="15"/>
  <c r="K17" i="15"/>
  <c r="H22" i="15"/>
  <c r="N22" i="15"/>
  <c r="J22" i="15"/>
  <c r="P22" i="15"/>
  <c r="G22" i="15"/>
  <c r="K22" i="15"/>
  <c r="AG22" i="15"/>
  <c r="Q22" i="7" s="1"/>
  <c r="I22" i="15"/>
  <c r="O22" i="15"/>
  <c r="M22" i="15"/>
  <c r="H37" i="15"/>
  <c r="N37" i="15"/>
  <c r="G37" i="15"/>
  <c r="M37" i="15"/>
  <c r="P37" i="15"/>
  <c r="U37" i="15"/>
  <c r="L37" i="15"/>
  <c r="O37" i="15"/>
  <c r="K43" i="15"/>
  <c r="P43" i="15"/>
  <c r="I43" i="15"/>
  <c r="L43" i="15"/>
  <c r="S43" i="15"/>
  <c r="O43" i="15"/>
  <c r="I44" i="15"/>
  <c r="U44" i="15"/>
  <c r="S44" i="15"/>
  <c r="AE44" i="15"/>
  <c r="O44" i="7" s="1"/>
  <c r="M44" i="15"/>
  <c r="R44" i="15"/>
  <c r="K44" i="15"/>
  <c r="AG44" i="15" s="1"/>
  <c r="Q44" i="7" s="1"/>
  <c r="J44" i="15"/>
  <c r="P44" i="15"/>
  <c r="G44" i="15"/>
  <c r="Q44" i="15"/>
  <c r="V38" i="17"/>
  <c r="N38" i="17"/>
  <c r="Z38" i="17"/>
  <c r="V102" i="17"/>
  <c r="W102" i="17"/>
  <c r="AB102" i="17"/>
  <c r="T102" i="17"/>
  <c r="Q166" i="17"/>
  <c r="S110" i="17"/>
  <c r="AO126" i="17"/>
  <c r="Y134" i="17"/>
  <c r="Q109" i="15"/>
  <c r="L109" i="15"/>
  <c r="M109" i="15"/>
  <c r="O109" i="15"/>
  <c r="G109" i="15"/>
  <c r="J109" i="15"/>
  <c r="U109" i="15"/>
  <c r="S109" i="15"/>
  <c r="Q23" i="17"/>
  <c r="U23" i="17"/>
  <c r="R23" i="17"/>
  <c r="AA31" i="17"/>
  <c r="Q31" i="17"/>
  <c r="Y31" i="17"/>
  <c r="Y63" i="17"/>
  <c r="AA63" i="17"/>
  <c r="K63" i="17"/>
  <c r="M63" i="17"/>
  <c r="U63" i="17"/>
  <c r="AO63" i="17"/>
  <c r="M87" i="17"/>
  <c r="L87" i="17"/>
  <c r="Y87" i="17"/>
  <c r="S87" i="17"/>
  <c r="X111" i="17"/>
  <c r="K111" i="17"/>
  <c r="AB111" i="17"/>
  <c r="T111" i="17"/>
  <c r="N111" i="17"/>
  <c r="V111" i="17"/>
  <c r="S111" i="17"/>
  <c r="AO111" i="17"/>
  <c r="Z111" i="17"/>
  <c r="AA111" i="17"/>
  <c r="L111" i="17"/>
  <c r="AB119" i="17"/>
  <c r="U119" i="17"/>
  <c r="T119" i="17"/>
  <c r="S119" i="17"/>
  <c r="N119" i="17"/>
  <c r="X119" i="17"/>
  <c r="AA119" i="17"/>
  <c r="W119" i="17"/>
  <c r="Y119" i="17"/>
  <c r="Z119" i="17"/>
  <c r="AO119" i="17"/>
  <c r="M119" i="17"/>
  <c r="L119" i="17"/>
  <c r="K127" i="17"/>
  <c r="AA127" i="17"/>
  <c r="V127" i="17"/>
  <c r="X127" i="17"/>
  <c r="L127" i="17"/>
  <c r="AB127" i="17"/>
  <c r="T127" i="17"/>
  <c r="W127" i="17"/>
  <c r="M127" i="17"/>
  <c r="Y127" i="17"/>
  <c r="R127" i="17"/>
  <c r="AO127" i="17"/>
  <c r="Z127" i="17"/>
  <c r="T167" i="17"/>
  <c r="L167" i="17"/>
  <c r="S167" i="17"/>
  <c r="Q119" i="17"/>
  <c r="X78" i="17"/>
  <c r="U86" i="17"/>
  <c r="Y110" i="17"/>
  <c r="I71" i="15"/>
  <c r="Q71" i="15"/>
  <c r="H71" i="15"/>
  <c r="P71" i="15"/>
  <c r="J71" i="15"/>
  <c r="L71" i="15"/>
  <c r="F788" i="16"/>
  <c r="E788" i="16"/>
  <c r="E887" i="16"/>
  <c r="F887" i="16"/>
  <c r="F931" i="16"/>
  <c r="P931" i="16" s="1"/>
  <c r="H931" i="9" s="1"/>
  <c r="E931" i="16"/>
  <c r="O931" i="16" s="1"/>
  <c r="S16" i="17"/>
  <c r="Q16" i="17"/>
  <c r="T16" i="17"/>
  <c r="L16" i="17"/>
  <c r="K16" i="17"/>
  <c r="Z16" i="17"/>
  <c r="W16" i="17"/>
  <c r="V16" i="17"/>
  <c r="N72" i="17"/>
  <c r="W72" i="17"/>
  <c r="S72" i="17"/>
  <c r="AO72" i="17"/>
  <c r="V80" i="17"/>
  <c r="X80" i="17"/>
  <c r="Y80" i="17"/>
  <c r="AA112" i="17"/>
  <c r="Z112" i="17"/>
  <c r="L112" i="17"/>
  <c r="AO112" i="17"/>
  <c r="K112" i="17"/>
  <c r="W112" i="17"/>
  <c r="R112" i="17"/>
  <c r="V112" i="17"/>
  <c r="L136" i="17"/>
  <c r="K136" i="17"/>
  <c r="AA136" i="17"/>
  <c r="Q136" i="17"/>
  <c r="Y136" i="17"/>
  <c r="N136" i="17"/>
  <c r="R136" i="17"/>
  <c r="U136" i="17"/>
  <c r="Z136" i="17"/>
  <c r="R143" i="17"/>
  <c r="R135" i="17"/>
  <c r="R111" i="17"/>
  <c r="Z103" i="17"/>
  <c r="J95" i="17"/>
  <c r="J47" i="17"/>
  <c r="Z39" i="17"/>
  <c r="Z15" i="17"/>
  <c r="V104" i="17"/>
  <c r="T94" i="17"/>
  <c r="J16" i="17"/>
  <c r="W144" i="17"/>
  <c r="AB134" i="17"/>
  <c r="X16" i="17"/>
  <c r="Z144" i="17"/>
  <c r="U128" i="17"/>
  <c r="Y94" i="17"/>
  <c r="X30" i="17"/>
  <c r="U96" i="17"/>
  <c r="S142" i="17"/>
  <c r="Z102" i="17"/>
  <c r="P782" i="16"/>
  <c r="O789" i="16" s="1"/>
  <c r="T112" i="17"/>
  <c r="N112" i="17"/>
  <c r="R8" i="17"/>
  <c r="X64" i="17"/>
  <c r="U54" i="17"/>
  <c r="L150" i="17"/>
  <c r="O784" i="16"/>
  <c r="P109" i="15"/>
  <c r="H67" i="15"/>
  <c r="K71" i="15"/>
  <c r="I109" i="15"/>
  <c r="AG109" i="15" s="1"/>
  <c r="Q109" i="7" s="1"/>
  <c r="K119" i="17"/>
  <c r="W47" i="17"/>
  <c r="V103" i="17"/>
  <c r="T136" i="17"/>
  <c r="AA8" i="17"/>
  <c r="V71" i="17"/>
  <c r="V135" i="17"/>
  <c r="Q120" i="15"/>
  <c r="H120" i="15"/>
  <c r="AF120" i="15" s="1"/>
  <c r="G120" i="15"/>
  <c r="J145" i="15"/>
  <c r="I145" i="15"/>
  <c r="AF145" i="15"/>
  <c r="AG145" i="15" s="1"/>
  <c r="Q145" i="7" s="1"/>
  <c r="K145" i="15"/>
  <c r="P145" i="15"/>
  <c r="H145" i="15"/>
  <c r="Q153" i="15"/>
  <c r="O153" i="15"/>
  <c r="R153" i="15"/>
  <c r="P175" i="15"/>
  <c r="G175" i="15"/>
  <c r="T575" i="16"/>
  <c r="E575" i="16"/>
  <c r="F575" i="16" s="1"/>
  <c r="E583" i="16"/>
  <c r="F583" i="16" s="1"/>
  <c r="T583" i="16"/>
  <c r="E591" i="16"/>
  <c r="F591" i="16"/>
  <c r="E599" i="16"/>
  <c r="F599" i="16"/>
  <c r="T599" i="16"/>
  <c r="O702" i="16" s="1"/>
  <c r="F693" i="16"/>
  <c r="E693" i="16"/>
  <c r="E830" i="16"/>
  <c r="F830" i="16"/>
  <c r="E1231" i="16"/>
  <c r="O1318" i="16" s="1"/>
  <c r="F1231" i="16"/>
  <c r="F1237" i="16"/>
  <c r="E1237" i="16"/>
  <c r="E1326" i="16"/>
  <c r="F1326" i="16"/>
  <c r="AO2" i="17"/>
  <c r="K2" i="17"/>
  <c r="W17" i="17"/>
  <c r="M17" i="17"/>
  <c r="AB17" i="17"/>
  <c r="N17" i="17"/>
  <c r="AA17" i="17"/>
  <c r="U17" i="17"/>
  <c r="K17" i="17"/>
  <c r="T17" i="17"/>
  <c r="L17" i="17"/>
  <c r="V17" i="17"/>
  <c r="J25" i="17"/>
  <c r="W25" i="17"/>
  <c r="M25" i="17"/>
  <c r="X25" i="17"/>
  <c r="M33" i="17"/>
  <c r="T33" i="17"/>
  <c r="X33" i="17"/>
  <c r="U33" i="17"/>
  <c r="AB33" i="17"/>
  <c r="L33" i="17"/>
  <c r="S33" i="17"/>
  <c r="W33" i="17"/>
  <c r="K33" i="17"/>
  <c r="N33" i="17"/>
  <c r="V41" i="17"/>
  <c r="K41" i="17"/>
  <c r="AA41" i="17"/>
  <c r="X41" i="17"/>
  <c r="N41" i="17"/>
  <c r="L41" i="17"/>
  <c r="AB41" i="17"/>
  <c r="S41" i="17"/>
  <c r="T49" i="17"/>
  <c r="S49" i="17"/>
  <c r="M49" i="17"/>
  <c r="N49" i="17"/>
  <c r="AB49" i="17"/>
  <c r="W49" i="17"/>
  <c r="U49" i="17"/>
  <c r="K49" i="17"/>
  <c r="L49" i="17"/>
  <c r="V57" i="17"/>
  <c r="K57" i="17"/>
  <c r="X57" i="17"/>
  <c r="AB57" i="17"/>
  <c r="L57" i="17"/>
  <c r="AA57" i="17"/>
  <c r="M57" i="17"/>
  <c r="S57" i="17"/>
  <c r="T65" i="17"/>
  <c r="K65" i="17"/>
  <c r="X65" i="17"/>
  <c r="AB65" i="17"/>
  <c r="U65" i="17"/>
  <c r="M65" i="17"/>
  <c r="AA65" i="17"/>
  <c r="L65" i="17"/>
  <c r="X73" i="17"/>
  <c r="N73" i="17"/>
  <c r="AA73" i="17"/>
  <c r="W73" i="17"/>
  <c r="M73" i="17"/>
  <c r="V73" i="17"/>
  <c r="S73" i="17"/>
  <c r="K81" i="17"/>
  <c r="AB81" i="17"/>
  <c r="S81" i="17"/>
  <c r="N81" i="17"/>
  <c r="V81" i="17"/>
  <c r="X81" i="17"/>
  <c r="U81" i="17"/>
  <c r="T81" i="17"/>
  <c r="W81" i="17"/>
  <c r="V89" i="17"/>
  <c r="AB89" i="17"/>
  <c r="AA89" i="17"/>
  <c r="W89" i="17"/>
  <c r="M89" i="17"/>
  <c r="X89" i="17"/>
  <c r="L89" i="17"/>
  <c r="X97" i="17"/>
  <c r="M97" i="17"/>
  <c r="S97" i="17"/>
  <c r="N97" i="17"/>
  <c r="W97" i="17"/>
  <c r="AA97" i="17"/>
  <c r="V97" i="17"/>
  <c r="AB97" i="17"/>
  <c r="N105" i="17"/>
  <c r="L105" i="17"/>
  <c r="K105" i="17"/>
  <c r="AA105" i="17"/>
  <c r="V105" i="17"/>
  <c r="AB105" i="17"/>
  <c r="M105" i="17"/>
  <c r="U105" i="17"/>
  <c r="T105" i="17"/>
  <c r="AA113" i="17"/>
  <c r="W113" i="17"/>
  <c r="N113" i="17"/>
  <c r="AB113" i="17"/>
  <c r="M113" i="17"/>
  <c r="X113" i="17"/>
  <c r="T113" i="17"/>
  <c r="L113" i="17"/>
  <c r="AB121" i="17"/>
  <c r="U121" i="17"/>
  <c r="S121" i="17"/>
  <c r="T121" i="17"/>
  <c r="L121" i="17"/>
  <c r="W121" i="17"/>
  <c r="K121" i="17"/>
  <c r="O120" i="17" s="1"/>
  <c r="AI120" i="17" s="1"/>
  <c r="M121" i="17"/>
  <c r="X129" i="17"/>
  <c r="W129" i="17"/>
  <c r="U129" i="17"/>
  <c r="K129" i="17"/>
  <c r="AA129" i="17"/>
  <c r="AB129" i="17"/>
  <c r="V129" i="17"/>
  <c r="W137" i="17"/>
  <c r="N137" i="17"/>
  <c r="V153" i="17"/>
  <c r="K153" i="17"/>
  <c r="AB153" i="17"/>
  <c r="Q161" i="17"/>
  <c r="N161" i="17"/>
  <c r="V161" i="17"/>
  <c r="U161" i="17"/>
  <c r="X161" i="17"/>
  <c r="K161" i="17"/>
  <c r="O883" i="16"/>
  <c r="F701" i="16"/>
  <c r="P701" i="16" s="1"/>
  <c r="H701" i="9" s="1"/>
  <c r="I701" i="9" s="1"/>
  <c r="E721" i="16"/>
  <c r="O721" i="16" s="1"/>
  <c r="O579" i="16"/>
  <c r="O145" i="15"/>
  <c r="E677" i="16"/>
  <c r="F669" i="16"/>
  <c r="O717" i="16" s="1"/>
  <c r="V33" i="17"/>
  <c r="U41" i="17"/>
  <c r="U73" i="17"/>
  <c r="T97" i="17"/>
  <c r="P111" i="15"/>
  <c r="N111" i="15"/>
  <c r="O111" i="15"/>
  <c r="Q111" i="15"/>
  <c r="U115" i="15"/>
  <c r="M115" i="15"/>
  <c r="N115" i="15"/>
  <c r="G115" i="15"/>
  <c r="P161" i="15"/>
  <c r="N161" i="15"/>
  <c r="AE161" i="15" s="1"/>
  <c r="O161" i="7" s="1"/>
  <c r="I166" i="15"/>
  <c r="AE166" i="15"/>
  <c r="O166" i="7" s="1"/>
  <c r="I170" i="15"/>
  <c r="AF170" i="15"/>
  <c r="R170" i="15"/>
  <c r="M170" i="15"/>
  <c r="G170" i="15"/>
  <c r="U170" i="15"/>
  <c r="Q170" i="15"/>
  <c r="AG170" i="15" s="1"/>
  <c r="Q170" i="7" s="1"/>
  <c r="T540" i="16"/>
  <c r="P540" i="16"/>
  <c r="H540" i="9" s="1"/>
  <c r="E540" i="16"/>
  <c r="F540" i="16" s="1"/>
  <c r="P711" i="16"/>
  <c r="O725" i="16" s="1"/>
  <c r="O711" i="16"/>
  <c r="F1095" i="16"/>
  <c r="O856" i="16"/>
  <c r="E1332" i="16"/>
  <c r="F689" i="16"/>
  <c r="O697" i="16"/>
  <c r="O700" i="16" s="1"/>
  <c r="T673" i="16"/>
  <c r="F1123" i="16"/>
  <c r="F683" i="16"/>
  <c r="P683" i="16" s="1"/>
  <c r="H683" i="9" s="1"/>
  <c r="E820" i="16"/>
  <c r="O820" i="16" s="1"/>
  <c r="U175" i="15"/>
  <c r="S111" i="15"/>
  <c r="L111" i="15"/>
  <c r="F1284" i="16"/>
  <c r="F671" i="16"/>
  <c r="L145" i="15"/>
  <c r="G145" i="15"/>
  <c r="U145" i="15"/>
  <c r="N170" i="15"/>
  <c r="AE170" i="15" s="1"/>
  <c r="O170" i="7" s="1"/>
  <c r="E526" i="16"/>
  <c r="F532" i="16"/>
  <c r="E822" i="16"/>
  <c r="L73" i="17"/>
  <c r="T41" i="17"/>
  <c r="S105" i="17"/>
  <c r="E727" i="16"/>
  <c r="Q64" i="15"/>
  <c r="H64" i="15"/>
  <c r="I64" i="15"/>
  <c r="R64" i="15"/>
  <c r="S64" i="15"/>
  <c r="J64" i="15"/>
  <c r="P68" i="15"/>
  <c r="Q68" i="15"/>
  <c r="O68" i="15"/>
  <c r="K68" i="15"/>
  <c r="S78" i="15"/>
  <c r="G78" i="15"/>
  <c r="J78" i="15"/>
  <c r="P104" i="15"/>
  <c r="Q104" i="15"/>
  <c r="O104" i="15"/>
  <c r="H104" i="15"/>
  <c r="AF104" i="15" s="1"/>
  <c r="P104" i="7" s="1"/>
  <c r="O136" i="15"/>
  <c r="L136" i="15"/>
  <c r="N136" i="15"/>
  <c r="H136" i="15"/>
  <c r="I140" i="15"/>
  <c r="Q140" i="15"/>
  <c r="H140" i="15"/>
  <c r="AG140" i="15"/>
  <c r="Q140" i="7" s="1"/>
  <c r="O140" i="15"/>
  <c r="N140" i="15"/>
  <c r="Q144" i="15"/>
  <c r="H144" i="15"/>
  <c r="Q148" i="15"/>
  <c r="P148" i="15"/>
  <c r="O148" i="15"/>
  <c r="G148" i="15"/>
  <c r="L152" i="15"/>
  <c r="M152" i="15"/>
  <c r="Q152" i="15"/>
  <c r="N152" i="15"/>
  <c r="U152" i="15"/>
  <c r="AE165" i="15"/>
  <c r="O165" i="7" s="1"/>
  <c r="R165" i="15"/>
  <c r="M165" i="15"/>
  <c r="O165" i="15"/>
  <c r="U165" i="15"/>
  <c r="Q165" i="15"/>
  <c r="P671" i="16"/>
  <c r="H671" i="9" s="1"/>
  <c r="O685" i="16" s="1"/>
  <c r="P591" i="16"/>
  <c r="H591" i="9" s="1"/>
  <c r="O671" i="16"/>
  <c r="F1119" i="16"/>
  <c r="F840" i="16"/>
  <c r="O840" i="16" s="1"/>
  <c r="O841" i="16" s="1"/>
  <c r="U153" i="15"/>
  <c r="F1127" i="16"/>
  <c r="K175" i="15"/>
  <c r="S175" i="15"/>
  <c r="J111" i="15"/>
  <c r="R145" i="15"/>
  <c r="F1159" i="16"/>
  <c r="Q145" i="15"/>
  <c r="I153" i="15"/>
  <c r="K161" i="15"/>
  <c r="O170" i="15"/>
  <c r="E1181" i="16"/>
  <c r="O1334" i="16" s="1"/>
  <c r="W57" i="17"/>
  <c r="N57" i="17"/>
  <c r="W105" i="17"/>
  <c r="K97" i="17"/>
  <c r="AB137" i="17"/>
  <c r="U89" i="17"/>
  <c r="S145" i="15"/>
  <c r="J55" i="15"/>
  <c r="I55" i="15"/>
  <c r="O55" i="15"/>
  <c r="N55" i="15"/>
  <c r="AF55" i="15" s="1"/>
  <c r="Q59" i="15"/>
  <c r="S59" i="15"/>
  <c r="H59" i="15"/>
  <c r="G59" i="15"/>
  <c r="N72" i="15"/>
  <c r="L72" i="15"/>
  <c r="K72" i="15"/>
  <c r="P110" i="15"/>
  <c r="O110" i="15"/>
  <c r="M110" i="15"/>
  <c r="Q110" i="15"/>
  <c r="U110" i="15"/>
  <c r="E57" i="16"/>
  <c r="P57" i="16" s="1"/>
  <c r="F57" i="16"/>
  <c r="T129" i="16"/>
  <c r="E129" i="16"/>
  <c r="F129" i="16" s="1"/>
  <c r="P129" i="16"/>
  <c r="F147" i="16"/>
  <c r="E147" i="16"/>
  <c r="F157" i="16"/>
  <c r="E157" i="16"/>
  <c r="P157" i="16" s="1"/>
  <c r="H157" i="9" s="1"/>
  <c r="E548" i="16"/>
  <c r="F548" i="16" s="1"/>
  <c r="P548" i="16"/>
  <c r="H548" i="9" s="1"/>
  <c r="F733" i="16"/>
  <c r="E733" i="16"/>
  <c r="Q121" i="15"/>
  <c r="N121" i="15"/>
  <c r="AE121" i="15" s="1"/>
  <c r="O121" i="7" s="1"/>
  <c r="R121" i="15"/>
  <c r="H134" i="15"/>
  <c r="S134" i="15"/>
  <c r="R134" i="15"/>
  <c r="H138" i="15"/>
  <c r="Q138" i="15"/>
  <c r="G138" i="15"/>
  <c r="U146" i="15"/>
  <c r="S146" i="15"/>
  <c r="H146" i="15"/>
  <c r="Q116" i="15"/>
  <c r="O116" i="15"/>
  <c r="E301" i="16"/>
  <c r="P301" i="16" s="1"/>
  <c r="F301" i="16"/>
  <c r="O333" i="16"/>
  <c r="E333" i="16"/>
  <c r="F333" i="16" s="1"/>
  <c r="F343" i="16"/>
  <c r="E343" i="16"/>
  <c r="E349" i="16"/>
  <c r="P349" i="16" s="1"/>
  <c r="F349" i="16"/>
  <c r="F407" i="16"/>
  <c r="E407" i="16"/>
  <c r="F415" i="16"/>
  <c r="E415" i="16"/>
  <c r="F471" i="16"/>
  <c r="E471" i="16"/>
  <c r="T471" i="16"/>
  <c r="T519" i="16"/>
  <c r="E519" i="16"/>
  <c r="F519" i="16" s="1"/>
  <c r="P3" i="15"/>
  <c r="O3" i="15"/>
  <c r="M8" i="15"/>
  <c r="N8" i="15"/>
  <c r="AE8" i="15" s="1"/>
  <c r="O8" i="7" s="1"/>
  <c r="Q26" i="15"/>
  <c r="H26" i="15"/>
  <c r="U93" i="15"/>
  <c r="M93" i="15"/>
  <c r="O127" i="15"/>
  <c r="P127" i="15"/>
  <c r="H127" i="15"/>
  <c r="N127" i="15"/>
  <c r="O131" i="15"/>
  <c r="G131" i="15"/>
  <c r="N164" i="15"/>
  <c r="P164" i="15"/>
  <c r="F284" i="16"/>
  <c r="E284" i="16"/>
  <c r="E463" i="16"/>
  <c r="F463" i="16" s="1"/>
  <c r="E612" i="16"/>
  <c r="P612" i="16" s="1"/>
  <c r="F612" i="16"/>
  <c r="E620" i="16"/>
  <c r="P620" i="16"/>
  <c r="E1167" i="16"/>
  <c r="E1223" i="16"/>
  <c r="Y58" i="17"/>
  <c r="W58" i="17"/>
  <c r="AO66" i="17"/>
  <c r="S66" i="17"/>
  <c r="T66" i="17"/>
  <c r="Z170" i="17"/>
  <c r="L170" i="17"/>
  <c r="O349" i="16"/>
  <c r="O733" i="16"/>
  <c r="Q20" i="15"/>
  <c r="O20" i="15"/>
  <c r="N20" i="15"/>
  <c r="N41" i="15"/>
  <c r="M41" i="15"/>
  <c r="R107" i="15"/>
  <c r="H107" i="15"/>
  <c r="M147" i="15"/>
  <c r="K147" i="15"/>
  <c r="P147" i="15"/>
  <c r="G147" i="15"/>
  <c r="O147" i="15"/>
  <c r="E341" i="16"/>
  <c r="E1101" i="16"/>
  <c r="E1165" i="16"/>
  <c r="T11" i="17"/>
  <c r="S11" i="17"/>
  <c r="M126" i="15"/>
  <c r="P126" i="15"/>
  <c r="L126" i="15"/>
  <c r="E238" i="16"/>
  <c r="F238" i="16" s="1"/>
  <c r="F502" i="16"/>
  <c r="T502" i="16"/>
  <c r="U140" i="15"/>
  <c r="K50" i="15"/>
  <c r="H74" i="15"/>
  <c r="O100" i="15"/>
  <c r="H111" i="15"/>
  <c r="G122" i="15"/>
  <c r="E131" i="16"/>
  <c r="F131" i="16" s="1"/>
  <c r="E199" i="16"/>
  <c r="F199" i="16" s="1"/>
  <c r="O435" i="16"/>
  <c r="E1030" i="16"/>
  <c r="F1030" i="16" s="1"/>
  <c r="E1070" i="16"/>
  <c r="F1070" i="16" s="1"/>
  <c r="U50" i="15"/>
  <c r="G67" i="15"/>
  <c r="E2" i="16"/>
  <c r="I2" i="9" s="1"/>
  <c r="E24" i="16"/>
  <c r="E767" i="16"/>
  <c r="E783" i="16"/>
  <c r="F783" i="16" s="1"/>
  <c r="AO157" i="17"/>
  <c r="X61" i="17"/>
  <c r="T61" i="17"/>
  <c r="W61" i="17"/>
  <c r="K61" i="17"/>
  <c r="S61" i="17"/>
  <c r="Y61" i="17"/>
  <c r="AB61" i="17"/>
  <c r="X69" i="17"/>
  <c r="S69" i="17"/>
  <c r="M69" i="17"/>
  <c r="U69" i="17"/>
  <c r="AA69" i="17"/>
  <c r="T69" i="17"/>
  <c r="W69" i="17"/>
  <c r="N69" i="17"/>
  <c r="J69" i="17"/>
  <c r="V115" i="17"/>
  <c r="T115" i="17"/>
  <c r="K115" i="17"/>
  <c r="N115" i="17"/>
  <c r="S115" i="17"/>
  <c r="AB115" i="17"/>
  <c r="L115" i="17"/>
  <c r="Q115" i="17"/>
  <c r="M115" i="17"/>
  <c r="W145" i="17"/>
  <c r="AA145" i="17"/>
  <c r="K145" i="17"/>
  <c r="L145" i="17"/>
  <c r="AB145" i="17"/>
  <c r="X145" i="17"/>
  <c r="R45" i="17"/>
  <c r="Q150" i="17"/>
  <c r="Q30" i="17"/>
  <c r="M61" i="17"/>
  <c r="N145" i="17"/>
  <c r="O73" i="15"/>
  <c r="G73" i="15"/>
  <c r="H73" i="15"/>
  <c r="L73" i="15"/>
  <c r="N73" i="15"/>
  <c r="J73" i="15"/>
  <c r="U73" i="15"/>
  <c r="K73" i="15"/>
  <c r="G80" i="15"/>
  <c r="P80" i="15"/>
  <c r="Q80" i="15"/>
  <c r="N80" i="15"/>
  <c r="AE80" i="15" s="1"/>
  <c r="O80" i="7" s="1"/>
  <c r="M80" i="15"/>
  <c r="AF80" i="15" s="1"/>
  <c r="L80" i="15"/>
  <c r="K80" i="15"/>
  <c r="H80" i="15"/>
  <c r="I80" i="15"/>
  <c r="P43" i="16"/>
  <c r="H43" i="9" s="1"/>
  <c r="F43" i="16"/>
  <c r="E43" i="16"/>
  <c r="I43" i="9" s="1"/>
  <c r="E45" i="16"/>
  <c r="F45" i="16"/>
  <c r="P51" i="16"/>
  <c r="H51" i="9" s="1"/>
  <c r="F51" i="16"/>
  <c r="E51" i="16"/>
  <c r="X38" i="17"/>
  <c r="K38" i="17"/>
  <c r="AA38" i="17"/>
  <c r="AO46" i="17"/>
  <c r="N46" i="17"/>
  <c r="J46" i="17"/>
  <c r="M46" i="17"/>
  <c r="Z46" i="17"/>
  <c r="R46" i="17"/>
  <c r="X46" i="17"/>
  <c r="AA46" i="17"/>
  <c r="Y46" i="17"/>
  <c r="AO54" i="17"/>
  <c r="N54" i="17"/>
  <c r="T54" i="17"/>
  <c r="M54" i="17"/>
  <c r="L54" i="17"/>
  <c r="AB54" i="17"/>
  <c r="K54" i="17"/>
  <c r="W70" i="17"/>
  <c r="T70" i="17"/>
  <c r="V70" i="17"/>
  <c r="Z70" i="17"/>
  <c r="X86" i="17"/>
  <c r="T86" i="17"/>
  <c r="W86" i="17"/>
  <c r="AA86" i="17"/>
  <c r="AO86" i="17"/>
  <c r="Y86" i="17"/>
  <c r="N93" i="17"/>
  <c r="AB108" i="17"/>
  <c r="X108" i="17"/>
  <c r="S108" i="17"/>
  <c r="J108" i="17"/>
  <c r="AO116" i="17"/>
  <c r="L116" i="17"/>
  <c r="S116" i="17"/>
  <c r="R116" i="17"/>
  <c r="K116" i="17"/>
  <c r="T116" i="17"/>
  <c r="U116" i="17"/>
  <c r="T145" i="17"/>
  <c r="AB175" i="17"/>
  <c r="W175" i="17"/>
  <c r="N175" i="17"/>
  <c r="X175" i="17"/>
  <c r="V175" i="17"/>
  <c r="L175" i="17"/>
  <c r="T175" i="17"/>
  <c r="K175" i="17"/>
  <c r="R175" i="17"/>
  <c r="U175" i="17"/>
  <c r="Z85" i="17"/>
  <c r="Z61" i="17"/>
  <c r="J45" i="17"/>
  <c r="Q145" i="17"/>
  <c r="N24" i="17"/>
  <c r="U124" i="17"/>
  <c r="AA150" i="17"/>
  <c r="Q38" i="17"/>
  <c r="S54" i="17"/>
  <c r="Y108" i="17"/>
  <c r="V61" i="17"/>
  <c r="N77" i="17"/>
  <c r="R135" i="15"/>
  <c r="M135" i="15"/>
  <c r="P135" i="15"/>
  <c r="G135" i="15"/>
  <c r="S135" i="15"/>
  <c r="L135" i="15"/>
  <c r="Q135" i="15"/>
  <c r="H135" i="15"/>
  <c r="I139" i="15"/>
  <c r="N139" i="15"/>
  <c r="Q139" i="15"/>
  <c r="AE139" i="15"/>
  <c r="O139" i="7" s="1"/>
  <c r="S139" i="15"/>
  <c r="AG139" i="15" s="1"/>
  <c r="Q139" i="7" s="1"/>
  <c r="H139" i="15"/>
  <c r="G139" i="15"/>
  <c r="L139" i="15"/>
  <c r="R139" i="15"/>
  <c r="L157" i="15"/>
  <c r="K157" i="15"/>
  <c r="U157" i="15"/>
  <c r="I157" i="15"/>
  <c r="M157" i="15"/>
  <c r="J157" i="15"/>
  <c r="S157" i="15"/>
  <c r="R157" i="15"/>
  <c r="O157" i="15"/>
  <c r="AF157" i="15"/>
  <c r="AG157" i="15" s="1"/>
  <c r="Q157" i="7" s="1"/>
  <c r="R166" i="15"/>
  <c r="H166" i="15"/>
  <c r="O166" i="15"/>
  <c r="AF166" i="15"/>
  <c r="P166" i="15"/>
  <c r="G166" i="15"/>
  <c r="Q166" i="15"/>
  <c r="M166" i="15"/>
  <c r="F960" i="16"/>
  <c r="E960" i="16"/>
  <c r="O964" i="16" s="1"/>
  <c r="F964" i="16"/>
  <c r="E964" i="16"/>
  <c r="U47" i="17"/>
  <c r="V47" i="17"/>
  <c r="L47" i="17"/>
  <c r="M47" i="17"/>
  <c r="AB47" i="17"/>
  <c r="AA47" i="17"/>
  <c r="T47" i="17"/>
  <c r="R47" i="17"/>
  <c r="AA71" i="17"/>
  <c r="N71" i="17"/>
  <c r="M71" i="17"/>
  <c r="L71" i="17"/>
  <c r="AO71" i="17"/>
  <c r="T71" i="17"/>
  <c r="T93" i="17"/>
  <c r="S117" i="17"/>
  <c r="AB117" i="17"/>
  <c r="N117" i="17"/>
  <c r="V117" i="17"/>
  <c r="W117" i="17"/>
  <c r="AA117" i="17"/>
  <c r="M117" i="17"/>
  <c r="J117" i="17"/>
  <c r="U117" i="17"/>
  <c r="K117" i="17"/>
  <c r="X117" i="17"/>
  <c r="X139" i="17"/>
  <c r="U139" i="17"/>
  <c r="S139" i="17"/>
  <c r="W139" i="17"/>
  <c r="K139" i="17"/>
  <c r="N139" i="17"/>
  <c r="V139" i="17"/>
  <c r="M139" i="17"/>
  <c r="L139" i="17"/>
  <c r="T168" i="17"/>
  <c r="K168" i="17"/>
  <c r="L168" i="17"/>
  <c r="Y168" i="17"/>
  <c r="X168" i="17"/>
  <c r="Q168" i="17"/>
  <c r="U168" i="17"/>
  <c r="J168" i="17"/>
  <c r="Z151" i="17"/>
  <c r="Q173" i="17"/>
  <c r="O942" i="16"/>
  <c r="P942" i="16" s="1"/>
  <c r="O950" i="16" s="1"/>
  <c r="P950" i="16" s="1"/>
  <c r="H950" i="9" s="1"/>
  <c r="I950" i="9" s="1"/>
  <c r="O958" i="16" s="1"/>
  <c r="P958" i="16" s="1"/>
  <c r="O966" i="16" s="1"/>
  <c r="P966" i="16" s="1"/>
  <c r="H966" i="9" s="1"/>
  <c r="I966" i="9" s="1"/>
  <c r="O974" i="16" s="1"/>
  <c r="P974" i="16" s="1"/>
  <c r="H974" i="9" s="1"/>
  <c r="I974" i="9" s="1"/>
  <c r="L157" i="17"/>
  <c r="S30" i="17"/>
  <c r="U30" i="17"/>
  <c r="R30" i="17"/>
  <c r="AB45" i="17"/>
  <c r="W45" i="17"/>
  <c r="M45" i="17"/>
  <c r="S45" i="17"/>
  <c r="K45" i="17"/>
  <c r="N45" i="17"/>
  <c r="V45" i="17"/>
  <c r="AA45" i="17"/>
  <c r="L45" i="17"/>
  <c r="X45" i="17"/>
  <c r="Y45" i="17"/>
  <c r="T45" i="17"/>
  <c r="V99" i="17"/>
  <c r="AB99" i="17"/>
  <c r="M99" i="17"/>
  <c r="T99" i="17"/>
  <c r="X99" i="17"/>
  <c r="AA99" i="17"/>
  <c r="N99" i="17"/>
  <c r="L99" i="17"/>
  <c r="Q99" i="17"/>
  <c r="W99" i="17"/>
  <c r="K99" i="17"/>
  <c r="AO150" i="17"/>
  <c r="S150" i="17"/>
  <c r="W150" i="17"/>
  <c r="AB150" i="17"/>
  <c r="K150" i="17"/>
  <c r="J131" i="17"/>
  <c r="R69" i="17"/>
  <c r="AO69" i="17"/>
  <c r="N30" i="17"/>
  <c r="R166" i="17"/>
  <c r="AA30" i="17"/>
  <c r="W173" i="17"/>
  <c r="X31" i="17"/>
  <c r="W31" i="17"/>
  <c r="N31" i="17"/>
  <c r="K31" i="17"/>
  <c r="M31" i="17"/>
  <c r="R31" i="17"/>
  <c r="V31" i="17"/>
  <c r="U31" i="17"/>
  <c r="L138" i="17"/>
  <c r="Z138" i="17"/>
  <c r="T138" i="17"/>
  <c r="AB138" i="17"/>
  <c r="J138" i="17"/>
  <c r="S138" i="17"/>
  <c r="X159" i="17"/>
  <c r="M159" i="17"/>
  <c r="K159" i="17"/>
  <c r="W159" i="17"/>
  <c r="T159" i="17"/>
  <c r="V159" i="17"/>
  <c r="S159" i="17"/>
  <c r="AB159" i="17"/>
  <c r="AA159" i="17"/>
  <c r="R159" i="17"/>
  <c r="L159" i="17"/>
  <c r="U159" i="17"/>
  <c r="U167" i="17"/>
  <c r="V167" i="17"/>
  <c r="AA167" i="17"/>
  <c r="M167" i="17"/>
  <c r="X167" i="17"/>
  <c r="K167" i="17"/>
  <c r="AO167" i="17"/>
  <c r="AB167" i="17"/>
  <c r="Y167" i="17"/>
  <c r="AO149" i="17"/>
  <c r="Y99" i="17"/>
  <c r="Y69" i="17"/>
  <c r="K124" i="17"/>
  <c r="AB166" i="17"/>
  <c r="W158" i="17"/>
  <c r="F39" i="16"/>
  <c r="V69" i="17"/>
  <c r="AA124" i="17"/>
  <c r="Y70" i="17"/>
  <c r="M151" i="17"/>
  <c r="M145" i="17"/>
  <c r="N63" i="15"/>
  <c r="Q63" i="15"/>
  <c r="P63" i="15"/>
  <c r="G63" i="15"/>
  <c r="S63" i="15"/>
  <c r="H63" i="15"/>
  <c r="K63" i="15"/>
  <c r="L63" i="15"/>
  <c r="U63" i="15"/>
  <c r="J103" i="15"/>
  <c r="I103" i="15"/>
  <c r="G103" i="15"/>
  <c r="AG103" i="15"/>
  <c r="Q103" i="7" s="1"/>
  <c r="R103" i="15"/>
  <c r="H103" i="15"/>
  <c r="P103" i="15"/>
  <c r="O103" i="15"/>
  <c r="I161" i="15"/>
  <c r="Q161" i="15"/>
  <c r="L161" i="15"/>
  <c r="J161" i="15"/>
  <c r="G161" i="15"/>
  <c r="S161" i="15"/>
  <c r="H161" i="15"/>
  <c r="R161" i="15"/>
  <c r="U161" i="15"/>
  <c r="AH161" i="15"/>
  <c r="R161" i="7" s="1"/>
  <c r="S161" i="7" s="1"/>
  <c r="O161" i="15"/>
  <c r="F962" i="16"/>
  <c r="E962" i="16"/>
  <c r="E968" i="16"/>
  <c r="O968" i="16"/>
  <c r="U39" i="17"/>
  <c r="AB39" i="17"/>
  <c r="N39" i="17"/>
  <c r="L39" i="17"/>
  <c r="M39" i="17"/>
  <c r="AL39" i="17" s="1"/>
  <c r="W39" i="17"/>
  <c r="V39" i="17"/>
  <c r="AO39" i="17"/>
  <c r="AA39" i="17"/>
  <c r="AB55" i="17"/>
  <c r="T55" i="17"/>
  <c r="K55" i="17"/>
  <c r="N55" i="17"/>
  <c r="M55" i="17"/>
  <c r="X55" i="17"/>
  <c r="AO55" i="17"/>
  <c r="AB63" i="17"/>
  <c r="N63" i="17"/>
  <c r="V63" i="17"/>
  <c r="L63" i="17"/>
  <c r="S63" i="17"/>
  <c r="W63" i="17"/>
  <c r="X63" i="17"/>
  <c r="R63" i="17"/>
  <c r="X87" i="17"/>
  <c r="W87" i="17"/>
  <c r="U87" i="17"/>
  <c r="AB87" i="17"/>
  <c r="N87" i="17"/>
  <c r="AO87" i="17"/>
  <c r="AA87" i="17"/>
  <c r="AA101" i="17"/>
  <c r="N101" i="17"/>
  <c r="W101" i="17"/>
  <c r="L101" i="17"/>
  <c r="V101" i="17"/>
  <c r="X101" i="17"/>
  <c r="J101" i="17"/>
  <c r="U145" i="17"/>
  <c r="S160" i="17"/>
  <c r="AB160" i="17"/>
  <c r="AO160" i="17"/>
  <c r="U160" i="17"/>
  <c r="R160" i="17"/>
  <c r="Z145" i="17"/>
  <c r="Z123" i="17"/>
  <c r="R61" i="17"/>
  <c r="Y149" i="17"/>
  <c r="Q139" i="17"/>
  <c r="AO115" i="17"/>
  <c r="AO85" i="17"/>
  <c r="AO45" i="17"/>
  <c r="U138" i="17"/>
  <c r="Y160" i="17"/>
  <c r="K62" i="17"/>
  <c r="N174" i="17"/>
  <c r="R38" i="17"/>
  <c r="T46" i="17"/>
  <c r="J160" i="17"/>
  <c r="M158" i="17"/>
  <c r="Z54" i="17"/>
  <c r="O1290" i="16"/>
  <c r="I2" i="15"/>
  <c r="R80" i="15"/>
  <c r="N166" i="15"/>
  <c r="J2" i="15"/>
  <c r="AB69" i="17"/>
  <c r="AA25" i="17"/>
  <c r="Q108" i="17"/>
  <c r="AB71" i="17"/>
  <c r="AB124" i="17"/>
  <c r="T101" i="17"/>
  <c r="L37" i="17"/>
  <c r="F753" i="16"/>
  <c r="E753" i="16"/>
  <c r="O753" i="16" s="1"/>
  <c r="E925" i="16"/>
  <c r="F925" i="16"/>
  <c r="N2" i="17"/>
  <c r="M2" i="17"/>
  <c r="Y10" i="17"/>
  <c r="L10" i="17"/>
  <c r="AA10" i="17"/>
  <c r="X10" i="17"/>
  <c r="W10" i="17"/>
  <c r="Z10" i="17"/>
  <c r="AB10" i="17"/>
  <c r="V145" i="17"/>
  <c r="AB169" i="17"/>
  <c r="U169" i="17"/>
  <c r="T169" i="17"/>
  <c r="N169" i="17"/>
  <c r="L169" i="17"/>
  <c r="M169" i="17"/>
  <c r="W169" i="17"/>
  <c r="AA169" i="17"/>
  <c r="Z169" i="17"/>
  <c r="Z175" i="17"/>
  <c r="R169" i="17"/>
  <c r="R157" i="17"/>
  <c r="Z139" i="17"/>
  <c r="R123" i="17"/>
  <c r="R101" i="17"/>
  <c r="J61" i="17"/>
  <c r="Z37" i="17"/>
  <c r="R25" i="17"/>
  <c r="Z3" i="17"/>
  <c r="Y115" i="17"/>
  <c r="Q109" i="17"/>
  <c r="Y85" i="17"/>
  <c r="Q63" i="17"/>
  <c r="Q39" i="17"/>
  <c r="M56" i="17"/>
  <c r="T26" i="17"/>
  <c r="V124" i="17"/>
  <c r="Z132" i="17"/>
  <c r="M116" i="17"/>
  <c r="V78" i="17"/>
  <c r="AA100" i="17"/>
  <c r="J174" i="17"/>
  <c r="AB38" i="17"/>
  <c r="J100" i="17"/>
  <c r="AA72" i="17"/>
  <c r="Q86" i="17"/>
  <c r="Q24" i="17"/>
  <c r="U166" i="17"/>
  <c r="M102" i="17"/>
  <c r="K46" i="17"/>
  <c r="AA2" i="17"/>
  <c r="L110" i="17"/>
  <c r="M80" i="17"/>
  <c r="Q54" i="17"/>
  <c r="M18" i="17"/>
  <c r="E802" i="16"/>
  <c r="O818" i="16" s="1"/>
  <c r="M2" i="15"/>
  <c r="P58" i="15"/>
  <c r="R78" i="17"/>
  <c r="R32" i="17"/>
  <c r="N61" i="17"/>
  <c r="T39" i="17"/>
  <c r="U101" i="17"/>
  <c r="U3" i="17"/>
  <c r="J169" i="17"/>
  <c r="J145" i="17"/>
  <c r="Z99" i="17"/>
  <c r="J55" i="17"/>
  <c r="R37" i="17"/>
  <c r="R3" i="17"/>
  <c r="AO159" i="17"/>
  <c r="Y55" i="17"/>
  <c r="AO37" i="17"/>
  <c r="AO168" i="17"/>
  <c r="N88" i="17"/>
  <c r="U56" i="17"/>
  <c r="S40" i="17"/>
  <c r="J26" i="17"/>
  <c r="T10" i="17"/>
  <c r="V138" i="17"/>
  <c r="V26" i="17"/>
  <c r="V10" i="17"/>
  <c r="AO108" i="17"/>
  <c r="N160" i="17"/>
  <c r="U150" i="17"/>
  <c r="AA94" i="17"/>
  <c r="Z160" i="17"/>
  <c r="N116" i="17"/>
  <c r="T78" i="17"/>
  <c r="T150" i="17"/>
  <c r="X118" i="17"/>
  <c r="Z78" i="17"/>
  <c r="S38" i="17"/>
  <c r="M38" i="17"/>
  <c r="W30" i="17"/>
  <c r="L70" i="17"/>
  <c r="N70" i="17"/>
  <c r="R86" i="17"/>
  <c r="W166" i="17"/>
  <c r="Y102" i="17"/>
  <c r="W46" i="17"/>
  <c r="AA110" i="17"/>
  <c r="AA80" i="17"/>
  <c r="R56" i="17"/>
  <c r="Y158" i="17"/>
  <c r="AA54" i="17"/>
  <c r="S126" i="17"/>
  <c r="T18" i="17"/>
  <c r="P1255" i="16"/>
  <c r="H1255" i="9" s="1"/>
  <c r="I1255" i="9" s="1"/>
  <c r="F1290" i="16"/>
  <c r="P1290" i="16" s="1"/>
  <c r="H1290" i="9" s="1"/>
  <c r="E956" i="16"/>
  <c r="O921" i="16"/>
  <c r="F1271" i="16"/>
  <c r="P157" i="15"/>
  <c r="G157" i="15"/>
  <c r="P73" i="15"/>
  <c r="R63" i="15"/>
  <c r="Q103" i="15"/>
  <c r="P139" i="15"/>
  <c r="S175" i="17"/>
  <c r="W149" i="17"/>
  <c r="L61" i="17"/>
  <c r="S31" i="17"/>
  <c r="K47" i="17"/>
  <c r="AA115" i="17"/>
  <c r="L31" i="17"/>
  <c r="S55" i="17"/>
  <c r="S47" i="17"/>
  <c r="S99" i="17"/>
  <c r="U71" i="17"/>
  <c r="AA108" i="17"/>
  <c r="U99" i="17"/>
  <c r="T149" i="17"/>
  <c r="U149" i="17"/>
  <c r="N149" i="17"/>
  <c r="X149" i="17"/>
  <c r="M149" i="17"/>
  <c r="AB149" i="17"/>
  <c r="L149" i="17"/>
  <c r="J149" i="17"/>
  <c r="W157" i="17"/>
  <c r="AB157" i="17"/>
  <c r="U157" i="17"/>
  <c r="AA157" i="17"/>
  <c r="N157" i="17"/>
  <c r="K157" i="17"/>
  <c r="T157" i="17"/>
  <c r="V157" i="17"/>
  <c r="S157" i="17"/>
  <c r="Y157" i="17"/>
  <c r="X157" i="17"/>
  <c r="M165" i="17"/>
  <c r="AB165" i="17"/>
  <c r="X165" i="17"/>
  <c r="S165" i="17"/>
  <c r="AA165" i="17"/>
  <c r="N165" i="17"/>
  <c r="T165" i="17"/>
  <c r="L165" i="17"/>
  <c r="K165" i="17"/>
  <c r="J165" i="17"/>
  <c r="V173" i="17"/>
  <c r="K173" i="17"/>
  <c r="S173" i="17"/>
  <c r="X173" i="17"/>
  <c r="N173" i="17"/>
  <c r="L173" i="17"/>
  <c r="Y173" i="17"/>
  <c r="J173" i="17"/>
  <c r="AB23" i="17"/>
  <c r="W23" i="17"/>
  <c r="X23" i="17"/>
  <c r="AA23" i="17"/>
  <c r="K23" i="17"/>
  <c r="M23" i="17"/>
  <c r="N23" i="17"/>
  <c r="V23" i="17"/>
  <c r="S23" i="17"/>
  <c r="AO23" i="17"/>
  <c r="L23" i="17"/>
  <c r="T37" i="17"/>
  <c r="AB37" i="17"/>
  <c r="V37" i="17"/>
  <c r="N37" i="17"/>
  <c r="X37" i="17"/>
  <c r="M37" i="17"/>
  <c r="U37" i="17"/>
  <c r="W37" i="17"/>
  <c r="K37" i="17"/>
  <c r="J37" i="17"/>
  <c r="X53" i="17"/>
  <c r="W53" i="17"/>
  <c r="M53" i="17"/>
  <c r="U53" i="17"/>
  <c r="V53" i="17"/>
  <c r="AB53" i="17"/>
  <c r="L53" i="17"/>
  <c r="N53" i="17"/>
  <c r="AA53" i="17"/>
  <c r="T53" i="17"/>
  <c r="S53" i="17"/>
  <c r="J53" i="17"/>
  <c r="W77" i="17"/>
  <c r="V77" i="17"/>
  <c r="AA77" i="17"/>
  <c r="U77" i="17"/>
  <c r="T77" i="17"/>
  <c r="X77" i="17"/>
  <c r="L77" i="17"/>
  <c r="M77" i="17"/>
  <c r="Y77" i="17"/>
  <c r="M85" i="17"/>
  <c r="U85" i="17"/>
  <c r="X85" i="17"/>
  <c r="N85" i="17"/>
  <c r="AB85" i="17"/>
  <c r="T85" i="17"/>
  <c r="J85" i="17"/>
  <c r="L85" i="17"/>
  <c r="S85" i="17"/>
  <c r="X93" i="17"/>
  <c r="L93" i="17"/>
  <c r="AB93" i="17"/>
  <c r="Y93" i="17"/>
  <c r="W93" i="17"/>
  <c r="AA107" i="17"/>
  <c r="V107" i="17"/>
  <c r="X107" i="17"/>
  <c r="T107" i="17"/>
  <c r="N107" i="17"/>
  <c r="W107" i="17"/>
  <c r="L107" i="17"/>
  <c r="AB123" i="17"/>
  <c r="N123" i="17"/>
  <c r="AA123" i="17"/>
  <c r="M123" i="17"/>
  <c r="T123" i="17"/>
  <c r="X123" i="17"/>
  <c r="U123" i="17"/>
  <c r="L123" i="17"/>
  <c r="W123" i="17"/>
  <c r="V123" i="17"/>
  <c r="S123" i="17"/>
  <c r="U131" i="17"/>
  <c r="N131" i="17"/>
  <c r="W131" i="17"/>
  <c r="M131" i="17"/>
  <c r="L131" i="17"/>
  <c r="Q131" i="17"/>
  <c r="X131" i="17"/>
  <c r="X137" i="17"/>
  <c r="L137" i="17"/>
  <c r="T137" i="17"/>
  <c r="S137" i="17"/>
  <c r="M137" i="17"/>
  <c r="AA137" i="17"/>
  <c r="U137" i="17"/>
  <c r="K137" i="17"/>
  <c r="Z137" i="17"/>
  <c r="V137" i="17"/>
  <c r="V158" i="17"/>
  <c r="T158" i="17"/>
  <c r="AA158" i="17"/>
  <c r="X158" i="17"/>
  <c r="S158" i="17"/>
  <c r="L158" i="17"/>
  <c r="AO158" i="17"/>
  <c r="Y166" i="17"/>
  <c r="J166" i="17"/>
  <c r="X166" i="17"/>
  <c r="AA166" i="17"/>
  <c r="K166" i="17"/>
  <c r="S174" i="17"/>
  <c r="R174" i="17"/>
  <c r="AA174" i="17"/>
  <c r="Z174" i="17"/>
  <c r="Y174" i="17"/>
  <c r="K174" i="17"/>
  <c r="O175" i="17" s="1"/>
  <c r="AJ175" i="17" s="1"/>
  <c r="AO174" i="17"/>
  <c r="Z165" i="17"/>
  <c r="Q157" i="17"/>
  <c r="Y145" i="17"/>
  <c r="Q123" i="17"/>
  <c r="AO93" i="17"/>
  <c r="M174" i="17"/>
  <c r="K158" i="17"/>
  <c r="J85" i="15"/>
  <c r="H85" i="15"/>
  <c r="AF85" i="15" s="1"/>
  <c r="I85" i="15"/>
  <c r="AG85" i="15"/>
  <c r="Q85" i="7" s="1"/>
  <c r="G85" i="15"/>
  <c r="P85" i="15"/>
  <c r="R85" i="15"/>
  <c r="N85" i="15"/>
  <c r="Q85" i="15"/>
  <c r="AE85" i="15"/>
  <c r="O85" i="7" s="1"/>
  <c r="O85" i="15"/>
  <c r="R89" i="15"/>
  <c r="Q89" i="15"/>
  <c r="M89" i="15"/>
  <c r="I89" i="15"/>
  <c r="AG101" i="15" s="1"/>
  <c r="Q101" i="7" s="1"/>
  <c r="H89" i="15"/>
  <c r="O89" i="15"/>
  <c r="J89" i="15"/>
  <c r="AF89" i="15"/>
  <c r="U89" i="15"/>
  <c r="P89" i="15"/>
  <c r="T41" i="16"/>
  <c r="F41" i="16"/>
  <c r="T53" i="16"/>
  <c r="P53" i="16"/>
  <c r="H53" i="9" s="1"/>
  <c r="F53" i="16"/>
  <c r="AB24" i="17"/>
  <c r="Y24" i="17"/>
  <c r="K24" i="17"/>
  <c r="T24" i="17"/>
  <c r="L24" i="17"/>
  <c r="V24" i="17"/>
  <c r="Z24" i="17"/>
  <c r="AO62" i="17"/>
  <c r="Q62" i="17"/>
  <c r="R62" i="17"/>
  <c r="AB62" i="17"/>
  <c r="Y62" i="17"/>
  <c r="M62" i="17"/>
  <c r="Z62" i="17"/>
  <c r="S78" i="17"/>
  <c r="Y78" i="17"/>
  <c r="U78" i="17"/>
  <c r="AA78" i="17"/>
  <c r="AB78" i="17"/>
  <c r="AB100" i="17"/>
  <c r="R100" i="17"/>
  <c r="W100" i="17"/>
  <c r="AO100" i="17"/>
  <c r="V100" i="17"/>
  <c r="X100" i="17"/>
  <c r="T100" i="17"/>
  <c r="Y124" i="17"/>
  <c r="Z124" i="17"/>
  <c r="J124" i="17"/>
  <c r="R124" i="17"/>
  <c r="N151" i="17"/>
  <c r="L151" i="17"/>
  <c r="X151" i="17"/>
  <c r="W151" i="17"/>
  <c r="T151" i="17"/>
  <c r="AB151" i="17"/>
  <c r="U151" i="17"/>
  <c r="AO151" i="17"/>
  <c r="AA151" i="17"/>
  <c r="J159" i="17"/>
  <c r="Z107" i="17"/>
  <c r="AO173" i="17"/>
  <c r="Q93" i="17"/>
  <c r="Y23" i="17"/>
  <c r="M138" i="17"/>
  <c r="Q116" i="17"/>
  <c r="M78" i="17"/>
  <c r="Z100" i="17"/>
  <c r="T62" i="17"/>
  <c r="AB174" i="17"/>
  <c r="U174" i="17"/>
  <c r="J30" i="17"/>
  <c r="AB70" i="17"/>
  <c r="L86" i="17"/>
  <c r="V86" i="17"/>
  <c r="Y38" i="17"/>
  <c r="L166" i="17"/>
  <c r="Q46" i="17"/>
  <c r="J80" i="15"/>
  <c r="L2" i="15"/>
  <c r="K131" i="17"/>
  <c r="K53" i="17"/>
  <c r="O55" i="17" s="1"/>
  <c r="K123" i="17"/>
  <c r="M157" i="17"/>
  <c r="K149" i="17"/>
  <c r="S62" i="17"/>
  <c r="Y138" i="17"/>
  <c r="Q73" i="15"/>
  <c r="F810" i="16"/>
  <c r="E810" i="16"/>
  <c r="O810" i="16" s="1"/>
  <c r="F952" i="16"/>
  <c r="O952" i="16" s="1"/>
  <c r="E952" i="16"/>
  <c r="E1292" i="16"/>
  <c r="F1292" i="16"/>
  <c r="T25" i="17"/>
  <c r="V25" i="17"/>
  <c r="U25" i="17"/>
  <c r="K25" i="17"/>
  <c r="AB25" i="17"/>
  <c r="L25" i="17"/>
  <c r="Z25" i="17"/>
  <c r="W79" i="17"/>
  <c r="V79" i="17"/>
  <c r="AB79" i="17"/>
  <c r="K79" i="17"/>
  <c r="AA79" i="17"/>
  <c r="U79" i="17"/>
  <c r="L79" i="17"/>
  <c r="S79" i="17"/>
  <c r="T79" i="17"/>
  <c r="R79" i="17"/>
  <c r="N79" i="17"/>
  <c r="S93" i="17"/>
  <c r="AA109" i="17"/>
  <c r="S109" i="17"/>
  <c r="M109" i="17"/>
  <c r="AB109" i="17"/>
  <c r="K109" i="17"/>
  <c r="N109" i="17"/>
  <c r="L109" i="17"/>
  <c r="Y109" i="17"/>
  <c r="T125" i="17"/>
  <c r="V125" i="17"/>
  <c r="M125" i="17"/>
  <c r="N125" i="17"/>
  <c r="S125" i="17"/>
  <c r="K125" i="17"/>
  <c r="X125" i="17"/>
  <c r="W125" i="17"/>
  <c r="L125" i="17"/>
  <c r="Y125" i="17"/>
  <c r="AB125" i="17"/>
  <c r="AB131" i="17"/>
  <c r="S145" i="17"/>
  <c r="T152" i="17"/>
  <c r="U152" i="17"/>
  <c r="Z157" i="17"/>
  <c r="R85" i="17"/>
  <c r="Q167" i="17"/>
  <c r="AO109" i="17"/>
  <c r="Q69" i="17"/>
  <c r="Y39" i="17"/>
  <c r="W108" i="17"/>
  <c r="N124" i="17"/>
  <c r="AA116" i="17"/>
  <c r="K85" i="17"/>
  <c r="N78" i="17"/>
  <c r="Q100" i="17"/>
  <c r="K87" i="17"/>
  <c r="Q174" i="17"/>
  <c r="T30" i="17"/>
  <c r="M70" i="17"/>
  <c r="Z86" i="17"/>
  <c r="AB30" i="17"/>
  <c r="S166" i="17"/>
  <c r="M166" i="17"/>
  <c r="AA152" i="17"/>
  <c r="Z158" i="17"/>
  <c r="O804" i="16"/>
  <c r="P804" i="16" s="1"/>
  <c r="H804" i="9" s="1"/>
  <c r="I804" i="9" s="1"/>
  <c r="F968" i="16"/>
  <c r="P968" i="16" s="1"/>
  <c r="O980" i="16" s="1"/>
  <c r="P980" i="16" s="1"/>
  <c r="H980" i="9" s="1"/>
  <c r="I980" i="9" s="1"/>
  <c r="M63" i="15"/>
  <c r="AG135" i="15"/>
  <c r="Q135" i="7" s="1"/>
  <c r="K103" i="15"/>
  <c r="AG161" i="15"/>
  <c r="Q161" i="7" s="1"/>
  <c r="O139" i="15"/>
  <c r="E49" i="16"/>
  <c r="W165" i="17"/>
  <c r="Q78" i="17"/>
  <c r="AA61" i="17"/>
  <c r="T131" i="17"/>
  <c r="M101" i="17"/>
  <c r="M107" i="17"/>
  <c r="S39" i="17"/>
  <c r="K71" i="17"/>
  <c r="L55" i="17"/>
  <c r="K70" i="17"/>
  <c r="AB116" i="17"/>
  <c r="V87" i="17"/>
  <c r="S25" i="17"/>
  <c r="AB168" i="17"/>
  <c r="E1255" i="16"/>
  <c r="R73" i="15"/>
  <c r="J58" i="15"/>
  <c r="H58" i="15"/>
  <c r="U58" i="15"/>
  <c r="AG58" i="15"/>
  <c r="Q58" i="7" s="1"/>
  <c r="L58" i="15"/>
  <c r="O58" i="15"/>
  <c r="K58" i="15"/>
  <c r="O944" i="16"/>
  <c r="E927" i="16"/>
  <c r="F927" i="16"/>
  <c r="E1259" i="16"/>
  <c r="F1259" i="16"/>
  <c r="P1259" i="16"/>
  <c r="H1259" i="9" s="1"/>
  <c r="AB3" i="17"/>
  <c r="W3" i="17"/>
  <c r="M3" i="17"/>
  <c r="L3" i="17"/>
  <c r="AA3" i="17"/>
  <c r="Q3" i="17"/>
  <c r="T3" i="17"/>
  <c r="U18" i="17"/>
  <c r="K18" i="17"/>
  <c r="R18" i="17"/>
  <c r="J18" i="17"/>
  <c r="V18" i="17"/>
  <c r="Q18" i="17"/>
  <c r="W26" i="17"/>
  <c r="K26" i="17"/>
  <c r="Y26" i="17"/>
  <c r="R26" i="17"/>
  <c r="X26" i="17"/>
  <c r="L26" i="17"/>
  <c r="Z26" i="17"/>
  <c r="AB26" i="17"/>
  <c r="AO32" i="17"/>
  <c r="AB32" i="17"/>
  <c r="X32" i="17"/>
  <c r="Z40" i="17"/>
  <c r="X40" i="17"/>
  <c r="Y40" i="17"/>
  <c r="Q40" i="17"/>
  <c r="L40" i="17"/>
  <c r="AA48" i="17"/>
  <c r="R48" i="17"/>
  <c r="Q48" i="17"/>
  <c r="L48" i="17"/>
  <c r="AB48" i="17"/>
  <c r="AB56" i="17"/>
  <c r="J56" i="17"/>
  <c r="S56" i="17"/>
  <c r="AB64" i="17"/>
  <c r="L64" i="17"/>
  <c r="AO64" i="17"/>
  <c r="W64" i="17"/>
  <c r="J64" i="17"/>
  <c r="K64" i="17"/>
  <c r="T72" i="17"/>
  <c r="Y72" i="17"/>
  <c r="Z72" i="17"/>
  <c r="X72" i="17"/>
  <c r="K72" i="17"/>
  <c r="U72" i="17"/>
  <c r="AB72" i="17"/>
  <c r="AO80" i="17"/>
  <c r="W80" i="17"/>
  <c r="T80" i="17"/>
  <c r="N80" i="17"/>
  <c r="R80" i="17"/>
  <c r="U80" i="17"/>
  <c r="Q80" i="17"/>
  <c r="J80" i="17"/>
  <c r="AB88" i="17"/>
  <c r="X88" i="17"/>
  <c r="V88" i="17"/>
  <c r="Y88" i="17"/>
  <c r="AA88" i="17"/>
  <c r="Q94" i="17"/>
  <c r="AB94" i="17"/>
  <c r="S94" i="17"/>
  <c r="R94" i="17"/>
  <c r="W94" i="17"/>
  <c r="AO94" i="17"/>
  <c r="S102" i="17"/>
  <c r="AO102" i="17"/>
  <c r="N102" i="17"/>
  <c r="L102" i="17"/>
  <c r="U102" i="17"/>
  <c r="Q110" i="17"/>
  <c r="U110" i="17"/>
  <c r="AO110" i="17"/>
  <c r="K110" i="17"/>
  <c r="R110" i="17"/>
  <c r="T110" i="17"/>
  <c r="T118" i="17"/>
  <c r="S118" i="17"/>
  <c r="L118" i="17"/>
  <c r="K118" i="17"/>
  <c r="AB118" i="17"/>
  <c r="AO118" i="17"/>
  <c r="X126" i="17"/>
  <c r="R126" i="17"/>
  <c r="M126" i="17"/>
  <c r="AB126" i="17"/>
  <c r="L126" i="17"/>
  <c r="AA126" i="17"/>
  <c r="R132" i="17"/>
  <c r="AB132" i="17"/>
  <c r="J132" i="17"/>
  <c r="S132" i="17"/>
  <c r="L132" i="17"/>
  <c r="V132" i="17"/>
  <c r="X132" i="17"/>
  <c r="Y140" i="17"/>
  <c r="Q140" i="17"/>
  <c r="Z140" i="17"/>
  <c r="X140" i="17"/>
  <c r="AA140" i="17"/>
  <c r="R140" i="17"/>
  <c r="L140" i="17"/>
  <c r="V140" i="17"/>
  <c r="AA153" i="17"/>
  <c r="M153" i="17"/>
  <c r="AL153" i="17" s="1"/>
  <c r="S153" i="17"/>
  <c r="W153" i="17"/>
  <c r="U153" i="17"/>
  <c r="L153" i="17"/>
  <c r="Z153" i="17"/>
  <c r="T153" i="17"/>
  <c r="AB161" i="17"/>
  <c r="W161" i="17"/>
  <c r="M161" i="17"/>
  <c r="T161" i="17"/>
  <c r="AA161" i="17"/>
  <c r="S161" i="17"/>
  <c r="L161" i="17"/>
  <c r="R145" i="17"/>
  <c r="Z117" i="17"/>
  <c r="J107" i="17"/>
  <c r="Z77" i="17"/>
  <c r="R55" i="17"/>
  <c r="Z31" i="17"/>
  <c r="AO165" i="17"/>
  <c r="Q149" i="17"/>
  <c r="AO137" i="17"/>
  <c r="AO79" i="17"/>
  <c r="Q45" i="17"/>
  <c r="AO152" i="17"/>
  <c r="K108" i="17"/>
  <c r="U88" i="17"/>
  <c r="M72" i="17"/>
  <c r="AO40" i="17"/>
  <c r="N138" i="17"/>
  <c r="N26" i="17"/>
  <c r="N10" i="17"/>
  <c r="M140" i="17"/>
  <c r="M160" i="17"/>
  <c r="M150" i="17"/>
  <c r="K101" i="17"/>
  <c r="U94" i="17"/>
  <c r="K32" i="17"/>
  <c r="J78" i="17"/>
  <c r="T160" i="17"/>
  <c r="N118" i="17"/>
  <c r="W62" i="17"/>
  <c r="T32" i="17"/>
  <c r="V174" i="17"/>
  <c r="R40" i="17"/>
  <c r="K30" i="17"/>
  <c r="U70" i="17"/>
  <c r="X48" i="17"/>
  <c r="T166" i="17"/>
  <c r="J102" i="17"/>
  <c r="J32" i="17"/>
  <c r="Z2" i="17"/>
  <c r="Z80" i="17"/>
  <c r="Y64" i="17"/>
  <c r="Q56" i="17"/>
  <c r="AB158" i="17"/>
  <c r="U158" i="17"/>
  <c r="Z126" i="17"/>
  <c r="N126" i="17"/>
  <c r="Y56" i="17"/>
  <c r="AO18" i="17"/>
  <c r="O956" i="16"/>
  <c r="H157" i="15"/>
  <c r="Q157" i="15"/>
  <c r="S73" i="15"/>
  <c r="J63" i="15"/>
  <c r="N103" i="15"/>
  <c r="P49" i="16"/>
  <c r="H49" i="9" s="1"/>
  <c r="S131" i="17"/>
  <c r="L69" i="17"/>
  <c r="X115" i="17"/>
  <c r="U107" i="17"/>
  <c r="S71" i="17"/>
  <c r="AB31" i="17"/>
  <c r="S100" i="17"/>
  <c r="J70" i="17"/>
  <c r="W115" i="17"/>
  <c r="X153" i="17"/>
  <c r="AA26" i="17"/>
  <c r="V85" i="17"/>
  <c r="N25" i="17"/>
  <c r="AA173" i="17"/>
  <c r="S149" i="17"/>
  <c r="X3" i="17"/>
  <c r="I135" i="15"/>
  <c r="J175" i="17"/>
  <c r="J151" i="17"/>
  <c r="R139" i="17"/>
  <c r="R117" i="17"/>
  <c r="Z71" i="17"/>
  <c r="J31" i="17"/>
  <c r="Y165" i="17"/>
  <c r="AO153" i="17"/>
  <c r="Y137" i="17"/>
  <c r="AO131" i="17"/>
  <c r="AO125" i="17"/>
  <c r="AO107" i="17"/>
  <c r="Q85" i="17"/>
  <c r="Y79" i="17"/>
  <c r="AO61" i="17"/>
  <c r="S152" i="17"/>
  <c r="Z173" i="17"/>
  <c r="Z167" i="17"/>
  <c r="Z161" i="17"/>
  <c r="Z149" i="17"/>
  <c r="J139" i="17"/>
  <c r="Z115" i="17"/>
  <c r="R99" i="17"/>
  <c r="Z93" i="17"/>
  <c r="J77" i="17"/>
  <c r="R71" i="17"/>
  <c r="Z53" i="17"/>
  <c r="Z47" i="17"/>
  <c r="Z23" i="17"/>
  <c r="J3" i="17"/>
  <c r="Q165" i="17"/>
  <c r="Y159" i="17"/>
  <c r="Y153" i="17"/>
  <c r="Q137" i="17"/>
  <c r="Y131" i="17"/>
  <c r="Q125" i="17"/>
  <c r="Y107" i="17"/>
  <c r="AO101" i="17"/>
  <c r="Q79" i="17"/>
  <c r="Q61" i="17"/>
  <c r="Q55" i="17"/>
  <c r="Y37" i="17"/>
  <c r="AO31" i="17"/>
  <c r="S168" i="17"/>
  <c r="M152" i="17"/>
  <c r="V72" i="17"/>
  <c r="N56" i="17"/>
  <c r="M40" i="17"/>
  <c r="AO24" i="17"/>
  <c r="J10" i="17"/>
  <c r="R152" i="17"/>
  <c r="N140" i="17"/>
  <c r="M108" i="17"/>
  <c r="AA160" i="17"/>
  <c r="V160" i="17"/>
  <c r="N150" i="17"/>
  <c r="AA132" i="17"/>
  <c r="J94" i="17"/>
  <c r="V94" i="17"/>
  <c r="L32" i="17"/>
  <c r="J118" i="17"/>
  <c r="V116" i="17"/>
  <c r="K78" i="17"/>
  <c r="Z118" i="17"/>
  <c r="W116" i="17"/>
  <c r="U100" i="17"/>
  <c r="K69" i="17"/>
  <c r="X62" i="17"/>
  <c r="W174" i="17"/>
  <c r="T38" i="17"/>
  <c r="U38" i="17"/>
  <c r="L30" i="17"/>
  <c r="S70" i="17"/>
  <c r="AB86" i="17"/>
  <c r="S48" i="17"/>
  <c r="M48" i="17"/>
  <c r="AO166" i="17"/>
  <c r="V166" i="17"/>
  <c r="Q138" i="17"/>
  <c r="K102" i="17"/>
  <c r="K100" i="17"/>
  <c r="L46" i="17"/>
  <c r="J152" i="17"/>
  <c r="AB110" i="17"/>
  <c r="M110" i="17"/>
  <c r="AB80" i="17"/>
  <c r="Q64" i="17"/>
  <c r="U64" i="17"/>
  <c r="J24" i="17"/>
  <c r="Q158" i="17"/>
  <c r="J54" i="17"/>
  <c r="R54" i="17"/>
  <c r="Y126" i="17"/>
  <c r="J150" i="17"/>
  <c r="W56" i="17"/>
  <c r="W18" i="17"/>
  <c r="O1247" i="16"/>
  <c r="O1251" i="16"/>
  <c r="F812" i="16"/>
  <c r="F1261" i="16"/>
  <c r="P1261" i="16" s="1"/>
  <c r="H1261" i="9" s="1"/>
  <c r="I1261" i="9" s="1"/>
  <c r="O960" i="16"/>
  <c r="T43" i="16"/>
  <c r="F1247" i="16"/>
  <c r="L89" i="15"/>
  <c r="I63" i="15"/>
  <c r="L103" i="15"/>
  <c r="G89" i="15"/>
  <c r="J166" i="15"/>
  <c r="J139" i="15"/>
  <c r="U135" i="15"/>
  <c r="Q58" i="15"/>
  <c r="S85" i="15"/>
  <c r="M73" i="15"/>
  <c r="E41" i="16"/>
  <c r="S77" i="17"/>
  <c r="AO132" i="17"/>
  <c r="L38" i="17"/>
  <c r="S3" i="17"/>
  <c r="N153" i="17"/>
  <c r="X124" i="17"/>
  <c r="K77" i="17"/>
  <c r="Q160" i="17"/>
  <c r="T31" i="17"/>
  <c r="M173" i="17"/>
  <c r="T23" i="17"/>
  <c r="AA55" i="17"/>
  <c r="AO30" i="17"/>
  <c r="M79" i="17"/>
  <c r="AA175" i="17"/>
  <c r="U115" i="17"/>
  <c r="AA149" i="17"/>
  <c r="M93" i="17"/>
  <c r="W167" i="17"/>
  <c r="T139" i="17"/>
  <c r="T63" i="17"/>
  <c r="AA139" i="17"/>
  <c r="T117" i="17"/>
  <c r="V93" i="17"/>
  <c r="N167" i="17"/>
  <c r="Z108" i="17"/>
  <c r="N47" i="17"/>
  <c r="AB140" i="17"/>
  <c r="S169" i="17"/>
  <c r="R108" i="17"/>
  <c r="O806" i="16"/>
  <c r="P806" i="16" s="1"/>
  <c r="O814" i="16" s="1"/>
  <c r="O822" i="16" s="1"/>
  <c r="P822" i="16" s="1"/>
  <c r="H822" i="9" s="1"/>
  <c r="I822" i="9" s="1"/>
  <c r="O1257" i="16"/>
  <c r="O755" i="16"/>
  <c r="P62" i="15"/>
  <c r="U62" i="15"/>
  <c r="O62" i="15"/>
  <c r="Q62" i="15"/>
  <c r="J62" i="15"/>
  <c r="H62" i="15"/>
  <c r="L62" i="15"/>
  <c r="E207" i="16"/>
  <c r="I207" i="9" s="1"/>
  <c r="F207" i="16"/>
  <c r="F209" i="16"/>
  <c r="E209" i="16"/>
  <c r="I209" i="9" s="1"/>
  <c r="P288" i="16"/>
  <c r="H288" i="9" s="1"/>
  <c r="E288" i="16"/>
  <c r="T288" i="16" s="1"/>
  <c r="T294" i="16"/>
  <c r="E294" i="16"/>
  <c r="F294" i="16" s="1"/>
  <c r="E300" i="16"/>
  <c r="P300" i="16" s="1"/>
  <c r="H300" i="9" s="1"/>
  <c r="T300" i="16"/>
  <c r="P304" i="16"/>
  <c r="H304" i="9" s="1"/>
  <c r="O304" i="16"/>
  <c r="F310" i="16"/>
  <c r="E310" i="16"/>
  <c r="O310" i="16"/>
  <c r="O314" i="16"/>
  <c r="E314" i="16"/>
  <c r="E332" i="16"/>
  <c r="O332" i="16"/>
  <c r="E479" i="16"/>
  <c r="F479" i="16" s="1"/>
  <c r="P479" i="16"/>
  <c r="H479" i="9" s="1"/>
  <c r="O486" i="16" s="1"/>
  <c r="E664" i="16"/>
  <c r="P664" i="16"/>
  <c r="H664" i="9" s="1"/>
  <c r="F868" i="16"/>
  <c r="E868" i="16"/>
  <c r="O946" i="16"/>
  <c r="AL63" i="17"/>
  <c r="AL13" i="17" s="1"/>
  <c r="AL47" i="17" s="1"/>
  <c r="S62" i="15"/>
  <c r="O57" i="15"/>
  <c r="N57" i="15"/>
  <c r="R57" i="15"/>
  <c r="G57" i="15"/>
  <c r="P57" i="15"/>
  <c r="H57" i="15"/>
  <c r="U61" i="15"/>
  <c r="R61" i="15"/>
  <c r="M61" i="15"/>
  <c r="O61" i="15"/>
  <c r="Q61" i="15"/>
  <c r="I61" i="15"/>
  <c r="AG61" i="15" s="1"/>
  <c r="Q61" i="7" s="1"/>
  <c r="H61" i="15"/>
  <c r="AF61" i="15" s="1"/>
  <c r="G61" i="15"/>
  <c r="J61" i="15"/>
  <c r="F213" i="16"/>
  <c r="E213" i="16"/>
  <c r="P213" i="16" s="1"/>
  <c r="O246" i="16" s="1"/>
  <c r="O254" i="16" s="1"/>
  <c r="T215" i="16"/>
  <c r="E215" i="16"/>
  <c r="F215" i="16" s="1"/>
  <c r="E221" i="16"/>
  <c r="F221" i="16" s="1"/>
  <c r="P221" i="16"/>
  <c r="H221" i="9" s="1"/>
  <c r="P404" i="16"/>
  <c r="T404" i="16"/>
  <c r="O1245" i="16"/>
  <c r="K2" i="15"/>
  <c r="I5" i="15"/>
  <c r="N5" i="15"/>
  <c r="O5" i="15"/>
  <c r="M5" i="15"/>
  <c r="G5" i="15"/>
  <c r="O24" i="15"/>
  <c r="K24" i="15"/>
  <c r="AE24" i="15"/>
  <c r="O24" i="7" s="1"/>
  <c r="M24" i="15"/>
  <c r="L24" i="15"/>
  <c r="Q24" i="15"/>
  <c r="AH24" i="15"/>
  <c r="R24" i="7" s="1"/>
  <c r="S24" i="7" s="1"/>
  <c r="P24" i="15"/>
  <c r="R24" i="15"/>
  <c r="Q28" i="15"/>
  <c r="I28" i="15"/>
  <c r="K28" i="15"/>
  <c r="U28" i="15"/>
  <c r="R28" i="15"/>
  <c r="S28" i="15"/>
  <c r="O46" i="15"/>
  <c r="S46" i="15"/>
  <c r="P46" i="15"/>
  <c r="U46" i="15"/>
  <c r="K46" i="15"/>
  <c r="N51" i="15"/>
  <c r="O51" i="15"/>
  <c r="AE51" i="15"/>
  <c r="O51" i="7" s="1"/>
  <c r="U51" i="15"/>
  <c r="P51" i="15"/>
  <c r="L51" i="15"/>
  <c r="I51" i="15"/>
  <c r="AG51" i="15" s="1"/>
  <c r="Q51" i="7" s="1"/>
  <c r="U56" i="15"/>
  <c r="N56" i="15"/>
  <c r="R56" i="15"/>
  <c r="P2" i="16"/>
  <c r="H2" i="9" s="1"/>
  <c r="O13" i="15"/>
  <c r="R13" i="15"/>
  <c r="N31" i="15"/>
  <c r="O31" i="15"/>
  <c r="P31" i="15"/>
  <c r="G31" i="15"/>
  <c r="N45" i="15"/>
  <c r="AE45" i="15" s="1"/>
  <c r="O45" i="7" s="1"/>
  <c r="Q45" i="15"/>
  <c r="R45" i="15"/>
  <c r="U49" i="15"/>
  <c r="L49" i="15"/>
  <c r="S49" i="15"/>
  <c r="J66" i="15"/>
  <c r="Q66" i="15"/>
  <c r="M66" i="15"/>
  <c r="S66" i="15"/>
  <c r="K66" i="15"/>
  <c r="S101" i="15"/>
  <c r="I101" i="15"/>
  <c r="U114" i="15"/>
  <c r="Q114" i="15"/>
  <c r="O114" i="15"/>
  <c r="S114" i="15"/>
  <c r="P114" i="15"/>
  <c r="O159" i="15"/>
  <c r="Q159" i="15"/>
  <c r="O238" i="16"/>
  <c r="E239" i="16"/>
  <c r="O285" i="16" s="1"/>
  <c r="T279" i="16"/>
  <c r="F279" i="16"/>
  <c r="F535" i="16"/>
  <c r="E535" i="16"/>
  <c r="F694" i="16"/>
  <c r="E694" i="16"/>
  <c r="O398" i="16"/>
  <c r="K49" i="15"/>
  <c r="P49" i="15"/>
  <c r="G13" i="15"/>
  <c r="Q70" i="15"/>
  <c r="P101" i="15"/>
  <c r="R55" i="15"/>
  <c r="L55" i="15"/>
  <c r="J70" i="15"/>
  <c r="U70" i="15"/>
  <c r="S23" i="15"/>
  <c r="H23" i="15"/>
  <c r="AF23" i="15" s="1"/>
  <c r="AF163" i="15"/>
  <c r="F1116" i="16"/>
  <c r="O88" i="17"/>
  <c r="AJ88" i="17" s="1"/>
  <c r="Q13" i="15"/>
  <c r="F1206" i="16"/>
  <c r="S22" i="15"/>
  <c r="Q22" i="15"/>
  <c r="R37" i="15"/>
  <c r="S37" i="15"/>
  <c r="I37" i="15"/>
  <c r="H128" i="15"/>
  <c r="G128" i="15"/>
  <c r="O141" i="15"/>
  <c r="R141" i="15"/>
  <c r="I149" i="15"/>
  <c r="G149" i="15"/>
  <c r="U173" i="15"/>
  <c r="R173" i="15"/>
  <c r="O269" i="16"/>
  <c r="F605" i="16"/>
  <c r="E605" i="16"/>
  <c r="P605" i="16" s="1"/>
  <c r="H605" i="9" s="1"/>
  <c r="O749" i="16"/>
  <c r="O668" i="16"/>
  <c r="R159" i="15"/>
  <c r="R31" i="15"/>
  <c r="M163" i="15"/>
  <c r="H114" i="15"/>
  <c r="M49" i="15"/>
  <c r="I13" i="15"/>
  <c r="R101" i="15"/>
  <c r="AE55" i="15"/>
  <c r="O55" i="7" s="1"/>
  <c r="F231" i="16"/>
  <c r="K55" i="15"/>
  <c r="G45" i="15"/>
  <c r="AE70" i="15"/>
  <c r="O70" i="7" s="1"/>
  <c r="L114" i="15"/>
  <c r="U23" i="15"/>
  <c r="Q23" i="15"/>
  <c r="M13" i="15"/>
  <c r="AE163" i="15"/>
  <c r="O163" i="7" s="1"/>
  <c r="U45" i="15"/>
  <c r="Q31" i="15"/>
  <c r="H31" i="15"/>
  <c r="J17" i="15"/>
  <c r="O64" i="15"/>
  <c r="G64" i="15"/>
  <c r="J113" i="15"/>
  <c r="I113" i="15"/>
  <c r="U113" i="15"/>
  <c r="S113" i="15"/>
  <c r="S2" i="15"/>
  <c r="Q2" i="15"/>
  <c r="S30" i="15"/>
  <c r="Q30" i="15"/>
  <c r="O30" i="15"/>
  <c r="G30" i="15"/>
  <c r="M30" i="15"/>
  <c r="Q72" i="15"/>
  <c r="P72" i="15"/>
  <c r="O72" i="15"/>
  <c r="U72" i="15"/>
  <c r="O79" i="15"/>
  <c r="N79" i="15"/>
  <c r="P88" i="15"/>
  <c r="O88" i="15"/>
  <c r="U88" i="15"/>
  <c r="O125" i="15"/>
  <c r="U125" i="15"/>
  <c r="Q130" i="15"/>
  <c r="O130" i="15"/>
  <c r="O143" i="15"/>
  <c r="N143" i="15"/>
  <c r="P143" i="15"/>
  <c r="O970" i="16"/>
  <c r="O971" i="16"/>
  <c r="AA19" i="17"/>
  <c r="L19" i="17"/>
  <c r="T19" i="17"/>
  <c r="O137" i="17"/>
  <c r="AI137" i="17" s="1"/>
  <c r="N84" i="15"/>
  <c r="R125" i="15"/>
  <c r="M25" i="15"/>
  <c r="R25" i="15"/>
  <c r="N25" i="15"/>
  <c r="AE25" i="15" s="1"/>
  <c r="O25" i="7" s="1"/>
  <c r="S34" i="15"/>
  <c r="L34" i="15"/>
  <c r="L40" i="15"/>
  <c r="U40" i="15"/>
  <c r="O40" i="15"/>
  <c r="P40" i="15"/>
  <c r="N67" i="15"/>
  <c r="AE67" i="15"/>
  <c r="O67" i="7" s="1"/>
  <c r="Q78" i="15"/>
  <c r="O78" i="15"/>
  <c r="U78" i="15"/>
  <c r="K115" i="15"/>
  <c r="P115" i="15"/>
  <c r="O115" i="15"/>
  <c r="N175" i="15"/>
  <c r="H175" i="15"/>
  <c r="Q175" i="15"/>
  <c r="E121" i="16"/>
  <c r="F121" i="16" s="1"/>
  <c r="P121" i="16"/>
  <c r="H121" i="9" s="1"/>
  <c r="O259" i="16"/>
  <c r="P604" i="16"/>
  <c r="H604" i="9" s="1"/>
  <c r="E604" i="16"/>
  <c r="F604" i="16" s="1"/>
  <c r="E1118" i="16"/>
  <c r="F1118" i="16" s="1"/>
  <c r="E1134" i="16"/>
  <c r="AE40" i="15"/>
  <c r="O40" i="7" s="1"/>
  <c r="O29" i="15"/>
  <c r="Q29" i="15"/>
  <c r="N29" i="15"/>
  <c r="AE29" i="15" s="1"/>
  <c r="O29" i="7" s="1"/>
  <c r="Q77" i="15"/>
  <c r="O77" i="15"/>
  <c r="U77" i="15"/>
  <c r="M77" i="15"/>
  <c r="U82" i="15"/>
  <c r="M82" i="15"/>
  <c r="J82" i="15"/>
  <c r="O82" i="15"/>
  <c r="J129" i="15"/>
  <c r="I129" i="15"/>
  <c r="U129" i="15"/>
  <c r="P155" i="15"/>
  <c r="R155" i="15"/>
  <c r="G155" i="15"/>
  <c r="H155" i="15"/>
  <c r="Q155" i="15"/>
  <c r="J155" i="15"/>
  <c r="O242" i="16"/>
  <c r="E383" i="16"/>
  <c r="F383" i="16" s="1"/>
  <c r="L8" i="15"/>
  <c r="O14" i="15"/>
  <c r="N19" i="15"/>
  <c r="S21" i="15"/>
  <c r="G21" i="15"/>
  <c r="Q48" i="15"/>
  <c r="H48" i="15"/>
  <c r="S69" i="15"/>
  <c r="R69" i="15"/>
  <c r="G90" i="15"/>
  <c r="G91" i="15"/>
  <c r="N93" i="15"/>
  <c r="L93" i="15"/>
  <c r="R93" i="15"/>
  <c r="P107" i="15"/>
  <c r="K109" i="15"/>
  <c r="M120" i="15"/>
  <c r="O121" i="15"/>
  <c r="M131" i="15"/>
  <c r="P132" i="15"/>
  <c r="H150" i="15"/>
  <c r="O152" i="15"/>
  <c r="J167" i="15"/>
  <c r="Q168" i="15"/>
  <c r="O169" i="15"/>
  <c r="E1039" i="16"/>
  <c r="E1325" i="16"/>
  <c r="F1325" i="16"/>
  <c r="U21" i="17"/>
  <c r="X21" i="17"/>
  <c r="L78" i="15"/>
  <c r="N109" i="15"/>
  <c r="N120" i="15"/>
  <c r="G142" i="15"/>
  <c r="P142" i="15"/>
  <c r="I150" i="15"/>
  <c r="U158" i="15"/>
  <c r="S158" i="15"/>
  <c r="O158" i="15"/>
  <c r="P158" i="15"/>
  <c r="G163" i="15"/>
  <c r="E536" i="16"/>
  <c r="T536" i="16" s="1"/>
  <c r="E600" i="16"/>
  <c r="T600" i="16" s="1"/>
  <c r="E742" i="16"/>
  <c r="F742" i="16" s="1"/>
  <c r="E950" i="16"/>
  <c r="V21" i="17"/>
  <c r="V147" i="17"/>
  <c r="AB147" i="17"/>
  <c r="M35" i="15"/>
  <c r="G68" i="15"/>
  <c r="M68" i="15"/>
  <c r="N68" i="15"/>
  <c r="AE68" i="15" s="1"/>
  <c r="R109" i="15"/>
  <c r="P131" i="15"/>
  <c r="K131" i="15"/>
  <c r="E416" i="16"/>
  <c r="T416" i="16" s="1"/>
  <c r="E567" i="16"/>
  <c r="F567" i="16" s="1"/>
  <c r="E1262" i="16"/>
  <c r="F1262" i="16" s="1"/>
  <c r="W21" i="17"/>
  <c r="G4" i="15"/>
  <c r="Q50" i="15"/>
  <c r="E116" i="16"/>
  <c r="E208" i="16"/>
  <c r="T208" i="16" s="1"/>
  <c r="E527" i="16"/>
  <c r="F527" i="16" s="1"/>
  <c r="E1158" i="16"/>
  <c r="F1158" i="16" s="1"/>
  <c r="E1263" i="16"/>
  <c r="S50" i="15"/>
  <c r="E655" i="16"/>
  <c r="F655" i="16" s="1"/>
  <c r="E759" i="16"/>
  <c r="E806" i="16"/>
  <c r="F806" i="16" s="1"/>
  <c r="E1232" i="16"/>
  <c r="E1238" i="16"/>
  <c r="F1238" i="16" s="1"/>
  <c r="O135" i="17"/>
  <c r="P118" i="17"/>
  <c r="O90" i="17"/>
  <c r="AJ90" i="17" s="1"/>
  <c r="O121" i="17"/>
  <c r="AI121" i="17" s="1"/>
  <c r="P153" i="17"/>
  <c r="AI175" i="17"/>
  <c r="P31" i="17"/>
  <c r="AK31" i="17" s="1"/>
  <c r="O32" i="17"/>
  <c r="AL103" i="17"/>
  <c r="AR50" i="17" s="1"/>
  <c r="AM80" i="17" s="1"/>
  <c r="AL175" i="17" s="1"/>
  <c r="P111" i="17"/>
  <c r="AL42" i="17" s="1"/>
  <c r="AL59" i="17" s="1"/>
  <c r="O169" i="17"/>
  <c r="AI169" i="17" s="1"/>
  <c r="O134" i="17"/>
  <c r="AI134" i="17" s="1"/>
  <c r="AL117" i="17" s="1"/>
  <c r="AL25" i="17" s="1"/>
  <c r="AL22" i="17" s="1"/>
  <c r="AM30" i="17" s="1"/>
  <c r="AL111" i="17" s="1"/>
  <c r="AL145" i="17" s="1"/>
  <c r="AL65" i="17" s="1"/>
  <c r="AL137" i="17"/>
  <c r="AL29" i="17" s="1"/>
  <c r="AL73" i="17"/>
  <c r="AL17" i="17" s="1"/>
  <c r="AL139" i="17" s="1"/>
  <c r="AL143" i="17" s="1"/>
  <c r="AR167" i="17" s="1"/>
  <c r="AM96" i="17" s="1"/>
  <c r="AL91" i="17" s="1"/>
  <c r="AL160" i="17" s="1"/>
  <c r="AL55" i="17" s="1"/>
  <c r="AL93" i="17"/>
  <c r="AL125" i="17"/>
  <c r="AL161" i="17"/>
  <c r="AJ169" i="17"/>
  <c r="AL19" i="17"/>
  <c r="O91" i="17"/>
  <c r="AJ91" i="17" s="1"/>
  <c r="P16" i="17"/>
  <c r="AK16" i="17" s="1"/>
  <c r="O172" i="17"/>
  <c r="AJ172" i="17" s="1"/>
  <c r="P33" i="17"/>
  <c r="AK33" i="17" s="1"/>
  <c r="AL170" i="17"/>
  <c r="O89" i="17"/>
  <c r="AI89" i="17" s="1"/>
  <c r="O167" i="17"/>
  <c r="AI167" i="17" s="1"/>
  <c r="AL61" i="17"/>
  <c r="AL31" i="17"/>
  <c r="AL15" i="17"/>
  <c r="P99" i="17"/>
  <c r="AK99" i="17" s="1"/>
  <c r="AJ55" i="17"/>
  <c r="AL77" i="17"/>
  <c r="AL75" i="17"/>
  <c r="AL95" i="17"/>
  <c r="O144" i="17"/>
  <c r="AI144" i="17" s="1"/>
  <c r="AL113" i="17"/>
  <c r="P125" i="17"/>
  <c r="AK125" i="17" s="1"/>
  <c r="AL106" i="17" s="1"/>
  <c r="O69" i="17"/>
  <c r="AI69" i="17" s="1"/>
  <c r="AL30" i="17"/>
  <c r="AL34" i="17"/>
  <c r="O164" i="17"/>
  <c r="AI164" i="17" s="1"/>
  <c r="AL54" i="17" s="1"/>
  <c r="AL5" i="17"/>
  <c r="AL89" i="17"/>
  <c r="AL129" i="17"/>
  <c r="O168" i="17"/>
  <c r="AI168" i="17" s="1"/>
  <c r="P57" i="17"/>
  <c r="AK57" i="17" s="1"/>
  <c r="P53" i="17"/>
  <c r="AK53" i="17" s="1"/>
  <c r="AL56" i="17" s="1"/>
  <c r="O40" i="17"/>
  <c r="AJ40" i="17" s="1"/>
  <c r="O110" i="17"/>
  <c r="AI110" i="17" s="1"/>
  <c r="AL141" i="17" s="1"/>
  <c r="AL107" i="17" s="1"/>
  <c r="AL169" i="17"/>
  <c r="AL157" i="17" s="1"/>
  <c r="AL3" i="17"/>
  <c r="AL149" i="17" s="1"/>
  <c r="AL131" i="17" s="1"/>
  <c r="AL49" i="17" s="1"/>
  <c r="O124" i="17"/>
  <c r="AJ124" i="17" s="1"/>
  <c r="O141" i="17"/>
  <c r="AI141" i="17" s="1"/>
  <c r="O77" i="17"/>
  <c r="AJ77" i="17" s="1"/>
  <c r="AJ121" i="17"/>
  <c r="AI55" i="17"/>
  <c r="AL165" i="17"/>
  <c r="AL105" i="17"/>
  <c r="AL164" i="17"/>
  <c r="AL81" i="17" s="1"/>
  <c r="P66" i="17"/>
  <c r="AL88" i="17" s="1"/>
  <c r="AL26" i="17"/>
  <c r="AL166" i="17" s="1"/>
  <c r="AL142" i="17" s="1"/>
  <c r="AL110" i="17"/>
  <c r="AL9" i="17"/>
  <c r="AL163" i="17"/>
  <c r="AL159" i="17"/>
  <c r="AL127" i="17"/>
  <c r="AL79" i="17"/>
  <c r="AL119" i="17"/>
  <c r="O153" i="17"/>
  <c r="AJ153" i="17" s="1"/>
  <c r="O151" i="17"/>
  <c r="AJ151" i="17" s="1"/>
  <c r="O152" i="17"/>
  <c r="AJ152" i="17" s="1"/>
  <c r="O116" i="17"/>
  <c r="AJ116" i="17" s="1"/>
  <c r="AM124" i="17" s="1"/>
  <c r="AL124" i="17" s="1"/>
  <c r="AM93" i="17" s="1"/>
  <c r="AL115" i="17" s="1"/>
  <c r="O118" i="17"/>
  <c r="AI118" i="17" s="1"/>
  <c r="AM133" i="17" s="1"/>
  <c r="P129" i="17"/>
  <c r="AK129" i="17" s="1"/>
  <c r="AM165" i="17" s="1"/>
  <c r="AL172" i="17" s="1"/>
  <c r="AL82" i="17" s="1"/>
  <c r="AL162" i="17" s="1"/>
  <c r="AL130" i="17"/>
  <c r="AL21" i="17" s="1"/>
  <c r="O83" i="17"/>
  <c r="AI83" i="17" s="1"/>
  <c r="O82" i="17"/>
  <c r="AI82" i="17" s="1"/>
  <c r="O23" i="17"/>
  <c r="AJ23" i="17" s="1"/>
  <c r="O26" i="17"/>
  <c r="O2" i="17"/>
  <c r="AI2" i="17" s="1"/>
  <c r="O5" i="17"/>
  <c r="AJ5" i="17" s="1"/>
  <c r="O4" i="17"/>
  <c r="AI4" i="17" s="1"/>
  <c r="AL167" i="17"/>
  <c r="AR69" i="17" s="1"/>
  <c r="AL84" i="17" s="1"/>
  <c r="AL16" i="17" s="1"/>
  <c r="AI6" i="17"/>
  <c r="O22" i="17"/>
  <c r="AI22" i="17" s="1"/>
  <c r="AM9" i="17" s="1"/>
  <c r="AL152" i="17" s="1"/>
  <c r="AJ137" i="17"/>
  <c r="AL62" i="17" s="1"/>
  <c r="AL114" i="17" s="1"/>
  <c r="O103" i="17"/>
  <c r="AI103" i="17" s="1"/>
  <c r="P101" i="17"/>
  <c r="AK101" i="17" s="1"/>
  <c r="O24" i="17"/>
  <c r="AJ24" i="17" s="1"/>
  <c r="AM44" i="17" s="1"/>
  <c r="AJ6" i="17"/>
  <c r="O25" i="17"/>
  <c r="AJ25" i="17" s="1"/>
  <c r="O113" i="17"/>
  <c r="AJ113" i="17" s="1"/>
  <c r="O115" i="17"/>
  <c r="AJ115" i="17" s="1"/>
  <c r="AL45" i="17"/>
  <c r="AL43" i="17" s="1"/>
  <c r="AL33" i="17"/>
  <c r="P74" i="17"/>
  <c r="AK74" i="17" s="1"/>
  <c r="AL128" i="17" s="1"/>
  <c r="O16" i="17"/>
  <c r="AI16" i="17" s="1"/>
  <c r="AL122" i="17" s="1"/>
  <c r="O158" i="17"/>
  <c r="AI158" i="17" s="1"/>
  <c r="O159" i="17"/>
  <c r="AJ159" i="17" s="1"/>
  <c r="AR21" i="17" s="1"/>
  <c r="AL154" i="17" s="1"/>
  <c r="AM108" i="17" s="1"/>
  <c r="AL76" i="17" s="1"/>
  <c r="AL150" i="17" s="1"/>
  <c r="P134" i="17"/>
  <c r="AK134" i="17" s="1"/>
  <c r="AL116" i="17" s="1"/>
  <c r="O117" i="17"/>
  <c r="AI117" i="17" s="1"/>
  <c r="O146" i="17"/>
  <c r="AJ146" i="17" s="1"/>
  <c r="O112" i="17"/>
  <c r="O111" i="17"/>
  <c r="AJ111" i="17" s="1"/>
  <c r="P76" i="17"/>
  <c r="AK76" i="17" s="1"/>
  <c r="O150" i="17"/>
  <c r="AJ150" i="17" s="1"/>
  <c r="AL58" i="17" s="1"/>
  <c r="O11" i="17"/>
  <c r="AI11" i="17" s="1"/>
  <c r="O8" i="17"/>
  <c r="AJ8" i="17" s="1"/>
  <c r="O9" i="17"/>
  <c r="AJ9" i="17" s="1"/>
  <c r="O7" i="17"/>
  <c r="O10" i="17"/>
  <c r="AI10" i="17" s="1"/>
  <c r="AR85" i="17" s="1"/>
  <c r="AL109" i="17" s="1"/>
  <c r="AL35" i="17" s="1"/>
  <c r="O119" i="17"/>
  <c r="AJ119" i="17" s="1"/>
  <c r="AL147" i="17" s="1"/>
  <c r="AL173" i="17" s="1"/>
  <c r="AR97" i="17" s="1"/>
  <c r="AL90" i="17" s="1"/>
  <c r="AL140" i="17" s="1"/>
  <c r="O78" i="17"/>
  <c r="AJ78" i="17" s="1"/>
  <c r="AL86" i="17" s="1"/>
  <c r="AM97" i="17" s="1"/>
  <c r="P39" i="17"/>
  <c r="AK39" i="17" s="1"/>
  <c r="P20" i="17"/>
  <c r="AK20" i="17" s="1"/>
  <c r="O65" i="17"/>
  <c r="AJ65" i="17" s="1"/>
  <c r="O64" i="17"/>
  <c r="AJ64" i="17" s="1"/>
  <c r="O63" i="17"/>
  <c r="AJ63" i="17" s="1"/>
  <c r="AL20" i="17" s="1"/>
  <c r="P117" i="17"/>
  <c r="AK117" i="17" s="1"/>
  <c r="AL52" i="17" s="1"/>
  <c r="AJ135" i="17"/>
  <c r="AI135" i="17"/>
  <c r="AL85" i="17"/>
  <c r="O131" i="17"/>
  <c r="AJ131" i="17" s="1"/>
  <c r="O132" i="17"/>
  <c r="AJ132" i="17" s="1"/>
  <c r="O127" i="17"/>
  <c r="AI127" i="17" s="1"/>
  <c r="O125" i="17"/>
  <c r="AI125" i="17" s="1"/>
  <c r="O157" i="17"/>
  <c r="AI157" i="17" s="1"/>
  <c r="O154" i="17"/>
  <c r="AJ154" i="17" s="1"/>
  <c r="AI151" i="17"/>
  <c r="O52" i="17"/>
  <c r="AJ52" i="17" s="1"/>
  <c r="O53" i="17"/>
  <c r="AI53" i="17" s="1"/>
  <c r="O56" i="17"/>
  <c r="AI56" i="17" s="1"/>
  <c r="AL57" i="17" s="1"/>
  <c r="AL71" i="17" s="1"/>
  <c r="AL37" i="17" s="1"/>
  <c r="AL6" i="17" s="1"/>
  <c r="AL118" i="17" s="1"/>
  <c r="O136" i="17"/>
  <c r="AI136" i="17" s="1"/>
  <c r="O45" i="17"/>
  <c r="AJ45" i="17" s="1"/>
  <c r="AR130" i="17" s="1"/>
  <c r="AL36" i="17" s="1"/>
  <c r="AJ168" i="17"/>
  <c r="O84" i="17"/>
  <c r="AI84" i="17" s="1"/>
  <c r="O48" i="17"/>
  <c r="AJ48" i="17" s="1"/>
  <c r="O160" i="17"/>
  <c r="AI160" i="17" s="1"/>
  <c r="P116" i="17"/>
  <c r="AK116" i="17" s="1"/>
  <c r="AL134" i="17"/>
  <c r="P149" i="17"/>
  <c r="AK149" i="17" s="1"/>
  <c r="P138" i="17"/>
  <c r="AK138" i="17" s="1"/>
  <c r="P124" i="17"/>
  <c r="AK124" i="17" s="1"/>
  <c r="P107" i="17"/>
  <c r="AK107" i="17" s="1"/>
  <c r="P36" i="17"/>
  <c r="AK36" i="17" s="1"/>
  <c r="P13" i="17"/>
  <c r="AK13" i="17" s="1"/>
  <c r="O95" i="17"/>
  <c r="AI95" i="17" s="1"/>
  <c r="O27" i="17"/>
  <c r="AJ27" i="17" s="1"/>
  <c r="P64" i="17"/>
  <c r="AK64" i="17" s="1"/>
  <c r="P112" i="17"/>
  <c r="AK112" i="17" s="1"/>
  <c r="AL80" i="17"/>
  <c r="O54" i="17"/>
  <c r="AJ54" i="17" s="1"/>
  <c r="AL53" i="17"/>
  <c r="AL27" i="17"/>
  <c r="AL123" i="17"/>
  <c r="AL155" i="17"/>
  <c r="AL101" i="17"/>
  <c r="AL67" i="17"/>
  <c r="AL44" i="17"/>
  <c r="AL66" i="17"/>
  <c r="O37" i="17"/>
  <c r="AJ37" i="17" s="1"/>
  <c r="O87" i="17"/>
  <c r="AI87" i="17" s="1"/>
  <c r="P160" i="17"/>
  <c r="AK160" i="17" s="1"/>
  <c r="AJ56" i="17"/>
  <c r="AL151" i="17"/>
  <c r="AL23" i="17"/>
  <c r="AL87" i="17"/>
  <c r="P957" i="16"/>
  <c r="T702" i="16"/>
  <c r="T934" i="16"/>
  <c r="P825" i="16"/>
  <c r="H825" i="9" s="1"/>
  <c r="P720" i="16"/>
  <c r="P1312" i="16"/>
  <c r="H1312" i="9" s="1"/>
  <c r="I1312" i="9" s="1"/>
  <c r="T949" i="16"/>
  <c r="P767" i="16"/>
  <c r="H767" i="9" s="1"/>
  <c r="I767" i="9" s="1"/>
  <c r="T686" i="16"/>
  <c r="P1287" i="16"/>
  <c r="T1246" i="16"/>
  <c r="AL94" i="17"/>
  <c r="T814" i="16"/>
  <c r="T683" i="16"/>
  <c r="T1252" i="16"/>
  <c r="T1270" i="16"/>
  <c r="T1262" i="16"/>
  <c r="T701" i="16"/>
  <c r="P1247" i="16"/>
  <c r="H1247" i="9" s="1"/>
  <c r="I1247" i="9" s="1"/>
  <c r="P1009" i="16"/>
  <c r="H1009" i="9" s="1"/>
  <c r="I1009" i="9" s="1"/>
  <c r="P951" i="16"/>
  <c r="H951" i="9" s="1"/>
  <c r="I951" i="9" s="1"/>
  <c r="P759" i="16"/>
  <c r="P691" i="16"/>
  <c r="H691" i="9" s="1"/>
  <c r="I691" i="9" s="1"/>
  <c r="P820" i="16"/>
  <c r="H820" i="9" s="1"/>
  <c r="P726" i="16"/>
  <c r="P1333" i="16"/>
  <c r="T1333" i="16" s="1"/>
  <c r="T678" i="16"/>
  <c r="T1318" i="16"/>
  <c r="T966" i="16"/>
  <c r="P1329" i="16"/>
  <c r="H1329" i="9" s="1"/>
  <c r="I1329" i="9" s="1"/>
  <c r="P1307" i="16"/>
  <c r="H1307" i="9" s="1"/>
  <c r="I1307" i="9" s="1"/>
  <c r="H1264" i="9"/>
  <c r="T1264" i="16"/>
  <c r="H904" i="9"/>
  <c r="I904" i="9" s="1"/>
  <c r="T904" i="16"/>
  <c r="H1303" i="9"/>
  <c r="I1303" i="9" s="1"/>
  <c r="T1303" i="16"/>
  <c r="AI32" i="17"/>
  <c r="T1334" i="16"/>
  <c r="T1278" i="16"/>
  <c r="T933" i="16"/>
  <c r="P960" i="16"/>
  <c r="H960" i="9" s="1"/>
  <c r="I960" i="9" s="1"/>
  <c r="T902" i="16"/>
  <c r="P1280" i="16"/>
  <c r="H1280" i="9" s="1"/>
  <c r="I1280" i="9" s="1"/>
  <c r="P991" i="16"/>
  <c r="H991" i="9" s="1"/>
  <c r="I991" i="9" s="1"/>
  <c r="P1296" i="16"/>
  <c r="P1321" i="16"/>
  <c r="T1321" i="16" s="1"/>
  <c r="P983" i="16"/>
  <c r="H983" i="9" s="1"/>
  <c r="I983" i="9" s="1"/>
  <c r="T1255" i="16"/>
  <c r="T887" i="16"/>
  <c r="T712" i="16"/>
  <c r="T804" i="16"/>
  <c r="P1263" i="16"/>
  <c r="P893" i="16"/>
  <c r="H893" i="9" s="1"/>
  <c r="I893" i="9" s="1"/>
  <c r="P719" i="16"/>
  <c r="H719" i="9" s="1"/>
  <c r="I719" i="9" s="1"/>
  <c r="T1251" i="16"/>
  <c r="AK66" i="17"/>
  <c r="P725" i="16"/>
  <c r="H725" i="9" s="1"/>
  <c r="I725" i="9" s="1"/>
  <c r="AL158" i="17"/>
  <c r="T1260" i="16"/>
  <c r="P1328" i="16"/>
  <c r="H1328" i="9" s="1"/>
  <c r="P964" i="16"/>
  <c r="T964" i="16" s="1"/>
  <c r="P992" i="16"/>
  <c r="H992" i="9" s="1"/>
  <c r="I992" i="9" s="1"/>
  <c r="T1326" i="16"/>
  <c r="P937" i="16"/>
  <c r="H937" i="9" s="1"/>
  <c r="I937" i="9" s="1"/>
  <c r="T870" i="16"/>
  <c r="T1245" i="16"/>
  <c r="T1259" i="16"/>
  <c r="P1332" i="16"/>
  <c r="H1332" i="9" s="1"/>
  <c r="I1332" i="9" s="1"/>
  <c r="T767" i="16"/>
  <c r="H759" i="9"/>
  <c r="I759" i="9" s="1"/>
  <c r="T759" i="16"/>
  <c r="H1296" i="9"/>
  <c r="I1296" i="9" s="1"/>
  <c r="T1296" i="16"/>
  <c r="H1321" i="9"/>
  <c r="I1321" i="9" s="1"/>
  <c r="O75" i="17"/>
  <c r="O73" i="17"/>
  <c r="O76" i="17"/>
  <c r="AJ76" i="17" s="1"/>
  <c r="O72" i="17"/>
  <c r="O98" i="17"/>
  <c r="AI98" i="17" s="1"/>
  <c r="P85" i="17"/>
  <c r="AK85" i="17" s="1"/>
  <c r="P84" i="17"/>
  <c r="AK84" i="17" s="1"/>
  <c r="P86" i="17"/>
  <c r="AK86" i="17" s="1"/>
  <c r="P3" i="17"/>
  <c r="AK3" i="17" s="1"/>
  <c r="P4" i="17"/>
  <c r="AK4" i="17" s="1"/>
  <c r="P2" i="17"/>
  <c r="P5" i="17"/>
  <c r="AK5" i="17" s="1"/>
  <c r="P6" i="17"/>
  <c r="AK6" i="17" s="1"/>
  <c r="H879" i="9"/>
  <c r="I879" i="9" s="1"/>
  <c r="T879" i="16"/>
  <c r="H815" i="9"/>
  <c r="I815" i="9" s="1"/>
  <c r="T815" i="16"/>
  <c r="P83" i="17"/>
  <c r="AK83" i="17" s="1"/>
  <c r="O29" i="17"/>
  <c r="H926" i="9"/>
  <c r="I926" i="9" s="1"/>
  <c r="T926" i="16"/>
  <c r="H791" i="9"/>
  <c r="I791" i="9" s="1"/>
  <c r="T791" i="16"/>
  <c r="H711" i="9"/>
  <c r="I711" i="9" s="1"/>
  <c r="T711" i="16"/>
  <c r="F1099" i="16"/>
  <c r="F1064" i="16"/>
  <c r="F1033" i="16"/>
  <c r="H726" i="9"/>
  <c r="I726" i="9" s="1"/>
  <c r="T726" i="16"/>
  <c r="P562" i="16"/>
  <c r="H562" i="9" s="1"/>
  <c r="T562" i="16"/>
  <c r="I562" i="9"/>
  <c r="F562" i="16"/>
  <c r="F1346" i="16"/>
  <c r="P1346" i="16" s="1"/>
  <c r="H1346" i="9" s="1"/>
  <c r="I1346" i="9" s="1"/>
  <c r="H728" i="9"/>
  <c r="I728" i="9" s="1"/>
  <c r="T728" i="16"/>
  <c r="F930" i="16"/>
  <c r="P930" i="16" s="1"/>
  <c r="H964" i="9"/>
  <c r="H939" i="9"/>
  <c r="I939" i="9" s="1"/>
  <c r="T939" i="16"/>
  <c r="P171" i="7"/>
  <c r="AH171" i="15"/>
  <c r="R171" i="7" s="1"/>
  <c r="S171" i="7" s="1"/>
  <c r="AR163" i="17" s="1"/>
  <c r="AR15" i="17" s="1"/>
  <c r="AR73" i="17"/>
  <c r="AM12" i="17"/>
  <c r="AR83" i="17" s="1"/>
  <c r="AR19" i="17" s="1"/>
  <c r="O71" i="17"/>
  <c r="O70" i="17"/>
  <c r="AK118" i="17"/>
  <c r="P143" i="17"/>
  <c r="AK143" i="17" s="1"/>
  <c r="P145" i="17"/>
  <c r="AK145" i="17" s="1"/>
  <c r="P142" i="17"/>
  <c r="AK142" i="17" s="1"/>
  <c r="P144" i="17"/>
  <c r="AK144" i="17" s="1"/>
  <c r="O67" i="17"/>
  <c r="AJ67" i="17" s="1"/>
  <c r="O99" i="17"/>
  <c r="P156" i="17"/>
  <c r="AK156" i="17" s="1"/>
  <c r="H878" i="9"/>
  <c r="I878" i="9" s="1"/>
  <c r="T878" i="16"/>
  <c r="H861" i="9"/>
  <c r="I861" i="9" s="1"/>
  <c r="T861" i="16"/>
  <c r="H694" i="9"/>
  <c r="I694" i="9" s="1"/>
  <c r="T694" i="16"/>
  <c r="AL18" i="17" s="1"/>
  <c r="I585" i="9"/>
  <c r="T585" i="16"/>
  <c r="P585" i="16"/>
  <c r="H585" i="9" s="1"/>
  <c r="F585" i="16"/>
  <c r="F779" i="16"/>
  <c r="P779" i="16" s="1"/>
  <c r="F331" i="16"/>
  <c r="I331" i="9"/>
  <c r="T331" i="16"/>
  <c r="P331" i="16"/>
  <c r="H331" i="9" s="1"/>
  <c r="F1338" i="16"/>
  <c r="P1338" i="16" s="1"/>
  <c r="F1016" i="16"/>
  <c r="P167" i="17"/>
  <c r="AK167" i="17" s="1"/>
  <c r="P169" i="17"/>
  <c r="AK169" i="17" s="1"/>
  <c r="P168" i="17"/>
  <c r="AK168" i="17" s="1"/>
  <c r="P131" i="17"/>
  <c r="P133" i="17"/>
  <c r="AK133" i="17" s="1"/>
  <c r="P68" i="17"/>
  <c r="AK68" i="17" s="1"/>
  <c r="P69" i="17"/>
  <c r="AK69" i="17" s="1"/>
  <c r="P70" i="17"/>
  <c r="AK70" i="17" s="1"/>
  <c r="P71" i="17"/>
  <c r="AK71" i="17" s="1"/>
  <c r="P67" i="17"/>
  <c r="P30" i="17"/>
  <c r="AK30" i="17" s="1"/>
  <c r="P28" i="17"/>
  <c r="AK28" i="17" s="1"/>
  <c r="P29" i="17"/>
  <c r="AK29" i="17" s="1"/>
  <c r="P27" i="17"/>
  <c r="AK27" i="17" s="1"/>
  <c r="P8" i="17"/>
  <c r="AK8" i="17" s="1"/>
  <c r="P7" i="17"/>
  <c r="AK7" i="17" s="1"/>
  <c r="P9" i="17"/>
  <c r="AK9" i="17" s="1"/>
  <c r="P172" i="17"/>
  <c r="P170" i="17"/>
  <c r="AK170" i="17" s="1"/>
  <c r="P42" i="17"/>
  <c r="AK42" i="17" s="1"/>
  <c r="P43" i="17"/>
  <c r="AK43" i="17" s="1"/>
  <c r="P46" i="17"/>
  <c r="AK46" i="17" s="1"/>
  <c r="AM74" i="17" s="1"/>
  <c r="AL78" i="17" s="1"/>
  <c r="O163" i="17"/>
  <c r="AJ163" i="17" s="1"/>
  <c r="O161" i="17"/>
  <c r="O162" i="17"/>
  <c r="AI162" i="17" s="1"/>
  <c r="O46" i="17"/>
  <c r="AI46" i="17" s="1"/>
  <c r="H1309" i="9"/>
  <c r="I1309" i="9" s="1"/>
  <c r="T1309" i="16"/>
  <c r="H958" i="9"/>
  <c r="I958" i="9" s="1"/>
  <c r="T958" i="16"/>
  <c r="H750" i="9"/>
  <c r="I750" i="9" s="1"/>
  <c r="T750" i="16"/>
  <c r="F451" i="16"/>
  <c r="P451" i="16"/>
  <c r="H451" i="9" s="1"/>
  <c r="I451" i="9"/>
  <c r="T451" i="16"/>
  <c r="AK153" i="17"/>
  <c r="O122" i="17"/>
  <c r="O123" i="17"/>
  <c r="O59" i="17"/>
  <c r="O60" i="17"/>
  <c r="AJ60" i="17" s="1"/>
  <c r="O57" i="17"/>
  <c r="O61" i="17"/>
  <c r="O12" i="17"/>
  <c r="AJ12" i="17" s="1"/>
  <c r="O13" i="17"/>
  <c r="O14" i="17"/>
  <c r="AJ14" i="17" s="1"/>
  <c r="AR99" i="17" s="1"/>
  <c r="AL156" i="17"/>
  <c r="AL92" i="17"/>
  <c r="AL28" i="17"/>
  <c r="P82" i="17"/>
  <c r="AK82" i="17" s="1"/>
  <c r="O130" i="17"/>
  <c r="AJ130" i="17" s="1"/>
  <c r="O129" i="17"/>
  <c r="O128" i="17"/>
  <c r="AJ128" i="17" s="1"/>
  <c r="O100" i="17"/>
  <c r="AI100" i="17" s="1"/>
  <c r="H919" i="9"/>
  <c r="I919" i="9" s="1"/>
  <c r="T919" i="16"/>
  <c r="P44" i="17"/>
  <c r="AK44" i="17" s="1"/>
  <c r="O97" i="17"/>
  <c r="O58" i="17"/>
  <c r="T950" i="16"/>
  <c r="P130" i="17"/>
  <c r="AK130" i="17" s="1"/>
  <c r="H909" i="9"/>
  <c r="I909" i="9" s="1"/>
  <c r="T909" i="16"/>
  <c r="AL146" i="17"/>
  <c r="AI112" i="17"/>
  <c r="P150" i="17"/>
  <c r="AK150" i="17" s="1"/>
  <c r="P151" i="17"/>
  <c r="AK151" i="17" s="1"/>
  <c r="P152" i="17"/>
  <c r="AK152" i="17" s="1"/>
  <c r="F1281" i="16"/>
  <c r="P1281" i="16" s="1"/>
  <c r="H1281" i="9" s="1"/>
  <c r="I1281" i="9" s="1"/>
  <c r="F1186" i="16"/>
  <c r="F1331" i="16"/>
  <c r="P1331" i="16" s="1"/>
  <c r="F1274" i="16"/>
  <c r="P1274" i="16" s="1"/>
  <c r="F946" i="16"/>
  <c r="P946" i="16" s="1"/>
  <c r="F1253" i="16"/>
  <c r="P1253" i="16" s="1"/>
  <c r="H935" i="9"/>
  <c r="I935" i="9" s="1"/>
  <c r="T935" i="16"/>
  <c r="F746" i="16"/>
  <c r="P746" i="16" s="1"/>
  <c r="F1305" i="16"/>
  <c r="P1305" i="16" s="1"/>
  <c r="H1305" i="9" s="1"/>
  <c r="I1305" i="9" s="1"/>
  <c r="O348" i="16"/>
  <c r="P755" i="16"/>
  <c r="O28" i="17"/>
  <c r="AJ28" i="17" s="1"/>
  <c r="O30" i="17"/>
  <c r="AI30" i="17" s="1"/>
  <c r="P154" i="17"/>
  <c r="AK154" i="17" s="1"/>
  <c r="P157" i="17"/>
  <c r="AK157" i="17" s="1"/>
  <c r="P155" i="17"/>
  <c r="AK155" i="17" s="1"/>
  <c r="P121" i="17"/>
  <c r="AK121" i="17" s="1"/>
  <c r="P120" i="17"/>
  <c r="AK120" i="17" s="1"/>
  <c r="P119" i="17"/>
  <c r="AK119" i="17" s="1"/>
  <c r="P89" i="17"/>
  <c r="AK89" i="17" s="1"/>
  <c r="P91" i="17"/>
  <c r="AK91" i="17" s="1"/>
  <c r="P90" i="17"/>
  <c r="AK90" i="17" s="1"/>
  <c r="P88" i="17"/>
  <c r="AK88" i="17" s="1"/>
  <c r="P50" i="17"/>
  <c r="AK50" i="17" s="1"/>
  <c r="P51" i="17"/>
  <c r="AK51" i="17" s="1"/>
  <c r="P47" i="17"/>
  <c r="AK47" i="17" s="1"/>
  <c r="P49" i="17"/>
  <c r="AK49" i="17" s="1"/>
  <c r="P48" i="17"/>
  <c r="AK48" i="17" s="1"/>
  <c r="AL136" i="17"/>
  <c r="AI155" i="17"/>
  <c r="P132" i="17"/>
  <c r="AK132" i="17" s="1"/>
  <c r="O34" i="17"/>
  <c r="AJ34" i="17" s="1"/>
  <c r="O36" i="17"/>
  <c r="AJ36" i="17" s="1"/>
  <c r="O35" i="17"/>
  <c r="AJ35" i="17" s="1"/>
  <c r="O33" i="17"/>
  <c r="AL100" i="17" s="1"/>
  <c r="AI65" i="17"/>
  <c r="P55" i="17"/>
  <c r="AK55" i="17" s="1"/>
  <c r="P25" i="17"/>
  <c r="AK25" i="17" s="1"/>
  <c r="P26" i="17"/>
  <c r="AK26" i="17" s="1"/>
  <c r="P23" i="17"/>
  <c r="AK23" i="17" s="1"/>
  <c r="P22" i="17"/>
  <c r="AK22" i="17" s="1"/>
  <c r="P147" i="17"/>
  <c r="AK147" i="17" s="1"/>
  <c r="O863" i="16"/>
  <c r="P863" i="16" s="1"/>
  <c r="P87" i="17"/>
  <c r="AK87" i="17" s="1"/>
  <c r="H1333" i="9"/>
  <c r="I1333" i="9" s="1"/>
  <c r="H766" i="9"/>
  <c r="I766" i="9" s="1"/>
  <c r="T766" i="16"/>
  <c r="H727" i="9"/>
  <c r="I727" i="9" s="1"/>
  <c r="T727" i="16"/>
  <c r="P24" i="17"/>
  <c r="AK24" i="17" s="1"/>
  <c r="AR7" i="17" s="1"/>
  <c r="F1145" i="16"/>
  <c r="F1211" i="16"/>
  <c r="H1344" i="9"/>
  <c r="I1344" i="9" s="1"/>
  <c r="T1344" i="16"/>
  <c r="F818" i="16"/>
  <c r="P818" i="16" s="1"/>
  <c r="F682" i="16"/>
  <c r="P682" i="16" s="1"/>
  <c r="T170" i="16"/>
  <c r="P170" i="16"/>
  <c r="H170" i="9" s="1"/>
  <c r="I170" i="9"/>
  <c r="T323" i="16"/>
  <c r="P323" i="16"/>
  <c r="H323" i="9" s="1"/>
  <c r="I323" i="9"/>
  <c r="F323" i="16"/>
  <c r="T195" i="16"/>
  <c r="P195" i="16"/>
  <c r="H195" i="9" s="1"/>
  <c r="F195" i="16"/>
  <c r="I195" i="9"/>
  <c r="H839" i="9"/>
  <c r="I839" i="9" s="1"/>
  <c r="T839" i="16"/>
  <c r="O139" i="17"/>
  <c r="O138" i="17"/>
  <c r="O140" i="17"/>
  <c r="AJ140" i="17" s="1"/>
  <c r="O107" i="17"/>
  <c r="O109" i="17"/>
  <c r="O108" i="17"/>
  <c r="AI108" i="17" s="1"/>
  <c r="AL132" i="17" s="1"/>
  <c r="AL4" i="17" s="1"/>
  <c r="AM66" i="17" s="1"/>
  <c r="AI35" i="17"/>
  <c r="O174" i="17"/>
  <c r="AI174" i="17" s="1"/>
  <c r="P141" i="17"/>
  <c r="AK141" i="17" s="1"/>
  <c r="AR107" i="17" s="1"/>
  <c r="O142" i="17"/>
  <c r="AI142" i="17" s="1"/>
  <c r="O145" i="17"/>
  <c r="H783" i="9"/>
  <c r="I783" i="9" s="1"/>
  <c r="T783" i="16"/>
  <c r="P139" i="17"/>
  <c r="AK139" i="17" s="1"/>
  <c r="P108" i="17"/>
  <c r="AK108" i="17" s="1"/>
  <c r="P62" i="17"/>
  <c r="AK62" i="17" s="1"/>
  <c r="O143" i="17"/>
  <c r="P45" i="17"/>
  <c r="AK45" i="17" s="1"/>
  <c r="T742" i="16"/>
  <c r="H782" i="9"/>
  <c r="I782" i="9" s="1"/>
  <c r="T782" i="16"/>
  <c r="O62" i="17"/>
  <c r="AI62" i="17" s="1"/>
  <c r="O66" i="17"/>
  <c r="AJ133" i="17"/>
  <c r="T994" i="16"/>
  <c r="F994" i="16"/>
  <c r="P994" i="16" s="1"/>
  <c r="H994" i="9" s="1"/>
  <c r="I994" i="9" s="1"/>
  <c r="T457" i="16"/>
  <c r="P457" i="16"/>
  <c r="H457" i="9" s="1"/>
  <c r="I457" i="9"/>
  <c r="T434" i="16"/>
  <c r="P434" i="16"/>
  <c r="H434" i="9" s="1"/>
  <c r="I434" i="9"/>
  <c r="F434" i="16"/>
  <c r="T265" i="16"/>
  <c r="P265" i="16"/>
  <c r="H265" i="9" s="1"/>
  <c r="I265" i="9"/>
  <c r="T242" i="16"/>
  <c r="P242" i="16"/>
  <c r="H242" i="9" s="1"/>
  <c r="I242" i="9"/>
  <c r="F242" i="16"/>
  <c r="F1248" i="16"/>
  <c r="P1248" i="16" s="1"/>
  <c r="F1125" i="16"/>
  <c r="P920" i="16"/>
  <c r="F170" i="16"/>
  <c r="F1026" i="16"/>
  <c r="H845" i="9"/>
  <c r="I845" i="9" s="1"/>
  <c r="T845" i="16"/>
  <c r="P761" i="16"/>
  <c r="H761" i="9" s="1"/>
  <c r="O528" i="16"/>
  <c r="H687" i="9"/>
  <c r="I687" i="9" s="1"/>
  <c r="T687" i="16"/>
  <c r="AM153" i="17" s="1"/>
  <c r="AM89" i="17" s="1"/>
  <c r="AR77" i="17" s="1"/>
  <c r="AM53" i="17" s="1"/>
  <c r="AI92" i="17"/>
  <c r="AL24" i="17" s="1"/>
  <c r="AK172" i="17"/>
  <c r="AR51" i="17" s="1"/>
  <c r="P15" i="17"/>
  <c r="AR165" i="17" s="1"/>
  <c r="AL12" i="17"/>
  <c r="P136" i="17"/>
  <c r="AK136" i="17" s="1"/>
  <c r="P137" i="17"/>
  <c r="AK137" i="17" s="1"/>
  <c r="P135" i="17"/>
  <c r="AK135" i="17" s="1"/>
  <c r="AR79" i="17" s="1"/>
  <c r="AL174" i="17"/>
  <c r="O51" i="17"/>
  <c r="AI51" i="17" s="1"/>
  <c r="O49" i="17"/>
  <c r="O47" i="17"/>
  <c r="P105" i="17"/>
  <c r="AK105" i="17" s="1"/>
  <c r="P104" i="17"/>
  <c r="AK104" i="17" s="1"/>
  <c r="P103" i="17"/>
  <c r="AK103" i="17" s="1"/>
  <c r="P102" i="17"/>
  <c r="AK102" i="17" s="1"/>
  <c r="P106" i="17"/>
  <c r="AK106" i="17" s="1"/>
  <c r="AL102" i="17"/>
  <c r="AL98" i="17" s="1"/>
  <c r="AR93" i="17" s="1"/>
  <c r="P10" i="17"/>
  <c r="AK10" i="17" s="1"/>
  <c r="H942" i="9"/>
  <c r="I942" i="9" s="1"/>
  <c r="T942" i="16"/>
  <c r="H775" i="9"/>
  <c r="I775" i="9" s="1"/>
  <c r="T775" i="16"/>
  <c r="H710" i="9"/>
  <c r="I710" i="9" s="1"/>
  <c r="T710" i="16"/>
  <c r="O68" i="17"/>
  <c r="AJ68" i="17" s="1"/>
  <c r="F1339" i="16"/>
  <c r="P1339" i="16" s="1"/>
  <c r="H1339" i="9" s="1"/>
  <c r="I1339" i="9" s="1"/>
  <c r="F1073" i="16"/>
  <c r="F690" i="16"/>
  <c r="P690" i="16" s="1"/>
  <c r="F874" i="16"/>
  <c r="P874" i="16" s="1"/>
  <c r="H874" i="9" s="1"/>
  <c r="I874" i="9" s="1"/>
  <c r="P257" i="16"/>
  <c r="H257" i="9" s="1"/>
  <c r="T257" i="16"/>
  <c r="I257" i="9"/>
  <c r="F257" i="16"/>
  <c r="P175" i="17"/>
  <c r="AK175" i="17" s="1"/>
  <c r="P173" i="17"/>
  <c r="AK173" i="17" s="1"/>
  <c r="P162" i="17"/>
  <c r="AK162" i="17" s="1"/>
  <c r="P126" i="17"/>
  <c r="AK126" i="17" s="1"/>
  <c r="P127" i="17"/>
  <c r="AK127" i="17" s="1"/>
  <c r="P113" i="17"/>
  <c r="AK113" i="17" s="1"/>
  <c r="P114" i="17"/>
  <c r="AK114" i="17" s="1"/>
  <c r="P115" i="17"/>
  <c r="AK115" i="17" s="1"/>
  <c r="P100" i="17"/>
  <c r="AK100" i="17" s="1"/>
  <c r="P97" i="17"/>
  <c r="AK97" i="17" s="1"/>
  <c r="P98" i="17"/>
  <c r="AK98" i="17" s="1"/>
  <c r="P95" i="17"/>
  <c r="AK95" i="17" s="1"/>
  <c r="P92" i="17"/>
  <c r="AK92" i="17" s="1"/>
  <c r="P79" i="17"/>
  <c r="AK79" i="17" s="1"/>
  <c r="P81" i="17"/>
  <c r="AK81" i="17" s="1"/>
  <c r="P80" i="17"/>
  <c r="AK80" i="17" s="1"/>
  <c r="P77" i="17"/>
  <c r="AK77" i="17" s="1"/>
  <c r="P78" i="17"/>
  <c r="AK78" i="17" s="1"/>
  <c r="P60" i="17"/>
  <c r="AK60" i="17" s="1"/>
  <c r="P58" i="17"/>
  <c r="AK58" i="17" s="1"/>
  <c r="P59" i="17"/>
  <c r="AK59" i="17" s="1"/>
  <c r="P61" i="17"/>
  <c r="AK61" i="17" s="1"/>
  <c r="P37" i="17"/>
  <c r="AK37" i="17" s="1"/>
  <c r="P38" i="17"/>
  <c r="AK38" i="17" s="1"/>
  <c r="P41" i="17"/>
  <c r="AK41" i="17" s="1"/>
  <c r="P40" i="17"/>
  <c r="AK40" i="17" s="1"/>
  <c r="P35" i="17"/>
  <c r="AK35" i="17" s="1"/>
  <c r="P34" i="17"/>
  <c r="AK34" i="17" s="1"/>
  <c r="P17" i="17"/>
  <c r="AK17" i="17" s="1"/>
  <c r="P18" i="17"/>
  <c r="AK18" i="17" s="1"/>
  <c r="P19" i="17"/>
  <c r="AK19" i="17" s="1"/>
  <c r="P14" i="17"/>
  <c r="AK14" i="17" s="1"/>
  <c r="AM167" i="17" s="1"/>
  <c r="AM135" i="17" s="1"/>
  <c r="AM127" i="17" s="1"/>
  <c r="AM123" i="17" s="1"/>
  <c r="AM103" i="17" s="1"/>
  <c r="AM83" i="17" s="1"/>
  <c r="AM27" i="17" s="1"/>
  <c r="AM7" i="17" s="1"/>
  <c r="O171" i="17"/>
  <c r="AL104" i="17"/>
  <c r="O42" i="17"/>
  <c r="O43" i="17"/>
  <c r="O44" i="17"/>
  <c r="AJ44" i="17" s="1"/>
  <c r="AL74" i="17" s="1"/>
  <c r="AL10" i="17" s="1"/>
  <c r="P63" i="17"/>
  <c r="AK63" i="17" s="1"/>
  <c r="P65" i="17"/>
  <c r="AK65" i="17" s="1"/>
  <c r="AL50" i="17"/>
  <c r="P174" i="17"/>
  <c r="AK174" i="17" s="1"/>
  <c r="AL38" i="17" s="1"/>
  <c r="AL48" i="17" s="1"/>
  <c r="O166" i="17"/>
  <c r="AI166" i="17" s="1"/>
  <c r="O165" i="17"/>
  <c r="AL46" i="17" s="1"/>
  <c r="P21" i="17"/>
  <c r="AK21" i="17" s="1"/>
  <c r="O15" i="17"/>
  <c r="P161" i="17"/>
  <c r="AK161" i="17" s="1"/>
  <c r="P93" i="17"/>
  <c r="AK93" i="17" s="1"/>
  <c r="H806" i="9"/>
  <c r="I806" i="9" s="1"/>
  <c r="T806" i="16"/>
  <c r="T758" i="16"/>
  <c r="H797" i="9"/>
  <c r="I797" i="9" s="1"/>
  <c r="T797" i="16"/>
  <c r="P163" i="17"/>
  <c r="AK163" i="17" s="1"/>
  <c r="P32" i="17"/>
  <c r="AK32" i="17" s="1"/>
  <c r="P158" i="17"/>
  <c r="AK158" i="17" s="1"/>
  <c r="P159" i="17"/>
  <c r="AK159" i="17" s="1"/>
  <c r="O74" i="17"/>
  <c r="F1027" i="16"/>
  <c r="F457" i="16"/>
  <c r="T393" i="16"/>
  <c r="P393" i="16"/>
  <c r="H393" i="9" s="1"/>
  <c r="I393" i="9"/>
  <c r="P370" i="16"/>
  <c r="H370" i="9" s="1"/>
  <c r="I370" i="9"/>
  <c r="T370" i="16"/>
  <c r="F370" i="16"/>
  <c r="F265" i="16"/>
  <c r="T459" i="16"/>
  <c r="P459" i="16"/>
  <c r="H459" i="9" s="1"/>
  <c r="F459" i="16"/>
  <c r="I459" i="9"/>
  <c r="O569" i="16"/>
  <c r="O515" i="16"/>
  <c r="T387" i="16"/>
  <c r="P387" i="16"/>
  <c r="H387" i="9" s="1"/>
  <c r="I387" i="9"/>
  <c r="F387" i="16"/>
  <c r="P354" i="16"/>
  <c r="H354" i="9" s="1"/>
  <c r="T354" i="16"/>
  <c r="I354" i="9"/>
  <c r="F354" i="16"/>
  <c r="F1277" i="16"/>
  <c r="P1277" i="16" s="1"/>
  <c r="AK171" i="17"/>
  <c r="AK131" i="17"/>
  <c r="AK111" i="17"/>
  <c r="AK67" i="17"/>
  <c r="AK15" i="17"/>
  <c r="AL168" i="17"/>
  <c r="O156" i="17"/>
  <c r="AJ156" i="17" s="1"/>
  <c r="P123" i="17"/>
  <c r="AK123" i="17" s="1"/>
  <c r="P122" i="17"/>
  <c r="AK122" i="17" s="1"/>
  <c r="AL120" i="17" s="1"/>
  <c r="P96" i="17"/>
  <c r="AK96" i="17" s="1"/>
  <c r="AR3" i="17" s="1"/>
  <c r="AM156" i="17" s="1"/>
  <c r="AM92" i="17" s="1"/>
  <c r="AL60" i="17"/>
  <c r="AM28" i="17" s="1"/>
  <c r="AJ32" i="17"/>
  <c r="AL144" i="17" s="1"/>
  <c r="AR157" i="17" s="1"/>
  <c r="O50" i="17"/>
  <c r="AI50" i="17" s="1"/>
  <c r="AR27" i="17" s="1"/>
  <c r="O105" i="17"/>
  <c r="O104" i="17"/>
  <c r="O106" i="17"/>
  <c r="O102" i="17"/>
  <c r="AJ102" i="17" s="1"/>
  <c r="P11" i="17"/>
  <c r="AK11" i="17" s="1"/>
  <c r="O170" i="17"/>
  <c r="P128" i="17"/>
  <c r="AK128" i="17" s="1"/>
  <c r="O31" i="17"/>
  <c r="O173" i="17"/>
  <c r="P109" i="17"/>
  <c r="AK109" i="17" s="1"/>
  <c r="T886" i="16"/>
  <c r="O373" i="16"/>
  <c r="H718" i="9"/>
  <c r="I718" i="9" s="1"/>
  <c r="T718" i="16"/>
  <c r="P110" i="17"/>
  <c r="AK110" i="17" s="1"/>
  <c r="F1217" i="16"/>
  <c r="F1242" i="16"/>
  <c r="H736" i="9"/>
  <c r="I736" i="9" s="1"/>
  <c r="T736" i="16"/>
  <c r="F713" i="16"/>
  <c r="P713" i="16" s="1"/>
  <c r="T626" i="16"/>
  <c r="P626" i="16"/>
  <c r="H626" i="9" s="1"/>
  <c r="I626" i="9"/>
  <c r="F626" i="16"/>
  <c r="F587" i="16"/>
  <c r="T587" i="16"/>
  <c r="I587" i="9"/>
  <c r="P587" i="16"/>
  <c r="H587" i="9" s="1"/>
  <c r="T298" i="16"/>
  <c r="P298" i="16"/>
  <c r="H298" i="9" s="1"/>
  <c r="I298" i="9"/>
  <c r="F298" i="16"/>
  <c r="H1287" i="9"/>
  <c r="I1287" i="9" s="1"/>
  <c r="T1287" i="16"/>
  <c r="P953" i="16"/>
  <c r="T346" i="16"/>
  <c r="I346" i="9"/>
  <c r="F346" i="16"/>
  <c r="F1176" i="16"/>
  <c r="F1156" i="16"/>
  <c r="I615" i="9"/>
  <c r="F615" i="16"/>
  <c r="I180" i="9"/>
  <c r="T180" i="16"/>
  <c r="F180" i="16"/>
  <c r="F1131" i="16"/>
  <c r="F581" i="16"/>
  <c r="P581" i="16"/>
  <c r="H581" i="9" s="1"/>
  <c r="I581" i="9"/>
  <c r="T581" i="16"/>
  <c r="F557" i="16"/>
  <c r="P557" i="16"/>
  <c r="H557" i="9" s="1"/>
  <c r="I557" i="9"/>
  <c r="P529" i="16"/>
  <c r="H529" i="9" s="1"/>
  <c r="I529" i="9"/>
  <c r="T529" i="16"/>
  <c r="F529" i="16"/>
  <c r="F1282" i="16"/>
  <c r="P1282" i="16" s="1"/>
  <c r="P952" i="16"/>
  <c r="H952" i="9" s="1"/>
  <c r="I952" i="9" s="1"/>
  <c r="I444" i="9"/>
  <c r="F444" i="16"/>
  <c r="P444" i="16"/>
  <c r="H444" i="9" s="1"/>
  <c r="T444" i="16"/>
  <c r="I371" i="9"/>
  <c r="T371" i="16"/>
  <c r="F371" i="16"/>
  <c r="P371" i="16"/>
  <c r="H371" i="9" s="1"/>
  <c r="F631" i="16"/>
  <c r="I631" i="9"/>
  <c r="T631" i="16"/>
  <c r="P631" i="16"/>
  <c r="H631" i="9" s="1"/>
  <c r="F990" i="16"/>
  <c r="P990" i="16" s="1"/>
  <c r="H990" i="9" s="1"/>
  <c r="I990" i="9" s="1"/>
  <c r="AH173" i="15"/>
  <c r="R173" i="7" s="1"/>
  <c r="S173" i="7" s="1"/>
  <c r="P173" i="7"/>
  <c r="P31" i="7"/>
  <c r="AH31" i="15"/>
  <c r="R31" i="7" s="1"/>
  <c r="S31" i="7" s="1"/>
  <c r="I402" i="9"/>
  <c r="T402" i="16"/>
  <c r="F402" i="16"/>
  <c r="P402" i="16"/>
  <c r="H402" i="9" s="1"/>
  <c r="P932" i="16"/>
  <c r="F772" i="16"/>
  <c r="P772" i="16" s="1"/>
  <c r="P123" i="7"/>
  <c r="AH123" i="15"/>
  <c r="R123" i="7" s="1"/>
  <c r="S123" i="7" s="1"/>
  <c r="AG69" i="15"/>
  <c r="Q69" i="7" s="1"/>
  <c r="P10" i="7"/>
  <c r="AH10" i="15"/>
  <c r="R10" i="7" s="1"/>
  <c r="S10" i="7" s="1"/>
  <c r="P6" i="7"/>
  <c r="T1332" i="16"/>
  <c r="O905" i="16"/>
  <c r="T538" i="16"/>
  <c r="P538" i="16"/>
  <c r="H538" i="9" s="1"/>
  <c r="I538" i="9"/>
  <c r="T1290" i="16"/>
  <c r="O833" i="16"/>
  <c r="F762" i="16"/>
  <c r="P762" i="16" s="1"/>
  <c r="F645" i="16"/>
  <c r="P645" i="16"/>
  <c r="H645" i="9" s="1"/>
  <c r="I645" i="9"/>
  <c r="T645" i="16"/>
  <c r="F606" i="16"/>
  <c r="I606" i="9"/>
  <c r="P606" i="16"/>
  <c r="H606" i="9" s="1"/>
  <c r="F447" i="16"/>
  <c r="I447" i="9"/>
  <c r="T447" i="16"/>
  <c r="P447" i="16"/>
  <c r="H447" i="9" s="1"/>
  <c r="P180" i="16"/>
  <c r="H180" i="9" s="1"/>
  <c r="T143" i="16"/>
  <c r="P143" i="16"/>
  <c r="H143" i="9" s="1"/>
  <c r="I143" i="9"/>
  <c r="F704" i="16"/>
  <c r="P704" i="16" s="1"/>
  <c r="I376" i="9"/>
  <c r="P376" i="16"/>
  <c r="H376" i="9" s="1"/>
  <c r="T376" i="16"/>
  <c r="T232" i="16"/>
  <c r="I232" i="9"/>
  <c r="F232" i="16"/>
  <c r="T56" i="16"/>
  <c r="F56" i="16"/>
  <c r="P56" i="16"/>
  <c r="H56" i="9" s="1"/>
  <c r="I56" i="9"/>
  <c r="T606" i="16"/>
  <c r="I219" i="9"/>
  <c r="T219" i="16"/>
  <c r="F219" i="16"/>
  <c r="T78" i="16"/>
  <c r="P78" i="16"/>
  <c r="H78" i="9" s="1"/>
  <c r="I78" i="9"/>
  <c r="F78" i="16"/>
  <c r="F1256" i="16"/>
  <c r="P1256" i="16" s="1"/>
  <c r="P896" i="16"/>
  <c r="I142" i="9"/>
  <c r="F142" i="16"/>
  <c r="T142" i="16"/>
  <c r="F898" i="16"/>
  <c r="I260" i="9"/>
  <c r="T260" i="16"/>
  <c r="F260" i="16"/>
  <c r="P260" i="16"/>
  <c r="H260" i="9" s="1"/>
  <c r="H823" i="9"/>
  <c r="I823" i="9" s="1"/>
  <c r="T823" i="16"/>
  <c r="I330" i="9"/>
  <c r="T330" i="16"/>
  <c r="P330" i="16"/>
  <c r="H330" i="9" s="1"/>
  <c r="F330" i="16"/>
  <c r="T67" i="16"/>
  <c r="F67" i="16"/>
  <c r="I67" i="9"/>
  <c r="P67" i="16"/>
  <c r="H67" i="9" s="1"/>
  <c r="H1316" i="9"/>
  <c r="I1316" i="9" s="1"/>
  <c r="T1316" i="16"/>
  <c r="T50" i="16"/>
  <c r="I50" i="9"/>
  <c r="P50" i="16"/>
  <c r="H50" i="9" s="1"/>
  <c r="F50" i="16"/>
  <c r="I111" i="9"/>
  <c r="P111" i="16"/>
  <c r="H111" i="9" s="1"/>
  <c r="T111" i="16"/>
  <c r="F111" i="16"/>
  <c r="P927" i="16"/>
  <c r="AE37" i="15"/>
  <c r="O37" i="7" s="1"/>
  <c r="AF37" i="15"/>
  <c r="P97" i="7"/>
  <c r="I20" i="9"/>
  <c r="T20" i="16"/>
  <c r="P20" i="16"/>
  <c r="H20" i="9" s="1"/>
  <c r="F20" i="16"/>
  <c r="F1115" i="16"/>
  <c r="F1008" i="16"/>
  <c r="P1008" i="16" s="1"/>
  <c r="H1008" i="9" s="1"/>
  <c r="I1008" i="9" s="1"/>
  <c r="P635" i="16"/>
  <c r="H635" i="9" s="1"/>
  <c r="F635" i="16"/>
  <c r="T635" i="16"/>
  <c r="I635" i="9"/>
  <c r="O457" i="16"/>
  <c r="P1007" i="16"/>
  <c r="H1007" i="9" s="1"/>
  <c r="I1007" i="9" s="1"/>
  <c r="F629" i="16"/>
  <c r="I629" i="9"/>
  <c r="P629" i="16"/>
  <c r="H629" i="9" s="1"/>
  <c r="T629" i="16"/>
  <c r="I188" i="9"/>
  <c r="T188" i="16"/>
  <c r="F188" i="16"/>
  <c r="H1319" i="9"/>
  <c r="I1319" i="9" s="1"/>
  <c r="T1319" i="16"/>
  <c r="F1210" i="16"/>
  <c r="P903" i="16"/>
  <c r="F708" i="16"/>
  <c r="P708" i="16" s="1"/>
  <c r="I307" i="9"/>
  <c r="T307" i="16"/>
  <c r="F307" i="16"/>
  <c r="P307" i="16"/>
  <c r="H307" i="9" s="1"/>
  <c r="P475" i="16"/>
  <c r="H475" i="9" s="1"/>
  <c r="I475" i="9"/>
  <c r="T475" i="16"/>
  <c r="F475" i="16"/>
  <c r="I233" i="9"/>
  <c r="P233" i="16"/>
  <c r="H233" i="9" s="1"/>
  <c r="F233" i="16"/>
  <c r="F106" i="16"/>
  <c r="P106" i="16"/>
  <c r="H106" i="9" s="1"/>
  <c r="I106" i="9"/>
  <c r="T106" i="16"/>
  <c r="T368" i="16"/>
  <c r="I368" i="9"/>
  <c r="F368" i="16"/>
  <c r="F64" i="16"/>
  <c r="P64" i="16"/>
  <c r="H64" i="9" s="1"/>
  <c r="I64" i="9"/>
  <c r="T64" i="16"/>
  <c r="F884" i="16"/>
  <c r="P884" i="16" s="1"/>
  <c r="AH175" i="15"/>
  <c r="R175" i="7" s="1"/>
  <c r="S175" i="7" s="1"/>
  <c r="P175" i="7"/>
  <c r="I547" i="9"/>
  <c r="F547" i="16"/>
  <c r="P547" i="16"/>
  <c r="H547" i="9" s="1"/>
  <c r="T547" i="16"/>
  <c r="F749" i="16"/>
  <c r="P749" i="16" s="1"/>
  <c r="I18" i="9"/>
  <c r="T18" i="16"/>
  <c r="P18" i="16"/>
  <c r="H18" i="9" s="1"/>
  <c r="F18" i="16"/>
  <c r="AE144" i="15"/>
  <c r="O144" i="7" s="1"/>
  <c r="AF144" i="15"/>
  <c r="H1335" i="9"/>
  <c r="I1335" i="9" s="1"/>
  <c r="T1335" i="16"/>
  <c r="I72" i="9"/>
  <c r="T72" i="16"/>
  <c r="P72" i="16"/>
  <c r="H72" i="9" s="1"/>
  <c r="F72" i="16"/>
  <c r="AL138" i="17" s="1"/>
  <c r="O80" i="17"/>
  <c r="AJ80" i="17" s="1"/>
  <c r="O81" i="17"/>
  <c r="AR174" i="17"/>
  <c r="P75" i="17"/>
  <c r="AK75" i="17" s="1"/>
  <c r="O86" i="17"/>
  <c r="O85" i="17"/>
  <c r="AJ85" i="17" s="1"/>
  <c r="P615" i="16"/>
  <c r="H615" i="9" s="1"/>
  <c r="AI91" i="17"/>
  <c r="H957" i="9"/>
  <c r="I957" i="9" s="1"/>
  <c r="T957" i="16"/>
  <c r="O549" i="16"/>
  <c r="AJ126" i="17"/>
  <c r="F1153" i="16"/>
  <c r="P1337" i="16"/>
  <c r="H1337" i="9" s="1"/>
  <c r="I1337" i="9" s="1"/>
  <c r="F1037" i="16"/>
  <c r="F1042" i="16"/>
  <c r="F1177" i="16"/>
  <c r="F979" i="16"/>
  <c r="P979" i="16"/>
  <c r="H979" i="9" s="1"/>
  <c r="I979" i="9" s="1"/>
  <c r="T979" i="16"/>
  <c r="P649" i="16"/>
  <c r="H649" i="9" s="1"/>
  <c r="T649" i="16"/>
  <c r="I649" i="9"/>
  <c r="P856" i="16"/>
  <c r="F833" i="16"/>
  <c r="P833" i="16" s="1"/>
  <c r="F789" i="16"/>
  <c r="P789" i="16"/>
  <c r="H789" i="9" s="1"/>
  <c r="I789" i="9" s="1"/>
  <c r="T789" i="16"/>
  <c r="F963" i="16"/>
  <c r="P963" i="16" s="1"/>
  <c r="O848" i="16"/>
  <c r="H720" i="9"/>
  <c r="I720" i="9" s="1"/>
  <c r="T720" i="16"/>
  <c r="T569" i="16"/>
  <c r="I569" i="9"/>
  <c r="P569" i="16"/>
  <c r="H569" i="9" s="1"/>
  <c r="F569" i="16"/>
  <c r="P482" i="16"/>
  <c r="H482" i="9" s="1"/>
  <c r="T482" i="16"/>
  <c r="I482" i="9"/>
  <c r="F1184" i="16"/>
  <c r="F1012" i="16"/>
  <c r="O928" i="16"/>
  <c r="P928" i="16" s="1"/>
  <c r="O777" i="16"/>
  <c r="F538" i="16"/>
  <c r="O416" i="16"/>
  <c r="P369" i="16"/>
  <c r="H369" i="9" s="1"/>
  <c r="I369" i="9"/>
  <c r="F369" i="16"/>
  <c r="T369" i="16"/>
  <c r="P315" i="16"/>
  <c r="H315" i="9" s="1"/>
  <c r="T315" i="16"/>
  <c r="F315" i="16"/>
  <c r="I315" i="9"/>
  <c r="F1323" i="16"/>
  <c r="P1323" i="16" s="1"/>
  <c r="F1128" i="16"/>
  <c r="F770" i="16"/>
  <c r="P770" i="16" s="1"/>
  <c r="F752" i="16"/>
  <c r="P752" i="16" s="1"/>
  <c r="F453" i="16"/>
  <c r="P453" i="16"/>
  <c r="H453" i="9" s="1"/>
  <c r="I453" i="9"/>
  <c r="P188" i="16"/>
  <c r="H188" i="9" s="1"/>
  <c r="F143" i="16"/>
  <c r="H1311" i="9"/>
  <c r="I1311" i="9" s="1"/>
  <c r="T1311" i="16"/>
  <c r="P744" i="16"/>
  <c r="H744" i="9" s="1"/>
  <c r="F376" i="16"/>
  <c r="F1132" i="16"/>
  <c r="T691" i="16"/>
  <c r="I150" i="9"/>
  <c r="F150" i="16"/>
  <c r="T150" i="16"/>
  <c r="T947" i="16"/>
  <c r="F923" i="16"/>
  <c r="P923" i="16" s="1"/>
  <c r="F900" i="16"/>
  <c r="P900" i="16" s="1"/>
  <c r="H900" i="9" s="1"/>
  <c r="I900" i="9" s="1"/>
  <c r="O372" i="16"/>
  <c r="T88" i="16"/>
  <c r="I88" i="9"/>
  <c r="F88" i="16"/>
  <c r="P88" i="16"/>
  <c r="H88" i="9" s="1"/>
  <c r="I85" i="9"/>
  <c r="F85" i="16"/>
  <c r="P85" i="16"/>
  <c r="H85" i="9" s="1"/>
  <c r="F836" i="16"/>
  <c r="P836" i="16" s="1"/>
  <c r="T1295" i="16"/>
  <c r="H1308" i="9"/>
  <c r="I1308" i="9" s="1"/>
  <c r="T1308" i="16"/>
  <c r="F936" i="16"/>
  <c r="P936" i="16" s="1"/>
  <c r="H936" i="9" s="1"/>
  <c r="I936" i="9" s="1"/>
  <c r="P847" i="16"/>
  <c r="F834" i="16"/>
  <c r="P834" i="16" s="1"/>
  <c r="T110" i="16"/>
  <c r="I110" i="9"/>
  <c r="P110" i="16"/>
  <c r="H110" i="9" s="1"/>
  <c r="F110" i="16"/>
  <c r="P941" i="16"/>
  <c r="O324" i="16"/>
  <c r="O778" i="16"/>
  <c r="P44" i="7"/>
  <c r="AH44" i="15"/>
  <c r="R44" i="7" s="1"/>
  <c r="S44" i="7" s="1"/>
  <c r="P23" i="7"/>
  <c r="AH23" i="15"/>
  <c r="R23" i="7" s="1"/>
  <c r="S23" i="7" s="1"/>
  <c r="H855" i="9"/>
  <c r="I855" i="9" s="1"/>
  <c r="T855" i="16"/>
  <c r="F582" i="16"/>
  <c r="I582" i="9"/>
  <c r="P582" i="16"/>
  <c r="H582" i="9" s="1"/>
  <c r="T304" i="16"/>
  <c r="I304" i="9"/>
  <c r="F304" i="16"/>
  <c r="I274" i="9"/>
  <c r="T274" i="16"/>
  <c r="P274" i="16"/>
  <c r="H274" i="9" s="1"/>
  <c r="F274" i="16"/>
  <c r="T135" i="16"/>
  <c r="I135" i="9"/>
  <c r="P135" i="16"/>
  <c r="H135" i="9" s="1"/>
  <c r="P831" i="16"/>
  <c r="F745" i="16"/>
  <c r="P745" i="16" s="1"/>
  <c r="P219" i="16"/>
  <c r="H219" i="9" s="1"/>
  <c r="I86" i="9"/>
  <c r="P86" i="16"/>
  <c r="H86" i="9" s="1"/>
  <c r="T86" i="16"/>
  <c r="F86" i="16"/>
  <c r="I650" i="9"/>
  <c r="P650" i="16"/>
  <c r="H650" i="9" s="1"/>
  <c r="F650" i="16"/>
  <c r="T650" i="16"/>
  <c r="P609" i="16"/>
  <c r="H609" i="9" s="1"/>
  <c r="I609" i="9"/>
  <c r="T609" i="16"/>
  <c r="F609" i="16"/>
  <c r="P143" i="7"/>
  <c r="AH61" i="15"/>
  <c r="R61" i="7" s="1"/>
  <c r="S61" i="7" s="1"/>
  <c r="P61" i="7"/>
  <c r="P70" i="7"/>
  <c r="AH70" i="15"/>
  <c r="R70" i="7" s="1"/>
  <c r="S70" i="7" s="1"/>
  <c r="AG59" i="15"/>
  <c r="Q59" i="7" s="1"/>
  <c r="AF172" i="15"/>
  <c r="AE172" i="15"/>
  <c r="O172" i="7" s="1"/>
  <c r="P138" i="7"/>
  <c r="AH138" i="15"/>
  <c r="R138" i="7" s="1"/>
  <c r="S138" i="7" s="1"/>
  <c r="F99" i="16"/>
  <c r="I99" i="9"/>
  <c r="AL40" i="17"/>
  <c r="P52" i="17"/>
  <c r="AK52" i="17" s="1"/>
  <c r="O38" i="17"/>
  <c r="AJ38" i="17" s="1"/>
  <c r="H743" i="9"/>
  <c r="I743" i="9" s="1"/>
  <c r="T743" i="16"/>
  <c r="O551" i="16"/>
  <c r="O79" i="17"/>
  <c r="O93" i="17"/>
  <c r="AJ93" i="17" s="1"/>
  <c r="H735" i="9"/>
  <c r="I735" i="9" s="1"/>
  <c r="T735" i="16"/>
  <c r="P73" i="17"/>
  <c r="AK73" i="17" s="1"/>
  <c r="H1310" i="9"/>
  <c r="I1310" i="9" s="1"/>
  <c r="T1310" i="16"/>
  <c r="H925" i="9"/>
  <c r="I925" i="9" s="1"/>
  <c r="T925" i="16"/>
  <c r="O573" i="16"/>
  <c r="T557" i="16"/>
  <c r="P148" i="17"/>
  <c r="AK148" i="17" s="1"/>
  <c r="O147" i="17"/>
  <c r="O148" i="17"/>
  <c r="O149" i="17"/>
  <c r="AL112" i="17" s="1"/>
  <c r="AL14" i="17" s="1"/>
  <c r="O19" i="17"/>
  <c r="AI19" i="17" s="1"/>
  <c r="O20" i="17"/>
  <c r="AJ20" i="17" s="1"/>
  <c r="O21" i="17"/>
  <c r="AJ21" i="17" s="1"/>
  <c r="O17" i="17"/>
  <c r="O18" i="17"/>
  <c r="AI18" i="17" s="1"/>
  <c r="F1035" i="16"/>
  <c r="F1314" i="16"/>
  <c r="P1314" i="16" s="1"/>
  <c r="F1219" i="16"/>
  <c r="T1343" i="16"/>
  <c r="F905" i="16"/>
  <c r="P905" i="16" s="1"/>
  <c r="H905" i="9" s="1"/>
  <c r="I905" i="9" s="1"/>
  <c r="P864" i="16"/>
  <c r="T329" i="16"/>
  <c r="P329" i="16"/>
  <c r="H329" i="9" s="1"/>
  <c r="I329" i="9"/>
  <c r="F1268" i="16"/>
  <c r="P1268" i="16" s="1"/>
  <c r="O577" i="16"/>
  <c r="P385" i="16"/>
  <c r="H385" i="9" s="1"/>
  <c r="T385" i="16"/>
  <c r="I385" i="9"/>
  <c r="F385" i="16"/>
  <c r="T633" i="16"/>
  <c r="I633" i="9"/>
  <c r="P633" i="16"/>
  <c r="H633" i="9" s="1"/>
  <c r="T615" i="16"/>
  <c r="F482" i="16"/>
  <c r="P840" i="16"/>
  <c r="P776" i="16"/>
  <c r="P561" i="16"/>
  <c r="H561" i="9" s="1"/>
  <c r="I561" i="9"/>
  <c r="F561" i="16"/>
  <c r="F885" i="16"/>
  <c r="P885" i="16" s="1"/>
  <c r="F877" i="16"/>
  <c r="P877" i="16" s="1"/>
  <c r="F849" i="16"/>
  <c r="P849" i="16" s="1"/>
  <c r="H849" i="9" s="1"/>
  <c r="I849" i="9" s="1"/>
  <c r="F350" i="16"/>
  <c r="I350" i="9"/>
  <c r="T350" i="16"/>
  <c r="P350" i="16"/>
  <c r="H350" i="9" s="1"/>
  <c r="T314" i="16"/>
  <c r="P314" i="16"/>
  <c r="H314" i="9" s="1"/>
  <c r="I314" i="9"/>
  <c r="F314" i="16"/>
  <c r="T102" i="16"/>
  <c r="P102" i="16"/>
  <c r="H102" i="9" s="1"/>
  <c r="I102" i="9"/>
  <c r="F102" i="16"/>
  <c r="T970" i="16"/>
  <c r="F970" i="16"/>
  <c r="P970" i="16" s="1"/>
  <c r="H970" i="9" s="1"/>
  <c r="I970" i="9" s="1"/>
  <c r="O792" i="16"/>
  <c r="P792" i="16" s="1"/>
  <c r="F747" i="16"/>
  <c r="P747" i="16" s="1"/>
  <c r="H747" i="9" s="1"/>
  <c r="I747" i="9" s="1"/>
  <c r="P696" i="16"/>
  <c r="H696" i="9" s="1"/>
  <c r="I696" i="9" s="1"/>
  <c r="T656" i="16"/>
  <c r="I656" i="9"/>
  <c r="P656" i="16"/>
  <c r="H656" i="9" s="1"/>
  <c r="F1096" i="16"/>
  <c r="P785" i="16"/>
  <c r="H785" i="9" s="1"/>
  <c r="I785" i="9" s="1"/>
  <c r="I299" i="9"/>
  <c r="T299" i="16"/>
  <c r="F299" i="16"/>
  <c r="P299" i="16"/>
  <c r="H299" i="9" s="1"/>
  <c r="F179" i="16"/>
  <c r="I179" i="9"/>
  <c r="P179" i="16"/>
  <c r="H179" i="9" s="1"/>
  <c r="F944" i="16"/>
  <c r="P944" i="16" s="1"/>
  <c r="H944" i="9" s="1"/>
  <c r="I944" i="9" s="1"/>
  <c r="P665" i="16"/>
  <c r="H665" i="9" s="1"/>
  <c r="T665" i="16"/>
  <c r="I665" i="9"/>
  <c r="F665" i="16"/>
  <c r="F197" i="16"/>
  <c r="P197" i="16"/>
  <c r="H197" i="9" s="1"/>
  <c r="I197" i="9"/>
  <c r="F1063" i="16"/>
  <c r="I312" i="9"/>
  <c r="F312" i="16"/>
  <c r="T312" i="16"/>
  <c r="P312" i="16"/>
  <c r="H312" i="9" s="1"/>
  <c r="F1299" i="16"/>
  <c r="P1299" i="16" s="1"/>
  <c r="H1299" i="9" s="1"/>
  <c r="I1299" i="9" s="1"/>
  <c r="P848" i="16"/>
  <c r="H848" i="9" s="1"/>
  <c r="I848" i="9" s="1"/>
  <c r="P760" i="16"/>
  <c r="F237" i="16"/>
  <c r="P237" i="16"/>
  <c r="H237" i="9" s="1"/>
  <c r="I237" i="9"/>
  <c r="P83" i="7"/>
  <c r="P38" i="7"/>
  <c r="AH38" i="15"/>
  <c r="R38" i="7" s="1"/>
  <c r="S38" i="7" s="1"/>
  <c r="AE22" i="15"/>
  <c r="O22" i="7" s="1"/>
  <c r="AF22" i="15"/>
  <c r="P8" i="7"/>
  <c r="AH8" i="15"/>
  <c r="R8" i="7" s="1"/>
  <c r="S8" i="7" s="1"/>
  <c r="P81" i="7"/>
  <c r="AH81" i="15"/>
  <c r="R81" i="7" s="1"/>
  <c r="S81" i="7" s="1"/>
  <c r="P145" i="7"/>
  <c r="AH145" i="15"/>
  <c r="R145" i="7" s="1"/>
  <c r="S145" i="7" s="1"/>
  <c r="O961" i="16"/>
  <c r="P72" i="17"/>
  <c r="AK72" i="17" s="1"/>
  <c r="P56" i="17"/>
  <c r="AK56" i="17" s="1"/>
  <c r="O927" i="16"/>
  <c r="O39" i="17"/>
  <c r="AI39" i="17" s="1"/>
  <c r="T869" i="16"/>
  <c r="O1291" i="16"/>
  <c r="H1288" i="9"/>
  <c r="I1288" i="9" s="1"/>
  <c r="T1288" i="16"/>
  <c r="F754" i="16"/>
  <c r="P754" i="16" s="1"/>
  <c r="T521" i="16"/>
  <c r="P521" i="16"/>
  <c r="H521" i="9" s="1"/>
  <c r="I521" i="9"/>
  <c r="T498" i="16"/>
  <c r="P498" i="16"/>
  <c r="H498" i="9" s="1"/>
  <c r="I498" i="9"/>
  <c r="F498" i="16"/>
  <c r="T306" i="16"/>
  <c r="P306" i="16"/>
  <c r="H306" i="9" s="1"/>
  <c r="I306" i="9"/>
  <c r="F306" i="16"/>
  <c r="F975" i="16"/>
  <c r="P975" i="16" s="1"/>
  <c r="H975" i="9" s="1"/>
  <c r="I975" i="9" s="1"/>
  <c r="T975" i="16"/>
  <c r="F961" i="16"/>
  <c r="P961" i="16" s="1"/>
  <c r="F907" i="16"/>
  <c r="P907" i="16" s="1"/>
  <c r="F771" i="16"/>
  <c r="P771" i="16" s="1"/>
  <c r="H771" i="9" s="1"/>
  <c r="I771" i="9" s="1"/>
  <c r="O418" i="16"/>
  <c r="O891" i="16"/>
  <c r="T799" i="16"/>
  <c r="T187" i="16"/>
  <c r="P187" i="16"/>
  <c r="H187" i="9" s="1"/>
  <c r="I187" i="9"/>
  <c r="F187" i="16"/>
  <c r="F809" i="16"/>
  <c r="P809" i="16" s="1"/>
  <c r="H809" i="9" s="1"/>
  <c r="I809" i="9" s="1"/>
  <c r="T756" i="16"/>
  <c r="F714" i="16"/>
  <c r="P714" i="16" s="1"/>
  <c r="I308" i="9"/>
  <c r="T308" i="16"/>
  <c r="F135" i="16"/>
  <c r="F837" i="16"/>
  <c r="P837" i="16" s="1"/>
  <c r="P142" i="16"/>
  <c r="H142" i="9" s="1"/>
  <c r="F888" i="16"/>
  <c r="P888" i="16" s="1"/>
  <c r="F685" i="16"/>
  <c r="P685" i="16" s="1"/>
  <c r="I619" i="9"/>
  <c r="T619" i="16"/>
  <c r="P619" i="16"/>
  <c r="H619" i="9" s="1"/>
  <c r="F619" i="16"/>
  <c r="P15" i="16"/>
  <c r="H15" i="9" s="1"/>
  <c r="I15" i="9"/>
  <c r="F15" i="16"/>
  <c r="T15" i="16"/>
  <c r="F872" i="16"/>
  <c r="P872" i="16" s="1"/>
  <c r="H872" i="9" s="1"/>
  <c r="I872" i="9" s="1"/>
  <c r="P111" i="7"/>
  <c r="P89" i="7"/>
  <c r="I617" i="9"/>
  <c r="F617" i="16"/>
  <c r="T617" i="16"/>
  <c r="P617" i="16"/>
  <c r="H617" i="9" s="1"/>
  <c r="P80" i="7"/>
  <c r="P122" i="7"/>
  <c r="AH122" i="15"/>
  <c r="R122" i="7" s="1"/>
  <c r="S122" i="7" s="1"/>
  <c r="P60" i="7"/>
  <c r="P75" i="7"/>
  <c r="AH75" i="15"/>
  <c r="R75" i="7" s="1"/>
  <c r="S75" i="7" s="1"/>
  <c r="I568" i="9"/>
  <c r="F568" i="16"/>
  <c r="T568" i="16"/>
  <c r="P568" i="16"/>
  <c r="H568" i="9" s="1"/>
  <c r="I483" i="9"/>
  <c r="T483" i="16"/>
  <c r="F483" i="16"/>
  <c r="P483" i="16"/>
  <c r="H483" i="9" s="1"/>
  <c r="P133" i="7"/>
  <c r="AH133" i="15"/>
  <c r="R133" i="7" s="1"/>
  <c r="S133" i="7" s="1"/>
  <c r="P16" i="7"/>
  <c r="AH16" i="15"/>
  <c r="R16" i="7" s="1"/>
  <c r="S16" i="7" s="1"/>
  <c r="F811" i="16"/>
  <c r="P811" i="16" s="1"/>
  <c r="H811" i="9" s="1"/>
  <c r="I811" i="9" s="1"/>
  <c r="P120" i="7"/>
  <c r="AH120" i="15"/>
  <c r="R120" i="7" s="1"/>
  <c r="S120" i="7" s="1"/>
  <c r="P165" i="7"/>
  <c r="AH165" i="15"/>
  <c r="R165" i="7" s="1"/>
  <c r="S165" i="7" s="1"/>
  <c r="P54" i="7"/>
  <c r="AH54" i="15"/>
  <c r="R54" i="7" s="1"/>
  <c r="S54" i="7" s="1"/>
  <c r="O94" i="17"/>
  <c r="AI94" i="17" s="1"/>
  <c r="O96" i="17"/>
  <c r="AJ96" i="17" s="1"/>
  <c r="AJ92" i="17"/>
  <c r="AL8" i="17"/>
  <c r="AL32" i="17" s="1"/>
  <c r="P140" i="17"/>
  <c r="AK140" i="17" s="1"/>
  <c r="AL96" i="17"/>
  <c r="AL72" i="17"/>
  <c r="O101" i="17"/>
  <c r="AI101" i="17" s="1"/>
  <c r="P164" i="17"/>
  <c r="AK164" i="17" s="1"/>
  <c r="P166" i="17"/>
  <c r="AK166" i="17" s="1"/>
  <c r="AI88" i="17"/>
  <c r="AI90" i="17"/>
  <c r="P165" i="17"/>
  <c r="AK165" i="17" s="1"/>
  <c r="T990" i="16"/>
  <c r="T734" i="16"/>
  <c r="T1261" i="16"/>
  <c r="O114" i="17"/>
  <c r="P54" i="17"/>
  <c r="AK54" i="17" s="1"/>
  <c r="AL126" i="17"/>
  <c r="O41" i="17"/>
  <c r="H1304" i="9"/>
  <c r="I1304" i="9" s="1"/>
  <c r="T1304" i="16"/>
  <c r="P1258" i="16"/>
  <c r="H1258" i="9" s="1"/>
  <c r="I1258" i="9"/>
  <c r="F1273" i="16"/>
  <c r="P1273" i="16" s="1"/>
  <c r="H1273" i="9" s="1"/>
  <c r="I1273" i="9" s="1"/>
  <c r="F1091" i="16"/>
  <c r="P1275" i="16"/>
  <c r="H1275" i="9" s="1"/>
  <c r="I1275" i="9" s="1"/>
  <c r="F1275" i="16"/>
  <c r="F1267" i="16"/>
  <c r="P1267" i="16" s="1"/>
  <c r="H800" i="9"/>
  <c r="I800" i="9" s="1"/>
  <c r="T800" i="16"/>
  <c r="P777" i="16"/>
  <c r="H777" i="9" s="1"/>
  <c r="I777" i="9" s="1"/>
  <c r="P1336" i="16"/>
  <c r="H1336" i="9" s="1"/>
  <c r="I1336" i="9" s="1"/>
  <c r="F917" i="16"/>
  <c r="P917" i="16"/>
  <c r="F715" i="16"/>
  <c r="T651" i="16"/>
  <c r="P651" i="16"/>
  <c r="H651" i="9" s="1"/>
  <c r="F651" i="16"/>
  <c r="I651" i="9"/>
  <c r="T490" i="16"/>
  <c r="P490" i="16"/>
  <c r="H490" i="9" s="1"/>
  <c r="I490" i="9"/>
  <c r="O449" i="16"/>
  <c r="F1225" i="16"/>
  <c r="O835" i="16"/>
  <c r="P802" i="16"/>
  <c r="H802" i="9" s="1"/>
  <c r="I802" i="9" s="1"/>
  <c r="O754" i="16"/>
  <c r="O451" i="16"/>
  <c r="P418" i="16"/>
  <c r="H418" i="9" s="1"/>
  <c r="T418" i="16"/>
  <c r="I418" i="9"/>
  <c r="F418" i="16"/>
  <c r="H968" i="9"/>
  <c r="I968" i="9" s="1"/>
  <c r="T968" i="16"/>
  <c r="F955" i="16"/>
  <c r="P955" i="16" s="1"/>
  <c r="H955" i="9" s="1"/>
  <c r="I955" i="9" s="1"/>
  <c r="F891" i="16"/>
  <c r="P891" i="16" s="1"/>
  <c r="P684" i="16"/>
  <c r="T666" i="16"/>
  <c r="P666" i="16"/>
  <c r="H666" i="9" s="1"/>
  <c r="I666" i="9"/>
  <c r="F666" i="16"/>
  <c r="O1297" i="16"/>
  <c r="P1297" i="16" s="1"/>
  <c r="H967" i="9"/>
  <c r="I967" i="9" s="1"/>
  <c r="T967" i="16"/>
  <c r="I931" i="9"/>
  <c r="T931" i="16"/>
  <c r="P850" i="16"/>
  <c r="F700" i="16"/>
  <c r="P700" i="16" s="1"/>
  <c r="H700" i="9" s="1"/>
  <c r="I700" i="9" s="1"/>
  <c r="I291" i="9"/>
  <c r="T291" i="16"/>
  <c r="F291" i="16"/>
  <c r="P291" i="16"/>
  <c r="H291" i="9" s="1"/>
  <c r="T94" i="16"/>
  <c r="I94" i="9"/>
  <c r="F1330" i="16"/>
  <c r="P1330" i="16" s="1"/>
  <c r="H1330" i="9" s="1"/>
  <c r="I1330" i="9" s="1"/>
  <c r="F813" i="16"/>
  <c r="P813" i="16" s="1"/>
  <c r="O692" i="16"/>
  <c r="P692" i="16" s="1"/>
  <c r="F588" i="16"/>
  <c r="I588" i="9"/>
  <c r="T588" i="16"/>
  <c r="F1276" i="16"/>
  <c r="P1276" i="16"/>
  <c r="H1276" i="9" s="1"/>
  <c r="I1276" i="9" s="1"/>
  <c r="F906" i="16"/>
  <c r="P906" i="16" s="1"/>
  <c r="H906" i="9" s="1"/>
  <c r="I906" i="9" s="1"/>
  <c r="F892" i="16"/>
  <c r="P892" i="16" s="1"/>
  <c r="H892" i="9" s="1"/>
  <c r="I892" i="9" s="1"/>
  <c r="T892" i="16"/>
  <c r="F1200" i="16"/>
  <c r="F774" i="16"/>
  <c r="P774" i="16" s="1"/>
  <c r="P131" i="7"/>
  <c r="AH131" i="15"/>
  <c r="R131" i="7" s="1"/>
  <c r="S131" i="7" s="1"/>
  <c r="AH121" i="15"/>
  <c r="R121" i="7" s="1"/>
  <c r="S121" i="7" s="1"/>
  <c r="P121" i="7"/>
  <c r="P115" i="7"/>
  <c r="P105" i="7"/>
  <c r="AH105" i="15"/>
  <c r="R105" i="7" s="1"/>
  <c r="S105" i="7" s="1"/>
  <c r="P99" i="7"/>
  <c r="I363" i="9"/>
  <c r="T363" i="16"/>
  <c r="F363" i="16"/>
  <c r="P363" i="16"/>
  <c r="H363" i="9" s="1"/>
  <c r="F751" i="16"/>
  <c r="P751" i="16" s="1"/>
  <c r="P91" i="7"/>
  <c r="AH91" i="15"/>
  <c r="R91" i="7" s="1"/>
  <c r="S91" i="7" s="1"/>
  <c r="F406" i="16"/>
  <c r="I406" i="9"/>
  <c r="P25" i="7"/>
  <c r="AH25" i="15"/>
  <c r="R25" i="7" s="1"/>
  <c r="S25" i="7" s="1"/>
  <c r="P9" i="7"/>
  <c r="F954" i="16"/>
  <c r="P954" i="16" s="1"/>
  <c r="F764" i="16"/>
  <c r="P764" i="16" s="1"/>
  <c r="H764" i="9" s="1"/>
  <c r="I764" i="9" s="1"/>
  <c r="F214" i="16"/>
  <c r="I214" i="9"/>
  <c r="I44" i="9"/>
  <c r="P44" i="16"/>
  <c r="H44" i="9" s="1"/>
  <c r="T44" i="16"/>
  <c r="AF59" i="15"/>
  <c r="P857" i="16"/>
  <c r="P155" i="7"/>
  <c r="AH155" i="15"/>
  <c r="R155" i="7" s="1"/>
  <c r="S155" i="7" s="1"/>
  <c r="P732" i="16"/>
  <c r="I627" i="9"/>
  <c r="T627" i="16"/>
  <c r="P627" i="16"/>
  <c r="H627" i="9" s="1"/>
  <c r="AF74" i="15"/>
  <c r="AE74" i="15"/>
  <c r="O74" i="7" s="1"/>
  <c r="P17" i="16"/>
  <c r="H17" i="9" s="1"/>
  <c r="F17" i="16"/>
  <c r="I17" i="9"/>
  <c r="P52" i="7"/>
  <c r="AH52" i="15"/>
  <c r="R52" i="7" s="1"/>
  <c r="S52" i="7" s="1"/>
  <c r="P149" i="7"/>
  <c r="AH149" i="15"/>
  <c r="R149" i="7" s="1"/>
  <c r="S149" i="7" s="1"/>
  <c r="AF156" i="15"/>
  <c r="P170" i="7"/>
  <c r="AH170" i="15"/>
  <c r="R170" i="7" s="1"/>
  <c r="S170" i="7" s="1"/>
  <c r="P163" i="7"/>
  <c r="AH163" i="15"/>
  <c r="R163" i="7" s="1"/>
  <c r="S163" i="7" s="1"/>
  <c r="P12" i="17"/>
  <c r="AK12" i="17" s="1"/>
  <c r="AL2" i="17" s="1"/>
  <c r="T1254" i="16"/>
  <c r="O894" i="16"/>
  <c r="P894" i="16" s="1"/>
  <c r="O830" i="16"/>
  <c r="P830" i="16" s="1"/>
  <c r="O798" i="16"/>
  <c r="P798" i="16" s="1"/>
  <c r="O741" i="16"/>
  <c r="P741" i="16" s="1"/>
  <c r="O598" i="16"/>
  <c r="T1325" i="16"/>
  <c r="O429" i="16"/>
  <c r="AL148" i="17" s="1"/>
  <c r="P146" i="17"/>
  <c r="AK146" i="17" s="1"/>
  <c r="AJ112" i="17"/>
  <c r="F1301" i="16"/>
  <c r="P1301" i="16" s="1"/>
  <c r="O1347" i="16"/>
  <c r="F1283" i="16"/>
  <c r="P1283" i="16"/>
  <c r="H1283" i="9" s="1"/>
  <c r="I1283" i="9" s="1"/>
  <c r="F1285" i="16"/>
  <c r="P1285" i="16"/>
  <c r="F1147" i="16"/>
  <c r="F1203" i="16"/>
  <c r="F1028" i="16"/>
  <c r="F851" i="16"/>
  <c r="P851" i="16" s="1"/>
  <c r="I1264" i="9"/>
  <c r="F1085" i="16"/>
  <c r="F911" i="16"/>
  <c r="P911" i="16" s="1"/>
  <c r="T618" i="16"/>
  <c r="P618" i="16"/>
  <c r="H618" i="9" s="1"/>
  <c r="I618" i="9"/>
  <c r="P513" i="16"/>
  <c r="H513" i="9" s="1"/>
  <c r="T513" i="16"/>
  <c r="I513" i="9"/>
  <c r="F469" i="16"/>
  <c r="P469" i="16"/>
  <c r="H469" i="9" s="1"/>
  <c r="I469" i="9"/>
  <c r="F267" i="16"/>
  <c r="T267" i="16"/>
  <c r="P267" i="16"/>
  <c r="H267" i="9" s="1"/>
  <c r="I267" i="9"/>
  <c r="P193" i="16"/>
  <c r="H193" i="9" s="1"/>
  <c r="T193" i="16"/>
  <c r="I193" i="9"/>
  <c r="I1260" i="9"/>
  <c r="I1259" i="9"/>
  <c r="F899" i="16"/>
  <c r="P899" i="16" s="1"/>
  <c r="H899" i="9" s="1"/>
  <c r="I899" i="9" s="1"/>
  <c r="O860" i="16"/>
  <c r="P860" i="16" s="1"/>
  <c r="T825" i="16"/>
  <c r="I825" i="9"/>
  <c r="P738" i="16"/>
  <c r="H738" i="9" s="1"/>
  <c r="I738" i="9" s="1"/>
  <c r="F707" i="16"/>
  <c r="P707" i="16" s="1"/>
  <c r="O604" i="16"/>
  <c r="T505" i="16"/>
  <c r="I505" i="9"/>
  <c r="P290" i="16"/>
  <c r="H290" i="9" s="1"/>
  <c r="T290" i="16"/>
  <c r="I290" i="9"/>
  <c r="F259" i="16"/>
  <c r="T259" i="16"/>
  <c r="P259" i="16"/>
  <c r="H259" i="9" s="1"/>
  <c r="I259" i="9"/>
  <c r="T185" i="16"/>
  <c r="I185" i="9"/>
  <c r="T1328" i="16"/>
  <c r="O852" i="16"/>
  <c r="P852" i="16" s="1"/>
  <c r="P817" i="16"/>
  <c r="H817" i="9" s="1"/>
  <c r="I817" i="9" s="1"/>
  <c r="P812" i="16"/>
  <c r="P794" i="16"/>
  <c r="H794" i="9" s="1"/>
  <c r="I794" i="9" s="1"/>
  <c r="F763" i="16"/>
  <c r="P763" i="16" s="1"/>
  <c r="P689" i="16"/>
  <c r="H689" i="9" s="1"/>
  <c r="I689" i="9"/>
  <c r="P443" i="16"/>
  <c r="H443" i="9" s="1"/>
  <c r="F443" i="16"/>
  <c r="T443" i="16"/>
  <c r="I443" i="9"/>
  <c r="O404" i="16"/>
  <c r="P251" i="16"/>
  <c r="H251" i="9" s="1"/>
  <c r="F251" i="16"/>
  <c r="I251" i="9"/>
  <c r="T251" i="16"/>
  <c r="P177" i="16"/>
  <c r="H177" i="9" s="1"/>
  <c r="I177" i="9"/>
  <c r="F1341" i="16"/>
  <c r="F871" i="16"/>
  <c r="P871" i="16" s="1"/>
  <c r="P553" i="16"/>
  <c r="H553" i="9" s="1"/>
  <c r="O411" i="16"/>
  <c r="T409" i="16"/>
  <c r="P409" i="16"/>
  <c r="H409" i="9" s="1"/>
  <c r="I409" i="9"/>
  <c r="T273" i="16"/>
  <c r="P273" i="16"/>
  <c r="H273" i="9" s="1"/>
  <c r="I273" i="9"/>
  <c r="T161" i="16"/>
  <c r="P122" i="16"/>
  <c r="H122" i="9" s="1"/>
  <c r="F122" i="16"/>
  <c r="I122" i="9"/>
  <c r="T122" i="16"/>
  <c r="T912" i="16"/>
  <c r="I912" i="9"/>
  <c r="F838" i="16"/>
  <c r="P838" i="16" s="1"/>
  <c r="F829" i="16"/>
  <c r="P829" i="16" s="1"/>
  <c r="P673" i="16"/>
  <c r="H673" i="9" s="1"/>
  <c r="I673" i="9"/>
  <c r="T594" i="16"/>
  <c r="F429" i="16"/>
  <c r="P429" i="16"/>
  <c r="H429" i="9" s="1"/>
  <c r="I429" i="9"/>
  <c r="F253" i="16"/>
  <c r="P253" i="16"/>
  <c r="H253" i="9" s="1"/>
  <c r="I253" i="9"/>
  <c r="T104" i="16"/>
  <c r="P104" i="16"/>
  <c r="H104" i="9" s="1"/>
  <c r="I104" i="9"/>
  <c r="F104" i="16"/>
  <c r="F1061" i="16"/>
  <c r="I964" i="9"/>
  <c r="F807" i="16"/>
  <c r="P807" i="16" s="1"/>
  <c r="F551" i="16"/>
  <c r="I551" i="9"/>
  <c r="P667" i="16"/>
  <c r="H667" i="9" s="1"/>
  <c r="I667" i="9"/>
  <c r="T667" i="16"/>
  <c r="I632" i="9"/>
  <c r="F632" i="16"/>
  <c r="P632" i="16"/>
  <c r="H632" i="9" s="1"/>
  <c r="T632" i="16"/>
  <c r="P353" i="16"/>
  <c r="H353" i="9" s="1"/>
  <c r="I353" i="9"/>
  <c r="T353" i="16"/>
  <c r="F353" i="16"/>
  <c r="F1010" i="16"/>
  <c r="P1010" i="16" s="1"/>
  <c r="H1010" i="9" s="1"/>
  <c r="I1010" i="9" s="1"/>
  <c r="T1010" i="16"/>
  <c r="F709" i="16"/>
  <c r="O334" i="16"/>
  <c r="I243" i="9"/>
  <c r="T243" i="16"/>
  <c r="F243" i="16"/>
  <c r="I69" i="9"/>
  <c r="P69" i="16"/>
  <c r="H69" i="9" s="1"/>
  <c r="F69" i="16"/>
  <c r="F859" i="16"/>
  <c r="P859" i="16" s="1"/>
  <c r="F768" i="16"/>
  <c r="P768" i="16" s="1"/>
  <c r="I89" i="9"/>
  <c r="T89" i="16"/>
  <c r="F89" i="16"/>
  <c r="I586" i="9"/>
  <c r="T586" i="16"/>
  <c r="P586" i="16"/>
  <c r="H586" i="9" s="1"/>
  <c r="I576" i="9"/>
  <c r="P576" i="16"/>
  <c r="H576" i="9" s="1"/>
  <c r="AF114" i="15"/>
  <c r="AE114" i="15"/>
  <c r="O114" i="7" s="1"/>
  <c r="F828" i="16"/>
  <c r="P828" i="16"/>
  <c r="I820" i="9"/>
  <c r="F790" i="16"/>
  <c r="P790" i="16" s="1"/>
  <c r="O780" i="16"/>
  <c r="I580" i="9"/>
  <c r="F580" i="16"/>
  <c r="P580" i="16"/>
  <c r="H580" i="9" s="1"/>
  <c r="O402" i="16"/>
  <c r="I149" i="9"/>
  <c r="P149" i="16"/>
  <c r="H149" i="9" s="1"/>
  <c r="T149" i="16"/>
  <c r="T133" i="16"/>
  <c r="I133" i="9"/>
  <c r="F133" i="16"/>
  <c r="P133" i="16"/>
  <c r="H133" i="9" s="1"/>
  <c r="F390" i="16"/>
  <c r="I390" i="9"/>
  <c r="F181" i="16"/>
  <c r="P181" i="16"/>
  <c r="H181" i="9" s="1"/>
  <c r="I181" i="9"/>
  <c r="AG14" i="15"/>
  <c r="Q14" i="7" s="1"/>
  <c r="P1284" i="16"/>
  <c r="H1284" i="9" s="1"/>
  <c r="I1284" i="9" s="1"/>
  <c r="AG141" i="15"/>
  <c r="Q141" i="7" s="1"/>
  <c r="AF132" i="15"/>
  <c r="AE132" i="15"/>
  <c r="O132" i="7" s="1"/>
  <c r="I248" i="9"/>
  <c r="P248" i="16"/>
  <c r="H248" i="9" s="1"/>
  <c r="T248" i="16"/>
  <c r="AF95" i="15"/>
  <c r="I347" i="9"/>
  <c r="P347" i="16"/>
  <c r="H347" i="9" s="1"/>
  <c r="T347" i="16"/>
  <c r="AF90" i="15"/>
  <c r="AE90" i="15"/>
  <c r="O90" i="7" s="1"/>
  <c r="O570" i="16"/>
  <c r="I524" i="9"/>
  <c r="F524" i="16"/>
  <c r="T524" i="16"/>
  <c r="P524" i="16"/>
  <c r="H524" i="9" s="1"/>
  <c r="F819" i="16"/>
  <c r="P819" i="16" s="1"/>
  <c r="F681" i="16"/>
  <c r="P681" i="16" s="1"/>
  <c r="AF29" i="15"/>
  <c r="F1208" i="16"/>
  <c r="O565" i="16"/>
  <c r="P94" i="17"/>
  <c r="AK94" i="17" s="1"/>
  <c r="F1291" i="16"/>
  <c r="P1291" i="16" s="1"/>
  <c r="F1227" i="16"/>
  <c r="F1163" i="16"/>
  <c r="O1342" i="16"/>
  <c r="P1342" i="16" s="1"/>
  <c r="F1221" i="16"/>
  <c r="F1157" i="16"/>
  <c r="F1139" i="16"/>
  <c r="I1340" i="9"/>
  <c r="P1004" i="16"/>
  <c r="H1004" i="9" s="1"/>
  <c r="I1004" i="9" s="1"/>
  <c r="P969" i="16"/>
  <c r="H969" i="9" s="1"/>
  <c r="I969" i="9" s="1"/>
  <c r="P882" i="16"/>
  <c r="H882" i="9" s="1"/>
  <c r="I882" i="9" s="1"/>
  <c r="O787" i="16"/>
  <c r="O531" i="16"/>
  <c r="F1071" i="16"/>
  <c r="P938" i="16"/>
  <c r="H938" i="9" s="1"/>
  <c r="I938" i="9" s="1"/>
  <c r="O843" i="16"/>
  <c r="F597" i="16"/>
  <c r="P597" i="16"/>
  <c r="H597" i="9" s="1"/>
  <c r="I597" i="9"/>
  <c r="P426" i="16"/>
  <c r="H426" i="9" s="1"/>
  <c r="T426" i="16"/>
  <c r="I426" i="9"/>
  <c r="F1220" i="16"/>
  <c r="P866" i="16"/>
  <c r="H866" i="9" s="1"/>
  <c r="I866" i="9" s="1"/>
  <c r="H781" i="9"/>
  <c r="I781" i="9" s="1"/>
  <c r="T781" i="16"/>
  <c r="P674" i="16"/>
  <c r="H674" i="9" s="1"/>
  <c r="T674" i="16"/>
  <c r="I674" i="9"/>
  <c r="F643" i="16"/>
  <c r="I643" i="9"/>
  <c r="P643" i="16"/>
  <c r="H643" i="9" s="1"/>
  <c r="T643" i="16"/>
  <c r="T441" i="16"/>
  <c r="I441" i="9"/>
  <c r="T226" i="16"/>
  <c r="P226" i="16"/>
  <c r="H226" i="9" s="1"/>
  <c r="I226" i="9"/>
  <c r="I1328" i="9"/>
  <c r="P876" i="16"/>
  <c r="O858" i="16"/>
  <c r="T497" i="16"/>
  <c r="P497" i="16"/>
  <c r="H497" i="9" s="1"/>
  <c r="I497" i="9"/>
  <c r="T474" i="16"/>
  <c r="I474" i="9"/>
  <c r="P305" i="16"/>
  <c r="H305" i="9" s="1"/>
  <c r="I305" i="9"/>
  <c r="T282" i="16"/>
  <c r="I282" i="9"/>
  <c r="T218" i="16"/>
  <c r="I218" i="9"/>
  <c r="I1290" i="9"/>
  <c r="F1021" i="16"/>
  <c r="F862" i="16"/>
  <c r="P862" i="16" s="1"/>
  <c r="T553" i="16"/>
  <c r="P514" i="16"/>
  <c r="H514" i="9" s="1"/>
  <c r="I514" i="9"/>
  <c r="F112" i="16"/>
  <c r="T112" i="16"/>
  <c r="I112" i="9"/>
  <c r="P112" i="16"/>
  <c r="H112" i="9" s="1"/>
  <c r="P729" i="16"/>
  <c r="H729" i="9" s="1"/>
  <c r="I729" i="9" s="1"/>
  <c r="T464" i="16"/>
  <c r="I464" i="9"/>
  <c r="P384" i="16"/>
  <c r="H384" i="9" s="1"/>
  <c r="P119" i="16"/>
  <c r="H119" i="9" s="1"/>
  <c r="F114" i="16"/>
  <c r="P114" i="16"/>
  <c r="H114" i="9" s="1"/>
  <c r="I114" i="9"/>
  <c r="F1189" i="16"/>
  <c r="F821" i="16"/>
  <c r="P821" i="16"/>
  <c r="F565" i="16"/>
  <c r="P565" i="16"/>
  <c r="H565" i="9" s="1"/>
  <c r="I565" i="9"/>
  <c r="P386" i="16"/>
  <c r="H386" i="9" s="1"/>
  <c r="I386" i="9"/>
  <c r="T337" i="16"/>
  <c r="P337" i="16"/>
  <c r="H337" i="9" s="1"/>
  <c r="I337" i="9"/>
  <c r="P66" i="16"/>
  <c r="H66" i="9" s="1"/>
  <c r="F66" i="16"/>
  <c r="I66" i="9"/>
  <c r="I644" i="9"/>
  <c r="P644" i="16"/>
  <c r="H644" i="9" s="1"/>
  <c r="I372" i="9"/>
  <c r="P372" i="16"/>
  <c r="H372" i="9" s="1"/>
  <c r="I152" i="9"/>
  <c r="P152" i="16"/>
  <c r="H152" i="9" s="1"/>
  <c r="F152" i="16"/>
  <c r="T152" i="16"/>
  <c r="O808" i="16"/>
  <c r="P808" i="16" s="1"/>
  <c r="H808" i="9" s="1"/>
  <c r="I808" i="9" s="1"/>
  <c r="P805" i="16"/>
  <c r="O619" i="16"/>
  <c r="I564" i="9"/>
  <c r="T564" i="16"/>
  <c r="F564" i="16"/>
  <c r="T272" i="16"/>
  <c r="I272" i="9"/>
  <c r="P1271" i="16"/>
  <c r="I11" i="9"/>
  <c r="F11" i="16"/>
  <c r="T11" i="16"/>
  <c r="P11" i="16"/>
  <c r="H11" i="9" s="1"/>
  <c r="P1292" i="16"/>
  <c r="F959" i="16"/>
  <c r="P959" i="16" s="1"/>
  <c r="T624" i="16"/>
  <c r="I624" i="9"/>
  <c r="I169" i="9"/>
  <c r="F169" i="16"/>
  <c r="I572" i="9"/>
  <c r="F572" i="16"/>
  <c r="P572" i="16"/>
  <c r="H572" i="9" s="1"/>
  <c r="I283" i="9"/>
  <c r="P283" i="16"/>
  <c r="H283" i="9" s="1"/>
  <c r="AG82" i="15"/>
  <c r="Q82" i="7" s="1"/>
  <c r="F873" i="16"/>
  <c r="P873" i="16" s="1"/>
  <c r="F1197" i="16"/>
  <c r="T28" i="16"/>
  <c r="P28" i="16"/>
  <c r="H28" i="9" s="1"/>
  <c r="I28" i="9"/>
  <c r="AH164" i="15"/>
  <c r="R164" i="7" s="1"/>
  <c r="S164" i="7" s="1"/>
  <c r="T616" i="16"/>
  <c r="I616" i="9"/>
  <c r="F616" i="16"/>
  <c r="P616" i="16"/>
  <c r="H616" i="9" s="1"/>
  <c r="I97" i="9"/>
  <c r="T97" i="16"/>
  <c r="F1120" i="16"/>
  <c r="F737" i="16"/>
  <c r="P737" i="16" s="1"/>
  <c r="I512" i="9"/>
  <c r="P512" i="16"/>
  <c r="H512" i="9" s="1"/>
  <c r="F44" i="16"/>
  <c r="AE69" i="15"/>
  <c r="O69" i="7" s="1"/>
  <c r="AF69" i="15"/>
  <c r="F1235" i="16"/>
  <c r="P113" i="7"/>
  <c r="AH113" i="15"/>
  <c r="R113" i="7" s="1"/>
  <c r="S113" i="7" s="1"/>
  <c r="P166" i="7"/>
  <c r="AH166" i="15"/>
  <c r="R166" i="7" s="1"/>
  <c r="S166" i="7" s="1"/>
  <c r="AE6" i="15"/>
  <c r="O6" i="7" s="1"/>
  <c r="P36" i="7"/>
  <c r="AH36" i="15"/>
  <c r="R36" i="7" s="1"/>
  <c r="S36" i="7" s="1"/>
  <c r="I252" i="9"/>
  <c r="T252" i="16"/>
  <c r="P85" i="7"/>
  <c r="AH85" i="15"/>
  <c r="R85" i="7" s="1"/>
  <c r="S85" i="7" s="1"/>
  <c r="AI12" i="17"/>
  <c r="AR72" i="17" s="1"/>
  <c r="O3" i="17"/>
  <c r="AI3" i="17" s="1"/>
  <c r="O918" i="16"/>
  <c r="P918" i="16" s="1"/>
  <c r="O854" i="16"/>
  <c r="P854" i="16" s="1"/>
  <c r="O709" i="16"/>
  <c r="O693" i="16"/>
  <c r="P693" i="16" s="1"/>
  <c r="O574" i="16"/>
  <c r="O510" i="16"/>
  <c r="T406" i="16"/>
  <c r="O317" i="16"/>
  <c r="O757" i="16"/>
  <c r="O437" i="16"/>
  <c r="F1155" i="16"/>
  <c r="O1300" i="16"/>
  <c r="P1300" i="16" s="1"/>
  <c r="F1083" i="16"/>
  <c r="F1075" i="16"/>
  <c r="P1340" i="16"/>
  <c r="H1340" i="9" s="1"/>
  <c r="O940" i="16"/>
  <c r="F787" i="16"/>
  <c r="P787" i="16" s="1"/>
  <c r="F723" i="16"/>
  <c r="P723" i="16" s="1"/>
  <c r="P659" i="16"/>
  <c r="H659" i="9" s="1"/>
  <c r="F659" i="16"/>
  <c r="T659" i="16"/>
  <c r="I659" i="9"/>
  <c r="T595" i="16"/>
  <c r="P595" i="16"/>
  <c r="H595" i="9" s="1"/>
  <c r="F595" i="16"/>
  <c r="I595" i="9"/>
  <c r="T531" i="16"/>
  <c r="F531" i="16"/>
  <c r="I531" i="9"/>
  <c r="P531" i="16"/>
  <c r="H531" i="9" s="1"/>
  <c r="P467" i="16"/>
  <c r="H467" i="9" s="1"/>
  <c r="F467" i="16"/>
  <c r="T467" i="16"/>
  <c r="I467" i="9"/>
  <c r="F403" i="16"/>
  <c r="T403" i="16"/>
  <c r="P403" i="16"/>
  <c r="H403" i="9" s="1"/>
  <c r="I403" i="9"/>
  <c r="T339" i="16"/>
  <c r="P339" i="16"/>
  <c r="H339" i="9" s="1"/>
  <c r="F339" i="16"/>
  <c r="I339" i="9"/>
  <c r="T275" i="16"/>
  <c r="P275" i="16"/>
  <c r="H275" i="9" s="1"/>
  <c r="F275" i="16"/>
  <c r="I275" i="9"/>
  <c r="F1302" i="16"/>
  <c r="P1302" i="16" s="1"/>
  <c r="F1213" i="16"/>
  <c r="I1003" i="9"/>
  <c r="T971" i="16"/>
  <c r="F971" i="16"/>
  <c r="P971" i="16" s="1"/>
  <c r="H971" i="9" s="1"/>
  <c r="I971" i="9" s="1"/>
  <c r="F843" i="16"/>
  <c r="P843" i="16"/>
  <c r="H843" i="9" s="1"/>
  <c r="I843" i="9" s="1"/>
  <c r="O715" i="16"/>
  <c r="T554" i="16"/>
  <c r="P554" i="16"/>
  <c r="H554" i="9" s="1"/>
  <c r="I554" i="9"/>
  <c r="O484" i="16"/>
  <c r="P395" i="16"/>
  <c r="H395" i="9" s="1"/>
  <c r="F395" i="16"/>
  <c r="I395" i="9"/>
  <c r="T395" i="16"/>
  <c r="O356" i="16"/>
  <c r="O331" i="16"/>
  <c r="P321" i="16"/>
  <c r="H321" i="9" s="1"/>
  <c r="T321" i="16"/>
  <c r="I321" i="9"/>
  <c r="P282" i="16"/>
  <c r="H282" i="9" s="1"/>
  <c r="O882" i="16"/>
  <c r="P610" i="16"/>
  <c r="H610" i="9" s="1"/>
  <c r="T610" i="16"/>
  <c r="I610" i="9"/>
  <c r="F579" i="16"/>
  <c r="T579" i="16"/>
  <c r="I579" i="9"/>
  <c r="P579" i="16"/>
  <c r="H579" i="9" s="1"/>
  <c r="O540" i="16"/>
  <c r="T377" i="16"/>
  <c r="I377" i="9"/>
  <c r="P162" i="16"/>
  <c r="H162" i="9" s="1"/>
  <c r="T162" i="16"/>
  <c r="I162" i="9"/>
  <c r="O1302" i="16"/>
  <c r="O916" i="16"/>
  <c r="P916" i="16" s="1"/>
  <c r="O724" i="16"/>
  <c r="P724" i="16" s="1"/>
  <c r="P625" i="16"/>
  <c r="H625" i="9" s="1"/>
  <c r="I625" i="9"/>
  <c r="T602" i="16"/>
  <c r="P602" i="16"/>
  <c r="H602" i="9" s="1"/>
  <c r="I602" i="9"/>
  <c r="P571" i="16"/>
  <c r="H571" i="9" s="1"/>
  <c r="F571" i="16"/>
  <c r="T571" i="16"/>
  <c r="I571" i="9"/>
  <c r="O532" i="16"/>
  <c r="F895" i="16"/>
  <c r="P895" i="16" s="1"/>
  <c r="F639" i="16"/>
  <c r="I639" i="9"/>
  <c r="T496" i="16"/>
  <c r="I496" i="9"/>
  <c r="P496" i="16"/>
  <c r="H496" i="9" s="1"/>
  <c r="T70" i="16"/>
  <c r="P70" i="16"/>
  <c r="H70" i="9" s="1"/>
  <c r="F70" i="16"/>
  <c r="I70" i="9"/>
  <c r="O1324" i="16"/>
  <c r="P1324" i="16" s="1"/>
  <c r="F1272" i="16"/>
  <c r="P1272" i="16" s="1"/>
  <c r="H1272" i="9" s="1"/>
  <c r="I1272" i="9" s="1"/>
  <c r="T744" i="16"/>
  <c r="I744" i="9"/>
  <c r="F437" i="16"/>
  <c r="P437" i="16"/>
  <c r="H437" i="9" s="1"/>
  <c r="I437" i="9"/>
  <c r="T384" i="16"/>
  <c r="F1080" i="16"/>
  <c r="P688" i="16"/>
  <c r="H688" i="9" s="1"/>
  <c r="I688" i="9" s="1"/>
  <c r="T378" i="16"/>
  <c r="P378" i="16"/>
  <c r="H378" i="9" s="1"/>
  <c r="I378" i="9"/>
  <c r="F268" i="16"/>
  <c r="I268" i="9"/>
  <c r="F153" i="16"/>
  <c r="I153" i="9"/>
  <c r="T127" i="16"/>
  <c r="I127" i="9"/>
  <c r="P1243" i="16"/>
  <c r="H1243" i="9" s="1"/>
  <c r="I1243" i="9" s="1"/>
  <c r="T1000" i="16"/>
  <c r="P1000" i="16"/>
  <c r="H1000" i="9" s="1"/>
  <c r="I1000" i="9" s="1"/>
  <c r="O962" i="16"/>
  <c r="P956" i="16"/>
  <c r="H956" i="9" s="1"/>
  <c r="I956" i="9" s="1"/>
  <c r="F680" i="16"/>
  <c r="P680" i="16"/>
  <c r="H680" i="9" s="1"/>
  <c r="I680" i="9" s="1"/>
  <c r="F644" i="16"/>
  <c r="I448" i="9"/>
  <c r="F448" i="16"/>
  <c r="P448" i="16"/>
  <c r="H448" i="9" s="1"/>
  <c r="F372" i="16"/>
  <c r="P564" i="16"/>
  <c r="H564" i="9" s="1"/>
  <c r="T432" i="16"/>
  <c r="I432" i="9"/>
  <c r="T360" i="16"/>
  <c r="I360" i="9"/>
  <c r="P360" i="16"/>
  <c r="H360" i="9" s="1"/>
  <c r="P47" i="16"/>
  <c r="H47" i="9" s="1"/>
  <c r="I47" i="9"/>
  <c r="F47" i="16"/>
  <c r="P642" i="16"/>
  <c r="H642" i="9" s="1"/>
  <c r="I642" i="9"/>
  <c r="T642" i="16"/>
  <c r="T240" i="16"/>
  <c r="P240" i="16"/>
  <c r="H240" i="9" s="1"/>
  <c r="I62" i="9"/>
  <c r="T62" i="16"/>
  <c r="F62" i="16"/>
  <c r="I211" i="9"/>
  <c r="P211" i="16"/>
  <c r="H211" i="9" s="1"/>
  <c r="T211" i="16"/>
  <c r="T87" i="16"/>
  <c r="P87" i="16"/>
  <c r="H87" i="9" s="1"/>
  <c r="I87" i="9"/>
  <c r="F87" i="16"/>
  <c r="I10" i="9"/>
  <c r="P10" i="16"/>
  <c r="H10" i="9" s="1"/>
  <c r="T10" i="16"/>
  <c r="F765" i="16"/>
  <c r="P765" i="16" s="1"/>
  <c r="O628" i="16"/>
  <c r="T572" i="16"/>
  <c r="F283" i="16"/>
  <c r="T105" i="16"/>
  <c r="I105" i="9"/>
  <c r="AE130" i="15"/>
  <c r="O130" i="7" s="1"/>
  <c r="AF130" i="15"/>
  <c r="AG66" i="15"/>
  <c r="Q66" i="7" s="1"/>
  <c r="F1069" i="16"/>
  <c r="I657" i="9"/>
  <c r="F657" i="16"/>
  <c r="P657" i="16"/>
  <c r="H657" i="9" s="1"/>
  <c r="I36" i="9"/>
  <c r="F36" i="16"/>
  <c r="T784" i="16"/>
  <c r="I784" i="9"/>
  <c r="I345" i="9"/>
  <c r="P345" i="16"/>
  <c r="H345" i="9" s="1"/>
  <c r="I29" i="9"/>
  <c r="T29" i="16"/>
  <c r="P29" i="16"/>
  <c r="H29" i="9" s="1"/>
  <c r="AF30" i="15"/>
  <c r="AE30" i="15"/>
  <c r="O30" i="7" s="1"/>
  <c r="O316" i="16"/>
  <c r="P97" i="16"/>
  <c r="H97" i="9" s="1"/>
  <c r="F512" i="16"/>
  <c r="AF84" i="15"/>
  <c r="P148" i="16"/>
  <c r="H148" i="9" s="1"/>
  <c r="F148" i="16"/>
  <c r="I148" i="9"/>
  <c r="P106" i="7"/>
  <c r="AH106" i="15"/>
  <c r="R106" i="7" s="1"/>
  <c r="S106" i="7" s="1"/>
  <c r="P119" i="7"/>
  <c r="AH119" i="15"/>
  <c r="R119" i="7" s="1"/>
  <c r="S119" i="7" s="1"/>
  <c r="I192" i="9"/>
  <c r="F192" i="16"/>
  <c r="I45" i="9"/>
  <c r="P45" i="16"/>
  <c r="H45" i="9" s="1"/>
  <c r="AG27" i="15"/>
  <c r="Q27" i="7" s="1"/>
  <c r="AG97" i="15"/>
  <c r="Q97" i="7" s="1"/>
  <c r="P35" i="7"/>
  <c r="AH35" i="15"/>
  <c r="R35" i="7" s="1"/>
  <c r="S35" i="7" s="1"/>
  <c r="P1322" i="16"/>
  <c r="H1322" i="9" s="1"/>
  <c r="I1322" i="9" s="1"/>
  <c r="T1002" i="16"/>
  <c r="P1002" i="16"/>
  <c r="H1002" i="9" s="1"/>
  <c r="I1002" i="9" s="1"/>
  <c r="F1347" i="16"/>
  <c r="P1347" i="16" s="1"/>
  <c r="H1347" i="9" s="1"/>
  <c r="I1347" i="9" s="1"/>
  <c r="F1093" i="16"/>
  <c r="F1019" i="16"/>
  <c r="F1011" i="16"/>
  <c r="P1011" i="16" s="1"/>
  <c r="H1011" i="9" s="1"/>
  <c r="I1011" i="9" s="1"/>
  <c r="T1011" i="16"/>
  <c r="I1251" i="9"/>
  <c r="P841" i="16"/>
  <c r="H841" i="9" s="1"/>
  <c r="I841" i="9" s="1"/>
  <c r="O748" i="16"/>
  <c r="P748" i="16" s="1"/>
  <c r="O620" i="16"/>
  <c r="O556" i="16"/>
  <c r="O492" i="16"/>
  <c r="O428" i="16"/>
  <c r="F1038" i="16"/>
  <c r="F853" i="16"/>
  <c r="P853" i="16" s="1"/>
  <c r="P810" i="16"/>
  <c r="H810" i="9" s="1"/>
  <c r="I810" i="9" s="1"/>
  <c r="P769" i="16"/>
  <c r="H769" i="9" s="1"/>
  <c r="I769" i="9" s="1"/>
  <c r="P641" i="16"/>
  <c r="H641" i="9" s="1"/>
  <c r="T641" i="16"/>
  <c r="I641" i="9"/>
  <c r="F523" i="16"/>
  <c r="T523" i="16"/>
  <c r="P523" i="16"/>
  <c r="H523" i="9" s="1"/>
  <c r="I523" i="9"/>
  <c r="F405" i="16"/>
  <c r="P405" i="16"/>
  <c r="H405" i="9" s="1"/>
  <c r="I405" i="9"/>
  <c r="T234" i="16"/>
  <c r="P234" i="16"/>
  <c r="H234" i="9" s="1"/>
  <c r="I234" i="9"/>
  <c r="P203" i="16"/>
  <c r="H203" i="9" s="1"/>
  <c r="T203" i="16"/>
  <c r="I203" i="9"/>
  <c r="F203" i="16"/>
  <c r="O796" i="16"/>
  <c r="P796" i="16" s="1"/>
  <c r="T761" i="16"/>
  <c r="I761" i="9"/>
  <c r="O626" i="16"/>
  <c r="P546" i="16"/>
  <c r="H546" i="9" s="1"/>
  <c r="T546" i="16"/>
  <c r="I546" i="9"/>
  <c r="O476" i="16"/>
  <c r="T313" i="16"/>
  <c r="I313" i="9"/>
  <c r="F1092" i="16"/>
  <c r="I995" i="9"/>
  <c r="P945" i="16"/>
  <c r="H945" i="9" s="1"/>
  <c r="I945" i="9" s="1"/>
  <c r="P940" i="16"/>
  <c r="F699" i="16"/>
  <c r="P699" i="16" s="1"/>
  <c r="T410" i="16"/>
  <c r="I410" i="9"/>
  <c r="P379" i="16"/>
  <c r="H379" i="9" s="1"/>
  <c r="T379" i="16"/>
  <c r="F379" i="16"/>
  <c r="I379" i="9"/>
  <c r="P154" i="16"/>
  <c r="H154" i="9" s="1"/>
  <c r="T154" i="16"/>
  <c r="I154" i="9"/>
  <c r="O1341" i="16"/>
  <c r="F908" i="16"/>
  <c r="P908" i="16" s="1"/>
  <c r="O770" i="16"/>
  <c r="T506" i="16"/>
  <c r="P506" i="16"/>
  <c r="H506" i="9" s="1"/>
  <c r="I506" i="9"/>
  <c r="P411" i="16"/>
  <c r="H411" i="9" s="1"/>
  <c r="I411" i="9"/>
  <c r="F262" i="16"/>
  <c r="I262" i="9"/>
  <c r="F190" i="16"/>
  <c r="I190" i="9"/>
  <c r="P985" i="16"/>
  <c r="H985" i="9" s="1"/>
  <c r="I985" i="9" s="1"/>
  <c r="P706" i="16"/>
  <c r="F423" i="16"/>
  <c r="I423" i="9"/>
  <c r="F261" i="16"/>
  <c r="P261" i="16"/>
  <c r="H261" i="9" s="1"/>
  <c r="I261" i="9"/>
  <c r="P96" i="16"/>
  <c r="H96" i="9" s="1"/>
  <c r="F96" i="16"/>
  <c r="I96" i="9"/>
  <c r="T96" i="16"/>
  <c r="I947" i="9"/>
  <c r="O867" i="16"/>
  <c r="I611" i="9"/>
  <c r="T611" i="16"/>
  <c r="F611" i="16"/>
  <c r="O530" i="16"/>
  <c r="I452" i="9"/>
  <c r="T452" i="16"/>
  <c r="F452" i="16"/>
  <c r="P186" i="16"/>
  <c r="H186" i="9" s="1"/>
  <c r="I186" i="9"/>
  <c r="F186" i="16"/>
  <c r="I119" i="9"/>
  <c r="F119" i="16"/>
  <c r="F1041" i="16"/>
  <c r="F590" i="16"/>
  <c r="I590" i="9"/>
  <c r="P578" i="16"/>
  <c r="H578" i="9" s="1"/>
  <c r="I578" i="9"/>
  <c r="F578" i="16"/>
  <c r="T560" i="16"/>
  <c r="I560" i="9"/>
  <c r="I465" i="9"/>
  <c r="T465" i="16"/>
  <c r="O442" i="16"/>
  <c r="O537" i="16"/>
  <c r="T336" i="16"/>
  <c r="I336" i="9"/>
  <c r="P309" i="16"/>
  <c r="H309" i="9" s="1"/>
  <c r="F309" i="16"/>
  <c r="I309" i="9"/>
  <c r="F826" i="16"/>
  <c r="P826" i="16"/>
  <c r="H826" i="9" s="1"/>
  <c r="I826" i="9" s="1"/>
  <c r="F703" i="16"/>
  <c r="P703" i="16" s="1"/>
  <c r="H703" i="9" s="1"/>
  <c r="I703" i="9"/>
  <c r="I136" i="9"/>
  <c r="F136" i="16"/>
  <c r="P136" i="16"/>
  <c r="H136" i="9" s="1"/>
  <c r="P1293" i="16"/>
  <c r="I628" i="9"/>
  <c r="F628" i="16"/>
  <c r="P628" i="16"/>
  <c r="H628" i="9" s="1"/>
  <c r="AF66" i="15"/>
  <c r="AE66" i="15"/>
  <c r="O66" i="7" s="1"/>
  <c r="F679" i="16"/>
  <c r="P679" i="16" s="1"/>
  <c r="F517" i="16"/>
  <c r="P517" i="16"/>
  <c r="H517" i="9" s="1"/>
  <c r="I517" i="9"/>
  <c r="I324" i="9"/>
  <c r="F324" i="16"/>
  <c r="P324" i="16"/>
  <c r="H324" i="9" s="1"/>
  <c r="AH137" i="15"/>
  <c r="R137" i="7" s="1"/>
  <c r="S137" i="7" s="1"/>
  <c r="P137" i="7"/>
  <c r="AH68" i="15"/>
  <c r="R68" i="7" s="1"/>
  <c r="S68" i="7" s="1"/>
  <c r="F722" i="16"/>
  <c r="P722" i="16" s="1"/>
  <c r="AG159" i="15"/>
  <c r="Q159" i="7" s="1"/>
  <c r="AF76" i="15"/>
  <c r="AE76" i="15"/>
  <c r="O76" i="7" s="1"/>
  <c r="AE5" i="15"/>
  <c r="O5" i="7" s="1"/>
  <c r="AF5" i="15"/>
  <c r="O857" i="16"/>
  <c r="AG64" i="15"/>
  <c r="Q64" i="7" s="1"/>
  <c r="AH53" i="15"/>
  <c r="R53" i="7" s="1"/>
  <c r="S53" i="7" s="1"/>
  <c r="P53" i="7"/>
  <c r="AF20" i="15"/>
  <c r="AF150" i="15"/>
  <c r="AF129" i="15"/>
  <c r="F252" i="16"/>
  <c r="AE39" i="15"/>
  <c r="O39" i="7" s="1"/>
  <c r="AF39" i="15"/>
  <c r="P139" i="7"/>
  <c r="AH139" i="15"/>
  <c r="R139" i="7" s="1"/>
  <c r="S139" i="7" s="1"/>
  <c r="F439" i="16"/>
  <c r="I439" i="9"/>
  <c r="P96" i="7"/>
  <c r="AH96" i="15"/>
  <c r="R96" i="7" s="1"/>
  <c r="S96" i="7" s="1"/>
  <c r="AR12" i="17"/>
  <c r="AJ120" i="17"/>
  <c r="O910" i="16"/>
  <c r="P910" i="16" s="1"/>
  <c r="O846" i="16"/>
  <c r="P846" i="16" s="1"/>
  <c r="O677" i="16"/>
  <c r="P677" i="16" s="1"/>
  <c r="O462" i="16"/>
  <c r="O389" i="16"/>
  <c r="O765" i="16"/>
  <c r="P590" i="16"/>
  <c r="H590" i="9" s="1"/>
  <c r="P1345" i="16"/>
  <c r="H1345" i="9" s="1"/>
  <c r="I1345" i="9" s="1"/>
  <c r="O1294" i="16"/>
  <c r="P1294" i="16" s="1"/>
  <c r="O1286" i="16"/>
  <c r="P1286" i="16" s="1"/>
  <c r="F1250" i="16"/>
  <c r="P1250" i="16" s="1"/>
  <c r="F1209" i="16"/>
  <c r="F1017" i="16"/>
  <c r="T1306" i="16"/>
  <c r="I1306" i="9"/>
  <c r="F1265" i="16"/>
  <c r="P1265" i="16" s="1"/>
  <c r="F1029" i="16"/>
  <c r="P986" i="16"/>
  <c r="H986" i="9" s="1"/>
  <c r="I986" i="9" s="1"/>
  <c r="T986" i="16"/>
  <c r="F1298" i="16"/>
  <c r="P1298" i="16" s="1"/>
  <c r="F1257" i="16"/>
  <c r="P1257" i="16" s="1"/>
  <c r="F1049" i="16"/>
  <c r="F915" i="16"/>
  <c r="P915" i="16" s="1"/>
  <c r="O684" i="16"/>
  <c r="O364" i="16"/>
  <c r="O300" i="16"/>
  <c r="F1059" i="16"/>
  <c r="F1020" i="16"/>
  <c r="O907" i="16"/>
  <c r="F897" i="16"/>
  <c r="P897" i="16" s="1"/>
  <c r="O868" i="16"/>
  <c r="P868" i="16" s="1"/>
  <c r="O740" i="16"/>
  <c r="P740" i="16" s="1"/>
  <c r="F705" i="16"/>
  <c r="P705" i="16" s="1"/>
  <c r="O676" i="16"/>
  <c r="P676" i="16" s="1"/>
  <c r="T625" i="16"/>
  <c r="O612" i="16"/>
  <c r="P577" i="16"/>
  <c r="H577" i="9" s="1"/>
  <c r="T577" i="16"/>
  <c r="I577" i="9"/>
  <c r="F554" i="16"/>
  <c r="P449" i="16"/>
  <c r="H449" i="9" s="1"/>
  <c r="T449" i="16"/>
  <c r="I449" i="9"/>
  <c r="T362" i="16"/>
  <c r="P362" i="16"/>
  <c r="H362" i="9" s="1"/>
  <c r="I362" i="9"/>
  <c r="F321" i="16"/>
  <c r="F1315" i="16"/>
  <c r="P1315" i="16" s="1"/>
  <c r="P1266" i="16"/>
  <c r="H1266" i="9" s="1"/>
  <c r="I1266" i="9"/>
  <c r="F1249" i="16"/>
  <c r="P1249" i="16" s="1"/>
  <c r="H1249" i="9" s="1"/>
  <c r="I1249" i="9" s="1"/>
  <c r="F1187" i="16"/>
  <c r="O924" i="16"/>
  <c r="P924" i="16" s="1"/>
  <c r="T889" i="16"/>
  <c r="I889" i="9"/>
  <c r="F835" i="16"/>
  <c r="P835" i="16" s="1"/>
  <c r="H835" i="9" s="1"/>
  <c r="I835" i="9" s="1"/>
  <c r="T697" i="16"/>
  <c r="I697" i="9"/>
  <c r="F610" i="16"/>
  <c r="O562" i="16"/>
  <c r="T515" i="16"/>
  <c r="P515" i="16"/>
  <c r="H515" i="9" s="1"/>
  <c r="F515" i="16"/>
  <c r="I515" i="9"/>
  <c r="O412" i="16"/>
  <c r="F377" i="16"/>
  <c r="O323" i="16"/>
  <c r="F272" i="16"/>
  <c r="T249" i="16"/>
  <c r="I249" i="9"/>
  <c r="F162" i="16"/>
  <c r="P922" i="16"/>
  <c r="H922" i="9" s="1"/>
  <c r="I922" i="9" s="1"/>
  <c r="F881" i="16"/>
  <c r="P881" i="16" s="1"/>
  <c r="H881" i="9" s="1"/>
  <c r="I881" i="9" s="1"/>
  <c r="F858" i="16"/>
  <c r="P858" i="16" s="1"/>
  <c r="H858" i="9" s="1"/>
  <c r="I858" i="9" s="1"/>
  <c r="F827" i="16"/>
  <c r="P827" i="16" s="1"/>
  <c r="O788" i="16"/>
  <c r="P788" i="16" s="1"/>
  <c r="P753" i="16"/>
  <c r="H753" i="9" s="1"/>
  <c r="I753" i="9" s="1"/>
  <c r="P730" i="16"/>
  <c r="H730" i="9" s="1"/>
  <c r="I730" i="9" s="1"/>
  <c r="F625" i="16"/>
  <c r="F602" i="16"/>
  <c r="O538" i="16"/>
  <c r="P507" i="16"/>
  <c r="H507" i="9" s="1"/>
  <c r="T507" i="16"/>
  <c r="I507" i="9"/>
  <c r="F507" i="16"/>
  <c r="P433" i="16"/>
  <c r="H433" i="9" s="1"/>
  <c r="I433" i="9"/>
  <c r="O340" i="16"/>
  <c r="P241" i="16"/>
  <c r="H241" i="9" s="1"/>
  <c r="I241" i="9"/>
  <c r="P993" i="16"/>
  <c r="H993" i="9" s="1"/>
  <c r="I993" i="9"/>
  <c r="F901" i="16"/>
  <c r="P901" i="16" s="1"/>
  <c r="O762" i="16"/>
  <c r="I756" i="9"/>
  <c r="F652" i="16"/>
  <c r="I652" i="9"/>
  <c r="P621" i="16"/>
  <c r="H621" i="9" s="1"/>
  <c r="F621" i="16"/>
  <c r="I621" i="9"/>
  <c r="T593" i="16"/>
  <c r="P593" i="16"/>
  <c r="H593" i="9" s="1"/>
  <c r="I593" i="9"/>
  <c r="T514" i="16"/>
  <c r="F460" i="16"/>
  <c r="I460" i="9"/>
  <c r="F411" i="16"/>
  <c r="F359" i="16"/>
  <c r="I359" i="9"/>
  <c r="P322" i="16"/>
  <c r="H322" i="9" s="1"/>
  <c r="I322" i="9"/>
  <c r="P235" i="16"/>
  <c r="H235" i="9" s="1"/>
  <c r="T196" i="16"/>
  <c r="I196" i="9"/>
  <c r="F196" i="16"/>
  <c r="F161" i="16"/>
  <c r="F929" i="16"/>
  <c r="P929" i="16" s="1"/>
  <c r="P731" i="16"/>
  <c r="P675" i="16"/>
  <c r="H675" i="9" s="1"/>
  <c r="F573" i="16"/>
  <c r="P573" i="16"/>
  <c r="H573" i="9" s="1"/>
  <c r="I573" i="9"/>
  <c r="F491" i="16"/>
  <c r="T488" i="16"/>
  <c r="I488" i="9"/>
  <c r="F394" i="16"/>
  <c r="F388" i="16"/>
  <c r="F384" i="16"/>
  <c r="P380" i="16"/>
  <c r="H380" i="9" s="1"/>
  <c r="P289" i="16"/>
  <c r="H289" i="9" s="1"/>
  <c r="I289" i="9"/>
  <c r="F1269" i="16"/>
  <c r="P1269" i="16" s="1"/>
  <c r="F844" i="16"/>
  <c r="P844" i="16" s="1"/>
  <c r="H844" i="9" s="1"/>
  <c r="I844" i="9" s="1"/>
  <c r="P698" i="16"/>
  <c r="H698" i="9" s="1"/>
  <c r="I698" i="9" s="1"/>
  <c r="T639" i="16"/>
  <c r="O475" i="16"/>
  <c r="T473" i="16"/>
  <c r="P473" i="16"/>
  <c r="H473" i="9" s="1"/>
  <c r="I473" i="9"/>
  <c r="T386" i="16"/>
  <c r="F378" i="16"/>
  <c r="F127" i="16"/>
  <c r="P987" i="16"/>
  <c r="H987" i="9" s="1"/>
  <c r="I987" i="9" s="1"/>
  <c r="P962" i="16"/>
  <c r="P948" i="16"/>
  <c r="F921" i="16"/>
  <c r="P921" i="16" s="1"/>
  <c r="H921" i="9" s="1"/>
  <c r="I921" i="9" s="1"/>
  <c r="F867" i="16"/>
  <c r="P867" i="16" s="1"/>
  <c r="P786" i="16"/>
  <c r="P452" i="16"/>
  <c r="H452" i="9" s="1"/>
  <c r="I355" i="9"/>
  <c r="T355" i="16"/>
  <c r="F355" i="16"/>
  <c r="O296" i="16"/>
  <c r="I202" i="9"/>
  <c r="F202" i="16"/>
  <c r="I194" i="9"/>
  <c r="P194" i="16"/>
  <c r="H194" i="9" s="1"/>
  <c r="F194" i="16"/>
  <c r="P1289" i="16"/>
  <c r="P31" i="16"/>
  <c r="H31" i="9" s="1"/>
  <c r="F31" i="16"/>
  <c r="I31" i="9"/>
  <c r="F642" i="16"/>
  <c r="F123" i="16"/>
  <c r="I123" i="9"/>
  <c r="F624" i="16"/>
  <c r="F10" i="16"/>
  <c r="T628" i="16"/>
  <c r="I163" i="9"/>
  <c r="T163" i="16"/>
  <c r="F163" i="16"/>
  <c r="AH45" i="15"/>
  <c r="R45" i="7" s="1"/>
  <c r="S45" i="7" s="1"/>
  <c r="P45" i="7"/>
  <c r="P15" i="7"/>
  <c r="F1135" i="16"/>
  <c r="F1113" i="16"/>
  <c r="F780" i="16"/>
  <c r="P780" i="16" s="1"/>
  <c r="H780" i="9" s="1"/>
  <c r="I780" i="9" s="1"/>
  <c r="P739" i="16"/>
  <c r="H739" i="9" s="1"/>
  <c r="I739" i="9" s="1"/>
  <c r="I118" i="9"/>
  <c r="T118" i="16"/>
  <c r="F118" i="16"/>
  <c r="AG163" i="15"/>
  <c r="Q163" i="7" s="1"/>
  <c r="AG115" i="15"/>
  <c r="Q115" i="7" s="1"/>
  <c r="AG99" i="15"/>
  <c r="F1082" i="16"/>
  <c r="I361" i="9"/>
  <c r="T361" i="16"/>
  <c r="T345" i="16"/>
  <c r="F345" i="16"/>
  <c r="T324" i="16"/>
  <c r="AG174" i="15"/>
  <c r="Q174" i="7" s="1"/>
  <c r="AG158" i="15"/>
  <c r="Q158" i="7" s="1"/>
  <c r="AG142" i="15"/>
  <c r="Q142" i="7" s="1"/>
  <c r="AF110" i="15"/>
  <c r="AE110" i="15"/>
  <c r="O110" i="7" s="1"/>
  <c r="AG94" i="15"/>
  <c r="Q94" i="7" s="1"/>
  <c r="P51" i="7"/>
  <c r="AH51" i="15"/>
  <c r="R51" i="7" s="1"/>
  <c r="S51" i="7" s="1"/>
  <c r="F1149" i="16"/>
  <c r="P890" i="16"/>
  <c r="H890" i="9" s="1"/>
  <c r="I890" i="9" s="1"/>
  <c r="O424" i="16"/>
  <c r="AG111" i="15"/>
  <c r="Q111" i="7" s="1"/>
  <c r="P1279" i="16"/>
  <c r="AG169" i="15"/>
  <c r="Q169" i="7" s="1"/>
  <c r="AF151" i="15"/>
  <c r="I13" i="9"/>
  <c r="T13" i="16"/>
  <c r="P13" i="16"/>
  <c r="H13" i="9" s="1"/>
  <c r="F627" i="16"/>
  <c r="T192" i="16"/>
  <c r="AE21" i="15"/>
  <c r="O21" i="7" s="1"/>
  <c r="AF21" i="15"/>
  <c r="I223" i="9"/>
  <c r="F223" i="16"/>
  <c r="P124" i="7"/>
  <c r="AH124" i="15"/>
  <c r="R124" i="7" s="1"/>
  <c r="S124" i="7" s="1"/>
  <c r="P55" i="7"/>
  <c r="AH55" i="15"/>
  <c r="R55" i="7" s="1"/>
  <c r="S55" i="7" s="1"/>
  <c r="AF112" i="15"/>
  <c r="T1001" i="16"/>
  <c r="P1001" i="16"/>
  <c r="H1001" i="9" s="1"/>
  <c r="I1001" i="9" s="1"/>
  <c r="P989" i="16"/>
  <c r="H989" i="9" s="1"/>
  <c r="I989" i="9" s="1"/>
  <c r="P128" i="7"/>
  <c r="AH128" i="15"/>
  <c r="R128" i="7" s="1"/>
  <c r="S128" i="7" s="1"/>
  <c r="O819" i="16"/>
  <c r="AG65" i="15"/>
  <c r="Q65" i="7" s="1"/>
  <c r="P178" i="16"/>
  <c r="H178" i="9" s="1"/>
  <c r="I178" i="9"/>
  <c r="O898" i="16"/>
  <c r="T601" i="16"/>
  <c r="P601" i="16"/>
  <c r="H601" i="9" s="1"/>
  <c r="I601" i="9"/>
  <c r="T256" i="16"/>
  <c r="T250" i="16"/>
  <c r="I250" i="9"/>
  <c r="P77" i="16"/>
  <c r="H77" i="9" s="1"/>
  <c r="F21" i="16"/>
  <c r="T21" i="16"/>
  <c r="P21" i="16"/>
  <c r="H21" i="9" s="1"/>
  <c r="I21" i="9"/>
  <c r="F1327" i="16"/>
  <c r="P1327" i="16" s="1"/>
  <c r="T716" i="16"/>
  <c r="I716" i="9"/>
  <c r="P481" i="16"/>
  <c r="H481" i="9" s="1"/>
  <c r="T427" i="16"/>
  <c r="T73" i="16"/>
  <c r="AE98" i="15"/>
  <c r="O98" i="7" s="1"/>
  <c r="AF98" i="15"/>
  <c r="AG50" i="15"/>
  <c r="Q50" i="7" s="1"/>
  <c r="AG3" i="15"/>
  <c r="Q3" i="7" s="1"/>
  <c r="F1317" i="16"/>
  <c r="P1317" i="16" s="1"/>
  <c r="F435" i="16"/>
  <c r="F206" i="16"/>
  <c r="I206" i="9"/>
  <c r="AG46" i="15"/>
  <c r="Q46" i="7" s="1"/>
  <c r="AL69" i="17"/>
  <c r="AL121" i="17"/>
  <c r="AG13" i="15"/>
  <c r="Q13" i="7" s="1"/>
  <c r="T504" i="16"/>
  <c r="P504" i="16"/>
  <c r="H504" i="9" s="1"/>
  <c r="AE59" i="15"/>
  <c r="O59" i="7" s="1"/>
  <c r="F695" i="16"/>
  <c r="P695" i="16" s="1"/>
  <c r="AE60" i="15"/>
  <c r="O60" i="7" s="1"/>
  <c r="F997" i="16"/>
  <c r="P997" i="16"/>
  <c r="H997" i="9" s="1"/>
  <c r="I997" i="9" s="1"/>
  <c r="AG9" i="15"/>
  <c r="Q9" i="7" s="1"/>
  <c r="F518" i="16"/>
  <c r="I518" i="9"/>
  <c r="F189" i="16"/>
  <c r="I189" i="9"/>
  <c r="P189" i="16"/>
  <c r="H189" i="9" s="1"/>
  <c r="T34" i="16"/>
  <c r="T201" i="16"/>
  <c r="P201" i="16"/>
  <c r="H201" i="9" s="1"/>
  <c r="I201" i="9"/>
  <c r="T977" i="16"/>
  <c r="F757" i="16"/>
  <c r="P757" i="16" s="1"/>
  <c r="T442" i="16"/>
  <c r="P442" i="16"/>
  <c r="H442" i="9" s="1"/>
  <c r="I442" i="9"/>
  <c r="O326" i="16"/>
  <c r="F173" i="16"/>
  <c r="P173" i="16"/>
  <c r="H173" i="9" s="1"/>
  <c r="I173" i="9"/>
  <c r="T75" i="16"/>
  <c r="I75" i="9"/>
  <c r="F75" i="16"/>
  <c r="F1055" i="16"/>
  <c r="F165" i="16"/>
  <c r="P165" i="16"/>
  <c r="H165" i="9" s="1"/>
  <c r="I165" i="9"/>
  <c r="T217" i="16"/>
  <c r="P217" i="16"/>
  <c r="H217" i="9" s="1"/>
  <c r="I217" i="9"/>
  <c r="I972" i="9"/>
  <c r="P32" i="16"/>
  <c r="H32" i="9" s="1"/>
  <c r="I32" i="9"/>
  <c r="F32" i="16"/>
  <c r="AF50" i="15"/>
  <c r="AE50" i="15"/>
  <c r="O50" i="7" s="1"/>
  <c r="I35" i="9"/>
  <c r="P35" i="16"/>
  <c r="H35" i="9" s="1"/>
  <c r="AG83" i="15"/>
  <c r="Q83" i="7" s="1"/>
  <c r="F295" i="16"/>
  <c r="I295" i="9"/>
  <c r="AF67" i="15"/>
  <c r="AF46" i="15"/>
  <c r="AE46" i="15"/>
  <c r="O46" i="7" s="1"/>
  <c r="AG30" i="15"/>
  <c r="Q30" i="7" s="1"/>
  <c r="P501" i="16"/>
  <c r="H501" i="9" s="1"/>
  <c r="F501" i="16"/>
  <c r="I501" i="9"/>
  <c r="T332" i="16"/>
  <c r="I332" i="9"/>
  <c r="F325" i="16"/>
  <c r="P325" i="16"/>
  <c r="H325" i="9" s="1"/>
  <c r="I325" i="9"/>
  <c r="AG127" i="15"/>
  <c r="Q127" i="7" s="1"/>
  <c r="AG63" i="15"/>
  <c r="Q63" i="7" s="1"/>
  <c r="AL7" i="17"/>
  <c r="AL99" i="17"/>
  <c r="F965" i="16"/>
  <c r="P965" i="16" s="1"/>
  <c r="F943" i="16"/>
  <c r="P943" i="16" s="1"/>
  <c r="F317" i="16"/>
  <c r="P317" i="16"/>
  <c r="H317" i="9" s="1"/>
  <c r="I317" i="9"/>
  <c r="AG42" i="15"/>
  <c r="Q42" i="7" s="1"/>
  <c r="P493" i="16"/>
  <c r="H493" i="9" s="1"/>
  <c r="F493" i="16"/>
  <c r="I493" i="9"/>
  <c r="P450" i="16"/>
  <c r="H450" i="9" s="1"/>
  <c r="I450" i="9"/>
  <c r="P159" i="16"/>
  <c r="H159" i="9" s="1"/>
  <c r="F159" i="16"/>
  <c r="I159" i="9"/>
  <c r="AG89" i="15"/>
  <c r="Q89" i="7" s="1"/>
  <c r="AG137" i="15"/>
  <c r="Q137" i="7" s="1"/>
  <c r="F55" i="16"/>
  <c r="AE156" i="15"/>
  <c r="O156" i="7" s="1"/>
  <c r="AE112" i="15"/>
  <c r="O112" i="7" s="1"/>
  <c r="I19" i="9"/>
  <c r="T19" i="16"/>
  <c r="T592" i="16"/>
  <c r="I592" i="9"/>
  <c r="P7" i="16"/>
  <c r="H7" i="9" s="1"/>
  <c r="F7" i="16"/>
  <c r="I7" i="9"/>
  <c r="AG29" i="15"/>
  <c r="Q29" i="7" s="1"/>
  <c r="P865" i="16"/>
  <c r="H865" i="9" s="1"/>
  <c r="I865" i="9" s="1"/>
  <c r="T636" i="16"/>
  <c r="F338" i="16"/>
  <c r="F201" i="16"/>
  <c r="F977" i="16"/>
  <c r="P977" i="16" s="1"/>
  <c r="H977" i="9" s="1"/>
  <c r="I977" i="9" s="1"/>
  <c r="O564" i="16"/>
  <c r="F534" i="16"/>
  <c r="I534" i="9"/>
  <c r="F442" i="16"/>
  <c r="F326" i="16"/>
  <c r="I326" i="9"/>
  <c r="T168" i="16"/>
  <c r="I168" i="9"/>
  <c r="P168" i="16"/>
  <c r="H168" i="9" s="1"/>
  <c r="F1072" i="16"/>
  <c r="F914" i="16"/>
  <c r="P914" i="16" s="1"/>
  <c r="F880" i="16"/>
  <c r="P880" i="16" s="1"/>
  <c r="F801" i="16"/>
  <c r="P801" i="16" s="1"/>
  <c r="F389" i="16"/>
  <c r="P389" i="16"/>
  <c r="H389" i="9" s="1"/>
  <c r="I389" i="9"/>
  <c r="T128" i="16"/>
  <c r="F27" i="16"/>
  <c r="F1161" i="16"/>
  <c r="F217" i="16"/>
  <c r="I126" i="9"/>
  <c r="P126" i="16"/>
  <c r="H126" i="9" s="1"/>
  <c r="F1313" i="16"/>
  <c r="P1313" i="16" s="1"/>
  <c r="F982" i="16"/>
  <c r="P982" i="16" s="1"/>
  <c r="H982" i="9" s="1"/>
  <c r="I982" i="9" s="1"/>
  <c r="F522" i="16"/>
  <c r="AG162" i="15"/>
  <c r="Q162" i="7" s="1"/>
  <c r="AH157" i="15"/>
  <c r="R157" i="7" s="1"/>
  <c r="S157" i="7" s="1"/>
  <c r="P157" i="7"/>
  <c r="AF82" i="15"/>
  <c r="AE82" i="15"/>
  <c r="O82" i="7" s="1"/>
  <c r="AG34" i="15"/>
  <c r="Q34" i="7" s="1"/>
  <c r="F1051" i="16"/>
  <c r="F35" i="16"/>
  <c r="AG67" i="15"/>
  <c r="Q67" i="7" s="1"/>
  <c r="F978" i="16"/>
  <c r="P978" i="16" s="1"/>
  <c r="H978" i="9" s="1"/>
  <c r="I978" i="9" s="1"/>
  <c r="P793" i="16"/>
  <c r="P258" i="16"/>
  <c r="H258" i="9" s="1"/>
  <c r="T204" i="16"/>
  <c r="AF174" i="15"/>
  <c r="AE174" i="15"/>
  <c r="O174" i="7" s="1"/>
  <c r="AG126" i="15"/>
  <c r="Q126" i="7" s="1"/>
  <c r="AF14" i="15"/>
  <c r="AE14" i="15"/>
  <c r="O14" i="7" s="1"/>
  <c r="F381" i="16"/>
  <c r="P381" i="16"/>
  <c r="H381" i="9" s="1"/>
  <c r="I381" i="9"/>
  <c r="O350" i="16"/>
  <c r="F316" i="16"/>
  <c r="O286" i="16"/>
  <c r="AG143" i="15"/>
  <c r="Q143" i="7" s="1"/>
  <c r="AG79" i="15"/>
  <c r="Q79" i="7" s="1"/>
  <c r="AG15" i="15"/>
  <c r="Q15" i="7" s="1"/>
  <c r="AL171" i="17"/>
  <c r="AL133" i="17"/>
  <c r="AL135" i="17"/>
  <c r="AL51" i="17"/>
  <c r="F555" i="16"/>
  <c r="F913" i="16"/>
  <c r="P913" i="16" s="1"/>
  <c r="P778" i="16"/>
  <c r="P144" i="16"/>
  <c r="H144" i="9" s="1"/>
  <c r="F90" i="16"/>
  <c r="P90" i="16"/>
  <c r="H90" i="9" s="1"/>
  <c r="I90" i="9"/>
  <c r="AG80" i="15"/>
  <c r="Q80" i="7" s="1"/>
  <c r="AF7" i="15"/>
  <c r="AG93" i="15"/>
  <c r="Q93" i="7" s="1"/>
  <c r="F504" i="16"/>
  <c r="F450" i="16"/>
  <c r="AG41" i="15"/>
  <c r="Q41" i="7" s="1"/>
  <c r="AG26" i="15"/>
  <c r="Q26" i="7" s="1"/>
  <c r="F634" i="16"/>
  <c r="P281" i="16"/>
  <c r="H281" i="9" s="1"/>
  <c r="F281" i="16"/>
  <c r="F795" i="16"/>
  <c r="P795" i="16" s="1"/>
  <c r="H795" i="9" s="1"/>
  <c r="I795" i="9" s="1"/>
  <c r="P141" i="16"/>
  <c r="H141" i="9" s="1"/>
  <c r="T54" i="16"/>
  <c r="AG77" i="15"/>
  <c r="Q77" i="7" s="1"/>
  <c r="AG153" i="15"/>
  <c r="Q153" i="7" s="1"/>
  <c r="P176" i="16"/>
  <c r="H176" i="9" s="1"/>
  <c r="P55" i="16"/>
  <c r="H55" i="9" s="1"/>
  <c r="AG45" i="15"/>
  <c r="Q45" i="7" s="1"/>
  <c r="T396" i="16"/>
  <c r="P396" i="16"/>
  <c r="H396" i="9" s="1"/>
  <c r="F19" i="16"/>
  <c r="AG73" i="15"/>
  <c r="Q73" i="7" s="1"/>
  <c r="P34" i="16"/>
  <c r="H34" i="9" s="1"/>
  <c r="I683" i="9"/>
  <c r="T296" i="16"/>
  <c r="I296" i="9"/>
  <c r="F509" i="16"/>
  <c r="P509" i="16"/>
  <c r="H509" i="9" s="1"/>
  <c r="I509" i="9"/>
  <c r="P146" i="16"/>
  <c r="H146" i="9" s="1"/>
  <c r="I146" i="9"/>
  <c r="F146" i="16"/>
  <c r="T37" i="16"/>
  <c r="P37" i="16"/>
  <c r="H37" i="9" s="1"/>
  <c r="F37" i="16"/>
  <c r="I37" i="9"/>
  <c r="T5" i="16"/>
  <c r="P5" i="16"/>
  <c r="H5" i="9" s="1"/>
  <c r="F5" i="16"/>
  <c r="I5" i="9"/>
  <c r="O842" i="16"/>
  <c r="P842" i="16" s="1"/>
  <c r="F552" i="16"/>
  <c r="P417" i="16"/>
  <c r="H417" i="9" s="1"/>
  <c r="I417" i="9"/>
  <c r="P883" i="16"/>
  <c r="F832" i="16"/>
  <c r="P832" i="16" s="1"/>
  <c r="I603" i="9"/>
  <c r="P603" i="16"/>
  <c r="H603" i="9" s="1"/>
  <c r="F495" i="16"/>
  <c r="I495" i="9"/>
  <c r="P816" i="16"/>
  <c r="H816" i="9" s="1"/>
  <c r="I816" i="9" s="1"/>
  <c r="P522" i="16"/>
  <c r="H522" i="9" s="1"/>
  <c r="P68" i="16"/>
  <c r="H68" i="9" s="1"/>
  <c r="I68" i="9"/>
  <c r="F68" i="16"/>
  <c r="AF162" i="15"/>
  <c r="AE162" i="15"/>
  <c r="O162" i="7" s="1"/>
  <c r="P721" i="16"/>
  <c r="H721" i="9" s="1"/>
  <c r="I721" i="9"/>
  <c r="AG147" i="15"/>
  <c r="Q147" i="7" s="1"/>
  <c r="I151" i="9"/>
  <c r="P151" i="16"/>
  <c r="H151" i="9" s="1"/>
  <c r="T151" i="16"/>
  <c r="AG110" i="15"/>
  <c r="Q110" i="7" s="1"/>
  <c r="P803" i="16"/>
  <c r="T316" i="16"/>
  <c r="F98" i="16"/>
  <c r="P98" i="16"/>
  <c r="H98" i="9" s="1"/>
  <c r="I98" i="9"/>
  <c r="T79" i="16"/>
  <c r="AL11" i="17"/>
  <c r="F1320" i="16"/>
  <c r="P1320" i="16" s="1"/>
  <c r="H1320" i="9" s="1"/>
  <c r="I1320" i="9" s="1"/>
  <c r="T555" i="16"/>
  <c r="P436" i="16"/>
  <c r="H436" i="9" s="1"/>
  <c r="F144" i="16"/>
  <c r="AG57" i="15"/>
  <c r="Q57" i="7" s="1"/>
  <c r="F773" i="16"/>
  <c r="P773" i="16" s="1"/>
  <c r="T450" i="16"/>
  <c r="T281" i="16"/>
  <c r="F138" i="16"/>
  <c r="P138" i="16"/>
  <c r="H138" i="9" s="1"/>
  <c r="I138" i="9"/>
  <c r="I51" i="9"/>
  <c r="T51" i="16"/>
  <c r="F875" i="16"/>
  <c r="P875" i="16" s="1"/>
  <c r="P545" i="16"/>
  <c r="H545" i="9" s="1"/>
  <c r="F545" i="16"/>
  <c r="F1169" i="16"/>
  <c r="F824" i="16"/>
  <c r="P824" i="16" s="1"/>
  <c r="F487" i="16"/>
  <c r="I487" i="9"/>
  <c r="F396" i="16"/>
  <c r="F245" i="16"/>
  <c r="P245" i="16"/>
  <c r="H245" i="9" s="1"/>
  <c r="I245" i="9"/>
  <c r="AF100" i="15"/>
  <c r="AE100" i="15"/>
  <c r="O100" i="7" s="1"/>
  <c r="T2" i="16" l="1"/>
  <c r="F2" i="16"/>
  <c r="AK2" i="17"/>
  <c r="AR39" i="17"/>
  <c r="AM170" i="17"/>
  <c r="AR65" i="17"/>
  <c r="AM50" i="17"/>
  <c r="AJ134" i="17"/>
  <c r="AM5" i="17"/>
  <c r="AI52" i="17"/>
  <c r="AR23" i="17"/>
  <c r="AJ103" i="17"/>
  <c r="AR80" i="17"/>
  <c r="AJ110" i="17"/>
  <c r="AI44" i="17"/>
  <c r="AR46" i="17"/>
  <c r="AM59" i="17"/>
  <c r="AJ95" i="17"/>
  <c r="AR59" i="17"/>
  <c r="AR44" i="17"/>
  <c r="AJ94" i="17"/>
  <c r="AM145" i="17"/>
  <c r="AR121" i="17"/>
  <c r="AR5" i="17"/>
  <c r="AI172" i="17"/>
  <c r="AM159" i="17"/>
  <c r="AM25" i="17"/>
  <c r="AR53" i="17"/>
  <c r="AR89" i="17"/>
  <c r="AR125" i="17"/>
  <c r="AR169" i="17"/>
  <c r="AJ4" i="17"/>
  <c r="AR123" i="17"/>
  <c r="AR171" i="17"/>
  <c r="AJ164" i="17"/>
  <c r="AJ89" i="17"/>
  <c r="AJ22" i="17"/>
  <c r="AM54" i="17"/>
  <c r="AR156" i="17"/>
  <c r="AJ125" i="17"/>
  <c r="AR55" i="17"/>
  <c r="AR95" i="17"/>
  <c r="AR147" i="17"/>
  <c r="AM166" i="17"/>
  <c r="AJ167" i="17"/>
  <c r="AR142" i="17"/>
  <c r="AJ16" i="17"/>
  <c r="AI150" i="17"/>
  <c r="AM114" i="17"/>
  <c r="AR94" i="17"/>
  <c r="AI37" i="17"/>
  <c r="AM106" i="17"/>
  <c r="AM99" i="17"/>
  <c r="AM125" i="17"/>
  <c r="AM169" i="17"/>
  <c r="AI5" i="17"/>
  <c r="AM26" i="17"/>
  <c r="AR30" i="17"/>
  <c r="AR124" i="17"/>
  <c r="AM174" i="17"/>
  <c r="AI130" i="17"/>
  <c r="AM126" i="17"/>
  <c r="AM13" i="17"/>
  <c r="AM41" i="17"/>
  <c r="AM117" i="17"/>
  <c r="AM121" i="17"/>
  <c r="AI163" i="17"/>
  <c r="AJ84" i="17"/>
  <c r="AR103" i="17"/>
  <c r="AR131" i="17"/>
  <c r="AR135" i="17"/>
  <c r="K78" i="14" s="1"/>
  <c r="AM29" i="17"/>
  <c r="AJ136" i="17"/>
  <c r="AI152" i="17"/>
  <c r="AR20" i="17"/>
  <c r="AM65" i="17"/>
  <c r="AM84" i="17"/>
  <c r="AR84" i="17"/>
  <c r="AM55" i="17"/>
  <c r="AJ144" i="17"/>
  <c r="AR126" i="17"/>
  <c r="AR166" i="17"/>
  <c r="AR96" i="17"/>
  <c r="AI159" i="17"/>
  <c r="AM131" i="17"/>
  <c r="AM160" i="17"/>
  <c r="AI8" i="17"/>
  <c r="AM130" i="17"/>
  <c r="AI113" i="17"/>
  <c r="AR26" i="17"/>
  <c r="AR47" i="17"/>
  <c r="AR91" i="17"/>
  <c r="AR127" i="17"/>
  <c r="AR175" i="17"/>
  <c r="AM36" i="17"/>
  <c r="AR140" i="17"/>
  <c r="AM122" i="17"/>
  <c r="AR160" i="17"/>
  <c r="AR86" i="17"/>
  <c r="AR101" i="17"/>
  <c r="AR98" i="17"/>
  <c r="AR31" i="17"/>
  <c r="AR63" i="17"/>
  <c r="AR111" i="17"/>
  <c r="AM46" i="17"/>
  <c r="AI115" i="17"/>
  <c r="AM63" i="17"/>
  <c r="AM95" i="17"/>
  <c r="AR146" i="17"/>
  <c r="AR155" i="17"/>
  <c r="AR149" i="17"/>
  <c r="AJ174" i="17"/>
  <c r="AM3" i="17"/>
  <c r="AR141" i="17"/>
  <c r="AM116" i="17"/>
  <c r="AM101" i="17"/>
  <c r="AM34" i="17"/>
  <c r="AM81" i="17"/>
  <c r="AM77" i="17"/>
  <c r="AR60" i="17"/>
  <c r="AJ46" i="17"/>
  <c r="AM58" i="17"/>
  <c r="AR67" i="17"/>
  <c r="AM139" i="17"/>
  <c r="AI63" i="17"/>
  <c r="AI154" i="17"/>
  <c r="AR88" i="17"/>
  <c r="AM94" i="17"/>
  <c r="AM69" i="17"/>
  <c r="AM78" i="17"/>
  <c r="AM155" i="17"/>
  <c r="AI116" i="17"/>
  <c r="AR151" i="17"/>
  <c r="AM42" i="17"/>
  <c r="AR137" i="17"/>
  <c r="AR87" i="17"/>
  <c r="AR119" i="17"/>
  <c r="AM120" i="17"/>
  <c r="AM70" i="17"/>
  <c r="AM143" i="17"/>
  <c r="AR33" i="17"/>
  <c r="AM61" i="17"/>
  <c r="AR66" i="17"/>
  <c r="AI111" i="17"/>
  <c r="AR71" i="17"/>
  <c r="AM60" i="17"/>
  <c r="AR139" i="17"/>
  <c r="AJ158" i="17"/>
  <c r="AR49" i="17"/>
  <c r="AJ11" i="17"/>
  <c r="AR162" i="17"/>
  <c r="AR133" i="17"/>
  <c r="AR116" i="17"/>
  <c r="AI76" i="17"/>
  <c r="AM136" i="17"/>
  <c r="AM16" i="17"/>
  <c r="AR132" i="17"/>
  <c r="AM162" i="17"/>
  <c r="AJ82" i="17"/>
  <c r="AM90" i="17"/>
  <c r="AJ108" i="17"/>
  <c r="AR58" i="17"/>
  <c r="AM128" i="17"/>
  <c r="AM149" i="17"/>
  <c r="AJ141" i="17"/>
  <c r="AR115" i="17"/>
  <c r="AM64" i="17"/>
  <c r="AI64" i="17"/>
  <c r="AI60" i="17"/>
  <c r="AR120" i="17"/>
  <c r="AJ83" i="17"/>
  <c r="AM15" i="17"/>
  <c r="AI146" i="17"/>
  <c r="AI77" i="17"/>
  <c r="AN77" i="17" s="1"/>
  <c r="AM132" i="17"/>
  <c r="AR104" i="17"/>
  <c r="AR56" i="17"/>
  <c r="AR28" i="17"/>
  <c r="AM152" i="17"/>
  <c r="AJ157" i="17"/>
  <c r="AM19" i="17"/>
  <c r="AM147" i="17"/>
  <c r="AR81" i="17"/>
  <c r="AM105" i="17"/>
  <c r="AM173" i="17"/>
  <c r="AR76" i="17"/>
  <c r="AR40" i="17"/>
  <c r="AJ127" i="17"/>
  <c r="AR100" i="17"/>
  <c r="AJ69" i="17"/>
  <c r="AR10" i="17"/>
  <c r="AR6" i="17"/>
  <c r="AR122" i="17"/>
  <c r="AI27" i="17"/>
  <c r="AN27" i="17" s="1"/>
  <c r="AI132" i="17"/>
  <c r="AJ160" i="17"/>
  <c r="AR128" i="17"/>
  <c r="AR113" i="17"/>
  <c r="AR70" i="17"/>
  <c r="AM137" i="17"/>
  <c r="AM73" i="17"/>
  <c r="AJ117" i="17"/>
  <c r="AM67" i="17"/>
  <c r="AR159" i="17"/>
  <c r="AM18" i="17"/>
  <c r="AI45" i="17"/>
  <c r="AM129" i="17"/>
  <c r="AR54" i="17"/>
  <c r="AR118" i="17"/>
  <c r="AR42" i="17"/>
  <c r="AM47" i="17"/>
  <c r="AR52" i="17"/>
  <c r="AI124" i="17"/>
  <c r="AR152" i="17"/>
  <c r="AM82" i="17"/>
  <c r="AR17" i="17"/>
  <c r="AR129" i="17"/>
  <c r="AM102" i="17"/>
  <c r="AM87" i="17"/>
  <c r="AI48" i="17"/>
  <c r="AM57" i="17"/>
  <c r="AM76" i="17"/>
  <c r="AM146" i="17"/>
  <c r="AM6" i="17"/>
  <c r="AI24" i="17"/>
  <c r="AI153" i="17"/>
  <c r="AM85" i="17"/>
  <c r="AM157" i="17"/>
  <c r="AJ118" i="17"/>
  <c r="AI25" i="17"/>
  <c r="AR16" i="17"/>
  <c r="AM172" i="17"/>
  <c r="AJ98" i="17"/>
  <c r="AI23" i="17"/>
  <c r="AR62" i="17"/>
  <c r="AM32" i="17"/>
  <c r="AM107" i="17"/>
  <c r="AM171" i="17"/>
  <c r="AR90" i="17"/>
  <c r="AI40" i="17"/>
  <c r="AR36" i="17"/>
  <c r="AJ10" i="17"/>
  <c r="AM150" i="17"/>
  <c r="AM142" i="17"/>
  <c r="AR136" i="17"/>
  <c r="AR82" i="17"/>
  <c r="AI28" i="17"/>
  <c r="AR106" i="17"/>
  <c r="AM91" i="17"/>
  <c r="AR110" i="17"/>
  <c r="AM33" i="17"/>
  <c r="AR61" i="17"/>
  <c r="AR109" i="17"/>
  <c r="AR145" i="17"/>
  <c r="AR143" i="17"/>
  <c r="AR161" i="17"/>
  <c r="AM161" i="17"/>
  <c r="AM17" i="17"/>
  <c r="AR32" i="17"/>
  <c r="AM68" i="17"/>
  <c r="AR25" i="17"/>
  <c r="AJ26" i="17"/>
  <c r="AI26" i="17"/>
  <c r="AJ53" i="17"/>
  <c r="AJ100" i="17"/>
  <c r="AR154" i="17"/>
  <c r="AR158" i="17"/>
  <c r="AI102" i="17"/>
  <c r="AI96" i="17"/>
  <c r="AM20" i="17"/>
  <c r="AM43" i="17"/>
  <c r="AR35" i="17"/>
  <c r="AR164" i="17"/>
  <c r="AI128" i="17"/>
  <c r="AI67" i="17"/>
  <c r="AJ87" i="17"/>
  <c r="AJ2" i="17"/>
  <c r="AJ3" i="17"/>
  <c r="AI36" i="17"/>
  <c r="AR11" i="17"/>
  <c r="AR18" i="17"/>
  <c r="AM140" i="17"/>
  <c r="AR172" i="17"/>
  <c r="AR8" i="17"/>
  <c r="AI131" i="17"/>
  <c r="AR38" i="17"/>
  <c r="AM79" i="17"/>
  <c r="AM111" i="17"/>
  <c r="AM175" i="17"/>
  <c r="AM109" i="17"/>
  <c r="AR9" i="17"/>
  <c r="AR114" i="17"/>
  <c r="AL108" i="17"/>
  <c r="AM49" i="17"/>
  <c r="AI54" i="17"/>
  <c r="AM21" i="17"/>
  <c r="AM113" i="17"/>
  <c r="AR34" i="17"/>
  <c r="AR68" i="17"/>
  <c r="AR108" i="17"/>
  <c r="AM148" i="17"/>
  <c r="AR45" i="17"/>
  <c r="AR29" i="17"/>
  <c r="AR105" i="17"/>
  <c r="AM141" i="17"/>
  <c r="AR173" i="17"/>
  <c r="AR24" i="17"/>
  <c r="AR168" i="17"/>
  <c r="AM110" i="17"/>
  <c r="AM38" i="17"/>
  <c r="AM48" i="17"/>
  <c r="AM51" i="17"/>
  <c r="AM115" i="17"/>
  <c r="AR37" i="17"/>
  <c r="AR13" i="17"/>
  <c r="AR41" i="17"/>
  <c r="AR117" i="17"/>
  <c r="AR153" i="17"/>
  <c r="AI119" i="17"/>
  <c r="AM31" i="17"/>
  <c r="AM118" i="17"/>
  <c r="AM134" i="17"/>
  <c r="AM62" i="17"/>
  <c r="AM86" i="17"/>
  <c r="AM35" i="17"/>
  <c r="AR57" i="17"/>
  <c r="AR75" i="17"/>
  <c r="AI7" i="17"/>
  <c r="AJ7" i="17"/>
  <c r="AM37" i="17"/>
  <c r="AJ62" i="17"/>
  <c r="AM71" i="17"/>
  <c r="AI78" i="17"/>
  <c r="AR170" i="17"/>
  <c r="AR92" i="17"/>
  <c r="AR138" i="17"/>
  <c r="AJ19" i="17"/>
  <c r="AR43" i="17"/>
  <c r="AL70" i="17"/>
  <c r="AR22" i="17"/>
  <c r="AM23" i="17"/>
  <c r="AM119" i="17"/>
  <c r="AM151" i="17"/>
  <c r="AI9" i="17"/>
  <c r="AM52" i="17"/>
  <c r="AM45" i="17"/>
  <c r="T1249" i="16"/>
  <c r="T951" i="16"/>
  <c r="T1247" i="16"/>
  <c r="T721" i="16"/>
  <c r="T956" i="16"/>
  <c r="T1312" i="16"/>
  <c r="T893" i="16"/>
  <c r="T1340" i="16"/>
  <c r="H961" i="9"/>
  <c r="I961" i="9" s="1"/>
  <c r="T961" i="16"/>
  <c r="T1329" i="16"/>
  <c r="P898" i="16"/>
  <c r="T898" i="16" s="1"/>
  <c r="T872" i="16"/>
  <c r="T1307" i="16"/>
  <c r="T719" i="16"/>
  <c r="T780" i="16"/>
  <c r="T960" i="16"/>
  <c r="T1258" i="16"/>
  <c r="T841" i="16"/>
  <c r="T820" i="16"/>
  <c r="T696" i="16"/>
  <c r="H833" i="9"/>
  <c r="I833" i="9" s="1"/>
  <c r="T833" i="16"/>
  <c r="H713" i="9"/>
  <c r="I713" i="9" s="1"/>
  <c r="T713" i="16"/>
  <c r="H1331" i="9"/>
  <c r="I1331" i="9" s="1"/>
  <c r="T1331" i="16"/>
  <c r="H873" i="9"/>
  <c r="I873" i="9" s="1"/>
  <c r="T873" i="16"/>
  <c r="H954" i="9"/>
  <c r="I954" i="9" s="1"/>
  <c r="T954" i="16"/>
  <c r="T810" i="16"/>
  <c r="T680" i="16"/>
  <c r="T937" i="16"/>
  <c r="T808" i="16"/>
  <c r="T777" i="16"/>
  <c r="T921" i="16"/>
  <c r="T1276" i="16"/>
  <c r="T1280" i="16"/>
  <c r="P1341" i="16"/>
  <c r="T952" i="16"/>
  <c r="T969" i="16"/>
  <c r="T764" i="16"/>
  <c r="T1336" i="16"/>
  <c r="T1275" i="16"/>
  <c r="T944" i="16"/>
  <c r="T725" i="16"/>
  <c r="T874" i="16"/>
  <c r="H1263" i="9"/>
  <c r="I1263" i="9" s="1"/>
  <c r="T1263" i="16"/>
  <c r="P709" i="16"/>
  <c r="T688" i="16"/>
  <c r="P715" i="16"/>
  <c r="T938" i="16"/>
  <c r="T689" i="16"/>
  <c r="T747" i="16"/>
  <c r="H778" i="9"/>
  <c r="I778" i="9" s="1"/>
  <c r="T778" i="16"/>
  <c r="H875" i="9"/>
  <c r="I875" i="9" s="1"/>
  <c r="T875" i="16"/>
  <c r="H801" i="9"/>
  <c r="I801" i="9" s="1"/>
  <c r="T801" i="16"/>
  <c r="Q99" i="7"/>
  <c r="AH99" i="15"/>
  <c r="R99" i="7" s="1"/>
  <c r="S99" i="7" s="1"/>
  <c r="H676" i="9"/>
  <c r="I676" i="9" s="1"/>
  <c r="T676" i="16"/>
  <c r="H1250" i="9"/>
  <c r="I1250" i="9" s="1"/>
  <c r="T1250" i="16"/>
  <c r="H908" i="9"/>
  <c r="I908" i="9" s="1"/>
  <c r="T908" i="16"/>
  <c r="H787" i="9"/>
  <c r="I787" i="9" s="1"/>
  <c r="T787" i="16"/>
  <c r="H709" i="9"/>
  <c r="I709" i="9" s="1"/>
  <c r="T709" i="16"/>
  <c r="H751" i="9"/>
  <c r="I751" i="9" s="1"/>
  <c r="T751" i="16"/>
  <c r="H885" i="9"/>
  <c r="I885" i="9" s="1"/>
  <c r="T885" i="16"/>
  <c r="H1268" i="9"/>
  <c r="I1268" i="9" s="1"/>
  <c r="T1268" i="16"/>
  <c r="H770" i="9"/>
  <c r="I770" i="9" s="1"/>
  <c r="T770" i="16"/>
  <c r="H682" i="9"/>
  <c r="I682" i="9" s="1"/>
  <c r="T682" i="16"/>
  <c r="H930" i="9"/>
  <c r="I930" i="9" s="1"/>
  <c r="T930" i="16"/>
  <c r="H824" i="9"/>
  <c r="I824" i="9" s="1"/>
  <c r="T824" i="16"/>
  <c r="H880" i="9"/>
  <c r="I880" i="9" s="1"/>
  <c r="T880" i="16"/>
  <c r="H965" i="9"/>
  <c r="I965" i="9" s="1"/>
  <c r="T965" i="16"/>
  <c r="H1317" i="9"/>
  <c r="I1317" i="9" s="1"/>
  <c r="T1317" i="16"/>
  <c r="H867" i="9"/>
  <c r="I867" i="9" s="1"/>
  <c r="T867" i="16"/>
  <c r="H705" i="9"/>
  <c r="I705" i="9" s="1"/>
  <c r="T705" i="16"/>
  <c r="H1341" i="9"/>
  <c r="I1341" i="9" s="1"/>
  <c r="T1341" i="16"/>
  <c r="H707" i="9"/>
  <c r="I707" i="9" s="1"/>
  <c r="T707" i="16"/>
  <c r="H1301" i="9"/>
  <c r="I1301" i="9" s="1"/>
  <c r="T1301" i="16"/>
  <c r="H907" i="9"/>
  <c r="I907" i="9" s="1"/>
  <c r="T907" i="16"/>
  <c r="H1314" i="9"/>
  <c r="I1314" i="9" s="1"/>
  <c r="T1314" i="16"/>
  <c r="H1277" i="9"/>
  <c r="I1277" i="9" s="1"/>
  <c r="T1277" i="16"/>
  <c r="H818" i="9"/>
  <c r="I818" i="9" s="1"/>
  <c r="T818" i="16"/>
  <c r="H914" i="9"/>
  <c r="I914" i="9" s="1"/>
  <c r="T914" i="16"/>
  <c r="H722" i="9"/>
  <c r="I722" i="9" s="1"/>
  <c r="T722" i="16"/>
  <c r="H715" i="9"/>
  <c r="I715" i="9" s="1"/>
  <c r="T715" i="16"/>
  <c r="H737" i="9"/>
  <c r="I737" i="9" s="1"/>
  <c r="T737" i="16"/>
  <c r="H754" i="9"/>
  <c r="I754" i="9" s="1"/>
  <c r="T754" i="16"/>
  <c r="H1323" i="9"/>
  <c r="I1323" i="9" s="1"/>
  <c r="T1323" i="16"/>
  <c r="H708" i="9"/>
  <c r="I708" i="9" s="1"/>
  <c r="T708" i="16"/>
  <c r="H690" i="9"/>
  <c r="I690" i="9" s="1"/>
  <c r="T690" i="16"/>
  <c r="H746" i="9"/>
  <c r="I746" i="9" s="1"/>
  <c r="T746" i="16"/>
  <c r="AN89" i="17"/>
  <c r="H779" i="9"/>
  <c r="I779" i="9" s="1"/>
  <c r="T779" i="16"/>
  <c r="H897" i="9"/>
  <c r="I897" i="9" s="1"/>
  <c r="T897" i="16"/>
  <c r="H1291" i="9"/>
  <c r="I1291" i="9" s="1"/>
  <c r="T1291" i="16"/>
  <c r="H819" i="9"/>
  <c r="I819" i="9" s="1"/>
  <c r="T819" i="16"/>
  <c r="H768" i="9"/>
  <c r="I768" i="9" s="1"/>
  <c r="T768" i="16"/>
  <c r="H685" i="9"/>
  <c r="I685" i="9" s="1"/>
  <c r="T685" i="16"/>
  <c r="H749" i="9"/>
  <c r="I749" i="9" s="1"/>
  <c r="T749" i="16"/>
  <c r="H1256" i="9"/>
  <c r="I1256" i="9" s="1"/>
  <c r="T1256" i="16"/>
  <c r="H842" i="9"/>
  <c r="I842" i="9" s="1"/>
  <c r="T842" i="16"/>
  <c r="H757" i="9"/>
  <c r="I757" i="9" s="1"/>
  <c r="T757" i="16"/>
  <c r="H1327" i="9"/>
  <c r="I1327" i="9" s="1"/>
  <c r="T1327" i="16"/>
  <c r="H929" i="9"/>
  <c r="I929" i="9" s="1"/>
  <c r="T929" i="16"/>
  <c r="H901" i="9"/>
  <c r="I901" i="9" s="1"/>
  <c r="T901" i="16"/>
  <c r="H915" i="9"/>
  <c r="I915" i="9" s="1"/>
  <c r="T915" i="16"/>
  <c r="H1265" i="9"/>
  <c r="I1265" i="9" s="1"/>
  <c r="T1265" i="16"/>
  <c r="H699" i="9"/>
  <c r="I699" i="9" s="1"/>
  <c r="T699" i="16"/>
  <c r="H1324" i="9"/>
  <c r="I1324" i="9" s="1"/>
  <c r="T1324" i="16"/>
  <c r="H681" i="9"/>
  <c r="I681" i="9" s="1"/>
  <c r="T681" i="16"/>
  <c r="H763" i="9"/>
  <c r="I763" i="9" s="1"/>
  <c r="T763" i="16"/>
  <c r="H911" i="9"/>
  <c r="I911" i="9" s="1"/>
  <c r="T911" i="16"/>
  <c r="H714" i="9"/>
  <c r="I714" i="9" s="1"/>
  <c r="T714" i="16"/>
  <c r="H963" i="9"/>
  <c r="I963" i="9" s="1"/>
  <c r="T963" i="16"/>
  <c r="H884" i="9"/>
  <c r="I884" i="9" s="1"/>
  <c r="T884" i="16"/>
  <c r="H773" i="9"/>
  <c r="I773" i="9" s="1"/>
  <c r="T773" i="16"/>
  <c r="H695" i="9"/>
  <c r="I695" i="9" s="1"/>
  <c r="T695" i="16"/>
  <c r="H895" i="9"/>
  <c r="I895" i="9" s="1"/>
  <c r="T895" i="16"/>
  <c r="H859" i="9"/>
  <c r="I859" i="9" s="1"/>
  <c r="T859" i="16"/>
  <c r="H813" i="9"/>
  <c r="I813" i="9" s="1"/>
  <c r="T813" i="16"/>
  <c r="H891" i="9"/>
  <c r="I891" i="9" s="1"/>
  <c r="T891" i="16"/>
  <c r="H836" i="9"/>
  <c r="I836" i="9" s="1"/>
  <c r="T836" i="16"/>
  <c r="H1253" i="9"/>
  <c r="I1253" i="9" s="1"/>
  <c r="T1253" i="16"/>
  <c r="H827" i="9"/>
  <c r="I827" i="9" s="1"/>
  <c r="T827" i="16"/>
  <c r="H1257" i="9"/>
  <c r="I1257" i="9" s="1"/>
  <c r="T1257" i="16"/>
  <c r="H834" i="9"/>
  <c r="I834" i="9" s="1"/>
  <c r="T834" i="16"/>
  <c r="H928" i="9"/>
  <c r="I928" i="9" s="1"/>
  <c r="T928" i="16"/>
  <c r="H772" i="9"/>
  <c r="I772" i="9" s="1"/>
  <c r="T772" i="16"/>
  <c r="H1282" i="9"/>
  <c r="I1282" i="9" s="1"/>
  <c r="T1282" i="16"/>
  <c r="H1248" i="9"/>
  <c r="I1248" i="9" s="1"/>
  <c r="T1248" i="16"/>
  <c r="AN121" i="17"/>
  <c r="H946" i="9"/>
  <c r="I946" i="9" s="1"/>
  <c r="T946" i="16"/>
  <c r="H1338" i="9"/>
  <c r="I1338" i="9" s="1"/>
  <c r="T1338" i="16"/>
  <c r="H913" i="9"/>
  <c r="I913" i="9" s="1"/>
  <c r="T913" i="16"/>
  <c r="H898" i="9"/>
  <c r="I898" i="9" s="1"/>
  <c r="H1298" i="9"/>
  <c r="I1298" i="9" s="1"/>
  <c r="T1298" i="16"/>
  <c r="H853" i="9"/>
  <c r="I853" i="9" s="1"/>
  <c r="T853" i="16"/>
  <c r="H723" i="9"/>
  <c r="I723" i="9" s="1"/>
  <c r="T723" i="16"/>
  <c r="H959" i="9"/>
  <c r="I959" i="9" s="1"/>
  <c r="T959" i="16"/>
  <c r="H807" i="9"/>
  <c r="I807" i="9" s="1"/>
  <c r="T807" i="16"/>
  <c r="H851" i="9"/>
  <c r="I851" i="9" s="1"/>
  <c r="T851" i="16"/>
  <c r="H1297" i="9"/>
  <c r="I1297" i="9" s="1"/>
  <c r="T1297" i="16"/>
  <c r="H1267" i="9"/>
  <c r="I1267" i="9" s="1"/>
  <c r="T1267" i="16"/>
  <c r="H837" i="9"/>
  <c r="I837" i="9" s="1"/>
  <c r="T837" i="16"/>
  <c r="H877" i="9"/>
  <c r="I877" i="9" s="1"/>
  <c r="T877" i="16"/>
  <c r="H923" i="9"/>
  <c r="I923" i="9" s="1"/>
  <c r="T923" i="16"/>
  <c r="H704" i="9"/>
  <c r="I704" i="9" s="1"/>
  <c r="T704" i="16"/>
  <c r="H762" i="9"/>
  <c r="I762" i="9" s="1"/>
  <c r="T762" i="16"/>
  <c r="H1274" i="9"/>
  <c r="I1274" i="9" s="1"/>
  <c r="T1274" i="16"/>
  <c r="H793" i="9"/>
  <c r="I793" i="9" s="1"/>
  <c r="T793" i="16"/>
  <c r="H943" i="9"/>
  <c r="I943" i="9" s="1"/>
  <c r="T943" i="16"/>
  <c r="H1279" i="9"/>
  <c r="I1279" i="9" s="1"/>
  <c r="T1279" i="16"/>
  <c r="H962" i="9"/>
  <c r="I962" i="9" s="1"/>
  <c r="T962" i="16"/>
  <c r="H788" i="9"/>
  <c r="I788" i="9" s="1"/>
  <c r="T788" i="16"/>
  <c r="H1315" i="9"/>
  <c r="I1315" i="9" s="1"/>
  <c r="T1315" i="16"/>
  <c r="H740" i="9"/>
  <c r="I740" i="9" s="1"/>
  <c r="T740" i="16"/>
  <c r="H1294" i="9"/>
  <c r="I1294" i="9" s="1"/>
  <c r="T1294" i="16"/>
  <c r="H706" i="9"/>
  <c r="I706" i="9" s="1"/>
  <c r="T706" i="16"/>
  <c r="H854" i="9"/>
  <c r="I854" i="9" s="1"/>
  <c r="T854" i="16"/>
  <c r="H1292" i="9"/>
  <c r="I1292" i="9" s="1"/>
  <c r="T1292" i="16"/>
  <c r="H790" i="9"/>
  <c r="I790" i="9" s="1"/>
  <c r="T790" i="16"/>
  <c r="H829" i="9"/>
  <c r="I829" i="9" s="1"/>
  <c r="T829" i="16"/>
  <c r="H812" i="9"/>
  <c r="I812" i="9" s="1"/>
  <c r="T812" i="16"/>
  <c r="H741" i="9"/>
  <c r="I741" i="9" s="1"/>
  <c r="T741" i="16"/>
  <c r="H862" i="9"/>
  <c r="I862" i="9" s="1"/>
  <c r="T862" i="16"/>
  <c r="H684" i="9"/>
  <c r="I684" i="9" s="1"/>
  <c r="T684" i="16"/>
  <c r="H917" i="9"/>
  <c r="I917" i="9" s="1"/>
  <c r="T917" i="16"/>
  <c r="AI114" i="17"/>
  <c r="AJ114" i="17"/>
  <c r="P22" i="7"/>
  <c r="AH22" i="15"/>
  <c r="R22" i="7" s="1"/>
  <c r="S22" i="7" s="1"/>
  <c r="AI21" i="17"/>
  <c r="P144" i="7"/>
  <c r="AH144" i="15"/>
  <c r="R144" i="7" s="1"/>
  <c r="S144" i="7" s="1"/>
  <c r="AJ15" i="17"/>
  <c r="AI15" i="17"/>
  <c r="AI156" i="17"/>
  <c r="AJ18" i="17"/>
  <c r="AI49" i="17"/>
  <c r="AJ49" i="17"/>
  <c r="AI97" i="17"/>
  <c r="AJ97" i="17"/>
  <c r="AI123" i="17"/>
  <c r="AJ123" i="17"/>
  <c r="AJ71" i="17"/>
  <c r="AI71" i="17"/>
  <c r="AJ101" i="17"/>
  <c r="P129" i="7"/>
  <c r="AH129" i="15"/>
  <c r="R129" i="7" s="1"/>
  <c r="S129" i="7" s="1"/>
  <c r="AH82" i="15"/>
  <c r="R82" i="7" s="1"/>
  <c r="S82" i="7" s="1"/>
  <c r="P82" i="7"/>
  <c r="H1313" i="9"/>
  <c r="I1313" i="9" s="1"/>
  <c r="T1313" i="16"/>
  <c r="H786" i="9"/>
  <c r="I786" i="9" s="1"/>
  <c r="T786" i="16"/>
  <c r="T698" i="16"/>
  <c r="T922" i="16"/>
  <c r="H924" i="9"/>
  <c r="I924" i="9" s="1"/>
  <c r="T924" i="16"/>
  <c r="H868" i="9"/>
  <c r="I868" i="9" s="1"/>
  <c r="T868" i="16"/>
  <c r="H677" i="9"/>
  <c r="I677" i="9" s="1"/>
  <c r="T677" i="16"/>
  <c r="H679" i="9"/>
  <c r="I679" i="9" s="1"/>
  <c r="T679" i="16"/>
  <c r="T945" i="16"/>
  <c r="T796" i="16"/>
  <c r="H796" i="9"/>
  <c r="I796" i="9" s="1"/>
  <c r="T1347" i="16"/>
  <c r="T1322" i="16"/>
  <c r="P30" i="7"/>
  <c r="AH30" i="15"/>
  <c r="R30" i="7" s="1"/>
  <c r="S30" i="7" s="1"/>
  <c r="H765" i="9"/>
  <c r="I765" i="9" s="1"/>
  <c r="T765" i="16"/>
  <c r="T843" i="16"/>
  <c r="H1302" i="9"/>
  <c r="I1302" i="9" s="1"/>
  <c r="T1302" i="16"/>
  <c r="H918" i="9"/>
  <c r="I918" i="9" s="1"/>
  <c r="T918" i="16"/>
  <c r="P69" i="7"/>
  <c r="AH69" i="15"/>
  <c r="R69" i="7" s="1"/>
  <c r="S69" i="7" s="1"/>
  <c r="H821" i="9"/>
  <c r="I821" i="9" s="1"/>
  <c r="T821" i="16"/>
  <c r="T882" i="16"/>
  <c r="AH95" i="15"/>
  <c r="R95" i="7" s="1"/>
  <c r="S95" i="7" s="1"/>
  <c r="P95" i="7"/>
  <c r="H860" i="9"/>
  <c r="I860" i="9" s="1"/>
  <c r="T860" i="16"/>
  <c r="T1283" i="16"/>
  <c r="H798" i="9"/>
  <c r="I798" i="9" s="1"/>
  <c r="T798" i="16"/>
  <c r="P74" i="7"/>
  <c r="AH74" i="15"/>
  <c r="R74" i="7" s="1"/>
  <c r="S74" i="7" s="1"/>
  <c r="H857" i="9"/>
  <c r="I857" i="9" s="1"/>
  <c r="T857" i="16"/>
  <c r="T844" i="16"/>
  <c r="T771" i="16"/>
  <c r="AI149" i="17"/>
  <c r="AJ149" i="17"/>
  <c r="AJ79" i="17"/>
  <c r="AI79" i="17"/>
  <c r="AH97" i="15"/>
  <c r="R97" i="7" s="1"/>
  <c r="S97" i="7" s="1"/>
  <c r="H927" i="9"/>
  <c r="I927" i="9" s="1"/>
  <c r="T927" i="16"/>
  <c r="AR14" i="17"/>
  <c r="AJ39" i="17"/>
  <c r="AR48" i="17"/>
  <c r="AJ51" i="17"/>
  <c r="AJ138" i="17"/>
  <c r="AI138" i="17"/>
  <c r="AM100" i="17"/>
  <c r="AR4" i="17"/>
  <c r="AI61" i="17"/>
  <c r="AJ61" i="17"/>
  <c r="AJ122" i="17"/>
  <c r="AI122" i="17"/>
  <c r="T1346" i="16"/>
  <c r="AI14" i="17"/>
  <c r="P84" i="7"/>
  <c r="AH84" i="15"/>
  <c r="R84" i="7" s="1"/>
  <c r="S84" i="7" s="1"/>
  <c r="T881" i="16"/>
  <c r="T729" i="16"/>
  <c r="AH65" i="15"/>
  <c r="R65" i="7" s="1"/>
  <c r="S65" i="7" s="1"/>
  <c r="P90" i="7"/>
  <c r="AH90" i="15"/>
  <c r="R90" i="7" s="1"/>
  <c r="S90" i="7" s="1"/>
  <c r="H830" i="9"/>
  <c r="I830" i="9" s="1"/>
  <c r="T830" i="16"/>
  <c r="P59" i="7"/>
  <c r="AH59" i="15"/>
  <c r="R59" i="7" s="1"/>
  <c r="S59" i="7" s="1"/>
  <c r="T1330" i="16"/>
  <c r="T1266" i="16"/>
  <c r="AM138" i="17"/>
  <c r="T848" i="16"/>
  <c r="T785" i="16"/>
  <c r="H792" i="9"/>
  <c r="I792" i="9" s="1"/>
  <c r="T792" i="16"/>
  <c r="H776" i="9"/>
  <c r="I776" i="9" s="1"/>
  <c r="T776" i="16"/>
  <c r="T905" i="16"/>
  <c r="AI148" i="17"/>
  <c r="AJ148" i="17"/>
  <c r="H941" i="9"/>
  <c r="I941" i="9" s="1"/>
  <c r="T941" i="16"/>
  <c r="H856" i="9"/>
  <c r="I856" i="9" s="1"/>
  <c r="T856" i="16"/>
  <c r="AN130" i="17"/>
  <c r="H896" i="9"/>
  <c r="I896" i="9" s="1"/>
  <c r="T896" i="16"/>
  <c r="AR74" i="17"/>
  <c r="AI43" i="17"/>
  <c r="AJ43" i="17"/>
  <c r="AI171" i="17"/>
  <c r="AJ171" i="17"/>
  <c r="AI68" i="17"/>
  <c r="AM14" i="17"/>
  <c r="H920" i="9"/>
  <c r="I920" i="9" s="1"/>
  <c r="T920" i="16"/>
  <c r="AJ139" i="17"/>
  <c r="AI139" i="17"/>
  <c r="H863" i="9"/>
  <c r="I863" i="9" s="1"/>
  <c r="T863" i="16"/>
  <c r="H755" i="9"/>
  <c r="I755" i="9" s="1"/>
  <c r="T755" i="16"/>
  <c r="T1281" i="16"/>
  <c r="AM2" i="17"/>
  <c r="AI34" i="17"/>
  <c r="AM22" i="17"/>
  <c r="AI57" i="17"/>
  <c r="AJ57" i="17"/>
  <c r="AI140" i="17"/>
  <c r="AI161" i="17"/>
  <c r="AJ161" i="17"/>
  <c r="AJ142" i="17"/>
  <c r="AN103" i="17"/>
  <c r="AI72" i="17"/>
  <c r="AJ72" i="17"/>
  <c r="AR144" i="17"/>
  <c r="AJ162" i="17"/>
  <c r="H916" i="9"/>
  <c r="I916" i="9" s="1"/>
  <c r="T916" i="16"/>
  <c r="H828" i="9"/>
  <c r="I828" i="9" s="1"/>
  <c r="T828" i="16"/>
  <c r="AH114" i="15"/>
  <c r="R114" i="7" s="1"/>
  <c r="S114" i="7" s="1"/>
  <c r="P114" i="7"/>
  <c r="H838" i="9"/>
  <c r="I838" i="9" s="1"/>
  <c r="T838" i="16"/>
  <c r="T817" i="16"/>
  <c r="H1285" i="9"/>
  <c r="I1285" i="9" s="1"/>
  <c r="T1285" i="16"/>
  <c r="H894" i="9"/>
  <c r="I894" i="9" s="1"/>
  <c r="T894" i="16"/>
  <c r="H692" i="9"/>
  <c r="I692" i="9" s="1"/>
  <c r="T692" i="16"/>
  <c r="T700" i="16"/>
  <c r="T802" i="16"/>
  <c r="T811" i="16"/>
  <c r="AH111" i="15"/>
  <c r="R111" i="7" s="1"/>
  <c r="S111" i="7" s="1"/>
  <c r="H888" i="9"/>
  <c r="I888" i="9" s="1"/>
  <c r="T888" i="16"/>
  <c r="H840" i="9"/>
  <c r="I840" i="9" s="1"/>
  <c r="T840" i="16"/>
  <c r="AJ147" i="17"/>
  <c r="AI147" i="17"/>
  <c r="P172" i="7"/>
  <c r="AH172" i="15"/>
  <c r="R172" i="7" s="1"/>
  <c r="S172" i="7" s="1"/>
  <c r="AH143" i="15"/>
  <c r="R143" i="7" s="1"/>
  <c r="S143" i="7" s="1"/>
  <c r="AI93" i="17"/>
  <c r="H932" i="9"/>
  <c r="I932" i="9" s="1"/>
  <c r="T932" i="16"/>
  <c r="AI106" i="17"/>
  <c r="AJ106" i="17"/>
  <c r="AJ74" i="17"/>
  <c r="AI74" i="17"/>
  <c r="AM4" i="17"/>
  <c r="AJ42" i="17"/>
  <c r="AI42" i="17"/>
  <c r="AM163" i="17"/>
  <c r="AM88" i="17"/>
  <c r="AM98" i="17"/>
  <c r="AI29" i="17"/>
  <c r="AJ29" i="17"/>
  <c r="AI80" i="17"/>
  <c r="T795" i="16"/>
  <c r="H883" i="9"/>
  <c r="I883" i="9" s="1"/>
  <c r="T883" i="16"/>
  <c r="P7" i="7"/>
  <c r="AH7" i="15"/>
  <c r="R7" i="7" s="1"/>
  <c r="S7" i="7" s="1"/>
  <c r="P46" i="7"/>
  <c r="AH46" i="15"/>
  <c r="R46" i="7" s="1"/>
  <c r="S46" i="7" s="1"/>
  <c r="P110" i="7"/>
  <c r="AH110" i="15"/>
  <c r="R110" i="7" s="1"/>
  <c r="S110" i="7" s="1"/>
  <c r="AH15" i="15"/>
  <c r="R15" i="7" s="1"/>
  <c r="S15" i="7" s="1"/>
  <c r="T730" i="16"/>
  <c r="T835" i="16"/>
  <c r="T724" i="16"/>
  <c r="H724" i="9"/>
  <c r="I724" i="9" s="1"/>
  <c r="AM104" i="17"/>
  <c r="H805" i="9"/>
  <c r="I805" i="9" s="1"/>
  <c r="T805" i="16"/>
  <c r="H1342" i="9"/>
  <c r="I1342" i="9" s="1"/>
  <c r="T1342" i="16"/>
  <c r="P132" i="7"/>
  <c r="AH132" i="15"/>
  <c r="R132" i="7" s="1"/>
  <c r="S132" i="7" s="1"/>
  <c r="H852" i="9"/>
  <c r="I852" i="9" s="1"/>
  <c r="T852" i="16"/>
  <c r="T899" i="16"/>
  <c r="AH9" i="15"/>
  <c r="R9" i="7" s="1"/>
  <c r="S9" i="7" s="1"/>
  <c r="AH115" i="15"/>
  <c r="R115" i="7" s="1"/>
  <c r="S115" i="7" s="1"/>
  <c r="AI85" i="17"/>
  <c r="AH89" i="15"/>
  <c r="R89" i="7" s="1"/>
  <c r="S89" i="7" s="1"/>
  <c r="T1299" i="16"/>
  <c r="H745" i="9"/>
  <c r="I745" i="9" s="1"/>
  <c r="T745" i="16"/>
  <c r="H847" i="9"/>
  <c r="I847" i="9" s="1"/>
  <c r="T847" i="16"/>
  <c r="AR112" i="17"/>
  <c r="AJ86" i="17"/>
  <c r="AI86" i="17"/>
  <c r="H903" i="9"/>
  <c r="I903" i="9" s="1"/>
  <c r="T903" i="16"/>
  <c r="T900" i="16"/>
  <c r="AH6" i="15"/>
  <c r="R6" i="7" s="1"/>
  <c r="S6" i="7" s="1"/>
  <c r="AJ173" i="17"/>
  <c r="AI173" i="17"/>
  <c r="AJ104" i="17"/>
  <c r="AI104" i="17"/>
  <c r="AR102" i="17"/>
  <c r="AM39" i="17"/>
  <c r="AI109" i="17"/>
  <c r="AJ109" i="17"/>
  <c r="AR134" i="17"/>
  <c r="AI129" i="17"/>
  <c r="AJ129" i="17"/>
  <c r="AJ59" i="17"/>
  <c r="AI59" i="17"/>
  <c r="AR78" i="17"/>
  <c r="AM24" i="17"/>
  <c r="AM40" i="17"/>
  <c r="AJ73" i="17"/>
  <c r="AI73" i="17"/>
  <c r="AJ30" i="17"/>
  <c r="H832" i="9"/>
  <c r="I832" i="9" s="1"/>
  <c r="T832" i="16"/>
  <c r="AH98" i="15"/>
  <c r="R98" i="7" s="1"/>
  <c r="S98" i="7" s="1"/>
  <c r="P98" i="7"/>
  <c r="T1345" i="16"/>
  <c r="P76" i="7"/>
  <c r="AH76" i="15"/>
  <c r="R76" i="7" s="1"/>
  <c r="S76" i="7" s="1"/>
  <c r="T816" i="16"/>
  <c r="P174" i="7"/>
  <c r="AH174" i="15"/>
  <c r="R174" i="7" s="1"/>
  <c r="S174" i="7" s="1"/>
  <c r="P67" i="7"/>
  <c r="AH67" i="15"/>
  <c r="R67" i="7" s="1"/>
  <c r="S67" i="7" s="1"/>
  <c r="P151" i="7"/>
  <c r="AH151" i="15"/>
  <c r="R151" i="7" s="1"/>
  <c r="S151" i="7" s="1"/>
  <c r="H948" i="9"/>
  <c r="I948" i="9" s="1"/>
  <c r="T948" i="16"/>
  <c r="H1286" i="9"/>
  <c r="I1286" i="9" s="1"/>
  <c r="T1286" i="16"/>
  <c r="P39" i="7"/>
  <c r="AH39" i="15"/>
  <c r="R39" i="7" s="1"/>
  <c r="S39" i="7" s="1"/>
  <c r="AH66" i="15"/>
  <c r="R66" i="7" s="1"/>
  <c r="S66" i="7" s="1"/>
  <c r="P66" i="7"/>
  <c r="H748" i="9"/>
  <c r="I748" i="9" s="1"/>
  <c r="T748" i="16"/>
  <c r="T1320" i="16"/>
  <c r="AM72" i="17"/>
  <c r="H1271" i="9"/>
  <c r="I1271" i="9" s="1"/>
  <c r="T1271" i="16"/>
  <c r="T866" i="16"/>
  <c r="T865" i="16"/>
  <c r="T738" i="16"/>
  <c r="T1337" i="16"/>
  <c r="AL64" i="17"/>
  <c r="AR64" i="17"/>
  <c r="AM154" i="17"/>
  <c r="P156" i="7"/>
  <c r="AH156" i="15"/>
  <c r="R156" i="7" s="1"/>
  <c r="S156" i="7" s="1"/>
  <c r="H732" i="9"/>
  <c r="I732" i="9" s="1"/>
  <c r="T732" i="16"/>
  <c r="H774" i="9"/>
  <c r="I774" i="9" s="1"/>
  <c r="T774" i="16"/>
  <c r="H850" i="9"/>
  <c r="I850" i="9" s="1"/>
  <c r="T850" i="16"/>
  <c r="T955" i="16"/>
  <c r="AM56" i="17"/>
  <c r="AH80" i="15"/>
  <c r="R80" i="7" s="1"/>
  <c r="S80" i="7" s="1"/>
  <c r="T809" i="16"/>
  <c r="AR148" i="17"/>
  <c r="T1273" i="16"/>
  <c r="AI81" i="17"/>
  <c r="AJ81" i="17"/>
  <c r="AJ31" i="17"/>
  <c r="AI31" i="17"/>
  <c r="AI105" i="17"/>
  <c r="AJ105" i="17"/>
  <c r="AM158" i="17"/>
  <c r="AJ165" i="17"/>
  <c r="AI165" i="17"/>
  <c r="AM11" i="17"/>
  <c r="AM75" i="17"/>
  <c r="AM10" i="17"/>
  <c r="AJ143" i="17"/>
  <c r="AI143" i="17"/>
  <c r="AI145" i="17"/>
  <c r="AJ145" i="17"/>
  <c r="AM164" i="17"/>
  <c r="AJ107" i="17"/>
  <c r="AI107" i="17"/>
  <c r="AM144" i="17"/>
  <c r="AI13" i="17"/>
  <c r="AJ13" i="17"/>
  <c r="AI75" i="17"/>
  <c r="AJ75" i="17"/>
  <c r="H910" i="9"/>
  <c r="I910" i="9" s="1"/>
  <c r="T910" i="16"/>
  <c r="P100" i="7"/>
  <c r="AH100" i="15"/>
  <c r="R100" i="7" s="1"/>
  <c r="S100" i="7" s="1"/>
  <c r="H803" i="9"/>
  <c r="I803" i="9" s="1"/>
  <c r="T803" i="16"/>
  <c r="P162" i="7"/>
  <c r="AH162" i="15"/>
  <c r="R162" i="7" s="1"/>
  <c r="S162" i="7" s="1"/>
  <c r="P14" i="7"/>
  <c r="AH14" i="15"/>
  <c r="R14" i="7" s="1"/>
  <c r="S14" i="7" s="1"/>
  <c r="T890" i="16"/>
  <c r="H1289" i="9"/>
  <c r="I1289" i="9" s="1"/>
  <c r="T1289" i="16"/>
  <c r="T1243" i="16"/>
  <c r="H1269" i="9"/>
  <c r="I1269" i="9" s="1"/>
  <c r="T1269" i="16"/>
  <c r="H731" i="9"/>
  <c r="I731" i="9" s="1"/>
  <c r="T731" i="16"/>
  <c r="P150" i="7"/>
  <c r="AH150" i="15"/>
  <c r="R150" i="7" s="1"/>
  <c r="S150" i="7" s="1"/>
  <c r="P5" i="7"/>
  <c r="AH5" i="15"/>
  <c r="R5" i="7" s="1"/>
  <c r="S5" i="7" s="1"/>
  <c r="H1293" i="9"/>
  <c r="I1293" i="9" s="1"/>
  <c r="T1293" i="16"/>
  <c r="H940" i="9"/>
  <c r="I940" i="9" s="1"/>
  <c r="T940" i="16"/>
  <c r="T739" i="16"/>
  <c r="AH130" i="15"/>
  <c r="R130" i="7" s="1"/>
  <c r="S130" i="7" s="1"/>
  <c r="P130" i="7"/>
  <c r="H693" i="9"/>
  <c r="I693" i="9" s="1"/>
  <c r="T693" i="16"/>
  <c r="AN12" i="17"/>
  <c r="H876" i="9"/>
  <c r="I876" i="9" s="1"/>
  <c r="T876" i="16"/>
  <c r="H871" i="9"/>
  <c r="I871" i="9" s="1"/>
  <c r="T871" i="16"/>
  <c r="H48" i="13" s="1"/>
  <c r="AI20" i="17"/>
  <c r="AH83" i="15"/>
  <c r="R83" i="7" s="1"/>
  <c r="S83" i="7" s="1"/>
  <c r="H864" i="9"/>
  <c r="I864" i="9" s="1"/>
  <c r="T864" i="16"/>
  <c r="H831" i="9"/>
  <c r="I831" i="9" s="1"/>
  <c r="T831" i="16"/>
  <c r="P37" i="7"/>
  <c r="AH37" i="15"/>
  <c r="R37" i="7" s="1"/>
  <c r="S37" i="7" s="1"/>
  <c r="H953" i="9"/>
  <c r="I953" i="9" s="1"/>
  <c r="T953" i="16"/>
  <c r="AI38" i="17"/>
  <c r="AI66" i="17"/>
  <c r="AJ66" i="17"/>
  <c r="AN65" i="17"/>
  <c r="AJ33" i="17"/>
  <c r="AI33" i="17"/>
  <c r="T1305" i="16"/>
  <c r="AJ99" i="17"/>
  <c r="AI99" i="17"/>
  <c r="AJ50" i="17"/>
  <c r="H846" i="9"/>
  <c r="I846" i="9" s="1"/>
  <c r="T846" i="16"/>
  <c r="AH50" i="15"/>
  <c r="R50" i="7" s="1"/>
  <c r="S50" i="7" s="1"/>
  <c r="P50" i="7"/>
  <c r="P112" i="7"/>
  <c r="AH112" i="15"/>
  <c r="R112" i="7" s="1"/>
  <c r="S112" i="7" s="1"/>
  <c r="P21" i="7"/>
  <c r="AH21" i="15"/>
  <c r="R21" i="7" s="1"/>
  <c r="S21" i="7" s="1"/>
  <c r="T753" i="16"/>
  <c r="P20" i="7"/>
  <c r="AH20" i="15"/>
  <c r="R20" i="7" s="1"/>
  <c r="S20" i="7" s="1"/>
  <c r="T826" i="16"/>
  <c r="T769" i="16"/>
  <c r="T858" i="16"/>
  <c r="T1300" i="16"/>
  <c r="H1300" i="9"/>
  <c r="I1300" i="9" s="1"/>
  <c r="AM168" i="17"/>
  <c r="AN44" i="17"/>
  <c r="AH29" i="15"/>
  <c r="R29" i="7" s="1"/>
  <c r="S29" i="7" s="1"/>
  <c r="P29" i="7"/>
  <c r="T1284" i="16"/>
  <c r="T794" i="16"/>
  <c r="T906" i="16"/>
  <c r="AJ41" i="17"/>
  <c r="AI41" i="17"/>
  <c r="AH60" i="15"/>
  <c r="R60" i="7" s="1"/>
  <c r="S60" i="7" s="1"/>
  <c r="H760" i="9"/>
  <c r="I760" i="9" s="1"/>
  <c r="T760" i="16"/>
  <c r="T849" i="16"/>
  <c r="AJ17" i="17"/>
  <c r="AI17" i="17"/>
  <c r="AM112" i="17"/>
  <c r="T936" i="16"/>
  <c r="H752" i="9"/>
  <c r="I752" i="9" s="1"/>
  <c r="T752" i="16"/>
  <c r="T703" i="16"/>
  <c r="T1272" i="16"/>
  <c r="AJ170" i="17"/>
  <c r="AI170" i="17"/>
  <c r="AJ166" i="17"/>
  <c r="T1339" i="16"/>
  <c r="AM8" i="17"/>
  <c r="AJ47" i="17"/>
  <c r="AI47" i="17"/>
  <c r="AR150" i="17"/>
  <c r="AI58" i="17"/>
  <c r="AJ58" i="17"/>
  <c r="AJ70" i="17"/>
  <c r="AI70" i="17"/>
  <c r="K48" i="14" l="1"/>
  <c r="K21" i="14"/>
  <c r="AN46" i="17"/>
  <c r="K24" i="14"/>
  <c r="AN3" i="17"/>
  <c r="AN6" i="17"/>
  <c r="AN124" i="17"/>
  <c r="K73" i="14"/>
  <c r="AN110" i="17"/>
  <c r="AN108" i="17"/>
  <c r="AN5" i="17"/>
  <c r="K60" i="14"/>
  <c r="AN9" i="17"/>
  <c r="K23" i="14" s="1"/>
  <c r="AN16" i="17"/>
  <c r="AN84" i="17"/>
  <c r="AN23" i="17"/>
  <c r="AN94" i="17"/>
  <c r="K69" i="14"/>
  <c r="AN60" i="17"/>
  <c r="AN63" i="17"/>
  <c r="AN55" i="17"/>
  <c r="AN78" i="17"/>
  <c r="AN125" i="17"/>
  <c r="AN91" i="17"/>
  <c r="AN36" i="17"/>
  <c r="K59" i="14"/>
  <c r="AN167" i="17"/>
  <c r="AN169" i="17"/>
  <c r="AN126" i="17"/>
  <c r="AN135" i="17"/>
  <c r="K36" i="14"/>
  <c r="AN174" i="17"/>
  <c r="K94" i="14"/>
  <c r="AN133" i="17"/>
  <c r="K67" i="14"/>
  <c r="K90" i="14"/>
  <c r="AN131" i="17"/>
  <c r="AN28" i="17"/>
  <c r="AN54" i="17"/>
  <c r="AN92" i="17"/>
  <c r="AN116" i="17"/>
  <c r="AN132" i="17"/>
  <c r="K46" i="14" s="1"/>
  <c r="AN120" i="17"/>
  <c r="AN83" i="17"/>
  <c r="AN96" i="17"/>
  <c r="M61" i="14" s="1"/>
  <c r="AN137" i="17"/>
  <c r="M80" i="14" s="1"/>
  <c r="AN155" i="17"/>
  <c r="AN67" i="17"/>
  <c r="AN117" i="17"/>
  <c r="M69" i="14" s="1"/>
  <c r="K61" i="14"/>
  <c r="AN95" i="17"/>
  <c r="M60" i="14" s="1"/>
  <c r="K80" i="14"/>
  <c r="AN153" i="17"/>
  <c r="K79" i="14"/>
  <c r="AN157" i="17"/>
  <c r="AN141" i="17"/>
  <c r="AN87" i="17"/>
  <c r="AN25" i="17"/>
  <c r="AN82" i="17"/>
  <c r="K41" i="14"/>
  <c r="AN37" i="17"/>
  <c r="AN32" i="17"/>
  <c r="AN90" i="17"/>
  <c r="AN76" i="17"/>
  <c r="K70" i="14"/>
  <c r="AN62" i="17"/>
  <c r="AN146" i="17"/>
  <c r="M82" i="14" s="1"/>
  <c r="K28" i="14"/>
  <c r="AN136" i="17"/>
  <c r="M79" i="14" s="1"/>
  <c r="AN128" i="17"/>
  <c r="K74" i="14"/>
  <c r="AN50" i="17"/>
  <c r="K89" i="14"/>
  <c r="AN69" i="17"/>
  <c r="AN127" i="17"/>
  <c r="AN111" i="17"/>
  <c r="AN159" i="17"/>
  <c r="AN52" i="17"/>
  <c r="AN172" i="17"/>
  <c r="AN160" i="17"/>
  <c r="AN19" i="17"/>
  <c r="M28" i="14" s="1"/>
  <c r="AN152" i="17"/>
  <c r="AN175" i="17"/>
  <c r="AN53" i="17"/>
  <c r="AN7" i="17"/>
  <c r="K65" i="14"/>
  <c r="AN119" i="17"/>
  <c r="K35" i="14"/>
  <c r="AN118" i="17"/>
  <c r="AN115" i="17"/>
  <c r="AN45" i="17"/>
  <c r="AN151" i="17"/>
  <c r="AN35" i="17"/>
  <c r="AN113" i="17"/>
  <c r="AN26" i="17"/>
  <c r="K52" i="14"/>
  <c r="AN166" i="17"/>
  <c r="K86" i="14"/>
  <c r="AN163" i="17"/>
  <c r="AN24" i="17"/>
  <c r="AN48" i="17"/>
  <c r="K42" i="14"/>
  <c r="K39" i="14"/>
  <c r="K22" i="14"/>
  <c r="AN164" i="17"/>
  <c r="AN154" i="17"/>
  <c r="AN100" i="17"/>
  <c r="AN98" i="17"/>
  <c r="AN30" i="17"/>
  <c r="AN88" i="17"/>
  <c r="K93" i="14"/>
  <c r="AN102" i="17"/>
  <c r="AN41" i="17"/>
  <c r="AN49" i="17"/>
  <c r="K40" i="14" s="1"/>
  <c r="M36" i="14"/>
  <c r="K32" i="14"/>
  <c r="AN158" i="17"/>
  <c r="K92" i="14"/>
  <c r="M94" i="14"/>
  <c r="M41" i="14"/>
  <c r="K45" i="14"/>
  <c r="AN170" i="17"/>
  <c r="AN17" i="17"/>
  <c r="M74" i="14"/>
  <c r="M89" i="14"/>
  <c r="K82" i="14"/>
  <c r="AN173" i="17"/>
  <c r="AN42" i="17"/>
  <c r="AN93" i="17"/>
  <c r="K58" i="14" s="1"/>
  <c r="AN161" i="17"/>
  <c r="K20" i="14"/>
  <c r="AN139" i="17"/>
  <c r="K84" i="14" s="1"/>
  <c r="AN148" i="17"/>
  <c r="AN70" i="17"/>
  <c r="K29" i="14"/>
  <c r="AN20" i="17"/>
  <c r="AN107" i="17"/>
  <c r="AN31" i="17"/>
  <c r="AN73" i="17"/>
  <c r="AN59" i="17"/>
  <c r="AN10" i="17"/>
  <c r="AN72" i="17"/>
  <c r="AN140" i="17"/>
  <c r="AN112" i="17"/>
  <c r="AN171" i="17"/>
  <c r="AN61" i="17"/>
  <c r="AN134" i="17"/>
  <c r="AN101" i="17"/>
  <c r="AN11" i="17"/>
  <c r="AN99" i="17"/>
  <c r="AN66" i="17"/>
  <c r="K49" i="14" s="1"/>
  <c r="AN75" i="17"/>
  <c r="M46" i="14"/>
  <c r="AN106" i="17"/>
  <c r="AN149" i="17"/>
  <c r="K85" i="14" s="1"/>
  <c r="M90" i="14"/>
  <c r="K77" i="14"/>
  <c r="AN150" i="17"/>
  <c r="AN8" i="17"/>
  <c r="AN165" i="17"/>
  <c r="AN109" i="17"/>
  <c r="K66" i="14" s="1"/>
  <c r="AN85" i="17"/>
  <c r="AN29" i="17"/>
  <c r="AN57" i="17"/>
  <c r="M35" i="14"/>
  <c r="AN43" i="17"/>
  <c r="AN14" i="17"/>
  <c r="AN64" i="17"/>
  <c r="AN156" i="17"/>
  <c r="M21" i="14"/>
  <c r="AN142" i="17"/>
  <c r="AN58" i="17"/>
  <c r="AN33" i="17"/>
  <c r="K47" i="14"/>
  <c r="AN129" i="17"/>
  <c r="K72" i="14"/>
  <c r="AN74" i="17"/>
  <c r="AN147" i="17"/>
  <c r="AN4" i="17"/>
  <c r="AN22" i="17"/>
  <c r="AN15" i="17"/>
  <c r="AN144" i="17"/>
  <c r="AN56" i="17"/>
  <c r="K51" i="14"/>
  <c r="AN68" i="17"/>
  <c r="AN162" i="17"/>
  <c r="M65" i="14"/>
  <c r="AN123" i="17"/>
  <c r="AN114" i="17"/>
  <c r="M68" i="14"/>
  <c r="AN18" i="17"/>
  <c r="M24" i="14"/>
  <c r="AN81" i="17"/>
  <c r="K55" i="14" s="1"/>
  <c r="M51" i="14"/>
  <c r="AN104" i="17"/>
  <c r="AN86" i="17"/>
  <c r="K54" i="14" s="1"/>
  <c r="AN80" i="17"/>
  <c r="M57" i="14"/>
  <c r="AN122" i="17"/>
  <c r="AN138" i="17"/>
  <c r="AN71" i="17"/>
  <c r="M23" i="14"/>
  <c r="AN21" i="17"/>
  <c r="K30" i="14" s="1"/>
  <c r="AN51" i="17"/>
  <c r="AN39" i="17"/>
  <c r="K68" i="14"/>
  <c r="K27" i="14"/>
  <c r="M78" i="14"/>
  <c r="AN13" i="17"/>
  <c r="AN145" i="17"/>
  <c r="AN47" i="17"/>
  <c r="M45" i="14"/>
  <c r="M48" i="14"/>
  <c r="AN38" i="17"/>
  <c r="AN143" i="17"/>
  <c r="AN105" i="17"/>
  <c r="AN40" i="17"/>
  <c r="AN168" i="17"/>
  <c r="K34" i="14"/>
  <c r="AN34" i="17"/>
  <c r="AN79" i="17"/>
  <c r="K53" i="14" s="1"/>
  <c r="AN97" i="17"/>
  <c r="M92" i="14"/>
  <c r="M59" i="14"/>
  <c r="M73" i="14"/>
  <c r="M52" i="14"/>
  <c r="M72" i="14"/>
  <c r="M44" i="14"/>
  <c r="M56" i="14"/>
  <c r="M71" i="14"/>
  <c r="K57" i="14"/>
  <c r="K71" i="14"/>
  <c r="K88" i="14"/>
  <c r="M32" i="14"/>
  <c r="M67" i="14"/>
  <c r="M70" i="14"/>
  <c r="M50" i="14"/>
  <c r="M39" i="14"/>
  <c r="M81" i="14"/>
  <c r="K38" i="14"/>
  <c r="M55" i="14"/>
  <c r="M83" i="14"/>
  <c r="M58" i="14"/>
  <c r="M87" i="14"/>
  <c r="M86" i="14"/>
  <c r="M88" i="14"/>
  <c r="M38" i="14"/>
  <c r="M37" i="14"/>
  <c r="M63" i="14"/>
  <c r="M62" i="14"/>
  <c r="M64" i="14"/>
  <c r="M84" i="14"/>
  <c r="M40" i="14"/>
  <c r="K83" i="14"/>
  <c r="M47" i="14"/>
  <c r="M49" i="14"/>
  <c r="M33" i="14"/>
  <c r="M30" i="14"/>
  <c r="M54" i="14"/>
  <c r="M27" i="14"/>
  <c r="M22" i="14"/>
  <c r="M29" i="14"/>
  <c r="M93" i="14"/>
  <c r="M53" i="14"/>
  <c r="K25" i="14"/>
  <c r="K26" i="14"/>
  <c r="M85" i="14"/>
  <c r="K75" i="14"/>
  <c r="M91" i="14"/>
  <c r="M31" i="14"/>
  <c r="M34" i="14"/>
  <c r="M43" i="14"/>
  <c r="M18" i="14"/>
  <c r="M95" i="14"/>
  <c r="M20" i="14"/>
  <c r="M19" i="14"/>
  <c r="M42" i="14"/>
  <c r="K33" i="14"/>
  <c r="K31" i="14"/>
  <c r="M66" i="14"/>
  <c r="M76" i="14"/>
  <c r="M77" i="14"/>
  <c r="M75" i="14"/>
  <c r="M26" i="14"/>
  <c r="M25" i="14"/>
  <c r="K91" i="14" l="1"/>
  <c r="K76" i="14"/>
  <c r="K87" i="14"/>
  <c r="K44" i="14"/>
  <c r="K37" i="14"/>
  <c r="K81" i="14"/>
  <c r="K43" i="14"/>
  <c r="K19" i="14"/>
  <c r="K62" i="14"/>
  <c r="K18" i="14"/>
  <c r="K56" i="14"/>
  <c r="K95" i="14"/>
  <c r="K64" i="14"/>
  <c r="K50" i="14"/>
  <c r="K63" i="14"/>
  <c r="O2" i="16"/>
  <c r="I1098" i="9"/>
  <c r="H1098" i="9"/>
  <c r="I1209" i="9"/>
  <c r="H1209" i="9"/>
  <c r="I1048" i="9"/>
  <c r="H1048" i="9"/>
  <c r="O84" i="16"/>
  <c r="N84" i="16"/>
  <c r="O186" i="16"/>
  <c r="N186" i="16"/>
  <c r="I1165" i="9"/>
  <c r="H1165" i="9"/>
  <c r="O118" i="16"/>
  <c r="N118" i="16"/>
  <c r="I1198" i="9"/>
  <c r="H1198" i="9"/>
  <c r="O167" i="16"/>
  <c r="N167" i="16"/>
  <c r="O25" i="16"/>
  <c r="N25" i="16"/>
  <c r="I1068" i="9"/>
  <c r="H1068" i="9"/>
  <c r="I1060" i="9"/>
  <c r="H1060" i="9"/>
  <c r="O36" i="16"/>
  <c r="N36" i="16"/>
  <c r="T1108" i="16"/>
  <c r="O113" i="16"/>
  <c r="N113" i="16"/>
  <c r="T1228" i="16"/>
  <c r="I1212" i="9"/>
  <c r="H1212" i="9"/>
  <c r="O35" i="16"/>
  <c r="N35" i="16"/>
  <c r="O54" i="16"/>
  <c r="N54" i="16"/>
  <c r="I1057" i="9"/>
  <c r="H1057" i="9"/>
  <c r="I1026" i="9"/>
  <c r="H1026" i="9"/>
  <c r="O185" i="16"/>
  <c r="N185" i="16"/>
  <c r="O157" i="16"/>
  <c r="N157" i="16"/>
  <c r="I1190" i="9"/>
  <c r="H1190" i="9"/>
  <c r="I1167" i="9"/>
  <c r="H1167" i="9"/>
  <c r="T1104" i="16"/>
  <c r="O74" i="16"/>
  <c r="N74" i="16"/>
  <c r="T1231" i="16"/>
  <c r="I1091" i="9"/>
  <c r="H1091" i="9"/>
  <c r="N1167" i="16"/>
  <c r="O1167" i="16"/>
  <c r="P1167" i="16"/>
  <c r="T1167" i="16"/>
  <c r="I1185" i="9"/>
  <c r="H1185" i="9"/>
  <c r="O98" i="16"/>
  <c r="N98" i="16"/>
  <c r="I1059" i="9"/>
  <c r="H1059" i="9"/>
  <c r="O214" i="16"/>
  <c r="N214" i="16"/>
  <c r="I1056" i="9"/>
  <c r="H1056" i="9"/>
  <c r="I1196" i="9"/>
  <c r="H1196" i="9"/>
  <c r="O72" i="16"/>
  <c r="N72" i="16"/>
  <c r="O92" i="16"/>
  <c r="N92" i="16"/>
  <c r="O89" i="16"/>
  <c r="N89" i="16"/>
  <c r="O33" i="16"/>
  <c r="N33" i="16"/>
  <c r="I1149" i="9"/>
  <c r="H1149" i="9"/>
  <c r="O132" i="16"/>
  <c r="N132" i="16"/>
  <c r="O231" i="16"/>
  <c r="N231" i="16"/>
  <c r="I1070" i="9"/>
  <c r="H1070" i="9"/>
  <c r="I1229" i="9"/>
  <c r="H1229" i="9"/>
  <c r="N1185" i="16"/>
  <c r="O1185" i="16"/>
  <c r="P1185" i="16"/>
  <c r="T1185" i="16"/>
  <c r="O177" i="16"/>
  <c r="N177" i="16"/>
  <c r="O12" i="16"/>
  <c r="N12" i="16"/>
  <c r="O56" i="16"/>
  <c r="N56" i="16"/>
  <c r="O117" i="16"/>
  <c r="N117" i="16"/>
  <c r="O202" i="16"/>
  <c r="N202" i="16"/>
  <c r="I1230" i="9"/>
  <c r="H1230" i="9"/>
  <c r="O14" i="16"/>
  <c r="N14" i="16"/>
  <c r="O212" i="16"/>
  <c r="N212" i="16"/>
  <c r="O61" i="16"/>
  <c r="N61" i="16"/>
  <c r="N1229" i="16"/>
  <c r="O1229" i="16"/>
  <c r="P1229" i="16"/>
  <c r="T1229" i="16"/>
  <c r="I1137" i="9"/>
  <c r="H1137" i="9"/>
  <c r="I1024" i="9"/>
  <c r="H1024" i="9"/>
  <c r="O178" i="16"/>
  <c r="N178" i="16"/>
  <c r="I1197" i="9"/>
  <c r="H1197" i="9"/>
  <c r="I1181" i="9"/>
  <c r="H1181" i="9"/>
  <c r="I1233" i="9"/>
  <c r="H1233" i="9"/>
  <c r="I1213" i="9"/>
  <c r="H1213" i="9"/>
  <c r="O55" i="16"/>
  <c r="N55" i="16"/>
  <c r="I1150" i="9"/>
  <c r="H1150" i="9"/>
  <c r="I1030" i="9"/>
  <c r="H1030" i="9"/>
  <c r="O86" i="16"/>
  <c r="N86" i="16"/>
  <c r="T1122" i="16"/>
  <c r="I1220" i="9"/>
  <c r="H1220" i="9"/>
  <c r="O206" i="16"/>
  <c r="N206" i="16"/>
  <c r="O87" i="16"/>
  <c r="N87" i="16"/>
  <c r="O108" i="16"/>
  <c r="N108" i="16"/>
  <c r="O38" i="16"/>
  <c r="N38" i="16"/>
  <c r="I1194" i="9"/>
  <c r="H1194" i="9"/>
  <c r="N1233" i="16"/>
  <c r="O1233" i="16"/>
  <c r="P1233" i="16"/>
  <c r="T1233" i="16"/>
  <c r="O28" i="16"/>
  <c r="N28" i="16"/>
  <c r="N1149" i="16"/>
  <c r="O1149" i="16"/>
  <c r="P1149" i="16"/>
  <c r="T1149" i="16"/>
  <c r="T1224" i="16"/>
  <c r="O168" i="16"/>
  <c r="N168" i="16"/>
  <c r="I1144" i="9"/>
  <c r="H1144" i="9"/>
  <c r="O155" i="16"/>
  <c r="N155" i="16"/>
  <c r="O229" i="16"/>
  <c r="N229" i="16"/>
  <c r="N1098" i="16"/>
  <c r="O1098" i="16"/>
  <c r="P1098" i="16"/>
  <c r="T1098" i="16"/>
  <c r="I1177" i="9"/>
  <c r="H1177" i="9"/>
  <c r="O169" i="16"/>
  <c r="N169" i="16"/>
  <c r="O95" i="16"/>
  <c r="N95" i="16"/>
  <c r="N1059" i="16"/>
  <c r="O1059" i="16"/>
  <c r="P1059" i="16"/>
  <c r="T1059" i="16"/>
  <c r="O20" i="16"/>
  <c r="N20" i="16"/>
  <c r="I1042" i="9"/>
  <c r="H1042" i="9"/>
  <c r="O230" i="16"/>
  <c r="N230" i="16"/>
  <c r="O232" i="16"/>
  <c r="N232" i="16"/>
  <c r="T1127" i="16"/>
  <c r="O192" i="16"/>
  <c r="N192" i="16"/>
  <c r="I1065" i="9"/>
  <c r="H1065" i="9"/>
  <c r="O10" i="16"/>
  <c r="N10" i="16"/>
  <c r="T1035" i="16"/>
  <c r="I1067" i="9"/>
  <c r="H1067" i="9"/>
  <c r="I1078" i="9"/>
  <c r="H1078" i="9"/>
  <c r="N1067" i="16"/>
  <c r="O1067" i="16"/>
  <c r="P1067" i="16"/>
  <c r="T1067" i="16"/>
  <c r="N1078" i="16"/>
  <c r="O1078" i="16"/>
  <c r="P1078" i="16"/>
  <c r="T1078" i="16"/>
  <c r="O148" i="16"/>
  <c r="N148" i="16"/>
  <c r="T1028" i="16"/>
  <c r="T1019" i="16"/>
  <c r="O6" i="16"/>
  <c r="N6" i="16"/>
  <c r="T1151" i="16"/>
  <c r="I1232" i="9"/>
  <c r="H1232" i="9"/>
  <c r="O59" i="16"/>
  <c r="N59" i="16"/>
  <c r="I1138" i="9"/>
  <c r="H1138" i="9"/>
  <c r="I1075" i="9"/>
  <c r="H1075" i="9"/>
  <c r="O109" i="16"/>
  <c r="N109" i="16"/>
  <c r="O52" i="16"/>
  <c r="N52" i="16"/>
  <c r="T1081" i="16"/>
  <c r="O53" i="16"/>
  <c r="N53" i="16"/>
  <c r="I1088" i="9"/>
  <c r="H1088" i="9"/>
  <c r="T1076" i="16"/>
  <c r="O114" i="16"/>
  <c r="N114" i="16"/>
  <c r="I1186" i="9"/>
  <c r="H1186" i="9"/>
  <c r="O62" i="16"/>
  <c r="N62" i="16"/>
  <c r="I1115" i="9"/>
  <c r="H1115" i="9"/>
  <c r="T1106" i="16"/>
  <c r="N1070" i="16"/>
  <c r="O1070" i="16"/>
  <c r="P1070" i="16"/>
  <c r="T1070" i="16"/>
  <c r="N1091" i="16"/>
  <c r="O1091" i="16"/>
  <c r="P1091" i="16"/>
  <c r="T1091" i="16"/>
  <c r="O152" i="16"/>
  <c r="N152" i="16"/>
  <c r="O183" i="16"/>
  <c r="N183" i="16"/>
  <c r="N1104" i="16"/>
  <c r="O1104" i="16"/>
  <c r="P1104" i="16"/>
  <c r="H1104" i="9"/>
  <c r="I1104" i="9"/>
  <c r="I1016" i="9"/>
  <c r="H1016" i="9"/>
  <c r="N1028" i="16"/>
  <c r="O1028" i="16"/>
  <c r="P1028" i="16"/>
  <c r="H1028" i="9"/>
  <c r="I1028" i="9"/>
  <c r="N1228" i="16"/>
  <c r="O1228" i="16"/>
  <c r="P1228" i="16"/>
  <c r="H1228" i="9"/>
  <c r="I1228" i="9"/>
  <c r="T1178" i="16"/>
  <c r="I1111" i="9"/>
  <c r="H1111" i="9"/>
  <c r="O46" i="16"/>
  <c r="N46" i="16"/>
  <c r="O7" i="16"/>
  <c r="N7" i="16"/>
  <c r="I1114" i="9"/>
  <c r="H1114" i="9"/>
  <c r="O126" i="16"/>
  <c r="N126" i="16"/>
  <c r="I1237" i="9"/>
  <c r="H1237" i="9"/>
  <c r="I1184" i="9"/>
  <c r="H1184" i="9"/>
  <c r="T1202" i="16"/>
  <c r="I1092" i="9"/>
  <c r="H1092" i="9"/>
  <c r="N1181" i="16"/>
  <c r="O1181" i="16"/>
  <c r="P1181" i="16"/>
  <c r="T1181" i="16"/>
  <c r="N1202" i="16"/>
  <c r="O1202" i="16"/>
  <c r="P1202" i="16"/>
  <c r="H1202" i="9"/>
  <c r="I1202" i="9"/>
  <c r="I1146" i="9"/>
  <c r="H1146" i="9"/>
  <c r="O147" i="16"/>
  <c r="N147" i="16"/>
  <c r="I1110" i="9"/>
  <c r="H1110" i="9"/>
  <c r="I1109" i="9"/>
  <c r="H1109" i="9"/>
  <c r="I1129" i="9"/>
  <c r="H1129" i="9"/>
  <c r="O228" i="16"/>
  <c r="N228" i="16"/>
  <c r="I1087" i="9"/>
  <c r="H1087" i="9"/>
  <c r="O80" i="16"/>
  <c r="N80" i="16"/>
  <c r="O60" i="16"/>
  <c r="N60" i="16"/>
  <c r="O90" i="16"/>
  <c r="N90" i="16"/>
  <c r="N1137" i="16"/>
  <c r="O1137" i="16"/>
  <c r="P1137" i="16"/>
  <c r="T1137" i="16"/>
  <c r="O39" i="16"/>
  <c r="N39" i="16"/>
  <c r="N1106" i="16"/>
  <c r="O1106" i="16"/>
  <c r="P1106" i="16"/>
  <c r="H1106" i="9"/>
  <c r="I1106" i="9"/>
  <c r="N1197" i="16"/>
  <c r="O1197" i="16"/>
  <c r="P1197" i="16"/>
  <c r="T1197" i="16"/>
  <c r="O131" i="16"/>
  <c r="N131" i="16"/>
  <c r="O196" i="16"/>
  <c r="N196" i="16"/>
  <c r="O51" i="16"/>
  <c r="N51" i="16"/>
  <c r="N1224" i="16"/>
  <c r="O1224" i="16"/>
  <c r="P1224" i="16"/>
  <c r="H1224" i="9"/>
  <c r="I1224" i="9"/>
  <c r="O199" i="16"/>
  <c r="N199" i="16"/>
  <c r="O125" i="16"/>
  <c r="N125" i="16"/>
  <c r="O143" i="16"/>
  <c r="N143" i="16"/>
  <c r="T1029" i="16"/>
  <c r="O222" i="16"/>
  <c r="N222" i="16"/>
  <c r="I1214" i="9"/>
  <c r="H1214" i="9"/>
  <c r="O19" i="16"/>
  <c r="N19" i="16"/>
  <c r="O187" i="16"/>
  <c r="N187" i="16"/>
  <c r="I1124" i="9"/>
  <c r="H1124" i="9"/>
  <c r="O37" i="16"/>
  <c r="N37" i="16"/>
  <c r="T1140" i="16"/>
  <c r="T1207" i="16"/>
  <c r="I1187" i="9"/>
  <c r="H1187" i="9"/>
  <c r="O81" i="16"/>
  <c r="N81" i="16"/>
  <c r="I1118" i="9"/>
  <c r="H1118" i="9"/>
  <c r="T1158" i="16"/>
  <c r="I1219" i="9"/>
  <c r="H1219" i="9"/>
  <c r="N1220" i="16"/>
  <c r="O1220" i="16"/>
  <c r="P1220" i="16"/>
  <c r="T1220" i="16"/>
  <c r="O50" i="16"/>
  <c r="N50" i="16"/>
  <c r="I1071" i="9"/>
  <c r="H1071" i="9"/>
  <c r="I1130" i="9"/>
  <c r="H1130" i="9"/>
  <c r="N1122" i="16"/>
  <c r="O1122" i="16"/>
  <c r="P1122" i="16"/>
  <c r="H1122" i="9"/>
  <c r="I1122" i="9"/>
  <c r="I1077" i="9"/>
  <c r="H1077" i="9"/>
  <c r="I1148" i="9"/>
  <c r="H1148" i="9"/>
  <c r="O15" i="16"/>
  <c r="N15" i="16"/>
  <c r="O63" i="16"/>
  <c r="N63" i="16"/>
  <c r="I1123" i="9"/>
  <c r="H1123" i="9"/>
  <c r="O96" i="16"/>
  <c r="N96" i="16"/>
  <c r="I1027" i="9"/>
  <c r="H1027" i="9"/>
  <c r="I1172" i="9"/>
  <c r="H1172" i="9"/>
  <c r="O158" i="16"/>
  <c r="N158" i="16"/>
  <c r="O73" i="16"/>
  <c r="N73" i="16"/>
  <c r="O48" i="16"/>
  <c r="N48" i="16"/>
  <c r="I1199" i="9"/>
  <c r="H1199" i="9"/>
  <c r="O4" i="16"/>
  <c r="N4" i="16"/>
  <c r="I1234" i="9"/>
  <c r="H1234" i="9"/>
  <c r="I1096" i="9"/>
  <c r="H1096" i="9"/>
  <c r="O18" i="16"/>
  <c r="N18" i="16"/>
  <c r="O94" i="16"/>
  <c r="N94" i="16"/>
  <c r="I1226" i="9"/>
  <c r="H1226" i="9"/>
  <c r="O27" i="16"/>
  <c r="N27" i="16"/>
  <c r="I1094" i="9"/>
  <c r="H1094" i="9"/>
  <c r="O161" i="16"/>
  <c r="N161" i="16"/>
  <c r="T1132" i="16"/>
  <c r="O110" i="16"/>
  <c r="N110" i="16"/>
  <c r="I1166" i="9"/>
  <c r="H1166" i="9"/>
  <c r="N1029" i="16"/>
  <c r="O1029" i="16"/>
  <c r="P1029" i="16"/>
  <c r="H1029" i="9"/>
  <c r="I1029" i="9"/>
  <c r="O156" i="16"/>
  <c r="N156" i="16"/>
  <c r="I1222" i="9"/>
  <c r="H1222" i="9"/>
  <c r="N1214" i="16"/>
  <c r="O1214" i="16"/>
  <c r="P1214" i="16"/>
  <c r="T1214" i="16"/>
  <c r="I1046" i="9"/>
  <c r="H1046" i="9"/>
  <c r="N1190" i="16"/>
  <c r="O1190" i="16"/>
  <c r="P1190" i="16"/>
  <c r="T1190" i="16"/>
  <c r="N1118" i="16"/>
  <c r="O1118" i="16"/>
  <c r="P1118" i="16"/>
  <c r="T1118" i="16"/>
  <c r="I1218" i="9"/>
  <c r="H1218" i="9"/>
  <c r="O215" i="16"/>
  <c r="N215" i="16"/>
  <c r="O188" i="16"/>
  <c r="N188" i="16"/>
  <c r="I1152" i="9"/>
  <c r="H1152" i="9"/>
  <c r="T1102" i="16"/>
  <c r="I1126" i="9"/>
  <c r="H1126" i="9"/>
  <c r="I1064" i="9"/>
  <c r="H1064" i="9"/>
  <c r="O173" i="16"/>
  <c r="N173" i="16"/>
  <c r="O24" i="16"/>
  <c r="N24" i="16"/>
  <c r="O204" i="16"/>
  <c r="N204" i="16"/>
  <c r="O43" i="16"/>
  <c r="N43" i="16"/>
  <c r="O130" i="16"/>
  <c r="N130" i="16"/>
  <c r="O32" i="16"/>
  <c r="N32" i="16"/>
  <c r="T1061" i="16"/>
  <c r="I1121" i="9"/>
  <c r="H1121" i="9"/>
  <c r="T1235" i="16"/>
  <c r="T1206" i="16"/>
  <c r="O82" i="16"/>
  <c r="N82" i="16"/>
  <c r="O181" i="16"/>
  <c r="N181" i="16"/>
  <c r="N1016" i="16"/>
  <c r="O1016" i="16"/>
  <c r="P1016" i="16"/>
  <c r="T1016" i="16"/>
  <c r="O139" i="16"/>
  <c r="N139" i="16"/>
  <c r="T1125" i="16"/>
  <c r="T1063" i="16"/>
  <c r="N1194" i="16"/>
  <c r="O1194" i="16"/>
  <c r="P1194" i="16"/>
  <c r="T1194" i="16"/>
  <c r="N1234" i="16"/>
  <c r="O1234" i="16"/>
  <c r="P1234" i="16"/>
  <c r="T1234" i="16"/>
  <c r="N1115" i="16"/>
  <c r="O1115" i="16"/>
  <c r="P1115" i="16"/>
  <c r="T1115" i="16"/>
  <c r="N1226" i="16"/>
  <c r="O1226" i="16"/>
  <c r="P1226" i="16"/>
  <c r="T1226" i="16"/>
  <c r="N1151" i="16"/>
  <c r="O1151" i="16"/>
  <c r="P1151" i="16"/>
  <c r="H1151" i="9"/>
  <c r="I1151" i="9"/>
  <c r="O79" i="16"/>
  <c r="N79" i="16"/>
  <c r="I1208" i="9"/>
  <c r="H1208" i="9"/>
  <c r="O159" i="16"/>
  <c r="N159" i="16"/>
  <c r="N1138" i="16"/>
  <c r="O1138" i="16"/>
  <c r="P1138" i="16"/>
  <c r="T1138" i="16"/>
  <c r="N1166" i="16"/>
  <c r="O1166" i="16"/>
  <c r="P1166" i="16"/>
  <c r="T1166" i="16"/>
  <c r="T1041" i="16"/>
  <c r="N1213" i="16"/>
  <c r="O1213" i="16"/>
  <c r="P1213" i="16"/>
  <c r="T1213" i="16"/>
  <c r="N1165" i="16"/>
  <c r="O1165" i="16"/>
  <c r="P1165" i="16"/>
  <c r="T1165" i="16"/>
  <c r="N1222" i="16"/>
  <c r="O1222" i="16"/>
  <c r="P1222" i="16"/>
  <c r="T1222" i="16"/>
  <c r="N1187" i="16"/>
  <c r="O1187" i="16"/>
  <c r="P1187" i="16"/>
  <c r="T1187" i="16"/>
  <c r="O225" i="16"/>
  <c r="N225" i="16"/>
  <c r="N1046" i="16"/>
  <c r="O1046" i="16"/>
  <c r="P1046" i="16"/>
  <c r="T1046" i="16"/>
  <c r="O163" i="16"/>
  <c r="N163" i="16"/>
  <c r="N1125" i="16"/>
  <c r="O1125" i="16"/>
  <c r="P1125" i="16"/>
  <c r="H1125" i="9"/>
  <c r="I1125" i="9"/>
  <c r="N1056" i="16"/>
  <c r="O1056" i="16"/>
  <c r="P1056" i="16"/>
  <c r="T1056" i="16"/>
  <c r="I1227" i="9"/>
  <c r="H1227" i="9"/>
  <c r="T1160" i="16"/>
  <c r="O149" i="16"/>
  <c r="N149" i="16"/>
  <c r="O151" i="16"/>
  <c r="N151" i="16"/>
  <c r="O11" i="16"/>
  <c r="N11" i="16"/>
  <c r="I1211" i="9"/>
  <c r="H1211" i="9"/>
  <c r="I1050" i="9"/>
  <c r="H1050" i="9"/>
  <c r="O119" i="16"/>
  <c r="N119" i="16"/>
  <c r="O133" i="16"/>
  <c r="N133" i="16"/>
  <c r="N1206" i="16"/>
  <c r="O1206" i="16"/>
  <c r="P1206" i="16"/>
  <c r="H1206" i="9"/>
  <c r="I1206" i="9"/>
  <c r="O190" i="16"/>
  <c r="N190" i="16"/>
  <c r="O170" i="16"/>
  <c r="N170" i="16"/>
  <c r="N1132" i="16"/>
  <c r="O1132" i="16"/>
  <c r="P1132" i="16"/>
  <c r="H1132" i="9"/>
  <c r="I1132" i="9"/>
  <c r="O227" i="16"/>
  <c r="N227" i="16"/>
  <c r="N1150" i="16"/>
  <c r="O1150" i="16"/>
  <c r="P1150" i="16"/>
  <c r="T1150" i="16"/>
  <c r="O220" i="16"/>
  <c r="N220" i="16"/>
  <c r="H1015" i="9"/>
  <c r="I1015" i="9"/>
  <c r="N1108" i="16"/>
  <c r="O1108" i="16"/>
  <c r="P1108" i="16"/>
  <c r="H1108" i="9"/>
  <c r="I1108" i="9"/>
  <c r="I1084" i="9"/>
  <c r="H1084" i="9"/>
  <c r="T1082" i="16"/>
  <c r="T1170" i="16"/>
  <c r="I1117" i="9"/>
  <c r="H1117" i="9"/>
  <c r="N1126" i="16"/>
  <c r="O1126" i="16"/>
  <c r="P1126" i="16"/>
  <c r="T1126" i="16"/>
  <c r="N1117" i="16"/>
  <c r="O1117" i="16"/>
  <c r="P1117" i="16"/>
  <c r="T1117" i="16"/>
  <c r="N1102" i="16"/>
  <c r="O1102" i="16"/>
  <c r="P1102" i="16"/>
  <c r="H1102" i="9"/>
  <c r="I1102" i="9"/>
  <c r="N1035" i="16"/>
  <c r="O1035" i="16"/>
  <c r="P1035" i="16"/>
  <c r="H1035" i="9"/>
  <c r="I1035" i="9"/>
  <c r="I1239" i="9"/>
  <c r="H1239" i="9"/>
  <c r="I1040" i="9"/>
  <c r="H1040" i="9"/>
  <c r="O16" i="16"/>
  <c r="N16" i="16"/>
  <c r="I1058" i="9"/>
  <c r="H1058" i="9"/>
  <c r="O105" i="16"/>
  <c r="N105" i="16"/>
  <c r="I1017" i="9"/>
  <c r="H1017" i="9"/>
  <c r="T1171" i="16"/>
  <c r="N1121" i="16"/>
  <c r="O1121" i="16"/>
  <c r="P1121" i="16"/>
  <c r="T1121" i="16"/>
  <c r="T1020" i="16"/>
  <c r="I1079" i="9"/>
  <c r="H1079" i="9"/>
  <c r="T1074" i="16"/>
  <c r="I1072" i="9"/>
  <c r="H1072" i="9"/>
  <c r="O75" i="16"/>
  <c r="N75" i="16"/>
  <c r="I1101" i="9"/>
  <c r="H1101" i="9"/>
  <c r="N1074" i="16"/>
  <c r="O1074" i="16"/>
  <c r="P1074" i="16"/>
  <c r="H1074" i="9"/>
  <c r="I1074" i="9"/>
  <c r="I1195" i="9"/>
  <c r="H1195" i="9"/>
  <c r="O205" i="16"/>
  <c r="N205" i="16"/>
  <c r="I1105" i="9"/>
  <c r="H1105" i="9"/>
  <c r="I1113" i="9"/>
  <c r="H1113" i="9"/>
  <c r="O127" i="16"/>
  <c r="N127" i="16"/>
  <c r="I1225" i="9"/>
  <c r="H1225" i="9"/>
  <c r="N1096" i="16"/>
  <c r="O1096" i="16"/>
  <c r="P1096" i="16"/>
  <c r="T1096" i="16"/>
  <c r="N1068" i="16"/>
  <c r="O1068" i="16"/>
  <c r="P1068" i="16"/>
  <c r="T1068" i="16"/>
  <c r="O221" i="16"/>
  <c r="N221" i="16"/>
  <c r="O30" i="16"/>
  <c r="N30" i="16"/>
  <c r="N1094" i="16"/>
  <c r="O1094" i="16"/>
  <c r="P1094" i="16"/>
  <c r="T1094" i="16"/>
  <c r="O88" i="16"/>
  <c r="N88" i="16"/>
  <c r="N1178" i="16"/>
  <c r="O1178" i="16"/>
  <c r="P1178" i="16"/>
  <c r="H1178" i="9"/>
  <c r="I1178" i="9"/>
  <c r="O200" i="16"/>
  <c r="N200" i="16"/>
  <c r="O191" i="16"/>
  <c r="N191" i="16"/>
  <c r="N1232" i="16"/>
  <c r="O1232" i="16"/>
  <c r="P1232" i="16"/>
  <c r="T1232" i="16"/>
  <c r="O57" i="16"/>
  <c r="N57" i="16"/>
  <c r="O58" i="16"/>
  <c r="N58" i="16"/>
  <c r="O112" i="16"/>
  <c r="N112" i="16"/>
  <c r="O193" i="16"/>
  <c r="N193" i="16"/>
  <c r="O124" i="16"/>
  <c r="N124" i="16"/>
  <c r="N1111" i="16"/>
  <c r="O1111" i="16"/>
  <c r="P1111" i="16"/>
  <c r="T1111" i="16"/>
  <c r="N1114" i="16"/>
  <c r="O1114" i="16"/>
  <c r="P1114" i="16"/>
  <c r="T1114" i="16"/>
  <c r="O201" i="16"/>
  <c r="N201" i="16"/>
  <c r="T1240" i="16"/>
  <c r="O103" i="16"/>
  <c r="N103" i="16"/>
  <c r="O116" i="16"/>
  <c r="N116" i="16"/>
  <c r="N1219" i="16"/>
  <c r="O1219" i="16"/>
  <c r="P1219" i="16"/>
  <c r="T1219" i="16"/>
  <c r="I1142" i="9"/>
  <c r="H1142" i="9"/>
  <c r="N1152" i="16"/>
  <c r="O1152" i="16"/>
  <c r="P1152" i="16"/>
  <c r="T1152" i="16"/>
  <c r="N1198" i="16"/>
  <c r="O1198" i="16"/>
  <c r="P1198" i="16"/>
  <c r="T1198" i="16"/>
  <c r="O210" i="16"/>
  <c r="N210" i="16"/>
  <c r="N1146" i="16"/>
  <c r="O1146" i="16"/>
  <c r="P1146" i="16"/>
  <c r="T1146" i="16"/>
  <c r="N1020" i="16"/>
  <c r="O1020" i="16"/>
  <c r="P1020" i="16"/>
  <c r="H1020" i="9"/>
  <c r="I1020" i="9"/>
  <c r="O165" i="16"/>
  <c r="N165" i="16"/>
  <c r="N1019" i="16"/>
  <c r="O1019" i="16"/>
  <c r="P1019" i="16"/>
  <c r="H1019" i="9"/>
  <c r="I1019" i="9"/>
  <c r="H1036" i="9"/>
  <c r="I1036" i="9"/>
  <c r="O203" i="16"/>
  <c r="N203" i="16"/>
  <c r="N1208" i="16"/>
  <c r="O1208" i="16"/>
  <c r="P1208" i="16"/>
  <c r="T1208" i="16"/>
  <c r="O34" i="16"/>
  <c r="N34" i="16"/>
  <c r="I1145" i="9"/>
  <c r="H1145" i="9"/>
  <c r="I1156" i="9"/>
  <c r="H1156" i="9"/>
  <c r="N1235" i="16"/>
  <c r="O1235" i="16"/>
  <c r="P1235" i="16"/>
  <c r="H1235" i="9"/>
  <c r="I1235" i="9"/>
  <c r="N1050" i="16"/>
  <c r="O1050" i="16"/>
  <c r="P1050" i="16"/>
  <c r="T1050" i="16"/>
  <c r="O224" i="16"/>
  <c r="N224" i="16"/>
  <c r="T1168" i="16"/>
  <c r="O166" i="16"/>
  <c r="N166" i="16"/>
  <c r="T1182" i="16"/>
  <c r="N1144" i="16"/>
  <c r="O1144" i="16"/>
  <c r="P1144" i="16"/>
  <c r="T1144" i="16"/>
  <c r="N1124" i="16"/>
  <c r="O1124" i="16"/>
  <c r="P1124" i="16"/>
  <c r="T1124" i="16"/>
  <c r="N1207" i="16"/>
  <c r="O1207" i="16"/>
  <c r="P1207" i="16"/>
  <c r="H1207" i="9"/>
  <c r="I1207" i="9"/>
  <c r="O176" i="16"/>
  <c r="N176" i="16"/>
  <c r="N1237" i="16"/>
  <c r="O1237" i="16"/>
  <c r="P1237" i="16"/>
  <c r="T1237" i="16"/>
  <c r="N1196" i="16"/>
  <c r="O1196" i="16"/>
  <c r="P1196" i="16"/>
  <c r="T1196" i="16"/>
  <c r="T1175" i="16"/>
  <c r="N1184" i="16"/>
  <c r="O1184" i="16"/>
  <c r="P1184" i="16"/>
  <c r="T1184" i="16"/>
  <c r="T1189" i="16"/>
  <c r="N1071" i="16"/>
  <c r="O1071" i="16"/>
  <c r="P1071" i="16"/>
  <c r="T1071" i="16"/>
  <c r="I1131" i="9"/>
  <c r="H1131" i="9"/>
  <c r="N1186" i="16"/>
  <c r="O1186" i="16"/>
  <c r="P1186" i="16"/>
  <c r="T1186" i="16"/>
  <c r="O136" i="16"/>
  <c r="N136" i="16"/>
  <c r="I1047" i="9"/>
  <c r="H1047" i="9"/>
  <c r="I1204" i="9"/>
  <c r="H1204" i="9"/>
  <c r="N1060" i="16"/>
  <c r="O1060" i="16"/>
  <c r="P1060" i="16"/>
  <c r="T1060" i="16"/>
  <c r="O122" i="16"/>
  <c r="N122" i="16"/>
  <c r="T1128" i="16"/>
  <c r="I1174" i="9"/>
  <c r="H1174" i="9"/>
  <c r="T1013" i="16"/>
  <c r="T1236" i="16"/>
  <c r="I1176" i="9"/>
  <c r="H1176" i="9"/>
  <c r="I1242" i="9"/>
  <c r="H1242" i="9"/>
  <c r="T1205" i="16"/>
  <c r="N1076" i="16"/>
  <c r="O1076" i="16"/>
  <c r="P1076" i="16"/>
  <c r="H1076" i="9"/>
  <c r="I1076" i="9"/>
  <c r="O137" i="16"/>
  <c r="N137" i="16"/>
  <c r="N1092" i="16"/>
  <c r="O1092" i="16"/>
  <c r="P1092" i="16"/>
  <c r="T1092" i="16"/>
  <c r="O144" i="16"/>
  <c r="N144" i="16"/>
  <c r="I1014" i="9"/>
  <c r="H1014" i="9"/>
  <c r="N1140" i="16"/>
  <c r="O1140" i="16"/>
  <c r="P1140" i="16"/>
  <c r="H1140" i="9"/>
  <c r="I1140" i="9"/>
  <c r="I1223" i="9"/>
  <c r="H1223" i="9"/>
  <c r="I1153" i="9"/>
  <c r="H1153" i="9"/>
  <c r="O44" i="16"/>
  <c r="N44" i="16"/>
  <c r="I1089" i="9"/>
  <c r="H1089" i="9"/>
  <c r="O104" i="16"/>
  <c r="N104" i="16"/>
  <c r="I1090" i="9"/>
  <c r="H1090" i="9"/>
  <c r="T1135" i="16"/>
  <c r="N1182" i="16"/>
  <c r="O1182" i="16"/>
  <c r="P1182" i="16"/>
  <c r="H1182" i="9"/>
  <c r="I1182" i="9"/>
  <c r="N1189" i="16"/>
  <c r="O1189" i="16"/>
  <c r="P1189" i="16"/>
  <c r="H1189" i="9"/>
  <c r="I1189" i="9"/>
  <c r="T1093" i="16"/>
  <c r="I1139" i="9"/>
  <c r="H1139" i="9"/>
  <c r="N1131" i="16"/>
  <c r="O1131" i="16"/>
  <c r="P1131" i="16"/>
  <c r="T1131" i="16"/>
  <c r="I1163" i="9"/>
  <c r="H1163" i="9"/>
  <c r="N1064" i="16"/>
  <c r="O1064" i="16"/>
  <c r="P1064" i="16"/>
  <c r="T1064" i="16"/>
  <c r="N1204" i="16"/>
  <c r="O1204" i="16"/>
  <c r="P1204" i="16"/>
  <c r="T1204" i="16"/>
  <c r="N1128" i="16"/>
  <c r="O1128" i="16"/>
  <c r="P1128" i="16"/>
  <c r="H1128" i="9"/>
  <c r="I1128" i="9"/>
  <c r="I1157" i="9"/>
  <c r="H1157" i="9"/>
  <c r="N1174" i="16"/>
  <c r="O1174" i="16"/>
  <c r="P1174" i="16"/>
  <c r="T1174" i="16"/>
  <c r="O5" i="16"/>
  <c r="N5" i="16"/>
  <c r="N1236" i="16"/>
  <c r="O1236" i="16"/>
  <c r="P1236" i="16"/>
  <c r="H1236" i="9"/>
  <c r="I1236" i="9"/>
  <c r="O9" i="16"/>
  <c r="N9" i="16"/>
  <c r="N1176" i="16"/>
  <c r="O1176" i="16"/>
  <c r="P1176" i="16"/>
  <c r="T1176" i="16"/>
  <c r="T1154" i="16"/>
  <c r="T1069" i="16"/>
  <c r="I1193" i="9"/>
  <c r="H1193" i="9"/>
  <c r="N1154" i="16"/>
  <c r="O1154" i="16"/>
  <c r="P1154" i="16"/>
  <c r="H1154" i="9"/>
  <c r="I1154" i="9"/>
  <c r="I1134" i="9"/>
  <c r="H1134" i="9"/>
  <c r="O154" i="16"/>
  <c r="N154" i="16"/>
  <c r="I1217" i="9"/>
  <c r="H1217" i="9"/>
  <c r="O70" i="16"/>
  <c r="N70" i="16"/>
  <c r="I1210" i="9"/>
  <c r="H1210" i="9"/>
  <c r="I1200" i="9"/>
  <c r="H1200" i="9"/>
  <c r="I1062" i="9"/>
  <c r="H1062" i="9"/>
  <c r="I1083" i="9"/>
  <c r="H1083" i="9"/>
  <c r="O49" i="16"/>
  <c r="N49" i="16"/>
  <c r="O140" i="16"/>
  <c r="N140" i="16"/>
  <c r="I1034" i="9"/>
  <c r="H1034" i="9"/>
  <c r="I1107" i="9"/>
  <c r="H1107" i="9"/>
  <c r="T1169" i="16"/>
  <c r="T1133" i="16"/>
  <c r="T1073" i="16"/>
  <c r="O29" i="16"/>
  <c r="N29" i="16"/>
  <c r="N1135" i="16"/>
  <c r="O1135" i="16"/>
  <c r="P1135" i="16"/>
  <c r="H1135" i="9"/>
  <c r="I1135" i="9"/>
  <c r="T1179" i="16"/>
  <c r="N1212" i="16"/>
  <c r="O1212" i="16"/>
  <c r="P1212" i="16"/>
  <c r="T1212" i="16"/>
  <c r="N1240" i="16"/>
  <c r="O1240" i="16"/>
  <c r="P1240" i="16"/>
  <c r="H1240" i="9"/>
  <c r="I1240" i="9"/>
  <c r="N1175" i="16"/>
  <c r="O1175" i="16"/>
  <c r="P1175" i="16"/>
  <c r="H1175" i="9"/>
  <c r="I1175" i="9"/>
  <c r="N1127" i="16"/>
  <c r="O1127" i="16"/>
  <c r="P1127" i="16"/>
  <c r="H1127" i="9"/>
  <c r="I1127" i="9"/>
  <c r="O150" i="16"/>
  <c r="N150" i="16"/>
  <c r="N1227" i="16"/>
  <c r="O1227" i="16"/>
  <c r="P1227" i="16"/>
  <c r="T1227" i="16"/>
  <c r="N1158" i="16"/>
  <c r="O1158" i="16"/>
  <c r="P1158" i="16"/>
  <c r="H1158" i="9"/>
  <c r="I1158" i="9"/>
  <c r="N1082" i="16"/>
  <c r="O1082" i="16"/>
  <c r="P1082" i="16"/>
  <c r="H1082" i="9"/>
  <c r="I1082" i="9"/>
  <c r="N1081" i="16"/>
  <c r="O1081" i="16"/>
  <c r="P1081" i="16"/>
  <c r="H1081" i="9"/>
  <c r="I1081" i="9"/>
  <c r="N1170" i="16"/>
  <c r="O1170" i="16"/>
  <c r="P1170" i="16"/>
  <c r="H1170" i="9"/>
  <c r="I1170" i="9"/>
  <c r="O23" i="16"/>
  <c r="N23" i="16"/>
  <c r="N1139" i="16"/>
  <c r="O1139" i="16"/>
  <c r="P1139" i="16"/>
  <c r="T1139" i="16"/>
  <c r="N1157" i="16"/>
  <c r="O1157" i="16"/>
  <c r="P1157" i="16"/>
  <c r="T1157" i="16"/>
  <c r="N1163" i="16"/>
  <c r="O1163" i="16"/>
  <c r="P1163" i="16"/>
  <c r="T1163" i="16"/>
  <c r="O3" i="16"/>
  <c r="N3" i="16"/>
  <c r="N1142" i="16"/>
  <c r="O1142" i="16"/>
  <c r="P1142" i="16"/>
  <c r="T1142" i="16"/>
  <c r="O164" i="16"/>
  <c r="N164" i="16"/>
  <c r="T1086" i="16"/>
  <c r="N1148" i="16"/>
  <c r="O1148" i="16"/>
  <c r="P1148" i="16"/>
  <c r="T1148" i="16"/>
  <c r="N1130" i="16"/>
  <c r="O1130" i="16"/>
  <c r="P1130" i="16"/>
  <c r="T1130" i="16"/>
  <c r="N1239" i="16"/>
  <c r="O1239" i="16"/>
  <c r="P1239" i="16"/>
  <c r="T1239" i="16"/>
  <c r="N1242" i="16"/>
  <c r="O1242" i="16"/>
  <c r="P1242" i="16"/>
  <c r="T1242" i="16"/>
  <c r="T1112" i="16"/>
  <c r="O180" i="16"/>
  <c r="N180" i="16"/>
  <c r="N1231" i="16"/>
  <c r="O1231" i="16"/>
  <c r="P1231" i="16"/>
  <c r="H1231" i="9"/>
  <c r="I1231" i="9"/>
  <c r="O129" i="16"/>
  <c r="N129" i="16"/>
  <c r="N1047" i="16"/>
  <c r="O1047" i="16"/>
  <c r="P1047" i="16"/>
  <c r="T1047" i="16"/>
  <c r="N1077" i="16"/>
  <c r="O1077" i="16"/>
  <c r="P1077" i="16"/>
  <c r="T1077" i="16"/>
  <c r="N1134" i="16"/>
  <c r="O1134" i="16"/>
  <c r="P1134" i="16"/>
  <c r="T1134" i="16"/>
  <c r="I1066" i="9"/>
  <c r="H1066" i="9"/>
  <c r="O216" i="16"/>
  <c r="N216" i="16"/>
  <c r="O207" i="16"/>
  <c r="N207" i="16"/>
  <c r="I1052" i="9"/>
  <c r="H1052" i="9"/>
  <c r="N1084" i="16"/>
  <c r="O1084" i="16"/>
  <c r="P1084" i="16"/>
  <c r="T1084" i="16"/>
  <c r="N1200" i="16"/>
  <c r="O1200" i="16"/>
  <c r="P1200" i="16"/>
  <c r="T1200" i="16"/>
  <c r="N1079" i="16"/>
  <c r="O1079" i="16"/>
  <c r="P1079" i="16"/>
  <c r="T1079" i="16"/>
  <c r="I1025" i="9"/>
  <c r="H1025" i="9"/>
  <c r="O217" i="16"/>
  <c r="N217" i="16"/>
  <c r="N1086" i="16"/>
  <c r="O1086" i="16"/>
  <c r="P1086" i="16"/>
  <c r="H1086" i="9"/>
  <c r="I1086" i="9"/>
  <c r="O69" i="16"/>
  <c r="N69" i="16"/>
  <c r="I1173" i="9"/>
  <c r="H1173" i="9"/>
  <c r="I1162" i="9"/>
  <c r="H1162" i="9"/>
  <c r="N1169" i="16"/>
  <c r="O1169" i="16"/>
  <c r="P1169" i="16"/>
  <c r="H1169" i="9"/>
  <c r="I1169" i="9"/>
  <c r="N1133" i="16"/>
  <c r="O1133" i="16"/>
  <c r="P1133" i="16"/>
  <c r="H1133" i="9"/>
  <c r="I1133" i="9"/>
  <c r="N1073" i="16"/>
  <c r="O1073" i="16"/>
  <c r="P1073" i="16"/>
  <c r="H1073" i="9"/>
  <c r="I1073" i="9"/>
  <c r="T1054" i="16"/>
  <c r="N1179" i="16"/>
  <c r="O1179" i="16"/>
  <c r="P1179" i="16"/>
  <c r="H1179" i="9"/>
  <c r="I1179" i="9"/>
  <c r="H1045" i="9"/>
  <c r="I1045" i="9"/>
  <c r="N1088" i="16"/>
  <c r="O1088" i="16"/>
  <c r="P1088" i="16"/>
  <c r="T1088" i="16"/>
  <c r="O68" i="16"/>
  <c r="N68" i="16"/>
  <c r="N1205" i="16"/>
  <c r="O1205" i="16"/>
  <c r="P1205" i="16"/>
  <c r="H1205" i="9"/>
  <c r="I1205" i="9"/>
  <c r="N1110" i="16"/>
  <c r="O1110" i="16"/>
  <c r="P1110" i="16"/>
  <c r="T1110" i="16"/>
  <c r="O142" i="16"/>
  <c r="N142" i="16"/>
  <c r="N1153" i="16"/>
  <c r="O1153" i="16"/>
  <c r="P1153" i="16"/>
  <c r="T1153" i="16"/>
  <c r="N1090" i="16"/>
  <c r="O1090" i="16"/>
  <c r="P1090" i="16"/>
  <c r="T1090" i="16"/>
  <c r="N1063" i="16"/>
  <c r="O1063" i="16"/>
  <c r="P1063" i="16"/>
  <c r="H1063" i="9"/>
  <c r="I1063" i="9"/>
  <c r="I1080" i="9"/>
  <c r="H1080" i="9"/>
  <c r="O107" i="16"/>
  <c r="N107" i="16"/>
  <c r="I1055" i="9"/>
  <c r="H1055" i="9"/>
  <c r="O195" i="16"/>
  <c r="N195" i="16"/>
  <c r="I1120" i="9"/>
  <c r="H1120" i="9"/>
  <c r="T1032" i="16"/>
  <c r="O21" i="16"/>
  <c r="N21" i="16"/>
  <c r="T1238" i="16"/>
  <c r="O141" i="16"/>
  <c r="N141" i="16"/>
  <c r="T1085" i="16"/>
  <c r="O71" i="16"/>
  <c r="N71" i="16"/>
  <c r="I1136" i="9"/>
  <c r="H1136" i="9"/>
  <c r="O121" i="16"/>
  <c r="N121" i="16"/>
  <c r="O85" i="16"/>
  <c r="N85" i="16"/>
  <c r="T1203" i="16"/>
  <c r="T1221" i="16"/>
  <c r="O135" i="16"/>
  <c r="N135" i="16"/>
  <c r="H1051" i="9"/>
  <c r="I1051" i="9"/>
  <c r="O97" i="16"/>
  <c r="N97" i="16"/>
  <c r="O226" i="16"/>
  <c r="N226" i="16"/>
  <c r="O106" i="16"/>
  <c r="N106" i="16"/>
  <c r="I1095" i="9"/>
  <c r="H1095" i="9"/>
  <c r="T1099" i="16"/>
  <c r="N1075" i="16"/>
  <c r="O1075" i="16"/>
  <c r="P1075" i="16"/>
  <c r="T1075" i="16"/>
  <c r="T1188" i="16"/>
  <c r="N1032" i="16"/>
  <c r="O1032" i="16"/>
  <c r="P1032" i="16"/>
  <c r="H1032" i="9"/>
  <c r="I1032" i="9"/>
  <c r="N1188" i="16"/>
  <c r="O1188" i="16"/>
  <c r="P1188" i="16"/>
  <c r="H1188" i="9"/>
  <c r="I1188" i="9"/>
  <c r="N1238" i="16"/>
  <c r="O1238" i="16"/>
  <c r="P1238" i="16"/>
  <c r="H1238" i="9"/>
  <c r="I1238" i="9"/>
  <c r="T1159" i="16"/>
  <c r="I1031" i="9"/>
  <c r="H1031" i="9"/>
  <c r="O101" i="16"/>
  <c r="N101" i="16"/>
  <c r="T1183" i="16"/>
  <c r="O78" i="16"/>
  <c r="N78" i="16"/>
  <c r="N1085" i="16"/>
  <c r="O1085" i="16"/>
  <c r="P1085" i="16"/>
  <c r="H1085" i="9"/>
  <c r="I1085" i="9"/>
  <c r="O209" i="16"/>
  <c r="N209" i="16"/>
  <c r="I1022" i="9"/>
  <c r="H1022" i="9"/>
  <c r="O66" i="16"/>
  <c r="N66" i="16"/>
  <c r="I1033" i="9"/>
  <c r="H1033" i="9"/>
  <c r="O198" i="16"/>
  <c r="N198" i="16"/>
  <c r="O8" i="16"/>
  <c r="N8" i="16"/>
  <c r="N1040" i="16"/>
  <c r="O1040" i="16"/>
  <c r="P1040" i="16"/>
  <c r="T1040" i="16"/>
  <c r="N1230" i="16"/>
  <c r="O1230" i="16"/>
  <c r="P1230" i="16"/>
  <c r="T1230" i="16"/>
  <c r="N1193" i="16"/>
  <c r="O1193" i="16"/>
  <c r="P1193" i="16"/>
  <c r="T1193" i="16"/>
  <c r="N1058" i="16"/>
  <c r="O1058" i="16"/>
  <c r="P1058" i="16"/>
  <c r="T1058" i="16"/>
  <c r="N1145" i="16"/>
  <c r="O1145" i="16"/>
  <c r="P1145" i="16"/>
  <c r="T1145" i="16"/>
  <c r="T1143" i="16"/>
  <c r="N1066" i="16"/>
  <c r="O1066" i="16"/>
  <c r="P1066" i="16"/>
  <c r="T1066" i="16"/>
  <c r="N1143" i="16"/>
  <c r="O1143" i="16"/>
  <c r="P1143" i="16"/>
  <c r="H1143" i="9"/>
  <c r="I1143" i="9"/>
  <c r="N1211" i="16"/>
  <c r="O1211" i="16"/>
  <c r="P1211" i="16"/>
  <c r="T1211" i="16"/>
  <c r="N1095" i="16"/>
  <c r="O1095" i="16"/>
  <c r="P1095" i="16"/>
  <c r="T1095" i="16"/>
  <c r="O218" i="16"/>
  <c r="N218" i="16"/>
  <c r="I1164" i="9"/>
  <c r="H1164" i="9"/>
  <c r="N1172" i="16"/>
  <c r="O1172" i="16"/>
  <c r="P1172" i="16"/>
  <c r="T1172" i="16"/>
  <c r="N1129" i="16"/>
  <c r="O1129" i="16"/>
  <c r="P1129" i="16"/>
  <c r="T1129" i="16"/>
  <c r="N1177" i="16"/>
  <c r="O1177" i="16"/>
  <c r="P1177" i="16"/>
  <c r="T1177" i="16"/>
  <c r="O182" i="16"/>
  <c r="N182" i="16"/>
  <c r="I1097" i="9"/>
  <c r="H1097" i="9"/>
  <c r="N1168" i="16"/>
  <c r="O1168" i="16"/>
  <c r="P1168" i="16"/>
  <c r="H1168" i="9"/>
  <c r="I1168" i="9"/>
  <c r="N1183" i="16"/>
  <c r="O1183" i="16"/>
  <c r="P1183" i="16"/>
  <c r="H1183" i="9"/>
  <c r="I1183" i="9"/>
  <c r="N1014" i="16"/>
  <c r="O1014" i="16"/>
  <c r="P1014" i="16"/>
  <c r="T1014" i="16"/>
  <c r="N1162" i="16"/>
  <c r="O1162" i="16"/>
  <c r="P1162" i="16"/>
  <c r="T1162" i="16"/>
  <c r="T1049" i="16"/>
  <c r="T1038" i="16"/>
  <c r="O45" i="16"/>
  <c r="N45" i="16"/>
  <c r="O64" i="16"/>
  <c r="N64" i="16"/>
  <c r="N1225" i="16"/>
  <c r="O1225" i="16"/>
  <c r="P1225" i="16"/>
  <c r="T1225" i="16"/>
  <c r="N1017" i="16"/>
  <c r="O1017" i="16"/>
  <c r="P1017" i="16"/>
  <c r="T1017" i="16"/>
  <c r="N1123" i="16"/>
  <c r="O1123" i="16"/>
  <c r="P1123" i="16"/>
  <c r="T1123" i="16"/>
  <c r="N1171" i="16"/>
  <c r="O1171" i="16"/>
  <c r="P1171" i="16"/>
  <c r="H1171" i="9"/>
  <c r="I1171" i="9"/>
  <c r="O41" i="16"/>
  <c r="N41" i="16"/>
  <c r="N1156" i="16"/>
  <c r="O1156" i="16"/>
  <c r="P1156" i="16"/>
  <c r="T1156" i="16"/>
  <c r="N1217" i="16"/>
  <c r="O1217" i="16"/>
  <c r="P1217" i="16"/>
  <c r="T1217" i="16"/>
  <c r="N1223" i="16"/>
  <c r="O1223" i="16"/>
  <c r="P1223" i="16"/>
  <c r="T1223" i="16"/>
  <c r="N1083" i="16"/>
  <c r="O1083" i="16"/>
  <c r="P1083" i="16"/>
  <c r="T1083" i="16"/>
  <c r="N1080" i="16"/>
  <c r="O1080" i="16"/>
  <c r="P1080" i="16"/>
  <c r="T1080" i="16"/>
  <c r="O123" i="16"/>
  <c r="N123" i="16"/>
  <c r="N1209" i="16"/>
  <c r="O1209" i="16"/>
  <c r="P1209" i="16"/>
  <c r="T1209" i="16"/>
  <c r="N1034" i="16"/>
  <c r="O1034" i="16"/>
  <c r="P1034" i="16"/>
  <c r="T1034" i="16"/>
  <c r="N1107" i="16"/>
  <c r="O1107" i="16"/>
  <c r="P1107" i="16"/>
  <c r="T1107" i="16"/>
  <c r="N1041" i="16"/>
  <c r="O1041" i="16"/>
  <c r="P1041" i="16"/>
  <c r="H1041" i="9"/>
  <c r="I1041" i="9"/>
  <c r="N1099" i="16"/>
  <c r="O1099" i="16"/>
  <c r="P1099" i="16"/>
  <c r="H1099" i="9"/>
  <c r="I1099" i="9"/>
  <c r="N1199" i="16"/>
  <c r="O1199" i="16"/>
  <c r="P1199" i="16"/>
  <c r="T1199" i="16"/>
  <c r="O65" i="16"/>
  <c r="N65" i="16"/>
  <c r="O184" i="16"/>
  <c r="N184" i="16"/>
  <c r="N1113" i="16"/>
  <c r="O1113" i="16"/>
  <c r="P1113" i="16"/>
  <c r="T1113" i="16"/>
  <c r="N1136" i="16"/>
  <c r="O1136" i="16"/>
  <c r="P1136" i="16"/>
  <c r="T1136" i="16"/>
  <c r="N1057" i="16"/>
  <c r="O1057" i="16"/>
  <c r="P1057" i="16"/>
  <c r="T1057" i="16"/>
  <c r="O47" i="16"/>
  <c r="N47" i="16"/>
  <c r="N1069" i="16"/>
  <c r="O1069" i="16"/>
  <c r="P1069" i="16"/>
  <c r="H1069" i="9"/>
  <c r="I1069" i="9"/>
  <c r="O67" i="16"/>
  <c r="N67" i="16"/>
  <c r="O128" i="16"/>
  <c r="N128" i="16"/>
  <c r="N1061" i="16"/>
  <c r="O1061" i="16"/>
  <c r="P1061" i="16"/>
  <c r="H1061" i="9"/>
  <c r="I1061" i="9"/>
  <c r="N1109" i="16"/>
  <c r="O1109" i="16"/>
  <c r="P1109" i="16"/>
  <c r="T1109" i="16"/>
  <c r="N1013" i="16"/>
  <c r="O1013" i="16"/>
  <c r="P1013" i="16"/>
  <c r="H1013" i="9"/>
  <c r="I1013" i="9"/>
  <c r="O197" i="16"/>
  <c r="N197" i="16"/>
  <c r="O145" i="16"/>
  <c r="N145" i="16"/>
  <c r="N1052" i="16"/>
  <c r="O1052" i="16"/>
  <c r="P1052" i="16"/>
  <c r="T1052" i="16"/>
  <c r="N842" i="16"/>
  <c r="N845" i="16"/>
  <c r="N1289" i="16"/>
  <c r="N932" i="16"/>
  <c r="N977" i="16"/>
  <c r="N755" i="16"/>
  <c r="N1334" i="16"/>
  <c r="N878" i="16"/>
  <c r="N1283" i="16"/>
  <c r="N992" i="16"/>
  <c r="N701" i="16"/>
  <c r="N1004" i="16"/>
  <c r="N830" i="16"/>
  <c r="N713" i="16"/>
  <c r="N809" i="16"/>
  <c r="N935" i="16"/>
  <c r="N971" i="16"/>
  <c r="N806" i="16"/>
  <c r="N761" i="16"/>
  <c r="N1007" i="16"/>
  <c r="N848" i="16"/>
  <c r="N869" i="16"/>
  <c r="N803" i="16"/>
  <c r="N1328" i="16"/>
  <c r="N794" i="16"/>
  <c r="N698" i="16"/>
  <c r="N764" i="16"/>
  <c r="N902" i="16"/>
  <c r="N1253" i="16"/>
  <c r="N770" i="16"/>
  <c r="N692" i="16"/>
  <c r="N1256" i="16"/>
  <c r="N881" i="16"/>
  <c r="N896" i="16"/>
  <c r="N950" i="16"/>
  <c r="N833" i="16"/>
  <c r="N1337" i="16"/>
  <c r="N1292" i="16"/>
  <c r="N917" i="16"/>
  <c r="N680" i="16"/>
  <c r="N767" i="16"/>
  <c r="N779" i="16"/>
  <c r="N1316" i="16"/>
  <c r="N1280" i="16"/>
  <c r="N818" i="16"/>
  <c r="N788" i="16"/>
  <c r="N941" i="16"/>
  <c r="N1343" i="16"/>
  <c r="N740" i="16"/>
  <c r="N953" i="16"/>
  <c r="N1319" i="16"/>
  <c r="N962" i="16"/>
  <c r="N737" i="16"/>
  <c r="N1313" i="16"/>
  <c r="N1274" i="16"/>
  <c r="N728" i="16"/>
  <c r="N923" i="16"/>
  <c r="N998" i="16"/>
  <c r="N854" i="16"/>
  <c r="N914" i="16"/>
  <c r="N956" i="16"/>
  <c r="N707" i="16"/>
  <c r="N1301" i="16"/>
  <c r="N1340" i="16"/>
  <c r="N851" i="16"/>
  <c r="N1247" i="16"/>
  <c r="N983" i="16"/>
  <c r="N860" i="16"/>
  <c r="N989" i="16"/>
  <c r="N746" i="16"/>
  <c r="N929" i="16"/>
  <c r="N986" i="16"/>
  <c r="N686" i="16"/>
  <c r="N710" i="16"/>
  <c r="N968" i="16"/>
  <c r="N1001" i="16"/>
  <c r="N1322" i="16"/>
  <c r="N800" i="16"/>
  <c r="N677" i="16"/>
  <c r="N1298" i="16"/>
  <c r="N749" i="16"/>
  <c r="N758" i="16"/>
  <c r="N947" i="16"/>
  <c r="N1271" i="16"/>
  <c r="N1346" i="16"/>
  <c r="N857" i="16"/>
  <c r="N824" i="16"/>
  <c r="N1265" i="16"/>
  <c r="N797" i="16"/>
  <c r="N785" i="16"/>
  <c r="N752" i="16"/>
  <c r="N944" i="16"/>
  <c r="N782" i="16"/>
  <c r="N911" i="16"/>
  <c r="N875" i="16"/>
  <c r="N812" i="16"/>
  <c r="N965" i="16"/>
  <c r="N1268" i="16"/>
  <c r="N1286" i="16"/>
  <c r="N1325" i="16"/>
  <c r="N1307" i="16"/>
  <c r="N1010" i="16"/>
  <c r="N1310" i="16"/>
  <c r="N884" i="16"/>
  <c r="N959" i="16"/>
  <c r="N821" i="16"/>
  <c r="N863" i="16"/>
  <c r="N1262" i="16"/>
  <c r="N1244" i="16"/>
  <c r="N1304" i="16"/>
  <c r="N1295" i="16"/>
  <c r="N890" i="16"/>
  <c r="N791" i="16"/>
  <c r="N689" i="16"/>
  <c r="N815" i="16"/>
  <c r="N920" i="16"/>
  <c r="N938" i="16"/>
  <c r="N827" i="16"/>
  <c r="N725" i="16"/>
  <c r="N731" i="16"/>
  <c r="N836" i="16"/>
  <c r="N887" i="16"/>
  <c r="N734" i="16"/>
  <c r="N893" i="16"/>
  <c r="N776" i="16"/>
  <c r="N899" i="16"/>
  <c r="N1250" i="16"/>
  <c r="N704" i="16"/>
  <c r="N1331" i="16"/>
  <c r="N722" i="16"/>
  <c r="N872" i="16"/>
  <c r="N743" i="16"/>
  <c r="N905" i="16"/>
  <c r="N866" i="16"/>
  <c r="N974" i="16"/>
  <c r="N773" i="16"/>
  <c r="N926" i="16"/>
  <c r="N683" i="16"/>
  <c r="N716" i="16"/>
  <c r="N1277" i="16"/>
  <c r="N908" i="16"/>
  <c r="N719" i="16"/>
  <c r="N980" i="16"/>
  <c r="N695" i="16"/>
  <c r="N839" i="16"/>
  <c r="N1259" i="16"/>
  <c r="N995" i="16"/>
  <c r="N1210" i="16"/>
  <c r="O1210" i="16"/>
  <c r="P1210" i="16"/>
  <c r="T1210" i="16"/>
  <c r="O174" i="16"/>
  <c r="N174" i="16"/>
  <c r="N1120" i="16"/>
  <c r="O1120" i="16"/>
  <c r="P1120" i="16"/>
  <c r="T1120" i="16"/>
  <c r="N1218" i="16"/>
  <c r="O1218" i="16"/>
  <c r="P1218" i="16"/>
  <c r="T1218" i="16"/>
  <c r="N1062" i="16"/>
  <c r="O1062" i="16"/>
  <c r="P1062" i="16"/>
  <c r="T1062" i="16"/>
  <c r="H1039" i="9"/>
  <c r="I1039" i="9"/>
  <c r="N1089" i="16"/>
  <c r="O1089" i="16"/>
  <c r="P1089" i="16"/>
  <c r="T1089" i="16"/>
  <c r="T1191" i="16"/>
  <c r="O76" i="16"/>
  <c r="N76" i="16"/>
  <c r="H1012" i="9"/>
  <c r="I1012" i="9"/>
  <c r="N1112" i="16"/>
  <c r="O1112" i="16"/>
  <c r="P1112" i="16"/>
  <c r="H1112" i="9"/>
  <c r="I1112" i="9"/>
  <c r="N1038" i="16"/>
  <c r="O1038" i="16"/>
  <c r="P1038" i="16"/>
  <c r="H1038" i="9"/>
  <c r="I1038" i="9"/>
  <c r="N1203" i="16"/>
  <c r="O1203" i="16"/>
  <c r="P1203" i="16"/>
  <c r="H1203" i="9"/>
  <c r="I1203" i="9"/>
  <c r="N1065" i="16"/>
  <c r="O1065" i="16"/>
  <c r="P1065" i="16"/>
  <c r="T1065" i="16"/>
  <c r="N1195" i="16"/>
  <c r="O1195" i="16"/>
  <c r="P1195" i="16"/>
  <c r="T1195" i="16"/>
  <c r="T1103" i="16"/>
  <c r="O115" i="16"/>
  <c r="N115" i="16"/>
  <c r="T1043" i="16"/>
  <c r="O223" i="16"/>
  <c r="N223" i="16"/>
  <c r="N1093" i="16"/>
  <c r="O1093" i="16"/>
  <c r="P1093" i="16"/>
  <c r="H1093" i="9"/>
  <c r="I1093" i="9"/>
  <c r="T1241" i="16"/>
  <c r="T1216" i="16"/>
  <c r="T1119" i="16"/>
  <c r="O77" i="16"/>
  <c r="N77" i="16"/>
  <c r="O13" i="16"/>
  <c r="N13" i="16"/>
  <c r="O100" i="16"/>
  <c r="N100" i="16"/>
  <c r="I1053" i="9"/>
  <c r="H1053" i="9"/>
  <c r="N1159" i="16"/>
  <c r="O1159" i="16"/>
  <c r="P1159" i="16"/>
  <c r="H1159" i="9"/>
  <c r="I1159" i="9"/>
  <c r="N1160" i="16"/>
  <c r="O1160" i="16"/>
  <c r="P1160" i="16"/>
  <c r="H1160" i="9"/>
  <c r="I1160" i="9"/>
  <c r="N1049" i="16"/>
  <c r="O1049" i="16"/>
  <c r="P1049" i="16"/>
  <c r="H1049" i="9"/>
  <c r="I1049" i="9"/>
  <c r="O93" i="16"/>
  <c r="N93" i="16"/>
  <c r="T1141" i="16"/>
  <c r="N1191" i="16"/>
  <c r="O1191" i="16"/>
  <c r="P1191" i="16"/>
  <c r="H1191" i="9"/>
  <c r="I1191" i="9"/>
  <c r="O83" i="16"/>
  <c r="N83" i="16"/>
  <c r="O171" i="16"/>
  <c r="N171" i="16"/>
  <c r="N1054" i="16"/>
  <c r="O1054" i="16"/>
  <c r="P1054" i="16"/>
  <c r="H1054" i="9"/>
  <c r="I1054" i="9"/>
  <c r="O153" i="16"/>
  <c r="N153" i="16"/>
  <c r="O138" i="16"/>
  <c r="N138" i="16"/>
  <c r="O208" i="16"/>
  <c r="N208" i="16"/>
  <c r="N1221" i="16"/>
  <c r="O1221" i="16"/>
  <c r="P1221" i="16"/>
  <c r="H1221" i="9"/>
  <c r="I1221" i="9"/>
  <c r="N1055" i="16"/>
  <c r="O1055" i="16"/>
  <c r="P1055" i="16"/>
  <c r="T1055" i="16"/>
  <c r="N1101" i="16"/>
  <c r="O1101" i="16"/>
  <c r="P1101" i="16"/>
  <c r="T1101" i="16"/>
  <c r="T1037" i="16"/>
  <c r="T1215" i="16"/>
  <c r="T1161" i="16"/>
  <c r="N1103" i="16"/>
  <c r="O1103" i="16"/>
  <c r="P1103" i="16"/>
  <c r="H1103" i="9"/>
  <c r="I1103" i="9"/>
  <c r="N1043" i="16"/>
  <c r="O1043" i="16"/>
  <c r="P1043" i="16"/>
  <c r="H1043" i="9"/>
  <c r="I1043" i="9"/>
  <c r="T1023" i="16"/>
  <c r="N1241" i="16"/>
  <c r="O1241" i="16"/>
  <c r="P1241" i="16"/>
  <c r="H1241" i="9"/>
  <c r="I1241" i="9"/>
  <c r="O175" i="16"/>
  <c r="N175" i="16"/>
  <c r="N1216" i="16"/>
  <c r="O1216" i="16"/>
  <c r="P1216" i="16"/>
  <c r="H1216" i="9"/>
  <c r="I1216" i="9"/>
  <c r="N1119" i="16"/>
  <c r="O1119" i="16"/>
  <c r="P1119" i="16"/>
  <c r="H1119" i="9"/>
  <c r="I1119" i="9"/>
  <c r="N1215" i="16"/>
  <c r="O1215" i="16"/>
  <c r="P1215" i="16"/>
  <c r="H1215" i="9"/>
  <c r="I1215" i="9"/>
  <c r="T1201" i="16"/>
  <c r="O99" i="16"/>
  <c r="N99" i="16"/>
  <c r="T1180" i="16"/>
  <c r="T1192" i="16"/>
  <c r="O91" i="16"/>
  <c r="N91" i="16"/>
  <c r="O179" i="16"/>
  <c r="N179" i="16"/>
  <c r="O160" i="16"/>
  <c r="N160" i="16"/>
  <c r="N1053" i="16"/>
  <c r="O1053" i="16"/>
  <c r="P1053" i="16"/>
  <c r="T1053" i="16"/>
  <c r="O172" i="16"/>
  <c r="N172" i="16"/>
  <c r="O134" i="16"/>
  <c r="N134" i="16"/>
  <c r="T1155" i="16"/>
  <c r="N1027" i="16"/>
  <c r="O1027" i="16"/>
  <c r="P1027" i="16"/>
  <c r="T1027" i="16"/>
  <c r="H38" i="13"/>
  <c r="N1141" i="16"/>
  <c r="O1141" i="16"/>
  <c r="P1141" i="16"/>
  <c r="H1141" i="9"/>
  <c r="I1141" i="9"/>
  <c r="T1147" i="16"/>
  <c r="T1100" i="16"/>
  <c r="H1018" i="9"/>
  <c r="I1018" i="9"/>
  <c r="N1192" i="16"/>
  <c r="O1192" i="16"/>
  <c r="P1192" i="16"/>
  <c r="H1192" i="9"/>
  <c r="I1192" i="9"/>
  <c r="I1116" i="9"/>
  <c r="H1116" i="9"/>
  <c r="H1021" i="9"/>
  <c r="I1021" i="9"/>
  <c r="O211" i="16"/>
  <c r="N211" i="16"/>
  <c r="T1044" i="16"/>
  <c r="O26" i="16"/>
  <c r="N26" i="16"/>
  <c r="O102" i="16"/>
  <c r="N102" i="16"/>
  <c r="N1025" i="16"/>
  <c r="O1025" i="16"/>
  <c r="P1025" i="16"/>
  <c r="T1025" i="16"/>
  <c r="N1042" i="16"/>
  <c r="O1042" i="16"/>
  <c r="P1042" i="16"/>
  <c r="T1042" i="16"/>
  <c r="H43" i="13"/>
  <c r="N1037" i="16"/>
  <c r="O1037" i="16"/>
  <c r="P1037" i="16"/>
  <c r="H1037" i="9"/>
  <c r="I1037" i="9"/>
  <c r="O120" i="16"/>
  <c r="N120" i="16"/>
  <c r="N1161" i="16"/>
  <c r="O1161" i="16"/>
  <c r="P1161" i="16"/>
  <c r="H1161" i="9"/>
  <c r="I1161" i="9"/>
  <c r="N1164" i="16"/>
  <c r="O1164" i="16"/>
  <c r="P1164" i="16"/>
  <c r="T1164" i="16"/>
  <c r="O162" i="16"/>
  <c r="N162" i="16"/>
  <c r="N1087" i="16"/>
  <c r="O1087" i="16"/>
  <c r="P1087" i="16"/>
  <c r="T1087" i="16"/>
  <c r="O194" i="16"/>
  <c r="N194" i="16"/>
  <c r="N1015" i="16"/>
  <c r="O1015" i="16"/>
  <c r="P1015" i="16"/>
  <c r="T1015" i="16"/>
  <c r="H34" i="13"/>
  <c r="N1023" i="16"/>
  <c r="O1023" i="16"/>
  <c r="P1023" i="16"/>
  <c r="H1023" i="9"/>
  <c r="I1023" i="9"/>
  <c r="O111" i="16"/>
  <c r="N111" i="16"/>
  <c r="O42" i="16"/>
  <c r="N42" i="16"/>
  <c r="N1033" i="16"/>
  <c r="O1033" i="16"/>
  <c r="P1033" i="16"/>
  <c r="T1033" i="16"/>
  <c r="H40" i="13"/>
  <c r="N1097" i="16"/>
  <c r="O1097" i="16"/>
  <c r="P1097" i="16"/>
  <c r="T1097" i="16"/>
  <c r="N1031" i="16"/>
  <c r="O1031" i="16"/>
  <c r="P1031" i="16"/>
  <c r="T1031" i="16"/>
  <c r="O189" i="16"/>
  <c r="N189" i="16"/>
  <c r="N1201" i="16"/>
  <c r="O1201" i="16"/>
  <c r="P1201" i="16"/>
  <c r="H1201" i="9"/>
  <c r="I1201" i="9"/>
  <c r="N1022" i="16"/>
  <c r="O1022" i="16"/>
  <c r="P1022" i="16"/>
  <c r="T1022" i="16"/>
  <c r="N1026" i="16"/>
  <c r="O1026" i="16"/>
  <c r="P1026" i="16"/>
  <c r="T1026" i="16"/>
  <c r="N676" i="16"/>
  <c r="N964" i="16"/>
  <c r="N1324" i="16"/>
  <c r="N868" i="16"/>
  <c r="N946" i="16"/>
  <c r="N919" i="16"/>
  <c r="N862" i="16"/>
  <c r="N856" i="16"/>
  <c r="N1315" i="16"/>
  <c r="N922" i="16"/>
  <c r="N874" i="16"/>
  <c r="N976" i="16"/>
  <c r="N688" i="16"/>
  <c r="N970" i="16"/>
  <c r="N943" i="16"/>
  <c r="N787" i="16"/>
  <c r="N1261" i="16"/>
  <c r="N709" i="16"/>
  <c r="N1267" i="16"/>
  <c r="N1000" i="16"/>
  <c r="N1336" i="16"/>
  <c r="N1264" i="16"/>
  <c r="N793" i="16"/>
  <c r="N859" i="16"/>
  <c r="N934" i="16"/>
  <c r="N784" i="16"/>
  <c r="N817" i="16"/>
  <c r="N910" i="16"/>
  <c r="N790" i="16"/>
  <c r="N796" i="16"/>
  <c r="N838" i="16"/>
  <c r="N907" i="16"/>
  <c r="N913" i="16"/>
  <c r="N718" i="16"/>
  <c r="N1270" i="16"/>
  <c r="N799" i="16"/>
  <c r="N763" i="16"/>
  <c r="N886" i="16"/>
  <c r="N757" i="16"/>
  <c r="N1297" i="16"/>
  <c r="N1303" i="16"/>
  <c r="N808" i="16"/>
  <c r="N754" i="16"/>
  <c r="N1273" i="16"/>
  <c r="N925" i="16"/>
  <c r="N1249" i="16"/>
  <c r="N883" i="16"/>
  <c r="N769" i="16"/>
  <c r="N1309" i="16"/>
  <c r="N982" i="16"/>
  <c r="N1003" i="16"/>
  <c r="N997" i="16"/>
  <c r="N679" i="16"/>
  <c r="N835" i="16"/>
  <c r="N1258" i="16"/>
  <c r="N973" i="16"/>
  <c r="N937" i="16"/>
  <c r="N961" i="16"/>
  <c r="N1327" i="16"/>
  <c r="N1333" i="16"/>
  <c r="N985" i="16"/>
  <c r="N682" i="16"/>
  <c r="N712" i="16"/>
  <c r="N1252" i="16"/>
  <c r="N706" i="16"/>
  <c r="N1282" i="16"/>
  <c r="N880" i="16"/>
  <c r="N979" i="16"/>
  <c r="N1243" i="16"/>
  <c r="N1321" i="16"/>
  <c r="N988" i="16"/>
  <c r="N892" i="16"/>
  <c r="N802" i="16"/>
  <c r="N778" i="16"/>
  <c r="N721" i="16"/>
  <c r="N748" i="16"/>
  <c r="N1330" i="16"/>
  <c r="N766" i="16"/>
  <c r="N736" i="16"/>
  <c r="N775" i="16"/>
  <c r="N1318" i="16"/>
  <c r="N841" i="16"/>
  <c r="N739" i="16"/>
  <c r="N991" i="16"/>
  <c r="N901" i="16"/>
  <c r="N1300" i="16"/>
  <c r="N1342" i="16"/>
  <c r="N1276" i="16"/>
  <c r="N1339" i="16"/>
  <c r="N820" i="16"/>
  <c r="N865" i="16"/>
  <c r="N895" i="16"/>
  <c r="N730" i="16"/>
  <c r="N1006" i="16"/>
  <c r="N847" i="16"/>
  <c r="N1246" i="16"/>
  <c r="N694" i="16"/>
  <c r="N1312" i="16"/>
  <c r="N832" i="16"/>
  <c r="N703" i="16"/>
  <c r="N1009" i="16"/>
  <c r="N1279" i="16"/>
  <c r="N889" i="16"/>
  <c r="N700" i="16"/>
  <c r="N994" i="16"/>
  <c r="N697" i="16"/>
  <c r="N760" i="16"/>
  <c r="N967" i="16"/>
  <c r="N805" i="16"/>
  <c r="N1288" i="16"/>
  <c r="N949" i="16"/>
  <c r="N733" i="16"/>
  <c r="N853" i="16"/>
  <c r="N742" i="16"/>
  <c r="N955" i="16"/>
  <c r="N772" i="16"/>
  <c r="N1285" i="16"/>
  <c r="N829" i="16"/>
  <c r="N1255" i="16"/>
  <c r="N1306" i="16"/>
  <c r="N814" i="16"/>
  <c r="N958" i="16"/>
  <c r="N877" i="16"/>
  <c r="N940" i="16"/>
  <c r="N844" i="16"/>
  <c r="N745" i="16"/>
  <c r="N1345" i="16"/>
  <c r="N826" i="16"/>
  <c r="N823" i="16"/>
  <c r="N928" i="16"/>
  <c r="N871" i="16"/>
  <c r="N898" i="16"/>
  <c r="N715" i="16"/>
  <c r="N1291" i="16"/>
  <c r="N916" i="16"/>
  <c r="N751" i="16"/>
  <c r="N724" i="16"/>
  <c r="N904" i="16"/>
  <c r="N931" i="16"/>
  <c r="N1294" i="16"/>
  <c r="N850" i="16"/>
  <c r="N781" i="16"/>
  <c r="N811" i="16"/>
  <c r="N691" i="16"/>
  <c r="N685" i="16"/>
  <c r="N952" i="16"/>
  <c r="N727" i="16"/>
  <c r="N1180" i="16"/>
  <c r="O1180" i="16"/>
  <c r="P1180" i="16"/>
  <c r="H1180" i="9"/>
  <c r="I1180" i="9"/>
  <c r="N1018" i="16"/>
  <c r="O1018" i="16"/>
  <c r="P1018" i="16"/>
  <c r="T1018" i="16"/>
  <c r="H35" i="13"/>
  <c r="N1116" i="16"/>
  <c r="O1116" i="16"/>
  <c r="P1116" i="16"/>
  <c r="T1116" i="16"/>
  <c r="N1051" i="16"/>
  <c r="O1051" i="16"/>
  <c r="P1051" i="16"/>
  <c r="T1051" i="16"/>
  <c r="H46" i="13"/>
  <c r="N1173" i="16"/>
  <c r="O1173" i="16"/>
  <c r="P1173" i="16"/>
  <c r="T1173" i="16"/>
  <c r="N1155" i="16"/>
  <c r="O1155" i="16"/>
  <c r="P1155" i="16"/>
  <c r="H1155" i="9"/>
  <c r="I1155" i="9"/>
  <c r="N1039" i="16"/>
  <c r="O1039" i="16"/>
  <c r="P1039" i="16"/>
  <c r="T1039" i="16"/>
  <c r="H42" i="13"/>
  <c r="O213" i="16"/>
  <c r="N213" i="16"/>
  <c r="N1030" i="16"/>
  <c r="O1030" i="16"/>
  <c r="P1030" i="16"/>
  <c r="T1030" i="16"/>
  <c r="H39" i="13"/>
  <c r="O22" i="16"/>
  <c r="N22" i="16"/>
  <c r="N1105" i="16"/>
  <c r="O1105" i="16"/>
  <c r="P1105" i="16"/>
  <c r="T1105" i="16"/>
  <c r="N1048" i="16"/>
  <c r="O1048" i="16"/>
  <c r="P1048" i="16"/>
  <c r="T1048" i="16"/>
  <c r="H45" i="13"/>
  <c r="N1072" i="16"/>
  <c r="O1072" i="16"/>
  <c r="P1072" i="16"/>
  <c r="T1072" i="16"/>
  <c r="N1147" i="16"/>
  <c r="O1147" i="16"/>
  <c r="P1147" i="16"/>
  <c r="H1147" i="9"/>
  <c r="I1147" i="9"/>
  <c r="N1036" i="16"/>
  <c r="O1036" i="16"/>
  <c r="P1036" i="16"/>
  <c r="T1036" i="16"/>
  <c r="H41" i="13"/>
  <c r="N1100" i="16"/>
  <c r="O1100" i="16"/>
  <c r="P1100" i="16"/>
  <c r="H1100" i="9"/>
  <c r="I1100" i="9"/>
  <c r="O31" i="16"/>
  <c r="N31" i="16"/>
  <c r="O17" i="16"/>
  <c r="N17" i="16"/>
  <c r="N416" i="16"/>
  <c r="N607" i="16"/>
  <c r="N563" i="16"/>
  <c r="N282" i="16"/>
  <c r="N659" i="16"/>
  <c r="N630" i="16"/>
  <c r="N588" i="16"/>
  <c r="N532" i="16"/>
  <c r="N1311" i="16"/>
  <c r="N645" i="16"/>
  <c r="N729" i="16"/>
  <c r="N813" i="16"/>
  <c r="N499" i="16"/>
  <c r="N445" i="16"/>
  <c r="N261" i="16"/>
  <c r="N587" i="16"/>
  <c r="N341" i="16"/>
  <c r="N759" i="16"/>
  <c r="N361" i="16"/>
  <c r="N342" i="16"/>
  <c r="N617" i="16"/>
  <c r="N383" i="16"/>
  <c r="N291" i="16"/>
  <c r="N461" i="16"/>
  <c r="N330" i="16"/>
  <c r="N268" i="16"/>
  <c r="N343" i="16"/>
  <c r="N411" i="16"/>
  <c r="N633" i="16"/>
  <c r="N304" i="16"/>
  <c r="N377" i="16"/>
  <c r="N580" i="16"/>
  <c r="N602" i="16"/>
  <c r="N664" i="16"/>
  <c r="N350" i="16"/>
  <c r="N561" i="16"/>
  <c r="N460" i="16"/>
  <c r="N508" i="16"/>
  <c r="N391" i="16"/>
  <c r="N1275" i="16"/>
  <c r="N322" i="16"/>
  <c r="N960" i="16"/>
  <c r="N510" i="16"/>
  <c r="N558" i="16"/>
  <c r="N314" i="16"/>
  <c r="N412" i="16"/>
  <c r="N472" i="16"/>
  <c r="N506" i="16"/>
  <c r="N609" i="16"/>
  <c r="N708" i="16"/>
  <c r="N525" i="16"/>
  <c r="N550" i="16"/>
  <c r="N1305" i="16"/>
  <c r="N286" i="16"/>
  <c r="N999" i="16"/>
  <c r="N1002" i="16"/>
  <c r="N646" i="16"/>
  <c r="N235" i="16"/>
  <c r="N247" i="16"/>
  <c r="N312" i="16"/>
  <c r="N768" i="16"/>
  <c r="N551" i="16"/>
  <c r="N804" i="16"/>
  <c r="N539" i="16"/>
  <c r="N494" i="16"/>
  <c r="N649" i="16"/>
  <c r="N1278" i="16"/>
  <c r="N553" i="16"/>
  <c r="N258" i="16"/>
  <c r="N336" i="16"/>
  <c r="N822" i="16"/>
  <c r="N577" i="16"/>
  <c r="N420" i="16"/>
  <c r="N447" i="16"/>
  <c r="N257" i="16"/>
  <c r="N358" i="16"/>
  <c r="N522" i="16"/>
  <c r="N433" i="16"/>
  <c r="N477" i="16"/>
  <c r="N521" i="16"/>
  <c r="N828" i="16"/>
  <c r="N1329" i="16"/>
  <c r="N276" i="16"/>
  <c r="N318" i="16"/>
  <c r="N1245" i="16"/>
  <c r="N690" i="16"/>
  <c r="N636" i="16"/>
  <c r="N392" i="16"/>
  <c r="N810" i="16"/>
  <c r="N678" i="16"/>
  <c r="N594" i="16"/>
  <c r="N1314" i="16"/>
  <c r="N320" i="16"/>
  <c r="N401" i="16"/>
  <c r="N581" i="16"/>
  <c r="N921" i="16"/>
  <c r="N316" i="16"/>
  <c r="N482" i="16"/>
  <c r="N368" i="16"/>
  <c r="N402" i="16"/>
  <c r="N335" i="16"/>
  <c r="N765" i="16"/>
  <c r="N536" i="16"/>
  <c r="N485" i="16"/>
  <c r="N285" i="16"/>
  <c r="N1005" i="16"/>
  <c r="N1011" i="16"/>
  <c r="N332" i="16"/>
  <c r="N492" i="16"/>
  <c r="N557" i="16"/>
  <c r="N891" i="16"/>
  <c r="N279" i="16"/>
  <c r="N408" i="16"/>
  <c r="N293" i="16"/>
  <c r="N324" i="16"/>
  <c r="N903" i="16"/>
  <c r="N665" i="16"/>
  <c r="N511" i="16"/>
  <c r="N489" i="16"/>
  <c r="N614" i="16"/>
  <c r="N735" i="16"/>
  <c r="N1323" i="16"/>
  <c r="N399" i="16"/>
  <c r="N560" i="16"/>
  <c r="N1335" i="16"/>
  <c r="N533" i="16"/>
  <c r="N527" i="16"/>
  <c r="N632" i="16"/>
  <c r="N375" i="16"/>
  <c r="N283" i="16"/>
  <c r="N459" i="16"/>
  <c r="N1248" i="16"/>
  <c r="N548" i="16"/>
  <c r="N448" i="16"/>
  <c r="N1293" i="16"/>
  <c r="N582" i="16"/>
  <c r="N346" i="16"/>
  <c r="N297" i="16"/>
  <c r="N515" i="16"/>
  <c r="N415" i="16"/>
  <c r="N254" i="16"/>
  <c r="N540" i="16"/>
  <c r="N288" i="16"/>
  <c r="N647" i="16"/>
  <c r="N634" i="16"/>
  <c r="N302" i="16"/>
  <c r="N789" i="16"/>
  <c r="N906" i="16"/>
  <c r="N260" i="16"/>
  <c r="N443" i="16"/>
  <c r="N849" i="16"/>
  <c r="N1317" i="16"/>
  <c r="N798" i="16"/>
  <c r="N248" i="16"/>
  <c r="N807" i="16"/>
  <c r="N948" i="16"/>
  <c r="N538" i="16"/>
  <c r="N373" i="16"/>
  <c r="N504" i="16"/>
  <c r="N387" i="16"/>
  <c r="N449" i="16"/>
  <c r="N517" i="16"/>
  <c r="N753" i="16"/>
  <c r="N396" i="16"/>
  <c r="N858" i="16"/>
  <c r="N266" i="16"/>
  <c r="N547" i="16"/>
  <c r="N441" i="16"/>
  <c r="N623" i="16"/>
  <c r="N1260" i="16"/>
  <c r="N933" i="16"/>
  <c r="N301" i="16"/>
  <c r="N509" i="16"/>
  <c r="N888" i="16"/>
  <c r="N635" i="16"/>
  <c r="N359" i="16"/>
  <c r="N783" i="16"/>
  <c r="N470" i="16"/>
  <c r="N549" i="16"/>
  <c r="N1320" i="16"/>
  <c r="N741" i="16"/>
  <c r="N918" i="16"/>
  <c r="N592" i="16"/>
  <c r="N641" i="16"/>
  <c r="N723" i="16"/>
  <c r="N308" i="16"/>
  <c r="N292" i="16"/>
  <c r="N462" i="16"/>
  <c r="N658" i="16"/>
  <c r="N627" i="16"/>
  <c r="N242" i="16"/>
  <c r="N502" i="16"/>
  <c r="N546" i="16"/>
  <c r="N969" i="16"/>
  <c r="N600" i="16"/>
  <c r="N442" i="16"/>
  <c r="N294" i="16"/>
  <c r="N750" i="16"/>
  <c r="N344" i="16"/>
  <c r="N491" i="16"/>
  <c r="N495" i="16"/>
  <c r="N543" i="16"/>
  <c r="N1347" i="16"/>
  <c r="N840" i="16"/>
  <c r="N927" i="16"/>
  <c r="N514" i="16"/>
  <c r="N409" i="16"/>
  <c r="N439" i="16"/>
  <c r="N249" i="16"/>
  <c r="N284" i="16"/>
  <c r="N819" i="16"/>
  <c r="N334" i="16"/>
  <c r="N263" i="16"/>
  <c r="N1326" i="16"/>
  <c r="N354" i="16"/>
  <c r="N385" i="16"/>
  <c r="N909" i="16"/>
  <c r="N597" i="16"/>
  <c r="N606" i="16"/>
  <c r="N333" i="16"/>
  <c r="N290" i="16"/>
  <c r="N349" i="16"/>
  <c r="N241" i="16"/>
  <c r="N652" i="16"/>
  <c r="N371" i="16"/>
  <c r="N720" i="16"/>
  <c r="N882" i="16"/>
  <c r="N541" i="16"/>
  <c r="N951" i="16"/>
  <c r="N397" i="16"/>
  <c r="N867" i="16"/>
  <c r="N484" i="16"/>
  <c r="N240" i="16"/>
  <c r="N1296" i="16"/>
  <c r="N669" i="16"/>
  <c r="N366" i="16"/>
  <c r="N467" i="16"/>
  <c r="N642" i="16"/>
  <c r="N915" i="16"/>
  <c r="N654" i="16"/>
  <c r="N608" i="16"/>
  <c r="N394" i="16"/>
  <c r="N576" i="16"/>
  <c r="N667" i="16"/>
  <c r="N870" i="16"/>
  <c r="N280" i="16"/>
  <c r="N493" i="16"/>
  <c r="N876" i="16"/>
  <c r="N1299" i="16"/>
  <c r="N379" i="16"/>
  <c r="N897" i="16"/>
  <c r="N966" i="16"/>
  <c r="N663" i="16"/>
  <c r="N684" i="16"/>
  <c r="N930" i="16"/>
  <c r="N621" i="16"/>
  <c r="N593" i="16"/>
  <c r="N386" i="16"/>
  <c r="N367" i="16"/>
  <c r="N631" i="16"/>
  <c r="N648" i="16"/>
  <c r="N305" i="16"/>
  <c r="N389" i="16"/>
  <c r="N400" i="16"/>
  <c r="N429" i="16"/>
  <c r="N535" i="16"/>
  <c r="N626" i="16"/>
  <c r="N660" i="16"/>
  <c r="N418" i="16"/>
  <c r="N570" i="16"/>
  <c r="N423" i="16"/>
  <c r="N273" i="16"/>
  <c r="N512" i="16"/>
  <c r="N1338" i="16"/>
  <c r="N702" i="16"/>
  <c r="N873" i="16"/>
  <c r="N357" i="16"/>
  <c r="N624" i="16"/>
  <c r="N440" i="16"/>
  <c r="N434" i="16"/>
  <c r="N505" i="16"/>
  <c r="N717" i="16"/>
  <c r="N269" i="16"/>
  <c r="N338" i="16"/>
  <c r="N629" i="16"/>
  <c r="N611" i="16"/>
  <c r="N590" i="16"/>
  <c r="N662" i="16"/>
  <c r="N578" i="16"/>
  <c r="N388" i="16"/>
  <c r="N668" i="16"/>
  <c r="N528" i="16"/>
  <c r="N579" i="16"/>
  <c r="N780" i="16"/>
  <c r="N518" i="16"/>
  <c r="N310" i="16"/>
  <c r="N598" i="16"/>
  <c r="N262" i="16"/>
  <c r="N651" i="16"/>
  <c r="N473" i="16"/>
  <c r="N555" i="16"/>
  <c r="N786" i="16"/>
  <c r="N622" i="16"/>
  <c r="N1257" i="16"/>
  <c r="N450" i="16"/>
  <c r="N345" i="16"/>
  <c r="N595" i="16"/>
  <c r="N465" i="16"/>
  <c r="N990" i="16"/>
  <c r="N256" i="16"/>
  <c r="N762" i="16"/>
  <c r="N395" i="16"/>
  <c r="N393" i="16"/>
  <c r="N446" i="16"/>
  <c r="N655" i="16"/>
  <c r="N534" i="16"/>
  <c r="N437" i="16"/>
  <c r="N238" i="16"/>
  <c r="N552" i="16"/>
  <c r="N975" i="16"/>
  <c r="N455" i="16"/>
  <c r="N360" i="16"/>
  <c r="N265" i="16"/>
  <c r="N315" i="16"/>
  <c r="N426" i="16"/>
  <c r="N586" i="16"/>
  <c r="N376" i="16"/>
  <c r="N1284" i="16"/>
  <c r="N501" i="16"/>
  <c r="N454" i="16"/>
  <c r="N255" i="16"/>
  <c r="N281" i="16"/>
  <c r="N236" i="16"/>
  <c r="N656" i="16"/>
  <c r="N250" i="16"/>
  <c r="N894" i="16"/>
  <c r="N424" i="16"/>
  <c r="N480" i="16"/>
  <c r="N287" i="16"/>
  <c r="N1281" i="16"/>
  <c r="N246" i="16"/>
  <c r="N1332" i="16"/>
  <c r="N834" i="16"/>
  <c r="N670" i="16"/>
  <c r="N564" i="16"/>
  <c r="N531" i="16"/>
  <c r="N340" i="16"/>
  <c r="N337" i="16"/>
  <c r="N756" i="16"/>
  <c r="N537" i="16"/>
  <c r="N942" i="16"/>
  <c r="N714" i="16"/>
  <c r="N435" i="16"/>
  <c r="N251" i="16"/>
  <c r="N270" i="16"/>
  <c r="N589" i="16"/>
  <c r="N329" i="16"/>
  <c r="N430" i="16"/>
  <c r="N407" i="16"/>
  <c r="N428" i="16"/>
  <c r="N963" i="16"/>
  <c r="N610" i="16"/>
  <c r="N1272" i="16"/>
  <c r="N295" i="16"/>
  <c r="N275" i="16"/>
  <c r="N474" i="16"/>
  <c r="N675" i="16"/>
  <c r="N479" i="16"/>
  <c r="N852" i="16"/>
  <c r="N243" i="16"/>
  <c r="N299" i="16"/>
  <c r="N584" i="16"/>
  <c r="N405" i="16"/>
  <c r="N996" i="16"/>
  <c r="N825" i="16"/>
  <c r="N616" i="16"/>
  <c r="N309" i="16"/>
  <c r="N939" i="16"/>
  <c r="N252" i="16"/>
  <c r="N364" i="16"/>
  <c r="N681" i="16"/>
  <c r="N468" i="16"/>
  <c r="N436" i="16"/>
  <c r="N612" i="16"/>
  <c r="N644" i="16"/>
  <c r="N362" i="16"/>
  <c r="N639" i="16"/>
  <c r="N427" i="16"/>
  <c r="N481" i="16"/>
  <c r="N620" i="16"/>
  <c r="N452" i="16"/>
  <c r="N475" i="16"/>
  <c r="N413" i="16"/>
  <c r="N855" i="16"/>
  <c r="N945" i="16"/>
  <c r="N425" i="16"/>
  <c r="N523" i="16"/>
  <c r="N556" i="16"/>
  <c r="N599" i="16"/>
  <c r="N774" i="16"/>
  <c r="N1269" i="16"/>
  <c r="N414" i="16"/>
  <c r="N272" i="16"/>
  <c r="N453" i="16"/>
  <c r="N1263" i="16"/>
  <c r="N972" i="16"/>
  <c r="N615" i="16"/>
  <c r="N885" i="16"/>
  <c r="N307" i="16"/>
  <c r="N422" i="16"/>
  <c r="N520" i="16"/>
  <c r="N380" i="16"/>
  <c r="N253" i="16"/>
  <c r="N861" i="16"/>
  <c r="N864" i="16"/>
  <c r="N519" i="16"/>
  <c r="N666" i="16"/>
  <c r="N264" i="16"/>
  <c r="N661" i="16"/>
  <c r="N398" i="16"/>
  <c r="N303" i="16"/>
  <c r="N271" i="16"/>
  <c r="N726" i="16"/>
  <c r="N1266" i="16"/>
  <c r="N687" i="16"/>
  <c r="N513" i="16"/>
  <c r="N544" i="16"/>
  <c r="N497" i="16"/>
  <c r="N613" i="16"/>
  <c r="N987" i="16"/>
  <c r="N699" i="16"/>
  <c r="N278" i="16"/>
  <c r="N456" i="16"/>
  <c r="N583" i="16"/>
  <c r="N476" i="16"/>
  <c r="N574" i="16"/>
  <c r="N603" i="16"/>
  <c r="N431" i="16"/>
  <c r="N954" i="16"/>
  <c r="N628" i="16"/>
  <c r="N530" i="16"/>
  <c r="N328" i="16"/>
  <c r="N370" i="16"/>
  <c r="N274" i="16"/>
  <c r="N339" i="16"/>
  <c r="N326" i="16"/>
  <c r="N466" i="16"/>
  <c r="N575" i="16"/>
  <c r="N696" i="16"/>
  <c r="N384" i="16"/>
  <c r="N562" i="16"/>
  <c r="N487" i="16"/>
  <c r="N289" i="16"/>
  <c r="N503" i="16"/>
  <c r="N732" i="16"/>
  <c r="N601" i="16"/>
  <c r="N381" i="16"/>
  <c r="N374" i="16"/>
  <c r="N351" i="16"/>
  <c r="N653" i="16"/>
  <c r="N569" i="16"/>
  <c r="N573" i="16"/>
  <c r="N486" i="16"/>
  <c r="N469" i="16"/>
  <c r="N744" i="16"/>
  <c r="N463" i="16"/>
  <c r="N771" i="16"/>
  <c r="N605" i="16"/>
  <c r="N637" i="16"/>
  <c r="N267" i="16"/>
  <c r="N831" i="16"/>
  <c r="N451" i="16"/>
  <c r="N410" i="16"/>
  <c r="N1344" i="16"/>
  <c r="N347" i="16"/>
  <c r="N471" i="16"/>
  <c r="N353" i="16"/>
  <c r="N566" i="16"/>
  <c r="N738" i="16"/>
  <c r="N816" i="16"/>
  <c r="N643" i="16"/>
  <c r="N444" i="16"/>
  <c r="N382" i="16"/>
  <c r="N458" i="16"/>
  <c r="N239" i="16"/>
  <c r="N498" i="16"/>
  <c r="N421" i="16"/>
  <c r="N457" i="16"/>
  <c r="N300" i="16"/>
  <c r="N363" i="16"/>
  <c r="N404" i="16"/>
  <c r="N693" i="16"/>
  <c r="N313" i="16"/>
  <c r="N348" i="16"/>
  <c r="N604" i="16"/>
  <c r="N1287" i="16"/>
  <c r="N500" i="16"/>
  <c r="N572" i="16"/>
  <c r="N432" i="16"/>
  <c r="N478" i="16"/>
  <c r="N705" i="16"/>
  <c r="N673" i="16"/>
  <c r="N625" i="16"/>
  <c r="N542" i="16"/>
  <c r="N419" i="16"/>
  <c r="N325" i="16"/>
  <c r="N490" i="16"/>
  <c r="N657" i="16"/>
  <c r="N323" i="16"/>
  <c r="N674" i="16"/>
  <c r="N259" i="16"/>
  <c r="N378" i="16"/>
  <c r="N417" i="16"/>
  <c r="N585" i="16"/>
  <c r="N936" i="16"/>
  <c r="N234" i="16"/>
  <c r="N711" i="16"/>
  <c r="N327" i="16"/>
  <c r="N801" i="16"/>
  <c r="N672" i="16"/>
  <c r="N319" i="16"/>
  <c r="N1341" i="16"/>
  <c r="N406" i="16"/>
  <c r="N981" i="16"/>
  <c r="N464" i="16"/>
  <c r="N317" i="16"/>
  <c r="N846" i="16"/>
  <c r="N1302" i="16"/>
  <c r="N277" i="16"/>
  <c r="N516" i="16"/>
  <c r="N1008" i="16"/>
  <c r="N488" i="16"/>
  <c r="N296" i="16"/>
  <c r="N900" i="16"/>
  <c r="N483" i="16"/>
  <c r="N619" i="16"/>
  <c r="N671" i="16"/>
  <c r="N843" i="16"/>
  <c r="N545" i="16"/>
  <c r="N777" i="16"/>
  <c r="N879" i="16"/>
  <c r="N640" i="16"/>
  <c r="N529" i="16"/>
  <c r="N568" i="16"/>
  <c r="N245" i="16"/>
  <c r="N298" i="16"/>
  <c r="N1290" i="16"/>
  <c r="N978" i="16"/>
  <c r="N650" i="16"/>
  <c r="N638" i="16"/>
  <c r="N591" i="16"/>
  <c r="N438" i="16"/>
  <c r="N331" i="16"/>
  <c r="N912" i="16"/>
  <c r="N372" i="16"/>
  <c r="N618" i="16"/>
  <c r="N352" i="16"/>
  <c r="N507" i="16"/>
  <c r="N306" i="16"/>
  <c r="N984" i="16"/>
  <c r="N567" i="16"/>
  <c r="N403" i="16"/>
  <c r="N356" i="16"/>
  <c r="N369" i="16"/>
  <c r="N496" i="16"/>
  <c r="N321" i="16"/>
  <c r="N924" i="16"/>
  <c r="N311" i="16"/>
  <c r="N837" i="16"/>
  <c r="N1254" i="16"/>
  <c r="N244" i="16"/>
  <c r="N526" i="16"/>
  <c r="N365" i="16"/>
  <c r="N355" i="16"/>
  <c r="N957" i="16"/>
  <c r="N565" i="16"/>
  <c r="N233" i="16"/>
  <c r="N237" i="16"/>
  <c r="N596" i="16"/>
  <c r="N1251" i="16"/>
  <c r="N559" i="16"/>
  <c r="N747" i="16"/>
  <c r="N1308" i="16"/>
  <c r="N390" i="16"/>
  <c r="N792" i="16"/>
  <c r="N554" i="16"/>
  <c r="N571" i="16"/>
  <c r="N993" i="16"/>
  <c r="N795" i="16"/>
  <c r="N524" i="16"/>
  <c r="N1045" i="16"/>
  <c r="O1045" i="16"/>
  <c r="P1045" i="16"/>
  <c r="T1045" i="16"/>
  <c r="H44" i="13"/>
  <c r="N40" i="16"/>
  <c r="O40" i="16"/>
  <c r="N1024" i="16"/>
  <c r="O1024" i="16"/>
  <c r="P1024" i="16"/>
  <c r="T1024" i="16"/>
  <c r="H37" i="13"/>
  <c r="N219" i="16"/>
  <c r="O219" i="16"/>
  <c r="N1021" i="16"/>
  <c r="O1021" i="16"/>
  <c r="P1021" i="16"/>
  <c r="T1021" i="16"/>
  <c r="H36" i="13"/>
  <c r="N146" i="16"/>
  <c r="O146" i="16"/>
  <c r="N1012" i="16"/>
  <c r="O1012" i="16"/>
  <c r="P1012" i="16"/>
  <c r="T1012" i="16"/>
  <c r="H33" i="13"/>
  <c r="N1044" i="16"/>
  <c r="O1044" i="16"/>
  <c r="P1044" i="16"/>
  <c r="H1044" i="9"/>
  <c r="I1044" i="9"/>
  <c r="H47" i="13" l="1"/>
  <c r="H49" i="13" l="1"/>
  <c r="AE2" i="15" l="1"/>
  <c r="O2" i="7" s="1"/>
  <c r="T2" i="15"/>
  <c r="AD75" i="15"/>
  <c r="T75" i="15"/>
  <c r="S78" i="7"/>
  <c r="R78" i="7"/>
  <c r="AH78" i="15"/>
  <c r="AD21" i="15"/>
  <c r="T21" i="15"/>
  <c r="O43" i="7"/>
  <c r="AE43" i="15"/>
  <c r="S126" i="7"/>
  <c r="R126" i="7"/>
  <c r="AH126" i="15"/>
  <c r="O13" i="7"/>
  <c r="AE13" i="15"/>
  <c r="S49" i="7"/>
  <c r="R49" i="7"/>
  <c r="AH49" i="15"/>
  <c r="O58" i="7"/>
  <c r="AE58" i="15"/>
  <c r="S168" i="7"/>
  <c r="R168" i="7"/>
  <c r="AH168" i="15"/>
  <c r="O158" i="7"/>
  <c r="AE158" i="15"/>
  <c r="O153" i="7"/>
  <c r="AE153" i="15"/>
  <c r="AD132" i="15"/>
  <c r="T132" i="15"/>
  <c r="AD172" i="15"/>
  <c r="T172" i="15"/>
  <c r="AD35" i="15"/>
  <c r="T35" i="15"/>
  <c r="AD46" i="15"/>
  <c r="T46" i="15"/>
  <c r="AD99" i="15"/>
  <c r="T99" i="15"/>
  <c r="AD31" i="15"/>
  <c r="T31" i="15"/>
  <c r="AD98" i="15"/>
  <c r="T98" i="15"/>
  <c r="S72" i="7"/>
  <c r="R72" i="7"/>
  <c r="AH72" i="15"/>
  <c r="AD68" i="15"/>
  <c r="T68" i="15"/>
  <c r="O86" i="7"/>
  <c r="AE86" i="15"/>
  <c r="O125" i="7"/>
  <c r="AE125" i="15"/>
  <c r="S57" i="7"/>
  <c r="R57" i="7"/>
  <c r="AH57" i="15"/>
  <c r="O127" i="7"/>
  <c r="AE127" i="15"/>
  <c r="AD123" i="15"/>
  <c r="T123" i="15"/>
  <c r="O3" i="7"/>
  <c r="AE3" i="15"/>
  <c r="S142" i="7"/>
  <c r="R142" i="7"/>
  <c r="AH142" i="15"/>
  <c r="O102" i="7"/>
  <c r="AE102" i="15"/>
  <c r="AD128" i="15"/>
  <c r="T128" i="15"/>
  <c r="P159" i="7"/>
  <c r="AD36" i="15"/>
  <c r="T36" i="15"/>
  <c r="AD133" i="15"/>
  <c r="T133" i="15"/>
  <c r="O140" i="7"/>
  <c r="AE140" i="15"/>
  <c r="AD170" i="15"/>
  <c r="T170" i="15"/>
  <c r="AH79" i="15"/>
  <c r="R79" i="7"/>
  <c r="S79" i="7"/>
  <c r="AD10" i="15"/>
  <c r="T10" i="15"/>
  <c r="P73" i="7"/>
  <c r="AD138" i="15"/>
  <c r="T138" i="15"/>
  <c r="AD171" i="15"/>
  <c r="T171" i="15"/>
  <c r="S117" i="7"/>
  <c r="R117" i="7"/>
  <c r="AH117" i="15"/>
  <c r="O148" i="7"/>
  <c r="AE148" i="15"/>
  <c r="O62" i="7"/>
  <c r="AE62" i="15"/>
  <c r="AD173" i="15"/>
  <c r="T173" i="15"/>
  <c r="O87" i="7"/>
  <c r="AE87" i="15"/>
  <c r="O101" i="7"/>
  <c r="AE101" i="15"/>
  <c r="S42" i="7"/>
  <c r="R42" i="7"/>
  <c r="AH42" i="15"/>
  <c r="O28" i="7"/>
  <c r="AE28" i="15"/>
  <c r="AD163" i="15"/>
  <c r="T163" i="15"/>
  <c r="AD20" i="15"/>
  <c r="T20" i="15"/>
  <c r="S169" i="7"/>
  <c r="R169" i="7"/>
  <c r="AH169" i="15"/>
  <c r="O135" i="7"/>
  <c r="AE135" i="15"/>
  <c r="AD22" i="15"/>
  <c r="T22" i="15"/>
  <c r="O26" i="7"/>
  <c r="AE26" i="15"/>
  <c r="S86" i="7"/>
  <c r="R86" i="7"/>
  <c r="AH86" i="15"/>
  <c r="S153" i="7"/>
  <c r="R153" i="7"/>
  <c r="AH153" i="15"/>
  <c r="O41" i="7"/>
  <c r="AE41" i="15"/>
  <c r="AH28" i="15"/>
  <c r="R28" i="7"/>
  <c r="S28" i="7"/>
  <c r="O47" i="7"/>
  <c r="AE47" i="15"/>
  <c r="S109" i="7"/>
  <c r="R109" i="7"/>
  <c r="AH109" i="15"/>
  <c r="AD137" i="15"/>
  <c r="T137" i="15"/>
  <c r="S108" i="7"/>
  <c r="R108" i="7"/>
  <c r="AH108" i="15"/>
  <c r="O73" i="7"/>
  <c r="AE73" i="15"/>
  <c r="AD124" i="15"/>
  <c r="T124" i="15"/>
  <c r="O109" i="7"/>
  <c r="AE109" i="15"/>
  <c r="AD82" i="15"/>
  <c r="T82" i="15"/>
  <c r="AD166" i="15"/>
  <c r="T166" i="15"/>
  <c r="AD89" i="15"/>
  <c r="T89" i="15"/>
  <c r="S27" i="7"/>
  <c r="R27" i="7"/>
  <c r="AH27" i="15"/>
  <c r="S63" i="7"/>
  <c r="R63" i="7"/>
  <c r="AH63" i="15"/>
  <c r="O33" i="7"/>
  <c r="AE33" i="15"/>
  <c r="AH26" i="15"/>
  <c r="R26" i="7"/>
  <c r="S26" i="7"/>
  <c r="P64" i="7"/>
  <c r="AD54" i="15"/>
  <c r="T54" i="15"/>
  <c r="S4" i="7"/>
  <c r="AF169" i="15"/>
  <c r="P169" i="7"/>
  <c r="AD55" i="15"/>
  <c r="T55" i="15"/>
  <c r="AD6" i="15"/>
  <c r="T6" i="15"/>
  <c r="O34" i="7"/>
  <c r="AE34" i="15"/>
  <c r="T109" i="15"/>
  <c r="AD109" i="15"/>
  <c r="AF109" i="15"/>
  <c r="P109" i="7"/>
  <c r="S146" i="7"/>
  <c r="AD150" i="15"/>
  <c r="T150" i="15"/>
  <c r="S107" i="7"/>
  <c r="S148" i="7"/>
  <c r="R148" i="7"/>
  <c r="AH148" i="15"/>
  <c r="AD51" i="15"/>
  <c r="T51" i="15"/>
  <c r="AD156" i="15"/>
  <c r="T156" i="15"/>
  <c r="S71" i="7"/>
  <c r="R71" i="7"/>
  <c r="AH71" i="15"/>
  <c r="AD53" i="15"/>
  <c r="T53" i="15"/>
  <c r="S160" i="7"/>
  <c r="R160" i="7"/>
  <c r="AH160" i="15"/>
  <c r="O79" i="7"/>
  <c r="AE79" i="15"/>
  <c r="S41" i="7"/>
  <c r="R41" i="7"/>
  <c r="AH41" i="15"/>
  <c r="E37" i="13"/>
  <c r="I37" i="13" s="1"/>
  <c r="AD14" i="15"/>
  <c r="T14" i="15"/>
  <c r="O168" i="7"/>
  <c r="AE168" i="15"/>
  <c r="O107" i="7"/>
  <c r="AE107" i="15"/>
  <c r="AE94" i="15"/>
  <c r="O94" i="7"/>
  <c r="P88" i="7"/>
  <c r="AD24" i="15"/>
  <c r="T24" i="15"/>
  <c r="AD91" i="15"/>
  <c r="T91" i="15"/>
  <c r="AD174" i="15"/>
  <c r="T174" i="15"/>
  <c r="P135" i="7"/>
  <c r="AD39" i="15"/>
  <c r="T39" i="15"/>
  <c r="AD112" i="15"/>
  <c r="T112" i="15"/>
  <c r="S147" i="7"/>
  <c r="R147" i="7"/>
  <c r="AH147" i="15"/>
  <c r="S152" i="7"/>
  <c r="R152" i="7"/>
  <c r="AH152" i="15"/>
  <c r="AE64" i="15"/>
  <c r="O64" i="7"/>
  <c r="AH4" i="15"/>
  <c r="R4" i="7"/>
  <c r="R4" i="16"/>
  <c r="N2" i="16" s="1"/>
  <c r="T28" i="15"/>
  <c r="AD28" i="15"/>
  <c r="AF28" i="15"/>
  <c r="P28" i="7"/>
  <c r="T26" i="15"/>
  <c r="AD26" i="15"/>
  <c r="AF26" i="15"/>
  <c r="P26" i="7"/>
  <c r="AH62" i="15"/>
  <c r="R62" i="7"/>
  <c r="S62" i="7"/>
  <c r="AD161" i="15"/>
  <c r="T161" i="15"/>
  <c r="AD90" i="15"/>
  <c r="T90" i="15"/>
  <c r="AH146" i="15"/>
  <c r="R146" i="7"/>
  <c r="E44" i="13"/>
  <c r="AH56" i="15"/>
  <c r="R56" i="7"/>
  <c r="S56" i="7"/>
  <c r="AH154" i="15"/>
  <c r="R154" i="7"/>
  <c r="S154" i="7"/>
  <c r="AE48" i="15"/>
  <c r="O48" i="7"/>
  <c r="AD130" i="15"/>
  <c r="T130" i="15"/>
  <c r="AE19" i="15"/>
  <c r="O19" i="7"/>
  <c r="S103" i="7"/>
  <c r="R103" i="7"/>
  <c r="AH103" i="15"/>
  <c r="AD97" i="15"/>
  <c r="T97" i="15"/>
  <c r="AD74" i="15"/>
  <c r="T74" i="15"/>
  <c r="S47" i="7"/>
  <c r="S34" i="7"/>
  <c r="R34" i="7"/>
  <c r="AH34" i="15"/>
  <c r="AH13" i="15"/>
  <c r="R13" i="7"/>
  <c r="S13" i="7"/>
  <c r="AD175" i="15"/>
  <c r="T175" i="15"/>
  <c r="AD29" i="15"/>
  <c r="T29" i="15"/>
  <c r="O126" i="7"/>
  <c r="AE126" i="15"/>
  <c r="AE27" i="15"/>
  <c r="O27" i="7"/>
  <c r="T27" i="15"/>
  <c r="AD27" i="15"/>
  <c r="AF27" i="15"/>
  <c r="P27" i="7"/>
  <c r="T153" i="15"/>
  <c r="AD153" i="15"/>
  <c r="AF153" i="15"/>
  <c r="P153" i="7"/>
  <c r="AE32" i="15"/>
  <c r="O32" i="7"/>
  <c r="AD44" i="15"/>
  <c r="T44" i="15"/>
  <c r="AD110" i="15"/>
  <c r="T110" i="15"/>
  <c r="O159" i="7"/>
  <c r="AE159" i="15"/>
  <c r="S136" i="7"/>
  <c r="R136" i="7"/>
  <c r="AH136" i="15"/>
  <c r="AF117" i="15"/>
  <c r="P117" i="7"/>
  <c r="S134" i="7"/>
  <c r="P94" i="7"/>
  <c r="AE154" i="15"/>
  <c r="O154" i="7"/>
  <c r="AD76" i="15"/>
  <c r="T76" i="15"/>
  <c r="P140" i="7"/>
  <c r="T135" i="15"/>
  <c r="AD135" i="15"/>
  <c r="AF135" i="15"/>
  <c r="AH135" i="15"/>
  <c r="R135" i="7"/>
  <c r="S135" i="7"/>
  <c r="AD25" i="15"/>
  <c r="T25" i="15"/>
  <c r="O103" i="7"/>
  <c r="AE103" i="15"/>
  <c r="S127" i="7"/>
  <c r="R127" i="7"/>
  <c r="AH127" i="15"/>
  <c r="AD9" i="15"/>
  <c r="T9" i="15"/>
  <c r="AD145" i="15"/>
  <c r="T145" i="15"/>
  <c r="O118" i="7"/>
  <c r="AE118" i="15"/>
  <c r="T148" i="15"/>
  <c r="AD148" i="15"/>
  <c r="AF148" i="15"/>
  <c r="P148" i="7"/>
  <c r="AD151" i="15"/>
  <c r="T151" i="15"/>
  <c r="P102" i="7"/>
  <c r="AH107" i="15"/>
  <c r="R107" i="7"/>
  <c r="E40" i="13"/>
  <c r="T154" i="15"/>
  <c r="AD154" i="15"/>
  <c r="AF154" i="15"/>
  <c r="P154" i="7"/>
  <c r="AE77" i="15"/>
  <c r="O77" i="7"/>
  <c r="AD165" i="15"/>
  <c r="T165" i="15"/>
  <c r="P3" i="7"/>
  <c r="AD70" i="15"/>
  <c r="T70" i="15"/>
  <c r="AE4" i="15"/>
  <c r="O4" i="7"/>
  <c r="T4" i="15"/>
  <c r="AD4" i="15"/>
  <c r="AF4" i="15"/>
  <c r="P4" i="7"/>
  <c r="AE17" i="15"/>
  <c r="O17" i="7"/>
  <c r="T102" i="15"/>
  <c r="AD102" i="15"/>
  <c r="AF102" i="15"/>
  <c r="AH102" i="15"/>
  <c r="R102" i="7"/>
  <c r="S102" i="7"/>
  <c r="O136" i="7"/>
  <c r="AE136" i="15"/>
  <c r="AD81" i="15"/>
  <c r="T81" i="15"/>
  <c r="O92" i="7"/>
  <c r="AE92" i="15"/>
  <c r="T159" i="15"/>
  <c r="AD159" i="15"/>
  <c r="AF159" i="15"/>
  <c r="AH159" i="15"/>
  <c r="R159" i="7"/>
  <c r="S159" i="7"/>
  <c r="T41" i="15"/>
  <c r="AD41" i="15"/>
  <c r="AF41" i="15"/>
  <c r="P41" i="7"/>
  <c r="AD50" i="15"/>
  <c r="T50" i="15"/>
  <c r="AD85" i="15"/>
  <c r="T85" i="15"/>
  <c r="T79" i="15"/>
  <c r="AD79" i="15"/>
  <c r="AF79" i="15"/>
  <c r="P79" i="7"/>
  <c r="S17" i="7"/>
  <c r="AF147" i="15"/>
  <c r="P147" i="7"/>
  <c r="O141" i="7"/>
  <c r="AE141" i="15"/>
  <c r="AD37" i="15"/>
  <c r="T37" i="15"/>
  <c r="AE108" i="15"/>
  <c r="O108" i="7"/>
  <c r="T73" i="15"/>
  <c r="AD73" i="15"/>
  <c r="AF73" i="15"/>
  <c r="AH73" i="15"/>
  <c r="R73" i="7"/>
  <c r="S73" i="7"/>
  <c r="T103" i="15"/>
  <c r="AD103" i="15"/>
  <c r="AF103" i="15"/>
  <c r="P103" i="7"/>
  <c r="AD114" i="15"/>
  <c r="T114" i="15"/>
  <c r="S18" i="7"/>
  <c r="R18" i="7"/>
  <c r="AH18" i="15"/>
  <c r="S125" i="7"/>
  <c r="AD23" i="15"/>
  <c r="T23" i="15"/>
  <c r="T64" i="15"/>
  <c r="AD64" i="15"/>
  <c r="AF64" i="15"/>
  <c r="AH64" i="15"/>
  <c r="R64" i="7"/>
  <c r="S64" i="7"/>
  <c r="S33" i="7"/>
  <c r="R33" i="7"/>
  <c r="AH33" i="15"/>
  <c r="AD15" i="15"/>
  <c r="T15" i="15"/>
  <c r="AD66" i="15"/>
  <c r="T66" i="15"/>
  <c r="AD30" i="15"/>
  <c r="T30" i="15"/>
  <c r="O72" i="7"/>
  <c r="AE72" i="15"/>
  <c r="T34" i="15"/>
  <c r="AD34" i="15"/>
  <c r="AF34" i="15"/>
  <c r="P34" i="7"/>
  <c r="AF142" i="15"/>
  <c r="P142" i="7"/>
  <c r="AD106" i="15"/>
  <c r="T106" i="15"/>
  <c r="P93" i="7"/>
  <c r="AD113" i="15"/>
  <c r="T113" i="15"/>
  <c r="AD83" i="15"/>
  <c r="T83" i="15"/>
  <c r="AD95" i="15"/>
  <c r="T95" i="15"/>
  <c r="AD7" i="15"/>
  <c r="T7" i="15"/>
  <c r="AE160" i="15"/>
  <c r="O160" i="7"/>
  <c r="AF78" i="15"/>
  <c r="P78" i="7"/>
  <c r="AE167" i="15"/>
  <c r="O167" i="7"/>
  <c r="AE134" i="15"/>
  <c r="O134" i="7"/>
  <c r="AE11" i="15"/>
  <c r="O11" i="7"/>
  <c r="T117" i="15"/>
  <c r="AD117" i="15"/>
  <c r="AE117" i="15"/>
  <c r="O117" i="7"/>
  <c r="AD129" i="15"/>
  <c r="T129" i="15"/>
  <c r="AE88" i="15"/>
  <c r="O88" i="7"/>
  <c r="AD61" i="15"/>
  <c r="T61" i="15"/>
  <c r="AE56" i="15"/>
  <c r="O56" i="7"/>
  <c r="AE42" i="15"/>
  <c r="O42" i="7"/>
  <c r="T56" i="15"/>
  <c r="AD56" i="15"/>
  <c r="AF56" i="15"/>
  <c r="P56" i="7"/>
  <c r="AF57" i="15"/>
  <c r="P57" i="7"/>
  <c r="S167" i="7"/>
  <c r="E39" i="13"/>
  <c r="T168" i="15"/>
  <c r="AD168" i="15"/>
  <c r="AF168" i="15"/>
  <c r="P168" i="7"/>
  <c r="O57" i="7"/>
  <c r="T57" i="15"/>
  <c r="AD57" i="15"/>
  <c r="AE57" i="15"/>
  <c r="E35" i="13"/>
  <c r="S58" i="7"/>
  <c r="R58" i="7"/>
  <c r="AH58" i="15"/>
  <c r="E45" i="13"/>
  <c r="I45" i="13" s="1"/>
  <c r="AH134" i="15"/>
  <c r="R134" i="7"/>
  <c r="E43" i="13"/>
  <c r="I43" i="13" s="1"/>
  <c r="S87" i="7"/>
  <c r="R87" i="7"/>
  <c r="AH87" i="15"/>
  <c r="P12" i="7"/>
  <c r="S48" i="7"/>
  <c r="R48" i="7"/>
  <c r="AH48" i="15"/>
  <c r="AD120" i="15"/>
  <c r="T120" i="15"/>
  <c r="T94" i="15"/>
  <c r="AD94" i="15"/>
  <c r="AF94" i="15"/>
  <c r="AH94" i="15"/>
  <c r="R94" i="7"/>
  <c r="S94" i="7"/>
  <c r="AH92" i="15"/>
  <c r="R92" i="7"/>
  <c r="S92" i="7"/>
  <c r="T169" i="15"/>
  <c r="AD169" i="15"/>
  <c r="AE169" i="15"/>
  <c r="O169" i="7"/>
  <c r="AH17" i="15"/>
  <c r="R17" i="7"/>
  <c r="E34" i="13"/>
  <c r="I34" i="13" s="1"/>
  <c r="AD122" i="15"/>
  <c r="T122" i="15"/>
  <c r="O49" i="7"/>
  <c r="AE49" i="15"/>
  <c r="T140" i="15"/>
  <c r="AD140" i="15"/>
  <c r="AF140" i="15"/>
  <c r="AH140" i="15"/>
  <c r="R140" i="7"/>
  <c r="S140" i="7"/>
  <c r="S116" i="7"/>
  <c r="AE116" i="15"/>
  <c r="O116" i="7"/>
  <c r="S43" i="7"/>
  <c r="R43" i="7"/>
  <c r="AH43" i="15"/>
  <c r="AD84" i="15"/>
  <c r="T84" i="15"/>
  <c r="T126" i="15"/>
  <c r="AD126" i="15"/>
  <c r="AF126" i="15"/>
  <c r="P126" i="7"/>
  <c r="AD40" i="15"/>
  <c r="T40" i="15"/>
  <c r="S19" i="7"/>
  <c r="R19" i="7"/>
  <c r="AH19" i="15"/>
  <c r="AH158" i="15"/>
  <c r="R158" i="7"/>
  <c r="S158" i="7"/>
  <c r="AD38" i="15"/>
  <c r="T38" i="15"/>
  <c r="AD8" i="15"/>
  <c r="T8" i="15"/>
  <c r="T49" i="15"/>
  <c r="AD49" i="15"/>
  <c r="AF49" i="15"/>
  <c r="P49" i="7"/>
  <c r="P141" i="7"/>
  <c r="T60" i="15"/>
  <c r="AD60" i="15"/>
  <c r="P101" i="7"/>
  <c r="AD105" i="15"/>
  <c r="T105" i="15"/>
  <c r="P118" i="7"/>
  <c r="T42" i="15"/>
  <c r="AD42" i="15"/>
  <c r="AF42" i="15"/>
  <c r="P42" i="7"/>
  <c r="T127" i="15"/>
  <c r="AD127" i="15"/>
  <c r="AF127" i="15"/>
  <c r="P127" i="7"/>
  <c r="AD80" i="15"/>
  <c r="T80" i="15"/>
  <c r="AD67" i="15"/>
  <c r="T67" i="15"/>
  <c r="AD100" i="15"/>
  <c r="T100" i="15"/>
  <c r="AD65" i="15"/>
  <c r="T65" i="15"/>
  <c r="T108" i="15"/>
  <c r="AD108" i="15"/>
  <c r="AF108" i="15"/>
  <c r="P108" i="7"/>
  <c r="T13" i="15"/>
  <c r="AD13" i="15"/>
  <c r="AF13" i="15"/>
  <c r="P13" i="7"/>
  <c r="S3" i="7"/>
  <c r="T3" i="15"/>
  <c r="AD3" i="15"/>
  <c r="AF3" i="15"/>
  <c r="AH3" i="15"/>
  <c r="R3" i="7"/>
  <c r="R3" i="16"/>
  <c r="AH47" i="15"/>
  <c r="R47" i="7"/>
  <c r="E36" i="13"/>
  <c r="AD119" i="15"/>
  <c r="T119" i="15"/>
  <c r="AF18" i="15"/>
  <c r="P18" i="7"/>
  <c r="AD139" i="15"/>
  <c r="T139" i="15"/>
  <c r="T59" i="15"/>
  <c r="AD59" i="15"/>
  <c r="T33" i="15"/>
  <c r="AD33" i="15"/>
  <c r="AF33" i="15"/>
  <c r="P33" i="7"/>
  <c r="AD121" i="15"/>
  <c r="T121" i="15"/>
  <c r="E38" i="13"/>
  <c r="AE152" i="15"/>
  <c r="O152" i="7"/>
  <c r="T152" i="15"/>
  <c r="AD152" i="15"/>
  <c r="AF152" i="15"/>
  <c r="P152" i="7"/>
  <c r="AF93" i="15"/>
  <c r="AH93" i="15"/>
  <c r="R93" i="7"/>
  <c r="S93" i="7"/>
  <c r="T52" i="15"/>
  <c r="AD52" i="15"/>
  <c r="AD164" i="15"/>
  <c r="T164" i="15"/>
  <c r="T86" i="15"/>
  <c r="AD86" i="15"/>
  <c r="AF86" i="15"/>
  <c r="P86" i="7"/>
  <c r="AD104" i="15"/>
  <c r="T104" i="15"/>
  <c r="AE146" i="15"/>
  <c r="O146" i="7"/>
  <c r="AD149" i="15"/>
  <c r="T149" i="15"/>
  <c r="AE12" i="15"/>
  <c r="O12" i="7"/>
  <c r="T16" i="15"/>
  <c r="AD16" i="15"/>
  <c r="O18" i="7"/>
  <c r="T18" i="15"/>
  <c r="AD18" i="15"/>
  <c r="AE18" i="15"/>
  <c r="AF63" i="15"/>
  <c r="P63" i="7"/>
  <c r="AH125" i="15"/>
  <c r="R125" i="7"/>
  <c r="E42" i="13"/>
  <c r="I42" i="13" s="1"/>
  <c r="P167" i="7"/>
  <c r="D46" i="13"/>
  <c r="J46" i="13" s="1"/>
  <c r="T167" i="15"/>
  <c r="AD167" i="15"/>
  <c r="AF167" i="15"/>
  <c r="AH167" i="15"/>
  <c r="R167" i="7"/>
  <c r="E46" i="13"/>
  <c r="AD45" i="15"/>
  <c r="T45" i="15"/>
  <c r="T78" i="15"/>
  <c r="AD78" i="15"/>
  <c r="AE78" i="15"/>
  <c r="O78" i="7"/>
  <c r="T88" i="15"/>
  <c r="AD88" i="15"/>
  <c r="AF88" i="15"/>
  <c r="AH88" i="15"/>
  <c r="R88" i="7"/>
  <c r="S88" i="7"/>
  <c r="T58" i="15"/>
  <c r="AD58" i="15"/>
  <c r="AF58" i="15"/>
  <c r="P58" i="7"/>
  <c r="AD162" i="15"/>
  <c r="T162" i="15"/>
  <c r="T87" i="15"/>
  <c r="AD87" i="15"/>
  <c r="AF87" i="15"/>
  <c r="P87" i="7"/>
  <c r="T12" i="15"/>
  <c r="AD12" i="15"/>
  <c r="AF12" i="15"/>
  <c r="AH12" i="15"/>
  <c r="R12" i="7"/>
  <c r="S12" i="7"/>
  <c r="E33" i="13"/>
  <c r="I33" i="13" s="1"/>
  <c r="AH116" i="15"/>
  <c r="R116" i="7"/>
  <c r="E41" i="13"/>
  <c r="I41" i="13" s="1"/>
  <c r="T47" i="15"/>
  <c r="AD47" i="15"/>
  <c r="AF47" i="15"/>
  <c r="P47" i="7"/>
  <c r="D36" i="13"/>
  <c r="J36" i="13" s="1"/>
  <c r="T48" i="15"/>
  <c r="AD48" i="15"/>
  <c r="AF48" i="15"/>
  <c r="P48" i="7"/>
  <c r="T144" i="15"/>
  <c r="AD144" i="15"/>
  <c r="T111" i="15"/>
  <c r="AD111" i="15"/>
  <c r="T93" i="15"/>
  <c r="AD93" i="15"/>
  <c r="AE93" i="15"/>
  <c r="O93" i="7"/>
  <c r="AH32" i="15"/>
  <c r="R32" i="7"/>
  <c r="S32" i="7"/>
  <c r="AE71" i="15"/>
  <c r="O71" i="7"/>
  <c r="T136" i="15"/>
  <c r="AD136" i="15"/>
  <c r="AF136" i="15"/>
  <c r="P136" i="7"/>
  <c r="T157" i="15"/>
  <c r="AD157" i="15"/>
  <c r="T32" i="15"/>
  <c r="AD32" i="15"/>
  <c r="AF32" i="15"/>
  <c r="P32" i="7"/>
  <c r="D35" i="13"/>
  <c r="J35" i="13" s="1"/>
  <c r="T43" i="15"/>
  <c r="AD43" i="15"/>
  <c r="AF43" i="15"/>
  <c r="P43" i="7"/>
  <c r="T63" i="15"/>
  <c r="AD63" i="15"/>
  <c r="AE63" i="15"/>
  <c r="O63" i="7"/>
  <c r="T69" i="15"/>
  <c r="AD69" i="15"/>
  <c r="T142" i="15"/>
  <c r="AD142" i="15"/>
  <c r="AE142" i="15"/>
  <c r="O142" i="7"/>
  <c r="T17" i="15"/>
  <c r="AD17" i="15"/>
  <c r="AF17" i="15"/>
  <c r="P17" i="7"/>
  <c r="D34" i="13"/>
  <c r="T19" i="15"/>
  <c r="AD19" i="15"/>
  <c r="AF19" i="15"/>
  <c r="P19" i="7"/>
  <c r="S11" i="7"/>
  <c r="R2" i="16"/>
  <c r="AH11" i="15"/>
  <c r="R11" i="7"/>
  <c r="T107" i="15"/>
  <c r="AD107" i="15"/>
  <c r="AF107" i="15"/>
  <c r="P107" i="7"/>
  <c r="D40" i="13"/>
  <c r="J40" i="13" s="1"/>
  <c r="T115" i="15"/>
  <c r="AD115" i="15"/>
  <c r="P77" i="7"/>
  <c r="D38" i="13"/>
  <c r="J38" i="13" s="1"/>
  <c r="T77" i="15"/>
  <c r="AD77" i="15"/>
  <c r="AF77" i="15"/>
  <c r="AH77" i="15"/>
  <c r="R77" i="7"/>
  <c r="S77" i="7"/>
  <c r="T71" i="15"/>
  <c r="AD71" i="15"/>
  <c r="AF71" i="15"/>
  <c r="P71" i="7"/>
  <c r="T141" i="15"/>
  <c r="AD141" i="15"/>
  <c r="AF141" i="15"/>
  <c r="AH141" i="15"/>
  <c r="R141" i="7"/>
  <c r="S141" i="7"/>
  <c r="T101" i="15"/>
  <c r="AD101" i="15"/>
  <c r="AF101" i="15"/>
  <c r="AH101" i="15"/>
  <c r="R101" i="7"/>
  <c r="S101" i="7"/>
  <c r="T11" i="15"/>
  <c r="AD11" i="15"/>
  <c r="AF11" i="15"/>
  <c r="P11" i="7"/>
  <c r="D33" i="13"/>
  <c r="J33" i="13" s="1"/>
  <c r="T5" i="15"/>
  <c r="AD5" i="15"/>
  <c r="T158" i="15"/>
  <c r="AD158" i="15"/>
  <c r="AF158" i="15"/>
  <c r="P158" i="7"/>
  <c r="D45" i="13"/>
  <c r="J45" i="13" s="1"/>
  <c r="T160" i="15"/>
  <c r="AD160" i="15"/>
  <c r="AF160" i="15"/>
  <c r="P160" i="7"/>
  <c r="T116" i="15"/>
  <c r="AD116" i="15"/>
  <c r="AF116" i="15"/>
  <c r="P116" i="7"/>
  <c r="D41" i="13"/>
  <c r="J41" i="13" s="1"/>
  <c r="T118" i="15"/>
  <c r="AD118" i="15"/>
  <c r="AF118" i="15"/>
  <c r="AH118" i="15"/>
  <c r="R118" i="7"/>
  <c r="S118" i="7"/>
  <c r="T125" i="15"/>
  <c r="AD125" i="15"/>
  <c r="AF125" i="15"/>
  <c r="P125" i="7"/>
  <c r="D42" i="13"/>
  <c r="J42" i="13" s="1"/>
  <c r="T131" i="15"/>
  <c r="AD131" i="15"/>
  <c r="T62" i="15"/>
  <c r="AD62" i="15"/>
  <c r="AF62" i="15"/>
  <c r="P62" i="7"/>
  <c r="D37" i="13"/>
  <c r="J37" i="13" s="1"/>
  <c r="T72" i="15"/>
  <c r="AD72" i="15"/>
  <c r="AF72" i="15"/>
  <c r="P72" i="7"/>
  <c r="T92" i="15"/>
  <c r="AD92" i="15"/>
  <c r="AF92" i="15"/>
  <c r="P92" i="7"/>
  <c r="D39" i="13"/>
  <c r="J39" i="13" s="1"/>
  <c r="T96" i="15"/>
  <c r="AD96" i="15"/>
  <c r="T147" i="15"/>
  <c r="AD147" i="15"/>
  <c r="AE147" i="15"/>
  <c r="O147" i="7"/>
  <c r="T146" i="15"/>
  <c r="AD146" i="15"/>
  <c r="AF146" i="15"/>
  <c r="P146" i="7"/>
  <c r="D44" i="13"/>
  <c r="J44" i="13" s="1"/>
  <c r="T155" i="15"/>
  <c r="AD155" i="15"/>
  <c r="T134" i="15"/>
  <c r="AD134" i="15"/>
  <c r="AF134" i="15"/>
  <c r="P134" i="7"/>
  <c r="D43" i="13"/>
  <c r="J43" i="13" s="1"/>
  <c r="T143" i="15"/>
  <c r="AD143" i="15"/>
  <c r="F34" i="13" l="1"/>
  <c r="J34" i="13"/>
  <c r="F41" i="13"/>
  <c r="F45" i="13"/>
  <c r="G46" i="13"/>
  <c r="F38" i="13"/>
  <c r="G35" i="13"/>
  <c r="F40" i="13"/>
  <c r="I46" i="13"/>
  <c r="G38" i="13"/>
  <c r="F36" i="13"/>
  <c r="F44" i="13"/>
  <c r="I35" i="13"/>
  <c r="F46" i="13"/>
  <c r="F42" i="13"/>
  <c r="I38" i="13"/>
  <c r="G39" i="13"/>
  <c r="D47" i="13"/>
  <c r="J47" i="13" s="1"/>
  <c r="F37" i="13"/>
  <c r="G41" i="13"/>
  <c r="F39" i="13"/>
  <c r="G43" i="13"/>
  <c r="G40" i="13"/>
  <c r="E47" i="13"/>
  <c r="G34" i="13"/>
  <c r="G44" i="13"/>
  <c r="G37" i="13"/>
  <c r="I36" i="13"/>
  <c r="I39" i="13"/>
  <c r="I40" i="13"/>
  <c r="F33" i="13"/>
  <c r="G45" i="13"/>
  <c r="G36" i="13"/>
  <c r="F43" i="13"/>
  <c r="F35" i="13"/>
  <c r="I44" i="13"/>
  <c r="G42" i="13"/>
  <c r="G33" i="13"/>
  <c r="D49" i="13" l="1"/>
  <c r="E49" i="13"/>
  <c r="B7" i="13" s="1"/>
  <c r="F47" i="13"/>
  <c r="I47" i="13"/>
  <c r="G49" i="13"/>
  <c r="G47" i="13"/>
  <c r="I49" i="13"/>
  <c r="F7" i="13" s="1"/>
  <c r="J7" i="13"/>
  <c r="D7" i="13"/>
  <c r="F15" i="3"/>
  <c r="D14" i="3"/>
  <c r="E13" i="3"/>
  <c r="E12" i="3"/>
  <c r="G12" i="3" s="1"/>
  <c r="D12" i="3"/>
  <c r="D13" i="3" s="1"/>
  <c r="F12" i="3" l="1"/>
  <c r="E14" i="3"/>
  <c r="F14" i="3" s="1"/>
  <c r="F49" i="13"/>
  <c r="G15" i="3"/>
  <c r="F13" i="3"/>
  <c r="G13" i="3"/>
  <c r="J49" i="13"/>
  <c r="H7" i="13"/>
  <c r="AQ175" i="17"/>
  <c r="AP175" i="17"/>
  <c r="AH175" i="17"/>
  <c r="AG175" i="17"/>
  <c r="AF175" i="17"/>
  <c r="AE175" i="17"/>
  <c r="AD175" i="17"/>
  <c r="AC175" i="17"/>
  <c r="AQ174" i="17"/>
  <c r="AP174" i="17"/>
  <c r="AH174" i="17"/>
  <c r="AG174" i="17"/>
  <c r="AF174" i="17"/>
  <c r="AE174" i="17"/>
  <c r="AD174" i="17"/>
  <c r="AC174" i="17"/>
  <c r="AQ173" i="17"/>
  <c r="AP173" i="17"/>
  <c r="AH173" i="17"/>
  <c r="AG173" i="17"/>
  <c r="AF173" i="17"/>
  <c r="AE173" i="17"/>
  <c r="AD173" i="17"/>
  <c r="AC173" i="17"/>
  <c r="AQ172" i="17"/>
  <c r="AP172" i="17"/>
  <c r="AH172" i="17"/>
  <c r="AG172" i="17"/>
  <c r="AF172" i="17"/>
  <c r="AE172" i="17"/>
  <c r="AD172" i="17"/>
  <c r="AC172" i="17"/>
  <c r="AQ171" i="17"/>
  <c r="AP171" i="17"/>
  <c r="AH171" i="17"/>
  <c r="AG171" i="17"/>
  <c r="AF171" i="17"/>
  <c r="AE171" i="17"/>
  <c r="AD171" i="17"/>
  <c r="AC171" i="17"/>
  <c r="AQ170" i="17"/>
  <c r="AP170" i="17"/>
  <c r="AH170" i="17"/>
  <c r="AG170" i="17"/>
  <c r="AF170" i="17"/>
  <c r="AE170" i="17"/>
  <c r="AD170" i="17"/>
  <c r="AC170" i="17"/>
  <c r="AQ169" i="17"/>
  <c r="AP169" i="17"/>
  <c r="AH169" i="17"/>
  <c r="AG169" i="17"/>
  <c r="AF169" i="17"/>
  <c r="AE169" i="17"/>
  <c r="AD169" i="17"/>
  <c r="AC169" i="17"/>
  <c r="AQ168" i="17"/>
  <c r="AP168" i="17"/>
  <c r="AH168" i="17"/>
  <c r="AG168" i="17"/>
  <c r="AF168" i="17"/>
  <c r="AE168" i="17"/>
  <c r="AD168" i="17"/>
  <c r="AC168" i="17"/>
  <c r="AQ167" i="17"/>
  <c r="AP167" i="17"/>
  <c r="AH167" i="17"/>
  <c r="AG167" i="17"/>
  <c r="AF167" i="17"/>
  <c r="AE167" i="17"/>
  <c r="AD167" i="17"/>
  <c r="AC167" i="17"/>
  <c r="AQ166" i="17"/>
  <c r="AP166" i="17"/>
  <c r="AH166" i="17"/>
  <c r="AG166" i="17"/>
  <c r="AF166" i="17"/>
  <c r="AE166" i="17"/>
  <c r="AD166" i="17"/>
  <c r="AC166" i="17"/>
  <c r="AQ165" i="17"/>
  <c r="AP165" i="17"/>
  <c r="AH165" i="17"/>
  <c r="AG165" i="17"/>
  <c r="AF165" i="17"/>
  <c r="AE165" i="17"/>
  <c r="AD165" i="17"/>
  <c r="AC165" i="17"/>
  <c r="AQ164" i="17"/>
  <c r="AP164" i="17"/>
  <c r="AH164" i="17"/>
  <c r="AG164" i="17"/>
  <c r="AF164" i="17"/>
  <c r="AE164" i="17"/>
  <c r="AD164" i="17"/>
  <c r="AC164" i="17"/>
  <c r="AQ163" i="17"/>
  <c r="AP163" i="17"/>
  <c r="AH163" i="17"/>
  <c r="AG163" i="17"/>
  <c r="AF163" i="17"/>
  <c r="AE163" i="17"/>
  <c r="AD163" i="17"/>
  <c r="AC163" i="17"/>
  <c r="AQ162" i="17"/>
  <c r="AP162" i="17"/>
  <c r="AH162" i="17"/>
  <c r="AG162" i="17"/>
  <c r="AF162" i="17"/>
  <c r="AE162" i="17"/>
  <c r="AD162" i="17"/>
  <c r="AC162" i="17"/>
  <c r="AQ161" i="17"/>
  <c r="AP161" i="17"/>
  <c r="AH161" i="17"/>
  <c r="AG161" i="17"/>
  <c r="AF161" i="17"/>
  <c r="AE161" i="17"/>
  <c r="AD161" i="17"/>
  <c r="AC161" i="17"/>
  <c r="AQ160" i="17"/>
  <c r="AP160" i="17"/>
  <c r="AH160" i="17"/>
  <c r="AG160" i="17"/>
  <c r="AF160" i="17"/>
  <c r="AE160" i="17"/>
  <c r="AD160" i="17"/>
  <c r="AC160" i="17"/>
  <c r="AQ159" i="17"/>
  <c r="AP159" i="17"/>
  <c r="AH159" i="17"/>
  <c r="AG159" i="17"/>
  <c r="AF159" i="17"/>
  <c r="AE159" i="17"/>
  <c r="AD159" i="17"/>
  <c r="AC159" i="17"/>
  <c r="AQ158" i="17"/>
  <c r="AP158" i="17"/>
  <c r="AH158" i="17"/>
  <c r="AG158" i="17"/>
  <c r="AF158" i="17"/>
  <c r="AE158" i="17"/>
  <c r="AD158" i="17"/>
  <c r="AC158" i="17"/>
  <c r="AQ157" i="17"/>
  <c r="AP157" i="17"/>
  <c r="AH157" i="17"/>
  <c r="AG157" i="17"/>
  <c r="AF157" i="17"/>
  <c r="AE157" i="17"/>
  <c r="AD157" i="17"/>
  <c r="AC157" i="17"/>
  <c r="AQ156" i="17"/>
  <c r="AP156" i="17"/>
  <c r="AH156" i="17"/>
  <c r="AG156" i="17"/>
  <c r="AF156" i="17"/>
  <c r="AE156" i="17"/>
  <c r="AD156" i="17"/>
  <c r="AC156" i="17"/>
  <c r="AQ155" i="17"/>
  <c r="AP155" i="17"/>
  <c r="AH155" i="17"/>
  <c r="AG155" i="17"/>
  <c r="AF155" i="17"/>
  <c r="AE155" i="17"/>
  <c r="AD155" i="17"/>
  <c r="AC155" i="17"/>
  <c r="AQ154" i="17"/>
  <c r="AP154" i="17"/>
  <c r="AH154" i="17"/>
  <c r="AG154" i="17"/>
  <c r="AF154" i="17"/>
  <c r="AE154" i="17"/>
  <c r="AD154" i="17"/>
  <c r="AC154" i="17"/>
  <c r="AQ153" i="17"/>
  <c r="AP153" i="17"/>
  <c r="AH153" i="17"/>
  <c r="AG153" i="17"/>
  <c r="AF153" i="17"/>
  <c r="AE153" i="17"/>
  <c r="AD153" i="17"/>
  <c r="AC153" i="17"/>
  <c r="AQ152" i="17"/>
  <c r="AP152" i="17"/>
  <c r="AH152" i="17"/>
  <c r="AG152" i="17"/>
  <c r="AF152" i="17"/>
  <c r="AE152" i="17"/>
  <c r="AD152" i="17"/>
  <c r="AC152" i="17"/>
  <c r="AQ151" i="17"/>
  <c r="AP151" i="17"/>
  <c r="AH151" i="17"/>
  <c r="AG151" i="17"/>
  <c r="AF151" i="17"/>
  <c r="AE151" i="17"/>
  <c r="AD151" i="17"/>
  <c r="AC151" i="17"/>
  <c r="AQ150" i="17"/>
  <c r="AP150" i="17"/>
  <c r="AH150" i="17"/>
  <c r="AG150" i="17"/>
  <c r="AF150" i="17"/>
  <c r="AE150" i="17"/>
  <c r="AD150" i="17"/>
  <c r="AC150" i="17"/>
  <c r="AQ149" i="17"/>
  <c r="AP149" i="17"/>
  <c r="AH149" i="17"/>
  <c r="AG149" i="17"/>
  <c r="AF149" i="17"/>
  <c r="AE149" i="17"/>
  <c r="AD149" i="17"/>
  <c r="AC149" i="17"/>
  <c r="AQ148" i="17"/>
  <c r="AP148" i="17"/>
  <c r="AH148" i="17"/>
  <c r="AG148" i="17"/>
  <c r="AF148" i="17"/>
  <c r="AE148" i="17"/>
  <c r="AD148" i="17"/>
  <c r="AC148" i="17"/>
  <c r="AQ147" i="17"/>
  <c r="AP147" i="17"/>
  <c r="AH147" i="17"/>
  <c r="AG147" i="17"/>
  <c r="AF147" i="17"/>
  <c r="AE147" i="17"/>
  <c r="AD147" i="17"/>
  <c r="AC147" i="17"/>
  <c r="AQ146" i="17"/>
  <c r="AP146" i="17"/>
  <c r="AH146" i="17"/>
  <c r="AG146" i="17"/>
  <c r="AF146" i="17"/>
  <c r="AE146" i="17"/>
  <c r="AD146" i="17"/>
  <c r="AC146" i="17"/>
  <c r="AQ145" i="17"/>
  <c r="AP145" i="17"/>
  <c r="AH145" i="17"/>
  <c r="AG145" i="17"/>
  <c r="AF145" i="17"/>
  <c r="AE145" i="17"/>
  <c r="AD145" i="17"/>
  <c r="AC145" i="17"/>
  <c r="AQ144" i="17"/>
  <c r="AP144" i="17"/>
  <c r="AH144" i="17"/>
  <c r="AG144" i="17"/>
  <c r="AF144" i="17"/>
  <c r="AE144" i="17"/>
  <c r="AD144" i="17"/>
  <c r="AC144" i="17"/>
  <c r="AQ143" i="17"/>
  <c r="AP143" i="17"/>
  <c r="AH143" i="17"/>
  <c r="AG143" i="17"/>
  <c r="AF143" i="17"/>
  <c r="AE143" i="17"/>
  <c r="AD143" i="17"/>
  <c r="AC143" i="17"/>
  <c r="AQ142" i="17"/>
  <c r="AP142" i="17"/>
  <c r="AH142" i="17"/>
  <c r="AG142" i="17"/>
  <c r="AF142" i="17"/>
  <c r="AE142" i="17"/>
  <c r="AD142" i="17"/>
  <c r="AC142" i="17"/>
  <c r="AQ141" i="17"/>
  <c r="AP141" i="17"/>
  <c r="AH141" i="17"/>
  <c r="AG141" i="17"/>
  <c r="AF141" i="17"/>
  <c r="AE141" i="17"/>
  <c r="AD141" i="17"/>
  <c r="AC141" i="17"/>
  <c r="AQ140" i="17"/>
  <c r="AP140" i="17"/>
  <c r="AH140" i="17"/>
  <c r="AG140" i="17"/>
  <c r="AF140" i="17"/>
  <c r="AE140" i="17"/>
  <c r="AD140" i="17"/>
  <c r="AC140" i="17"/>
  <c r="AQ139" i="17"/>
  <c r="AP139" i="17"/>
  <c r="AH139" i="17"/>
  <c r="AG139" i="17"/>
  <c r="AF139" i="17"/>
  <c r="AE139" i="17"/>
  <c r="AD139" i="17"/>
  <c r="AC139" i="17"/>
  <c r="AQ138" i="17"/>
  <c r="AP138" i="17"/>
  <c r="AH138" i="17"/>
  <c r="AG138" i="17"/>
  <c r="AF138" i="17"/>
  <c r="AE138" i="17"/>
  <c r="AD138" i="17"/>
  <c r="AC138" i="17"/>
  <c r="AQ137" i="17"/>
  <c r="AP137" i="17"/>
  <c r="AH137" i="17"/>
  <c r="AG137" i="17"/>
  <c r="AF137" i="17"/>
  <c r="AE137" i="17"/>
  <c r="AD137" i="17"/>
  <c r="AC137" i="17"/>
  <c r="AQ136" i="17"/>
  <c r="AP136" i="17"/>
  <c r="AH136" i="17"/>
  <c r="AG136" i="17"/>
  <c r="AF136" i="17"/>
  <c r="AE136" i="17"/>
  <c r="AD136" i="17"/>
  <c r="AC136" i="17"/>
  <c r="AQ135" i="17"/>
  <c r="AP135" i="17"/>
  <c r="AH135" i="17"/>
  <c r="AG135" i="17"/>
  <c r="AF135" i="17"/>
  <c r="AE135" i="17"/>
  <c r="AD135" i="17"/>
  <c r="AC135" i="17"/>
  <c r="AQ134" i="17"/>
  <c r="AP134" i="17"/>
  <c r="AH134" i="17"/>
  <c r="AG134" i="17"/>
  <c r="AF134" i="17"/>
  <c r="AE134" i="17"/>
  <c r="AD134" i="17"/>
  <c r="AC134" i="17"/>
  <c r="AQ133" i="17"/>
  <c r="AP133" i="17"/>
  <c r="AH133" i="17"/>
  <c r="AG133" i="17"/>
  <c r="AF133" i="17"/>
  <c r="AE133" i="17"/>
  <c r="AD133" i="17"/>
  <c r="AC133" i="17"/>
  <c r="AQ132" i="17"/>
  <c r="AP132" i="17"/>
  <c r="AH132" i="17"/>
  <c r="AG132" i="17"/>
  <c r="AF132" i="17"/>
  <c r="AE132" i="17"/>
  <c r="AD132" i="17"/>
  <c r="AC132" i="17"/>
  <c r="AQ131" i="17"/>
  <c r="AP131" i="17"/>
  <c r="AH131" i="17"/>
  <c r="AG131" i="17"/>
  <c r="AF131" i="17"/>
  <c r="AE131" i="17"/>
  <c r="AD131" i="17"/>
  <c r="AC131" i="17"/>
  <c r="AQ130" i="17"/>
  <c r="AP130" i="17"/>
  <c r="AH130" i="17"/>
  <c r="AG130" i="17"/>
  <c r="AF130" i="17"/>
  <c r="AE130" i="17"/>
  <c r="AD130" i="17"/>
  <c r="AC130" i="17"/>
  <c r="AQ129" i="17"/>
  <c r="AP129" i="17"/>
  <c r="AH129" i="17"/>
  <c r="AG129" i="17"/>
  <c r="AF129" i="17"/>
  <c r="AE129" i="17"/>
  <c r="AD129" i="17"/>
  <c r="AC129" i="17"/>
  <c r="AQ128" i="17"/>
  <c r="AP128" i="17"/>
  <c r="AH128" i="17"/>
  <c r="AG128" i="17"/>
  <c r="AF128" i="17"/>
  <c r="AE128" i="17"/>
  <c r="AD128" i="17"/>
  <c r="AC128" i="17"/>
  <c r="AQ127" i="17"/>
  <c r="AP127" i="17"/>
  <c r="AH127" i="17"/>
  <c r="AG127" i="17"/>
  <c r="AF127" i="17"/>
  <c r="AE127" i="17"/>
  <c r="AD127" i="17"/>
  <c r="AC127" i="17"/>
  <c r="AQ126" i="17"/>
  <c r="AP126" i="17"/>
  <c r="AH126" i="17"/>
  <c r="AG126" i="17"/>
  <c r="AF126" i="17"/>
  <c r="AE126" i="17"/>
  <c r="AD126" i="17"/>
  <c r="AC126" i="17"/>
  <c r="AQ125" i="17"/>
  <c r="AP125" i="17"/>
  <c r="AH125" i="17"/>
  <c r="AG125" i="17"/>
  <c r="AF125" i="17"/>
  <c r="AE125" i="17"/>
  <c r="AD125" i="17"/>
  <c r="AC125" i="17"/>
  <c r="AQ124" i="17"/>
  <c r="AP124" i="17"/>
  <c r="AH124" i="17"/>
  <c r="AG124" i="17"/>
  <c r="AF124" i="17"/>
  <c r="AE124" i="17"/>
  <c r="AD124" i="17"/>
  <c r="AC124" i="17"/>
  <c r="AQ123" i="17"/>
  <c r="AP123" i="17"/>
  <c r="AH123" i="17"/>
  <c r="AG123" i="17"/>
  <c r="AF123" i="17"/>
  <c r="AE123" i="17"/>
  <c r="AD123" i="17"/>
  <c r="AC123" i="17"/>
  <c r="AQ122" i="17"/>
  <c r="AP122" i="17"/>
  <c r="AH122" i="17"/>
  <c r="AG122" i="17"/>
  <c r="AF122" i="17"/>
  <c r="AE122" i="17"/>
  <c r="AD122" i="17"/>
  <c r="AC122" i="17"/>
  <c r="AQ121" i="17"/>
  <c r="AP121" i="17"/>
  <c r="AH121" i="17"/>
  <c r="AG121" i="17"/>
  <c r="AF121" i="17"/>
  <c r="AE121" i="17"/>
  <c r="AD121" i="17"/>
  <c r="AC121" i="17"/>
  <c r="AQ120" i="17"/>
  <c r="AP120" i="17"/>
  <c r="AH120" i="17"/>
  <c r="AG120" i="17"/>
  <c r="AF120" i="17"/>
  <c r="AE120" i="17"/>
  <c r="AD120" i="17"/>
  <c r="AC120" i="17"/>
  <c r="AQ119" i="17"/>
  <c r="AP119" i="17"/>
  <c r="AH119" i="17"/>
  <c r="AG119" i="17"/>
  <c r="AF119" i="17"/>
  <c r="AE119" i="17"/>
  <c r="AD119" i="17"/>
  <c r="AC119" i="17"/>
  <c r="AQ118" i="17"/>
  <c r="AP118" i="17"/>
  <c r="AH118" i="17"/>
  <c r="AG118" i="17"/>
  <c r="AF118" i="17"/>
  <c r="AE118" i="17"/>
  <c r="AD118" i="17"/>
  <c r="AC118" i="17"/>
  <c r="AQ117" i="17"/>
  <c r="AP117" i="17"/>
  <c r="AH117" i="17"/>
  <c r="AG117" i="17"/>
  <c r="AF117" i="17"/>
  <c r="AE117" i="17"/>
  <c r="AD117" i="17"/>
  <c r="AC117" i="17"/>
  <c r="AQ116" i="17"/>
  <c r="AP116" i="17"/>
  <c r="AH116" i="17"/>
  <c r="AG116" i="17"/>
  <c r="AF116" i="17"/>
  <c r="AE116" i="17"/>
  <c r="AD116" i="17"/>
  <c r="AC116" i="17"/>
  <c r="AQ115" i="17"/>
  <c r="AP115" i="17"/>
  <c r="AH115" i="17"/>
  <c r="AG115" i="17"/>
  <c r="AF115" i="17"/>
  <c r="AE115" i="17"/>
  <c r="AD115" i="17"/>
  <c r="AC115" i="17"/>
  <c r="AQ114" i="17"/>
  <c r="AP114" i="17"/>
  <c r="AH114" i="17"/>
  <c r="AG114" i="17"/>
  <c r="AF114" i="17"/>
  <c r="AE114" i="17"/>
  <c r="AD114" i="17"/>
  <c r="AC114" i="17"/>
  <c r="AQ113" i="17"/>
  <c r="AP113" i="17"/>
  <c r="AH113" i="17"/>
  <c r="AG113" i="17"/>
  <c r="AF113" i="17"/>
  <c r="AE113" i="17"/>
  <c r="AD113" i="17"/>
  <c r="AC113" i="17"/>
  <c r="AQ112" i="17"/>
  <c r="AP112" i="17"/>
  <c r="AH112" i="17"/>
  <c r="AG112" i="17"/>
  <c r="AF112" i="17"/>
  <c r="AE112" i="17"/>
  <c r="AD112" i="17"/>
  <c r="AC112" i="17"/>
  <c r="AQ111" i="17"/>
  <c r="AP111" i="17"/>
  <c r="AH111" i="17"/>
  <c r="AG111" i="17"/>
  <c r="AF111" i="17"/>
  <c r="AE111" i="17"/>
  <c r="AD111" i="17"/>
  <c r="AC111" i="17"/>
  <c r="AQ110" i="17"/>
  <c r="AP110" i="17"/>
  <c r="AH110" i="17"/>
  <c r="AG110" i="17"/>
  <c r="AF110" i="17"/>
  <c r="AE110" i="17"/>
  <c r="AD110" i="17"/>
  <c r="AC110" i="17"/>
  <c r="AQ109" i="17"/>
  <c r="AP109" i="17"/>
  <c r="AH109" i="17"/>
  <c r="AG109" i="17"/>
  <c r="AF109" i="17"/>
  <c r="AE109" i="17"/>
  <c r="AD109" i="17"/>
  <c r="AC109" i="17"/>
  <c r="AQ108" i="17"/>
  <c r="AP108" i="17"/>
  <c r="AH108" i="17"/>
  <c r="AG108" i="17"/>
  <c r="AF108" i="17"/>
  <c r="AE108" i="17"/>
  <c r="AD108" i="17"/>
  <c r="AC108" i="17"/>
  <c r="AQ107" i="17"/>
  <c r="AP107" i="17"/>
  <c r="AH107" i="17"/>
  <c r="AG107" i="17"/>
  <c r="AF107" i="17"/>
  <c r="AE107" i="17"/>
  <c r="AD107" i="17"/>
  <c r="AC107" i="17"/>
  <c r="AQ106" i="17"/>
  <c r="AP106" i="17"/>
  <c r="AH106" i="17"/>
  <c r="AG106" i="17"/>
  <c r="AF106" i="17"/>
  <c r="AE106" i="17"/>
  <c r="AD106" i="17"/>
  <c r="AC106" i="17"/>
  <c r="AQ105" i="17"/>
  <c r="AP105" i="17"/>
  <c r="AH105" i="17"/>
  <c r="AG105" i="17"/>
  <c r="AF105" i="17"/>
  <c r="AE105" i="17"/>
  <c r="AD105" i="17"/>
  <c r="AC105" i="17"/>
  <c r="AQ104" i="17"/>
  <c r="AP104" i="17"/>
  <c r="AH104" i="17"/>
  <c r="AG104" i="17"/>
  <c r="AF104" i="17"/>
  <c r="AE104" i="17"/>
  <c r="AD104" i="17"/>
  <c r="AC104" i="17"/>
  <c r="AQ103" i="17"/>
  <c r="AP103" i="17"/>
  <c r="AH103" i="17"/>
  <c r="AG103" i="17"/>
  <c r="AF103" i="17"/>
  <c r="AE103" i="17"/>
  <c r="AD103" i="17"/>
  <c r="AC103" i="17"/>
  <c r="AQ102" i="17"/>
  <c r="AP102" i="17"/>
  <c r="AH102" i="17"/>
  <c r="AG102" i="17"/>
  <c r="AF102" i="17"/>
  <c r="AE102" i="17"/>
  <c r="AD102" i="17"/>
  <c r="AC102" i="17"/>
  <c r="AQ101" i="17"/>
  <c r="AP101" i="17"/>
  <c r="AH101" i="17"/>
  <c r="AG101" i="17"/>
  <c r="AF101" i="17"/>
  <c r="AE101" i="17"/>
  <c r="AD101" i="17"/>
  <c r="AC101" i="17"/>
  <c r="AQ100" i="17"/>
  <c r="AP100" i="17"/>
  <c r="AH100" i="17"/>
  <c r="AG100" i="17"/>
  <c r="AF100" i="17"/>
  <c r="AE100" i="17"/>
  <c r="AD100" i="17"/>
  <c r="AC100" i="17"/>
  <c r="AQ99" i="17"/>
  <c r="AP99" i="17"/>
  <c r="AH99" i="17"/>
  <c r="AG99" i="17"/>
  <c r="AF99" i="17"/>
  <c r="AE99" i="17"/>
  <c r="AD99" i="17"/>
  <c r="AC99" i="17"/>
  <c r="AQ98" i="17"/>
  <c r="AP98" i="17"/>
  <c r="AH98" i="17"/>
  <c r="AG98" i="17"/>
  <c r="AF98" i="17"/>
  <c r="AE98" i="17"/>
  <c r="AD98" i="17"/>
  <c r="AC98" i="17"/>
  <c r="AQ97" i="17"/>
  <c r="AP97" i="17"/>
  <c r="AH97" i="17"/>
  <c r="AG97" i="17"/>
  <c r="AF97" i="17"/>
  <c r="AE97" i="17"/>
  <c r="AD97" i="17"/>
  <c r="AC97" i="17"/>
  <c r="AQ96" i="17"/>
  <c r="AP96" i="17"/>
  <c r="AH96" i="17"/>
  <c r="AG96" i="17"/>
  <c r="AF96" i="17"/>
  <c r="AE96" i="17"/>
  <c r="AD96" i="17"/>
  <c r="AC96" i="17"/>
  <c r="AQ95" i="17"/>
  <c r="AP95" i="17"/>
  <c r="AH95" i="17"/>
  <c r="AG95" i="17"/>
  <c r="AF95" i="17"/>
  <c r="AE95" i="17"/>
  <c r="AD95" i="17"/>
  <c r="AC95" i="17"/>
  <c r="AQ94" i="17"/>
  <c r="AP94" i="17"/>
  <c r="AH94" i="17"/>
  <c r="AG94" i="17"/>
  <c r="AF94" i="17"/>
  <c r="AE94" i="17"/>
  <c r="AD94" i="17"/>
  <c r="AC94" i="17"/>
  <c r="AQ93" i="17"/>
  <c r="AP93" i="17"/>
  <c r="AH93" i="17"/>
  <c r="AG93" i="17"/>
  <c r="AF93" i="17"/>
  <c r="AE93" i="17"/>
  <c r="AD93" i="17"/>
  <c r="AC93" i="17"/>
  <c r="AQ92" i="17"/>
  <c r="AP92" i="17"/>
  <c r="AH92" i="17"/>
  <c r="AG92" i="17"/>
  <c r="AF92" i="17"/>
  <c r="AE92" i="17"/>
  <c r="AD92" i="17"/>
  <c r="AC92" i="17"/>
  <c r="AQ91" i="17"/>
  <c r="AP91" i="17"/>
  <c r="AH91" i="17"/>
  <c r="AG91" i="17"/>
  <c r="AF91" i="17"/>
  <c r="AE91" i="17"/>
  <c r="AD91" i="17"/>
  <c r="AC91" i="17"/>
  <c r="AQ90" i="17"/>
  <c r="AP90" i="17"/>
  <c r="AH90" i="17"/>
  <c r="AG90" i="17"/>
  <c r="AF90" i="17"/>
  <c r="AE90" i="17"/>
  <c r="AD90" i="17"/>
  <c r="AC90" i="17"/>
  <c r="AQ89" i="17"/>
  <c r="AP89" i="17"/>
  <c r="AH89" i="17"/>
  <c r="AG89" i="17"/>
  <c r="AF89" i="17"/>
  <c r="AE89" i="17"/>
  <c r="AD89" i="17"/>
  <c r="AC89" i="17"/>
  <c r="AQ88" i="17"/>
  <c r="AP88" i="17"/>
  <c r="AH88" i="17"/>
  <c r="AG88" i="17"/>
  <c r="AF88" i="17"/>
  <c r="AE88" i="17"/>
  <c r="AD88" i="17"/>
  <c r="AC88" i="17"/>
  <c r="AQ87" i="17"/>
  <c r="AP87" i="17"/>
  <c r="AH87" i="17"/>
  <c r="AG87" i="17"/>
  <c r="AF87" i="17"/>
  <c r="AE87" i="17"/>
  <c r="AD87" i="17"/>
  <c r="AC87" i="17"/>
  <c r="AQ86" i="17"/>
  <c r="AP86" i="17"/>
  <c r="AH86" i="17"/>
  <c r="AG86" i="17"/>
  <c r="AF86" i="17"/>
  <c r="AE86" i="17"/>
  <c r="AD86" i="17"/>
  <c r="AC86" i="17"/>
  <c r="AQ85" i="17"/>
  <c r="AP85" i="17"/>
  <c r="AH85" i="17"/>
  <c r="AG85" i="17"/>
  <c r="AF85" i="17"/>
  <c r="AE85" i="17"/>
  <c r="AD85" i="17"/>
  <c r="AC85" i="17"/>
  <c r="AQ84" i="17"/>
  <c r="AP84" i="17"/>
  <c r="AH84" i="17"/>
  <c r="AG84" i="17"/>
  <c r="AF84" i="17"/>
  <c r="AE84" i="17"/>
  <c r="AD84" i="17"/>
  <c r="AC84" i="17"/>
  <c r="AQ83" i="17"/>
  <c r="AP83" i="17"/>
  <c r="AH83" i="17"/>
  <c r="AG83" i="17"/>
  <c r="AF83" i="17"/>
  <c r="AE83" i="17"/>
  <c r="AD83" i="17"/>
  <c r="AC83" i="17"/>
  <c r="AQ82" i="17"/>
  <c r="AP82" i="17"/>
  <c r="AH82" i="17"/>
  <c r="AG82" i="17"/>
  <c r="AF82" i="17"/>
  <c r="AE82" i="17"/>
  <c r="AD82" i="17"/>
  <c r="AC82" i="17"/>
  <c r="AQ81" i="17"/>
  <c r="AP81" i="17"/>
  <c r="AH81" i="17"/>
  <c r="AG81" i="17"/>
  <c r="AF81" i="17"/>
  <c r="AE81" i="17"/>
  <c r="AD81" i="17"/>
  <c r="AC81" i="17"/>
  <c r="AQ80" i="17"/>
  <c r="AP80" i="17"/>
  <c r="AH80" i="17"/>
  <c r="AG80" i="17"/>
  <c r="AF80" i="17"/>
  <c r="AE80" i="17"/>
  <c r="AD80" i="17"/>
  <c r="AC80" i="17"/>
  <c r="AQ79" i="17"/>
  <c r="AP79" i="17"/>
  <c r="AH79" i="17"/>
  <c r="AG79" i="17"/>
  <c r="AF79" i="17"/>
  <c r="AE79" i="17"/>
  <c r="AD79" i="17"/>
  <c r="AC79" i="17"/>
  <c r="AQ78" i="17"/>
  <c r="AP78" i="17"/>
  <c r="AH78" i="17"/>
  <c r="AG78" i="17"/>
  <c r="AF78" i="17"/>
  <c r="AE78" i="17"/>
  <c r="AD78" i="17"/>
  <c r="AC78" i="17"/>
  <c r="AQ77" i="17"/>
  <c r="AP77" i="17"/>
  <c r="AH77" i="17"/>
  <c r="AG77" i="17"/>
  <c r="AF77" i="17"/>
  <c r="AE77" i="17"/>
  <c r="AD77" i="17"/>
  <c r="AC77" i="17"/>
  <c r="AQ76" i="17"/>
  <c r="AP76" i="17"/>
  <c r="AH76" i="17"/>
  <c r="AG76" i="17"/>
  <c r="AF76" i="17"/>
  <c r="AE76" i="17"/>
  <c r="AD76" i="17"/>
  <c r="AC76" i="17"/>
  <c r="AQ75" i="17"/>
  <c r="AP75" i="17"/>
  <c r="AH75" i="17"/>
  <c r="AG75" i="17"/>
  <c r="AF75" i="17"/>
  <c r="AE75" i="17"/>
  <c r="AD75" i="17"/>
  <c r="AC75" i="17"/>
  <c r="AQ74" i="17"/>
  <c r="AP74" i="17"/>
  <c r="AH74" i="17"/>
  <c r="AG74" i="17"/>
  <c r="AF74" i="17"/>
  <c r="AE74" i="17"/>
  <c r="AD74" i="17"/>
  <c r="AC74" i="17"/>
  <c r="AQ73" i="17"/>
  <c r="AP73" i="17"/>
  <c r="AH73" i="17"/>
  <c r="AG73" i="17"/>
  <c r="AF73" i="17"/>
  <c r="AE73" i="17"/>
  <c r="AD73" i="17"/>
  <c r="AC73" i="17"/>
  <c r="AQ72" i="17"/>
  <c r="AP72" i="17"/>
  <c r="AH72" i="17"/>
  <c r="AG72" i="17"/>
  <c r="AF72" i="17"/>
  <c r="AE72" i="17"/>
  <c r="AD72" i="17"/>
  <c r="AC72" i="17"/>
  <c r="AQ71" i="17"/>
  <c r="AP71" i="17"/>
  <c r="AH71" i="17"/>
  <c r="AG71" i="17"/>
  <c r="AF71" i="17"/>
  <c r="AE71" i="17"/>
  <c r="AD71" i="17"/>
  <c r="AC71" i="17"/>
  <c r="AQ70" i="17"/>
  <c r="AP70" i="17"/>
  <c r="AH70" i="17"/>
  <c r="AG70" i="17"/>
  <c r="AF70" i="17"/>
  <c r="AE70" i="17"/>
  <c r="AD70" i="17"/>
  <c r="AC70" i="17"/>
  <c r="AQ69" i="17"/>
  <c r="AP69" i="17"/>
  <c r="AH69" i="17"/>
  <c r="AG69" i="17"/>
  <c r="AF69" i="17"/>
  <c r="AE69" i="17"/>
  <c r="AD69" i="17"/>
  <c r="AC69" i="17"/>
  <c r="AQ68" i="17"/>
  <c r="AP68" i="17"/>
  <c r="AH68" i="17"/>
  <c r="AG68" i="17"/>
  <c r="AF68" i="17"/>
  <c r="AE68" i="17"/>
  <c r="AD68" i="17"/>
  <c r="AC68" i="17"/>
  <c r="AQ67" i="17"/>
  <c r="AP67" i="17"/>
  <c r="AH67" i="17"/>
  <c r="AG67" i="17"/>
  <c r="AF67" i="17"/>
  <c r="AE67" i="17"/>
  <c r="AD67" i="17"/>
  <c r="AC67" i="17"/>
  <c r="AQ66" i="17"/>
  <c r="AP66" i="17"/>
  <c r="AH66" i="17"/>
  <c r="AG66" i="17"/>
  <c r="AF66" i="17"/>
  <c r="AE66" i="17"/>
  <c r="AD66" i="17"/>
  <c r="AC66" i="17"/>
  <c r="AQ65" i="17"/>
  <c r="AP65" i="17"/>
  <c r="AH65" i="17"/>
  <c r="AG65" i="17"/>
  <c r="AF65" i="17"/>
  <c r="AE65" i="17"/>
  <c r="AD65" i="17"/>
  <c r="AC65" i="17"/>
  <c r="AQ64" i="17"/>
  <c r="AP64" i="17"/>
  <c r="AH64" i="17"/>
  <c r="AG64" i="17"/>
  <c r="AF64" i="17"/>
  <c r="AE64" i="17"/>
  <c r="AD64" i="17"/>
  <c r="AC64" i="17"/>
  <c r="AQ63" i="17"/>
  <c r="AP63" i="17"/>
  <c r="AH63" i="17"/>
  <c r="AG63" i="17"/>
  <c r="AF63" i="17"/>
  <c r="AE63" i="17"/>
  <c r="AD63" i="17"/>
  <c r="AC63" i="17"/>
  <c r="AQ62" i="17"/>
  <c r="AP62" i="17"/>
  <c r="AH62" i="17"/>
  <c r="AG62" i="17"/>
  <c r="AF62" i="17"/>
  <c r="AE62" i="17"/>
  <c r="AD62" i="17"/>
  <c r="AC62" i="17"/>
  <c r="AQ61" i="17"/>
  <c r="AP61" i="17"/>
  <c r="AH61" i="17"/>
  <c r="AG61" i="17"/>
  <c r="AF61" i="17"/>
  <c r="AE61" i="17"/>
  <c r="AD61" i="17"/>
  <c r="AC61" i="17"/>
  <c r="AQ60" i="17"/>
  <c r="AP60" i="17"/>
  <c r="AH60" i="17"/>
  <c r="AG60" i="17"/>
  <c r="AF60" i="17"/>
  <c r="AE60" i="17"/>
  <c r="AD60" i="17"/>
  <c r="AC60" i="17"/>
  <c r="AQ59" i="17"/>
  <c r="AP59" i="17"/>
  <c r="AH59" i="17"/>
  <c r="AG59" i="17"/>
  <c r="AF59" i="17"/>
  <c r="AE59" i="17"/>
  <c r="AD59" i="17"/>
  <c r="AC59" i="17"/>
  <c r="AQ58" i="17"/>
  <c r="AP58" i="17"/>
  <c r="AH58" i="17"/>
  <c r="AG58" i="17"/>
  <c r="AF58" i="17"/>
  <c r="AE58" i="17"/>
  <c r="AD58" i="17"/>
  <c r="AC58" i="17"/>
  <c r="AQ57" i="17"/>
  <c r="AP57" i="17"/>
  <c r="AH57" i="17"/>
  <c r="AG57" i="17"/>
  <c r="AF57" i="17"/>
  <c r="AE57" i="17"/>
  <c r="AD57" i="17"/>
  <c r="AC57" i="17"/>
  <c r="AQ56" i="17"/>
  <c r="AP56" i="17"/>
  <c r="AH56" i="17"/>
  <c r="AG56" i="17"/>
  <c r="AF56" i="17"/>
  <c r="AE56" i="17"/>
  <c r="AD56" i="17"/>
  <c r="AC56" i="17"/>
  <c r="AQ55" i="17"/>
  <c r="AP55" i="17"/>
  <c r="AH55" i="17"/>
  <c r="AG55" i="17"/>
  <c r="AF55" i="17"/>
  <c r="AE55" i="17"/>
  <c r="AD55" i="17"/>
  <c r="AC55" i="17"/>
  <c r="AQ54" i="17"/>
  <c r="AP54" i="17"/>
  <c r="AH54" i="17"/>
  <c r="AG54" i="17"/>
  <c r="AF54" i="17"/>
  <c r="AE54" i="17"/>
  <c r="AD54" i="17"/>
  <c r="AC54" i="17"/>
  <c r="AQ53" i="17"/>
  <c r="AP53" i="17"/>
  <c r="AH53" i="17"/>
  <c r="AG53" i="17"/>
  <c r="AF53" i="17"/>
  <c r="AE53" i="17"/>
  <c r="AD53" i="17"/>
  <c r="AC53" i="17"/>
  <c r="AQ52" i="17"/>
  <c r="AP52" i="17"/>
  <c r="AH52" i="17"/>
  <c r="AG52" i="17"/>
  <c r="AF52" i="17"/>
  <c r="AE52" i="17"/>
  <c r="AD52" i="17"/>
  <c r="AC52" i="17"/>
  <c r="AQ51" i="17"/>
  <c r="AP51" i="17"/>
  <c r="AH51" i="17"/>
  <c r="AG51" i="17"/>
  <c r="AF51" i="17"/>
  <c r="AE51" i="17"/>
  <c r="AD51" i="17"/>
  <c r="AC51" i="17"/>
  <c r="AQ50" i="17"/>
  <c r="AP50" i="17"/>
  <c r="AH50" i="17"/>
  <c r="AG50" i="17"/>
  <c r="AF50" i="17"/>
  <c r="AE50" i="17"/>
  <c r="AD50" i="17"/>
  <c r="AC50" i="17"/>
  <c r="AQ49" i="17"/>
  <c r="AP49" i="17"/>
  <c r="AH49" i="17"/>
  <c r="AG49" i="17"/>
  <c r="AF49" i="17"/>
  <c r="AE49" i="17"/>
  <c r="AD49" i="17"/>
  <c r="AC49" i="17"/>
  <c r="AQ48" i="17"/>
  <c r="AP48" i="17"/>
  <c r="AH48" i="17"/>
  <c r="AG48" i="17"/>
  <c r="AF48" i="17"/>
  <c r="AE48" i="17"/>
  <c r="AD48" i="17"/>
  <c r="AC48" i="17"/>
  <c r="AQ47" i="17"/>
  <c r="AP47" i="17"/>
  <c r="AH47" i="17"/>
  <c r="AG47" i="17"/>
  <c r="AF47" i="17"/>
  <c r="AE47" i="17"/>
  <c r="AD47" i="17"/>
  <c r="AC47" i="17"/>
  <c r="AQ46" i="17"/>
  <c r="AP46" i="17"/>
  <c r="AH46" i="17"/>
  <c r="AG46" i="17"/>
  <c r="AF46" i="17"/>
  <c r="AE46" i="17"/>
  <c r="AD46" i="17"/>
  <c r="AC46" i="17"/>
  <c r="AQ45" i="17"/>
  <c r="AP45" i="17"/>
  <c r="AH45" i="17"/>
  <c r="AG45" i="17"/>
  <c r="AF45" i="17"/>
  <c r="AE45" i="17"/>
  <c r="AD45" i="17"/>
  <c r="AC45" i="17"/>
  <c r="AQ44" i="17"/>
  <c r="AP44" i="17"/>
  <c r="AH44" i="17"/>
  <c r="AG44" i="17"/>
  <c r="AF44" i="17"/>
  <c r="AE44" i="17"/>
  <c r="AD44" i="17"/>
  <c r="AC44" i="17"/>
  <c r="AQ43" i="17"/>
  <c r="AP43" i="17"/>
  <c r="AH43" i="17"/>
  <c r="AG43" i="17"/>
  <c r="AF43" i="17"/>
  <c r="AE43" i="17"/>
  <c r="AD43" i="17"/>
  <c r="AC43" i="17"/>
  <c r="AQ42" i="17"/>
  <c r="AP42" i="17"/>
  <c r="AH42" i="17"/>
  <c r="AG42" i="17"/>
  <c r="AF42" i="17"/>
  <c r="AE42" i="17"/>
  <c r="AD42" i="17"/>
  <c r="AC42" i="17"/>
  <c r="AQ41" i="17"/>
  <c r="AP41" i="17"/>
  <c r="AH41" i="17"/>
  <c r="AG41" i="17"/>
  <c r="AF41" i="17"/>
  <c r="AE41" i="17"/>
  <c r="AD41" i="17"/>
  <c r="AC41" i="17"/>
  <c r="AQ40" i="17"/>
  <c r="AP40" i="17"/>
  <c r="AH40" i="17"/>
  <c r="AG40" i="17"/>
  <c r="AF40" i="17"/>
  <c r="AE40" i="17"/>
  <c r="AD40" i="17"/>
  <c r="AC40" i="17"/>
  <c r="AQ39" i="17"/>
  <c r="AP39" i="17"/>
  <c r="AH39" i="17"/>
  <c r="AG39" i="17"/>
  <c r="AF39" i="17"/>
  <c r="AE39" i="17"/>
  <c r="AD39" i="17"/>
  <c r="AC39" i="17"/>
  <c r="AQ38" i="17"/>
  <c r="AP38" i="17"/>
  <c r="AH38" i="17"/>
  <c r="AG38" i="17"/>
  <c r="AF38" i="17"/>
  <c r="AE38" i="17"/>
  <c r="AD38" i="17"/>
  <c r="AC38" i="17"/>
  <c r="AQ37" i="17"/>
  <c r="AP37" i="17"/>
  <c r="AH37" i="17"/>
  <c r="AG37" i="17"/>
  <c r="AF37" i="17"/>
  <c r="AE37" i="17"/>
  <c r="AD37" i="17"/>
  <c r="AC37" i="17"/>
  <c r="AQ36" i="17"/>
  <c r="AP36" i="17"/>
  <c r="AH36" i="17"/>
  <c r="AG36" i="17"/>
  <c r="AF36" i="17"/>
  <c r="AE36" i="17"/>
  <c r="AD36" i="17"/>
  <c r="AC36" i="17"/>
  <c r="AQ35" i="17"/>
  <c r="AP35" i="17"/>
  <c r="AH35" i="17"/>
  <c r="AG35" i="17"/>
  <c r="AF35" i="17"/>
  <c r="AE35" i="17"/>
  <c r="AD35" i="17"/>
  <c r="AC35" i="17"/>
  <c r="AQ34" i="17"/>
  <c r="AP34" i="17"/>
  <c r="AH34" i="17"/>
  <c r="AG34" i="17"/>
  <c r="AF34" i="17"/>
  <c r="AE34" i="17"/>
  <c r="AD34" i="17"/>
  <c r="AC34" i="17"/>
  <c r="AQ33" i="17"/>
  <c r="AP33" i="17"/>
  <c r="AH33" i="17"/>
  <c r="AG33" i="17"/>
  <c r="AF33" i="17"/>
  <c r="AE33" i="17"/>
  <c r="AD33" i="17"/>
  <c r="AC33" i="17"/>
  <c r="AQ32" i="17"/>
  <c r="AP32" i="17"/>
  <c r="AH32" i="17"/>
  <c r="AG32" i="17"/>
  <c r="AF32" i="17"/>
  <c r="AE32" i="17"/>
  <c r="AD32" i="17"/>
  <c r="AC32" i="17"/>
  <c r="AQ31" i="17"/>
  <c r="AP31" i="17"/>
  <c r="AH31" i="17"/>
  <c r="AG31" i="17"/>
  <c r="AF31" i="17"/>
  <c r="AE31" i="17"/>
  <c r="AD31" i="17"/>
  <c r="AC31" i="17"/>
  <c r="AQ30" i="17"/>
  <c r="AP30" i="17"/>
  <c r="AH30" i="17"/>
  <c r="AG30" i="17"/>
  <c r="AF30" i="17"/>
  <c r="AE30" i="17"/>
  <c r="AD30" i="17"/>
  <c r="AC30" i="17"/>
  <c r="AQ29" i="17"/>
  <c r="AP29" i="17"/>
  <c r="AH29" i="17"/>
  <c r="AG29" i="17"/>
  <c r="AF29" i="17"/>
  <c r="AE29" i="17"/>
  <c r="AD29" i="17"/>
  <c r="AC29" i="17"/>
  <c r="AQ28" i="17"/>
  <c r="AP28" i="17"/>
  <c r="AH28" i="17"/>
  <c r="AG28" i="17"/>
  <c r="AF28" i="17"/>
  <c r="AE28" i="17"/>
  <c r="AD28" i="17"/>
  <c r="AC28" i="17"/>
  <c r="AQ27" i="17"/>
  <c r="AP27" i="17"/>
  <c r="AH27" i="17"/>
  <c r="AG27" i="17"/>
  <c r="AF27" i="17"/>
  <c r="AE27" i="17"/>
  <c r="AD27" i="17"/>
  <c r="AC27" i="17"/>
  <c r="AQ26" i="17"/>
  <c r="AP26" i="17"/>
  <c r="AH26" i="17"/>
  <c r="AG26" i="17"/>
  <c r="AF26" i="17"/>
  <c r="AE26" i="17"/>
  <c r="AD26" i="17"/>
  <c r="AC26" i="17"/>
  <c r="AQ25" i="17"/>
  <c r="AP25" i="17"/>
  <c r="AH25" i="17"/>
  <c r="AG25" i="17"/>
  <c r="AF25" i="17"/>
  <c r="AE25" i="17"/>
  <c r="AD25" i="17"/>
  <c r="AC25" i="17"/>
  <c r="AQ24" i="17"/>
  <c r="AP24" i="17"/>
  <c r="AH24" i="17"/>
  <c r="AG24" i="17"/>
  <c r="AF24" i="17"/>
  <c r="AE24" i="17"/>
  <c r="AD24" i="17"/>
  <c r="AC24" i="17"/>
  <c r="AQ23" i="17"/>
  <c r="AP23" i="17"/>
  <c r="AH23" i="17"/>
  <c r="AG23" i="17"/>
  <c r="AF23" i="17"/>
  <c r="AE23" i="17"/>
  <c r="AD23" i="17"/>
  <c r="AC23" i="17"/>
  <c r="AQ22" i="17"/>
  <c r="AP22" i="17"/>
  <c r="AH22" i="17"/>
  <c r="AG22" i="17"/>
  <c r="AF22" i="17"/>
  <c r="AE22" i="17"/>
  <c r="AD22" i="17"/>
  <c r="AC22" i="17"/>
  <c r="AQ21" i="17"/>
  <c r="AP21" i="17"/>
  <c r="AH21" i="17"/>
  <c r="AG21" i="17"/>
  <c r="AF21" i="17"/>
  <c r="AE21" i="17"/>
  <c r="AD21" i="17"/>
  <c r="AC21" i="17"/>
  <c r="AQ20" i="17"/>
  <c r="AP20" i="17"/>
  <c r="AH20" i="17"/>
  <c r="AG20" i="17"/>
  <c r="AF20" i="17"/>
  <c r="AE20" i="17"/>
  <c r="AD20" i="17"/>
  <c r="AC20" i="17"/>
  <c r="AQ19" i="17"/>
  <c r="AP19" i="17"/>
  <c r="AH19" i="17"/>
  <c r="AG19" i="17"/>
  <c r="AF19" i="17"/>
  <c r="AE19" i="17"/>
  <c r="AD19" i="17"/>
  <c r="AC19" i="17"/>
  <c r="AQ18" i="17"/>
  <c r="AP18" i="17"/>
  <c r="AH18" i="17"/>
  <c r="AG18" i="17"/>
  <c r="AF18" i="17"/>
  <c r="AE18" i="17"/>
  <c r="AD18" i="17"/>
  <c r="AC18" i="17"/>
  <c r="AQ17" i="17"/>
  <c r="AP17" i="17"/>
  <c r="AH17" i="17"/>
  <c r="AG17" i="17"/>
  <c r="AF17" i="17"/>
  <c r="AE17" i="17"/>
  <c r="AD17" i="17"/>
  <c r="AC17" i="17"/>
  <c r="AQ16" i="17"/>
  <c r="AP16" i="17"/>
  <c r="AH16" i="17"/>
  <c r="AG16" i="17"/>
  <c r="AF16" i="17"/>
  <c r="AE16" i="17"/>
  <c r="AD16" i="17"/>
  <c r="AC16" i="17"/>
  <c r="AQ15" i="17"/>
  <c r="AP15" i="17"/>
  <c r="AH15" i="17"/>
  <c r="AG15" i="17"/>
  <c r="AF15" i="17"/>
  <c r="AE15" i="17"/>
  <c r="AD15" i="17"/>
  <c r="AC15" i="17"/>
  <c r="AQ14" i="17"/>
  <c r="AP14" i="17"/>
  <c r="AH14" i="17"/>
  <c r="AG14" i="17"/>
  <c r="AF14" i="17"/>
  <c r="AE14" i="17"/>
  <c r="AD14" i="17"/>
  <c r="AC14" i="17"/>
  <c r="AQ13" i="17"/>
  <c r="AP13" i="17"/>
  <c r="AH13" i="17"/>
  <c r="AG13" i="17"/>
  <c r="AF13" i="17"/>
  <c r="AE13" i="17"/>
  <c r="AD13" i="17"/>
  <c r="AC13" i="17"/>
  <c r="AQ12" i="17"/>
  <c r="AP12" i="17"/>
  <c r="AH12" i="17"/>
  <c r="AG12" i="17"/>
  <c r="AF12" i="17"/>
  <c r="AE12" i="17"/>
  <c r="AD12" i="17"/>
  <c r="AC12" i="17"/>
  <c r="AQ11" i="17"/>
  <c r="AP11" i="17"/>
  <c r="AH11" i="17"/>
  <c r="AG11" i="17"/>
  <c r="AF11" i="17"/>
  <c r="AE11" i="17"/>
  <c r="AD11" i="17"/>
  <c r="AC11" i="17"/>
  <c r="AQ10" i="17"/>
  <c r="AP10" i="17"/>
  <c r="AH10" i="17"/>
  <c r="AG10" i="17"/>
  <c r="AF10" i="17"/>
  <c r="AE10" i="17"/>
  <c r="AD10" i="17"/>
  <c r="AC10" i="17"/>
  <c r="AQ9" i="17"/>
  <c r="AP9" i="17"/>
  <c r="AH9" i="17"/>
  <c r="AG9" i="17"/>
  <c r="AF9" i="17"/>
  <c r="AE9" i="17"/>
  <c r="AD9" i="17"/>
  <c r="AC9" i="17"/>
  <c r="AQ8" i="17"/>
  <c r="AP8" i="17"/>
  <c r="AH8" i="17"/>
  <c r="AG8" i="17"/>
  <c r="AF8" i="17"/>
  <c r="AE8" i="17"/>
  <c r="AD8" i="17"/>
  <c r="AC8" i="17"/>
  <c r="AQ7" i="17"/>
  <c r="AP7" i="17"/>
  <c r="AH7" i="17"/>
  <c r="AG7" i="17"/>
  <c r="AF7" i="17"/>
  <c r="AE7" i="17"/>
  <c r="AD7" i="17"/>
  <c r="AC7" i="17"/>
  <c r="AQ6" i="17"/>
  <c r="AP6" i="17"/>
  <c r="AH6" i="17"/>
  <c r="AG6" i="17"/>
  <c r="AF6" i="17"/>
  <c r="AE6" i="17"/>
  <c r="AD6" i="17"/>
  <c r="AC6" i="17"/>
  <c r="AQ5" i="17"/>
  <c r="AP5" i="17"/>
  <c r="AH5" i="17"/>
  <c r="AG5" i="17"/>
  <c r="AF5" i="17"/>
  <c r="AE5" i="17"/>
  <c r="AD5" i="17"/>
  <c r="AC5" i="17"/>
  <c r="AQ4" i="17"/>
  <c r="AP4" i="17"/>
  <c r="AH4" i="17"/>
  <c r="AG4" i="17"/>
  <c r="AF4" i="17"/>
  <c r="AE4" i="17"/>
  <c r="AD4" i="17"/>
  <c r="AC4" i="17"/>
  <c r="AQ3" i="17"/>
  <c r="AP3" i="17"/>
  <c r="AH3" i="17"/>
  <c r="AG3" i="17"/>
  <c r="AF3" i="17"/>
  <c r="AE3" i="17"/>
  <c r="AD3" i="17"/>
  <c r="AC3" i="17"/>
  <c r="AQ2" i="17"/>
  <c r="AP2" i="17"/>
  <c r="AR2" i="17" s="1"/>
  <c r="AH2" i="17"/>
  <c r="AG2" i="17"/>
  <c r="AF2" i="17"/>
  <c r="AE2" i="17"/>
  <c r="AD2" i="17"/>
  <c r="AC2" i="17"/>
  <c r="M1347" i="16"/>
  <c r="L1347" i="16"/>
  <c r="K1347" i="16"/>
  <c r="J1347" i="16"/>
  <c r="I1347" i="16"/>
  <c r="H1347" i="16"/>
  <c r="G1347" i="16"/>
  <c r="M1346" i="16"/>
  <c r="L1346" i="16"/>
  <c r="K1346" i="16"/>
  <c r="J1346" i="16"/>
  <c r="I1346" i="16"/>
  <c r="H1346" i="16"/>
  <c r="G1346" i="16"/>
  <c r="M1345" i="16"/>
  <c r="L1345" i="16"/>
  <c r="K1345" i="16"/>
  <c r="J1345" i="16"/>
  <c r="I1345" i="16"/>
  <c r="H1345" i="16"/>
  <c r="G1345" i="16"/>
  <c r="M1344" i="16"/>
  <c r="L1344" i="16"/>
  <c r="K1344" i="16"/>
  <c r="J1344" i="16"/>
  <c r="I1344" i="16"/>
  <c r="H1344" i="16"/>
  <c r="G1344" i="16"/>
  <c r="M1343" i="16"/>
  <c r="L1343" i="16"/>
  <c r="K1343" i="16"/>
  <c r="J1343" i="16"/>
  <c r="I1343" i="16"/>
  <c r="H1343" i="16"/>
  <c r="G1343" i="16"/>
  <c r="M1342" i="16"/>
  <c r="L1342" i="16"/>
  <c r="K1342" i="16"/>
  <c r="J1342" i="16"/>
  <c r="I1342" i="16"/>
  <c r="H1342" i="16"/>
  <c r="G1342" i="16"/>
  <c r="M1341" i="16"/>
  <c r="L1341" i="16"/>
  <c r="K1341" i="16"/>
  <c r="J1341" i="16"/>
  <c r="I1341" i="16"/>
  <c r="H1341" i="16"/>
  <c r="G1341" i="16"/>
  <c r="M1340" i="16"/>
  <c r="L1340" i="16"/>
  <c r="K1340" i="16"/>
  <c r="J1340" i="16"/>
  <c r="I1340" i="16"/>
  <c r="H1340" i="16"/>
  <c r="G1340" i="16"/>
  <c r="M1339" i="16"/>
  <c r="L1339" i="16"/>
  <c r="K1339" i="16"/>
  <c r="J1339" i="16"/>
  <c r="I1339" i="16"/>
  <c r="H1339" i="16"/>
  <c r="G1339" i="16"/>
  <c r="M1338" i="16"/>
  <c r="L1338" i="16"/>
  <c r="K1338" i="16"/>
  <c r="J1338" i="16"/>
  <c r="I1338" i="16"/>
  <c r="H1338" i="16"/>
  <c r="G1338" i="16"/>
  <c r="M1337" i="16"/>
  <c r="L1337" i="16"/>
  <c r="K1337" i="16"/>
  <c r="J1337" i="16"/>
  <c r="I1337" i="16"/>
  <c r="H1337" i="16"/>
  <c r="G1337" i="16"/>
  <c r="M1336" i="16"/>
  <c r="L1336" i="16"/>
  <c r="K1336" i="16"/>
  <c r="J1336" i="16"/>
  <c r="I1336" i="16"/>
  <c r="H1336" i="16"/>
  <c r="G1336" i="16"/>
  <c r="M1335" i="16"/>
  <c r="L1335" i="16"/>
  <c r="K1335" i="16"/>
  <c r="J1335" i="16"/>
  <c r="I1335" i="16"/>
  <c r="H1335" i="16"/>
  <c r="G1335" i="16"/>
  <c r="M1334" i="16"/>
  <c r="L1334" i="16"/>
  <c r="K1334" i="16"/>
  <c r="J1334" i="16"/>
  <c r="I1334" i="16"/>
  <c r="H1334" i="16"/>
  <c r="G1334" i="16"/>
  <c r="M1333" i="16"/>
  <c r="L1333" i="16"/>
  <c r="K1333" i="16"/>
  <c r="J1333" i="16"/>
  <c r="I1333" i="16"/>
  <c r="H1333" i="16"/>
  <c r="G1333" i="16"/>
  <c r="M1332" i="16"/>
  <c r="L1332" i="16"/>
  <c r="K1332" i="16"/>
  <c r="J1332" i="16"/>
  <c r="I1332" i="16"/>
  <c r="H1332" i="16"/>
  <c r="G1332" i="16"/>
  <c r="M1331" i="16"/>
  <c r="L1331" i="16"/>
  <c r="K1331" i="16"/>
  <c r="J1331" i="16"/>
  <c r="I1331" i="16"/>
  <c r="H1331" i="16"/>
  <c r="G1331" i="16"/>
  <c r="M1330" i="16"/>
  <c r="L1330" i="16"/>
  <c r="K1330" i="16"/>
  <c r="J1330" i="16"/>
  <c r="I1330" i="16"/>
  <c r="H1330" i="16"/>
  <c r="G1330" i="16"/>
  <c r="M1329" i="16"/>
  <c r="L1329" i="16"/>
  <c r="K1329" i="16"/>
  <c r="J1329" i="16"/>
  <c r="I1329" i="16"/>
  <c r="H1329" i="16"/>
  <c r="G1329" i="16"/>
  <c r="M1328" i="16"/>
  <c r="L1328" i="16"/>
  <c r="K1328" i="16"/>
  <c r="J1328" i="16"/>
  <c r="I1328" i="16"/>
  <c r="H1328" i="16"/>
  <c r="G1328" i="16"/>
  <c r="M1327" i="16"/>
  <c r="L1327" i="16"/>
  <c r="K1327" i="16"/>
  <c r="J1327" i="16"/>
  <c r="I1327" i="16"/>
  <c r="H1327" i="16"/>
  <c r="G1327" i="16"/>
  <c r="M1326" i="16"/>
  <c r="L1326" i="16"/>
  <c r="K1326" i="16"/>
  <c r="J1326" i="16"/>
  <c r="I1326" i="16"/>
  <c r="H1326" i="16"/>
  <c r="G1326" i="16"/>
  <c r="M1325" i="16"/>
  <c r="L1325" i="16"/>
  <c r="K1325" i="16"/>
  <c r="J1325" i="16"/>
  <c r="I1325" i="16"/>
  <c r="H1325" i="16"/>
  <c r="G1325" i="16"/>
  <c r="M1324" i="16"/>
  <c r="L1324" i="16"/>
  <c r="K1324" i="16"/>
  <c r="J1324" i="16"/>
  <c r="I1324" i="16"/>
  <c r="H1324" i="16"/>
  <c r="G1324" i="16"/>
  <c r="M1323" i="16"/>
  <c r="L1323" i="16"/>
  <c r="K1323" i="16"/>
  <c r="J1323" i="16"/>
  <c r="I1323" i="16"/>
  <c r="H1323" i="16"/>
  <c r="G1323" i="16"/>
  <c r="M1322" i="16"/>
  <c r="L1322" i="16"/>
  <c r="K1322" i="16"/>
  <c r="J1322" i="16"/>
  <c r="I1322" i="16"/>
  <c r="H1322" i="16"/>
  <c r="G1322" i="16"/>
  <c r="M1321" i="16"/>
  <c r="L1321" i="16"/>
  <c r="K1321" i="16"/>
  <c r="J1321" i="16"/>
  <c r="I1321" i="16"/>
  <c r="H1321" i="16"/>
  <c r="G1321" i="16"/>
  <c r="M1320" i="16"/>
  <c r="L1320" i="16"/>
  <c r="K1320" i="16"/>
  <c r="J1320" i="16"/>
  <c r="I1320" i="16"/>
  <c r="H1320" i="16"/>
  <c r="G1320" i="16"/>
  <c r="M1319" i="16"/>
  <c r="L1319" i="16"/>
  <c r="K1319" i="16"/>
  <c r="J1319" i="16"/>
  <c r="I1319" i="16"/>
  <c r="H1319" i="16"/>
  <c r="G1319" i="16"/>
  <c r="M1318" i="16"/>
  <c r="L1318" i="16"/>
  <c r="K1318" i="16"/>
  <c r="J1318" i="16"/>
  <c r="I1318" i="16"/>
  <c r="H1318" i="16"/>
  <c r="G1318" i="16"/>
  <c r="M1317" i="16"/>
  <c r="L1317" i="16"/>
  <c r="K1317" i="16"/>
  <c r="J1317" i="16"/>
  <c r="I1317" i="16"/>
  <c r="H1317" i="16"/>
  <c r="G1317" i="16"/>
  <c r="M1316" i="16"/>
  <c r="L1316" i="16"/>
  <c r="K1316" i="16"/>
  <c r="J1316" i="16"/>
  <c r="I1316" i="16"/>
  <c r="H1316" i="16"/>
  <c r="G1316" i="16"/>
  <c r="M1315" i="16"/>
  <c r="L1315" i="16"/>
  <c r="K1315" i="16"/>
  <c r="J1315" i="16"/>
  <c r="I1315" i="16"/>
  <c r="H1315" i="16"/>
  <c r="G1315" i="16"/>
  <c r="M1314" i="16"/>
  <c r="L1314" i="16"/>
  <c r="K1314" i="16"/>
  <c r="J1314" i="16"/>
  <c r="I1314" i="16"/>
  <c r="H1314" i="16"/>
  <c r="G1314" i="16"/>
  <c r="M1313" i="16"/>
  <c r="L1313" i="16"/>
  <c r="K1313" i="16"/>
  <c r="J1313" i="16"/>
  <c r="I1313" i="16"/>
  <c r="H1313" i="16"/>
  <c r="G1313" i="16"/>
  <c r="M1312" i="16"/>
  <c r="L1312" i="16"/>
  <c r="K1312" i="16"/>
  <c r="J1312" i="16"/>
  <c r="I1312" i="16"/>
  <c r="H1312" i="16"/>
  <c r="G1312" i="16"/>
  <c r="M1311" i="16"/>
  <c r="L1311" i="16"/>
  <c r="K1311" i="16"/>
  <c r="J1311" i="16"/>
  <c r="I1311" i="16"/>
  <c r="H1311" i="16"/>
  <c r="G1311" i="16"/>
  <c r="M1310" i="16"/>
  <c r="L1310" i="16"/>
  <c r="K1310" i="16"/>
  <c r="J1310" i="16"/>
  <c r="I1310" i="16"/>
  <c r="H1310" i="16"/>
  <c r="G1310" i="16"/>
  <c r="M1309" i="16"/>
  <c r="L1309" i="16"/>
  <c r="K1309" i="16"/>
  <c r="J1309" i="16"/>
  <c r="I1309" i="16"/>
  <c r="H1309" i="16"/>
  <c r="G1309" i="16"/>
  <c r="M1308" i="16"/>
  <c r="L1308" i="16"/>
  <c r="K1308" i="16"/>
  <c r="J1308" i="16"/>
  <c r="I1308" i="16"/>
  <c r="H1308" i="16"/>
  <c r="G1308" i="16"/>
  <c r="M1307" i="16"/>
  <c r="L1307" i="16"/>
  <c r="K1307" i="16"/>
  <c r="J1307" i="16"/>
  <c r="I1307" i="16"/>
  <c r="H1307" i="16"/>
  <c r="G1307" i="16"/>
  <c r="M1306" i="16"/>
  <c r="L1306" i="16"/>
  <c r="K1306" i="16"/>
  <c r="J1306" i="16"/>
  <c r="I1306" i="16"/>
  <c r="H1306" i="16"/>
  <c r="G1306" i="16"/>
  <c r="M1305" i="16"/>
  <c r="L1305" i="16"/>
  <c r="K1305" i="16"/>
  <c r="J1305" i="16"/>
  <c r="I1305" i="16"/>
  <c r="H1305" i="16"/>
  <c r="G1305" i="16"/>
  <c r="M1304" i="16"/>
  <c r="L1304" i="16"/>
  <c r="K1304" i="16"/>
  <c r="J1304" i="16"/>
  <c r="I1304" i="16"/>
  <c r="H1304" i="16"/>
  <c r="G1304" i="16"/>
  <c r="M1303" i="16"/>
  <c r="L1303" i="16"/>
  <c r="K1303" i="16"/>
  <c r="J1303" i="16"/>
  <c r="I1303" i="16"/>
  <c r="H1303" i="16"/>
  <c r="G1303" i="16"/>
  <c r="M1302" i="16"/>
  <c r="L1302" i="16"/>
  <c r="K1302" i="16"/>
  <c r="J1302" i="16"/>
  <c r="I1302" i="16"/>
  <c r="H1302" i="16"/>
  <c r="G1302" i="16"/>
  <c r="M1301" i="16"/>
  <c r="L1301" i="16"/>
  <c r="K1301" i="16"/>
  <c r="J1301" i="16"/>
  <c r="I1301" i="16"/>
  <c r="H1301" i="16"/>
  <c r="G1301" i="16"/>
  <c r="M1300" i="16"/>
  <c r="L1300" i="16"/>
  <c r="K1300" i="16"/>
  <c r="J1300" i="16"/>
  <c r="I1300" i="16"/>
  <c r="H1300" i="16"/>
  <c r="G1300" i="16"/>
  <c r="M1299" i="16"/>
  <c r="L1299" i="16"/>
  <c r="K1299" i="16"/>
  <c r="J1299" i="16"/>
  <c r="I1299" i="16"/>
  <c r="H1299" i="16"/>
  <c r="G1299" i="16"/>
  <c r="M1298" i="16"/>
  <c r="L1298" i="16"/>
  <c r="K1298" i="16"/>
  <c r="J1298" i="16"/>
  <c r="I1298" i="16"/>
  <c r="H1298" i="16"/>
  <c r="G1298" i="16"/>
  <c r="M1297" i="16"/>
  <c r="L1297" i="16"/>
  <c r="K1297" i="16"/>
  <c r="J1297" i="16"/>
  <c r="I1297" i="16"/>
  <c r="H1297" i="16"/>
  <c r="G1297" i="16"/>
  <c r="M1296" i="16"/>
  <c r="L1296" i="16"/>
  <c r="K1296" i="16"/>
  <c r="J1296" i="16"/>
  <c r="I1296" i="16"/>
  <c r="H1296" i="16"/>
  <c r="G1296" i="16"/>
  <c r="M1295" i="16"/>
  <c r="L1295" i="16"/>
  <c r="K1295" i="16"/>
  <c r="J1295" i="16"/>
  <c r="I1295" i="16"/>
  <c r="H1295" i="16"/>
  <c r="G1295" i="16"/>
  <c r="M1294" i="16"/>
  <c r="L1294" i="16"/>
  <c r="K1294" i="16"/>
  <c r="J1294" i="16"/>
  <c r="I1294" i="16"/>
  <c r="H1294" i="16"/>
  <c r="G1294" i="16"/>
  <c r="M1293" i="16"/>
  <c r="L1293" i="16"/>
  <c r="K1293" i="16"/>
  <c r="J1293" i="16"/>
  <c r="I1293" i="16"/>
  <c r="H1293" i="16"/>
  <c r="G1293" i="16"/>
  <c r="M1292" i="16"/>
  <c r="L1292" i="16"/>
  <c r="K1292" i="16"/>
  <c r="J1292" i="16"/>
  <c r="I1292" i="16"/>
  <c r="H1292" i="16"/>
  <c r="G1292" i="16"/>
  <c r="M1291" i="16"/>
  <c r="L1291" i="16"/>
  <c r="K1291" i="16"/>
  <c r="J1291" i="16"/>
  <c r="I1291" i="16"/>
  <c r="H1291" i="16"/>
  <c r="G1291" i="16"/>
  <c r="M1290" i="16"/>
  <c r="L1290" i="16"/>
  <c r="K1290" i="16"/>
  <c r="J1290" i="16"/>
  <c r="I1290" i="16"/>
  <c r="H1290" i="16"/>
  <c r="G1290" i="16"/>
  <c r="M1289" i="16"/>
  <c r="L1289" i="16"/>
  <c r="K1289" i="16"/>
  <c r="J1289" i="16"/>
  <c r="I1289" i="16"/>
  <c r="H1289" i="16"/>
  <c r="G1289" i="16"/>
  <c r="M1288" i="16"/>
  <c r="L1288" i="16"/>
  <c r="K1288" i="16"/>
  <c r="J1288" i="16"/>
  <c r="I1288" i="16"/>
  <c r="H1288" i="16"/>
  <c r="G1288" i="16"/>
  <c r="M1287" i="16"/>
  <c r="L1287" i="16"/>
  <c r="K1287" i="16"/>
  <c r="J1287" i="16"/>
  <c r="I1287" i="16"/>
  <c r="H1287" i="16"/>
  <c r="G1287" i="16"/>
  <c r="M1286" i="16"/>
  <c r="L1286" i="16"/>
  <c r="K1286" i="16"/>
  <c r="J1286" i="16"/>
  <c r="I1286" i="16"/>
  <c r="H1286" i="16"/>
  <c r="G1286" i="16"/>
  <c r="M1285" i="16"/>
  <c r="L1285" i="16"/>
  <c r="K1285" i="16"/>
  <c r="J1285" i="16"/>
  <c r="I1285" i="16"/>
  <c r="H1285" i="16"/>
  <c r="G1285" i="16"/>
  <c r="M1284" i="16"/>
  <c r="L1284" i="16"/>
  <c r="K1284" i="16"/>
  <c r="J1284" i="16"/>
  <c r="I1284" i="16"/>
  <c r="H1284" i="16"/>
  <c r="G1284" i="16"/>
  <c r="M1283" i="16"/>
  <c r="L1283" i="16"/>
  <c r="K1283" i="16"/>
  <c r="J1283" i="16"/>
  <c r="I1283" i="16"/>
  <c r="H1283" i="16"/>
  <c r="G1283" i="16"/>
  <c r="M1282" i="16"/>
  <c r="L1282" i="16"/>
  <c r="K1282" i="16"/>
  <c r="J1282" i="16"/>
  <c r="I1282" i="16"/>
  <c r="H1282" i="16"/>
  <c r="G1282" i="16"/>
  <c r="M1281" i="16"/>
  <c r="L1281" i="16"/>
  <c r="K1281" i="16"/>
  <c r="J1281" i="16"/>
  <c r="I1281" i="16"/>
  <c r="H1281" i="16"/>
  <c r="G1281" i="16"/>
  <c r="M1280" i="16"/>
  <c r="L1280" i="16"/>
  <c r="K1280" i="16"/>
  <c r="J1280" i="16"/>
  <c r="I1280" i="16"/>
  <c r="H1280" i="16"/>
  <c r="G1280" i="16"/>
  <c r="M1279" i="16"/>
  <c r="L1279" i="16"/>
  <c r="K1279" i="16"/>
  <c r="J1279" i="16"/>
  <c r="I1279" i="16"/>
  <c r="H1279" i="16"/>
  <c r="G1279" i="16"/>
  <c r="M1278" i="16"/>
  <c r="L1278" i="16"/>
  <c r="K1278" i="16"/>
  <c r="J1278" i="16"/>
  <c r="I1278" i="16"/>
  <c r="H1278" i="16"/>
  <c r="G1278" i="16"/>
  <c r="M1277" i="16"/>
  <c r="L1277" i="16"/>
  <c r="K1277" i="16"/>
  <c r="J1277" i="16"/>
  <c r="I1277" i="16"/>
  <c r="H1277" i="16"/>
  <c r="G1277" i="16"/>
  <c r="M1276" i="16"/>
  <c r="L1276" i="16"/>
  <c r="K1276" i="16"/>
  <c r="J1276" i="16"/>
  <c r="I1276" i="16"/>
  <c r="H1276" i="16"/>
  <c r="G1276" i="16"/>
  <c r="M1275" i="16"/>
  <c r="L1275" i="16"/>
  <c r="K1275" i="16"/>
  <c r="J1275" i="16"/>
  <c r="I1275" i="16"/>
  <c r="H1275" i="16"/>
  <c r="G1275" i="16"/>
  <c r="M1274" i="16"/>
  <c r="L1274" i="16"/>
  <c r="K1274" i="16"/>
  <c r="J1274" i="16"/>
  <c r="I1274" i="16"/>
  <c r="H1274" i="16"/>
  <c r="G1274" i="16"/>
  <c r="M1273" i="16"/>
  <c r="L1273" i="16"/>
  <c r="K1273" i="16"/>
  <c r="J1273" i="16"/>
  <c r="I1273" i="16"/>
  <c r="H1273" i="16"/>
  <c r="G1273" i="16"/>
  <c r="M1272" i="16"/>
  <c r="L1272" i="16"/>
  <c r="K1272" i="16"/>
  <c r="J1272" i="16"/>
  <c r="I1272" i="16"/>
  <c r="H1272" i="16"/>
  <c r="G1272" i="16"/>
  <c r="M1271" i="16"/>
  <c r="L1271" i="16"/>
  <c r="K1271" i="16"/>
  <c r="J1271" i="16"/>
  <c r="I1271" i="16"/>
  <c r="H1271" i="16"/>
  <c r="G1271" i="16"/>
  <c r="M1270" i="16"/>
  <c r="L1270" i="16"/>
  <c r="K1270" i="16"/>
  <c r="J1270" i="16"/>
  <c r="I1270" i="16"/>
  <c r="H1270" i="16"/>
  <c r="G1270" i="16"/>
  <c r="M1269" i="16"/>
  <c r="L1269" i="16"/>
  <c r="K1269" i="16"/>
  <c r="J1269" i="16"/>
  <c r="I1269" i="16"/>
  <c r="H1269" i="16"/>
  <c r="G1269" i="16"/>
  <c r="M1268" i="16"/>
  <c r="L1268" i="16"/>
  <c r="K1268" i="16"/>
  <c r="J1268" i="16"/>
  <c r="I1268" i="16"/>
  <c r="H1268" i="16"/>
  <c r="G1268" i="16"/>
  <c r="M1267" i="16"/>
  <c r="L1267" i="16"/>
  <c r="K1267" i="16"/>
  <c r="J1267" i="16"/>
  <c r="I1267" i="16"/>
  <c r="H1267" i="16"/>
  <c r="G1267" i="16"/>
  <c r="M1266" i="16"/>
  <c r="L1266" i="16"/>
  <c r="K1266" i="16"/>
  <c r="J1266" i="16"/>
  <c r="I1266" i="16"/>
  <c r="H1266" i="16"/>
  <c r="G1266" i="16"/>
  <c r="M1265" i="16"/>
  <c r="L1265" i="16"/>
  <c r="K1265" i="16"/>
  <c r="J1265" i="16"/>
  <c r="I1265" i="16"/>
  <c r="H1265" i="16"/>
  <c r="G1265" i="16"/>
  <c r="M1264" i="16"/>
  <c r="L1264" i="16"/>
  <c r="K1264" i="16"/>
  <c r="J1264" i="16"/>
  <c r="I1264" i="16"/>
  <c r="H1264" i="16"/>
  <c r="G1264" i="16"/>
  <c r="M1263" i="16"/>
  <c r="L1263" i="16"/>
  <c r="K1263" i="16"/>
  <c r="J1263" i="16"/>
  <c r="I1263" i="16"/>
  <c r="H1263" i="16"/>
  <c r="G1263" i="16"/>
  <c r="M1262" i="16"/>
  <c r="L1262" i="16"/>
  <c r="K1262" i="16"/>
  <c r="J1262" i="16"/>
  <c r="I1262" i="16"/>
  <c r="H1262" i="16"/>
  <c r="G1262" i="16"/>
  <c r="M1261" i="16"/>
  <c r="L1261" i="16"/>
  <c r="K1261" i="16"/>
  <c r="J1261" i="16"/>
  <c r="I1261" i="16"/>
  <c r="H1261" i="16"/>
  <c r="G1261" i="16"/>
  <c r="M1260" i="16"/>
  <c r="L1260" i="16"/>
  <c r="K1260" i="16"/>
  <c r="J1260" i="16"/>
  <c r="I1260" i="16"/>
  <c r="H1260" i="16"/>
  <c r="G1260" i="16"/>
  <c r="M1259" i="16"/>
  <c r="L1259" i="16"/>
  <c r="K1259" i="16"/>
  <c r="J1259" i="16"/>
  <c r="I1259" i="16"/>
  <c r="H1259" i="16"/>
  <c r="G1259" i="16"/>
  <c r="M1258" i="16"/>
  <c r="L1258" i="16"/>
  <c r="K1258" i="16"/>
  <c r="J1258" i="16"/>
  <c r="I1258" i="16"/>
  <c r="H1258" i="16"/>
  <c r="G1258" i="16"/>
  <c r="M1257" i="16"/>
  <c r="L1257" i="16"/>
  <c r="K1257" i="16"/>
  <c r="J1257" i="16"/>
  <c r="I1257" i="16"/>
  <c r="H1257" i="16"/>
  <c r="G1257" i="16"/>
  <c r="M1256" i="16"/>
  <c r="L1256" i="16"/>
  <c r="K1256" i="16"/>
  <c r="J1256" i="16"/>
  <c r="I1256" i="16"/>
  <c r="H1256" i="16"/>
  <c r="G1256" i="16"/>
  <c r="M1255" i="16"/>
  <c r="L1255" i="16"/>
  <c r="K1255" i="16"/>
  <c r="J1255" i="16"/>
  <c r="I1255" i="16"/>
  <c r="H1255" i="16"/>
  <c r="G1255" i="16"/>
  <c r="M1254" i="16"/>
  <c r="L1254" i="16"/>
  <c r="K1254" i="16"/>
  <c r="J1254" i="16"/>
  <c r="I1254" i="16"/>
  <c r="H1254" i="16"/>
  <c r="G1254" i="16"/>
  <c r="M1253" i="16"/>
  <c r="L1253" i="16"/>
  <c r="K1253" i="16"/>
  <c r="J1253" i="16"/>
  <c r="I1253" i="16"/>
  <c r="H1253" i="16"/>
  <c r="G1253" i="16"/>
  <c r="M1252" i="16"/>
  <c r="L1252" i="16"/>
  <c r="K1252" i="16"/>
  <c r="J1252" i="16"/>
  <c r="I1252" i="16"/>
  <c r="H1252" i="16"/>
  <c r="G1252" i="16"/>
  <c r="M1251" i="16"/>
  <c r="L1251" i="16"/>
  <c r="K1251" i="16"/>
  <c r="J1251" i="16"/>
  <c r="I1251" i="16"/>
  <c r="H1251" i="16"/>
  <c r="G1251" i="16"/>
  <c r="M1250" i="16"/>
  <c r="L1250" i="16"/>
  <c r="K1250" i="16"/>
  <c r="J1250" i="16"/>
  <c r="I1250" i="16"/>
  <c r="H1250" i="16"/>
  <c r="G1250" i="16"/>
  <c r="M1249" i="16"/>
  <c r="L1249" i="16"/>
  <c r="K1249" i="16"/>
  <c r="J1249" i="16"/>
  <c r="I1249" i="16"/>
  <c r="H1249" i="16"/>
  <c r="G1249" i="16"/>
  <c r="M1248" i="16"/>
  <c r="L1248" i="16"/>
  <c r="K1248" i="16"/>
  <c r="J1248" i="16"/>
  <c r="I1248" i="16"/>
  <c r="H1248" i="16"/>
  <c r="G1248" i="16"/>
  <c r="M1247" i="16"/>
  <c r="L1247" i="16"/>
  <c r="K1247" i="16"/>
  <c r="J1247" i="16"/>
  <c r="I1247" i="16"/>
  <c r="H1247" i="16"/>
  <c r="G1247" i="16"/>
  <c r="M1246" i="16"/>
  <c r="L1246" i="16"/>
  <c r="K1246" i="16"/>
  <c r="J1246" i="16"/>
  <c r="I1246" i="16"/>
  <c r="H1246" i="16"/>
  <c r="G1246" i="16"/>
  <c r="M1245" i="16"/>
  <c r="L1245" i="16"/>
  <c r="K1245" i="16"/>
  <c r="J1245" i="16"/>
  <c r="I1245" i="16"/>
  <c r="H1245" i="16"/>
  <c r="G1245" i="16"/>
  <c r="M1244" i="16"/>
  <c r="L1244" i="16"/>
  <c r="K1244" i="16"/>
  <c r="J1244" i="16"/>
  <c r="I1244" i="16"/>
  <c r="H1244" i="16"/>
  <c r="G1244" i="16"/>
  <c r="M1243" i="16"/>
  <c r="L1243" i="16"/>
  <c r="K1243" i="16"/>
  <c r="J1243" i="16"/>
  <c r="I1243" i="16"/>
  <c r="H1243" i="16"/>
  <c r="G1243" i="16"/>
  <c r="M1242" i="16"/>
  <c r="L1242" i="16"/>
  <c r="K1242" i="16"/>
  <c r="J1242" i="16"/>
  <c r="I1242" i="16"/>
  <c r="H1242" i="16"/>
  <c r="G1242" i="16"/>
  <c r="M1241" i="16"/>
  <c r="L1241" i="16"/>
  <c r="K1241" i="16"/>
  <c r="J1241" i="16"/>
  <c r="I1241" i="16"/>
  <c r="H1241" i="16"/>
  <c r="G1241" i="16"/>
  <c r="M1240" i="16"/>
  <c r="L1240" i="16"/>
  <c r="K1240" i="16"/>
  <c r="J1240" i="16"/>
  <c r="I1240" i="16"/>
  <c r="H1240" i="16"/>
  <c r="G1240" i="16"/>
  <c r="M1239" i="16"/>
  <c r="L1239" i="16"/>
  <c r="K1239" i="16"/>
  <c r="J1239" i="16"/>
  <c r="I1239" i="16"/>
  <c r="H1239" i="16"/>
  <c r="G1239" i="16"/>
  <c r="M1238" i="16"/>
  <c r="L1238" i="16"/>
  <c r="K1238" i="16"/>
  <c r="J1238" i="16"/>
  <c r="I1238" i="16"/>
  <c r="H1238" i="16"/>
  <c r="G1238" i="16"/>
  <c r="M1237" i="16"/>
  <c r="L1237" i="16"/>
  <c r="K1237" i="16"/>
  <c r="J1237" i="16"/>
  <c r="I1237" i="16"/>
  <c r="H1237" i="16"/>
  <c r="G1237" i="16"/>
  <c r="M1236" i="16"/>
  <c r="L1236" i="16"/>
  <c r="K1236" i="16"/>
  <c r="J1236" i="16"/>
  <c r="I1236" i="16"/>
  <c r="H1236" i="16"/>
  <c r="G1236" i="16"/>
  <c r="M1235" i="16"/>
  <c r="L1235" i="16"/>
  <c r="K1235" i="16"/>
  <c r="J1235" i="16"/>
  <c r="I1235" i="16"/>
  <c r="H1235" i="16"/>
  <c r="G1235" i="16"/>
  <c r="M1234" i="16"/>
  <c r="L1234" i="16"/>
  <c r="K1234" i="16"/>
  <c r="J1234" i="16"/>
  <c r="I1234" i="16"/>
  <c r="H1234" i="16"/>
  <c r="G1234" i="16"/>
  <c r="M1233" i="16"/>
  <c r="L1233" i="16"/>
  <c r="K1233" i="16"/>
  <c r="J1233" i="16"/>
  <c r="I1233" i="16"/>
  <c r="H1233" i="16"/>
  <c r="G1233" i="16"/>
  <c r="M1232" i="16"/>
  <c r="L1232" i="16"/>
  <c r="K1232" i="16"/>
  <c r="J1232" i="16"/>
  <c r="I1232" i="16"/>
  <c r="H1232" i="16"/>
  <c r="G1232" i="16"/>
  <c r="M1231" i="16"/>
  <c r="L1231" i="16"/>
  <c r="K1231" i="16"/>
  <c r="J1231" i="16"/>
  <c r="I1231" i="16"/>
  <c r="H1231" i="16"/>
  <c r="G1231" i="16"/>
  <c r="M1230" i="16"/>
  <c r="L1230" i="16"/>
  <c r="K1230" i="16"/>
  <c r="J1230" i="16"/>
  <c r="I1230" i="16"/>
  <c r="H1230" i="16"/>
  <c r="G1230" i="16"/>
  <c r="M1229" i="16"/>
  <c r="L1229" i="16"/>
  <c r="K1229" i="16"/>
  <c r="J1229" i="16"/>
  <c r="I1229" i="16"/>
  <c r="H1229" i="16"/>
  <c r="G1229" i="16"/>
  <c r="M1228" i="16"/>
  <c r="L1228" i="16"/>
  <c r="K1228" i="16"/>
  <c r="J1228" i="16"/>
  <c r="I1228" i="16"/>
  <c r="H1228" i="16"/>
  <c r="G1228" i="16"/>
  <c r="M1227" i="16"/>
  <c r="L1227" i="16"/>
  <c r="K1227" i="16"/>
  <c r="J1227" i="16"/>
  <c r="I1227" i="16"/>
  <c r="H1227" i="16"/>
  <c r="G1227" i="16"/>
  <c r="M1226" i="16"/>
  <c r="L1226" i="16"/>
  <c r="K1226" i="16"/>
  <c r="J1226" i="16"/>
  <c r="I1226" i="16"/>
  <c r="H1226" i="16"/>
  <c r="G1226" i="16"/>
  <c r="M1225" i="16"/>
  <c r="L1225" i="16"/>
  <c r="K1225" i="16"/>
  <c r="J1225" i="16"/>
  <c r="I1225" i="16"/>
  <c r="H1225" i="16"/>
  <c r="G1225" i="16"/>
  <c r="M1224" i="16"/>
  <c r="L1224" i="16"/>
  <c r="K1224" i="16"/>
  <c r="J1224" i="16"/>
  <c r="I1224" i="16"/>
  <c r="H1224" i="16"/>
  <c r="G1224" i="16"/>
  <c r="M1223" i="16"/>
  <c r="L1223" i="16"/>
  <c r="K1223" i="16"/>
  <c r="J1223" i="16"/>
  <c r="I1223" i="16"/>
  <c r="H1223" i="16"/>
  <c r="G1223" i="16"/>
  <c r="M1222" i="16"/>
  <c r="L1222" i="16"/>
  <c r="K1222" i="16"/>
  <c r="J1222" i="16"/>
  <c r="I1222" i="16"/>
  <c r="H1222" i="16"/>
  <c r="G1222" i="16"/>
  <c r="M1221" i="16"/>
  <c r="L1221" i="16"/>
  <c r="K1221" i="16"/>
  <c r="J1221" i="16"/>
  <c r="I1221" i="16"/>
  <c r="H1221" i="16"/>
  <c r="G1221" i="16"/>
  <c r="M1220" i="16"/>
  <c r="L1220" i="16"/>
  <c r="K1220" i="16"/>
  <c r="J1220" i="16"/>
  <c r="I1220" i="16"/>
  <c r="H1220" i="16"/>
  <c r="G1220" i="16"/>
  <c r="M1219" i="16"/>
  <c r="L1219" i="16"/>
  <c r="K1219" i="16"/>
  <c r="J1219" i="16"/>
  <c r="I1219" i="16"/>
  <c r="H1219" i="16"/>
  <c r="G1219" i="16"/>
  <c r="M1218" i="16"/>
  <c r="L1218" i="16"/>
  <c r="K1218" i="16"/>
  <c r="J1218" i="16"/>
  <c r="I1218" i="16"/>
  <c r="H1218" i="16"/>
  <c r="G1218" i="16"/>
  <c r="M1217" i="16"/>
  <c r="L1217" i="16"/>
  <c r="K1217" i="16"/>
  <c r="J1217" i="16"/>
  <c r="I1217" i="16"/>
  <c r="H1217" i="16"/>
  <c r="G1217" i="16"/>
  <c r="M1216" i="16"/>
  <c r="L1216" i="16"/>
  <c r="K1216" i="16"/>
  <c r="J1216" i="16"/>
  <c r="I1216" i="16"/>
  <c r="H1216" i="16"/>
  <c r="G1216" i="16"/>
  <c r="M1215" i="16"/>
  <c r="L1215" i="16"/>
  <c r="K1215" i="16"/>
  <c r="J1215" i="16"/>
  <c r="I1215" i="16"/>
  <c r="H1215" i="16"/>
  <c r="G1215" i="16"/>
  <c r="M1214" i="16"/>
  <c r="L1214" i="16"/>
  <c r="K1214" i="16"/>
  <c r="J1214" i="16"/>
  <c r="I1214" i="16"/>
  <c r="H1214" i="16"/>
  <c r="G1214" i="16"/>
  <c r="M1213" i="16"/>
  <c r="L1213" i="16"/>
  <c r="K1213" i="16"/>
  <c r="J1213" i="16"/>
  <c r="I1213" i="16"/>
  <c r="H1213" i="16"/>
  <c r="G1213" i="16"/>
  <c r="M1212" i="16"/>
  <c r="L1212" i="16"/>
  <c r="K1212" i="16"/>
  <c r="J1212" i="16"/>
  <c r="I1212" i="16"/>
  <c r="H1212" i="16"/>
  <c r="G1212" i="16"/>
  <c r="M1211" i="16"/>
  <c r="L1211" i="16"/>
  <c r="K1211" i="16"/>
  <c r="J1211" i="16"/>
  <c r="I1211" i="16"/>
  <c r="H1211" i="16"/>
  <c r="G1211" i="16"/>
  <c r="M1210" i="16"/>
  <c r="L1210" i="16"/>
  <c r="K1210" i="16"/>
  <c r="J1210" i="16"/>
  <c r="I1210" i="16"/>
  <c r="H1210" i="16"/>
  <c r="G1210" i="16"/>
  <c r="M1209" i="16"/>
  <c r="L1209" i="16"/>
  <c r="K1209" i="16"/>
  <c r="J1209" i="16"/>
  <c r="I1209" i="16"/>
  <c r="H1209" i="16"/>
  <c r="G1209" i="16"/>
  <c r="M1208" i="16"/>
  <c r="L1208" i="16"/>
  <c r="K1208" i="16"/>
  <c r="J1208" i="16"/>
  <c r="I1208" i="16"/>
  <c r="H1208" i="16"/>
  <c r="G1208" i="16"/>
  <c r="M1207" i="16"/>
  <c r="L1207" i="16"/>
  <c r="K1207" i="16"/>
  <c r="J1207" i="16"/>
  <c r="I1207" i="16"/>
  <c r="H1207" i="16"/>
  <c r="G1207" i="16"/>
  <c r="M1206" i="16"/>
  <c r="L1206" i="16"/>
  <c r="K1206" i="16"/>
  <c r="J1206" i="16"/>
  <c r="I1206" i="16"/>
  <c r="H1206" i="16"/>
  <c r="G1206" i="16"/>
  <c r="M1205" i="16"/>
  <c r="L1205" i="16"/>
  <c r="K1205" i="16"/>
  <c r="J1205" i="16"/>
  <c r="I1205" i="16"/>
  <c r="H1205" i="16"/>
  <c r="G1205" i="16"/>
  <c r="M1204" i="16"/>
  <c r="L1204" i="16"/>
  <c r="K1204" i="16"/>
  <c r="J1204" i="16"/>
  <c r="I1204" i="16"/>
  <c r="H1204" i="16"/>
  <c r="G1204" i="16"/>
  <c r="M1203" i="16"/>
  <c r="L1203" i="16"/>
  <c r="K1203" i="16"/>
  <c r="J1203" i="16"/>
  <c r="I1203" i="16"/>
  <c r="H1203" i="16"/>
  <c r="G1203" i="16"/>
  <c r="M1202" i="16"/>
  <c r="L1202" i="16"/>
  <c r="K1202" i="16"/>
  <c r="J1202" i="16"/>
  <c r="I1202" i="16"/>
  <c r="H1202" i="16"/>
  <c r="G1202" i="16"/>
  <c r="M1201" i="16"/>
  <c r="L1201" i="16"/>
  <c r="K1201" i="16"/>
  <c r="J1201" i="16"/>
  <c r="I1201" i="16"/>
  <c r="H1201" i="16"/>
  <c r="G1201" i="16"/>
  <c r="M1200" i="16"/>
  <c r="L1200" i="16"/>
  <c r="K1200" i="16"/>
  <c r="J1200" i="16"/>
  <c r="I1200" i="16"/>
  <c r="H1200" i="16"/>
  <c r="G1200" i="16"/>
  <c r="M1199" i="16"/>
  <c r="L1199" i="16"/>
  <c r="K1199" i="16"/>
  <c r="J1199" i="16"/>
  <c r="I1199" i="16"/>
  <c r="H1199" i="16"/>
  <c r="G1199" i="16"/>
  <c r="M1198" i="16"/>
  <c r="L1198" i="16"/>
  <c r="K1198" i="16"/>
  <c r="J1198" i="16"/>
  <c r="I1198" i="16"/>
  <c r="H1198" i="16"/>
  <c r="G1198" i="16"/>
  <c r="M1197" i="16"/>
  <c r="L1197" i="16"/>
  <c r="K1197" i="16"/>
  <c r="J1197" i="16"/>
  <c r="I1197" i="16"/>
  <c r="H1197" i="16"/>
  <c r="G1197" i="16"/>
  <c r="M1196" i="16"/>
  <c r="L1196" i="16"/>
  <c r="K1196" i="16"/>
  <c r="J1196" i="16"/>
  <c r="I1196" i="16"/>
  <c r="H1196" i="16"/>
  <c r="G1196" i="16"/>
  <c r="M1195" i="16"/>
  <c r="L1195" i="16"/>
  <c r="K1195" i="16"/>
  <c r="J1195" i="16"/>
  <c r="I1195" i="16"/>
  <c r="H1195" i="16"/>
  <c r="G1195" i="16"/>
  <c r="M1194" i="16"/>
  <c r="L1194" i="16"/>
  <c r="K1194" i="16"/>
  <c r="J1194" i="16"/>
  <c r="I1194" i="16"/>
  <c r="H1194" i="16"/>
  <c r="G1194" i="16"/>
  <c r="M1193" i="16"/>
  <c r="L1193" i="16"/>
  <c r="K1193" i="16"/>
  <c r="J1193" i="16"/>
  <c r="I1193" i="16"/>
  <c r="H1193" i="16"/>
  <c r="G1193" i="16"/>
  <c r="M1192" i="16"/>
  <c r="L1192" i="16"/>
  <c r="K1192" i="16"/>
  <c r="J1192" i="16"/>
  <c r="I1192" i="16"/>
  <c r="H1192" i="16"/>
  <c r="G1192" i="16"/>
  <c r="M1191" i="16"/>
  <c r="L1191" i="16"/>
  <c r="K1191" i="16"/>
  <c r="J1191" i="16"/>
  <c r="I1191" i="16"/>
  <c r="H1191" i="16"/>
  <c r="G1191" i="16"/>
  <c r="M1190" i="16"/>
  <c r="L1190" i="16"/>
  <c r="K1190" i="16"/>
  <c r="J1190" i="16"/>
  <c r="I1190" i="16"/>
  <c r="H1190" i="16"/>
  <c r="G1190" i="16"/>
  <c r="M1189" i="16"/>
  <c r="L1189" i="16"/>
  <c r="K1189" i="16"/>
  <c r="J1189" i="16"/>
  <c r="I1189" i="16"/>
  <c r="H1189" i="16"/>
  <c r="G1189" i="16"/>
  <c r="M1188" i="16"/>
  <c r="L1188" i="16"/>
  <c r="K1188" i="16"/>
  <c r="J1188" i="16"/>
  <c r="I1188" i="16"/>
  <c r="H1188" i="16"/>
  <c r="G1188" i="16"/>
  <c r="M1187" i="16"/>
  <c r="L1187" i="16"/>
  <c r="K1187" i="16"/>
  <c r="J1187" i="16"/>
  <c r="I1187" i="16"/>
  <c r="H1187" i="16"/>
  <c r="G1187" i="16"/>
  <c r="M1186" i="16"/>
  <c r="L1186" i="16"/>
  <c r="K1186" i="16"/>
  <c r="J1186" i="16"/>
  <c r="I1186" i="16"/>
  <c r="H1186" i="16"/>
  <c r="G1186" i="16"/>
  <c r="M1185" i="16"/>
  <c r="L1185" i="16"/>
  <c r="K1185" i="16"/>
  <c r="J1185" i="16"/>
  <c r="I1185" i="16"/>
  <c r="H1185" i="16"/>
  <c r="G1185" i="16"/>
  <c r="M1184" i="16"/>
  <c r="L1184" i="16"/>
  <c r="K1184" i="16"/>
  <c r="J1184" i="16"/>
  <c r="I1184" i="16"/>
  <c r="H1184" i="16"/>
  <c r="G1184" i="16"/>
  <c r="M1183" i="16"/>
  <c r="L1183" i="16"/>
  <c r="K1183" i="16"/>
  <c r="J1183" i="16"/>
  <c r="I1183" i="16"/>
  <c r="H1183" i="16"/>
  <c r="G1183" i="16"/>
  <c r="M1182" i="16"/>
  <c r="L1182" i="16"/>
  <c r="K1182" i="16"/>
  <c r="J1182" i="16"/>
  <c r="I1182" i="16"/>
  <c r="H1182" i="16"/>
  <c r="G1182" i="16"/>
  <c r="M1181" i="16"/>
  <c r="L1181" i="16"/>
  <c r="K1181" i="16"/>
  <c r="J1181" i="16"/>
  <c r="I1181" i="16"/>
  <c r="H1181" i="16"/>
  <c r="G1181" i="16"/>
  <c r="M1180" i="16"/>
  <c r="L1180" i="16"/>
  <c r="K1180" i="16"/>
  <c r="J1180" i="16"/>
  <c r="I1180" i="16"/>
  <c r="H1180" i="16"/>
  <c r="G1180" i="16"/>
  <c r="M1179" i="16"/>
  <c r="L1179" i="16"/>
  <c r="K1179" i="16"/>
  <c r="J1179" i="16"/>
  <c r="I1179" i="16"/>
  <c r="H1179" i="16"/>
  <c r="G1179" i="16"/>
  <c r="M1178" i="16"/>
  <c r="L1178" i="16"/>
  <c r="K1178" i="16"/>
  <c r="J1178" i="16"/>
  <c r="I1178" i="16"/>
  <c r="H1178" i="16"/>
  <c r="G1178" i="16"/>
  <c r="M1177" i="16"/>
  <c r="L1177" i="16"/>
  <c r="K1177" i="16"/>
  <c r="J1177" i="16"/>
  <c r="I1177" i="16"/>
  <c r="H1177" i="16"/>
  <c r="G1177" i="16"/>
  <c r="M1176" i="16"/>
  <c r="L1176" i="16"/>
  <c r="K1176" i="16"/>
  <c r="J1176" i="16"/>
  <c r="I1176" i="16"/>
  <c r="H1176" i="16"/>
  <c r="G1176" i="16"/>
  <c r="M1175" i="16"/>
  <c r="L1175" i="16"/>
  <c r="K1175" i="16"/>
  <c r="J1175" i="16"/>
  <c r="I1175" i="16"/>
  <c r="H1175" i="16"/>
  <c r="G1175" i="16"/>
  <c r="M1174" i="16"/>
  <c r="L1174" i="16"/>
  <c r="K1174" i="16"/>
  <c r="J1174" i="16"/>
  <c r="I1174" i="16"/>
  <c r="H1174" i="16"/>
  <c r="G1174" i="16"/>
  <c r="M1173" i="16"/>
  <c r="L1173" i="16"/>
  <c r="K1173" i="16"/>
  <c r="J1173" i="16"/>
  <c r="I1173" i="16"/>
  <c r="H1173" i="16"/>
  <c r="G1173" i="16"/>
  <c r="M1172" i="16"/>
  <c r="L1172" i="16"/>
  <c r="K1172" i="16"/>
  <c r="J1172" i="16"/>
  <c r="I1172" i="16"/>
  <c r="H1172" i="16"/>
  <c r="G1172" i="16"/>
  <c r="M1171" i="16"/>
  <c r="L1171" i="16"/>
  <c r="K1171" i="16"/>
  <c r="J1171" i="16"/>
  <c r="I1171" i="16"/>
  <c r="H1171" i="16"/>
  <c r="G1171" i="16"/>
  <c r="M1170" i="16"/>
  <c r="L1170" i="16"/>
  <c r="K1170" i="16"/>
  <c r="J1170" i="16"/>
  <c r="I1170" i="16"/>
  <c r="H1170" i="16"/>
  <c r="G1170" i="16"/>
  <c r="M1169" i="16"/>
  <c r="L1169" i="16"/>
  <c r="K1169" i="16"/>
  <c r="J1169" i="16"/>
  <c r="I1169" i="16"/>
  <c r="H1169" i="16"/>
  <c r="G1169" i="16"/>
  <c r="M1168" i="16"/>
  <c r="L1168" i="16"/>
  <c r="K1168" i="16"/>
  <c r="J1168" i="16"/>
  <c r="I1168" i="16"/>
  <c r="H1168" i="16"/>
  <c r="G1168" i="16"/>
  <c r="M1167" i="16"/>
  <c r="L1167" i="16"/>
  <c r="K1167" i="16"/>
  <c r="J1167" i="16"/>
  <c r="I1167" i="16"/>
  <c r="H1167" i="16"/>
  <c r="G1167" i="16"/>
  <c r="M1166" i="16"/>
  <c r="L1166" i="16"/>
  <c r="K1166" i="16"/>
  <c r="J1166" i="16"/>
  <c r="I1166" i="16"/>
  <c r="H1166" i="16"/>
  <c r="G1166" i="16"/>
  <c r="M1165" i="16"/>
  <c r="L1165" i="16"/>
  <c r="K1165" i="16"/>
  <c r="J1165" i="16"/>
  <c r="I1165" i="16"/>
  <c r="H1165" i="16"/>
  <c r="G1165" i="16"/>
  <c r="M1164" i="16"/>
  <c r="L1164" i="16"/>
  <c r="K1164" i="16"/>
  <c r="J1164" i="16"/>
  <c r="I1164" i="16"/>
  <c r="H1164" i="16"/>
  <c r="G1164" i="16"/>
  <c r="M1163" i="16"/>
  <c r="L1163" i="16"/>
  <c r="K1163" i="16"/>
  <c r="J1163" i="16"/>
  <c r="I1163" i="16"/>
  <c r="H1163" i="16"/>
  <c r="G1163" i="16"/>
  <c r="M1162" i="16"/>
  <c r="L1162" i="16"/>
  <c r="K1162" i="16"/>
  <c r="J1162" i="16"/>
  <c r="I1162" i="16"/>
  <c r="H1162" i="16"/>
  <c r="G1162" i="16"/>
  <c r="M1161" i="16"/>
  <c r="L1161" i="16"/>
  <c r="K1161" i="16"/>
  <c r="J1161" i="16"/>
  <c r="I1161" i="16"/>
  <c r="H1161" i="16"/>
  <c r="G1161" i="16"/>
  <c r="M1160" i="16"/>
  <c r="L1160" i="16"/>
  <c r="K1160" i="16"/>
  <c r="J1160" i="16"/>
  <c r="I1160" i="16"/>
  <c r="H1160" i="16"/>
  <c r="G1160" i="16"/>
  <c r="M1159" i="16"/>
  <c r="L1159" i="16"/>
  <c r="K1159" i="16"/>
  <c r="J1159" i="16"/>
  <c r="I1159" i="16"/>
  <c r="H1159" i="16"/>
  <c r="G1159" i="16"/>
  <c r="M1158" i="16"/>
  <c r="L1158" i="16"/>
  <c r="K1158" i="16"/>
  <c r="J1158" i="16"/>
  <c r="I1158" i="16"/>
  <c r="H1158" i="16"/>
  <c r="G1158" i="16"/>
  <c r="M1157" i="16"/>
  <c r="L1157" i="16"/>
  <c r="K1157" i="16"/>
  <c r="J1157" i="16"/>
  <c r="I1157" i="16"/>
  <c r="H1157" i="16"/>
  <c r="G1157" i="16"/>
  <c r="M1156" i="16"/>
  <c r="L1156" i="16"/>
  <c r="K1156" i="16"/>
  <c r="J1156" i="16"/>
  <c r="I1156" i="16"/>
  <c r="H1156" i="16"/>
  <c r="G1156" i="16"/>
  <c r="M1155" i="16"/>
  <c r="L1155" i="16"/>
  <c r="K1155" i="16"/>
  <c r="J1155" i="16"/>
  <c r="I1155" i="16"/>
  <c r="H1155" i="16"/>
  <c r="G1155" i="16"/>
  <c r="M1154" i="16"/>
  <c r="L1154" i="16"/>
  <c r="K1154" i="16"/>
  <c r="J1154" i="16"/>
  <c r="I1154" i="16"/>
  <c r="H1154" i="16"/>
  <c r="G1154" i="16"/>
  <c r="M1153" i="16"/>
  <c r="L1153" i="16"/>
  <c r="K1153" i="16"/>
  <c r="J1153" i="16"/>
  <c r="I1153" i="16"/>
  <c r="H1153" i="16"/>
  <c r="G1153" i="16"/>
  <c r="M1152" i="16"/>
  <c r="L1152" i="16"/>
  <c r="K1152" i="16"/>
  <c r="J1152" i="16"/>
  <c r="I1152" i="16"/>
  <c r="H1152" i="16"/>
  <c r="G1152" i="16"/>
  <c r="M1151" i="16"/>
  <c r="L1151" i="16"/>
  <c r="K1151" i="16"/>
  <c r="J1151" i="16"/>
  <c r="I1151" i="16"/>
  <c r="H1151" i="16"/>
  <c r="G1151" i="16"/>
  <c r="M1150" i="16"/>
  <c r="L1150" i="16"/>
  <c r="K1150" i="16"/>
  <c r="J1150" i="16"/>
  <c r="I1150" i="16"/>
  <c r="H1150" i="16"/>
  <c r="G1150" i="16"/>
  <c r="M1149" i="16"/>
  <c r="L1149" i="16"/>
  <c r="K1149" i="16"/>
  <c r="J1149" i="16"/>
  <c r="I1149" i="16"/>
  <c r="H1149" i="16"/>
  <c r="G1149" i="16"/>
  <c r="M1148" i="16"/>
  <c r="L1148" i="16"/>
  <c r="K1148" i="16"/>
  <c r="J1148" i="16"/>
  <c r="I1148" i="16"/>
  <c r="H1148" i="16"/>
  <c r="G1148" i="16"/>
  <c r="M1147" i="16"/>
  <c r="L1147" i="16"/>
  <c r="K1147" i="16"/>
  <c r="J1147" i="16"/>
  <c r="I1147" i="16"/>
  <c r="H1147" i="16"/>
  <c r="G1147" i="16"/>
  <c r="M1146" i="16"/>
  <c r="L1146" i="16"/>
  <c r="K1146" i="16"/>
  <c r="J1146" i="16"/>
  <c r="I1146" i="16"/>
  <c r="H1146" i="16"/>
  <c r="G1146" i="16"/>
  <c r="M1145" i="16"/>
  <c r="L1145" i="16"/>
  <c r="K1145" i="16"/>
  <c r="J1145" i="16"/>
  <c r="I1145" i="16"/>
  <c r="H1145" i="16"/>
  <c r="G1145" i="16"/>
  <c r="M1144" i="16"/>
  <c r="L1144" i="16"/>
  <c r="K1144" i="16"/>
  <c r="J1144" i="16"/>
  <c r="I1144" i="16"/>
  <c r="H1144" i="16"/>
  <c r="G1144" i="16"/>
  <c r="M1143" i="16"/>
  <c r="L1143" i="16"/>
  <c r="K1143" i="16"/>
  <c r="J1143" i="16"/>
  <c r="I1143" i="16"/>
  <c r="H1143" i="16"/>
  <c r="G1143" i="16"/>
  <c r="M1142" i="16"/>
  <c r="L1142" i="16"/>
  <c r="K1142" i="16"/>
  <c r="J1142" i="16"/>
  <c r="I1142" i="16"/>
  <c r="H1142" i="16"/>
  <c r="G1142" i="16"/>
  <c r="M1141" i="16"/>
  <c r="L1141" i="16"/>
  <c r="K1141" i="16"/>
  <c r="J1141" i="16"/>
  <c r="I1141" i="16"/>
  <c r="H1141" i="16"/>
  <c r="G1141" i="16"/>
  <c r="M1140" i="16"/>
  <c r="L1140" i="16"/>
  <c r="K1140" i="16"/>
  <c r="J1140" i="16"/>
  <c r="I1140" i="16"/>
  <c r="H1140" i="16"/>
  <c r="G1140" i="16"/>
  <c r="M1139" i="16"/>
  <c r="L1139" i="16"/>
  <c r="K1139" i="16"/>
  <c r="J1139" i="16"/>
  <c r="I1139" i="16"/>
  <c r="H1139" i="16"/>
  <c r="G1139" i="16"/>
  <c r="M1138" i="16"/>
  <c r="L1138" i="16"/>
  <c r="K1138" i="16"/>
  <c r="J1138" i="16"/>
  <c r="I1138" i="16"/>
  <c r="H1138" i="16"/>
  <c r="G1138" i="16"/>
  <c r="M1137" i="16"/>
  <c r="L1137" i="16"/>
  <c r="K1137" i="16"/>
  <c r="J1137" i="16"/>
  <c r="I1137" i="16"/>
  <c r="H1137" i="16"/>
  <c r="G1137" i="16"/>
  <c r="M1136" i="16"/>
  <c r="L1136" i="16"/>
  <c r="K1136" i="16"/>
  <c r="J1136" i="16"/>
  <c r="I1136" i="16"/>
  <c r="H1136" i="16"/>
  <c r="G1136" i="16"/>
  <c r="M1135" i="16"/>
  <c r="L1135" i="16"/>
  <c r="K1135" i="16"/>
  <c r="J1135" i="16"/>
  <c r="I1135" i="16"/>
  <c r="H1135" i="16"/>
  <c r="G1135" i="16"/>
  <c r="M1134" i="16"/>
  <c r="L1134" i="16"/>
  <c r="K1134" i="16"/>
  <c r="J1134" i="16"/>
  <c r="I1134" i="16"/>
  <c r="H1134" i="16"/>
  <c r="G1134" i="16"/>
  <c r="M1133" i="16"/>
  <c r="L1133" i="16"/>
  <c r="K1133" i="16"/>
  <c r="J1133" i="16"/>
  <c r="I1133" i="16"/>
  <c r="H1133" i="16"/>
  <c r="G1133" i="16"/>
  <c r="M1132" i="16"/>
  <c r="L1132" i="16"/>
  <c r="K1132" i="16"/>
  <c r="J1132" i="16"/>
  <c r="I1132" i="16"/>
  <c r="H1132" i="16"/>
  <c r="G1132" i="16"/>
  <c r="M1131" i="16"/>
  <c r="L1131" i="16"/>
  <c r="K1131" i="16"/>
  <c r="J1131" i="16"/>
  <c r="I1131" i="16"/>
  <c r="H1131" i="16"/>
  <c r="G1131" i="16"/>
  <c r="M1130" i="16"/>
  <c r="L1130" i="16"/>
  <c r="K1130" i="16"/>
  <c r="J1130" i="16"/>
  <c r="I1130" i="16"/>
  <c r="H1130" i="16"/>
  <c r="G1130" i="16"/>
  <c r="M1129" i="16"/>
  <c r="L1129" i="16"/>
  <c r="K1129" i="16"/>
  <c r="J1129" i="16"/>
  <c r="I1129" i="16"/>
  <c r="H1129" i="16"/>
  <c r="G1129" i="16"/>
  <c r="M1128" i="16"/>
  <c r="L1128" i="16"/>
  <c r="K1128" i="16"/>
  <c r="J1128" i="16"/>
  <c r="I1128" i="16"/>
  <c r="H1128" i="16"/>
  <c r="G1128" i="16"/>
  <c r="M1127" i="16"/>
  <c r="L1127" i="16"/>
  <c r="K1127" i="16"/>
  <c r="J1127" i="16"/>
  <c r="I1127" i="16"/>
  <c r="H1127" i="16"/>
  <c r="G1127" i="16"/>
  <c r="M1126" i="16"/>
  <c r="L1126" i="16"/>
  <c r="K1126" i="16"/>
  <c r="J1126" i="16"/>
  <c r="I1126" i="16"/>
  <c r="H1126" i="16"/>
  <c r="G1126" i="16"/>
  <c r="M1125" i="16"/>
  <c r="L1125" i="16"/>
  <c r="K1125" i="16"/>
  <c r="J1125" i="16"/>
  <c r="I1125" i="16"/>
  <c r="H1125" i="16"/>
  <c r="G1125" i="16"/>
  <c r="M1124" i="16"/>
  <c r="L1124" i="16"/>
  <c r="K1124" i="16"/>
  <c r="J1124" i="16"/>
  <c r="I1124" i="16"/>
  <c r="H1124" i="16"/>
  <c r="G1124" i="16"/>
  <c r="M1123" i="16"/>
  <c r="L1123" i="16"/>
  <c r="K1123" i="16"/>
  <c r="J1123" i="16"/>
  <c r="I1123" i="16"/>
  <c r="H1123" i="16"/>
  <c r="G1123" i="16"/>
  <c r="M1122" i="16"/>
  <c r="L1122" i="16"/>
  <c r="K1122" i="16"/>
  <c r="J1122" i="16"/>
  <c r="I1122" i="16"/>
  <c r="H1122" i="16"/>
  <c r="G1122" i="16"/>
  <c r="M1121" i="16"/>
  <c r="L1121" i="16"/>
  <c r="K1121" i="16"/>
  <c r="J1121" i="16"/>
  <c r="I1121" i="16"/>
  <c r="H1121" i="16"/>
  <c r="G1121" i="16"/>
  <c r="M1120" i="16"/>
  <c r="L1120" i="16"/>
  <c r="K1120" i="16"/>
  <c r="J1120" i="16"/>
  <c r="I1120" i="16"/>
  <c r="H1120" i="16"/>
  <c r="G1120" i="16"/>
  <c r="M1119" i="16"/>
  <c r="L1119" i="16"/>
  <c r="K1119" i="16"/>
  <c r="J1119" i="16"/>
  <c r="I1119" i="16"/>
  <c r="H1119" i="16"/>
  <c r="G1119" i="16"/>
  <c r="M1118" i="16"/>
  <c r="L1118" i="16"/>
  <c r="K1118" i="16"/>
  <c r="J1118" i="16"/>
  <c r="I1118" i="16"/>
  <c r="H1118" i="16"/>
  <c r="G1118" i="16"/>
  <c r="M1117" i="16"/>
  <c r="L1117" i="16"/>
  <c r="K1117" i="16"/>
  <c r="J1117" i="16"/>
  <c r="I1117" i="16"/>
  <c r="H1117" i="16"/>
  <c r="G1117" i="16"/>
  <c r="M1116" i="16"/>
  <c r="L1116" i="16"/>
  <c r="K1116" i="16"/>
  <c r="J1116" i="16"/>
  <c r="I1116" i="16"/>
  <c r="H1116" i="16"/>
  <c r="G1116" i="16"/>
  <c r="M1115" i="16"/>
  <c r="L1115" i="16"/>
  <c r="K1115" i="16"/>
  <c r="J1115" i="16"/>
  <c r="I1115" i="16"/>
  <c r="H1115" i="16"/>
  <c r="G1115" i="16"/>
  <c r="M1114" i="16"/>
  <c r="L1114" i="16"/>
  <c r="K1114" i="16"/>
  <c r="J1114" i="16"/>
  <c r="I1114" i="16"/>
  <c r="H1114" i="16"/>
  <c r="G1114" i="16"/>
  <c r="M1113" i="16"/>
  <c r="L1113" i="16"/>
  <c r="K1113" i="16"/>
  <c r="J1113" i="16"/>
  <c r="I1113" i="16"/>
  <c r="H1113" i="16"/>
  <c r="G1113" i="16"/>
  <c r="M1112" i="16"/>
  <c r="L1112" i="16"/>
  <c r="K1112" i="16"/>
  <c r="J1112" i="16"/>
  <c r="I1112" i="16"/>
  <c r="H1112" i="16"/>
  <c r="G1112" i="16"/>
  <c r="M1111" i="16"/>
  <c r="L1111" i="16"/>
  <c r="K1111" i="16"/>
  <c r="J1111" i="16"/>
  <c r="I1111" i="16"/>
  <c r="H1111" i="16"/>
  <c r="G1111" i="16"/>
  <c r="M1110" i="16"/>
  <c r="L1110" i="16"/>
  <c r="K1110" i="16"/>
  <c r="J1110" i="16"/>
  <c r="I1110" i="16"/>
  <c r="H1110" i="16"/>
  <c r="G1110" i="16"/>
  <c r="M1109" i="16"/>
  <c r="L1109" i="16"/>
  <c r="K1109" i="16"/>
  <c r="J1109" i="16"/>
  <c r="I1109" i="16"/>
  <c r="H1109" i="16"/>
  <c r="G1109" i="16"/>
  <c r="M1108" i="16"/>
  <c r="L1108" i="16"/>
  <c r="K1108" i="16"/>
  <c r="J1108" i="16"/>
  <c r="I1108" i="16"/>
  <c r="H1108" i="16"/>
  <c r="G1108" i="16"/>
  <c r="M1107" i="16"/>
  <c r="L1107" i="16"/>
  <c r="K1107" i="16"/>
  <c r="J1107" i="16"/>
  <c r="I1107" i="16"/>
  <c r="H1107" i="16"/>
  <c r="G1107" i="16"/>
  <c r="M1106" i="16"/>
  <c r="L1106" i="16"/>
  <c r="K1106" i="16"/>
  <c r="J1106" i="16"/>
  <c r="I1106" i="16"/>
  <c r="H1106" i="16"/>
  <c r="G1106" i="16"/>
  <c r="M1105" i="16"/>
  <c r="L1105" i="16"/>
  <c r="K1105" i="16"/>
  <c r="J1105" i="16"/>
  <c r="I1105" i="16"/>
  <c r="H1105" i="16"/>
  <c r="G1105" i="16"/>
  <c r="M1104" i="16"/>
  <c r="L1104" i="16"/>
  <c r="K1104" i="16"/>
  <c r="J1104" i="16"/>
  <c r="I1104" i="16"/>
  <c r="H1104" i="16"/>
  <c r="G1104" i="16"/>
  <c r="M1103" i="16"/>
  <c r="L1103" i="16"/>
  <c r="K1103" i="16"/>
  <c r="J1103" i="16"/>
  <c r="I1103" i="16"/>
  <c r="H1103" i="16"/>
  <c r="G1103" i="16"/>
  <c r="M1102" i="16"/>
  <c r="L1102" i="16"/>
  <c r="K1102" i="16"/>
  <c r="J1102" i="16"/>
  <c r="I1102" i="16"/>
  <c r="H1102" i="16"/>
  <c r="G1102" i="16"/>
  <c r="M1101" i="16"/>
  <c r="L1101" i="16"/>
  <c r="K1101" i="16"/>
  <c r="J1101" i="16"/>
  <c r="I1101" i="16"/>
  <c r="H1101" i="16"/>
  <c r="G1101" i="16"/>
  <c r="M1100" i="16"/>
  <c r="L1100" i="16"/>
  <c r="K1100" i="16"/>
  <c r="J1100" i="16"/>
  <c r="I1100" i="16"/>
  <c r="H1100" i="16"/>
  <c r="G1100" i="16"/>
  <c r="M1099" i="16"/>
  <c r="L1099" i="16"/>
  <c r="K1099" i="16"/>
  <c r="J1099" i="16"/>
  <c r="I1099" i="16"/>
  <c r="H1099" i="16"/>
  <c r="G1099" i="16"/>
  <c r="M1098" i="16"/>
  <c r="L1098" i="16"/>
  <c r="K1098" i="16"/>
  <c r="J1098" i="16"/>
  <c r="I1098" i="16"/>
  <c r="H1098" i="16"/>
  <c r="G1098" i="16"/>
  <c r="M1097" i="16"/>
  <c r="L1097" i="16"/>
  <c r="K1097" i="16"/>
  <c r="J1097" i="16"/>
  <c r="I1097" i="16"/>
  <c r="H1097" i="16"/>
  <c r="G1097" i="16"/>
  <c r="M1096" i="16"/>
  <c r="L1096" i="16"/>
  <c r="K1096" i="16"/>
  <c r="J1096" i="16"/>
  <c r="I1096" i="16"/>
  <c r="H1096" i="16"/>
  <c r="G1096" i="16"/>
  <c r="M1095" i="16"/>
  <c r="L1095" i="16"/>
  <c r="K1095" i="16"/>
  <c r="J1095" i="16"/>
  <c r="I1095" i="16"/>
  <c r="H1095" i="16"/>
  <c r="G1095" i="16"/>
  <c r="M1094" i="16"/>
  <c r="L1094" i="16"/>
  <c r="K1094" i="16"/>
  <c r="J1094" i="16"/>
  <c r="I1094" i="16"/>
  <c r="H1094" i="16"/>
  <c r="G1094" i="16"/>
  <c r="M1093" i="16"/>
  <c r="L1093" i="16"/>
  <c r="K1093" i="16"/>
  <c r="J1093" i="16"/>
  <c r="I1093" i="16"/>
  <c r="H1093" i="16"/>
  <c r="G1093" i="16"/>
  <c r="M1092" i="16"/>
  <c r="L1092" i="16"/>
  <c r="K1092" i="16"/>
  <c r="J1092" i="16"/>
  <c r="I1092" i="16"/>
  <c r="H1092" i="16"/>
  <c r="G1092" i="16"/>
  <c r="M1091" i="16"/>
  <c r="L1091" i="16"/>
  <c r="K1091" i="16"/>
  <c r="J1091" i="16"/>
  <c r="I1091" i="16"/>
  <c r="H1091" i="16"/>
  <c r="G1091" i="16"/>
  <c r="M1090" i="16"/>
  <c r="L1090" i="16"/>
  <c r="K1090" i="16"/>
  <c r="J1090" i="16"/>
  <c r="I1090" i="16"/>
  <c r="H1090" i="16"/>
  <c r="G1090" i="16"/>
  <c r="M1089" i="16"/>
  <c r="L1089" i="16"/>
  <c r="K1089" i="16"/>
  <c r="J1089" i="16"/>
  <c r="I1089" i="16"/>
  <c r="H1089" i="16"/>
  <c r="G1089" i="16"/>
  <c r="M1088" i="16"/>
  <c r="L1088" i="16"/>
  <c r="K1088" i="16"/>
  <c r="J1088" i="16"/>
  <c r="I1088" i="16"/>
  <c r="H1088" i="16"/>
  <c r="G1088" i="16"/>
  <c r="M1087" i="16"/>
  <c r="L1087" i="16"/>
  <c r="K1087" i="16"/>
  <c r="J1087" i="16"/>
  <c r="I1087" i="16"/>
  <c r="H1087" i="16"/>
  <c r="G1087" i="16"/>
  <c r="M1086" i="16"/>
  <c r="L1086" i="16"/>
  <c r="K1086" i="16"/>
  <c r="J1086" i="16"/>
  <c r="I1086" i="16"/>
  <c r="H1086" i="16"/>
  <c r="G1086" i="16"/>
  <c r="M1085" i="16"/>
  <c r="L1085" i="16"/>
  <c r="K1085" i="16"/>
  <c r="J1085" i="16"/>
  <c r="I1085" i="16"/>
  <c r="H1085" i="16"/>
  <c r="G1085" i="16"/>
  <c r="M1084" i="16"/>
  <c r="L1084" i="16"/>
  <c r="K1084" i="16"/>
  <c r="J1084" i="16"/>
  <c r="I1084" i="16"/>
  <c r="H1084" i="16"/>
  <c r="G1084" i="16"/>
  <c r="M1083" i="16"/>
  <c r="L1083" i="16"/>
  <c r="K1083" i="16"/>
  <c r="J1083" i="16"/>
  <c r="I1083" i="16"/>
  <c r="H1083" i="16"/>
  <c r="G1083" i="16"/>
  <c r="M1082" i="16"/>
  <c r="L1082" i="16"/>
  <c r="K1082" i="16"/>
  <c r="J1082" i="16"/>
  <c r="I1082" i="16"/>
  <c r="H1082" i="16"/>
  <c r="G1082" i="16"/>
  <c r="M1081" i="16"/>
  <c r="L1081" i="16"/>
  <c r="K1081" i="16"/>
  <c r="J1081" i="16"/>
  <c r="I1081" i="16"/>
  <c r="H1081" i="16"/>
  <c r="G1081" i="16"/>
  <c r="M1080" i="16"/>
  <c r="L1080" i="16"/>
  <c r="K1080" i="16"/>
  <c r="J1080" i="16"/>
  <c r="I1080" i="16"/>
  <c r="H1080" i="16"/>
  <c r="G1080" i="16"/>
  <c r="M1079" i="16"/>
  <c r="L1079" i="16"/>
  <c r="K1079" i="16"/>
  <c r="J1079" i="16"/>
  <c r="I1079" i="16"/>
  <c r="H1079" i="16"/>
  <c r="G1079" i="16"/>
  <c r="M1078" i="16"/>
  <c r="L1078" i="16"/>
  <c r="K1078" i="16"/>
  <c r="J1078" i="16"/>
  <c r="I1078" i="16"/>
  <c r="H1078" i="16"/>
  <c r="G1078" i="16"/>
  <c r="M1077" i="16"/>
  <c r="L1077" i="16"/>
  <c r="K1077" i="16"/>
  <c r="J1077" i="16"/>
  <c r="I1077" i="16"/>
  <c r="H1077" i="16"/>
  <c r="G1077" i="16"/>
  <c r="M1076" i="16"/>
  <c r="L1076" i="16"/>
  <c r="K1076" i="16"/>
  <c r="J1076" i="16"/>
  <c r="I1076" i="16"/>
  <c r="H1076" i="16"/>
  <c r="G1076" i="16"/>
  <c r="M1075" i="16"/>
  <c r="L1075" i="16"/>
  <c r="K1075" i="16"/>
  <c r="J1075" i="16"/>
  <c r="I1075" i="16"/>
  <c r="H1075" i="16"/>
  <c r="G1075" i="16"/>
  <c r="M1074" i="16"/>
  <c r="L1074" i="16"/>
  <c r="K1074" i="16"/>
  <c r="J1074" i="16"/>
  <c r="I1074" i="16"/>
  <c r="H1074" i="16"/>
  <c r="G1074" i="16"/>
  <c r="M1073" i="16"/>
  <c r="L1073" i="16"/>
  <c r="K1073" i="16"/>
  <c r="J1073" i="16"/>
  <c r="I1073" i="16"/>
  <c r="H1073" i="16"/>
  <c r="G1073" i="16"/>
  <c r="M1072" i="16"/>
  <c r="L1072" i="16"/>
  <c r="K1072" i="16"/>
  <c r="J1072" i="16"/>
  <c r="I1072" i="16"/>
  <c r="H1072" i="16"/>
  <c r="G1072" i="16"/>
  <c r="M1071" i="16"/>
  <c r="L1071" i="16"/>
  <c r="K1071" i="16"/>
  <c r="J1071" i="16"/>
  <c r="I1071" i="16"/>
  <c r="H1071" i="16"/>
  <c r="G1071" i="16"/>
  <c r="M1070" i="16"/>
  <c r="L1070" i="16"/>
  <c r="K1070" i="16"/>
  <c r="J1070" i="16"/>
  <c r="I1070" i="16"/>
  <c r="H1070" i="16"/>
  <c r="G1070" i="16"/>
  <c r="M1069" i="16"/>
  <c r="L1069" i="16"/>
  <c r="K1069" i="16"/>
  <c r="J1069" i="16"/>
  <c r="I1069" i="16"/>
  <c r="H1069" i="16"/>
  <c r="G1069" i="16"/>
  <c r="M1068" i="16"/>
  <c r="L1068" i="16"/>
  <c r="K1068" i="16"/>
  <c r="J1068" i="16"/>
  <c r="I1068" i="16"/>
  <c r="H1068" i="16"/>
  <c r="G1068" i="16"/>
  <c r="M1067" i="16"/>
  <c r="L1067" i="16"/>
  <c r="K1067" i="16"/>
  <c r="J1067" i="16"/>
  <c r="I1067" i="16"/>
  <c r="H1067" i="16"/>
  <c r="G1067" i="16"/>
  <c r="M1066" i="16"/>
  <c r="L1066" i="16"/>
  <c r="K1066" i="16"/>
  <c r="J1066" i="16"/>
  <c r="I1066" i="16"/>
  <c r="H1066" i="16"/>
  <c r="G1066" i="16"/>
  <c r="M1065" i="16"/>
  <c r="L1065" i="16"/>
  <c r="K1065" i="16"/>
  <c r="J1065" i="16"/>
  <c r="I1065" i="16"/>
  <c r="H1065" i="16"/>
  <c r="G1065" i="16"/>
  <c r="M1064" i="16"/>
  <c r="L1064" i="16"/>
  <c r="K1064" i="16"/>
  <c r="J1064" i="16"/>
  <c r="I1064" i="16"/>
  <c r="H1064" i="16"/>
  <c r="G1064" i="16"/>
  <c r="M1063" i="16"/>
  <c r="L1063" i="16"/>
  <c r="K1063" i="16"/>
  <c r="J1063" i="16"/>
  <c r="I1063" i="16"/>
  <c r="H1063" i="16"/>
  <c r="G1063" i="16"/>
  <c r="M1062" i="16"/>
  <c r="L1062" i="16"/>
  <c r="K1062" i="16"/>
  <c r="J1062" i="16"/>
  <c r="I1062" i="16"/>
  <c r="H1062" i="16"/>
  <c r="G1062" i="16"/>
  <c r="M1061" i="16"/>
  <c r="L1061" i="16"/>
  <c r="K1061" i="16"/>
  <c r="J1061" i="16"/>
  <c r="I1061" i="16"/>
  <c r="H1061" i="16"/>
  <c r="G1061" i="16"/>
  <c r="M1060" i="16"/>
  <c r="L1060" i="16"/>
  <c r="K1060" i="16"/>
  <c r="J1060" i="16"/>
  <c r="I1060" i="16"/>
  <c r="H1060" i="16"/>
  <c r="G1060" i="16"/>
  <c r="M1059" i="16"/>
  <c r="L1059" i="16"/>
  <c r="K1059" i="16"/>
  <c r="J1059" i="16"/>
  <c r="I1059" i="16"/>
  <c r="H1059" i="16"/>
  <c r="G1059" i="16"/>
  <c r="M1058" i="16"/>
  <c r="L1058" i="16"/>
  <c r="K1058" i="16"/>
  <c r="J1058" i="16"/>
  <c r="I1058" i="16"/>
  <c r="H1058" i="16"/>
  <c r="G1058" i="16"/>
  <c r="M1057" i="16"/>
  <c r="L1057" i="16"/>
  <c r="K1057" i="16"/>
  <c r="J1057" i="16"/>
  <c r="I1057" i="16"/>
  <c r="H1057" i="16"/>
  <c r="G1057" i="16"/>
  <c r="M1056" i="16"/>
  <c r="L1056" i="16"/>
  <c r="K1056" i="16"/>
  <c r="J1056" i="16"/>
  <c r="I1056" i="16"/>
  <c r="H1056" i="16"/>
  <c r="G1056" i="16"/>
  <c r="M1055" i="16"/>
  <c r="L1055" i="16"/>
  <c r="K1055" i="16"/>
  <c r="J1055" i="16"/>
  <c r="I1055" i="16"/>
  <c r="H1055" i="16"/>
  <c r="G1055" i="16"/>
  <c r="M1054" i="16"/>
  <c r="L1054" i="16"/>
  <c r="K1054" i="16"/>
  <c r="J1054" i="16"/>
  <c r="I1054" i="16"/>
  <c r="H1054" i="16"/>
  <c r="G1054" i="16"/>
  <c r="M1053" i="16"/>
  <c r="L1053" i="16"/>
  <c r="K1053" i="16"/>
  <c r="J1053" i="16"/>
  <c r="I1053" i="16"/>
  <c r="H1053" i="16"/>
  <c r="G1053" i="16"/>
  <c r="M1052" i="16"/>
  <c r="L1052" i="16"/>
  <c r="K1052" i="16"/>
  <c r="J1052" i="16"/>
  <c r="I1052" i="16"/>
  <c r="H1052" i="16"/>
  <c r="G1052" i="16"/>
  <c r="M1051" i="16"/>
  <c r="L1051" i="16"/>
  <c r="K1051" i="16"/>
  <c r="J1051" i="16"/>
  <c r="I1051" i="16"/>
  <c r="H1051" i="16"/>
  <c r="G1051" i="16"/>
  <c r="M1050" i="16"/>
  <c r="L1050" i="16"/>
  <c r="K1050" i="16"/>
  <c r="J1050" i="16"/>
  <c r="I1050" i="16"/>
  <c r="H1050" i="16"/>
  <c r="G1050" i="16"/>
  <c r="M1049" i="16"/>
  <c r="L1049" i="16"/>
  <c r="K1049" i="16"/>
  <c r="J1049" i="16"/>
  <c r="I1049" i="16"/>
  <c r="H1049" i="16"/>
  <c r="G1049" i="16"/>
  <c r="M1048" i="16"/>
  <c r="L1048" i="16"/>
  <c r="K1048" i="16"/>
  <c r="J1048" i="16"/>
  <c r="I1048" i="16"/>
  <c r="H1048" i="16"/>
  <c r="G1048" i="16"/>
  <c r="M1047" i="16"/>
  <c r="L1047" i="16"/>
  <c r="K1047" i="16"/>
  <c r="J1047" i="16"/>
  <c r="I1047" i="16"/>
  <c r="H1047" i="16"/>
  <c r="G1047" i="16"/>
  <c r="M1046" i="16"/>
  <c r="L1046" i="16"/>
  <c r="K1046" i="16"/>
  <c r="J1046" i="16"/>
  <c r="I1046" i="16"/>
  <c r="H1046" i="16"/>
  <c r="G1046" i="16"/>
  <c r="M1045" i="16"/>
  <c r="L1045" i="16"/>
  <c r="K1045" i="16"/>
  <c r="J1045" i="16"/>
  <c r="I1045" i="16"/>
  <c r="H1045" i="16"/>
  <c r="G1045" i="16"/>
  <c r="M1044" i="16"/>
  <c r="L1044" i="16"/>
  <c r="K1044" i="16"/>
  <c r="J1044" i="16"/>
  <c r="I1044" i="16"/>
  <c r="H1044" i="16"/>
  <c r="G1044" i="16"/>
  <c r="M1043" i="16"/>
  <c r="L1043" i="16"/>
  <c r="K1043" i="16"/>
  <c r="J1043" i="16"/>
  <c r="I1043" i="16"/>
  <c r="H1043" i="16"/>
  <c r="G1043" i="16"/>
  <c r="M1042" i="16"/>
  <c r="L1042" i="16"/>
  <c r="K1042" i="16"/>
  <c r="J1042" i="16"/>
  <c r="I1042" i="16"/>
  <c r="H1042" i="16"/>
  <c r="G1042" i="16"/>
  <c r="M1041" i="16"/>
  <c r="L1041" i="16"/>
  <c r="K1041" i="16"/>
  <c r="J1041" i="16"/>
  <c r="I1041" i="16"/>
  <c r="H1041" i="16"/>
  <c r="G1041" i="16"/>
  <c r="M1040" i="16"/>
  <c r="L1040" i="16"/>
  <c r="K1040" i="16"/>
  <c r="J1040" i="16"/>
  <c r="I1040" i="16"/>
  <c r="H1040" i="16"/>
  <c r="G1040" i="16"/>
  <c r="M1039" i="16"/>
  <c r="L1039" i="16"/>
  <c r="K1039" i="16"/>
  <c r="J1039" i="16"/>
  <c r="I1039" i="16"/>
  <c r="H1039" i="16"/>
  <c r="G1039" i="16"/>
  <c r="M1038" i="16"/>
  <c r="L1038" i="16"/>
  <c r="K1038" i="16"/>
  <c r="J1038" i="16"/>
  <c r="I1038" i="16"/>
  <c r="H1038" i="16"/>
  <c r="G1038" i="16"/>
  <c r="M1037" i="16"/>
  <c r="L1037" i="16"/>
  <c r="K1037" i="16"/>
  <c r="J1037" i="16"/>
  <c r="I1037" i="16"/>
  <c r="H1037" i="16"/>
  <c r="G1037" i="16"/>
  <c r="M1036" i="16"/>
  <c r="L1036" i="16"/>
  <c r="K1036" i="16"/>
  <c r="J1036" i="16"/>
  <c r="I1036" i="16"/>
  <c r="H1036" i="16"/>
  <c r="G1036" i="16"/>
  <c r="M1035" i="16"/>
  <c r="L1035" i="16"/>
  <c r="K1035" i="16"/>
  <c r="J1035" i="16"/>
  <c r="I1035" i="16"/>
  <c r="H1035" i="16"/>
  <c r="G1035" i="16"/>
  <c r="M1034" i="16"/>
  <c r="L1034" i="16"/>
  <c r="K1034" i="16"/>
  <c r="J1034" i="16"/>
  <c r="I1034" i="16"/>
  <c r="H1034" i="16"/>
  <c r="G1034" i="16"/>
  <c r="M1033" i="16"/>
  <c r="L1033" i="16"/>
  <c r="K1033" i="16"/>
  <c r="J1033" i="16"/>
  <c r="I1033" i="16"/>
  <c r="H1033" i="16"/>
  <c r="G1033" i="16"/>
  <c r="M1032" i="16"/>
  <c r="L1032" i="16"/>
  <c r="K1032" i="16"/>
  <c r="J1032" i="16"/>
  <c r="I1032" i="16"/>
  <c r="H1032" i="16"/>
  <c r="G1032" i="16"/>
  <c r="M1031" i="16"/>
  <c r="L1031" i="16"/>
  <c r="K1031" i="16"/>
  <c r="J1031" i="16"/>
  <c r="I1031" i="16"/>
  <c r="H1031" i="16"/>
  <c r="G1031" i="16"/>
  <c r="M1030" i="16"/>
  <c r="L1030" i="16"/>
  <c r="K1030" i="16"/>
  <c r="J1030" i="16"/>
  <c r="I1030" i="16"/>
  <c r="H1030" i="16"/>
  <c r="G1030" i="16"/>
  <c r="M1029" i="16"/>
  <c r="L1029" i="16"/>
  <c r="K1029" i="16"/>
  <c r="J1029" i="16"/>
  <c r="I1029" i="16"/>
  <c r="H1029" i="16"/>
  <c r="G1029" i="16"/>
  <c r="M1028" i="16"/>
  <c r="L1028" i="16"/>
  <c r="K1028" i="16"/>
  <c r="J1028" i="16"/>
  <c r="I1028" i="16"/>
  <c r="H1028" i="16"/>
  <c r="G1028" i="16"/>
  <c r="M1027" i="16"/>
  <c r="L1027" i="16"/>
  <c r="K1027" i="16"/>
  <c r="J1027" i="16"/>
  <c r="I1027" i="16"/>
  <c r="H1027" i="16"/>
  <c r="G1027" i="16"/>
  <c r="M1026" i="16"/>
  <c r="L1026" i="16"/>
  <c r="K1026" i="16"/>
  <c r="J1026" i="16"/>
  <c r="I1026" i="16"/>
  <c r="H1026" i="16"/>
  <c r="G1026" i="16"/>
  <c r="M1025" i="16"/>
  <c r="L1025" i="16"/>
  <c r="K1025" i="16"/>
  <c r="J1025" i="16"/>
  <c r="I1025" i="16"/>
  <c r="H1025" i="16"/>
  <c r="G1025" i="16"/>
  <c r="M1024" i="16"/>
  <c r="L1024" i="16"/>
  <c r="K1024" i="16"/>
  <c r="J1024" i="16"/>
  <c r="I1024" i="16"/>
  <c r="H1024" i="16"/>
  <c r="G1024" i="16"/>
  <c r="M1023" i="16"/>
  <c r="L1023" i="16"/>
  <c r="K1023" i="16"/>
  <c r="J1023" i="16"/>
  <c r="I1023" i="16"/>
  <c r="H1023" i="16"/>
  <c r="G1023" i="16"/>
  <c r="M1022" i="16"/>
  <c r="L1022" i="16"/>
  <c r="K1022" i="16"/>
  <c r="J1022" i="16"/>
  <c r="I1022" i="16"/>
  <c r="H1022" i="16"/>
  <c r="G1022" i="16"/>
  <c r="M1021" i="16"/>
  <c r="L1021" i="16"/>
  <c r="K1021" i="16"/>
  <c r="J1021" i="16"/>
  <c r="I1021" i="16"/>
  <c r="H1021" i="16"/>
  <c r="G1021" i="16"/>
  <c r="M1020" i="16"/>
  <c r="L1020" i="16"/>
  <c r="K1020" i="16"/>
  <c r="J1020" i="16"/>
  <c r="I1020" i="16"/>
  <c r="H1020" i="16"/>
  <c r="G1020" i="16"/>
  <c r="M1019" i="16"/>
  <c r="L1019" i="16"/>
  <c r="K1019" i="16"/>
  <c r="J1019" i="16"/>
  <c r="I1019" i="16"/>
  <c r="H1019" i="16"/>
  <c r="G1019" i="16"/>
  <c r="M1018" i="16"/>
  <c r="L1018" i="16"/>
  <c r="K1018" i="16"/>
  <c r="J1018" i="16"/>
  <c r="I1018" i="16"/>
  <c r="H1018" i="16"/>
  <c r="G1018" i="16"/>
  <c r="M1017" i="16"/>
  <c r="L1017" i="16"/>
  <c r="K1017" i="16"/>
  <c r="J1017" i="16"/>
  <c r="I1017" i="16"/>
  <c r="H1017" i="16"/>
  <c r="G1017" i="16"/>
  <c r="M1016" i="16"/>
  <c r="L1016" i="16"/>
  <c r="K1016" i="16"/>
  <c r="J1016" i="16"/>
  <c r="I1016" i="16"/>
  <c r="H1016" i="16"/>
  <c r="G1016" i="16"/>
  <c r="M1015" i="16"/>
  <c r="L1015" i="16"/>
  <c r="K1015" i="16"/>
  <c r="J1015" i="16"/>
  <c r="I1015" i="16"/>
  <c r="H1015" i="16"/>
  <c r="G1015" i="16"/>
  <c r="M1014" i="16"/>
  <c r="L1014" i="16"/>
  <c r="K1014" i="16"/>
  <c r="J1014" i="16"/>
  <c r="I1014" i="16"/>
  <c r="H1014" i="16"/>
  <c r="G1014" i="16"/>
  <c r="M1013" i="16"/>
  <c r="L1013" i="16"/>
  <c r="K1013" i="16"/>
  <c r="J1013" i="16"/>
  <c r="I1013" i="16"/>
  <c r="H1013" i="16"/>
  <c r="G1013" i="16"/>
  <c r="M1012" i="16"/>
  <c r="L1012" i="16"/>
  <c r="K1012" i="16"/>
  <c r="J1012" i="16"/>
  <c r="I1012" i="16"/>
  <c r="H1012" i="16"/>
  <c r="G1012" i="16"/>
  <c r="M1011" i="16"/>
  <c r="L1011" i="16"/>
  <c r="K1011" i="16"/>
  <c r="J1011" i="16"/>
  <c r="I1011" i="16"/>
  <c r="H1011" i="16"/>
  <c r="G1011" i="16"/>
  <c r="M1010" i="16"/>
  <c r="L1010" i="16"/>
  <c r="K1010" i="16"/>
  <c r="J1010" i="16"/>
  <c r="I1010" i="16"/>
  <c r="H1010" i="16"/>
  <c r="G1010" i="16"/>
  <c r="M1009" i="16"/>
  <c r="L1009" i="16"/>
  <c r="K1009" i="16"/>
  <c r="J1009" i="16"/>
  <c r="I1009" i="16"/>
  <c r="H1009" i="16"/>
  <c r="G1009" i="16"/>
  <c r="M1008" i="16"/>
  <c r="L1008" i="16"/>
  <c r="K1008" i="16"/>
  <c r="J1008" i="16"/>
  <c r="I1008" i="16"/>
  <c r="H1008" i="16"/>
  <c r="G1008" i="16"/>
  <c r="M1007" i="16"/>
  <c r="L1007" i="16"/>
  <c r="K1007" i="16"/>
  <c r="J1007" i="16"/>
  <c r="I1007" i="16"/>
  <c r="H1007" i="16"/>
  <c r="G1007" i="16"/>
  <c r="M1006" i="16"/>
  <c r="L1006" i="16"/>
  <c r="K1006" i="16"/>
  <c r="J1006" i="16"/>
  <c r="I1006" i="16"/>
  <c r="H1006" i="16"/>
  <c r="G1006" i="16"/>
  <c r="M1005" i="16"/>
  <c r="L1005" i="16"/>
  <c r="K1005" i="16"/>
  <c r="J1005" i="16"/>
  <c r="I1005" i="16"/>
  <c r="H1005" i="16"/>
  <c r="G1005" i="16"/>
  <c r="M1004" i="16"/>
  <c r="L1004" i="16"/>
  <c r="K1004" i="16"/>
  <c r="J1004" i="16"/>
  <c r="I1004" i="16"/>
  <c r="H1004" i="16"/>
  <c r="G1004" i="16"/>
  <c r="M1003" i="16"/>
  <c r="L1003" i="16"/>
  <c r="K1003" i="16"/>
  <c r="J1003" i="16"/>
  <c r="I1003" i="16"/>
  <c r="H1003" i="16"/>
  <c r="G1003" i="16"/>
  <c r="M1002" i="16"/>
  <c r="L1002" i="16"/>
  <c r="K1002" i="16"/>
  <c r="J1002" i="16"/>
  <c r="I1002" i="16"/>
  <c r="H1002" i="16"/>
  <c r="G1002" i="16"/>
  <c r="M1001" i="16"/>
  <c r="L1001" i="16"/>
  <c r="K1001" i="16"/>
  <c r="J1001" i="16"/>
  <c r="I1001" i="16"/>
  <c r="H1001" i="16"/>
  <c r="G1001" i="16"/>
  <c r="M1000" i="16"/>
  <c r="L1000" i="16"/>
  <c r="K1000" i="16"/>
  <c r="J1000" i="16"/>
  <c r="I1000" i="16"/>
  <c r="H1000" i="16"/>
  <c r="G1000" i="16"/>
  <c r="M999" i="16"/>
  <c r="L999" i="16"/>
  <c r="K999" i="16"/>
  <c r="J999" i="16"/>
  <c r="I999" i="16"/>
  <c r="H999" i="16"/>
  <c r="G999" i="16"/>
  <c r="M998" i="16"/>
  <c r="L998" i="16"/>
  <c r="K998" i="16"/>
  <c r="J998" i="16"/>
  <c r="I998" i="16"/>
  <c r="H998" i="16"/>
  <c r="G998" i="16"/>
  <c r="M997" i="16"/>
  <c r="L997" i="16"/>
  <c r="K997" i="16"/>
  <c r="J997" i="16"/>
  <c r="I997" i="16"/>
  <c r="H997" i="16"/>
  <c r="G997" i="16"/>
  <c r="M996" i="16"/>
  <c r="L996" i="16"/>
  <c r="K996" i="16"/>
  <c r="J996" i="16"/>
  <c r="I996" i="16"/>
  <c r="H996" i="16"/>
  <c r="G996" i="16"/>
  <c r="M995" i="16"/>
  <c r="L995" i="16"/>
  <c r="K995" i="16"/>
  <c r="J995" i="16"/>
  <c r="I995" i="16"/>
  <c r="H995" i="16"/>
  <c r="G995" i="16"/>
  <c r="M994" i="16"/>
  <c r="L994" i="16"/>
  <c r="K994" i="16"/>
  <c r="J994" i="16"/>
  <c r="I994" i="16"/>
  <c r="H994" i="16"/>
  <c r="G994" i="16"/>
  <c r="M993" i="16"/>
  <c r="L993" i="16"/>
  <c r="K993" i="16"/>
  <c r="J993" i="16"/>
  <c r="I993" i="16"/>
  <c r="H993" i="16"/>
  <c r="G993" i="16"/>
  <c r="M992" i="16"/>
  <c r="L992" i="16"/>
  <c r="K992" i="16"/>
  <c r="J992" i="16"/>
  <c r="I992" i="16"/>
  <c r="H992" i="16"/>
  <c r="G992" i="16"/>
  <c r="M991" i="16"/>
  <c r="L991" i="16"/>
  <c r="K991" i="16"/>
  <c r="J991" i="16"/>
  <c r="I991" i="16"/>
  <c r="H991" i="16"/>
  <c r="G991" i="16"/>
  <c r="M990" i="16"/>
  <c r="L990" i="16"/>
  <c r="K990" i="16"/>
  <c r="J990" i="16"/>
  <c r="I990" i="16"/>
  <c r="H990" i="16"/>
  <c r="G990" i="16"/>
  <c r="M989" i="16"/>
  <c r="L989" i="16"/>
  <c r="K989" i="16"/>
  <c r="J989" i="16"/>
  <c r="I989" i="16"/>
  <c r="H989" i="16"/>
  <c r="G989" i="16"/>
  <c r="M988" i="16"/>
  <c r="L988" i="16"/>
  <c r="K988" i="16"/>
  <c r="J988" i="16"/>
  <c r="I988" i="16"/>
  <c r="H988" i="16"/>
  <c r="G988" i="16"/>
  <c r="M987" i="16"/>
  <c r="L987" i="16"/>
  <c r="K987" i="16"/>
  <c r="J987" i="16"/>
  <c r="I987" i="16"/>
  <c r="H987" i="16"/>
  <c r="G987" i="16"/>
  <c r="M986" i="16"/>
  <c r="L986" i="16"/>
  <c r="K986" i="16"/>
  <c r="J986" i="16"/>
  <c r="I986" i="16"/>
  <c r="H986" i="16"/>
  <c r="G986" i="16"/>
  <c r="M985" i="16"/>
  <c r="L985" i="16"/>
  <c r="K985" i="16"/>
  <c r="J985" i="16"/>
  <c r="I985" i="16"/>
  <c r="H985" i="16"/>
  <c r="G985" i="16"/>
  <c r="M984" i="16"/>
  <c r="L984" i="16"/>
  <c r="K984" i="16"/>
  <c r="J984" i="16"/>
  <c r="I984" i="16"/>
  <c r="H984" i="16"/>
  <c r="G984" i="16"/>
  <c r="M983" i="16"/>
  <c r="L983" i="16"/>
  <c r="K983" i="16"/>
  <c r="J983" i="16"/>
  <c r="I983" i="16"/>
  <c r="H983" i="16"/>
  <c r="G983" i="16"/>
  <c r="M982" i="16"/>
  <c r="L982" i="16"/>
  <c r="K982" i="16"/>
  <c r="J982" i="16"/>
  <c r="I982" i="16"/>
  <c r="H982" i="16"/>
  <c r="G982" i="16"/>
  <c r="M981" i="16"/>
  <c r="L981" i="16"/>
  <c r="K981" i="16"/>
  <c r="J981" i="16"/>
  <c r="I981" i="16"/>
  <c r="H981" i="16"/>
  <c r="G981" i="16"/>
  <c r="M980" i="16"/>
  <c r="L980" i="16"/>
  <c r="K980" i="16"/>
  <c r="J980" i="16"/>
  <c r="I980" i="16"/>
  <c r="H980" i="16"/>
  <c r="G980" i="16"/>
  <c r="M979" i="16"/>
  <c r="L979" i="16"/>
  <c r="K979" i="16"/>
  <c r="J979" i="16"/>
  <c r="I979" i="16"/>
  <c r="H979" i="16"/>
  <c r="G979" i="16"/>
  <c r="M978" i="16"/>
  <c r="L978" i="16"/>
  <c r="K978" i="16"/>
  <c r="J978" i="16"/>
  <c r="I978" i="16"/>
  <c r="H978" i="16"/>
  <c r="G978" i="16"/>
  <c r="M977" i="16"/>
  <c r="L977" i="16"/>
  <c r="K977" i="16"/>
  <c r="J977" i="16"/>
  <c r="I977" i="16"/>
  <c r="H977" i="16"/>
  <c r="G977" i="16"/>
  <c r="M976" i="16"/>
  <c r="L976" i="16"/>
  <c r="K976" i="16"/>
  <c r="J976" i="16"/>
  <c r="I976" i="16"/>
  <c r="H976" i="16"/>
  <c r="G976" i="16"/>
  <c r="M975" i="16"/>
  <c r="L975" i="16"/>
  <c r="K975" i="16"/>
  <c r="J975" i="16"/>
  <c r="I975" i="16"/>
  <c r="H975" i="16"/>
  <c r="G975" i="16"/>
  <c r="M974" i="16"/>
  <c r="L974" i="16"/>
  <c r="K974" i="16"/>
  <c r="J974" i="16"/>
  <c r="I974" i="16"/>
  <c r="H974" i="16"/>
  <c r="G974" i="16"/>
  <c r="M973" i="16"/>
  <c r="L973" i="16"/>
  <c r="K973" i="16"/>
  <c r="J973" i="16"/>
  <c r="I973" i="16"/>
  <c r="H973" i="16"/>
  <c r="G973" i="16"/>
  <c r="M972" i="16"/>
  <c r="L972" i="16"/>
  <c r="K972" i="16"/>
  <c r="J972" i="16"/>
  <c r="I972" i="16"/>
  <c r="H972" i="16"/>
  <c r="G972" i="16"/>
  <c r="M971" i="16"/>
  <c r="L971" i="16"/>
  <c r="K971" i="16"/>
  <c r="J971" i="16"/>
  <c r="I971" i="16"/>
  <c r="H971" i="16"/>
  <c r="G971" i="16"/>
  <c r="M970" i="16"/>
  <c r="L970" i="16"/>
  <c r="K970" i="16"/>
  <c r="J970" i="16"/>
  <c r="I970" i="16"/>
  <c r="H970" i="16"/>
  <c r="G970" i="16"/>
  <c r="M969" i="16"/>
  <c r="L969" i="16"/>
  <c r="K969" i="16"/>
  <c r="J969" i="16"/>
  <c r="I969" i="16"/>
  <c r="H969" i="16"/>
  <c r="G969" i="16"/>
  <c r="M968" i="16"/>
  <c r="L968" i="16"/>
  <c r="K968" i="16"/>
  <c r="J968" i="16"/>
  <c r="I968" i="16"/>
  <c r="H968" i="16"/>
  <c r="G968" i="16"/>
  <c r="M967" i="16"/>
  <c r="L967" i="16"/>
  <c r="K967" i="16"/>
  <c r="J967" i="16"/>
  <c r="I967" i="16"/>
  <c r="H967" i="16"/>
  <c r="G967" i="16"/>
  <c r="M966" i="16"/>
  <c r="L966" i="16"/>
  <c r="K966" i="16"/>
  <c r="J966" i="16"/>
  <c r="I966" i="16"/>
  <c r="H966" i="16"/>
  <c r="G966" i="16"/>
  <c r="M965" i="16"/>
  <c r="L965" i="16"/>
  <c r="K965" i="16"/>
  <c r="J965" i="16"/>
  <c r="I965" i="16"/>
  <c r="H965" i="16"/>
  <c r="G965" i="16"/>
  <c r="M964" i="16"/>
  <c r="L964" i="16"/>
  <c r="K964" i="16"/>
  <c r="J964" i="16"/>
  <c r="I964" i="16"/>
  <c r="H964" i="16"/>
  <c r="G964" i="16"/>
  <c r="M963" i="16"/>
  <c r="L963" i="16"/>
  <c r="K963" i="16"/>
  <c r="J963" i="16"/>
  <c r="I963" i="16"/>
  <c r="H963" i="16"/>
  <c r="G963" i="16"/>
  <c r="M962" i="16"/>
  <c r="L962" i="16"/>
  <c r="K962" i="16"/>
  <c r="J962" i="16"/>
  <c r="I962" i="16"/>
  <c r="H962" i="16"/>
  <c r="G962" i="16"/>
  <c r="M961" i="16"/>
  <c r="L961" i="16"/>
  <c r="K961" i="16"/>
  <c r="J961" i="16"/>
  <c r="I961" i="16"/>
  <c r="H961" i="16"/>
  <c r="G961" i="16"/>
  <c r="M960" i="16"/>
  <c r="L960" i="16"/>
  <c r="K960" i="16"/>
  <c r="J960" i="16"/>
  <c r="I960" i="16"/>
  <c r="H960" i="16"/>
  <c r="G960" i="16"/>
  <c r="M959" i="16"/>
  <c r="L959" i="16"/>
  <c r="K959" i="16"/>
  <c r="J959" i="16"/>
  <c r="I959" i="16"/>
  <c r="H959" i="16"/>
  <c r="G959" i="16"/>
  <c r="M958" i="16"/>
  <c r="L958" i="16"/>
  <c r="K958" i="16"/>
  <c r="J958" i="16"/>
  <c r="I958" i="16"/>
  <c r="H958" i="16"/>
  <c r="G958" i="16"/>
  <c r="M957" i="16"/>
  <c r="L957" i="16"/>
  <c r="K957" i="16"/>
  <c r="J957" i="16"/>
  <c r="I957" i="16"/>
  <c r="H957" i="16"/>
  <c r="G957" i="16"/>
  <c r="M956" i="16"/>
  <c r="L956" i="16"/>
  <c r="K956" i="16"/>
  <c r="J956" i="16"/>
  <c r="I956" i="16"/>
  <c r="H956" i="16"/>
  <c r="G956" i="16"/>
  <c r="M955" i="16"/>
  <c r="L955" i="16"/>
  <c r="K955" i="16"/>
  <c r="J955" i="16"/>
  <c r="I955" i="16"/>
  <c r="H955" i="16"/>
  <c r="G955" i="16"/>
  <c r="M954" i="16"/>
  <c r="L954" i="16"/>
  <c r="K954" i="16"/>
  <c r="J954" i="16"/>
  <c r="I954" i="16"/>
  <c r="H954" i="16"/>
  <c r="G954" i="16"/>
  <c r="M953" i="16"/>
  <c r="L953" i="16"/>
  <c r="K953" i="16"/>
  <c r="J953" i="16"/>
  <c r="I953" i="16"/>
  <c r="H953" i="16"/>
  <c r="G953" i="16"/>
  <c r="M952" i="16"/>
  <c r="L952" i="16"/>
  <c r="K952" i="16"/>
  <c r="J952" i="16"/>
  <c r="I952" i="16"/>
  <c r="H952" i="16"/>
  <c r="G952" i="16"/>
  <c r="M951" i="16"/>
  <c r="L951" i="16"/>
  <c r="K951" i="16"/>
  <c r="J951" i="16"/>
  <c r="I951" i="16"/>
  <c r="H951" i="16"/>
  <c r="G951" i="16"/>
  <c r="M950" i="16"/>
  <c r="L950" i="16"/>
  <c r="K950" i="16"/>
  <c r="J950" i="16"/>
  <c r="I950" i="16"/>
  <c r="H950" i="16"/>
  <c r="G950" i="16"/>
  <c r="M949" i="16"/>
  <c r="L949" i="16"/>
  <c r="K949" i="16"/>
  <c r="J949" i="16"/>
  <c r="I949" i="16"/>
  <c r="H949" i="16"/>
  <c r="G949" i="16"/>
  <c r="M948" i="16"/>
  <c r="L948" i="16"/>
  <c r="K948" i="16"/>
  <c r="J948" i="16"/>
  <c r="I948" i="16"/>
  <c r="H948" i="16"/>
  <c r="G948" i="16"/>
  <c r="M947" i="16"/>
  <c r="L947" i="16"/>
  <c r="K947" i="16"/>
  <c r="J947" i="16"/>
  <c r="I947" i="16"/>
  <c r="H947" i="16"/>
  <c r="G947" i="16"/>
  <c r="M946" i="16"/>
  <c r="L946" i="16"/>
  <c r="K946" i="16"/>
  <c r="J946" i="16"/>
  <c r="I946" i="16"/>
  <c r="H946" i="16"/>
  <c r="G946" i="16"/>
  <c r="M945" i="16"/>
  <c r="L945" i="16"/>
  <c r="K945" i="16"/>
  <c r="J945" i="16"/>
  <c r="I945" i="16"/>
  <c r="H945" i="16"/>
  <c r="G945" i="16"/>
  <c r="M944" i="16"/>
  <c r="L944" i="16"/>
  <c r="K944" i="16"/>
  <c r="J944" i="16"/>
  <c r="I944" i="16"/>
  <c r="H944" i="16"/>
  <c r="G944" i="16"/>
  <c r="M943" i="16"/>
  <c r="L943" i="16"/>
  <c r="K943" i="16"/>
  <c r="J943" i="16"/>
  <c r="I943" i="16"/>
  <c r="H943" i="16"/>
  <c r="G943" i="16"/>
  <c r="M942" i="16"/>
  <c r="L942" i="16"/>
  <c r="K942" i="16"/>
  <c r="J942" i="16"/>
  <c r="I942" i="16"/>
  <c r="H942" i="16"/>
  <c r="G942" i="16"/>
  <c r="M941" i="16"/>
  <c r="L941" i="16"/>
  <c r="K941" i="16"/>
  <c r="J941" i="16"/>
  <c r="I941" i="16"/>
  <c r="H941" i="16"/>
  <c r="G941" i="16"/>
  <c r="M940" i="16"/>
  <c r="L940" i="16"/>
  <c r="K940" i="16"/>
  <c r="J940" i="16"/>
  <c r="I940" i="16"/>
  <c r="H940" i="16"/>
  <c r="G940" i="16"/>
  <c r="M939" i="16"/>
  <c r="L939" i="16"/>
  <c r="K939" i="16"/>
  <c r="J939" i="16"/>
  <c r="I939" i="16"/>
  <c r="H939" i="16"/>
  <c r="G939" i="16"/>
  <c r="M938" i="16"/>
  <c r="L938" i="16"/>
  <c r="K938" i="16"/>
  <c r="J938" i="16"/>
  <c r="I938" i="16"/>
  <c r="H938" i="16"/>
  <c r="G938" i="16"/>
  <c r="M937" i="16"/>
  <c r="L937" i="16"/>
  <c r="K937" i="16"/>
  <c r="J937" i="16"/>
  <c r="I937" i="16"/>
  <c r="H937" i="16"/>
  <c r="G937" i="16"/>
  <c r="M936" i="16"/>
  <c r="L936" i="16"/>
  <c r="K936" i="16"/>
  <c r="J936" i="16"/>
  <c r="I936" i="16"/>
  <c r="H936" i="16"/>
  <c r="G936" i="16"/>
  <c r="M935" i="16"/>
  <c r="L935" i="16"/>
  <c r="K935" i="16"/>
  <c r="J935" i="16"/>
  <c r="I935" i="16"/>
  <c r="H935" i="16"/>
  <c r="G935" i="16"/>
  <c r="M934" i="16"/>
  <c r="L934" i="16"/>
  <c r="K934" i="16"/>
  <c r="J934" i="16"/>
  <c r="I934" i="16"/>
  <c r="H934" i="16"/>
  <c r="G934" i="16"/>
  <c r="M933" i="16"/>
  <c r="L933" i="16"/>
  <c r="K933" i="16"/>
  <c r="J933" i="16"/>
  <c r="I933" i="16"/>
  <c r="H933" i="16"/>
  <c r="G933" i="16"/>
  <c r="M932" i="16"/>
  <c r="L932" i="16"/>
  <c r="K932" i="16"/>
  <c r="J932" i="16"/>
  <c r="I932" i="16"/>
  <c r="H932" i="16"/>
  <c r="G932" i="16"/>
  <c r="M931" i="16"/>
  <c r="L931" i="16"/>
  <c r="K931" i="16"/>
  <c r="J931" i="16"/>
  <c r="I931" i="16"/>
  <c r="H931" i="16"/>
  <c r="G931" i="16"/>
  <c r="M930" i="16"/>
  <c r="L930" i="16"/>
  <c r="K930" i="16"/>
  <c r="J930" i="16"/>
  <c r="I930" i="16"/>
  <c r="H930" i="16"/>
  <c r="G930" i="16"/>
  <c r="M929" i="16"/>
  <c r="L929" i="16"/>
  <c r="K929" i="16"/>
  <c r="J929" i="16"/>
  <c r="I929" i="16"/>
  <c r="H929" i="16"/>
  <c r="G929" i="16"/>
  <c r="M928" i="16"/>
  <c r="L928" i="16"/>
  <c r="K928" i="16"/>
  <c r="J928" i="16"/>
  <c r="I928" i="16"/>
  <c r="H928" i="16"/>
  <c r="G928" i="16"/>
  <c r="M927" i="16"/>
  <c r="L927" i="16"/>
  <c r="K927" i="16"/>
  <c r="J927" i="16"/>
  <c r="I927" i="16"/>
  <c r="H927" i="16"/>
  <c r="G927" i="16"/>
  <c r="M926" i="16"/>
  <c r="L926" i="16"/>
  <c r="K926" i="16"/>
  <c r="J926" i="16"/>
  <c r="I926" i="16"/>
  <c r="H926" i="16"/>
  <c r="G926" i="16"/>
  <c r="M925" i="16"/>
  <c r="L925" i="16"/>
  <c r="K925" i="16"/>
  <c r="J925" i="16"/>
  <c r="I925" i="16"/>
  <c r="H925" i="16"/>
  <c r="G925" i="16"/>
  <c r="M924" i="16"/>
  <c r="L924" i="16"/>
  <c r="K924" i="16"/>
  <c r="J924" i="16"/>
  <c r="I924" i="16"/>
  <c r="H924" i="16"/>
  <c r="G924" i="16"/>
  <c r="M923" i="16"/>
  <c r="L923" i="16"/>
  <c r="K923" i="16"/>
  <c r="J923" i="16"/>
  <c r="I923" i="16"/>
  <c r="H923" i="16"/>
  <c r="G923" i="16"/>
  <c r="M922" i="16"/>
  <c r="L922" i="16"/>
  <c r="K922" i="16"/>
  <c r="J922" i="16"/>
  <c r="I922" i="16"/>
  <c r="H922" i="16"/>
  <c r="G922" i="16"/>
  <c r="M921" i="16"/>
  <c r="L921" i="16"/>
  <c r="K921" i="16"/>
  <c r="J921" i="16"/>
  <c r="I921" i="16"/>
  <c r="H921" i="16"/>
  <c r="G921" i="16"/>
  <c r="M920" i="16"/>
  <c r="L920" i="16"/>
  <c r="K920" i="16"/>
  <c r="J920" i="16"/>
  <c r="I920" i="16"/>
  <c r="H920" i="16"/>
  <c r="G920" i="16"/>
  <c r="M919" i="16"/>
  <c r="L919" i="16"/>
  <c r="K919" i="16"/>
  <c r="J919" i="16"/>
  <c r="I919" i="16"/>
  <c r="H919" i="16"/>
  <c r="G919" i="16"/>
  <c r="M918" i="16"/>
  <c r="L918" i="16"/>
  <c r="K918" i="16"/>
  <c r="J918" i="16"/>
  <c r="I918" i="16"/>
  <c r="H918" i="16"/>
  <c r="G918" i="16"/>
  <c r="M917" i="16"/>
  <c r="L917" i="16"/>
  <c r="K917" i="16"/>
  <c r="J917" i="16"/>
  <c r="I917" i="16"/>
  <c r="H917" i="16"/>
  <c r="G917" i="16"/>
  <c r="M916" i="16"/>
  <c r="L916" i="16"/>
  <c r="K916" i="16"/>
  <c r="J916" i="16"/>
  <c r="I916" i="16"/>
  <c r="H916" i="16"/>
  <c r="G916" i="16"/>
  <c r="M915" i="16"/>
  <c r="L915" i="16"/>
  <c r="K915" i="16"/>
  <c r="J915" i="16"/>
  <c r="I915" i="16"/>
  <c r="H915" i="16"/>
  <c r="G915" i="16"/>
  <c r="M914" i="16"/>
  <c r="L914" i="16"/>
  <c r="K914" i="16"/>
  <c r="J914" i="16"/>
  <c r="I914" i="16"/>
  <c r="H914" i="16"/>
  <c r="G914" i="16"/>
  <c r="M913" i="16"/>
  <c r="L913" i="16"/>
  <c r="K913" i="16"/>
  <c r="J913" i="16"/>
  <c r="I913" i="16"/>
  <c r="H913" i="16"/>
  <c r="G913" i="16"/>
  <c r="M912" i="16"/>
  <c r="L912" i="16"/>
  <c r="K912" i="16"/>
  <c r="J912" i="16"/>
  <c r="I912" i="16"/>
  <c r="H912" i="16"/>
  <c r="G912" i="16"/>
  <c r="M911" i="16"/>
  <c r="L911" i="16"/>
  <c r="K911" i="16"/>
  <c r="J911" i="16"/>
  <c r="I911" i="16"/>
  <c r="H911" i="16"/>
  <c r="G911" i="16"/>
  <c r="M910" i="16"/>
  <c r="L910" i="16"/>
  <c r="K910" i="16"/>
  <c r="J910" i="16"/>
  <c r="I910" i="16"/>
  <c r="H910" i="16"/>
  <c r="G910" i="16"/>
  <c r="M909" i="16"/>
  <c r="L909" i="16"/>
  <c r="K909" i="16"/>
  <c r="J909" i="16"/>
  <c r="I909" i="16"/>
  <c r="H909" i="16"/>
  <c r="G909" i="16"/>
  <c r="M908" i="16"/>
  <c r="L908" i="16"/>
  <c r="K908" i="16"/>
  <c r="J908" i="16"/>
  <c r="I908" i="16"/>
  <c r="H908" i="16"/>
  <c r="G908" i="16"/>
  <c r="M907" i="16"/>
  <c r="L907" i="16"/>
  <c r="K907" i="16"/>
  <c r="J907" i="16"/>
  <c r="I907" i="16"/>
  <c r="H907" i="16"/>
  <c r="G907" i="16"/>
  <c r="M906" i="16"/>
  <c r="L906" i="16"/>
  <c r="K906" i="16"/>
  <c r="J906" i="16"/>
  <c r="I906" i="16"/>
  <c r="H906" i="16"/>
  <c r="G906" i="16"/>
  <c r="M905" i="16"/>
  <c r="L905" i="16"/>
  <c r="K905" i="16"/>
  <c r="J905" i="16"/>
  <c r="I905" i="16"/>
  <c r="H905" i="16"/>
  <c r="G905" i="16"/>
  <c r="M904" i="16"/>
  <c r="L904" i="16"/>
  <c r="K904" i="16"/>
  <c r="J904" i="16"/>
  <c r="I904" i="16"/>
  <c r="H904" i="16"/>
  <c r="G904" i="16"/>
  <c r="M903" i="16"/>
  <c r="L903" i="16"/>
  <c r="K903" i="16"/>
  <c r="J903" i="16"/>
  <c r="I903" i="16"/>
  <c r="H903" i="16"/>
  <c r="G903" i="16"/>
  <c r="M902" i="16"/>
  <c r="L902" i="16"/>
  <c r="K902" i="16"/>
  <c r="J902" i="16"/>
  <c r="I902" i="16"/>
  <c r="H902" i="16"/>
  <c r="G902" i="16"/>
  <c r="M901" i="16"/>
  <c r="L901" i="16"/>
  <c r="K901" i="16"/>
  <c r="J901" i="16"/>
  <c r="I901" i="16"/>
  <c r="H901" i="16"/>
  <c r="G901" i="16"/>
  <c r="M900" i="16"/>
  <c r="L900" i="16"/>
  <c r="K900" i="16"/>
  <c r="J900" i="16"/>
  <c r="I900" i="16"/>
  <c r="H900" i="16"/>
  <c r="G900" i="16"/>
  <c r="M899" i="16"/>
  <c r="L899" i="16"/>
  <c r="K899" i="16"/>
  <c r="J899" i="16"/>
  <c r="I899" i="16"/>
  <c r="H899" i="16"/>
  <c r="G899" i="16"/>
  <c r="M898" i="16"/>
  <c r="L898" i="16"/>
  <c r="K898" i="16"/>
  <c r="J898" i="16"/>
  <c r="I898" i="16"/>
  <c r="H898" i="16"/>
  <c r="G898" i="16"/>
  <c r="M897" i="16"/>
  <c r="L897" i="16"/>
  <c r="K897" i="16"/>
  <c r="J897" i="16"/>
  <c r="I897" i="16"/>
  <c r="H897" i="16"/>
  <c r="G897" i="16"/>
  <c r="M896" i="16"/>
  <c r="L896" i="16"/>
  <c r="K896" i="16"/>
  <c r="J896" i="16"/>
  <c r="I896" i="16"/>
  <c r="H896" i="16"/>
  <c r="G896" i="16"/>
  <c r="M895" i="16"/>
  <c r="L895" i="16"/>
  <c r="K895" i="16"/>
  <c r="J895" i="16"/>
  <c r="I895" i="16"/>
  <c r="H895" i="16"/>
  <c r="G895" i="16"/>
  <c r="M894" i="16"/>
  <c r="L894" i="16"/>
  <c r="K894" i="16"/>
  <c r="J894" i="16"/>
  <c r="I894" i="16"/>
  <c r="H894" i="16"/>
  <c r="G894" i="16"/>
  <c r="M893" i="16"/>
  <c r="L893" i="16"/>
  <c r="K893" i="16"/>
  <c r="J893" i="16"/>
  <c r="I893" i="16"/>
  <c r="H893" i="16"/>
  <c r="G893" i="16"/>
  <c r="M892" i="16"/>
  <c r="L892" i="16"/>
  <c r="K892" i="16"/>
  <c r="J892" i="16"/>
  <c r="I892" i="16"/>
  <c r="H892" i="16"/>
  <c r="G892" i="16"/>
  <c r="M891" i="16"/>
  <c r="L891" i="16"/>
  <c r="K891" i="16"/>
  <c r="J891" i="16"/>
  <c r="I891" i="16"/>
  <c r="H891" i="16"/>
  <c r="G891" i="16"/>
  <c r="M890" i="16"/>
  <c r="L890" i="16"/>
  <c r="K890" i="16"/>
  <c r="J890" i="16"/>
  <c r="I890" i="16"/>
  <c r="H890" i="16"/>
  <c r="G890" i="16"/>
  <c r="M889" i="16"/>
  <c r="L889" i="16"/>
  <c r="K889" i="16"/>
  <c r="J889" i="16"/>
  <c r="I889" i="16"/>
  <c r="H889" i="16"/>
  <c r="G889" i="16"/>
  <c r="M888" i="16"/>
  <c r="L888" i="16"/>
  <c r="K888" i="16"/>
  <c r="J888" i="16"/>
  <c r="I888" i="16"/>
  <c r="H888" i="16"/>
  <c r="G888" i="16"/>
  <c r="M887" i="16"/>
  <c r="L887" i="16"/>
  <c r="K887" i="16"/>
  <c r="J887" i="16"/>
  <c r="I887" i="16"/>
  <c r="H887" i="16"/>
  <c r="G887" i="16"/>
  <c r="M886" i="16"/>
  <c r="L886" i="16"/>
  <c r="K886" i="16"/>
  <c r="J886" i="16"/>
  <c r="I886" i="16"/>
  <c r="H886" i="16"/>
  <c r="G886" i="16"/>
  <c r="M885" i="16"/>
  <c r="L885" i="16"/>
  <c r="K885" i="16"/>
  <c r="J885" i="16"/>
  <c r="I885" i="16"/>
  <c r="H885" i="16"/>
  <c r="G885" i="16"/>
  <c r="M884" i="16"/>
  <c r="L884" i="16"/>
  <c r="K884" i="16"/>
  <c r="J884" i="16"/>
  <c r="I884" i="16"/>
  <c r="H884" i="16"/>
  <c r="G884" i="16"/>
  <c r="M883" i="16"/>
  <c r="L883" i="16"/>
  <c r="K883" i="16"/>
  <c r="J883" i="16"/>
  <c r="I883" i="16"/>
  <c r="H883" i="16"/>
  <c r="G883" i="16"/>
  <c r="M882" i="16"/>
  <c r="L882" i="16"/>
  <c r="K882" i="16"/>
  <c r="J882" i="16"/>
  <c r="I882" i="16"/>
  <c r="H882" i="16"/>
  <c r="G882" i="16"/>
  <c r="M881" i="16"/>
  <c r="L881" i="16"/>
  <c r="K881" i="16"/>
  <c r="J881" i="16"/>
  <c r="I881" i="16"/>
  <c r="H881" i="16"/>
  <c r="G881" i="16"/>
  <c r="M880" i="16"/>
  <c r="L880" i="16"/>
  <c r="K880" i="16"/>
  <c r="J880" i="16"/>
  <c r="I880" i="16"/>
  <c r="H880" i="16"/>
  <c r="G880" i="16"/>
  <c r="M879" i="16"/>
  <c r="L879" i="16"/>
  <c r="K879" i="16"/>
  <c r="J879" i="16"/>
  <c r="I879" i="16"/>
  <c r="H879" i="16"/>
  <c r="G879" i="16"/>
  <c r="M878" i="16"/>
  <c r="L878" i="16"/>
  <c r="K878" i="16"/>
  <c r="J878" i="16"/>
  <c r="I878" i="16"/>
  <c r="H878" i="16"/>
  <c r="G878" i="16"/>
  <c r="M877" i="16"/>
  <c r="L877" i="16"/>
  <c r="K877" i="16"/>
  <c r="J877" i="16"/>
  <c r="I877" i="16"/>
  <c r="H877" i="16"/>
  <c r="G877" i="16"/>
  <c r="M876" i="16"/>
  <c r="L876" i="16"/>
  <c r="K876" i="16"/>
  <c r="J876" i="16"/>
  <c r="I876" i="16"/>
  <c r="H876" i="16"/>
  <c r="G876" i="16"/>
  <c r="M875" i="16"/>
  <c r="L875" i="16"/>
  <c r="K875" i="16"/>
  <c r="J875" i="16"/>
  <c r="I875" i="16"/>
  <c r="H875" i="16"/>
  <c r="G875" i="16"/>
  <c r="M874" i="16"/>
  <c r="L874" i="16"/>
  <c r="K874" i="16"/>
  <c r="J874" i="16"/>
  <c r="I874" i="16"/>
  <c r="H874" i="16"/>
  <c r="G874" i="16"/>
  <c r="M873" i="16"/>
  <c r="L873" i="16"/>
  <c r="K873" i="16"/>
  <c r="J873" i="16"/>
  <c r="I873" i="16"/>
  <c r="H873" i="16"/>
  <c r="G873" i="16"/>
  <c r="M872" i="16"/>
  <c r="L872" i="16"/>
  <c r="K872" i="16"/>
  <c r="J872" i="16"/>
  <c r="I872" i="16"/>
  <c r="H872" i="16"/>
  <c r="G872" i="16"/>
  <c r="M871" i="16"/>
  <c r="L871" i="16"/>
  <c r="K871" i="16"/>
  <c r="J871" i="16"/>
  <c r="I871" i="16"/>
  <c r="H871" i="16"/>
  <c r="G871" i="16"/>
  <c r="M870" i="16"/>
  <c r="L870" i="16"/>
  <c r="K870" i="16"/>
  <c r="J870" i="16"/>
  <c r="I870" i="16"/>
  <c r="H870" i="16"/>
  <c r="G870" i="16"/>
  <c r="M869" i="16"/>
  <c r="L869" i="16"/>
  <c r="K869" i="16"/>
  <c r="J869" i="16"/>
  <c r="I869" i="16"/>
  <c r="H869" i="16"/>
  <c r="G869" i="16"/>
  <c r="M868" i="16"/>
  <c r="L868" i="16"/>
  <c r="K868" i="16"/>
  <c r="J868" i="16"/>
  <c r="I868" i="16"/>
  <c r="H868" i="16"/>
  <c r="G868" i="16"/>
  <c r="M867" i="16"/>
  <c r="L867" i="16"/>
  <c r="K867" i="16"/>
  <c r="J867" i="16"/>
  <c r="I867" i="16"/>
  <c r="H867" i="16"/>
  <c r="G867" i="16"/>
  <c r="M866" i="16"/>
  <c r="L866" i="16"/>
  <c r="K866" i="16"/>
  <c r="J866" i="16"/>
  <c r="I866" i="16"/>
  <c r="H866" i="16"/>
  <c r="G866" i="16"/>
  <c r="M865" i="16"/>
  <c r="L865" i="16"/>
  <c r="K865" i="16"/>
  <c r="J865" i="16"/>
  <c r="I865" i="16"/>
  <c r="H865" i="16"/>
  <c r="G865" i="16"/>
  <c r="M864" i="16"/>
  <c r="L864" i="16"/>
  <c r="K864" i="16"/>
  <c r="J864" i="16"/>
  <c r="I864" i="16"/>
  <c r="H864" i="16"/>
  <c r="G864" i="16"/>
  <c r="M863" i="16"/>
  <c r="L863" i="16"/>
  <c r="K863" i="16"/>
  <c r="J863" i="16"/>
  <c r="I863" i="16"/>
  <c r="H863" i="16"/>
  <c r="G863" i="16"/>
  <c r="M862" i="16"/>
  <c r="L862" i="16"/>
  <c r="K862" i="16"/>
  <c r="J862" i="16"/>
  <c r="I862" i="16"/>
  <c r="H862" i="16"/>
  <c r="G862" i="16"/>
  <c r="M861" i="16"/>
  <c r="L861" i="16"/>
  <c r="K861" i="16"/>
  <c r="J861" i="16"/>
  <c r="I861" i="16"/>
  <c r="H861" i="16"/>
  <c r="G861" i="16"/>
  <c r="M860" i="16"/>
  <c r="L860" i="16"/>
  <c r="K860" i="16"/>
  <c r="J860" i="16"/>
  <c r="I860" i="16"/>
  <c r="H860" i="16"/>
  <c r="G860" i="16"/>
  <c r="M859" i="16"/>
  <c r="L859" i="16"/>
  <c r="K859" i="16"/>
  <c r="J859" i="16"/>
  <c r="I859" i="16"/>
  <c r="H859" i="16"/>
  <c r="G859" i="16"/>
  <c r="M858" i="16"/>
  <c r="L858" i="16"/>
  <c r="K858" i="16"/>
  <c r="J858" i="16"/>
  <c r="I858" i="16"/>
  <c r="H858" i="16"/>
  <c r="G858" i="16"/>
  <c r="M857" i="16"/>
  <c r="L857" i="16"/>
  <c r="K857" i="16"/>
  <c r="J857" i="16"/>
  <c r="I857" i="16"/>
  <c r="H857" i="16"/>
  <c r="G857" i="16"/>
  <c r="M856" i="16"/>
  <c r="L856" i="16"/>
  <c r="K856" i="16"/>
  <c r="J856" i="16"/>
  <c r="I856" i="16"/>
  <c r="H856" i="16"/>
  <c r="G856" i="16"/>
  <c r="M855" i="16"/>
  <c r="L855" i="16"/>
  <c r="K855" i="16"/>
  <c r="J855" i="16"/>
  <c r="I855" i="16"/>
  <c r="H855" i="16"/>
  <c r="G855" i="16"/>
  <c r="M854" i="16"/>
  <c r="L854" i="16"/>
  <c r="K854" i="16"/>
  <c r="J854" i="16"/>
  <c r="I854" i="16"/>
  <c r="H854" i="16"/>
  <c r="G854" i="16"/>
  <c r="M853" i="16"/>
  <c r="L853" i="16"/>
  <c r="K853" i="16"/>
  <c r="J853" i="16"/>
  <c r="I853" i="16"/>
  <c r="H853" i="16"/>
  <c r="G853" i="16"/>
  <c r="M852" i="16"/>
  <c r="L852" i="16"/>
  <c r="K852" i="16"/>
  <c r="J852" i="16"/>
  <c r="I852" i="16"/>
  <c r="H852" i="16"/>
  <c r="G852" i="16"/>
  <c r="M851" i="16"/>
  <c r="L851" i="16"/>
  <c r="K851" i="16"/>
  <c r="J851" i="16"/>
  <c r="I851" i="16"/>
  <c r="H851" i="16"/>
  <c r="G851" i="16"/>
  <c r="M850" i="16"/>
  <c r="L850" i="16"/>
  <c r="K850" i="16"/>
  <c r="J850" i="16"/>
  <c r="I850" i="16"/>
  <c r="H850" i="16"/>
  <c r="G850" i="16"/>
  <c r="M849" i="16"/>
  <c r="L849" i="16"/>
  <c r="K849" i="16"/>
  <c r="J849" i="16"/>
  <c r="I849" i="16"/>
  <c r="H849" i="16"/>
  <c r="G849" i="16"/>
  <c r="M848" i="16"/>
  <c r="L848" i="16"/>
  <c r="K848" i="16"/>
  <c r="J848" i="16"/>
  <c r="I848" i="16"/>
  <c r="H848" i="16"/>
  <c r="G848" i="16"/>
  <c r="M847" i="16"/>
  <c r="L847" i="16"/>
  <c r="K847" i="16"/>
  <c r="J847" i="16"/>
  <c r="I847" i="16"/>
  <c r="H847" i="16"/>
  <c r="G847" i="16"/>
  <c r="M846" i="16"/>
  <c r="L846" i="16"/>
  <c r="K846" i="16"/>
  <c r="J846" i="16"/>
  <c r="I846" i="16"/>
  <c r="H846" i="16"/>
  <c r="G846" i="16"/>
  <c r="M845" i="16"/>
  <c r="L845" i="16"/>
  <c r="K845" i="16"/>
  <c r="J845" i="16"/>
  <c r="I845" i="16"/>
  <c r="H845" i="16"/>
  <c r="G845" i="16"/>
  <c r="M844" i="16"/>
  <c r="L844" i="16"/>
  <c r="K844" i="16"/>
  <c r="J844" i="16"/>
  <c r="I844" i="16"/>
  <c r="H844" i="16"/>
  <c r="G844" i="16"/>
  <c r="M843" i="16"/>
  <c r="L843" i="16"/>
  <c r="K843" i="16"/>
  <c r="J843" i="16"/>
  <c r="I843" i="16"/>
  <c r="H843" i="16"/>
  <c r="G843" i="16"/>
  <c r="M842" i="16"/>
  <c r="L842" i="16"/>
  <c r="K842" i="16"/>
  <c r="J842" i="16"/>
  <c r="I842" i="16"/>
  <c r="H842" i="16"/>
  <c r="G842" i="16"/>
  <c r="M841" i="16"/>
  <c r="L841" i="16"/>
  <c r="K841" i="16"/>
  <c r="J841" i="16"/>
  <c r="I841" i="16"/>
  <c r="H841" i="16"/>
  <c r="G841" i="16"/>
  <c r="M840" i="16"/>
  <c r="L840" i="16"/>
  <c r="K840" i="16"/>
  <c r="J840" i="16"/>
  <c r="I840" i="16"/>
  <c r="H840" i="16"/>
  <c r="G840" i="16"/>
  <c r="M839" i="16"/>
  <c r="L839" i="16"/>
  <c r="K839" i="16"/>
  <c r="J839" i="16"/>
  <c r="I839" i="16"/>
  <c r="H839" i="16"/>
  <c r="G839" i="16"/>
  <c r="M838" i="16"/>
  <c r="L838" i="16"/>
  <c r="K838" i="16"/>
  <c r="J838" i="16"/>
  <c r="I838" i="16"/>
  <c r="H838" i="16"/>
  <c r="G838" i="16"/>
  <c r="M837" i="16"/>
  <c r="L837" i="16"/>
  <c r="K837" i="16"/>
  <c r="J837" i="16"/>
  <c r="I837" i="16"/>
  <c r="H837" i="16"/>
  <c r="G837" i="16"/>
  <c r="M836" i="16"/>
  <c r="L836" i="16"/>
  <c r="K836" i="16"/>
  <c r="J836" i="16"/>
  <c r="I836" i="16"/>
  <c r="H836" i="16"/>
  <c r="G836" i="16"/>
  <c r="M835" i="16"/>
  <c r="L835" i="16"/>
  <c r="K835" i="16"/>
  <c r="J835" i="16"/>
  <c r="I835" i="16"/>
  <c r="H835" i="16"/>
  <c r="G835" i="16"/>
  <c r="M834" i="16"/>
  <c r="L834" i="16"/>
  <c r="K834" i="16"/>
  <c r="J834" i="16"/>
  <c r="I834" i="16"/>
  <c r="H834" i="16"/>
  <c r="G834" i="16"/>
  <c r="M833" i="16"/>
  <c r="L833" i="16"/>
  <c r="K833" i="16"/>
  <c r="J833" i="16"/>
  <c r="I833" i="16"/>
  <c r="H833" i="16"/>
  <c r="G833" i="16"/>
  <c r="M832" i="16"/>
  <c r="L832" i="16"/>
  <c r="K832" i="16"/>
  <c r="J832" i="16"/>
  <c r="I832" i="16"/>
  <c r="H832" i="16"/>
  <c r="G832" i="16"/>
  <c r="M831" i="16"/>
  <c r="L831" i="16"/>
  <c r="K831" i="16"/>
  <c r="J831" i="16"/>
  <c r="I831" i="16"/>
  <c r="H831" i="16"/>
  <c r="G831" i="16"/>
  <c r="M830" i="16"/>
  <c r="L830" i="16"/>
  <c r="K830" i="16"/>
  <c r="J830" i="16"/>
  <c r="I830" i="16"/>
  <c r="H830" i="16"/>
  <c r="G830" i="16"/>
  <c r="M829" i="16"/>
  <c r="L829" i="16"/>
  <c r="K829" i="16"/>
  <c r="J829" i="16"/>
  <c r="I829" i="16"/>
  <c r="H829" i="16"/>
  <c r="G829" i="16"/>
  <c r="M828" i="16"/>
  <c r="L828" i="16"/>
  <c r="K828" i="16"/>
  <c r="J828" i="16"/>
  <c r="I828" i="16"/>
  <c r="H828" i="16"/>
  <c r="G828" i="16"/>
  <c r="M827" i="16"/>
  <c r="L827" i="16"/>
  <c r="K827" i="16"/>
  <c r="J827" i="16"/>
  <c r="I827" i="16"/>
  <c r="H827" i="16"/>
  <c r="G827" i="16"/>
  <c r="M826" i="16"/>
  <c r="L826" i="16"/>
  <c r="K826" i="16"/>
  <c r="J826" i="16"/>
  <c r="I826" i="16"/>
  <c r="H826" i="16"/>
  <c r="G826" i="16"/>
  <c r="M825" i="16"/>
  <c r="L825" i="16"/>
  <c r="K825" i="16"/>
  <c r="J825" i="16"/>
  <c r="I825" i="16"/>
  <c r="H825" i="16"/>
  <c r="G825" i="16"/>
  <c r="M824" i="16"/>
  <c r="L824" i="16"/>
  <c r="K824" i="16"/>
  <c r="J824" i="16"/>
  <c r="I824" i="16"/>
  <c r="H824" i="16"/>
  <c r="G824" i="16"/>
  <c r="M823" i="16"/>
  <c r="L823" i="16"/>
  <c r="K823" i="16"/>
  <c r="J823" i="16"/>
  <c r="I823" i="16"/>
  <c r="H823" i="16"/>
  <c r="G823" i="16"/>
  <c r="M822" i="16"/>
  <c r="L822" i="16"/>
  <c r="K822" i="16"/>
  <c r="J822" i="16"/>
  <c r="I822" i="16"/>
  <c r="H822" i="16"/>
  <c r="G822" i="16"/>
  <c r="M821" i="16"/>
  <c r="L821" i="16"/>
  <c r="K821" i="16"/>
  <c r="J821" i="16"/>
  <c r="I821" i="16"/>
  <c r="H821" i="16"/>
  <c r="G821" i="16"/>
  <c r="M820" i="16"/>
  <c r="L820" i="16"/>
  <c r="K820" i="16"/>
  <c r="J820" i="16"/>
  <c r="I820" i="16"/>
  <c r="H820" i="16"/>
  <c r="G820" i="16"/>
  <c r="M819" i="16"/>
  <c r="L819" i="16"/>
  <c r="K819" i="16"/>
  <c r="J819" i="16"/>
  <c r="I819" i="16"/>
  <c r="H819" i="16"/>
  <c r="G819" i="16"/>
  <c r="M818" i="16"/>
  <c r="L818" i="16"/>
  <c r="K818" i="16"/>
  <c r="J818" i="16"/>
  <c r="I818" i="16"/>
  <c r="H818" i="16"/>
  <c r="G818" i="16"/>
  <c r="M817" i="16"/>
  <c r="L817" i="16"/>
  <c r="K817" i="16"/>
  <c r="J817" i="16"/>
  <c r="I817" i="16"/>
  <c r="H817" i="16"/>
  <c r="G817" i="16"/>
  <c r="M816" i="16"/>
  <c r="L816" i="16"/>
  <c r="K816" i="16"/>
  <c r="J816" i="16"/>
  <c r="I816" i="16"/>
  <c r="H816" i="16"/>
  <c r="G816" i="16"/>
  <c r="M815" i="16"/>
  <c r="L815" i="16"/>
  <c r="K815" i="16"/>
  <c r="J815" i="16"/>
  <c r="I815" i="16"/>
  <c r="H815" i="16"/>
  <c r="G815" i="16"/>
  <c r="M814" i="16"/>
  <c r="L814" i="16"/>
  <c r="K814" i="16"/>
  <c r="J814" i="16"/>
  <c r="I814" i="16"/>
  <c r="H814" i="16"/>
  <c r="G814" i="16"/>
  <c r="M813" i="16"/>
  <c r="L813" i="16"/>
  <c r="K813" i="16"/>
  <c r="J813" i="16"/>
  <c r="I813" i="16"/>
  <c r="H813" i="16"/>
  <c r="G813" i="16"/>
  <c r="M812" i="16"/>
  <c r="L812" i="16"/>
  <c r="K812" i="16"/>
  <c r="J812" i="16"/>
  <c r="I812" i="16"/>
  <c r="H812" i="16"/>
  <c r="G812" i="16"/>
  <c r="M811" i="16"/>
  <c r="L811" i="16"/>
  <c r="K811" i="16"/>
  <c r="J811" i="16"/>
  <c r="I811" i="16"/>
  <c r="H811" i="16"/>
  <c r="G811" i="16"/>
  <c r="M810" i="16"/>
  <c r="L810" i="16"/>
  <c r="K810" i="16"/>
  <c r="J810" i="16"/>
  <c r="I810" i="16"/>
  <c r="H810" i="16"/>
  <c r="G810" i="16"/>
  <c r="M809" i="16"/>
  <c r="L809" i="16"/>
  <c r="K809" i="16"/>
  <c r="J809" i="16"/>
  <c r="I809" i="16"/>
  <c r="H809" i="16"/>
  <c r="G809" i="16"/>
  <c r="M808" i="16"/>
  <c r="L808" i="16"/>
  <c r="K808" i="16"/>
  <c r="J808" i="16"/>
  <c r="I808" i="16"/>
  <c r="H808" i="16"/>
  <c r="G808" i="16"/>
  <c r="M807" i="16"/>
  <c r="L807" i="16"/>
  <c r="K807" i="16"/>
  <c r="J807" i="16"/>
  <c r="I807" i="16"/>
  <c r="H807" i="16"/>
  <c r="G807" i="16"/>
  <c r="M806" i="16"/>
  <c r="L806" i="16"/>
  <c r="K806" i="16"/>
  <c r="J806" i="16"/>
  <c r="I806" i="16"/>
  <c r="H806" i="16"/>
  <c r="G806" i="16"/>
  <c r="M805" i="16"/>
  <c r="L805" i="16"/>
  <c r="K805" i="16"/>
  <c r="J805" i="16"/>
  <c r="I805" i="16"/>
  <c r="H805" i="16"/>
  <c r="G805" i="16"/>
  <c r="M804" i="16"/>
  <c r="L804" i="16"/>
  <c r="K804" i="16"/>
  <c r="J804" i="16"/>
  <c r="I804" i="16"/>
  <c r="H804" i="16"/>
  <c r="G804" i="16"/>
  <c r="M803" i="16"/>
  <c r="L803" i="16"/>
  <c r="K803" i="16"/>
  <c r="J803" i="16"/>
  <c r="I803" i="16"/>
  <c r="H803" i="16"/>
  <c r="G803" i="16"/>
  <c r="M802" i="16"/>
  <c r="L802" i="16"/>
  <c r="K802" i="16"/>
  <c r="J802" i="16"/>
  <c r="I802" i="16"/>
  <c r="H802" i="16"/>
  <c r="G802" i="16"/>
  <c r="M801" i="16"/>
  <c r="L801" i="16"/>
  <c r="K801" i="16"/>
  <c r="J801" i="16"/>
  <c r="I801" i="16"/>
  <c r="H801" i="16"/>
  <c r="G801" i="16"/>
  <c r="M800" i="16"/>
  <c r="L800" i="16"/>
  <c r="K800" i="16"/>
  <c r="J800" i="16"/>
  <c r="I800" i="16"/>
  <c r="H800" i="16"/>
  <c r="G800" i="16"/>
  <c r="M799" i="16"/>
  <c r="L799" i="16"/>
  <c r="K799" i="16"/>
  <c r="J799" i="16"/>
  <c r="I799" i="16"/>
  <c r="H799" i="16"/>
  <c r="G799" i="16"/>
  <c r="M798" i="16"/>
  <c r="L798" i="16"/>
  <c r="K798" i="16"/>
  <c r="J798" i="16"/>
  <c r="I798" i="16"/>
  <c r="H798" i="16"/>
  <c r="G798" i="16"/>
  <c r="M797" i="16"/>
  <c r="L797" i="16"/>
  <c r="K797" i="16"/>
  <c r="J797" i="16"/>
  <c r="I797" i="16"/>
  <c r="H797" i="16"/>
  <c r="G797" i="16"/>
  <c r="M796" i="16"/>
  <c r="L796" i="16"/>
  <c r="K796" i="16"/>
  <c r="J796" i="16"/>
  <c r="I796" i="16"/>
  <c r="H796" i="16"/>
  <c r="G796" i="16"/>
  <c r="M795" i="16"/>
  <c r="L795" i="16"/>
  <c r="K795" i="16"/>
  <c r="J795" i="16"/>
  <c r="I795" i="16"/>
  <c r="H795" i="16"/>
  <c r="G795" i="16"/>
  <c r="M794" i="16"/>
  <c r="L794" i="16"/>
  <c r="K794" i="16"/>
  <c r="J794" i="16"/>
  <c r="I794" i="16"/>
  <c r="H794" i="16"/>
  <c r="G794" i="16"/>
  <c r="M793" i="16"/>
  <c r="L793" i="16"/>
  <c r="K793" i="16"/>
  <c r="J793" i="16"/>
  <c r="I793" i="16"/>
  <c r="H793" i="16"/>
  <c r="G793" i="16"/>
  <c r="M792" i="16"/>
  <c r="L792" i="16"/>
  <c r="K792" i="16"/>
  <c r="J792" i="16"/>
  <c r="I792" i="16"/>
  <c r="H792" i="16"/>
  <c r="G792" i="16"/>
  <c r="M791" i="16"/>
  <c r="L791" i="16"/>
  <c r="K791" i="16"/>
  <c r="J791" i="16"/>
  <c r="I791" i="16"/>
  <c r="H791" i="16"/>
  <c r="G791" i="16"/>
  <c r="M790" i="16"/>
  <c r="L790" i="16"/>
  <c r="K790" i="16"/>
  <c r="J790" i="16"/>
  <c r="I790" i="16"/>
  <c r="H790" i="16"/>
  <c r="G790" i="16"/>
  <c r="M789" i="16"/>
  <c r="L789" i="16"/>
  <c r="K789" i="16"/>
  <c r="J789" i="16"/>
  <c r="I789" i="16"/>
  <c r="H789" i="16"/>
  <c r="G789" i="16"/>
  <c r="M788" i="16"/>
  <c r="L788" i="16"/>
  <c r="K788" i="16"/>
  <c r="J788" i="16"/>
  <c r="I788" i="16"/>
  <c r="H788" i="16"/>
  <c r="G788" i="16"/>
  <c r="M787" i="16"/>
  <c r="L787" i="16"/>
  <c r="K787" i="16"/>
  <c r="J787" i="16"/>
  <c r="I787" i="16"/>
  <c r="H787" i="16"/>
  <c r="G787" i="16"/>
  <c r="M786" i="16"/>
  <c r="L786" i="16"/>
  <c r="K786" i="16"/>
  <c r="J786" i="16"/>
  <c r="I786" i="16"/>
  <c r="H786" i="16"/>
  <c r="G786" i="16"/>
  <c r="M785" i="16"/>
  <c r="L785" i="16"/>
  <c r="K785" i="16"/>
  <c r="J785" i="16"/>
  <c r="I785" i="16"/>
  <c r="H785" i="16"/>
  <c r="G785" i="16"/>
  <c r="M784" i="16"/>
  <c r="L784" i="16"/>
  <c r="K784" i="16"/>
  <c r="J784" i="16"/>
  <c r="I784" i="16"/>
  <c r="H784" i="16"/>
  <c r="G784" i="16"/>
  <c r="M783" i="16"/>
  <c r="L783" i="16"/>
  <c r="K783" i="16"/>
  <c r="J783" i="16"/>
  <c r="I783" i="16"/>
  <c r="H783" i="16"/>
  <c r="G783" i="16"/>
  <c r="M782" i="16"/>
  <c r="L782" i="16"/>
  <c r="K782" i="16"/>
  <c r="J782" i="16"/>
  <c r="I782" i="16"/>
  <c r="H782" i="16"/>
  <c r="G782" i="16"/>
  <c r="M781" i="16"/>
  <c r="L781" i="16"/>
  <c r="K781" i="16"/>
  <c r="J781" i="16"/>
  <c r="I781" i="16"/>
  <c r="H781" i="16"/>
  <c r="G781" i="16"/>
  <c r="M780" i="16"/>
  <c r="L780" i="16"/>
  <c r="K780" i="16"/>
  <c r="J780" i="16"/>
  <c r="I780" i="16"/>
  <c r="H780" i="16"/>
  <c r="G780" i="16"/>
  <c r="M779" i="16"/>
  <c r="L779" i="16"/>
  <c r="K779" i="16"/>
  <c r="J779" i="16"/>
  <c r="I779" i="16"/>
  <c r="H779" i="16"/>
  <c r="G779" i="16"/>
  <c r="M778" i="16"/>
  <c r="L778" i="16"/>
  <c r="K778" i="16"/>
  <c r="J778" i="16"/>
  <c r="I778" i="16"/>
  <c r="H778" i="16"/>
  <c r="G778" i="16"/>
  <c r="M777" i="16"/>
  <c r="L777" i="16"/>
  <c r="K777" i="16"/>
  <c r="J777" i="16"/>
  <c r="I777" i="16"/>
  <c r="H777" i="16"/>
  <c r="G777" i="16"/>
  <c r="M776" i="16"/>
  <c r="L776" i="16"/>
  <c r="K776" i="16"/>
  <c r="J776" i="16"/>
  <c r="I776" i="16"/>
  <c r="H776" i="16"/>
  <c r="G776" i="16"/>
  <c r="M775" i="16"/>
  <c r="L775" i="16"/>
  <c r="K775" i="16"/>
  <c r="J775" i="16"/>
  <c r="I775" i="16"/>
  <c r="H775" i="16"/>
  <c r="G775" i="16"/>
  <c r="M774" i="16"/>
  <c r="L774" i="16"/>
  <c r="K774" i="16"/>
  <c r="J774" i="16"/>
  <c r="I774" i="16"/>
  <c r="H774" i="16"/>
  <c r="G774" i="16"/>
  <c r="M773" i="16"/>
  <c r="L773" i="16"/>
  <c r="K773" i="16"/>
  <c r="J773" i="16"/>
  <c r="I773" i="16"/>
  <c r="H773" i="16"/>
  <c r="G773" i="16"/>
  <c r="M772" i="16"/>
  <c r="L772" i="16"/>
  <c r="K772" i="16"/>
  <c r="J772" i="16"/>
  <c r="I772" i="16"/>
  <c r="H772" i="16"/>
  <c r="G772" i="16"/>
  <c r="M771" i="16"/>
  <c r="L771" i="16"/>
  <c r="K771" i="16"/>
  <c r="J771" i="16"/>
  <c r="I771" i="16"/>
  <c r="H771" i="16"/>
  <c r="G771" i="16"/>
  <c r="M770" i="16"/>
  <c r="L770" i="16"/>
  <c r="K770" i="16"/>
  <c r="J770" i="16"/>
  <c r="I770" i="16"/>
  <c r="H770" i="16"/>
  <c r="G770" i="16"/>
  <c r="M769" i="16"/>
  <c r="L769" i="16"/>
  <c r="K769" i="16"/>
  <c r="J769" i="16"/>
  <c r="I769" i="16"/>
  <c r="H769" i="16"/>
  <c r="G769" i="16"/>
  <c r="M768" i="16"/>
  <c r="L768" i="16"/>
  <c r="K768" i="16"/>
  <c r="J768" i="16"/>
  <c r="I768" i="16"/>
  <c r="H768" i="16"/>
  <c r="G768" i="16"/>
  <c r="M767" i="16"/>
  <c r="L767" i="16"/>
  <c r="K767" i="16"/>
  <c r="J767" i="16"/>
  <c r="I767" i="16"/>
  <c r="H767" i="16"/>
  <c r="G767" i="16"/>
  <c r="M766" i="16"/>
  <c r="L766" i="16"/>
  <c r="K766" i="16"/>
  <c r="J766" i="16"/>
  <c r="I766" i="16"/>
  <c r="H766" i="16"/>
  <c r="G766" i="16"/>
  <c r="M765" i="16"/>
  <c r="L765" i="16"/>
  <c r="K765" i="16"/>
  <c r="J765" i="16"/>
  <c r="I765" i="16"/>
  <c r="H765" i="16"/>
  <c r="G765" i="16"/>
  <c r="M764" i="16"/>
  <c r="L764" i="16"/>
  <c r="K764" i="16"/>
  <c r="J764" i="16"/>
  <c r="I764" i="16"/>
  <c r="H764" i="16"/>
  <c r="G764" i="16"/>
  <c r="M763" i="16"/>
  <c r="L763" i="16"/>
  <c r="K763" i="16"/>
  <c r="J763" i="16"/>
  <c r="I763" i="16"/>
  <c r="H763" i="16"/>
  <c r="G763" i="16"/>
  <c r="M762" i="16"/>
  <c r="L762" i="16"/>
  <c r="K762" i="16"/>
  <c r="J762" i="16"/>
  <c r="I762" i="16"/>
  <c r="H762" i="16"/>
  <c r="G762" i="16"/>
  <c r="M761" i="16"/>
  <c r="L761" i="16"/>
  <c r="K761" i="16"/>
  <c r="J761" i="16"/>
  <c r="I761" i="16"/>
  <c r="H761" i="16"/>
  <c r="G761" i="16"/>
  <c r="M760" i="16"/>
  <c r="L760" i="16"/>
  <c r="K760" i="16"/>
  <c r="J760" i="16"/>
  <c r="I760" i="16"/>
  <c r="H760" i="16"/>
  <c r="G760" i="16"/>
  <c r="M759" i="16"/>
  <c r="L759" i="16"/>
  <c r="K759" i="16"/>
  <c r="J759" i="16"/>
  <c r="I759" i="16"/>
  <c r="H759" i="16"/>
  <c r="G759" i="16"/>
  <c r="M758" i="16"/>
  <c r="L758" i="16"/>
  <c r="K758" i="16"/>
  <c r="J758" i="16"/>
  <c r="I758" i="16"/>
  <c r="H758" i="16"/>
  <c r="G758" i="16"/>
  <c r="M757" i="16"/>
  <c r="L757" i="16"/>
  <c r="K757" i="16"/>
  <c r="J757" i="16"/>
  <c r="I757" i="16"/>
  <c r="H757" i="16"/>
  <c r="G757" i="16"/>
  <c r="M756" i="16"/>
  <c r="L756" i="16"/>
  <c r="K756" i="16"/>
  <c r="J756" i="16"/>
  <c r="I756" i="16"/>
  <c r="H756" i="16"/>
  <c r="G756" i="16"/>
  <c r="M755" i="16"/>
  <c r="L755" i="16"/>
  <c r="K755" i="16"/>
  <c r="J755" i="16"/>
  <c r="I755" i="16"/>
  <c r="H755" i="16"/>
  <c r="G755" i="16"/>
  <c r="M754" i="16"/>
  <c r="L754" i="16"/>
  <c r="K754" i="16"/>
  <c r="J754" i="16"/>
  <c r="I754" i="16"/>
  <c r="H754" i="16"/>
  <c r="G754" i="16"/>
  <c r="M753" i="16"/>
  <c r="L753" i="16"/>
  <c r="K753" i="16"/>
  <c r="J753" i="16"/>
  <c r="I753" i="16"/>
  <c r="H753" i="16"/>
  <c r="G753" i="16"/>
  <c r="M752" i="16"/>
  <c r="L752" i="16"/>
  <c r="K752" i="16"/>
  <c r="J752" i="16"/>
  <c r="I752" i="16"/>
  <c r="H752" i="16"/>
  <c r="G752" i="16"/>
  <c r="M751" i="16"/>
  <c r="L751" i="16"/>
  <c r="K751" i="16"/>
  <c r="J751" i="16"/>
  <c r="I751" i="16"/>
  <c r="H751" i="16"/>
  <c r="G751" i="16"/>
  <c r="M750" i="16"/>
  <c r="L750" i="16"/>
  <c r="K750" i="16"/>
  <c r="J750" i="16"/>
  <c r="I750" i="16"/>
  <c r="H750" i="16"/>
  <c r="G750" i="16"/>
  <c r="M749" i="16"/>
  <c r="L749" i="16"/>
  <c r="K749" i="16"/>
  <c r="J749" i="16"/>
  <c r="I749" i="16"/>
  <c r="H749" i="16"/>
  <c r="G749" i="16"/>
  <c r="M748" i="16"/>
  <c r="L748" i="16"/>
  <c r="K748" i="16"/>
  <c r="J748" i="16"/>
  <c r="I748" i="16"/>
  <c r="H748" i="16"/>
  <c r="G748" i="16"/>
  <c r="M747" i="16"/>
  <c r="L747" i="16"/>
  <c r="K747" i="16"/>
  <c r="J747" i="16"/>
  <c r="I747" i="16"/>
  <c r="H747" i="16"/>
  <c r="G747" i="16"/>
  <c r="M746" i="16"/>
  <c r="L746" i="16"/>
  <c r="K746" i="16"/>
  <c r="J746" i="16"/>
  <c r="I746" i="16"/>
  <c r="H746" i="16"/>
  <c r="G746" i="16"/>
  <c r="M745" i="16"/>
  <c r="L745" i="16"/>
  <c r="K745" i="16"/>
  <c r="J745" i="16"/>
  <c r="I745" i="16"/>
  <c r="H745" i="16"/>
  <c r="G745" i="16"/>
  <c r="M744" i="16"/>
  <c r="L744" i="16"/>
  <c r="K744" i="16"/>
  <c r="J744" i="16"/>
  <c r="I744" i="16"/>
  <c r="H744" i="16"/>
  <c r="G744" i="16"/>
  <c r="M743" i="16"/>
  <c r="L743" i="16"/>
  <c r="K743" i="16"/>
  <c r="J743" i="16"/>
  <c r="I743" i="16"/>
  <c r="H743" i="16"/>
  <c r="G743" i="16"/>
  <c r="M742" i="16"/>
  <c r="L742" i="16"/>
  <c r="K742" i="16"/>
  <c r="J742" i="16"/>
  <c r="I742" i="16"/>
  <c r="H742" i="16"/>
  <c r="G742" i="16"/>
  <c r="M741" i="16"/>
  <c r="L741" i="16"/>
  <c r="K741" i="16"/>
  <c r="J741" i="16"/>
  <c r="I741" i="16"/>
  <c r="H741" i="16"/>
  <c r="G741" i="16"/>
  <c r="M740" i="16"/>
  <c r="L740" i="16"/>
  <c r="K740" i="16"/>
  <c r="J740" i="16"/>
  <c r="I740" i="16"/>
  <c r="H740" i="16"/>
  <c r="G740" i="16"/>
  <c r="M739" i="16"/>
  <c r="L739" i="16"/>
  <c r="K739" i="16"/>
  <c r="J739" i="16"/>
  <c r="I739" i="16"/>
  <c r="H739" i="16"/>
  <c r="G739" i="16"/>
  <c r="M738" i="16"/>
  <c r="L738" i="16"/>
  <c r="K738" i="16"/>
  <c r="J738" i="16"/>
  <c r="I738" i="16"/>
  <c r="H738" i="16"/>
  <c r="G738" i="16"/>
  <c r="M737" i="16"/>
  <c r="L737" i="16"/>
  <c r="K737" i="16"/>
  <c r="J737" i="16"/>
  <c r="I737" i="16"/>
  <c r="H737" i="16"/>
  <c r="G737" i="16"/>
  <c r="M736" i="16"/>
  <c r="L736" i="16"/>
  <c r="K736" i="16"/>
  <c r="J736" i="16"/>
  <c r="I736" i="16"/>
  <c r="H736" i="16"/>
  <c r="G736" i="16"/>
  <c r="M735" i="16"/>
  <c r="L735" i="16"/>
  <c r="K735" i="16"/>
  <c r="J735" i="16"/>
  <c r="I735" i="16"/>
  <c r="H735" i="16"/>
  <c r="G735" i="16"/>
  <c r="M734" i="16"/>
  <c r="L734" i="16"/>
  <c r="K734" i="16"/>
  <c r="J734" i="16"/>
  <c r="I734" i="16"/>
  <c r="H734" i="16"/>
  <c r="G734" i="16"/>
  <c r="M733" i="16"/>
  <c r="L733" i="16"/>
  <c r="K733" i="16"/>
  <c r="J733" i="16"/>
  <c r="I733" i="16"/>
  <c r="H733" i="16"/>
  <c r="G733" i="16"/>
  <c r="M732" i="16"/>
  <c r="L732" i="16"/>
  <c r="K732" i="16"/>
  <c r="J732" i="16"/>
  <c r="I732" i="16"/>
  <c r="H732" i="16"/>
  <c r="G732" i="16"/>
  <c r="M731" i="16"/>
  <c r="L731" i="16"/>
  <c r="K731" i="16"/>
  <c r="J731" i="16"/>
  <c r="I731" i="16"/>
  <c r="H731" i="16"/>
  <c r="G731" i="16"/>
  <c r="M730" i="16"/>
  <c r="L730" i="16"/>
  <c r="K730" i="16"/>
  <c r="J730" i="16"/>
  <c r="I730" i="16"/>
  <c r="H730" i="16"/>
  <c r="G730" i="16"/>
  <c r="M729" i="16"/>
  <c r="L729" i="16"/>
  <c r="K729" i="16"/>
  <c r="J729" i="16"/>
  <c r="I729" i="16"/>
  <c r="H729" i="16"/>
  <c r="G729" i="16"/>
  <c r="M728" i="16"/>
  <c r="L728" i="16"/>
  <c r="K728" i="16"/>
  <c r="J728" i="16"/>
  <c r="I728" i="16"/>
  <c r="H728" i="16"/>
  <c r="G728" i="16"/>
  <c r="M727" i="16"/>
  <c r="L727" i="16"/>
  <c r="K727" i="16"/>
  <c r="J727" i="16"/>
  <c r="I727" i="16"/>
  <c r="H727" i="16"/>
  <c r="G727" i="16"/>
  <c r="M726" i="16"/>
  <c r="L726" i="16"/>
  <c r="K726" i="16"/>
  <c r="J726" i="16"/>
  <c r="I726" i="16"/>
  <c r="H726" i="16"/>
  <c r="G726" i="16"/>
  <c r="M725" i="16"/>
  <c r="L725" i="16"/>
  <c r="K725" i="16"/>
  <c r="J725" i="16"/>
  <c r="I725" i="16"/>
  <c r="H725" i="16"/>
  <c r="G725" i="16"/>
  <c r="M724" i="16"/>
  <c r="L724" i="16"/>
  <c r="K724" i="16"/>
  <c r="J724" i="16"/>
  <c r="I724" i="16"/>
  <c r="H724" i="16"/>
  <c r="G724" i="16"/>
  <c r="M723" i="16"/>
  <c r="L723" i="16"/>
  <c r="K723" i="16"/>
  <c r="J723" i="16"/>
  <c r="I723" i="16"/>
  <c r="H723" i="16"/>
  <c r="G723" i="16"/>
  <c r="M722" i="16"/>
  <c r="L722" i="16"/>
  <c r="K722" i="16"/>
  <c r="J722" i="16"/>
  <c r="I722" i="16"/>
  <c r="H722" i="16"/>
  <c r="G722" i="16"/>
  <c r="M721" i="16"/>
  <c r="L721" i="16"/>
  <c r="K721" i="16"/>
  <c r="J721" i="16"/>
  <c r="I721" i="16"/>
  <c r="H721" i="16"/>
  <c r="G721" i="16"/>
  <c r="M720" i="16"/>
  <c r="L720" i="16"/>
  <c r="K720" i="16"/>
  <c r="J720" i="16"/>
  <c r="I720" i="16"/>
  <c r="H720" i="16"/>
  <c r="G720" i="16"/>
  <c r="M719" i="16"/>
  <c r="L719" i="16"/>
  <c r="K719" i="16"/>
  <c r="J719" i="16"/>
  <c r="I719" i="16"/>
  <c r="H719" i="16"/>
  <c r="G719" i="16"/>
  <c r="M718" i="16"/>
  <c r="L718" i="16"/>
  <c r="K718" i="16"/>
  <c r="J718" i="16"/>
  <c r="I718" i="16"/>
  <c r="H718" i="16"/>
  <c r="G718" i="16"/>
  <c r="M717" i="16"/>
  <c r="L717" i="16"/>
  <c r="K717" i="16"/>
  <c r="J717" i="16"/>
  <c r="I717" i="16"/>
  <c r="H717" i="16"/>
  <c r="G717" i="16"/>
  <c r="M716" i="16"/>
  <c r="L716" i="16"/>
  <c r="K716" i="16"/>
  <c r="J716" i="16"/>
  <c r="I716" i="16"/>
  <c r="H716" i="16"/>
  <c r="G716" i="16"/>
  <c r="M715" i="16"/>
  <c r="L715" i="16"/>
  <c r="K715" i="16"/>
  <c r="J715" i="16"/>
  <c r="I715" i="16"/>
  <c r="H715" i="16"/>
  <c r="G715" i="16"/>
  <c r="M714" i="16"/>
  <c r="L714" i="16"/>
  <c r="K714" i="16"/>
  <c r="J714" i="16"/>
  <c r="I714" i="16"/>
  <c r="H714" i="16"/>
  <c r="G714" i="16"/>
  <c r="M713" i="16"/>
  <c r="L713" i="16"/>
  <c r="K713" i="16"/>
  <c r="J713" i="16"/>
  <c r="I713" i="16"/>
  <c r="H713" i="16"/>
  <c r="G713" i="16"/>
  <c r="M712" i="16"/>
  <c r="L712" i="16"/>
  <c r="K712" i="16"/>
  <c r="J712" i="16"/>
  <c r="I712" i="16"/>
  <c r="H712" i="16"/>
  <c r="G712" i="16"/>
  <c r="M711" i="16"/>
  <c r="L711" i="16"/>
  <c r="K711" i="16"/>
  <c r="J711" i="16"/>
  <c r="I711" i="16"/>
  <c r="H711" i="16"/>
  <c r="G711" i="16"/>
  <c r="M710" i="16"/>
  <c r="L710" i="16"/>
  <c r="K710" i="16"/>
  <c r="J710" i="16"/>
  <c r="I710" i="16"/>
  <c r="H710" i="16"/>
  <c r="G710" i="16"/>
  <c r="M709" i="16"/>
  <c r="L709" i="16"/>
  <c r="K709" i="16"/>
  <c r="J709" i="16"/>
  <c r="I709" i="16"/>
  <c r="H709" i="16"/>
  <c r="G709" i="16"/>
  <c r="M708" i="16"/>
  <c r="L708" i="16"/>
  <c r="K708" i="16"/>
  <c r="J708" i="16"/>
  <c r="I708" i="16"/>
  <c r="H708" i="16"/>
  <c r="G708" i="16"/>
  <c r="M707" i="16"/>
  <c r="L707" i="16"/>
  <c r="K707" i="16"/>
  <c r="J707" i="16"/>
  <c r="I707" i="16"/>
  <c r="H707" i="16"/>
  <c r="G707" i="16"/>
  <c r="M706" i="16"/>
  <c r="L706" i="16"/>
  <c r="K706" i="16"/>
  <c r="J706" i="16"/>
  <c r="I706" i="16"/>
  <c r="H706" i="16"/>
  <c r="G706" i="16"/>
  <c r="M705" i="16"/>
  <c r="L705" i="16"/>
  <c r="K705" i="16"/>
  <c r="J705" i="16"/>
  <c r="I705" i="16"/>
  <c r="H705" i="16"/>
  <c r="G705" i="16"/>
  <c r="M704" i="16"/>
  <c r="L704" i="16"/>
  <c r="K704" i="16"/>
  <c r="J704" i="16"/>
  <c r="I704" i="16"/>
  <c r="H704" i="16"/>
  <c r="G704" i="16"/>
  <c r="M703" i="16"/>
  <c r="L703" i="16"/>
  <c r="K703" i="16"/>
  <c r="J703" i="16"/>
  <c r="I703" i="16"/>
  <c r="H703" i="16"/>
  <c r="G703" i="16"/>
  <c r="M702" i="16"/>
  <c r="L702" i="16"/>
  <c r="K702" i="16"/>
  <c r="J702" i="16"/>
  <c r="I702" i="16"/>
  <c r="H702" i="16"/>
  <c r="G702" i="16"/>
  <c r="M701" i="16"/>
  <c r="L701" i="16"/>
  <c r="K701" i="16"/>
  <c r="J701" i="16"/>
  <c r="I701" i="16"/>
  <c r="H701" i="16"/>
  <c r="G701" i="16"/>
  <c r="M700" i="16"/>
  <c r="L700" i="16"/>
  <c r="K700" i="16"/>
  <c r="J700" i="16"/>
  <c r="I700" i="16"/>
  <c r="H700" i="16"/>
  <c r="G700" i="16"/>
  <c r="M699" i="16"/>
  <c r="L699" i="16"/>
  <c r="K699" i="16"/>
  <c r="J699" i="16"/>
  <c r="I699" i="16"/>
  <c r="H699" i="16"/>
  <c r="G699" i="16"/>
  <c r="M698" i="16"/>
  <c r="L698" i="16"/>
  <c r="K698" i="16"/>
  <c r="J698" i="16"/>
  <c r="I698" i="16"/>
  <c r="H698" i="16"/>
  <c r="G698" i="16"/>
  <c r="M697" i="16"/>
  <c r="L697" i="16"/>
  <c r="K697" i="16"/>
  <c r="J697" i="16"/>
  <c r="I697" i="16"/>
  <c r="H697" i="16"/>
  <c r="G697" i="16"/>
  <c r="M696" i="16"/>
  <c r="L696" i="16"/>
  <c r="K696" i="16"/>
  <c r="J696" i="16"/>
  <c r="I696" i="16"/>
  <c r="H696" i="16"/>
  <c r="G696" i="16"/>
  <c r="M695" i="16"/>
  <c r="L695" i="16"/>
  <c r="K695" i="16"/>
  <c r="J695" i="16"/>
  <c r="I695" i="16"/>
  <c r="H695" i="16"/>
  <c r="G695" i="16"/>
  <c r="M694" i="16"/>
  <c r="L694" i="16"/>
  <c r="K694" i="16"/>
  <c r="J694" i="16"/>
  <c r="I694" i="16"/>
  <c r="H694" i="16"/>
  <c r="G694" i="16"/>
  <c r="M693" i="16"/>
  <c r="L693" i="16"/>
  <c r="K693" i="16"/>
  <c r="J693" i="16"/>
  <c r="I693" i="16"/>
  <c r="H693" i="16"/>
  <c r="G693" i="16"/>
  <c r="M692" i="16"/>
  <c r="L692" i="16"/>
  <c r="K692" i="16"/>
  <c r="J692" i="16"/>
  <c r="I692" i="16"/>
  <c r="H692" i="16"/>
  <c r="G692" i="16"/>
  <c r="M691" i="16"/>
  <c r="L691" i="16"/>
  <c r="K691" i="16"/>
  <c r="J691" i="16"/>
  <c r="I691" i="16"/>
  <c r="H691" i="16"/>
  <c r="G691" i="16"/>
  <c r="M690" i="16"/>
  <c r="L690" i="16"/>
  <c r="K690" i="16"/>
  <c r="J690" i="16"/>
  <c r="I690" i="16"/>
  <c r="H690" i="16"/>
  <c r="G690" i="16"/>
  <c r="M689" i="16"/>
  <c r="L689" i="16"/>
  <c r="K689" i="16"/>
  <c r="J689" i="16"/>
  <c r="I689" i="16"/>
  <c r="H689" i="16"/>
  <c r="G689" i="16"/>
  <c r="M688" i="16"/>
  <c r="L688" i="16"/>
  <c r="K688" i="16"/>
  <c r="J688" i="16"/>
  <c r="I688" i="16"/>
  <c r="H688" i="16"/>
  <c r="G688" i="16"/>
  <c r="M687" i="16"/>
  <c r="L687" i="16"/>
  <c r="K687" i="16"/>
  <c r="J687" i="16"/>
  <c r="I687" i="16"/>
  <c r="H687" i="16"/>
  <c r="G687" i="16"/>
  <c r="M686" i="16"/>
  <c r="L686" i="16"/>
  <c r="K686" i="16"/>
  <c r="J686" i="16"/>
  <c r="I686" i="16"/>
  <c r="H686" i="16"/>
  <c r="G686" i="16"/>
  <c r="M685" i="16"/>
  <c r="L685" i="16"/>
  <c r="K685" i="16"/>
  <c r="J685" i="16"/>
  <c r="I685" i="16"/>
  <c r="H685" i="16"/>
  <c r="G685" i="16"/>
  <c r="M684" i="16"/>
  <c r="L684" i="16"/>
  <c r="K684" i="16"/>
  <c r="J684" i="16"/>
  <c r="I684" i="16"/>
  <c r="H684" i="16"/>
  <c r="G684" i="16"/>
  <c r="M683" i="16"/>
  <c r="L683" i="16"/>
  <c r="K683" i="16"/>
  <c r="J683" i="16"/>
  <c r="I683" i="16"/>
  <c r="H683" i="16"/>
  <c r="G683" i="16"/>
  <c r="M682" i="16"/>
  <c r="L682" i="16"/>
  <c r="K682" i="16"/>
  <c r="J682" i="16"/>
  <c r="I682" i="16"/>
  <c r="H682" i="16"/>
  <c r="G682" i="16"/>
  <c r="M681" i="16"/>
  <c r="L681" i="16"/>
  <c r="K681" i="16"/>
  <c r="J681" i="16"/>
  <c r="I681" i="16"/>
  <c r="H681" i="16"/>
  <c r="G681" i="16"/>
  <c r="M680" i="16"/>
  <c r="L680" i="16"/>
  <c r="K680" i="16"/>
  <c r="J680" i="16"/>
  <c r="I680" i="16"/>
  <c r="H680" i="16"/>
  <c r="G680" i="16"/>
  <c r="M679" i="16"/>
  <c r="L679" i="16"/>
  <c r="K679" i="16"/>
  <c r="J679" i="16"/>
  <c r="I679" i="16"/>
  <c r="H679" i="16"/>
  <c r="G679" i="16"/>
  <c r="M678" i="16"/>
  <c r="L678" i="16"/>
  <c r="K678" i="16"/>
  <c r="J678" i="16"/>
  <c r="I678" i="16"/>
  <c r="H678" i="16"/>
  <c r="G678" i="16"/>
  <c r="M677" i="16"/>
  <c r="L677" i="16"/>
  <c r="K677" i="16"/>
  <c r="J677" i="16"/>
  <c r="I677" i="16"/>
  <c r="H677" i="16"/>
  <c r="G677" i="16"/>
  <c r="M676" i="16"/>
  <c r="L676" i="16"/>
  <c r="K676" i="16"/>
  <c r="J676" i="16"/>
  <c r="I676" i="16"/>
  <c r="H676" i="16"/>
  <c r="G676" i="16"/>
  <c r="M675" i="16"/>
  <c r="L675" i="16"/>
  <c r="K675" i="16"/>
  <c r="J675" i="16"/>
  <c r="I675" i="16"/>
  <c r="H675" i="16"/>
  <c r="G675" i="16"/>
  <c r="M674" i="16"/>
  <c r="L674" i="16"/>
  <c r="K674" i="16"/>
  <c r="J674" i="16"/>
  <c r="I674" i="16"/>
  <c r="H674" i="16"/>
  <c r="G674" i="16"/>
  <c r="M673" i="16"/>
  <c r="L673" i="16"/>
  <c r="K673" i="16"/>
  <c r="J673" i="16"/>
  <c r="I673" i="16"/>
  <c r="H673" i="16"/>
  <c r="G673" i="16"/>
  <c r="M672" i="16"/>
  <c r="L672" i="16"/>
  <c r="K672" i="16"/>
  <c r="J672" i="16"/>
  <c r="I672" i="16"/>
  <c r="H672" i="16"/>
  <c r="G672" i="16"/>
  <c r="M671" i="16"/>
  <c r="L671" i="16"/>
  <c r="K671" i="16"/>
  <c r="J671" i="16"/>
  <c r="I671" i="16"/>
  <c r="H671" i="16"/>
  <c r="G671" i="16"/>
  <c r="M670" i="16"/>
  <c r="L670" i="16"/>
  <c r="K670" i="16"/>
  <c r="J670" i="16"/>
  <c r="I670" i="16"/>
  <c r="H670" i="16"/>
  <c r="G670" i="16"/>
  <c r="M669" i="16"/>
  <c r="L669" i="16"/>
  <c r="K669" i="16"/>
  <c r="J669" i="16"/>
  <c r="I669" i="16"/>
  <c r="H669" i="16"/>
  <c r="G669" i="16"/>
  <c r="M668" i="16"/>
  <c r="L668" i="16"/>
  <c r="K668" i="16"/>
  <c r="J668" i="16"/>
  <c r="I668" i="16"/>
  <c r="H668" i="16"/>
  <c r="G668" i="16"/>
  <c r="M667" i="16"/>
  <c r="L667" i="16"/>
  <c r="K667" i="16"/>
  <c r="J667" i="16"/>
  <c r="I667" i="16"/>
  <c r="H667" i="16"/>
  <c r="G667" i="16"/>
  <c r="M666" i="16"/>
  <c r="L666" i="16"/>
  <c r="K666" i="16"/>
  <c r="J666" i="16"/>
  <c r="I666" i="16"/>
  <c r="H666" i="16"/>
  <c r="G666" i="16"/>
  <c r="M665" i="16"/>
  <c r="L665" i="16"/>
  <c r="K665" i="16"/>
  <c r="J665" i="16"/>
  <c r="I665" i="16"/>
  <c r="H665" i="16"/>
  <c r="G665" i="16"/>
  <c r="M664" i="16"/>
  <c r="L664" i="16"/>
  <c r="K664" i="16"/>
  <c r="J664" i="16"/>
  <c r="I664" i="16"/>
  <c r="H664" i="16"/>
  <c r="G664" i="16"/>
  <c r="M663" i="16"/>
  <c r="L663" i="16"/>
  <c r="K663" i="16"/>
  <c r="J663" i="16"/>
  <c r="I663" i="16"/>
  <c r="H663" i="16"/>
  <c r="G663" i="16"/>
  <c r="M662" i="16"/>
  <c r="L662" i="16"/>
  <c r="K662" i="16"/>
  <c r="J662" i="16"/>
  <c r="I662" i="16"/>
  <c r="H662" i="16"/>
  <c r="G662" i="16"/>
  <c r="M661" i="16"/>
  <c r="L661" i="16"/>
  <c r="K661" i="16"/>
  <c r="J661" i="16"/>
  <c r="I661" i="16"/>
  <c r="H661" i="16"/>
  <c r="G661" i="16"/>
  <c r="M660" i="16"/>
  <c r="L660" i="16"/>
  <c r="K660" i="16"/>
  <c r="J660" i="16"/>
  <c r="I660" i="16"/>
  <c r="H660" i="16"/>
  <c r="G660" i="16"/>
  <c r="M659" i="16"/>
  <c r="L659" i="16"/>
  <c r="K659" i="16"/>
  <c r="J659" i="16"/>
  <c r="I659" i="16"/>
  <c r="H659" i="16"/>
  <c r="G659" i="16"/>
  <c r="M658" i="16"/>
  <c r="L658" i="16"/>
  <c r="K658" i="16"/>
  <c r="J658" i="16"/>
  <c r="I658" i="16"/>
  <c r="H658" i="16"/>
  <c r="G658" i="16"/>
  <c r="M657" i="16"/>
  <c r="L657" i="16"/>
  <c r="K657" i="16"/>
  <c r="J657" i="16"/>
  <c r="I657" i="16"/>
  <c r="H657" i="16"/>
  <c r="G657" i="16"/>
  <c r="M656" i="16"/>
  <c r="L656" i="16"/>
  <c r="K656" i="16"/>
  <c r="J656" i="16"/>
  <c r="I656" i="16"/>
  <c r="H656" i="16"/>
  <c r="G656" i="16"/>
  <c r="M655" i="16"/>
  <c r="L655" i="16"/>
  <c r="K655" i="16"/>
  <c r="J655" i="16"/>
  <c r="I655" i="16"/>
  <c r="H655" i="16"/>
  <c r="G655" i="16"/>
  <c r="M654" i="16"/>
  <c r="L654" i="16"/>
  <c r="K654" i="16"/>
  <c r="J654" i="16"/>
  <c r="I654" i="16"/>
  <c r="H654" i="16"/>
  <c r="G654" i="16"/>
  <c r="M653" i="16"/>
  <c r="L653" i="16"/>
  <c r="K653" i="16"/>
  <c r="J653" i="16"/>
  <c r="I653" i="16"/>
  <c r="H653" i="16"/>
  <c r="G653" i="16"/>
  <c r="M652" i="16"/>
  <c r="L652" i="16"/>
  <c r="K652" i="16"/>
  <c r="J652" i="16"/>
  <c r="I652" i="16"/>
  <c r="H652" i="16"/>
  <c r="G652" i="16"/>
  <c r="M651" i="16"/>
  <c r="L651" i="16"/>
  <c r="K651" i="16"/>
  <c r="J651" i="16"/>
  <c r="I651" i="16"/>
  <c r="H651" i="16"/>
  <c r="G651" i="16"/>
  <c r="M650" i="16"/>
  <c r="L650" i="16"/>
  <c r="K650" i="16"/>
  <c r="J650" i="16"/>
  <c r="I650" i="16"/>
  <c r="H650" i="16"/>
  <c r="G650" i="16"/>
  <c r="M649" i="16"/>
  <c r="L649" i="16"/>
  <c r="K649" i="16"/>
  <c r="J649" i="16"/>
  <c r="I649" i="16"/>
  <c r="H649" i="16"/>
  <c r="G649" i="16"/>
  <c r="M648" i="16"/>
  <c r="L648" i="16"/>
  <c r="K648" i="16"/>
  <c r="J648" i="16"/>
  <c r="I648" i="16"/>
  <c r="H648" i="16"/>
  <c r="G648" i="16"/>
  <c r="M647" i="16"/>
  <c r="L647" i="16"/>
  <c r="K647" i="16"/>
  <c r="J647" i="16"/>
  <c r="I647" i="16"/>
  <c r="H647" i="16"/>
  <c r="G647" i="16"/>
  <c r="M646" i="16"/>
  <c r="L646" i="16"/>
  <c r="K646" i="16"/>
  <c r="J646" i="16"/>
  <c r="I646" i="16"/>
  <c r="H646" i="16"/>
  <c r="G646" i="16"/>
  <c r="M645" i="16"/>
  <c r="L645" i="16"/>
  <c r="K645" i="16"/>
  <c r="J645" i="16"/>
  <c r="I645" i="16"/>
  <c r="H645" i="16"/>
  <c r="G645" i="16"/>
  <c r="M644" i="16"/>
  <c r="L644" i="16"/>
  <c r="K644" i="16"/>
  <c r="J644" i="16"/>
  <c r="I644" i="16"/>
  <c r="H644" i="16"/>
  <c r="G644" i="16"/>
  <c r="M643" i="16"/>
  <c r="L643" i="16"/>
  <c r="K643" i="16"/>
  <c r="J643" i="16"/>
  <c r="I643" i="16"/>
  <c r="H643" i="16"/>
  <c r="G643" i="16"/>
  <c r="M642" i="16"/>
  <c r="L642" i="16"/>
  <c r="K642" i="16"/>
  <c r="J642" i="16"/>
  <c r="I642" i="16"/>
  <c r="H642" i="16"/>
  <c r="G642" i="16"/>
  <c r="M641" i="16"/>
  <c r="L641" i="16"/>
  <c r="K641" i="16"/>
  <c r="J641" i="16"/>
  <c r="I641" i="16"/>
  <c r="H641" i="16"/>
  <c r="G641" i="16"/>
  <c r="M640" i="16"/>
  <c r="L640" i="16"/>
  <c r="K640" i="16"/>
  <c r="J640" i="16"/>
  <c r="I640" i="16"/>
  <c r="H640" i="16"/>
  <c r="G640" i="16"/>
  <c r="M639" i="16"/>
  <c r="L639" i="16"/>
  <c r="K639" i="16"/>
  <c r="J639" i="16"/>
  <c r="I639" i="16"/>
  <c r="H639" i="16"/>
  <c r="G639" i="16"/>
  <c r="M638" i="16"/>
  <c r="L638" i="16"/>
  <c r="K638" i="16"/>
  <c r="J638" i="16"/>
  <c r="I638" i="16"/>
  <c r="H638" i="16"/>
  <c r="G638" i="16"/>
  <c r="M637" i="16"/>
  <c r="L637" i="16"/>
  <c r="K637" i="16"/>
  <c r="J637" i="16"/>
  <c r="I637" i="16"/>
  <c r="H637" i="16"/>
  <c r="G637" i="16"/>
  <c r="M636" i="16"/>
  <c r="L636" i="16"/>
  <c r="K636" i="16"/>
  <c r="J636" i="16"/>
  <c r="I636" i="16"/>
  <c r="H636" i="16"/>
  <c r="G636" i="16"/>
  <c r="M635" i="16"/>
  <c r="L635" i="16"/>
  <c r="K635" i="16"/>
  <c r="J635" i="16"/>
  <c r="I635" i="16"/>
  <c r="H635" i="16"/>
  <c r="G635" i="16"/>
  <c r="M634" i="16"/>
  <c r="L634" i="16"/>
  <c r="K634" i="16"/>
  <c r="J634" i="16"/>
  <c r="I634" i="16"/>
  <c r="H634" i="16"/>
  <c r="G634" i="16"/>
  <c r="M633" i="16"/>
  <c r="L633" i="16"/>
  <c r="K633" i="16"/>
  <c r="J633" i="16"/>
  <c r="I633" i="16"/>
  <c r="H633" i="16"/>
  <c r="G633" i="16"/>
  <c r="M632" i="16"/>
  <c r="L632" i="16"/>
  <c r="K632" i="16"/>
  <c r="J632" i="16"/>
  <c r="I632" i="16"/>
  <c r="H632" i="16"/>
  <c r="G632" i="16"/>
  <c r="M631" i="16"/>
  <c r="L631" i="16"/>
  <c r="K631" i="16"/>
  <c r="J631" i="16"/>
  <c r="I631" i="16"/>
  <c r="H631" i="16"/>
  <c r="G631" i="16"/>
  <c r="M630" i="16"/>
  <c r="L630" i="16"/>
  <c r="K630" i="16"/>
  <c r="J630" i="16"/>
  <c r="I630" i="16"/>
  <c r="H630" i="16"/>
  <c r="G630" i="16"/>
  <c r="M629" i="16"/>
  <c r="L629" i="16"/>
  <c r="K629" i="16"/>
  <c r="J629" i="16"/>
  <c r="I629" i="16"/>
  <c r="H629" i="16"/>
  <c r="G629" i="16"/>
  <c r="M628" i="16"/>
  <c r="L628" i="16"/>
  <c r="K628" i="16"/>
  <c r="J628" i="16"/>
  <c r="I628" i="16"/>
  <c r="H628" i="16"/>
  <c r="G628" i="16"/>
  <c r="M627" i="16"/>
  <c r="L627" i="16"/>
  <c r="K627" i="16"/>
  <c r="J627" i="16"/>
  <c r="I627" i="16"/>
  <c r="H627" i="16"/>
  <c r="G627" i="16"/>
  <c r="M626" i="16"/>
  <c r="L626" i="16"/>
  <c r="K626" i="16"/>
  <c r="J626" i="16"/>
  <c r="I626" i="16"/>
  <c r="H626" i="16"/>
  <c r="G626" i="16"/>
  <c r="M625" i="16"/>
  <c r="L625" i="16"/>
  <c r="K625" i="16"/>
  <c r="J625" i="16"/>
  <c r="I625" i="16"/>
  <c r="H625" i="16"/>
  <c r="G625" i="16"/>
  <c r="M624" i="16"/>
  <c r="L624" i="16"/>
  <c r="K624" i="16"/>
  <c r="J624" i="16"/>
  <c r="I624" i="16"/>
  <c r="H624" i="16"/>
  <c r="G624" i="16"/>
  <c r="M623" i="16"/>
  <c r="L623" i="16"/>
  <c r="K623" i="16"/>
  <c r="J623" i="16"/>
  <c r="I623" i="16"/>
  <c r="H623" i="16"/>
  <c r="G623" i="16"/>
  <c r="M622" i="16"/>
  <c r="L622" i="16"/>
  <c r="K622" i="16"/>
  <c r="J622" i="16"/>
  <c r="I622" i="16"/>
  <c r="H622" i="16"/>
  <c r="G622" i="16"/>
  <c r="M621" i="16"/>
  <c r="L621" i="16"/>
  <c r="K621" i="16"/>
  <c r="J621" i="16"/>
  <c r="I621" i="16"/>
  <c r="H621" i="16"/>
  <c r="G621" i="16"/>
  <c r="M620" i="16"/>
  <c r="L620" i="16"/>
  <c r="K620" i="16"/>
  <c r="J620" i="16"/>
  <c r="I620" i="16"/>
  <c r="H620" i="16"/>
  <c r="G620" i="16"/>
  <c r="M619" i="16"/>
  <c r="L619" i="16"/>
  <c r="K619" i="16"/>
  <c r="J619" i="16"/>
  <c r="I619" i="16"/>
  <c r="H619" i="16"/>
  <c r="G619" i="16"/>
  <c r="M618" i="16"/>
  <c r="L618" i="16"/>
  <c r="K618" i="16"/>
  <c r="J618" i="16"/>
  <c r="I618" i="16"/>
  <c r="H618" i="16"/>
  <c r="G618" i="16"/>
  <c r="M617" i="16"/>
  <c r="L617" i="16"/>
  <c r="K617" i="16"/>
  <c r="J617" i="16"/>
  <c r="I617" i="16"/>
  <c r="H617" i="16"/>
  <c r="G617" i="16"/>
  <c r="M616" i="16"/>
  <c r="L616" i="16"/>
  <c r="K616" i="16"/>
  <c r="J616" i="16"/>
  <c r="I616" i="16"/>
  <c r="H616" i="16"/>
  <c r="G616" i="16"/>
  <c r="M615" i="16"/>
  <c r="L615" i="16"/>
  <c r="K615" i="16"/>
  <c r="J615" i="16"/>
  <c r="I615" i="16"/>
  <c r="H615" i="16"/>
  <c r="G615" i="16"/>
  <c r="M614" i="16"/>
  <c r="L614" i="16"/>
  <c r="K614" i="16"/>
  <c r="J614" i="16"/>
  <c r="I614" i="16"/>
  <c r="H614" i="16"/>
  <c r="G614" i="16"/>
  <c r="M613" i="16"/>
  <c r="L613" i="16"/>
  <c r="K613" i="16"/>
  <c r="J613" i="16"/>
  <c r="I613" i="16"/>
  <c r="H613" i="16"/>
  <c r="G613" i="16"/>
  <c r="M612" i="16"/>
  <c r="L612" i="16"/>
  <c r="K612" i="16"/>
  <c r="J612" i="16"/>
  <c r="I612" i="16"/>
  <c r="H612" i="16"/>
  <c r="G612" i="16"/>
  <c r="M611" i="16"/>
  <c r="L611" i="16"/>
  <c r="K611" i="16"/>
  <c r="J611" i="16"/>
  <c r="I611" i="16"/>
  <c r="H611" i="16"/>
  <c r="G611" i="16"/>
  <c r="M610" i="16"/>
  <c r="L610" i="16"/>
  <c r="K610" i="16"/>
  <c r="J610" i="16"/>
  <c r="I610" i="16"/>
  <c r="H610" i="16"/>
  <c r="G610" i="16"/>
  <c r="M609" i="16"/>
  <c r="L609" i="16"/>
  <c r="K609" i="16"/>
  <c r="J609" i="16"/>
  <c r="I609" i="16"/>
  <c r="H609" i="16"/>
  <c r="G609" i="16"/>
  <c r="M608" i="16"/>
  <c r="L608" i="16"/>
  <c r="K608" i="16"/>
  <c r="J608" i="16"/>
  <c r="I608" i="16"/>
  <c r="H608" i="16"/>
  <c r="G608" i="16"/>
  <c r="M607" i="16"/>
  <c r="L607" i="16"/>
  <c r="K607" i="16"/>
  <c r="J607" i="16"/>
  <c r="I607" i="16"/>
  <c r="H607" i="16"/>
  <c r="G607" i="16"/>
  <c r="M606" i="16"/>
  <c r="L606" i="16"/>
  <c r="K606" i="16"/>
  <c r="J606" i="16"/>
  <c r="I606" i="16"/>
  <c r="H606" i="16"/>
  <c r="G606" i="16"/>
  <c r="M605" i="16"/>
  <c r="L605" i="16"/>
  <c r="K605" i="16"/>
  <c r="J605" i="16"/>
  <c r="I605" i="16"/>
  <c r="H605" i="16"/>
  <c r="G605" i="16"/>
  <c r="M604" i="16"/>
  <c r="L604" i="16"/>
  <c r="K604" i="16"/>
  <c r="J604" i="16"/>
  <c r="I604" i="16"/>
  <c r="H604" i="16"/>
  <c r="G604" i="16"/>
  <c r="M603" i="16"/>
  <c r="L603" i="16"/>
  <c r="K603" i="16"/>
  <c r="J603" i="16"/>
  <c r="I603" i="16"/>
  <c r="H603" i="16"/>
  <c r="G603" i="16"/>
  <c r="M602" i="16"/>
  <c r="L602" i="16"/>
  <c r="K602" i="16"/>
  <c r="J602" i="16"/>
  <c r="I602" i="16"/>
  <c r="H602" i="16"/>
  <c r="G602" i="16"/>
  <c r="M601" i="16"/>
  <c r="L601" i="16"/>
  <c r="K601" i="16"/>
  <c r="J601" i="16"/>
  <c r="I601" i="16"/>
  <c r="H601" i="16"/>
  <c r="G601" i="16"/>
  <c r="M600" i="16"/>
  <c r="L600" i="16"/>
  <c r="K600" i="16"/>
  <c r="J600" i="16"/>
  <c r="I600" i="16"/>
  <c r="H600" i="16"/>
  <c r="G600" i="16"/>
  <c r="M599" i="16"/>
  <c r="L599" i="16"/>
  <c r="K599" i="16"/>
  <c r="J599" i="16"/>
  <c r="I599" i="16"/>
  <c r="H599" i="16"/>
  <c r="G599" i="16"/>
  <c r="M598" i="16"/>
  <c r="L598" i="16"/>
  <c r="K598" i="16"/>
  <c r="J598" i="16"/>
  <c r="I598" i="16"/>
  <c r="H598" i="16"/>
  <c r="G598" i="16"/>
  <c r="M597" i="16"/>
  <c r="L597" i="16"/>
  <c r="K597" i="16"/>
  <c r="J597" i="16"/>
  <c r="I597" i="16"/>
  <c r="H597" i="16"/>
  <c r="G597" i="16"/>
  <c r="M596" i="16"/>
  <c r="L596" i="16"/>
  <c r="K596" i="16"/>
  <c r="J596" i="16"/>
  <c r="I596" i="16"/>
  <c r="H596" i="16"/>
  <c r="G596" i="16"/>
  <c r="M595" i="16"/>
  <c r="L595" i="16"/>
  <c r="K595" i="16"/>
  <c r="J595" i="16"/>
  <c r="I595" i="16"/>
  <c r="H595" i="16"/>
  <c r="G595" i="16"/>
  <c r="M594" i="16"/>
  <c r="L594" i="16"/>
  <c r="K594" i="16"/>
  <c r="J594" i="16"/>
  <c r="I594" i="16"/>
  <c r="H594" i="16"/>
  <c r="G594" i="16"/>
  <c r="M593" i="16"/>
  <c r="L593" i="16"/>
  <c r="K593" i="16"/>
  <c r="J593" i="16"/>
  <c r="I593" i="16"/>
  <c r="H593" i="16"/>
  <c r="G593" i="16"/>
  <c r="M592" i="16"/>
  <c r="L592" i="16"/>
  <c r="K592" i="16"/>
  <c r="J592" i="16"/>
  <c r="I592" i="16"/>
  <c r="H592" i="16"/>
  <c r="G592" i="16"/>
  <c r="M591" i="16"/>
  <c r="L591" i="16"/>
  <c r="K591" i="16"/>
  <c r="J591" i="16"/>
  <c r="I591" i="16"/>
  <c r="H591" i="16"/>
  <c r="G591" i="16"/>
  <c r="M590" i="16"/>
  <c r="L590" i="16"/>
  <c r="K590" i="16"/>
  <c r="J590" i="16"/>
  <c r="I590" i="16"/>
  <c r="H590" i="16"/>
  <c r="G590" i="16"/>
  <c r="M589" i="16"/>
  <c r="L589" i="16"/>
  <c r="K589" i="16"/>
  <c r="J589" i="16"/>
  <c r="I589" i="16"/>
  <c r="H589" i="16"/>
  <c r="G589" i="16"/>
  <c r="M588" i="16"/>
  <c r="L588" i="16"/>
  <c r="K588" i="16"/>
  <c r="J588" i="16"/>
  <c r="I588" i="16"/>
  <c r="H588" i="16"/>
  <c r="G588" i="16"/>
  <c r="M587" i="16"/>
  <c r="L587" i="16"/>
  <c r="K587" i="16"/>
  <c r="J587" i="16"/>
  <c r="I587" i="16"/>
  <c r="H587" i="16"/>
  <c r="G587" i="16"/>
  <c r="M586" i="16"/>
  <c r="L586" i="16"/>
  <c r="K586" i="16"/>
  <c r="J586" i="16"/>
  <c r="I586" i="16"/>
  <c r="H586" i="16"/>
  <c r="G586" i="16"/>
  <c r="M585" i="16"/>
  <c r="L585" i="16"/>
  <c r="K585" i="16"/>
  <c r="J585" i="16"/>
  <c r="I585" i="16"/>
  <c r="H585" i="16"/>
  <c r="G585" i="16"/>
  <c r="M584" i="16"/>
  <c r="L584" i="16"/>
  <c r="K584" i="16"/>
  <c r="J584" i="16"/>
  <c r="I584" i="16"/>
  <c r="H584" i="16"/>
  <c r="G584" i="16"/>
  <c r="M583" i="16"/>
  <c r="L583" i="16"/>
  <c r="K583" i="16"/>
  <c r="J583" i="16"/>
  <c r="I583" i="16"/>
  <c r="H583" i="16"/>
  <c r="G583" i="16"/>
  <c r="M582" i="16"/>
  <c r="L582" i="16"/>
  <c r="K582" i="16"/>
  <c r="J582" i="16"/>
  <c r="I582" i="16"/>
  <c r="H582" i="16"/>
  <c r="G582" i="16"/>
  <c r="M581" i="16"/>
  <c r="L581" i="16"/>
  <c r="K581" i="16"/>
  <c r="J581" i="16"/>
  <c r="I581" i="16"/>
  <c r="H581" i="16"/>
  <c r="G581" i="16"/>
  <c r="M580" i="16"/>
  <c r="L580" i="16"/>
  <c r="K580" i="16"/>
  <c r="J580" i="16"/>
  <c r="I580" i="16"/>
  <c r="H580" i="16"/>
  <c r="G580" i="16"/>
  <c r="M579" i="16"/>
  <c r="L579" i="16"/>
  <c r="K579" i="16"/>
  <c r="J579" i="16"/>
  <c r="I579" i="16"/>
  <c r="H579" i="16"/>
  <c r="G579" i="16"/>
  <c r="M578" i="16"/>
  <c r="L578" i="16"/>
  <c r="K578" i="16"/>
  <c r="J578" i="16"/>
  <c r="I578" i="16"/>
  <c r="H578" i="16"/>
  <c r="G578" i="16"/>
  <c r="M577" i="16"/>
  <c r="L577" i="16"/>
  <c r="K577" i="16"/>
  <c r="J577" i="16"/>
  <c r="I577" i="16"/>
  <c r="H577" i="16"/>
  <c r="G577" i="16"/>
  <c r="M576" i="16"/>
  <c r="L576" i="16"/>
  <c r="K576" i="16"/>
  <c r="J576" i="16"/>
  <c r="I576" i="16"/>
  <c r="H576" i="16"/>
  <c r="G576" i="16"/>
  <c r="M575" i="16"/>
  <c r="L575" i="16"/>
  <c r="K575" i="16"/>
  <c r="J575" i="16"/>
  <c r="I575" i="16"/>
  <c r="H575" i="16"/>
  <c r="G575" i="16"/>
  <c r="M574" i="16"/>
  <c r="L574" i="16"/>
  <c r="K574" i="16"/>
  <c r="J574" i="16"/>
  <c r="I574" i="16"/>
  <c r="H574" i="16"/>
  <c r="G574" i="16"/>
  <c r="M573" i="16"/>
  <c r="L573" i="16"/>
  <c r="K573" i="16"/>
  <c r="J573" i="16"/>
  <c r="I573" i="16"/>
  <c r="H573" i="16"/>
  <c r="G573" i="16"/>
  <c r="M572" i="16"/>
  <c r="L572" i="16"/>
  <c r="K572" i="16"/>
  <c r="J572" i="16"/>
  <c r="I572" i="16"/>
  <c r="H572" i="16"/>
  <c r="G572" i="16"/>
  <c r="M571" i="16"/>
  <c r="L571" i="16"/>
  <c r="K571" i="16"/>
  <c r="J571" i="16"/>
  <c r="I571" i="16"/>
  <c r="H571" i="16"/>
  <c r="G571" i="16"/>
  <c r="M570" i="16"/>
  <c r="L570" i="16"/>
  <c r="K570" i="16"/>
  <c r="J570" i="16"/>
  <c r="I570" i="16"/>
  <c r="H570" i="16"/>
  <c r="G570" i="16"/>
  <c r="M569" i="16"/>
  <c r="L569" i="16"/>
  <c r="K569" i="16"/>
  <c r="J569" i="16"/>
  <c r="I569" i="16"/>
  <c r="H569" i="16"/>
  <c r="G569" i="16"/>
  <c r="M568" i="16"/>
  <c r="L568" i="16"/>
  <c r="K568" i="16"/>
  <c r="J568" i="16"/>
  <c r="I568" i="16"/>
  <c r="H568" i="16"/>
  <c r="G568" i="16"/>
  <c r="M567" i="16"/>
  <c r="L567" i="16"/>
  <c r="K567" i="16"/>
  <c r="J567" i="16"/>
  <c r="I567" i="16"/>
  <c r="H567" i="16"/>
  <c r="G567" i="16"/>
  <c r="M566" i="16"/>
  <c r="L566" i="16"/>
  <c r="K566" i="16"/>
  <c r="J566" i="16"/>
  <c r="I566" i="16"/>
  <c r="H566" i="16"/>
  <c r="G566" i="16"/>
  <c r="M565" i="16"/>
  <c r="L565" i="16"/>
  <c r="K565" i="16"/>
  <c r="J565" i="16"/>
  <c r="I565" i="16"/>
  <c r="H565" i="16"/>
  <c r="G565" i="16"/>
  <c r="M564" i="16"/>
  <c r="L564" i="16"/>
  <c r="K564" i="16"/>
  <c r="J564" i="16"/>
  <c r="I564" i="16"/>
  <c r="H564" i="16"/>
  <c r="G564" i="16"/>
  <c r="M563" i="16"/>
  <c r="L563" i="16"/>
  <c r="K563" i="16"/>
  <c r="J563" i="16"/>
  <c r="I563" i="16"/>
  <c r="H563" i="16"/>
  <c r="G563" i="16"/>
  <c r="M562" i="16"/>
  <c r="L562" i="16"/>
  <c r="K562" i="16"/>
  <c r="J562" i="16"/>
  <c r="I562" i="16"/>
  <c r="H562" i="16"/>
  <c r="G562" i="16"/>
  <c r="M561" i="16"/>
  <c r="L561" i="16"/>
  <c r="K561" i="16"/>
  <c r="J561" i="16"/>
  <c r="I561" i="16"/>
  <c r="H561" i="16"/>
  <c r="G561" i="16"/>
  <c r="M560" i="16"/>
  <c r="L560" i="16"/>
  <c r="K560" i="16"/>
  <c r="J560" i="16"/>
  <c r="I560" i="16"/>
  <c r="H560" i="16"/>
  <c r="G560" i="16"/>
  <c r="M559" i="16"/>
  <c r="L559" i="16"/>
  <c r="K559" i="16"/>
  <c r="J559" i="16"/>
  <c r="I559" i="16"/>
  <c r="H559" i="16"/>
  <c r="G559" i="16"/>
  <c r="M558" i="16"/>
  <c r="L558" i="16"/>
  <c r="K558" i="16"/>
  <c r="J558" i="16"/>
  <c r="I558" i="16"/>
  <c r="H558" i="16"/>
  <c r="G558" i="16"/>
  <c r="M557" i="16"/>
  <c r="L557" i="16"/>
  <c r="K557" i="16"/>
  <c r="J557" i="16"/>
  <c r="I557" i="16"/>
  <c r="H557" i="16"/>
  <c r="G557" i="16"/>
  <c r="M556" i="16"/>
  <c r="L556" i="16"/>
  <c r="K556" i="16"/>
  <c r="J556" i="16"/>
  <c r="I556" i="16"/>
  <c r="H556" i="16"/>
  <c r="G556" i="16"/>
  <c r="M555" i="16"/>
  <c r="L555" i="16"/>
  <c r="K555" i="16"/>
  <c r="J555" i="16"/>
  <c r="I555" i="16"/>
  <c r="H555" i="16"/>
  <c r="G555" i="16"/>
  <c r="M554" i="16"/>
  <c r="L554" i="16"/>
  <c r="K554" i="16"/>
  <c r="J554" i="16"/>
  <c r="I554" i="16"/>
  <c r="H554" i="16"/>
  <c r="G554" i="16"/>
  <c r="M553" i="16"/>
  <c r="L553" i="16"/>
  <c r="K553" i="16"/>
  <c r="J553" i="16"/>
  <c r="I553" i="16"/>
  <c r="H553" i="16"/>
  <c r="G553" i="16"/>
  <c r="M552" i="16"/>
  <c r="L552" i="16"/>
  <c r="K552" i="16"/>
  <c r="J552" i="16"/>
  <c r="I552" i="16"/>
  <c r="H552" i="16"/>
  <c r="G552" i="16"/>
  <c r="M551" i="16"/>
  <c r="L551" i="16"/>
  <c r="K551" i="16"/>
  <c r="J551" i="16"/>
  <c r="I551" i="16"/>
  <c r="H551" i="16"/>
  <c r="G551" i="16"/>
  <c r="M550" i="16"/>
  <c r="L550" i="16"/>
  <c r="K550" i="16"/>
  <c r="J550" i="16"/>
  <c r="I550" i="16"/>
  <c r="H550" i="16"/>
  <c r="G550" i="16"/>
  <c r="M549" i="16"/>
  <c r="L549" i="16"/>
  <c r="K549" i="16"/>
  <c r="J549" i="16"/>
  <c r="I549" i="16"/>
  <c r="H549" i="16"/>
  <c r="G549" i="16"/>
  <c r="M548" i="16"/>
  <c r="L548" i="16"/>
  <c r="K548" i="16"/>
  <c r="J548" i="16"/>
  <c r="I548" i="16"/>
  <c r="H548" i="16"/>
  <c r="G548" i="16"/>
  <c r="M547" i="16"/>
  <c r="L547" i="16"/>
  <c r="K547" i="16"/>
  <c r="J547" i="16"/>
  <c r="I547" i="16"/>
  <c r="H547" i="16"/>
  <c r="G547" i="16"/>
  <c r="M546" i="16"/>
  <c r="L546" i="16"/>
  <c r="K546" i="16"/>
  <c r="J546" i="16"/>
  <c r="I546" i="16"/>
  <c r="H546" i="16"/>
  <c r="G546" i="16"/>
  <c r="M545" i="16"/>
  <c r="L545" i="16"/>
  <c r="K545" i="16"/>
  <c r="J545" i="16"/>
  <c r="I545" i="16"/>
  <c r="H545" i="16"/>
  <c r="G545" i="16"/>
  <c r="M544" i="16"/>
  <c r="L544" i="16"/>
  <c r="K544" i="16"/>
  <c r="J544" i="16"/>
  <c r="I544" i="16"/>
  <c r="H544" i="16"/>
  <c r="G544" i="16"/>
  <c r="M543" i="16"/>
  <c r="L543" i="16"/>
  <c r="K543" i="16"/>
  <c r="J543" i="16"/>
  <c r="I543" i="16"/>
  <c r="H543" i="16"/>
  <c r="G543" i="16"/>
  <c r="M542" i="16"/>
  <c r="L542" i="16"/>
  <c r="K542" i="16"/>
  <c r="J542" i="16"/>
  <c r="I542" i="16"/>
  <c r="H542" i="16"/>
  <c r="G542" i="16"/>
  <c r="M541" i="16"/>
  <c r="L541" i="16"/>
  <c r="K541" i="16"/>
  <c r="J541" i="16"/>
  <c r="I541" i="16"/>
  <c r="H541" i="16"/>
  <c r="G541" i="16"/>
  <c r="M540" i="16"/>
  <c r="L540" i="16"/>
  <c r="K540" i="16"/>
  <c r="J540" i="16"/>
  <c r="I540" i="16"/>
  <c r="H540" i="16"/>
  <c r="G540" i="16"/>
  <c r="M539" i="16"/>
  <c r="L539" i="16"/>
  <c r="K539" i="16"/>
  <c r="J539" i="16"/>
  <c r="I539" i="16"/>
  <c r="H539" i="16"/>
  <c r="G539" i="16"/>
  <c r="M538" i="16"/>
  <c r="L538" i="16"/>
  <c r="K538" i="16"/>
  <c r="J538" i="16"/>
  <c r="I538" i="16"/>
  <c r="H538" i="16"/>
  <c r="G538" i="16"/>
  <c r="M537" i="16"/>
  <c r="L537" i="16"/>
  <c r="K537" i="16"/>
  <c r="J537" i="16"/>
  <c r="I537" i="16"/>
  <c r="H537" i="16"/>
  <c r="G537" i="16"/>
  <c r="M536" i="16"/>
  <c r="L536" i="16"/>
  <c r="K536" i="16"/>
  <c r="J536" i="16"/>
  <c r="I536" i="16"/>
  <c r="H536" i="16"/>
  <c r="G536" i="16"/>
  <c r="M535" i="16"/>
  <c r="L535" i="16"/>
  <c r="K535" i="16"/>
  <c r="J535" i="16"/>
  <c r="I535" i="16"/>
  <c r="H535" i="16"/>
  <c r="G535" i="16"/>
  <c r="M534" i="16"/>
  <c r="L534" i="16"/>
  <c r="K534" i="16"/>
  <c r="J534" i="16"/>
  <c r="I534" i="16"/>
  <c r="H534" i="16"/>
  <c r="G534" i="16"/>
  <c r="M533" i="16"/>
  <c r="L533" i="16"/>
  <c r="K533" i="16"/>
  <c r="J533" i="16"/>
  <c r="I533" i="16"/>
  <c r="H533" i="16"/>
  <c r="G533" i="16"/>
  <c r="M532" i="16"/>
  <c r="L532" i="16"/>
  <c r="K532" i="16"/>
  <c r="J532" i="16"/>
  <c r="I532" i="16"/>
  <c r="H532" i="16"/>
  <c r="G532" i="16"/>
  <c r="M531" i="16"/>
  <c r="L531" i="16"/>
  <c r="K531" i="16"/>
  <c r="J531" i="16"/>
  <c r="I531" i="16"/>
  <c r="H531" i="16"/>
  <c r="G531" i="16"/>
  <c r="M530" i="16"/>
  <c r="L530" i="16"/>
  <c r="K530" i="16"/>
  <c r="J530" i="16"/>
  <c r="I530" i="16"/>
  <c r="H530" i="16"/>
  <c r="G530" i="16"/>
  <c r="M529" i="16"/>
  <c r="L529" i="16"/>
  <c r="K529" i="16"/>
  <c r="J529" i="16"/>
  <c r="I529" i="16"/>
  <c r="H529" i="16"/>
  <c r="G529" i="16"/>
  <c r="M528" i="16"/>
  <c r="L528" i="16"/>
  <c r="K528" i="16"/>
  <c r="J528" i="16"/>
  <c r="I528" i="16"/>
  <c r="H528" i="16"/>
  <c r="G528" i="16"/>
  <c r="M527" i="16"/>
  <c r="L527" i="16"/>
  <c r="K527" i="16"/>
  <c r="J527" i="16"/>
  <c r="I527" i="16"/>
  <c r="H527" i="16"/>
  <c r="G527" i="16"/>
  <c r="M526" i="16"/>
  <c r="L526" i="16"/>
  <c r="K526" i="16"/>
  <c r="J526" i="16"/>
  <c r="I526" i="16"/>
  <c r="H526" i="16"/>
  <c r="G526" i="16"/>
  <c r="M525" i="16"/>
  <c r="L525" i="16"/>
  <c r="K525" i="16"/>
  <c r="J525" i="16"/>
  <c r="I525" i="16"/>
  <c r="H525" i="16"/>
  <c r="G525" i="16"/>
  <c r="M524" i="16"/>
  <c r="L524" i="16"/>
  <c r="K524" i="16"/>
  <c r="J524" i="16"/>
  <c r="I524" i="16"/>
  <c r="H524" i="16"/>
  <c r="G524" i="16"/>
  <c r="M523" i="16"/>
  <c r="L523" i="16"/>
  <c r="K523" i="16"/>
  <c r="J523" i="16"/>
  <c r="I523" i="16"/>
  <c r="H523" i="16"/>
  <c r="G523" i="16"/>
  <c r="M522" i="16"/>
  <c r="L522" i="16"/>
  <c r="K522" i="16"/>
  <c r="J522" i="16"/>
  <c r="I522" i="16"/>
  <c r="H522" i="16"/>
  <c r="G522" i="16"/>
  <c r="M521" i="16"/>
  <c r="L521" i="16"/>
  <c r="K521" i="16"/>
  <c r="J521" i="16"/>
  <c r="I521" i="16"/>
  <c r="H521" i="16"/>
  <c r="G521" i="16"/>
  <c r="M520" i="16"/>
  <c r="L520" i="16"/>
  <c r="K520" i="16"/>
  <c r="J520" i="16"/>
  <c r="I520" i="16"/>
  <c r="H520" i="16"/>
  <c r="G520" i="16"/>
  <c r="M519" i="16"/>
  <c r="L519" i="16"/>
  <c r="K519" i="16"/>
  <c r="J519" i="16"/>
  <c r="I519" i="16"/>
  <c r="H519" i="16"/>
  <c r="G519" i="16"/>
  <c r="M518" i="16"/>
  <c r="L518" i="16"/>
  <c r="K518" i="16"/>
  <c r="J518" i="16"/>
  <c r="I518" i="16"/>
  <c r="H518" i="16"/>
  <c r="G518" i="16"/>
  <c r="M517" i="16"/>
  <c r="L517" i="16"/>
  <c r="K517" i="16"/>
  <c r="J517" i="16"/>
  <c r="I517" i="16"/>
  <c r="H517" i="16"/>
  <c r="G517" i="16"/>
  <c r="M516" i="16"/>
  <c r="L516" i="16"/>
  <c r="K516" i="16"/>
  <c r="J516" i="16"/>
  <c r="I516" i="16"/>
  <c r="H516" i="16"/>
  <c r="G516" i="16"/>
  <c r="M515" i="16"/>
  <c r="L515" i="16"/>
  <c r="K515" i="16"/>
  <c r="J515" i="16"/>
  <c r="I515" i="16"/>
  <c r="H515" i="16"/>
  <c r="G515" i="16"/>
  <c r="M514" i="16"/>
  <c r="L514" i="16"/>
  <c r="K514" i="16"/>
  <c r="J514" i="16"/>
  <c r="I514" i="16"/>
  <c r="H514" i="16"/>
  <c r="G514" i="16"/>
  <c r="M513" i="16"/>
  <c r="L513" i="16"/>
  <c r="K513" i="16"/>
  <c r="J513" i="16"/>
  <c r="I513" i="16"/>
  <c r="H513" i="16"/>
  <c r="G513" i="16"/>
  <c r="M512" i="16"/>
  <c r="L512" i="16"/>
  <c r="K512" i="16"/>
  <c r="J512" i="16"/>
  <c r="I512" i="16"/>
  <c r="H512" i="16"/>
  <c r="G512" i="16"/>
  <c r="M511" i="16"/>
  <c r="L511" i="16"/>
  <c r="K511" i="16"/>
  <c r="J511" i="16"/>
  <c r="I511" i="16"/>
  <c r="H511" i="16"/>
  <c r="G511" i="16"/>
  <c r="M510" i="16"/>
  <c r="L510" i="16"/>
  <c r="K510" i="16"/>
  <c r="J510" i="16"/>
  <c r="I510" i="16"/>
  <c r="H510" i="16"/>
  <c r="G510" i="16"/>
  <c r="M509" i="16"/>
  <c r="L509" i="16"/>
  <c r="K509" i="16"/>
  <c r="J509" i="16"/>
  <c r="I509" i="16"/>
  <c r="H509" i="16"/>
  <c r="G509" i="16"/>
  <c r="M508" i="16"/>
  <c r="L508" i="16"/>
  <c r="K508" i="16"/>
  <c r="J508" i="16"/>
  <c r="I508" i="16"/>
  <c r="H508" i="16"/>
  <c r="G508" i="16"/>
  <c r="M507" i="16"/>
  <c r="L507" i="16"/>
  <c r="K507" i="16"/>
  <c r="J507" i="16"/>
  <c r="I507" i="16"/>
  <c r="H507" i="16"/>
  <c r="G507" i="16"/>
  <c r="M506" i="16"/>
  <c r="L506" i="16"/>
  <c r="K506" i="16"/>
  <c r="J506" i="16"/>
  <c r="I506" i="16"/>
  <c r="H506" i="16"/>
  <c r="G506" i="16"/>
  <c r="M505" i="16"/>
  <c r="L505" i="16"/>
  <c r="K505" i="16"/>
  <c r="J505" i="16"/>
  <c r="I505" i="16"/>
  <c r="H505" i="16"/>
  <c r="G505" i="16"/>
  <c r="M504" i="16"/>
  <c r="L504" i="16"/>
  <c r="K504" i="16"/>
  <c r="J504" i="16"/>
  <c r="I504" i="16"/>
  <c r="H504" i="16"/>
  <c r="G504" i="16"/>
  <c r="M503" i="16"/>
  <c r="L503" i="16"/>
  <c r="K503" i="16"/>
  <c r="J503" i="16"/>
  <c r="I503" i="16"/>
  <c r="H503" i="16"/>
  <c r="G503" i="16"/>
  <c r="M502" i="16"/>
  <c r="L502" i="16"/>
  <c r="K502" i="16"/>
  <c r="J502" i="16"/>
  <c r="I502" i="16"/>
  <c r="H502" i="16"/>
  <c r="G502" i="16"/>
  <c r="M501" i="16"/>
  <c r="L501" i="16"/>
  <c r="K501" i="16"/>
  <c r="J501" i="16"/>
  <c r="I501" i="16"/>
  <c r="H501" i="16"/>
  <c r="G501" i="16"/>
  <c r="M500" i="16"/>
  <c r="L500" i="16"/>
  <c r="K500" i="16"/>
  <c r="J500" i="16"/>
  <c r="I500" i="16"/>
  <c r="H500" i="16"/>
  <c r="G500" i="16"/>
  <c r="M499" i="16"/>
  <c r="L499" i="16"/>
  <c r="K499" i="16"/>
  <c r="J499" i="16"/>
  <c r="I499" i="16"/>
  <c r="H499" i="16"/>
  <c r="G499" i="16"/>
  <c r="M498" i="16"/>
  <c r="L498" i="16"/>
  <c r="K498" i="16"/>
  <c r="J498" i="16"/>
  <c r="I498" i="16"/>
  <c r="H498" i="16"/>
  <c r="G498" i="16"/>
  <c r="M497" i="16"/>
  <c r="L497" i="16"/>
  <c r="K497" i="16"/>
  <c r="J497" i="16"/>
  <c r="I497" i="16"/>
  <c r="H497" i="16"/>
  <c r="G497" i="16"/>
  <c r="M496" i="16"/>
  <c r="L496" i="16"/>
  <c r="K496" i="16"/>
  <c r="J496" i="16"/>
  <c r="I496" i="16"/>
  <c r="H496" i="16"/>
  <c r="G496" i="16"/>
  <c r="M495" i="16"/>
  <c r="L495" i="16"/>
  <c r="K495" i="16"/>
  <c r="J495" i="16"/>
  <c r="I495" i="16"/>
  <c r="H495" i="16"/>
  <c r="G495" i="16"/>
  <c r="M494" i="16"/>
  <c r="L494" i="16"/>
  <c r="K494" i="16"/>
  <c r="J494" i="16"/>
  <c r="I494" i="16"/>
  <c r="H494" i="16"/>
  <c r="G494" i="16"/>
  <c r="M493" i="16"/>
  <c r="L493" i="16"/>
  <c r="K493" i="16"/>
  <c r="J493" i="16"/>
  <c r="I493" i="16"/>
  <c r="H493" i="16"/>
  <c r="G493" i="16"/>
  <c r="M492" i="16"/>
  <c r="L492" i="16"/>
  <c r="K492" i="16"/>
  <c r="J492" i="16"/>
  <c r="I492" i="16"/>
  <c r="H492" i="16"/>
  <c r="G492" i="16"/>
  <c r="M491" i="16"/>
  <c r="L491" i="16"/>
  <c r="K491" i="16"/>
  <c r="J491" i="16"/>
  <c r="I491" i="16"/>
  <c r="H491" i="16"/>
  <c r="G491" i="16"/>
  <c r="M490" i="16"/>
  <c r="L490" i="16"/>
  <c r="K490" i="16"/>
  <c r="J490" i="16"/>
  <c r="I490" i="16"/>
  <c r="H490" i="16"/>
  <c r="G490" i="16"/>
  <c r="M489" i="16"/>
  <c r="L489" i="16"/>
  <c r="K489" i="16"/>
  <c r="J489" i="16"/>
  <c r="I489" i="16"/>
  <c r="H489" i="16"/>
  <c r="G489" i="16"/>
  <c r="M488" i="16"/>
  <c r="L488" i="16"/>
  <c r="K488" i="16"/>
  <c r="J488" i="16"/>
  <c r="I488" i="16"/>
  <c r="H488" i="16"/>
  <c r="G488" i="16"/>
  <c r="M487" i="16"/>
  <c r="L487" i="16"/>
  <c r="K487" i="16"/>
  <c r="J487" i="16"/>
  <c r="I487" i="16"/>
  <c r="H487" i="16"/>
  <c r="G487" i="16"/>
  <c r="M486" i="16"/>
  <c r="L486" i="16"/>
  <c r="K486" i="16"/>
  <c r="J486" i="16"/>
  <c r="I486" i="16"/>
  <c r="H486" i="16"/>
  <c r="G486" i="16"/>
  <c r="M485" i="16"/>
  <c r="L485" i="16"/>
  <c r="K485" i="16"/>
  <c r="J485" i="16"/>
  <c r="I485" i="16"/>
  <c r="H485" i="16"/>
  <c r="G485" i="16"/>
  <c r="M484" i="16"/>
  <c r="L484" i="16"/>
  <c r="K484" i="16"/>
  <c r="J484" i="16"/>
  <c r="I484" i="16"/>
  <c r="H484" i="16"/>
  <c r="G484" i="16"/>
  <c r="M483" i="16"/>
  <c r="L483" i="16"/>
  <c r="K483" i="16"/>
  <c r="J483" i="16"/>
  <c r="I483" i="16"/>
  <c r="H483" i="16"/>
  <c r="G483" i="16"/>
  <c r="M482" i="16"/>
  <c r="L482" i="16"/>
  <c r="K482" i="16"/>
  <c r="J482" i="16"/>
  <c r="I482" i="16"/>
  <c r="H482" i="16"/>
  <c r="G482" i="16"/>
  <c r="M481" i="16"/>
  <c r="L481" i="16"/>
  <c r="K481" i="16"/>
  <c r="J481" i="16"/>
  <c r="I481" i="16"/>
  <c r="H481" i="16"/>
  <c r="G481" i="16"/>
  <c r="M480" i="16"/>
  <c r="L480" i="16"/>
  <c r="K480" i="16"/>
  <c r="J480" i="16"/>
  <c r="I480" i="16"/>
  <c r="H480" i="16"/>
  <c r="G480" i="16"/>
  <c r="M479" i="16"/>
  <c r="L479" i="16"/>
  <c r="K479" i="16"/>
  <c r="J479" i="16"/>
  <c r="I479" i="16"/>
  <c r="H479" i="16"/>
  <c r="G479" i="16"/>
  <c r="M478" i="16"/>
  <c r="L478" i="16"/>
  <c r="K478" i="16"/>
  <c r="J478" i="16"/>
  <c r="I478" i="16"/>
  <c r="H478" i="16"/>
  <c r="G478" i="16"/>
  <c r="M477" i="16"/>
  <c r="L477" i="16"/>
  <c r="K477" i="16"/>
  <c r="J477" i="16"/>
  <c r="I477" i="16"/>
  <c r="H477" i="16"/>
  <c r="G477" i="16"/>
  <c r="M476" i="16"/>
  <c r="L476" i="16"/>
  <c r="K476" i="16"/>
  <c r="J476" i="16"/>
  <c r="I476" i="16"/>
  <c r="H476" i="16"/>
  <c r="G476" i="16"/>
  <c r="M475" i="16"/>
  <c r="L475" i="16"/>
  <c r="K475" i="16"/>
  <c r="J475" i="16"/>
  <c r="I475" i="16"/>
  <c r="H475" i="16"/>
  <c r="G475" i="16"/>
  <c r="M474" i="16"/>
  <c r="L474" i="16"/>
  <c r="K474" i="16"/>
  <c r="J474" i="16"/>
  <c r="I474" i="16"/>
  <c r="H474" i="16"/>
  <c r="G474" i="16"/>
  <c r="M473" i="16"/>
  <c r="L473" i="16"/>
  <c r="K473" i="16"/>
  <c r="J473" i="16"/>
  <c r="I473" i="16"/>
  <c r="H473" i="16"/>
  <c r="G473" i="16"/>
  <c r="M472" i="16"/>
  <c r="L472" i="16"/>
  <c r="K472" i="16"/>
  <c r="J472" i="16"/>
  <c r="I472" i="16"/>
  <c r="H472" i="16"/>
  <c r="G472" i="16"/>
  <c r="M471" i="16"/>
  <c r="L471" i="16"/>
  <c r="K471" i="16"/>
  <c r="J471" i="16"/>
  <c r="I471" i="16"/>
  <c r="H471" i="16"/>
  <c r="G471" i="16"/>
  <c r="M470" i="16"/>
  <c r="L470" i="16"/>
  <c r="K470" i="16"/>
  <c r="J470" i="16"/>
  <c r="I470" i="16"/>
  <c r="H470" i="16"/>
  <c r="G470" i="16"/>
  <c r="M469" i="16"/>
  <c r="L469" i="16"/>
  <c r="K469" i="16"/>
  <c r="J469" i="16"/>
  <c r="I469" i="16"/>
  <c r="H469" i="16"/>
  <c r="G469" i="16"/>
  <c r="M468" i="16"/>
  <c r="L468" i="16"/>
  <c r="K468" i="16"/>
  <c r="J468" i="16"/>
  <c r="I468" i="16"/>
  <c r="H468" i="16"/>
  <c r="G468" i="16"/>
  <c r="M467" i="16"/>
  <c r="L467" i="16"/>
  <c r="K467" i="16"/>
  <c r="J467" i="16"/>
  <c r="I467" i="16"/>
  <c r="H467" i="16"/>
  <c r="G467" i="16"/>
  <c r="M466" i="16"/>
  <c r="L466" i="16"/>
  <c r="K466" i="16"/>
  <c r="J466" i="16"/>
  <c r="I466" i="16"/>
  <c r="H466" i="16"/>
  <c r="G466" i="16"/>
  <c r="M465" i="16"/>
  <c r="L465" i="16"/>
  <c r="K465" i="16"/>
  <c r="J465" i="16"/>
  <c r="I465" i="16"/>
  <c r="H465" i="16"/>
  <c r="G465" i="16"/>
  <c r="M464" i="16"/>
  <c r="L464" i="16"/>
  <c r="K464" i="16"/>
  <c r="J464" i="16"/>
  <c r="I464" i="16"/>
  <c r="H464" i="16"/>
  <c r="G464" i="16"/>
  <c r="M463" i="16"/>
  <c r="L463" i="16"/>
  <c r="K463" i="16"/>
  <c r="J463" i="16"/>
  <c r="I463" i="16"/>
  <c r="H463" i="16"/>
  <c r="G463" i="16"/>
  <c r="M462" i="16"/>
  <c r="L462" i="16"/>
  <c r="K462" i="16"/>
  <c r="J462" i="16"/>
  <c r="I462" i="16"/>
  <c r="H462" i="16"/>
  <c r="G462" i="16"/>
  <c r="M461" i="16"/>
  <c r="L461" i="16"/>
  <c r="K461" i="16"/>
  <c r="J461" i="16"/>
  <c r="I461" i="16"/>
  <c r="H461" i="16"/>
  <c r="G461" i="16"/>
  <c r="M460" i="16"/>
  <c r="L460" i="16"/>
  <c r="K460" i="16"/>
  <c r="J460" i="16"/>
  <c r="I460" i="16"/>
  <c r="H460" i="16"/>
  <c r="G460" i="16"/>
  <c r="M459" i="16"/>
  <c r="L459" i="16"/>
  <c r="K459" i="16"/>
  <c r="J459" i="16"/>
  <c r="I459" i="16"/>
  <c r="H459" i="16"/>
  <c r="G459" i="16"/>
  <c r="M458" i="16"/>
  <c r="L458" i="16"/>
  <c r="K458" i="16"/>
  <c r="J458" i="16"/>
  <c r="I458" i="16"/>
  <c r="H458" i="16"/>
  <c r="G458" i="16"/>
  <c r="M457" i="16"/>
  <c r="L457" i="16"/>
  <c r="K457" i="16"/>
  <c r="J457" i="16"/>
  <c r="I457" i="16"/>
  <c r="H457" i="16"/>
  <c r="G457" i="16"/>
  <c r="M456" i="16"/>
  <c r="L456" i="16"/>
  <c r="K456" i="16"/>
  <c r="J456" i="16"/>
  <c r="I456" i="16"/>
  <c r="H456" i="16"/>
  <c r="G456" i="16"/>
  <c r="M455" i="16"/>
  <c r="L455" i="16"/>
  <c r="K455" i="16"/>
  <c r="J455" i="16"/>
  <c r="I455" i="16"/>
  <c r="H455" i="16"/>
  <c r="G455" i="16"/>
  <c r="M454" i="16"/>
  <c r="L454" i="16"/>
  <c r="K454" i="16"/>
  <c r="J454" i="16"/>
  <c r="I454" i="16"/>
  <c r="H454" i="16"/>
  <c r="G454" i="16"/>
  <c r="M453" i="16"/>
  <c r="L453" i="16"/>
  <c r="K453" i="16"/>
  <c r="J453" i="16"/>
  <c r="I453" i="16"/>
  <c r="H453" i="16"/>
  <c r="G453" i="16"/>
  <c r="M452" i="16"/>
  <c r="L452" i="16"/>
  <c r="K452" i="16"/>
  <c r="J452" i="16"/>
  <c r="I452" i="16"/>
  <c r="H452" i="16"/>
  <c r="G452" i="16"/>
  <c r="M451" i="16"/>
  <c r="L451" i="16"/>
  <c r="K451" i="16"/>
  <c r="J451" i="16"/>
  <c r="I451" i="16"/>
  <c r="H451" i="16"/>
  <c r="G451" i="16"/>
  <c r="M450" i="16"/>
  <c r="L450" i="16"/>
  <c r="K450" i="16"/>
  <c r="J450" i="16"/>
  <c r="I450" i="16"/>
  <c r="H450" i="16"/>
  <c r="G450" i="16"/>
  <c r="M449" i="16"/>
  <c r="L449" i="16"/>
  <c r="K449" i="16"/>
  <c r="J449" i="16"/>
  <c r="I449" i="16"/>
  <c r="H449" i="16"/>
  <c r="G449" i="16"/>
  <c r="M448" i="16"/>
  <c r="L448" i="16"/>
  <c r="K448" i="16"/>
  <c r="J448" i="16"/>
  <c r="I448" i="16"/>
  <c r="H448" i="16"/>
  <c r="G448" i="16"/>
  <c r="M447" i="16"/>
  <c r="L447" i="16"/>
  <c r="K447" i="16"/>
  <c r="J447" i="16"/>
  <c r="I447" i="16"/>
  <c r="H447" i="16"/>
  <c r="G447" i="16"/>
  <c r="M446" i="16"/>
  <c r="L446" i="16"/>
  <c r="K446" i="16"/>
  <c r="J446" i="16"/>
  <c r="I446" i="16"/>
  <c r="H446" i="16"/>
  <c r="G446" i="16"/>
  <c r="M445" i="16"/>
  <c r="L445" i="16"/>
  <c r="K445" i="16"/>
  <c r="J445" i="16"/>
  <c r="I445" i="16"/>
  <c r="H445" i="16"/>
  <c r="G445" i="16"/>
  <c r="M444" i="16"/>
  <c r="L444" i="16"/>
  <c r="K444" i="16"/>
  <c r="J444" i="16"/>
  <c r="I444" i="16"/>
  <c r="H444" i="16"/>
  <c r="G444" i="16"/>
  <c r="M443" i="16"/>
  <c r="L443" i="16"/>
  <c r="K443" i="16"/>
  <c r="J443" i="16"/>
  <c r="I443" i="16"/>
  <c r="H443" i="16"/>
  <c r="G443" i="16"/>
  <c r="M442" i="16"/>
  <c r="L442" i="16"/>
  <c r="K442" i="16"/>
  <c r="J442" i="16"/>
  <c r="I442" i="16"/>
  <c r="H442" i="16"/>
  <c r="G442" i="16"/>
  <c r="M441" i="16"/>
  <c r="L441" i="16"/>
  <c r="K441" i="16"/>
  <c r="J441" i="16"/>
  <c r="I441" i="16"/>
  <c r="H441" i="16"/>
  <c r="G441" i="16"/>
  <c r="M440" i="16"/>
  <c r="L440" i="16"/>
  <c r="K440" i="16"/>
  <c r="J440" i="16"/>
  <c r="I440" i="16"/>
  <c r="H440" i="16"/>
  <c r="G440" i="16"/>
  <c r="M439" i="16"/>
  <c r="L439" i="16"/>
  <c r="K439" i="16"/>
  <c r="J439" i="16"/>
  <c r="I439" i="16"/>
  <c r="H439" i="16"/>
  <c r="G439" i="16"/>
  <c r="M438" i="16"/>
  <c r="L438" i="16"/>
  <c r="K438" i="16"/>
  <c r="J438" i="16"/>
  <c r="I438" i="16"/>
  <c r="H438" i="16"/>
  <c r="G438" i="16"/>
  <c r="M437" i="16"/>
  <c r="L437" i="16"/>
  <c r="K437" i="16"/>
  <c r="J437" i="16"/>
  <c r="I437" i="16"/>
  <c r="H437" i="16"/>
  <c r="G437" i="16"/>
  <c r="M436" i="16"/>
  <c r="L436" i="16"/>
  <c r="K436" i="16"/>
  <c r="J436" i="16"/>
  <c r="I436" i="16"/>
  <c r="H436" i="16"/>
  <c r="G436" i="16"/>
  <c r="M435" i="16"/>
  <c r="L435" i="16"/>
  <c r="K435" i="16"/>
  <c r="J435" i="16"/>
  <c r="I435" i="16"/>
  <c r="H435" i="16"/>
  <c r="G435" i="16"/>
  <c r="M434" i="16"/>
  <c r="L434" i="16"/>
  <c r="K434" i="16"/>
  <c r="J434" i="16"/>
  <c r="I434" i="16"/>
  <c r="H434" i="16"/>
  <c r="G434" i="16"/>
  <c r="M433" i="16"/>
  <c r="L433" i="16"/>
  <c r="K433" i="16"/>
  <c r="J433" i="16"/>
  <c r="I433" i="16"/>
  <c r="H433" i="16"/>
  <c r="G433" i="16"/>
  <c r="M432" i="16"/>
  <c r="L432" i="16"/>
  <c r="K432" i="16"/>
  <c r="J432" i="16"/>
  <c r="I432" i="16"/>
  <c r="H432" i="16"/>
  <c r="G432" i="16"/>
  <c r="M431" i="16"/>
  <c r="L431" i="16"/>
  <c r="K431" i="16"/>
  <c r="J431" i="16"/>
  <c r="I431" i="16"/>
  <c r="H431" i="16"/>
  <c r="G431" i="16"/>
  <c r="M430" i="16"/>
  <c r="L430" i="16"/>
  <c r="K430" i="16"/>
  <c r="J430" i="16"/>
  <c r="I430" i="16"/>
  <c r="H430" i="16"/>
  <c r="G430" i="16"/>
  <c r="M429" i="16"/>
  <c r="L429" i="16"/>
  <c r="K429" i="16"/>
  <c r="J429" i="16"/>
  <c r="I429" i="16"/>
  <c r="H429" i="16"/>
  <c r="G429" i="16"/>
  <c r="M428" i="16"/>
  <c r="L428" i="16"/>
  <c r="K428" i="16"/>
  <c r="J428" i="16"/>
  <c r="I428" i="16"/>
  <c r="H428" i="16"/>
  <c r="G428" i="16"/>
  <c r="M427" i="16"/>
  <c r="L427" i="16"/>
  <c r="K427" i="16"/>
  <c r="J427" i="16"/>
  <c r="I427" i="16"/>
  <c r="H427" i="16"/>
  <c r="G427" i="16"/>
  <c r="M426" i="16"/>
  <c r="L426" i="16"/>
  <c r="K426" i="16"/>
  <c r="J426" i="16"/>
  <c r="I426" i="16"/>
  <c r="H426" i="16"/>
  <c r="G426" i="16"/>
  <c r="M425" i="16"/>
  <c r="L425" i="16"/>
  <c r="K425" i="16"/>
  <c r="J425" i="16"/>
  <c r="I425" i="16"/>
  <c r="H425" i="16"/>
  <c r="G425" i="16"/>
  <c r="M424" i="16"/>
  <c r="L424" i="16"/>
  <c r="K424" i="16"/>
  <c r="J424" i="16"/>
  <c r="I424" i="16"/>
  <c r="H424" i="16"/>
  <c r="G424" i="16"/>
  <c r="M423" i="16"/>
  <c r="L423" i="16"/>
  <c r="K423" i="16"/>
  <c r="J423" i="16"/>
  <c r="I423" i="16"/>
  <c r="H423" i="16"/>
  <c r="G423" i="16"/>
  <c r="M422" i="16"/>
  <c r="L422" i="16"/>
  <c r="K422" i="16"/>
  <c r="J422" i="16"/>
  <c r="I422" i="16"/>
  <c r="H422" i="16"/>
  <c r="G422" i="16"/>
  <c r="M421" i="16"/>
  <c r="L421" i="16"/>
  <c r="K421" i="16"/>
  <c r="J421" i="16"/>
  <c r="I421" i="16"/>
  <c r="H421" i="16"/>
  <c r="G421" i="16"/>
  <c r="M420" i="16"/>
  <c r="L420" i="16"/>
  <c r="K420" i="16"/>
  <c r="J420" i="16"/>
  <c r="I420" i="16"/>
  <c r="H420" i="16"/>
  <c r="G420" i="16"/>
  <c r="M419" i="16"/>
  <c r="L419" i="16"/>
  <c r="K419" i="16"/>
  <c r="J419" i="16"/>
  <c r="I419" i="16"/>
  <c r="H419" i="16"/>
  <c r="G419" i="16"/>
  <c r="M418" i="16"/>
  <c r="L418" i="16"/>
  <c r="K418" i="16"/>
  <c r="J418" i="16"/>
  <c r="I418" i="16"/>
  <c r="H418" i="16"/>
  <c r="G418" i="16"/>
  <c r="M417" i="16"/>
  <c r="L417" i="16"/>
  <c r="K417" i="16"/>
  <c r="J417" i="16"/>
  <c r="I417" i="16"/>
  <c r="H417" i="16"/>
  <c r="G417" i="16"/>
  <c r="M416" i="16"/>
  <c r="L416" i="16"/>
  <c r="K416" i="16"/>
  <c r="J416" i="16"/>
  <c r="I416" i="16"/>
  <c r="H416" i="16"/>
  <c r="G416" i="16"/>
  <c r="M415" i="16"/>
  <c r="L415" i="16"/>
  <c r="K415" i="16"/>
  <c r="J415" i="16"/>
  <c r="I415" i="16"/>
  <c r="H415" i="16"/>
  <c r="G415" i="16"/>
  <c r="M414" i="16"/>
  <c r="L414" i="16"/>
  <c r="K414" i="16"/>
  <c r="J414" i="16"/>
  <c r="I414" i="16"/>
  <c r="H414" i="16"/>
  <c r="G414" i="16"/>
  <c r="M413" i="16"/>
  <c r="L413" i="16"/>
  <c r="K413" i="16"/>
  <c r="J413" i="16"/>
  <c r="I413" i="16"/>
  <c r="H413" i="16"/>
  <c r="G413" i="16"/>
  <c r="M412" i="16"/>
  <c r="L412" i="16"/>
  <c r="K412" i="16"/>
  <c r="J412" i="16"/>
  <c r="I412" i="16"/>
  <c r="H412" i="16"/>
  <c r="G412" i="16"/>
  <c r="M411" i="16"/>
  <c r="L411" i="16"/>
  <c r="K411" i="16"/>
  <c r="J411" i="16"/>
  <c r="I411" i="16"/>
  <c r="H411" i="16"/>
  <c r="G411" i="16"/>
  <c r="M410" i="16"/>
  <c r="L410" i="16"/>
  <c r="K410" i="16"/>
  <c r="J410" i="16"/>
  <c r="I410" i="16"/>
  <c r="H410" i="16"/>
  <c r="G410" i="16"/>
  <c r="M409" i="16"/>
  <c r="L409" i="16"/>
  <c r="K409" i="16"/>
  <c r="J409" i="16"/>
  <c r="I409" i="16"/>
  <c r="H409" i="16"/>
  <c r="G409" i="16"/>
  <c r="M408" i="16"/>
  <c r="L408" i="16"/>
  <c r="K408" i="16"/>
  <c r="J408" i="16"/>
  <c r="I408" i="16"/>
  <c r="H408" i="16"/>
  <c r="G408" i="16"/>
  <c r="M407" i="16"/>
  <c r="L407" i="16"/>
  <c r="K407" i="16"/>
  <c r="J407" i="16"/>
  <c r="I407" i="16"/>
  <c r="H407" i="16"/>
  <c r="G407" i="16"/>
  <c r="M406" i="16"/>
  <c r="L406" i="16"/>
  <c r="K406" i="16"/>
  <c r="J406" i="16"/>
  <c r="I406" i="16"/>
  <c r="H406" i="16"/>
  <c r="G406" i="16"/>
  <c r="M405" i="16"/>
  <c r="L405" i="16"/>
  <c r="K405" i="16"/>
  <c r="J405" i="16"/>
  <c r="I405" i="16"/>
  <c r="H405" i="16"/>
  <c r="G405" i="16"/>
  <c r="M404" i="16"/>
  <c r="L404" i="16"/>
  <c r="K404" i="16"/>
  <c r="J404" i="16"/>
  <c r="I404" i="16"/>
  <c r="H404" i="16"/>
  <c r="G404" i="16"/>
  <c r="M403" i="16"/>
  <c r="L403" i="16"/>
  <c r="K403" i="16"/>
  <c r="J403" i="16"/>
  <c r="I403" i="16"/>
  <c r="H403" i="16"/>
  <c r="G403" i="16"/>
  <c r="M402" i="16"/>
  <c r="L402" i="16"/>
  <c r="K402" i="16"/>
  <c r="J402" i="16"/>
  <c r="I402" i="16"/>
  <c r="H402" i="16"/>
  <c r="G402" i="16"/>
  <c r="M401" i="16"/>
  <c r="L401" i="16"/>
  <c r="K401" i="16"/>
  <c r="J401" i="16"/>
  <c r="I401" i="16"/>
  <c r="H401" i="16"/>
  <c r="G401" i="16"/>
  <c r="M400" i="16"/>
  <c r="L400" i="16"/>
  <c r="K400" i="16"/>
  <c r="J400" i="16"/>
  <c r="I400" i="16"/>
  <c r="H400" i="16"/>
  <c r="G400" i="16"/>
  <c r="M399" i="16"/>
  <c r="L399" i="16"/>
  <c r="K399" i="16"/>
  <c r="J399" i="16"/>
  <c r="I399" i="16"/>
  <c r="H399" i="16"/>
  <c r="G399" i="16"/>
  <c r="M398" i="16"/>
  <c r="L398" i="16"/>
  <c r="K398" i="16"/>
  <c r="J398" i="16"/>
  <c r="I398" i="16"/>
  <c r="H398" i="16"/>
  <c r="G398" i="16"/>
  <c r="M397" i="16"/>
  <c r="L397" i="16"/>
  <c r="K397" i="16"/>
  <c r="J397" i="16"/>
  <c r="I397" i="16"/>
  <c r="H397" i="16"/>
  <c r="G397" i="16"/>
  <c r="M396" i="16"/>
  <c r="L396" i="16"/>
  <c r="K396" i="16"/>
  <c r="J396" i="16"/>
  <c r="I396" i="16"/>
  <c r="H396" i="16"/>
  <c r="G396" i="16"/>
  <c r="M395" i="16"/>
  <c r="L395" i="16"/>
  <c r="K395" i="16"/>
  <c r="J395" i="16"/>
  <c r="I395" i="16"/>
  <c r="H395" i="16"/>
  <c r="G395" i="16"/>
  <c r="M394" i="16"/>
  <c r="L394" i="16"/>
  <c r="K394" i="16"/>
  <c r="J394" i="16"/>
  <c r="I394" i="16"/>
  <c r="H394" i="16"/>
  <c r="G394" i="16"/>
  <c r="M393" i="16"/>
  <c r="L393" i="16"/>
  <c r="K393" i="16"/>
  <c r="J393" i="16"/>
  <c r="I393" i="16"/>
  <c r="H393" i="16"/>
  <c r="G393" i="16"/>
  <c r="M392" i="16"/>
  <c r="L392" i="16"/>
  <c r="K392" i="16"/>
  <c r="J392" i="16"/>
  <c r="I392" i="16"/>
  <c r="H392" i="16"/>
  <c r="G392" i="16"/>
  <c r="M391" i="16"/>
  <c r="L391" i="16"/>
  <c r="K391" i="16"/>
  <c r="J391" i="16"/>
  <c r="I391" i="16"/>
  <c r="H391" i="16"/>
  <c r="G391" i="16"/>
  <c r="M390" i="16"/>
  <c r="L390" i="16"/>
  <c r="K390" i="16"/>
  <c r="J390" i="16"/>
  <c r="I390" i="16"/>
  <c r="H390" i="16"/>
  <c r="G390" i="16"/>
  <c r="M389" i="16"/>
  <c r="L389" i="16"/>
  <c r="K389" i="16"/>
  <c r="J389" i="16"/>
  <c r="I389" i="16"/>
  <c r="H389" i="16"/>
  <c r="G389" i="16"/>
  <c r="M388" i="16"/>
  <c r="L388" i="16"/>
  <c r="K388" i="16"/>
  <c r="J388" i="16"/>
  <c r="I388" i="16"/>
  <c r="H388" i="16"/>
  <c r="G388" i="16"/>
  <c r="M387" i="16"/>
  <c r="L387" i="16"/>
  <c r="K387" i="16"/>
  <c r="J387" i="16"/>
  <c r="I387" i="16"/>
  <c r="H387" i="16"/>
  <c r="G387" i="16"/>
  <c r="M386" i="16"/>
  <c r="L386" i="16"/>
  <c r="K386" i="16"/>
  <c r="J386" i="16"/>
  <c r="I386" i="16"/>
  <c r="H386" i="16"/>
  <c r="G386" i="16"/>
  <c r="M385" i="16"/>
  <c r="L385" i="16"/>
  <c r="K385" i="16"/>
  <c r="J385" i="16"/>
  <c r="I385" i="16"/>
  <c r="H385" i="16"/>
  <c r="G385" i="16"/>
  <c r="M384" i="16"/>
  <c r="L384" i="16"/>
  <c r="K384" i="16"/>
  <c r="J384" i="16"/>
  <c r="I384" i="16"/>
  <c r="H384" i="16"/>
  <c r="G384" i="16"/>
  <c r="M383" i="16"/>
  <c r="L383" i="16"/>
  <c r="K383" i="16"/>
  <c r="J383" i="16"/>
  <c r="I383" i="16"/>
  <c r="H383" i="16"/>
  <c r="G383" i="16"/>
  <c r="M382" i="16"/>
  <c r="L382" i="16"/>
  <c r="K382" i="16"/>
  <c r="J382" i="16"/>
  <c r="I382" i="16"/>
  <c r="H382" i="16"/>
  <c r="G382" i="16"/>
  <c r="M381" i="16"/>
  <c r="L381" i="16"/>
  <c r="K381" i="16"/>
  <c r="J381" i="16"/>
  <c r="I381" i="16"/>
  <c r="H381" i="16"/>
  <c r="G381" i="16"/>
  <c r="M380" i="16"/>
  <c r="L380" i="16"/>
  <c r="K380" i="16"/>
  <c r="J380" i="16"/>
  <c r="I380" i="16"/>
  <c r="H380" i="16"/>
  <c r="G380" i="16"/>
  <c r="M379" i="16"/>
  <c r="L379" i="16"/>
  <c r="K379" i="16"/>
  <c r="J379" i="16"/>
  <c r="I379" i="16"/>
  <c r="H379" i="16"/>
  <c r="G379" i="16"/>
  <c r="M378" i="16"/>
  <c r="L378" i="16"/>
  <c r="K378" i="16"/>
  <c r="J378" i="16"/>
  <c r="I378" i="16"/>
  <c r="H378" i="16"/>
  <c r="G378" i="16"/>
  <c r="M377" i="16"/>
  <c r="L377" i="16"/>
  <c r="K377" i="16"/>
  <c r="J377" i="16"/>
  <c r="I377" i="16"/>
  <c r="H377" i="16"/>
  <c r="G377" i="16"/>
  <c r="M376" i="16"/>
  <c r="L376" i="16"/>
  <c r="K376" i="16"/>
  <c r="J376" i="16"/>
  <c r="I376" i="16"/>
  <c r="H376" i="16"/>
  <c r="G376" i="16"/>
  <c r="M375" i="16"/>
  <c r="L375" i="16"/>
  <c r="K375" i="16"/>
  <c r="J375" i="16"/>
  <c r="I375" i="16"/>
  <c r="H375" i="16"/>
  <c r="G375" i="16"/>
  <c r="M374" i="16"/>
  <c r="L374" i="16"/>
  <c r="K374" i="16"/>
  <c r="J374" i="16"/>
  <c r="I374" i="16"/>
  <c r="H374" i="16"/>
  <c r="G374" i="16"/>
  <c r="M373" i="16"/>
  <c r="L373" i="16"/>
  <c r="K373" i="16"/>
  <c r="J373" i="16"/>
  <c r="I373" i="16"/>
  <c r="H373" i="16"/>
  <c r="G373" i="16"/>
  <c r="M372" i="16"/>
  <c r="L372" i="16"/>
  <c r="K372" i="16"/>
  <c r="J372" i="16"/>
  <c r="I372" i="16"/>
  <c r="H372" i="16"/>
  <c r="G372" i="16"/>
  <c r="M371" i="16"/>
  <c r="L371" i="16"/>
  <c r="K371" i="16"/>
  <c r="J371" i="16"/>
  <c r="I371" i="16"/>
  <c r="H371" i="16"/>
  <c r="G371" i="16"/>
  <c r="M370" i="16"/>
  <c r="L370" i="16"/>
  <c r="K370" i="16"/>
  <c r="J370" i="16"/>
  <c r="I370" i="16"/>
  <c r="H370" i="16"/>
  <c r="G370" i="16"/>
  <c r="M369" i="16"/>
  <c r="L369" i="16"/>
  <c r="K369" i="16"/>
  <c r="J369" i="16"/>
  <c r="I369" i="16"/>
  <c r="H369" i="16"/>
  <c r="G369" i="16"/>
  <c r="M368" i="16"/>
  <c r="L368" i="16"/>
  <c r="K368" i="16"/>
  <c r="J368" i="16"/>
  <c r="I368" i="16"/>
  <c r="H368" i="16"/>
  <c r="G368" i="16"/>
  <c r="M367" i="16"/>
  <c r="L367" i="16"/>
  <c r="K367" i="16"/>
  <c r="J367" i="16"/>
  <c r="I367" i="16"/>
  <c r="H367" i="16"/>
  <c r="G367" i="16"/>
  <c r="M366" i="16"/>
  <c r="L366" i="16"/>
  <c r="K366" i="16"/>
  <c r="J366" i="16"/>
  <c r="I366" i="16"/>
  <c r="H366" i="16"/>
  <c r="G366" i="16"/>
  <c r="M365" i="16"/>
  <c r="L365" i="16"/>
  <c r="K365" i="16"/>
  <c r="J365" i="16"/>
  <c r="I365" i="16"/>
  <c r="H365" i="16"/>
  <c r="G365" i="16"/>
  <c r="M364" i="16"/>
  <c r="L364" i="16"/>
  <c r="K364" i="16"/>
  <c r="J364" i="16"/>
  <c r="I364" i="16"/>
  <c r="H364" i="16"/>
  <c r="G364" i="16"/>
  <c r="M363" i="16"/>
  <c r="L363" i="16"/>
  <c r="K363" i="16"/>
  <c r="J363" i="16"/>
  <c r="I363" i="16"/>
  <c r="H363" i="16"/>
  <c r="G363" i="16"/>
  <c r="M362" i="16"/>
  <c r="L362" i="16"/>
  <c r="K362" i="16"/>
  <c r="J362" i="16"/>
  <c r="I362" i="16"/>
  <c r="H362" i="16"/>
  <c r="G362" i="16"/>
  <c r="M361" i="16"/>
  <c r="L361" i="16"/>
  <c r="K361" i="16"/>
  <c r="J361" i="16"/>
  <c r="I361" i="16"/>
  <c r="H361" i="16"/>
  <c r="G361" i="16"/>
  <c r="M360" i="16"/>
  <c r="L360" i="16"/>
  <c r="K360" i="16"/>
  <c r="J360" i="16"/>
  <c r="I360" i="16"/>
  <c r="H360" i="16"/>
  <c r="G360" i="16"/>
  <c r="M359" i="16"/>
  <c r="L359" i="16"/>
  <c r="K359" i="16"/>
  <c r="J359" i="16"/>
  <c r="I359" i="16"/>
  <c r="H359" i="16"/>
  <c r="G359" i="16"/>
  <c r="M358" i="16"/>
  <c r="L358" i="16"/>
  <c r="K358" i="16"/>
  <c r="J358" i="16"/>
  <c r="I358" i="16"/>
  <c r="H358" i="16"/>
  <c r="G358" i="16"/>
  <c r="M357" i="16"/>
  <c r="L357" i="16"/>
  <c r="K357" i="16"/>
  <c r="J357" i="16"/>
  <c r="I357" i="16"/>
  <c r="H357" i="16"/>
  <c r="G357" i="16"/>
  <c r="M356" i="16"/>
  <c r="L356" i="16"/>
  <c r="K356" i="16"/>
  <c r="J356" i="16"/>
  <c r="I356" i="16"/>
  <c r="H356" i="16"/>
  <c r="G356" i="16"/>
  <c r="M355" i="16"/>
  <c r="L355" i="16"/>
  <c r="K355" i="16"/>
  <c r="J355" i="16"/>
  <c r="I355" i="16"/>
  <c r="H355" i="16"/>
  <c r="G355" i="16"/>
  <c r="M354" i="16"/>
  <c r="L354" i="16"/>
  <c r="K354" i="16"/>
  <c r="J354" i="16"/>
  <c r="I354" i="16"/>
  <c r="H354" i="16"/>
  <c r="G354" i="16"/>
  <c r="M353" i="16"/>
  <c r="L353" i="16"/>
  <c r="K353" i="16"/>
  <c r="J353" i="16"/>
  <c r="I353" i="16"/>
  <c r="H353" i="16"/>
  <c r="G353" i="16"/>
  <c r="M352" i="16"/>
  <c r="L352" i="16"/>
  <c r="K352" i="16"/>
  <c r="J352" i="16"/>
  <c r="I352" i="16"/>
  <c r="H352" i="16"/>
  <c r="G352" i="16"/>
  <c r="M351" i="16"/>
  <c r="L351" i="16"/>
  <c r="K351" i="16"/>
  <c r="J351" i="16"/>
  <c r="I351" i="16"/>
  <c r="H351" i="16"/>
  <c r="G351" i="16"/>
  <c r="M350" i="16"/>
  <c r="L350" i="16"/>
  <c r="K350" i="16"/>
  <c r="J350" i="16"/>
  <c r="I350" i="16"/>
  <c r="H350" i="16"/>
  <c r="G350" i="16"/>
  <c r="M349" i="16"/>
  <c r="L349" i="16"/>
  <c r="K349" i="16"/>
  <c r="J349" i="16"/>
  <c r="I349" i="16"/>
  <c r="H349" i="16"/>
  <c r="G349" i="16"/>
  <c r="M348" i="16"/>
  <c r="L348" i="16"/>
  <c r="K348" i="16"/>
  <c r="J348" i="16"/>
  <c r="I348" i="16"/>
  <c r="H348" i="16"/>
  <c r="G348" i="16"/>
  <c r="M347" i="16"/>
  <c r="L347" i="16"/>
  <c r="K347" i="16"/>
  <c r="J347" i="16"/>
  <c r="I347" i="16"/>
  <c r="H347" i="16"/>
  <c r="G347" i="16"/>
  <c r="M346" i="16"/>
  <c r="L346" i="16"/>
  <c r="K346" i="16"/>
  <c r="J346" i="16"/>
  <c r="I346" i="16"/>
  <c r="H346" i="16"/>
  <c r="G346" i="16"/>
  <c r="M345" i="16"/>
  <c r="L345" i="16"/>
  <c r="K345" i="16"/>
  <c r="J345" i="16"/>
  <c r="I345" i="16"/>
  <c r="H345" i="16"/>
  <c r="G345" i="16"/>
  <c r="M344" i="16"/>
  <c r="L344" i="16"/>
  <c r="K344" i="16"/>
  <c r="J344" i="16"/>
  <c r="I344" i="16"/>
  <c r="H344" i="16"/>
  <c r="G344" i="16"/>
  <c r="M343" i="16"/>
  <c r="L343" i="16"/>
  <c r="K343" i="16"/>
  <c r="J343" i="16"/>
  <c r="I343" i="16"/>
  <c r="H343" i="16"/>
  <c r="G343" i="16"/>
  <c r="M342" i="16"/>
  <c r="L342" i="16"/>
  <c r="K342" i="16"/>
  <c r="J342" i="16"/>
  <c r="I342" i="16"/>
  <c r="H342" i="16"/>
  <c r="G342" i="16"/>
  <c r="M341" i="16"/>
  <c r="L341" i="16"/>
  <c r="K341" i="16"/>
  <c r="J341" i="16"/>
  <c r="I341" i="16"/>
  <c r="H341" i="16"/>
  <c r="G341" i="16"/>
  <c r="M340" i="16"/>
  <c r="L340" i="16"/>
  <c r="K340" i="16"/>
  <c r="J340" i="16"/>
  <c r="I340" i="16"/>
  <c r="H340" i="16"/>
  <c r="G340" i="16"/>
  <c r="M339" i="16"/>
  <c r="L339" i="16"/>
  <c r="K339" i="16"/>
  <c r="J339" i="16"/>
  <c r="I339" i="16"/>
  <c r="H339" i="16"/>
  <c r="G339" i="16"/>
  <c r="M338" i="16"/>
  <c r="L338" i="16"/>
  <c r="K338" i="16"/>
  <c r="J338" i="16"/>
  <c r="I338" i="16"/>
  <c r="H338" i="16"/>
  <c r="G338" i="16"/>
  <c r="M337" i="16"/>
  <c r="L337" i="16"/>
  <c r="K337" i="16"/>
  <c r="J337" i="16"/>
  <c r="I337" i="16"/>
  <c r="H337" i="16"/>
  <c r="G337" i="16"/>
  <c r="M336" i="16"/>
  <c r="L336" i="16"/>
  <c r="K336" i="16"/>
  <c r="J336" i="16"/>
  <c r="I336" i="16"/>
  <c r="H336" i="16"/>
  <c r="G336" i="16"/>
  <c r="M335" i="16"/>
  <c r="L335" i="16"/>
  <c r="K335" i="16"/>
  <c r="J335" i="16"/>
  <c r="I335" i="16"/>
  <c r="H335" i="16"/>
  <c r="G335" i="16"/>
  <c r="M334" i="16"/>
  <c r="L334" i="16"/>
  <c r="K334" i="16"/>
  <c r="J334" i="16"/>
  <c r="I334" i="16"/>
  <c r="H334" i="16"/>
  <c r="G334" i="16"/>
  <c r="M333" i="16"/>
  <c r="L333" i="16"/>
  <c r="K333" i="16"/>
  <c r="J333" i="16"/>
  <c r="I333" i="16"/>
  <c r="H333" i="16"/>
  <c r="G333" i="16"/>
  <c r="M332" i="16"/>
  <c r="L332" i="16"/>
  <c r="K332" i="16"/>
  <c r="J332" i="16"/>
  <c r="I332" i="16"/>
  <c r="H332" i="16"/>
  <c r="G332" i="16"/>
  <c r="M331" i="16"/>
  <c r="L331" i="16"/>
  <c r="K331" i="16"/>
  <c r="J331" i="16"/>
  <c r="I331" i="16"/>
  <c r="H331" i="16"/>
  <c r="G331" i="16"/>
  <c r="M330" i="16"/>
  <c r="L330" i="16"/>
  <c r="K330" i="16"/>
  <c r="J330" i="16"/>
  <c r="I330" i="16"/>
  <c r="H330" i="16"/>
  <c r="G330" i="16"/>
  <c r="M329" i="16"/>
  <c r="L329" i="16"/>
  <c r="K329" i="16"/>
  <c r="J329" i="16"/>
  <c r="I329" i="16"/>
  <c r="H329" i="16"/>
  <c r="G329" i="16"/>
  <c r="M328" i="16"/>
  <c r="L328" i="16"/>
  <c r="K328" i="16"/>
  <c r="J328" i="16"/>
  <c r="I328" i="16"/>
  <c r="H328" i="16"/>
  <c r="G328" i="16"/>
  <c r="M327" i="16"/>
  <c r="L327" i="16"/>
  <c r="K327" i="16"/>
  <c r="J327" i="16"/>
  <c r="I327" i="16"/>
  <c r="H327" i="16"/>
  <c r="G327" i="16"/>
  <c r="M326" i="16"/>
  <c r="L326" i="16"/>
  <c r="K326" i="16"/>
  <c r="J326" i="16"/>
  <c r="I326" i="16"/>
  <c r="H326" i="16"/>
  <c r="G326" i="16"/>
  <c r="M325" i="16"/>
  <c r="L325" i="16"/>
  <c r="K325" i="16"/>
  <c r="J325" i="16"/>
  <c r="I325" i="16"/>
  <c r="H325" i="16"/>
  <c r="G325" i="16"/>
  <c r="M324" i="16"/>
  <c r="L324" i="16"/>
  <c r="K324" i="16"/>
  <c r="J324" i="16"/>
  <c r="I324" i="16"/>
  <c r="H324" i="16"/>
  <c r="G324" i="16"/>
  <c r="M323" i="16"/>
  <c r="L323" i="16"/>
  <c r="K323" i="16"/>
  <c r="J323" i="16"/>
  <c r="I323" i="16"/>
  <c r="H323" i="16"/>
  <c r="G323" i="16"/>
  <c r="M322" i="16"/>
  <c r="L322" i="16"/>
  <c r="K322" i="16"/>
  <c r="J322" i="16"/>
  <c r="I322" i="16"/>
  <c r="H322" i="16"/>
  <c r="G322" i="16"/>
  <c r="M321" i="16"/>
  <c r="L321" i="16"/>
  <c r="K321" i="16"/>
  <c r="J321" i="16"/>
  <c r="I321" i="16"/>
  <c r="H321" i="16"/>
  <c r="G321" i="16"/>
  <c r="M320" i="16"/>
  <c r="L320" i="16"/>
  <c r="K320" i="16"/>
  <c r="J320" i="16"/>
  <c r="I320" i="16"/>
  <c r="H320" i="16"/>
  <c r="G320" i="16"/>
  <c r="M319" i="16"/>
  <c r="L319" i="16"/>
  <c r="K319" i="16"/>
  <c r="J319" i="16"/>
  <c r="I319" i="16"/>
  <c r="H319" i="16"/>
  <c r="G319" i="16"/>
  <c r="M318" i="16"/>
  <c r="L318" i="16"/>
  <c r="K318" i="16"/>
  <c r="J318" i="16"/>
  <c r="I318" i="16"/>
  <c r="H318" i="16"/>
  <c r="G318" i="16"/>
  <c r="M317" i="16"/>
  <c r="L317" i="16"/>
  <c r="K317" i="16"/>
  <c r="J317" i="16"/>
  <c r="I317" i="16"/>
  <c r="H317" i="16"/>
  <c r="G317" i="16"/>
  <c r="M316" i="16"/>
  <c r="L316" i="16"/>
  <c r="K316" i="16"/>
  <c r="J316" i="16"/>
  <c r="I316" i="16"/>
  <c r="H316" i="16"/>
  <c r="G316" i="16"/>
  <c r="M315" i="16"/>
  <c r="L315" i="16"/>
  <c r="K315" i="16"/>
  <c r="J315" i="16"/>
  <c r="I315" i="16"/>
  <c r="H315" i="16"/>
  <c r="G315" i="16"/>
  <c r="M314" i="16"/>
  <c r="L314" i="16"/>
  <c r="K314" i="16"/>
  <c r="J314" i="16"/>
  <c r="I314" i="16"/>
  <c r="H314" i="16"/>
  <c r="G314" i="16"/>
  <c r="M313" i="16"/>
  <c r="L313" i="16"/>
  <c r="K313" i="16"/>
  <c r="J313" i="16"/>
  <c r="I313" i="16"/>
  <c r="H313" i="16"/>
  <c r="G313" i="16"/>
  <c r="M312" i="16"/>
  <c r="L312" i="16"/>
  <c r="K312" i="16"/>
  <c r="J312" i="16"/>
  <c r="I312" i="16"/>
  <c r="H312" i="16"/>
  <c r="G312" i="16"/>
  <c r="M311" i="16"/>
  <c r="L311" i="16"/>
  <c r="K311" i="16"/>
  <c r="J311" i="16"/>
  <c r="I311" i="16"/>
  <c r="H311" i="16"/>
  <c r="G311" i="16"/>
  <c r="M310" i="16"/>
  <c r="L310" i="16"/>
  <c r="K310" i="16"/>
  <c r="J310" i="16"/>
  <c r="I310" i="16"/>
  <c r="H310" i="16"/>
  <c r="G310" i="16"/>
  <c r="M309" i="16"/>
  <c r="L309" i="16"/>
  <c r="K309" i="16"/>
  <c r="J309" i="16"/>
  <c r="I309" i="16"/>
  <c r="H309" i="16"/>
  <c r="G309" i="16"/>
  <c r="M308" i="16"/>
  <c r="L308" i="16"/>
  <c r="K308" i="16"/>
  <c r="J308" i="16"/>
  <c r="I308" i="16"/>
  <c r="H308" i="16"/>
  <c r="G308" i="16"/>
  <c r="M307" i="16"/>
  <c r="L307" i="16"/>
  <c r="K307" i="16"/>
  <c r="J307" i="16"/>
  <c r="I307" i="16"/>
  <c r="H307" i="16"/>
  <c r="G307" i="16"/>
  <c r="M306" i="16"/>
  <c r="L306" i="16"/>
  <c r="K306" i="16"/>
  <c r="J306" i="16"/>
  <c r="I306" i="16"/>
  <c r="H306" i="16"/>
  <c r="G306" i="16"/>
  <c r="M305" i="16"/>
  <c r="L305" i="16"/>
  <c r="K305" i="16"/>
  <c r="J305" i="16"/>
  <c r="I305" i="16"/>
  <c r="H305" i="16"/>
  <c r="G305" i="16"/>
  <c r="M304" i="16"/>
  <c r="L304" i="16"/>
  <c r="K304" i="16"/>
  <c r="J304" i="16"/>
  <c r="I304" i="16"/>
  <c r="H304" i="16"/>
  <c r="G304" i="16"/>
  <c r="M303" i="16"/>
  <c r="L303" i="16"/>
  <c r="K303" i="16"/>
  <c r="J303" i="16"/>
  <c r="I303" i="16"/>
  <c r="H303" i="16"/>
  <c r="G303" i="16"/>
  <c r="M302" i="16"/>
  <c r="L302" i="16"/>
  <c r="K302" i="16"/>
  <c r="J302" i="16"/>
  <c r="I302" i="16"/>
  <c r="H302" i="16"/>
  <c r="G302" i="16"/>
  <c r="M301" i="16"/>
  <c r="L301" i="16"/>
  <c r="K301" i="16"/>
  <c r="J301" i="16"/>
  <c r="I301" i="16"/>
  <c r="H301" i="16"/>
  <c r="G301" i="16"/>
  <c r="M300" i="16"/>
  <c r="L300" i="16"/>
  <c r="K300" i="16"/>
  <c r="J300" i="16"/>
  <c r="I300" i="16"/>
  <c r="H300" i="16"/>
  <c r="G300" i="16"/>
  <c r="M299" i="16"/>
  <c r="L299" i="16"/>
  <c r="K299" i="16"/>
  <c r="J299" i="16"/>
  <c r="I299" i="16"/>
  <c r="H299" i="16"/>
  <c r="G299" i="16"/>
  <c r="M298" i="16"/>
  <c r="L298" i="16"/>
  <c r="K298" i="16"/>
  <c r="J298" i="16"/>
  <c r="I298" i="16"/>
  <c r="H298" i="16"/>
  <c r="G298" i="16"/>
  <c r="M297" i="16"/>
  <c r="L297" i="16"/>
  <c r="K297" i="16"/>
  <c r="J297" i="16"/>
  <c r="I297" i="16"/>
  <c r="H297" i="16"/>
  <c r="G297" i="16"/>
  <c r="M296" i="16"/>
  <c r="L296" i="16"/>
  <c r="K296" i="16"/>
  <c r="J296" i="16"/>
  <c r="I296" i="16"/>
  <c r="H296" i="16"/>
  <c r="G296" i="16"/>
  <c r="M295" i="16"/>
  <c r="L295" i="16"/>
  <c r="K295" i="16"/>
  <c r="J295" i="16"/>
  <c r="I295" i="16"/>
  <c r="H295" i="16"/>
  <c r="G295" i="16"/>
  <c r="M294" i="16"/>
  <c r="L294" i="16"/>
  <c r="K294" i="16"/>
  <c r="J294" i="16"/>
  <c r="I294" i="16"/>
  <c r="H294" i="16"/>
  <c r="G294" i="16"/>
  <c r="M293" i="16"/>
  <c r="L293" i="16"/>
  <c r="K293" i="16"/>
  <c r="J293" i="16"/>
  <c r="I293" i="16"/>
  <c r="H293" i="16"/>
  <c r="G293" i="16"/>
  <c r="M292" i="16"/>
  <c r="L292" i="16"/>
  <c r="K292" i="16"/>
  <c r="J292" i="16"/>
  <c r="I292" i="16"/>
  <c r="H292" i="16"/>
  <c r="G292" i="16"/>
  <c r="M291" i="16"/>
  <c r="L291" i="16"/>
  <c r="K291" i="16"/>
  <c r="J291" i="16"/>
  <c r="I291" i="16"/>
  <c r="H291" i="16"/>
  <c r="G291" i="16"/>
  <c r="M290" i="16"/>
  <c r="L290" i="16"/>
  <c r="K290" i="16"/>
  <c r="J290" i="16"/>
  <c r="I290" i="16"/>
  <c r="H290" i="16"/>
  <c r="G290" i="16"/>
  <c r="M289" i="16"/>
  <c r="L289" i="16"/>
  <c r="K289" i="16"/>
  <c r="J289" i="16"/>
  <c r="I289" i="16"/>
  <c r="H289" i="16"/>
  <c r="G289" i="16"/>
  <c r="M288" i="16"/>
  <c r="L288" i="16"/>
  <c r="K288" i="16"/>
  <c r="J288" i="16"/>
  <c r="I288" i="16"/>
  <c r="H288" i="16"/>
  <c r="G288" i="16"/>
  <c r="M287" i="16"/>
  <c r="L287" i="16"/>
  <c r="K287" i="16"/>
  <c r="J287" i="16"/>
  <c r="I287" i="16"/>
  <c r="H287" i="16"/>
  <c r="G287" i="16"/>
  <c r="M286" i="16"/>
  <c r="L286" i="16"/>
  <c r="K286" i="16"/>
  <c r="J286" i="16"/>
  <c r="I286" i="16"/>
  <c r="H286" i="16"/>
  <c r="G286" i="16"/>
  <c r="M285" i="16"/>
  <c r="L285" i="16"/>
  <c r="K285" i="16"/>
  <c r="J285" i="16"/>
  <c r="I285" i="16"/>
  <c r="H285" i="16"/>
  <c r="G285" i="16"/>
  <c r="M284" i="16"/>
  <c r="L284" i="16"/>
  <c r="K284" i="16"/>
  <c r="J284" i="16"/>
  <c r="I284" i="16"/>
  <c r="H284" i="16"/>
  <c r="G284" i="16"/>
  <c r="M283" i="16"/>
  <c r="L283" i="16"/>
  <c r="K283" i="16"/>
  <c r="J283" i="16"/>
  <c r="I283" i="16"/>
  <c r="H283" i="16"/>
  <c r="G283" i="16"/>
  <c r="M282" i="16"/>
  <c r="L282" i="16"/>
  <c r="K282" i="16"/>
  <c r="J282" i="16"/>
  <c r="I282" i="16"/>
  <c r="H282" i="16"/>
  <c r="G282" i="16"/>
  <c r="M281" i="16"/>
  <c r="L281" i="16"/>
  <c r="K281" i="16"/>
  <c r="J281" i="16"/>
  <c r="I281" i="16"/>
  <c r="H281" i="16"/>
  <c r="G281" i="16"/>
  <c r="M280" i="16"/>
  <c r="L280" i="16"/>
  <c r="K280" i="16"/>
  <c r="J280" i="16"/>
  <c r="I280" i="16"/>
  <c r="H280" i="16"/>
  <c r="G280" i="16"/>
  <c r="M279" i="16"/>
  <c r="L279" i="16"/>
  <c r="K279" i="16"/>
  <c r="J279" i="16"/>
  <c r="I279" i="16"/>
  <c r="H279" i="16"/>
  <c r="G279" i="16"/>
  <c r="M278" i="16"/>
  <c r="L278" i="16"/>
  <c r="K278" i="16"/>
  <c r="J278" i="16"/>
  <c r="I278" i="16"/>
  <c r="H278" i="16"/>
  <c r="G278" i="16"/>
  <c r="M277" i="16"/>
  <c r="L277" i="16"/>
  <c r="K277" i="16"/>
  <c r="J277" i="16"/>
  <c r="I277" i="16"/>
  <c r="H277" i="16"/>
  <c r="G277" i="16"/>
  <c r="M276" i="16"/>
  <c r="L276" i="16"/>
  <c r="K276" i="16"/>
  <c r="J276" i="16"/>
  <c r="I276" i="16"/>
  <c r="H276" i="16"/>
  <c r="G276" i="16"/>
  <c r="M275" i="16"/>
  <c r="L275" i="16"/>
  <c r="K275" i="16"/>
  <c r="J275" i="16"/>
  <c r="I275" i="16"/>
  <c r="H275" i="16"/>
  <c r="G275" i="16"/>
  <c r="M274" i="16"/>
  <c r="L274" i="16"/>
  <c r="K274" i="16"/>
  <c r="J274" i="16"/>
  <c r="I274" i="16"/>
  <c r="H274" i="16"/>
  <c r="G274" i="16"/>
  <c r="M273" i="16"/>
  <c r="L273" i="16"/>
  <c r="K273" i="16"/>
  <c r="J273" i="16"/>
  <c r="I273" i="16"/>
  <c r="H273" i="16"/>
  <c r="G273" i="16"/>
  <c r="M272" i="16"/>
  <c r="L272" i="16"/>
  <c r="K272" i="16"/>
  <c r="J272" i="16"/>
  <c r="I272" i="16"/>
  <c r="H272" i="16"/>
  <c r="G272" i="16"/>
  <c r="M271" i="16"/>
  <c r="L271" i="16"/>
  <c r="K271" i="16"/>
  <c r="J271" i="16"/>
  <c r="I271" i="16"/>
  <c r="H271" i="16"/>
  <c r="G271" i="16"/>
  <c r="M270" i="16"/>
  <c r="L270" i="16"/>
  <c r="K270" i="16"/>
  <c r="J270" i="16"/>
  <c r="I270" i="16"/>
  <c r="H270" i="16"/>
  <c r="G270" i="16"/>
  <c r="M269" i="16"/>
  <c r="L269" i="16"/>
  <c r="K269" i="16"/>
  <c r="J269" i="16"/>
  <c r="I269" i="16"/>
  <c r="H269" i="16"/>
  <c r="G269" i="16"/>
  <c r="M268" i="16"/>
  <c r="L268" i="16"/>
  <c r="K268" i="16"/>
  <c r="J268" i="16"/>
  <c r="I268" i="16"/>
  <c r="H268" i="16"/>
  <c r="G268" i="16"/>
  <c r="M267" i="16"/>
  <c r="L267" i="16"/>
  <c r="K267" i="16"/>
  <c r="J267" i="16"/>
  <c r="I267" i="16"/>
  <c r="H267" i="16"/>
  <c r="G267" i="16"/>
  <c r="M266" i="16"/>
  <c r="L266" i="16"/>
  <c r="K266" i="16"/>
  <c r="J266" i="16"/>
  <c r="I266" i="16"/>
  <c r="H266" i="16"/>
  <c r="G266" i="16"/>
  <c r="M265" i="16"/>
  <c r="L265" i="16"/>
  <c r="K265" i="16"/>
  <c r="J265" i="16"/>
  <c r="I265" i="16"/>
  <c r="H265" i="16"/>
  <c r="G265" i="16"/>
  <c r="M264" i="16"/>
  <c r="L264" i="16"/>
  <c r="K264" i="16"/>
  <c r="J264" i="16"/>
  <c r="I264" i="16"/>
  <c r="H264" i="16"/>
  <c r="G264" i="16"/>
  <c r="M263" i="16"/>
  <c r="L263" i="16"/>
  <c r="K263" i="16"/>
  <c r="J263" i="16"/>
  <c r="I263" i="16"/>
  <c r="H263" i="16"/>
  <c r="G263" i="16"/>
  <c r="M262" i="16"/>
  <c r="L262" i="16"/>
  <c r="K262" i="16"/>
  <c r="J262" i="16"/>
  <c r="I262" i="16"/>
  <c r="H262" i="16"/>
  <c r="G262" i="16"/>
  <c r="M261" i="16"/>
  <c r="L261" i="16"/>
  <c r="K261" i="16"/>
  <c r="J261" i="16"/>
  <c r="I261" i="16"/>
  <c r="H261" i="16"/>
  <c r="G261" i="16"/>
  <c r="M260" i="16"/>
  <c r="L260" i="16"/>
  <c r="K260" i="16"/>
  <c r="J260" i="16"/>
  <c r="I260" i="16"/>
  <c r="H260" i="16"/>
  <c r="G260" i="16"/>
  <c r="M259" i="16"/>
  <c r="L259" i="16"/>
  <c r="K259" i="16"/>
  <c r="J259" i="16"/>
  <c r="I259" i="16"/>
  <c r="H259" i="16"/>
  <c r="G259" i="16"/>
  <c r="M258" i="16"/>
  <c r="L258" i="16"/>
  <c r="K258" i="16"/>
  <c r="J258" i="16"/>
  <c r="I258" i="16"/>
  <c r="H258" i="16"/>
  <c r="G258" i="16"/>
  <c r="M257" i="16"/>
  <c r="L257" i="16"/>
  <c r="K257" i="16"/>
  <c r="J257" i="16"/>
  <c r="I257" i="16"/>
  <c r="H257" i="16"/>
  <c r="G257" i="16"/>
  <c r="M256" i="16"/>
  <c r="L256" i="16"/>
  <c r="K256" i="16"/>
  <c r="J256" i="16"/>
  <c r="I256" i="16"/>
  <c r="H256" i="16"/>
  <c r="G256" i="16"/>
  <c r="M255" i="16"/>
  <c r="L255" i="16"/>
  <c r="K255" i="16"/>
  <c r="J255" i="16"/>
  <c r="I255" i="16"/>
  <c r="H255" i="16"/>
  <c r="G255" i="16"/>
  <c r="M254" i="16"/>
  <c r="L254" i="16"/>
  <c r="K254" i="16"/>
  <c r="J254" i="16"/>
  <c r="I254" i="16"/>
  <c r="H254" i="16"/>
  <c r="G254" i="16"/>
  <c r="M253" i="16"/>
  <c r="L253" i="16"/>
  <c r="K253" i="16"/>
  <c r="J253" i="16"/>
  <c r="I253" i="16"/>
  <c r="H253" i="16"/>
  <c r="G253" i="16"/>
  <c r="M252" i="16"/>
  <c r="L252" i="16"/>
  <c r="K252" i="16"/>
  <c r="J252" i="16"/>
  <c r="I252" i="16"/>
  <c r="H252" i="16"/>
  <c r="G252" i="16"/>
  <c r="M251" i="16"/>
  <c r="L251" i="16"/>
  <c r="K251" i="16"/>
  <c r="J251" i="16"/>
  <c r="I251" i="16"/>
  <c r="H251" i="16"/>
  <c r="G251" i="16"/>
  <c r="M250" i="16"/>
  <c r="L250" i="16"/>
  <c r="K250" i="16"/>
  <c r="J250" i="16"/>
  <c r="I250" i="16"/>
  <c r="H250" i="16"/>
  <c r="G250" i="16"/>
  <c r="M249" i="16"/>
  <c r="L249" i="16"/>
  <c r="K249" i="16"/>
  <c r="J249" i="16"/>
  <c r="I249" i="16"/>
  <c r="H249" i="16"/>
  <c r="G249" i="16"/>
  <c r="M248" i="16"/>
  <c r="L248" i="16"/>
  <c r="K248" i="16"/>
  <c r="J248" i="16"/>
  <c r="I248" i="16"/>
  <c r="H248" i="16"/>
  <c r="G248" i="16"/>
  <c r="M247" i="16"/>
  <c r="L247" i="16"/>
  <c r="K247" i="16"/>
  <c r="J247" i="16"/>
  <c r="I247" i="16"/>
  <c r="H247" i="16"/>
  <c r="G247" i="16"/>
  <c r="M246" i="16"/>
  <c r="L246" i="16"/>
  <c r="K246" i="16"/>
  <c r="J246" i="16"/>
  <c r="I246" i="16"/>
  <c r="H246" i="16"/>
  <c r="G246" i="16"/>
  <c r="M245" i="16"/>
  <c r="L245" i="16"/>
  <c r="K245" i="16"/>
  <c r="J245" i="16"/>
  <c r="I245" i="16"/>
  <c r="H245" i="16"/>
  <c r="G245" i="16"/>
  <c r="M244" i="16"/>
  <c r="L244" i="16"/>
  <c r="K244" i="16"/>
  <c r="J244" i="16"/>
  <c r="I244" i="16"/>
  <c r="H244" i="16"/>
  <c r="G244" i="16"/>
  <c r="M243" i="16"/>
  <c r="L243" i="16"/>
  <c r="K243" i="16"/>
  <c r="J243" i="16"/>
  <c r="I243" i="16"/>
  <c r="H243" i="16"/>
  <c r="G243" i="16"/>
  <c r="M242" i="16"/>
  <c r="L242" i="16"/>
  <c r="K242" i="16"/>
  <c r="J242" i="16"/>
  <c r="I242" i="16"/>
  <c r="H242" i="16"/>
  <c r="G242" i="16"/>
  <c r="M241" i="16"/>
  <c r="L241" i="16"/>
  <c r="K241" i="16"/>
  <c r="J241" i="16"/>
  <c r="I241" i="16"/>
  <c r="H241" i="16"/>
  <c r="G241" i="16"/>
  <c r="M240" i="16"/>
  <c r="L240" i="16"/>
  <c r="K240" i="16"/>
  <c r="J240" i="16"/>
  <c r="I240" i="16"/>
  <c r="H240" i="16"/>
  <c r="G240" i="16"/>
  <c r="M239" i="16"/>
  <c r="L239" i="16"/>
  <c r="K239" i="16"/>
  <c r="J239" i="16"/>
  <c r="I239" i="16"/>
  <c r="H239" i="16"/>
  <c r="G239" i="16"/>
  <c r="M238" i="16"/>
  <c r="L238" i="16"/>
  <c r="K238" i="16"/>
  <c r="J238" i="16"/>
  <c r="I238" i="16"/>
  <c r="H238" i="16"/>
  <c r="G238" i="16"/>
  <c r="M237" i="16"/>
  <c r="L237" i="16"/>
  <c r="K237" i="16"/>
  <c r="J237" i="16"/>
  <c r="I237" i="16"/>
  <c r="H237" i="16"/>
  <c r="G237" i="16"/>
  <c r="M236" i="16"/>
  <c r="L236" i="16"/>
  <c r="K236" i="16"/>
  <c r="J236" i="16"/>
  <c r="I236" i="16"/>
  <c r="H236" i="16"/>
  <c r="G236" i="16"/>
  <c r="M235" i="16"/>
  <c r="L235" i="16"/>
  <c r="K235" i="16"/>
  <c r="J235" i="16"/>
  <c r="I235" i="16"/>
  <c r="H235" i="16"/>
  <c r="G235" i="16"/>
  <c r="M234" i="16"/>
  <c r="L234" i="16"/>
  <c r="K234" i="16"/>
  <c r="J234" i="16"/>
  <c r="I234" i="16"/>
  <c r="H234" i="16"/>
  <c r="G234" i="16"/>
  <c r="M233" i="16"/>
  <c r="L233" i="16"/>
  <c r="K233" i="16"/>
  <c r="J233" i="16"/>
  <c r="I233" i="16"/>
  <c r="H233" i="16"/>
  <c r="G233" i="16"/>
  <c r="M232" i="16"/>
  <c r="L232" i="16"/>
  <c r="K232" i="16"/>
  <c r="J232" i="16"/>
  <c r="I232" i="16"/>
  <c r="H232" i="16"/>
  <c r="G232" i="16"/>
  <c r="M231" i="16"/>
  <c r="L231" i="16"/>
  <c r="K231" i="16"/>
  <c r="J231" i="16"/>
  <c r="I231" i="16"/>
  <c r="H231" i="16"/>
  <c r="G231" i="16"/>
  <c r="M230" i="16"/>
  <c r="L230" i="16"/>
  <c r="K230" i="16"/>
  <c r="J230" i="16"/>
  <c r="I230" i="16"/>
  <c r="H230" i="16"/>
  <c r="G230" i="16"/>
  <c r="M229" i="16"/>
  <c r="L229" i="16"/>
  <c r="K229" i="16"/>
  <c r="J229" i="16"/>
  <c r="I229" i="16"/>
  <c r="H229" i="16"/>
  <c r="G229" i="16"/>
  <c r="M228" i="16"/>
  <c r="L228" i="16"/>
  <c r="K228" i="16"/>
  <c r="J228" i="16"/>
  <c r="I228" i="16"/>
  <c r="H228" i="16"/>
  <c r="G228" i="16"/>
  <c r="M227" i="16"/>
  <c r="L227" i="16"/>
  <c r="K227" i="16"/>
  <c r="J227" i="16"/>
  <c r="I227" i="16"/>
  <c r="H227" i="16"/>
  <c r="G227" i="16"/>
  <c r="M226" i="16"/>
  <c r="L226" i="16"/>
  <c r="K226" i="16"/>
  <c r="J226" i="16"/>
  <c r="I226" i="16"/>
  <c r="H226" i="16"/>
  <c r="G226" i="16"/>
  <c r="M225" i="16"/>
  <c r="L225" i="16"/>
  <c r="K225" i="16"/>
  <c r="J225" i="16"/>
  <c r="I225" i="16"/>
  <c r="H225" i="16"/>
  <c r="G225" i="16"/>
  <c r="M224" i="16"/>
  <c r="L224" i="16"/>
  <c r="K224" i="16"/>
  <c r="J224" i="16"/>
  <c r="I224" i="16"/>
  <c r="H224" i="16"/>
  <c r="G224" i="16"/>
  <c r="M223" i="16"/>
  <c r="L223" i="16"/>
  <c r="K223" i="16"/>
  <c r="J223" i="16"/>
  <c r="I223" i="16"/>
  <c r="H223" i="16"/>
  <c r="G223" i="16"/>
  <c r="M222" i="16"/>
  <c r="L222" i="16"/>
  <c r="K222" i="16"/>
  <c r="J222" i="16"/>
  <c r="I222" i="16"/>
  <c r="H222" i="16"/>
  <c r="G222" i="16"/>
  <c r="M221" i="16"/>
  <c r="L221" i="16"/>
  <c r="K221" i="16"/>
  <c r="J221" i="16"/>
  <c r="I221" i="16"/>
  <c r="H221" i="16"/>
  <c r="G221" i="16"/>
  <c r="M220" i="16"/>
  <c r="L220" i="16"/>
  <c r="K220" i="16"/>
  <c r="J220" i="16"/>
  <c r="I220" i="16"/>
  <c r="H220" i="16"/>
  <c r="G220" i="16"/>
  <c r="M219" i="16"/>
  <c r="L219" i="16"/>
  <c r="K219" i="16"/>
  <c r="J219" i="16"/>
  <c r="I219" i="16"/>
  <c r="H219" i="16"/>
  <c r="G219" i="16"/>
  <c r="M218" i="16"/>
  <c r="L218" i="16"/>
  <c r="K218" i="16"/>
  <c r="J218" i="16"/>
  <c r="I218" i="16"/>
  <c r="H218" i="16"/>
  <c r="G218" i="16"/>
  <c r="M217" i="16"/>
  <c r="L217" i="16"/>
  <c r="K217" i="16"/>
  <c r="J217" i="16"/>
  <c r="I217" i="16"/>
  <c r="H217" i="16"/>
  <c r="G217" i="16"/>
  <c r="M216" i="16"/>
  <c r="L216" i="16"/>
  <c r="K216" i="16"/>
  <c r="J216" i="16"/>
  <c r="I216" i="16"/>
  <c r="H216" i="16"/>
  <c r="G216" i="16"/>
  <c r="M215" i="16"/>
  <c r="L215" i="16"/>
  <c r="K215" i="16"/>
  <c r="J215" i="16"/>
  <c r="I215" i="16"/>
  <c r="H215" i="16"/>
  <c r="G215" i="16"/>
  <c r="M214" i="16"/>
  <c r="L214" i="16"/>
  <c r="K214" i="16"/>
  <c r="J214" i="16"/>
  <c r="I214" i="16"/>
  <c r="H214" i="16"/>
  <c r="G214" i="16"/>
  <c r="M213" i="16"/>
  <c r="L213" i="16"/>
  <c r="K213" i="16"/>
  <c r="J213" i="16"/>
  <c r="I213" i="16"/>
  <c r="H213" i="16"/>
  <c r="G213" i="16"/>
  <c r="M212" i="16"/>
  <c r="L212" i="16"/>
  <c r="K212" i="16"/>
  <c r="J212" i="16"/>
  <c r="I212" i="16"/>
  <c r="H212" i="16"/>
  <c r="G212" i="16"/>
  <c r="M211" i="16"/>
  <c r="L211" i="16"/>
  <c r="K211" i="16"/>
  <c r="J211" i="16"/>
  <c r="I211" i="16"/>
  <c r="H211" i="16"/>
  <c r="G211" i="16"/>
  <c r="M210" i="16"/>
  <c r="L210" i="16"/>
  <c r="K210" i="16"/>
  <c r="J210" i="16"/>
  <c r="I210" i="16"/>
  <c r="H210" i="16"/>
  <c r="G210" i="16"/>
  <c r="M209" i="16"/>
  <c r="L209" i="16"/>
  <c r="K209" i="16"/>
  <c r="J209" i="16"/>
  <c r="I209" i="16"/>
  <c r="H209" i="16"/>
  <c r="G209" i="16"/>
  <c r="M208" i="16"/>
  <c r="L208" i="16"/>
  <c r="K208" i="16"/>
  <c r="J208" i="16"/>
  <c r="I208" i="16"/>
  <c r="H208" i="16"/>
  <c r="G208" i="16"/>
  <c r="M207" i="16"/>
  <c r="L207" i="16"/>
  <c r="K207" i="16"/>
  <c r="J207" i="16"/>
  <c r="I207" i="16"/>
  <c r="H207" i="16"/>
  <c r="G207" i="16"/>
  <c r="M206" i="16"/>
  <c r="L206" i="16"/>
  <c r="K206" i="16"/>
  <c r="J206" i="16"/>
  <c r="I206" i="16"/>
  <c r="H206" i="16"/>
  <c r="G206" i="16"/>
  <c r="M205" i="16"/>
  <c r="L205" i="16"/>
  <c r="K205" i="16"/>
  <c r="J205" i="16"/>
  <c r="I205" i="16"/>
  <c r="H205" i="16"/>
  <c r="G205" i="16"/>
  <c r="M204" i="16"/>
  <c r="L204" i="16"/>
  <c r="K204" i="16"/>
  <c r="J204" i="16"/>
  <c r="I204" i="16"/>
  <c r="H204" i="16"/>
  <c r="G204" i="16"/>
  <c r="M203" i="16"/>
  <c r="L203" i="16"/>
  <c r="K203" i="16"/>
  <c r="J203" i="16"/>
  <c r="I203" i="16"/>
  <c r="H203" i="16"/>
  <c r="G203" i="16"/>
  <c r="M202" i="16"/>
  <c r="L202" i="16"/>
  <c r="K202" i="16"/>
  <c r="J202" i="16"/>
  <c r="I202" i="16"/>
  <c r="H202" i="16"/>
  <c r="G202" i="16"/>
  <c r="M201" i="16"/>
  <c r="L201" i="16"/>
  <c r="K201" i="16"/>
  <c r="J201" i="16"/>
  <c r="I201" i="16"/>
  <c r="H201" i="16"/>
  <c r="G201" i="16"/>
  <c r="M200" i="16"/>
  <c r="L200" i="16"/>
  <c r="K200" i="16"/>
  <c r="J200" i="16"/>
  <c r="I200" i="16"/>
  <c r="H200" i="16"/>
  <c r="G200" i="16"/>
  <c r="M199" i="16"/>
  <c r="L199" i="16"/>
  <c r="K199" i="16"/>
  <c r="J199" i="16"/>
  <c r="I199" i="16"/>
  <c r="H199" i="16"/>
  <c r="G199" i="16"/>
  <c r="M198" i="16"/>
  <c r="L198" i="16"/>
  <c r="K198" i="16"/>
  <c r="J198" i="16"/>
  <c r="I198" i="16"/>
  <c r="H198" i="16"/>
  <c r="G198" i="16"/>
  <c r="M197" i="16"/>
  <c r="L197" i="16"/>
  <c r="K197" i="16"/>
  <c r="J197" i="16"/>
  <c r="I197" i="16"/>
  <c r="H197" i="16"/>
  <c r="G197" i="16"/>
  <c r="M196" i="16"/>
  <c r="L196" i="16"/>
  <c r="K196" i="16"/>
  <c r="J196" i="16"/>
  <c r="I196" i="16"/>
  <c r="H196" i="16"/>
  <c r="G196" i="16"/>
  <c r="M195" i="16"/>
  <c r="L195" i="16"/>
  <c r="K195" i="16"/>
  <c r="J195" i="16"/>
  <c r="I195" i="16"/>
  <c r="H195" i="16"/>
  <c r="G195" i="16"/>
  <c r="M194" i="16"/>
  <c r="L194" i="16"/>
  <c r="K194" i="16"/>
  <c r="J194" i="16"/>
  <c r="I194" i="16"/>
  <c r="H194" i="16"/>
  <c r="G194" i="16"/>
  <c r="M193" i="16"/>
  <c r="L193" i="16"/>
  <c r="K193" i="16"/>
  <c r="J193" i="16"/>
  <c r="I193" i="16"/>
  <c r="H193" i="16"/>
  <c r="G193" i="16"/>
  <c r="M192" i="16"/>
  <c r="L192" i="16"/>
  <c r="K192" i="16"/>
  <c r="J192" i="16"/>
  <c r="I192" i="16"/>
  <c r="H192" i="16"/>
  <c r="G192" i="16"/>
  <c r="M191" i="16"/>
  <c r="L191" i="16"/>
  <c r="K191" i="16"/>
  <c r="J191" i="16"/>
  <c r="I191" i="16"/>
  <c r="H191" i="16"/>
  <c r="G191" i="16"/>
  <c r="M190" i="16"/>
  <c r="L190" i="16"/>
  <c r="K190" i="16"/>
  <c r="J190" i="16"/>
  <c r="I190" i="16"/>
  <c r="H190" i="16"/>
  <c r="G190" i="16"/>
  <c r="M189" i="16"/>
  <c r="L189" i="16"/>
  <c r="K189" i="16"/>
  <c r="J189" i="16"/>
  <c r="I189" i="16"/>
  <c r="H189" i="16"/>
  <c r="G189" i="16"/>
  <c r="M188" i="16"/>
  <c r="L188" i="16"/>
  <c r="K188" i="16"/>
  <c r="J188" i="16"/>
  <c r="I188" i="16"/>
  <c r="H188" i="16"/>
  <c r="G188" i="16"/>
  <c r="M187" i="16"/>
  <c r="L187" i="16"/>
  <c r="K187" i="16"/>
  <c r="J187" i="16"/>
  <c r="I187" i="16"/>
  <c r="H187" i="16"/>
  <c r="G187" i="16"/>
  <c r="M186" i="16"/>
  <c r="L186" i="16"/>
  <c r="K186" i="16"/>
  <c r="J186" i="16"/>
  <c r="I186" i="16"/>
  <c r="H186" i="16"/>
  <c r="G186" i="16"/>
  <c r="M185" i="16"/>
  <c r="L185" i="16"/>
  <c r="K185" i="16"/>
  <c r="J185" i="16"/>
  <c r="I185" i="16"/>
  <c r="H185" i="16"/>
  <c r="G185" i="16"/>
  <c r="M184" i="16"/>
  <c r="L184" i="16"/>
  <c r="K184" i="16"/>
  <c r="J184" i="16"/>
  <c r="I184" i="16"/>
  <c r="H184" i="16"/>
  <c r="G184" i="16"/>
  <c r="M183" i="16"/>
  <c r="L183" i="16"/>
  <c r="K183" i="16"/>
  <c r="J183" i="16"/>
  <c r="I183" i="16"/>
  <c r="H183" i="16"/>
  <c r="G183" i="16"/>
  <c r="M182" i="16"/>
  <c r="L182" i="16"/>
  <c r="K182" i="16"/>
  <c r="J182" i="16"/>
  <c r="I182" i="16"/>
  <c r="H182" i="16"/>
  <c r="G182" i="16"/>
  <c r="M181" i="16"/>
  <c r="L181" i="16"/>
  <c r="K181" i="16"/>
  <c r="J181" i="16"/>
  <c r="I181" i="16"/>
  <c r="H181" i="16"/>
  <c r="G181" i="16"/>
  <c r="M180" i="16"/>
  <c r="L180" i="16"/>
  <c r="K180" i="16"/>
  <c r="J180" i="16"/>
  <c r="I180" i="16"/>
  <c r="H180" i="16"/>
  <c r="G180" i="16"/>
  <c r="M179" i="16"/>
  <c r="L179" i="16"/>
  <c r="K179" i="16"/>
  <c r="J179" i="16"/>
  <c r="I179" i="16"/>
  <c r="H179" i="16"/>
  <c r="G179" i="16"/>
  <c r="M178" i="16"/>
  <c r="L178" i="16"/>
  <c r="K178" i="16"/>
  <c r="J178" i="16"/>
  <c r="I178" i="16"/>
  <c r="H178" i="16"/>
  <c r="G178" i="16"/>
  <c r="M177" i="16"/>
  <c r="L177" i="16"/>
  <c r="K177" i="16"/>
  <c r="J177" i="16"/>
  <c r="I177" i="16"/>
  <c r="H177" i="16"/>
  <c r="G177" i="16"/>
  <c r="M176" i="16"/>
  <c r="L176" i="16"/>
  <c r="K176" i="16"/>
  <c r="J176" i="16"/>
  <c r="I176" i="16"/>
  <c r="H176" i="16"/>
  <c r="G176" i="16"/>
  <c r="M175" i="16"/>
  <c r="L175" i="16"/>
  <c r="K175" i="16"/>
  <c r="J175" i="16"/>
  <c r="I175" i="16"/>
  <c r="H175" i="16"/>
  <c r="G175" i="16"/>
  <c r="M174" i="16"/>
  <c r="L174" i="16"/>
  <c r="K174" i="16"/>
  <c r="J174" i="16"/>
  <c r="I174" i="16"/>
  <c r="H174" i="16"/>
  <c r="G174" i="16"/>
  <c r="M173" i="16"/>
  <c r="L173" i="16"/>
  <c r="K173" i="16"/>
  <c r="J173" i="16"/>
  <c r="I173" i="16"/>
  <c r="H173" i="16"/>
  <c r="G173" i="16"/>
  <c r="M172" i="16"/>
  <c r="L172" i="16"/>
  <c r="K172" i="16"/>
  <c r="J172" i="16"/>
  <c r="I172" i="16"/>
  <c r="H172" i="16"/>
  <c r="G172" i="16"/>
  <c r="M171" i="16"/>
  <c r="L171" i="16"/>
  <c r="K171" i="16"/>
  <c r="J171" i="16"/>
  <c r="I171" i="16"/>
  <c r="H171" i="16"/>
  <c r="G171" i="16"/>
  <c r="M170" i="16"/>
  <c r="L170" i="16"/>
  <c r="K170" i="16"/>
  <c r="J170" i="16"/>
  <c r="I170" i="16"/>
  <c r="H170" i="16"/>
  <c r="G170" i="16"/>
  <c r="M169" i="16"/>
  <c r="L169" i="16"/>
  <c r="K169" i="16"/>
  <c r="J169" i="16"/>
  <c r="I169" i="16"/>
  <c r="H169" i="16"/>
  <c r="G169" i="16"/>
  <c r="M168" i="16"/>
  <c r="L168" i="16"/>
  <c r="K168" i="16"/>
  <c r="J168" i="16"/>
  <c r="I168" i="16"/>
  <c r="H168" i="16"/>
  <c r="G168" i="16"/>
  <c r="M167" i="16"/>
  <c r="L167" i="16"/>
  <c r="K167" i="16"/>
  <c r="J167" i="16"/>
  <c r="I167" i="16"/>
  <c r="H167" i="16"/>
  <c r="G167" i="16"/>
  <c r="M166" i="16"/>
  <c r="L166" i="16"/>
  <c r="K166" i="16"/>
  <c r="J166" i="16"/>
  <c r="I166" i="16"/>
  <c r="H166" i="16"/>
  <c r="G166" i="16"/>
  <c r="M165" i="16"/>
  <c r="L165" i="16"/>
  <c r="K165" i="16"/>
  <c r="J165" i="16"/>
  <c r="I165" i="16"/>
  <c r="H165" i="16"/>
  <c r="G165" i="16"/>
  <c r="M164" i="16"/>
  <c r="L164" i="16"/>
  <c r="K164" i="16"/>
  <c r="J164" i="16"/>
  <c r="I164" i="16"/>
  <c r="H164" i="16"/>
  <c r="G164" i="16"/>
  <c r="M163" i="16"/>
  <c r="L163" i="16"/>
  <c r="K163" i="16"/>
  <c r="J163" i="16"/>
  <c r="I163" i="16"/>
  <c r="H163" i="16"/>
  <c r="G163" i="16"/>
  <c r="M162" i="16"/>
  <c r="L162" i="16"/>
  <c r="K162" i="16"/>
  <c r="J162" i="16"/>
  <c r="I162" i="16"/>
  <c r="H162" i="16"/>
  <c r="G162" i="16"/>
  <c r="M161" i="16"/>
  <c r="L161" i="16"/>
  <c r="K161" i="16"/>
  <c r="J161" i="16"/>
  <c r="I161" i="16"/>
  <c r="H161" i="16"/>
  <c r="G161" i="16"/>
  <c r="M160" i="16"/>
  <c r="L160" i="16"/>
  <c r="K160" i="16"/>
  <c r="J160" i="16"/>
  <c r="I160" i="16"/>
  <c r="H160" i="16"/>
  <c r="G160" i="16"/>
  <c r="M159" i="16"/>
  <c r="L159" i="16"/>
  <c r="K159" i="16"/>
  <c r="J159" i="16"/>
  <c r="I159" i="16"/>
  <c r="H159" i="16"/>
  <c r="G159" i="16"/>
  <c r="M158" i="16"/>
  <c r="L158" i="16"/>
  <c r="K158" i="16"/>
  <c r="J158" i="16"/>
  <c r="I158" i="16"/>
  <c r="H158" i="16"/>
  <c r="G158" i="16"/>
  <c r="M157" i="16"/>
  <c r="L157" i="16"/>
  <c r="K157" i="16"/>
  <c r="J157" i="16"/>
  <c r="I157" i="16"/>
  <c r="H157" i="16"/>
  <c r="G157" i="16"/>
  <c r="M156" i="16"/>
  <c r="L156" i="16"/>
  <c r="K156" i="16"/>
  <c r="J156" i="16"/>
  <c r="I156" i="16"/>
  <c r="H156" i="16"/>
  <c r="G156" i="16"/>
  <c r="M155" i="16"/>
  <c r="L155" i="16"/>
  <c r="K155" i="16"/>
  <c r="J155" i="16"/>
  <c r="I155" i="16"/>
  <c r="H155" i="16"/>
  <c r="G155" i="16"/>
  <c r="M154" i="16"/>
  <c r="L154" i="16"/>
  <c r="K154" i="16"/>
  <c r="J154" i="16"/>
  <c r="I154" i="16"/>
  <c r="H154" i="16"/>
  <c r="G154" i="16"/>
  <c r="M153" i="16"/>
  <c r="L153" i="16"/>
  <c r="K153" i="16"/>
  <c r="J153" i="16"/>
  <c r="I153" i="16"/>
  <c r="H153" i="16"/>
  <c r="G153" i="16"/>
  <c r="M152" i="16"/>
  <c r="L152" i="16"/>
  <c r="K152" i="16"/>
  <c r="J152" i="16"/>
  <c r="I152" i="16"/>
  <c r="H152" i="16"/>
  <c r="G152" i="16"/>
  <c r="M151" i="16"/>
  <c r="L151" i="16"/>
  <c r="K151" i="16"/>
  <c r="J151" i="16"/>
  <c r="I151" i="16"/>
  <c r="H151" i="16"/>
  <c r="G151" i="16"/>
  <c r="M150" i="16"/>
  <c r="L150" i="16"/>
  <c r="K150" i="16"/>
  <c r="J150" i="16"/>
  <c r="I150" i="16"/>
  <c r="H150" i="16"/>
  <c r="G150" i="16"/>
  <c r="M149" i="16"/>
  <c r="L149" i="16"/>
  <c r="K149" i="16"/>
  <c r="J149" i="16"/>
  <c r="I149" i="16"/>
  <c r="H149" i="16"/>
  <c r="G149" i="16"/>
  <c r="M148" i="16"/>
  <c r="L148" i="16"/>
  <c r="K148" i="16"/>
  <c r="J148" i="16"/>
  <c r="I148" i="16"/>
  <c r="H148" i="16"/>
  <c r="G148" i="16"/>
  <c r="M147" i="16"/>
  <c r="L147" i="16"/>
  <c r="K147" i="16"/>
  <c r="J147" i="16"/>
  <c r="I147" i="16"/>
  <c r="H147" i="16"/>
  <c r="G147" i="16"/>
  <c r="M146" i="16"/>
  <c r="L146" i="16"/>
  <c r="K146" i="16"/>
  <c r="J146" i="16"/>
  <c r="I146" i="16"/>
  <c r="H146" i="16"/>
  <c r="G146" i="16"/>
  <c r="M145" i="16"/>
  <c r="L145" i="16"/>
  <c r="K145" i="16"/>
  <c r="J145" i="16"/>
  <c r="I145" i="16"/>
  <c r="H145" i="16"/>
  <c r="G145" i="16"/>
  <c r="M144" i="16"/>
  <c r="L144" i="16"/>
  <c r="K144" i="16"/>
  <c r="J144" i="16"/>
  <c r="I144" i="16"/>
  <c r="H144" i="16"/>
  <c r="G144" i="16"/>
  <c r="M143" i="16"/>
  <c r="L143" i="16"/>
  <c r="K143" i="16"/>
  <c r="J143" i="16"/>
  <c r="I143" i="16"/>
  <c r="H143" i="16"/>
  <c r="G143" i="16"/>
  <c r="M142" i="16"/>
  <c r="L142" i="16"/>
  <c r="K142" i="16"/>
  <c r="J142" i="16"/>
  <c r="I142" i="16"/>
  <c r="H142" i="16"/>
  <c r="G142" i="16"/>
  <c r="M141" i="16"/>
  <c r="L141" i="16"/>
  <c r="K141" i="16"/>
  <c r="J141" i="16"/>
  <c r="I141" i="16"/>
  <c r="H141" i="16"/>
  <c r="G141" i="16"/>
  <c r="M140" i="16"/>
  <c r="L140" i="16"/>
  <c r="K140" i="16"/>
  <c r="J140" i="16"/>
  <c r="I140" i="16"/>
  <c r="H140" i="16"/>
  <c r="G140" i="16"/>
  <c r="M139" i="16"/>
  <c r="L139" i="16"/>
  <c r="K139" i="16"/>
  <c r="J139" i="16"/>
  <c r="I139" i="16"/>
  <c r="H139" i="16"/>
  <c r="G139" i="16"/>
  <c r="M138" i="16"/>
  <c r="L138" i="16"/>
  <c r="K138" i="16"/>
  <c r="J138" i="16"/>
  <c r="I138" i="16"/>
  <c r="H138" i="16"/>
  <c r="G138" i="16"/>
  <c r="M137" i="16"/>
  <c r="L137" i="16"/>
  <c r="K137" i="16"/>
  <c r="J137" i="16"/>
  <c r="I137" i="16"/>
  <c r="H137" i="16"/>
  <c r="G137" i="16"/>
  <c r="M136" i="16"/>
  <c r="L136" i="16"/>
  <c r="K136" i="16"/>
  <c r="J136" i="16"/>
  <c r="I136" i="16"/>
  <c r="H136" i="16"/>
  <c r="G136" i="16"/>
  <c r="M135" i="16"/>
  <c r="L135" i="16"/>
  <c r="K135" i="16"/>
  <c r="J135" i="16"/>
  <c r="I135" i="16"/>
  <c r="H135" i="16"/>
  <c r="G135" i="16"/>
  <c r="M134" i="16"/>
  <c r="L134" i="16"/>
  <c r="K134" i="16"/>
  <c r="J134" i="16"/>
  <c r="I134" i="16"/>
  <c r="H134" i="16"/>
  <c r="G134" i="16"/>
  <c r="M133" i="16"/>
  <c r="L133" i="16"/>
  <c r="K133" i="16"/>
  <c r="J133" i="16"/>
  <c r="I133" i="16"/>
  <c r="H133" i="16"/>
  <c r="G133" i="16"/>
  <c r="M132" i="16"/>
  <c r="L132" i="16"/>
  <c r="K132" i="16"/>
  <c r="J132" i="16"/>
  <c r="I132" i="16"/>
  <c r="H132" i="16"/>
  <c r="G132" i="16"/>
  <c r="M131" i="16"/>
  <c r="L131" i="16"/>
  <c r="K131" i="16"/>
  <c r="J131" i="16"/>
  <c r="I131" i="16"/>
  <c r="H131" i="16"/>
  <c r="G131" i="16"/>
  <c r="M130" i="16"/>
  <c r="L130" i="16"/>
  <c r="K130" i="16"/>
  <c r="J130" i="16"/>
  <c r="I130" i="16"/>
  <c r="H130" i="16"/>
  <c r="G130" i="16"/>
  <c r="M129" i="16"/>
  <c r="L129" i="16"/>
  <c r="K129" i="16"/>
  <c r="J129" i="16"/>
  <c r="I129" i="16"/>
  <c r="H129" i="16"/>
  <c r="G129" i="16"/>
  <c r="M128" i="16"/>
  <c r="L128" i="16"/>
  <c r="K128" i="16"/>
  <c r="J128" i="16"/>
  <c r="I128" i="16"/>
  <c r="H128" i="16"/>
  <c r="G128" i="16"/>
  <c r="M127" i="16"/>
  <c r="L127" i="16"/>
  <c r="K127" i="16"/>
  <c r="J127" i="16"/>
  <c r="I127" i="16"/>
  <c r="H127" i="16"/>
  <c r="G127" i="16"/>
  <c r="M126" i="16"/>
  <c r="L126" i="16"/>
  <c r="K126" i="16"/>
  <c r="J126" i="16"/>
  <c r="I126" i="16"/>
  <c r="H126" i="16"/>
  <c r="G126" i="16"/>
  <c r="M125" i="16"/>
  <c r="L125" i="16"/>
  <c r="K125" i="16"/>
  <c r="J125" i="16"/>
  <c r="I125" i="16"/>
  <c r="H125" i="16"/>
  <c r="G125" i="16"/>
  <c r="M124" i="16"/>
  <c r="L124" i="16"/>
  <c r="K124" i="16"/>
  <c r="J124" i="16"/>
  <c r="I124" i="16"/>
  <c r="H124" i="16"/>
  <c r="G124" i="16"/>
  <c r="M123" i="16"/>
  <c r="L123" i="16"/>
  <c r="K123" i="16"/>
  <c r="J123" i="16"/>
  <c r="I123" i="16"/>
  <c r="H123" i="16"/>
  <c r="G123" i="16"/>
  <c r="M122" i="16"/>
  <c r="L122" i="16"/>
  <c r="K122" i="16"/>
  <c r="J122" i="16"/>
  <c r="I122" i="16"/>
  <c r="H122" i="16"/>
  <c r="G122" i="16"/>
  <c r="M121" i="16"/>
  <c r="L121" i="16"/>
  <c r="K121" i="16"/>
  <c r="J121" i="16"/>
  <c r="I121" i="16"/>
  <c r="H121" i="16"/>
  <c r="G121" i="16"/>
  <c r="M120" i="16"/>
  <c r="L120" i="16"/>
  <c r="K120" i="16"/>
  <c r="J120" i="16"/>
  <c r="I120" i="16"/>
  <c r="H120" i="16"/>
  <c r="G120" i="16"/>
  <c r="M119" i="16"/>
  <c r="L119" i="16"/>
  <c r="K119" i="16"/>
  <c r="J119" i="16"/>
  <c r="I119" i="16"/>
  <c r="H119" i="16"/>
  <c r="G119" i="16"/>
  <c r="M118" i="16"/>
  <c r="L118" i="16"/>
  <c r="K118" i="16"/>
  <c r="J118" i="16"/>
  <c r="I118" i="16"/>
  <c r="H118" i="16"/>
  <c r="G118" i="16"/>
  <c r="M117" i="16"/>
  <c r="L117" i="16"/>
  <c r="K117" i="16"/>
  <c r="J117" i="16"/>
  <c r="I117" i="16"/>
  <c r="H117" i="16"/>
  <c r="G117" i="16"/>
  <c r="M116" i="16"/>
  <c r="L116" i="16"/>
  <c r="K116" i="16"/>
  <c r="J116" i="16"/>
  <c r="I116" i="16"/>
  <c r="H116" i="16"/>
  <c r="G116" i="16"/>
  <c r="M115" i="16"/>
  <c r="L115" i="16"/>
  <c r="K115" i="16"/>
  <c r="J115" i="16"/>
  <c r="I115" i="16"/>
  <c r="H115" i="16"/>
  <c r="G115" i="16"/>
  <c r="M114" i="16"/>
  <c r="L114" i="16"/>
  <c r="K114" i="16"/>
  <c r="J114" i="16"/>
  <c r="I114" i="16"/>
  <c r="H114" i="16"/>
  <c r="G114" i="16"/>
  <c r="M113" i="16"/>
  <c r="L113" i="16"/>
  <c r="K113" i="16"/>
  <c r="J113" i="16"/>
  <c r="I113" i="16"/>
  <c r="H113" i="16"/>
  <c r="G113" i="16"/>
  <c r="M112" i="16"/>
  <c r="L112" i="16"/>
  <c r="K112" i="16"/>
  <c r="J112" i="16"/>
  <c r="I112" i="16"/>
  <c r="H112" i="16"/>
  <c r="G112" i="16"/>
  <c r="M111" i="16"/>
  <c r="L111" i="16"/>
  <c r="K111" i="16"/>
  <c r="J111" i="16"/>
  <c r="I111" i="16"/>
  <c r="H111" i="16"/>
  <c r="G111" i="16"/>
  <c r="M110" i="16"/>
  <c r="L110" i="16"/>
  <c r="K110" i="16"/>
  <c r="J110" i="16"/>
  <c r="I110" i="16"/>
  <c r="H110" i="16"/>
  <c r="G110" i="16"/>
  <c r="M109" i="16"/>
  <c r="L109" i="16"/>
  <c r="K109" i="16"/>
  <c r="J109" i="16"/>
  <c r="I109" i="16"/>
  <c r="H109" i="16"/>
  <c r="G109" i="16"/>
  <c r="M108" i="16"/>
  <c r="L108" i="16"/>
  <c r="K108" i="16"/>
  <c r="J108" i="16"/>
  <c r="I108" i="16"/>
  <c r="H108" i="16"/>
  <c r="G108" i="16"/>
  <c r="M107" i="16"/>
  <c r="L107" i="16"/>
  <c r="K107" i="16"/>
  <c r="J107" i="16"/>
  <c r="I107" i="16"/>
  <c r="H107" i="16"/>
  <c r="G107" i="16"/>
  <c r="M106" i="16"/>
  <c r="L106" i="16"/>
  <c r="K106" i="16"/>
  <c r="J106" i="16"/>
  <c r="I106" i="16"/>
  <c r="H106" i="16"/>
  <c r="G106" i="16"/>
  <c r="M105" i="16"/>
  <c r="L105" i="16"/>
  <c r="K105" i="16"/>
  <c r="J105" i="16"/>
  <c r="I105" i="16"/>
  <c r="H105" i="16"/>
  <c r="G105" i="16"/>
  <c r="M104" i="16"/>
  <c r="L104" i="16"/>
  <c r="K104" i="16"/>
  <c r="J104" i="16"/>
  <c r="I104" i="16"/>
  <c r="H104" i="16"/>
  <c r="G104" i="16"/>
  <c r="M103" i="16"/>
  <c r="L103" i="16"/>
  <c r="K103" i="16"/>
  <c r="J103" i="16"/>
  <c r="I103" i="16"/>
  <c r="H103" i="16"/>
  <c r="G103" i="16"/>
  <c r="M102" i="16"/>
  <c r="L102" i="16"/>
  <c r="K102" i="16"/>
  <c r="J102" i="16"/>
  <c r="I102" i="16"/>
  <c r="H102" i="16"/>
  <c r="G102" i="16"/>
  <c r="M101" i="16"/>
  <c r="L101" i="16"/>
  <c r="K101" i="16"/>
  <c r="J101" i="16"/>
  <c r="I101" i="16"/>
  <c r="H101" i="16"/>
  <c r="G101" i="16"/>
  <c r="M100" i="16"/>
  <c r="L100" i="16"/>
  <c r="K100" i="16"/>
  <c r="J100" i="16"/>
  <c r="I100" i="16"/>
  <c r="H100" i="16"/>
  <c r="G100" i="16"/>
  <c r="M99" i="16"/>
  <c r="L99" i="16"/>
  <c r="K99" i="16"/>
  <c r="J99" i="16"/>
  <c r="I99" i="16"/>
  <c r="H99" i="16"/>
  <c r="G99" i="16"/>
  <c r="M98" i="16"/>
  <c r="L98" i="16"/>
  <c r="K98" i="16"/>
  <c r="J98" i="16"/>
  <c r="I98" i="16"/>
  <c r="H98" i="16"/>
  <c r="G98" i="16"/>
  <c r="M97" i="16"/>
  <c r="L97" i="16"/>
  <c r="K97" i="16"/>
  <c r="J97" i="16"/>
  <c r="I97" i="16"/>
  <c r="H97" i="16"/>
  <c r="G97" i="16"/>
  <c r="M96" i="16"/>
  <c r="L96" i="16"/>
  <c r="K96" i="16"/>
  <c r="J96" i="16"/>
  <c r="I96" i="16"/>
  <c r="H96" i="16"/>
  <c r="G96" i="16"/>
  <c r="M95" i="16"/>
  <c r="L95" i="16"/>
  <c r="K95" i="16"/>
  <c r="J95" i="16"/>
  <c r="I95" i="16"/>
  <c r="H95" i="16"/>
  <c r="G95" i="16"/>
  <c r="M94" i="16"/>
  <c r="L94" i="16"/>
  <c r="K94" i="16"/>
  <c r="J94" i="16"/>
  <c r="I94" i="16"/>
  <c r="H94" i="16"/>
  <c r="G94" i="16"/>
  <c r="M93" i="16"/>
  <c r="L93" i="16"/>
  <c r="K93" i="16"/>
  <c r="J93" i="16"/>
  <c r="I93" i="16"/>
  <c r="H93" i="16"/>
  <c r="G93" i="16"/>
  <c r="M92" i="16"/>
  <c r="L92" i="16"/>
  <c r="K92" i="16"/>
  <c r="J92" i="16"/>
  <c r="I92" i="16"/>
  <c r="H92" i="16"/>
  <c r="G92" i="16"/>
  <c r="M91" i="16"/>
  <c r="L91" i="16"/>
  <c r="K91" i="16"/>
  <c r="J91" i="16"/>
  <c r="I91" i="16"/>
  <c r="H91" i="16"/>
  <c r="G91" i="16"/>
  <c r="M90" i="16"/>
  <c r="L90" i="16"/>
  <c r="K90" i="16"/>
  <c r="J90" i="16"/>
  <c r="I90" i="16"/>
  <c r="H90" i="16"/>
  <c r="G90" i="16"/>
  <c r="M89" i="16"/>
  <c r="L89" i="16"/>
  <c r="K89" i="16"/>
  <c r="J89" i="16"/>
  <c r="I89" i="16"/>
  <c r="H89" i="16"/>
  <c r="G89" i="16"/>
  <c r="M88" i="16"/>
  <c r="L88" i="16"/>
  <c r="K88" i="16"/>
  <c r="J88" i="16"/>
  <c r="I88" i="16"/>
  <c r="H88" i="16"/>
  <c r="G88" i="16"/>
  <c r="M87" i="16"/>
  <c r="L87" i="16"/>
  <c r="K87" i="16"/>
  <c r="J87" i="16"/>
  <c r="I87" i="16"/>
  <c r="H87" i="16"/>
  <c r="G87" i="16"/>
  <c r="M86" i="16"/>
  <c r="L86" i="16"/>
  <c r="K86" i="16"/>
  <c r="J86" i="16"/>
  <c r="I86" i="16"/>
  <c r="H86" i="16"/>
  <c r="G86" i="16"/>
  <c r="M85" i="16"/>
  <c r="L85" i="16"/>
  <c r="K85" i="16"/>
  <c r="J85" i="16"/>
  <c r="I85" i="16"/>
  <c r="H85" i="16"/>
  <c r="G85" i="16"/>
  <c r="M84" i="16"/>
  <c r="L84" i="16"/>
  <c r="K84" i="16"/>
  <c r="J84" i="16"/>
  <c r="I84" i="16"/>
  <c r="H84" i="16"/>
  <c r="G84" i="16"/>
  <c r="M83" i="16"/>
  <c r="L83" i="16"/>
  <c r="K83" i="16"/>
  <c r="J83" i="16"/>
  <c r="I83" i="16"/>
  <c r="H83" i="16"/>
  <c r="G83" i="16"/>
  <c r="M82" i="16"/>
  <c r="L82" i="16"/>
  <c r="K82" i="16"/>
  <c r="J82" i="16"/>
  <c r="I82" i="16"/>
  <c r="H82" i="16"/>
  <c r="G82" i="16"/>
  <c r="M81" i="16"/>
  <c r="L81" i="16"/>
  <c r="K81" i="16"/>
  <c r="J81" i="16"/>
  <c r="I81" i="16"/>
  <c r="H81" i="16"/>
  <c r="G81" i="16"/>
  <c r="M80" i="16"/>
  <c r="L80" i="16"/>
  <c r="K80" i="16"/>
  <c r="J80" i="16"/>
  <c r="I80" i="16"/>
  <c r="H80" i="16"/>
  <c r="G80" i="16"/>
  <c r="M79" i="16"/>
  <c r="L79" i="16"/>
  <c r="K79" i="16"/>
  <c r="J79" i="16"/>
  <c r="I79" i="16"/>
  <c r="H79" i="16"/>
  <c r="G79" i="16"/>
  <c r="M78" i="16"/>
  <c r="L78" i="16"/>
  <c r="K78" i="16"/>
  <c r="J78" i="16"/>
  <c r="I78" i="16"/>
  <c r="H78" i="16"/>
  <c r="G78" i="16"/>
  <c r="M77" i="16"/>
  <c r="L77" i="16"/>
  <c r="K77" i="16"/>
  <c r="J77" i="16"/>
  <c r="I77" i="16"/>
  <c r="H77" i="16"/>
  <c r="G77" i="16"/>
  <c r="M76" i="16"/>
  <c r="L76" i="16"/>
  <c r="K76" i="16"/>
  <c r="J76" i="16"/>
  <c r="I76" i="16"/>
  <c r="H76" i="16"/>
  <c r="G76" i="16"/>
  <c r="M75" i="16"/>
  <c r="L75" i="16"/>
  <c r="K75" i="16"/>
  <c r="J75" i="16"/>
  <c r="I75" i="16"/>
  <c r="H75" i="16"/>
  <c r="G75" i="16"/>
  <c r="M74" i="16"/>
  <c r="L74" i="16"/>
  <c r="K74" i="16"/>
  <c r="J74" i="16"/>
  <c r="I74" i="16"/>
  <c r="H74" i="16"/>
  <c r="G74" i="16"/>
  <c r="M73" i="16"/>
  <c r="L73" i="16"/>
  <c r="K73" i="16"/>
  <c r="J73" i="16"/>
  <c r="I73" i="16"/>
  <c r="H73" i="16"/>
  <c r="G73" i="16"/>
  <c r="M72" i="16"/>
  <c r="L72" i="16"/>
  <c r="K72" i="16"/>
  <c r="J72" i="16"/>
  <c r="I72" i="16"/>
  <c r="H72" i="16"/>
  <c r="G72" i="16"/>
  <c r="M71" i="16"/>
  <c r="L71" i="16"/>
  <c r="K71" i="16"/>
  <c r="J71" i="16"/>
  <c r="I71" i="16"/>
  <c r="H71" i="16"/>
  <c r="G71" i="16"/>
  <c r="M70" i="16"/>
  <c r="L70" i="16"/>
  <c r="K70" i="16"/>
  <c r="J70" i="16"/>
  <c r="I70" i="16"/>
  <c r="H70" i="16"/>
  <c r="G70" i="16"/>
  <c r="M69" i="16"/>
  <c r="L69" i="16"/>
  <c r="K69" i="16"/>
  <c r="J69" i="16"/>
  <c r="I69" i="16"/>
  <c r="H69" i="16"/>
  <c r="G69" i="16"/>
  <c r="M68" i="16"/>
  <c r="L68" i="16"/>
  <c r="K68" i="16"/>
  <c r="J68" i="16"/>
  <c r="I68" i="16"/>
  <c r="H68" i="16"/>
  <c r="G68" i="16"/>
  <c r="M67" i="16"/>
  <c r="L67" i="16"/>
  <c r="K67" i="16"/>
  <c r="J67" i="16"/>
  <c r="I67" i="16"/>
  <c r="H67" i="16"/>
  <c r="G67" i="16"/>
  <c r="M66" i="16"/>
  <c r="L66" i="16"/>
  <c r="K66" i="16"/>
  <c r="J66" i="16"/>
  <c r="I66" i="16"/>
  <c r="H66" i="16"/>
  <c r="G66" i="16"/>
  <c r="M65" i="16"/>
  <c r="L65" i="16"/>
  <c r="K65" i="16"/>
  <c r="J65" i="16"/>
  <c r="I65" i="16"/>
  <c r="H65" i="16"/>
  <c r="G65" i="16"/>
  <c r="M64" i="16"/>
  <c r="L64" i="16"/>
  <c r="K64" i="16"/>
  <c r="J64" i="16"/>
  <c r="I64" i="16"/>
  <c r="H64" i="16"/>
  <c r="G64" i="16"/>
  <c r="M63" i="16"/>
  <c r="L63" i="16"/>
  <c r="K63" i="16"/>
  <c r="J63" i="16"/>
  <c r="I63" i="16"/>
  <c r="H63" i="16"/>
  <c r="G63" i="16"/>
  <c r="M62" i="16"/>
  <c r="L62" i="16"/>
  <c r="K62" i="16"/>
  <c r="J62" i="16"/>
  <c r="I62" i="16"/>
  <c r="H62" i="16"/>
  <c r="G62" i="16"/>
  <c r="M61" i="16"/>
  <c r="L61" i="16"/>
  <c r="K61" i="16"/>
  <c r="J61" i="16"/>
  <c r="I61" i="16"/>
  <c r="H61" i="16"/>
  <c r="G61" i="16"/>
  <c r="M60" i="16"/>
  <c r="L60" i="16"/>
  <c r="K60" i="16"/>
  <c r="J60" i="16"/>
  <c r="I60" i="16"/>
  <c r="H60" i="16"/>
  <c r="G60" i="16"/>
  <c r="M59" i="16"/>
  <c r="L59" i="16"/>
  <c r="K59" i="16"/>
  <c r="J59" i="16"/>
  <c r="I59" i="16"/>
  <c r="H59" i="16"/>
  <c r="G59" i="16"/>
  <c r="M58" i="16"/>
  <c r="L58" i="16"/>
  <c r="K58" i="16"/>
  <c r="J58" i="16"/>
  <c r="I58" i="16"/>
  <c r="H58" i="16"/>
  <c r="G58" i="16"/>
  <c r="M57" i="16"/>
  <c r="L57" i="16"/>
  <c r="K57" i="16"/>
  <c r="J57" i="16"/>
  <c r="I57" i="16"/>
  <c r="H57" i="16"/>
  <c r="G57" i="16"/>
  <c r="M56" i="16"/>
  <c r="L56" i="16"/>
  <c r="K56" i="16"/>
  <c r="J56" i="16"/>
  <c r="I56" i="16"/>
  <c r="H56" i="16"/>
  <c r="G56" i="16"/>
  <c r="M55" i="16"/>
  <c r="L55" i="16"/>
  <c r="K55" i="16"/>
  <c r="J55" i="16"/>
  <c r="I55" i="16"/>
  <c r="H55" i="16"/>
  <c r="G55" i="16"/>
  <c r="M54" i="16"/>
  <c r="L54" i="16"/>
  <c r="K54" i="16"/>
  <c r="J54" i="16"/>
  <c r="I54" i="16"/>
  <c r="H54" i="16"/>
  <c r="G54" i="16"/>
  <c r="M53" i="16"/>
  <c r="L53" i="16"/>
  <c r="K53" i="16"/>
  <c r="J53" i="16"/>
  <c r="I53" i="16"/>
  <c r="H53" i="16"/>
  <c r="G53" i="16"/>
  <c r="M52" i="16"/>
  <c r="L52" i="16"/>
  <c r="K52" i="16"/>
  <c r="J52" i="16"/>
  <c r="I52" i="16"/>
  <c r="H52" i="16"/>
  <c r="G52" i="16"/>
  <c r="M51" i="16"/>
  <c r="L51" i="16"/>
  <c r="K51" i="16"/>
  <c r="J51" i="16"/>
  <c r="I51" i="16"/>
  <c r="H51" i="16"/>
  <c r="G51" i="16"/>
  <c r="M50" i="16"/>
  <c r="L50" i="16"/>
  <c r="K50" i="16"/>
  <c r="J50" i="16"/>
  <c r="I50" i="16"/>
  <c r="H50" i="16"/>
  <c r="G50" i="16"/>
  <c r="M49" i="16"/>
  <c r="L49" i="16"/>
  <c r="K49" i="16"/>
  <c r="J49" i="16"/>
  <c r="I49" i="16"/>
  <c r="H49" i="16"/>
  <c r="G49" i="16"/>
  <c r="M48" i="16"/>
  <c r="L48" i="16"/>
  <c r="K48" i="16"/>
  <c r="J48" i="16"/>
  <c r="I48" i="16"/>
  <c r="H48" i="16"/>
  <c r="G48" i="16"/>
  <c r="M47" i="16"/>
  <c r="L47" i="16"/>
  <c r="K47" i="16"/>
  <c r="J47" i="16"/>
  <c r="I47" i="16"/>
  <c r="H47" i="16"/>
  <c r="G47" i="16"/>
  <c r="M46" i="16"/>
  <c r="L46" i="16"/>
  <c r="K46" i="16"/>
  <c r="J46" i="16"/>
  <c r="I46" i="16"/>
  <c r="H46" i="16"/>
  <c r="G46" i="16"/>
  <c r="M45" i="16"/>
  <c r="L45" i="16"/>
  <c r="K45" i="16"/>
  <c r="J45" i="16"/>
  <c r="I45" i="16"/>
  <c r="H45" i="16"/>
  <c r="G45" i="16"/>
  <c r="M44" i="16"/>
  <c r="L44" i="16"/>
  <c r="K44" i="16"/>
  <c r="J44" i="16"/>
  <c r="I44" i="16"/>
  <c r="H44" i="16"/>
  <c r="G44" i="16"/>
  <c r="M43" i="16"/>
  <c r="L43" i="16"/>
  <c r="K43" i="16"/>
  <c r="J43" i="16"/>
  <c r="I43" i="16"/>
  <c r="H43" i="16"/>
  <c r="G43" i="16"/>
  <c r="M42" i="16"/>
  <c r="L42" i="16"/>
  <c r="K42" i="16"/>
  <c r="J42" i="16"/>
  <c r="I42" i="16"/>
  <c r="H42" i="16"/>
  <c r="G42" i="16"/>
  <c r="M41" i="16"/>
  <c r="L41" i="16"/>
  <c r="K41" i="16"/>
  <c r="J41" i="16"/>
  <c r="I41" i="16"/>
  <c r="H41" i="16"/>
  <c r="G41" i="16"/>
  <c r="M40" i="16"/>
  <c r="L40" i="16"/>
  <c r="K40" i="16"/>
  <c r="J40" i="16"/>
  <c r="I40" i="16"/>
  <c r="H40" i="16"/>
  <c r="G40" i="16"/>
  <c r="M39" i="16"/>
  <c r="L39" i="16"/>
  <c r="K39" i="16"/>
  <c r="J39" i="16"/>
  <c r="I39" i="16"/>
  <c r="H39" i="16"/>
  <c r="G39" i="16"/>
  <c r="M38" i="16"/>
  <c r="L38" i="16"/>
  <c r="K38" i="16"/>
  <c r="J38" i="16"/>
  <c r="I38" i="16"/>
  <c r="H38" i="16"/>
  <c r="G38" i="16"/>
  <c r="M37" i="16"/>
  <c r="L37" i="16"/>
  <c r="K37" i="16"/>
  <c r="J37" i="16"/>
  <c r="I37" i="16"/>
  <c r="H37" i="16"/>
  <c r="G37" i="16"/>
  <c r="M36" i="16"/>
  <c r="L36" i="16"/>
  <c r="K36" i="16"/>
  <c r="J36" i="16"/>
  <c r="I36" i="16"/>
  <c r="H36" i="16"/>
  <c r="G36" i="16"/>
  <c r="M35" i="16"/>
  <c r="L35" i="16"/>
  <c r="K35" i="16"/>
  <c r="J35" i="16"/>
  <c r="I35" i="16"/>
  <c r="H35" i="16"/>
  <c r="G35" i="16"/>
  <c r="M34" i="16"/>
  <c r="L34" i="16"/>
  <c r="K34" i="16"/>
  <c r="J34" i="16"/>
  <c r="I34" i="16"/>
  <c r="H34" i="16"/>
  <c r="G34" i="16"/>
  <c r="M33" i="16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31" i="16"/>
  <c r="L31" i="16"/>
  <c r="K31" i="16"/>
  <c r="J31" i="16"/>
  <c r="I31" i="16"/>
  <c r="H31" i="16"/>
  <c r="G31" i="16"/>
  <c r="M30" i="16"/>
  <c r="L30" i="16"/>
  <c r="K30" i="16"/>
  <c r="J30" i="16"/>
  <c r="I30" i="16"/>
  <c r="H30" i="16"/>
  <c r="G30" i="16"/>
  <c r="M29" i="16"/>
  <c r="L29" i="16"/>
  <c r="K29" i="16"/>
  <c r="J29" i="16"/>
  <c r="I29" i="16"/>
  <c r="H29" i="16"/>
  <c r="G29" i="16"/>
  <c r="M28" i="16"/>
  <c r="L28" i="16"/>
  <c r="K28" i="16"/>
  <c r="J28" i="16"/>
  <c r="I28" i="16"/>
  <c r="H28" i="16"/>
  <c r="G28" i="16"/>
  <c r="M27" i="16"/>
  <c r="L27" i="16"/>
  <c r="K27" i="16"/>
  <c r="J27" i="16"/>
  <c r="I27" i="16"/>
  <c r="H27" i="16"/>
  <c r="G27" i="16"/>
  <c r="M26" i="16"/>
  <c r="L26" i="16"/>
  <c r="K26" i="16"/>
  <c r="J26" i="16"/>
  <c r="I26" i="16"/>
  <c r="H26" i="16"/>
  <c r="G26" i="16"/>
  <c r="M25" i="16"/>
  <c r="L25" i="16"/>
  <c r="K25" i="16"/>
  <c r="J25" i="16"/>
  <c r="I25" i="16"/>
  <c r="H25" i="16"/>
  <c r="G25" i="16"/>
  <c r="M24" i="16"/>
  <c r="L24" i="16"/>
  <c r="K24" i="16"/>
  <c r="J24" i="16"/>
  <c r="I24" i="16"/>
  <c r="H24" i="16"/>
  <c r="G24" i="16"/>
  <c r="M23" i="16"/>
  <c r="L23" i="16"/>
  <c r="K23" i="16"/>
  <c r="J23" i="16"/>
  <c r="I23" i="16"/>
  <c r="H23" i="16"/>
  <c r="G23" i="16"/>
  <c r="M22" i="16"/>
  <c r="L22" i="16"/>
  <c r="K22" i="16"/>
  <c r="J22" i="16"/>
  <c r="I22" i="16"/>
  <c r="H22" i="16"/>
  <c r="G22" i="16"/>
  <c r="M21" i="16"/>
  <c r="L21" i="16"/>
  <c r="K21" i="16"/>
  <c r="J21" i="16"/>
  <c r="I21" i="16"/>
  <c r="H21" i="16"/>
  <c r="G21" i="16"/>
  <c r="M20" i="16"/>
  <c r="L20" i="16"/>
  <c r="K20" i="16"/>
  <c r="J20" i="16"/>
  <c r="I20" i="16"/>
  <c r="H20" i="16"/>
  <c r="G20" i="16"/>
  <c r="M19" i="16"/>
  <c r="L19" i="16"/>
  <c r="K19" i="16"/>
  <c r="J19" i="16"/>
  <c r="I19" i="16"/>
  <c r="H19" i="16"/>
  <c r="G19" i="16"/>
  <c r="M18" i="16"/>
  <c r="L18" i="16"/>
  <c r="K18" i="16"/>
  <c r="J18" i="16"/>
  <c r="I18" i="16"/>
  <c r="H18" i="16"/>
  <c r="G18" i="16"/>
  <c r="M17" i="16"/>
  <c r="L17" i="16"/>
  <c r="K17" i="16"/>
  <c r="J17" i="16"/>
  <c r="I17" i="16"/>
  <c r="H17" i="16"/>
  <c r="G17" i="16"/>
  <c r="M16" i="16"/>
  <c r="L16" i="16"/>
  <c r="K16" i="16"/>
  <c r="J16" i="16"/>
  <c r="I16" i="16"/>
  <c r="H16" i="16"/>
  <c r="G16" i="16"/>
  <c r="M15" i="16"/>
  <c r="L15" i="16"/>
  <c r="K15" i="16"/>
  <c r="J15" i="16"/>
  <c r="I15" i="16"/>
  <c r="H15" i="16"/>
  <c r="G15" i="16"/>
  <c r="M14" i="16"/>
  <c r="L14" i="16"/>
  <c r="K14" i="16"/>
  <c r="J14" i="16"/>
  <c r="I14" i="16"/>
  <c r="H14" i="16"/>
  <c r="G14" i="16"/>
  <c r="M13" i="16"/>
  <c r="L13" i="16"/>
  <c r="K13" i="16"/>
  <c r="J13" i="16"/>
  <c r="I13" i="16"/>
  <c r="H13" i="16"/>
  <c r="G13" i="16"/>
  <c r="M12" i="16"/>
  <c r="L12" i="16"/>
  <c r="K12" i="16"/>
  <c r="J12" i="16"/>
  <c r="I12" i="16"/>
  <c r="H12" i="16"/>
  <c r="G12" i="16"/>
  <c r="M11" i="16"/>
  <c r="L11" i="16"/>
  <c r="K11" i="16"/>
  <c r="J11" i="16"/>
  <c r="I11" i="16"/>
  <c r="H11" i="16"/>
  <c r="G11" i="16"/>
  <c r="M10" i="16"/>
  <c r="L10" i="16"/>
  <c r="K10" i="16"/>
  <c r="J10" i="16"/>
  <c r="I10" i="16"/>
  <c r="H10" i="16"/>
  <c r="G10" i="16"/>
  <c r="M9" i="16"/>
  <c r="L9" i="16"/>
  <c r="K9" i="16"/>
  <c r="J9" i="16"/>
  <c r="I9" i="16"/>
  <c r="H9" i="16"/>
  <c r="G9" i="16"/>
  <c r="M8" i="16"/>
  <c r="L8" i="16"/>
  <c r="K8" i="16"/>
  <c r="J8" i="16"/>
  <c r="I8" i="16"/>
  <c r="H8" i="16"/>
  <c r="G8" i="16"/>
  <c r="M7" i="16"/>
  <c r="L7" i="16"/>
  <c r="K7" i="16"/>
  <c r="J7" i="16"/>
  <c r="I7" i="16"/>
  <c r="H7" i="16"/>
  <c r="G7" i="16"/>
  <c r="M6" i="16"/>
  <c r="L6" i="16"/>
  <c r="K6" i="16"/>
  <c r="J6" i="16"/>
  <c r="I6" i="16"/>
  <c r="H6" i="16"/>
  <c r="G6" i="16"/>
  <c r="M5" i="16"/>
  <c r="L5" i="16"/>
  <c r="K5" i="16"/>
  <c r="J5" i="16"/>
  <c r="I5" i="16"/>
  <c r="H5" i="16"/>
  <c r="G5" i="16"/>
  <c r="M4" i="16"/>
  <c r="L4" i="16"/>
  <c r="K4" i="16"/>
  <c r="J4" i="16"/>
  <c r="I4" i="16"/>
  <c r="H4" i="16"/>
  <c r="G4" i="16"/>
  <c r="M3" i="16"/>
  <c r="L3" i="16"/>
  <c r="K3" i="16"/>
  <c r="J3" i="16"/>
  <c r="I3" i="16"/>
  <c r="H3" i="16"/>
  <c r="G3" i="16"/>
  <c r="M2" i="16"/>
  <c r="L2" i="16"/>
  <c r="K2" i="16"/>
  <c r="J2" i="16"/>
  <c r="I2" i="16"/>
  <c r="H2" i="16"/>
  <c r="G2" i="16"/>
  <c r="AC175" i="15"/>
  <c r="AB175" i="15"/>
  <c r="AA175" i="15"/>
  <c r="Z175" i="15"/>
  <c r="Y175" i="15"/>
  <c r="X175" i="15"/>
  <c r="W175" i="15"/>
  <c r="V175" i="15"/>
  <c r="AC174" i="15"/>
  <c r="AB174" i="15"/>
  <c r="AA174" i="15"/>
  <c r="Z174" i="15"/>
  <c r="Y174" i="15"/>
  <c r="X174" i="15"/>
  <c r="W174" i="15"/>
  <c r="V174" i="15"/>
  <c r="AC173" i="15"/>
  <c r="AB173" i="15"/>
  <c r="AA173" i="15"/>
  <c r="Z173" i="15"/>
  <c r="Y173" i="15"/>
  <c r="X173" i="15"/>
  <c r="W173" i="15"/>
  <c r="V173" i="15"/>
  <c r="AC172" i="15"/>
  <c r="AB172" i="15"/>
  <c r="AA172" i="15"/>
  <c r="Z172" i="15"/>
  <c r="Y172" i="15"/>
  <c r="X172" i="15"/>
  <c r="W172" i="15"/>
  <c r="V172" i="15"/>
  <c r="AC171" i="15"/>
  <c r="AB171" i="15"/>
  <c r="AA171" i="15"/>
  <c r="Z171" i="15"/>
  <c r="Y171" i="15"/>
  <c r="X171" i="15"/>
  <c r="W171" i="15"/>
  <c r="V171" i="15"/>
  <c r="AC170" i="15"/>
  <c r="AB170" i="15"/>
  <c r="AA170" i="15"/>
  <c r="Z170" i="15"/>
  <c r="Y170" i="15"/>
  <c r="X170" i="15"/>
  <c r="W170" i="15"/>
  <c r="V170" i="15"/>
  <c r="AC169" i="15"/>
  <c r="AB169" i="15"/>
  <c r="AA169" i="15"/>
  <c r="Z169" i="15"/>
  <c r="Y169" i="15"/>
  <c r="X169" i="15"/>
  <c r="W169" i="15"/>
  <c r="V169" i="15"/>
  <c r="AC168" i="15"/>
  <c r="AB168" i="15"/>
  <c r="AA168" i="15"/>
  <c r="Z168" i="15"/>
  <c r="Y168" i="15"/>
  <c r="X168" i="15"/>
  <c r="W168" i="15"/>
  <c r="V168" i="15"/>
  <c r="AC167" i="15"/>
  <c r="AB167" i="15"/>
  <c r="AA167" i="15"/>
  <c r="Z167" i="15"/>
  <c r="Y167" i="15"/>
  <c r="X167" i="15"/>
  <c r="W167" i="15"/>
  <c r="V167" i="15"/>
  <c r="AC166" i="15"/>
  <c r="AB166" i="15"/>
  <c r="AA166" i="15"/>
  <c r="Z166" i="15"/>
  <c r="Y166" i="15"/>
  <c r="X166" i="15"/>
  <c r="W166" i="15"/>
  <c r="V166" i="15"/>
  <c r="AC165" i="15"/>
  <c r="AB165" i="15"/>
  <c r="AA165" i="15"/>
  <c r="Z165" i="15"/>
  <c r="Y165" i="15"/>
  <c r="X165" i="15"/>
  <c r="W165" i="15"/>
  <c r="V165" i="15"/>
  <c r="AC164" i="15"/>
  <c r="AB164" i="15"/>
  <c r="AA164" i="15"/>
  <c r="Z164" i="15"/>
  <c r="Y164" i="15"/>
  <c r="X164" i="15"/>
  <c r="W164" i="15"/>
  <c r="V164" i="15"/>
  <c r="AC163" i="15"/>
  <c r="AB163" i="15"/>
  <c r="AA163" i="15"/>
  <c r="Z163" i="15"/>
  <c r="Y163" i="15"/>
  <c r="X163" i="15"/>
  <c r="W163" i="15"/>
  <c r="V163" i="15"/>
  <c r="AC162" i="15"/>
  <c r="AB162" i="15"/>
  <c r="AA162" i="15"/>
  <c r="Z162" i="15"/>
  <c r="Y162" i="15"/>
  <c r="X162" i="15"/>
  <c r="W162" i="15"/>
  <c r="V162" i="15"/>
  <c r="AC161" i="15"/>
  <c r="AB161" i="15"/>
  <c r="AA161" i="15"/>
  <c r="Z161" i="15"/>
  <c r="Y161" i="15"/>
  <c r="X161" i="15"/>
  <c r="W161" i="15"/>
  <c r="V161" i="15"/>
  <c r="AC160" i="15"/>
  <c r="AB160" i="15"/>
  <c r="AA160" i="15"/>
  <c r="Z160" i="15"/>
  <c r="Y160" i="15"/>
  <c r="X160" i="15"/>
  <c r="W160" i="15"/>
  <c r="V160" i="15"/>
  <c r="AC159" i="15"/>
  <c r="AB159" i="15"/>
  <c r="AA159" i="15"/>
  <c r="Z159" i="15"/>
  <c r="Y159" i="15"/>
  <c r="X159" i="15"/>
  <c r="W159" i="15"/>
  <c r="V159" i="15"/>
  <c r="AC158" i="15"/>
  <c r="AB158" i="15"/>
  <c r="AA158" i="15"/>
  <c r="Z158" i="15"/>
  <c r="Y158" i="15"/>
  <c r="X158" i="15"/>
  <c r="W158" i="15"/>
  <c r="V158" i="15"/>
  <c r="AC157" i="15"/>
  <c r="AB157" i="15"/>
  <c r="AA157" i="15"/>
  <c r="Z157" i="15"/>
  <c r="Y157" i="15"/>
  <c r="X157" i="15"/>
  <c r="W157" i="15"/>
  <c r="V157" i="15"/>
  <c r="AC156" i="15"/>
  <c r="AB156" i="15"/>
  <c r="AA156" i="15"/>
  <c r="Z156" i="15"/>
  <c r="Y156" i="15"/>
  <c r="X156" i="15"/>
  <c r="W156" i="15"/>
  <c r="V156" i="15"/>
  <c r="AC155" i="15"/>
  <c r="AB155" i="15"/>
  <c r="AA155" i="15"/>
  <c r="Z155" i="15"/>
  <c r="Y155" i="15"/>
  <c r="X155" i="15"/>
  <c r="W155" i="15"/>
  <c r="V155" i="15"/>
  <c r="AC154" i="15"/>
  <c r="AB154" i="15"/>
  <c r="AA154" i="15"/>
  <c r="Z154" i="15"/>
  <c r="Y154" i="15"/>
  <c r="X154" i="15"/>
  <c r="W154" i="15"/>
  <c r="V154" i="15"/>
  <c r="AC153" i="15"/>
  <c r="AB153" i="15"/>
  <c r="AA153" i="15"/>
  <c r="Z153" i="15"/>
  <c r="Y153" i="15"/>
  <c r="X153" i="15"/>
  <c r="W153" i="15"/>
  <c r="V153" i="15"/>
  <c r="AC152" i="15"/>
  <c r="AB152" i="15"/>
  <c r="AA152" i="15"/>
  <c r="Z152" i="15"/>
  <c r="Y152" i="15"/>
  <c r="X152" i="15"/>
  <c r="W152" i="15"/>
  <c r="V152" i="15"/>
  <c r="AC151" i="15"/>
  <c r="AB151" i="15"/>
  <c r="AA151" i="15"/>
  <c r="Z151" i="15"/>
  <c r="Y151" i="15"/>
  <c r="X151" i="15"/>
  <c r="W151" i="15"/>
  <c r="V151" i="15"/>
  <c r="AC150" i="15"/>
  <c r="AB150" i="15"/>
  <c r="AA150" i="15"/>
  <c r="Z150" i="15"/>
  <c r="Y150" i="15"/>
  <c r="X150" i="15"/>
  <c r="W150" i="15"/>
  <c r="V150" i="15"/>
  <c r="AC149" i="15"/>
  <c r="AB149" i="15"/>
  <c r="AA149" i="15"/>
  <c r="Z149" i="15"/>
  <c r="Y149" i="15"/>
  <c r="X149" i="15"/>
  <c r="W149" i="15"/>
  <c r="V149" i="15"/>
  <c r="AC148" i="15"/>
  <c r="AB148" i="15"/>
  <c r="AA148" i="15"/>
  <c r="Z148" i="15"/>
  <c r="Y148" i="15"/>
  <c r="X148" i="15"/>
  <c r="W148" i="15"/>
  <c r="V148" i="15"/>
  <c r="AC147" i="15"/>
  <c r="AB147" i="15"/>
  <c r="AA147" i="15"/>
  <c r="Z147" i="15"/>
  <c r="Y147" i="15"/>
  <c r="X147" i="15"/>
  <c r="W147" i="15"/>
  <c r="V147" i="15"/>
  <c r="AC146" i="15"/>
  <c r="AB146" i="15"/>
  <c r="AA146" i="15"/>
  <c r="Z146" i="15"/>
  <c r="Y146" i="15"/>
  <c r="X146" i="15"/>
  <c r="W146" i="15"/>
  <c r="V146" i="15"/>
  <c r="AC145" i="15"/>
  <c r="AB145" i="15"/>
  <c r="AA145" i="15"/>
  <c r="Z145" i="15"/>
  <c r="Y145" i="15"/>
  <c r="X145" i="15"/>
  <c r="W145" i="15"/>
  <c r="V145" i="15"/>
  <c r="AC144" i="15"/>
  <c r="AB144" i="15"/>
  <c r="AA144" i="15"/>
  <c r="Z144" i="15"/>
  <c r="Y144" i="15"/>
  <c r="X144" i="15"/>
  <c r="W144" i="15"/>
  <c r="V144" i="15"/>
  <c r="AC143" i="15"/>
  <c r="AB143" i="15"/>
  <c r="AA143" i="15"/>
  <c r="Z143" i="15"/>
  <c r="Y143" i="15"/>
  <c r="X143" i="15"/>
  <c r="W143" i="15"/>
  <c r="V143" i="15"/>
  <c r="AC142" i="15"/>
  <c r="AB142" i="15"/>
  <c r="AA142" i="15"/>
  <c r="Z142" i="15"/>
  <c r="Y142" i="15"/>
  <c r="X142" i="15"/>
  <c r="W142" i="15"/>
  <c r="V142" i="15"/>
  <c r="AC141" i="15"/>
  <c r="AB141" i="15"/>
  <c r="AA141" i="15"/>
  <c r="Z141" i="15"/>
  <c r="Y141" i="15"/>
  <c r="X141" i="15"/>
  <c r="W141" i="15"/>
  <c r="V141" i="15"/>
  <c r="AC140" i="15"/>
  <c r="AB140" i="15"/>
  <c r="AA140" i="15"/>
  <c r="Z140" i="15"/>
  <c r="Y140" i="15"/>
  <c r="X140" i="15"/>
  <c r="W140" i="15"/>
  <c r="V140" i="15"/>
  <c r="AC139" i="15"/>
  <c r="AB139" i="15"/>
  <c r="AA139" i="15"/>
  <c r="Z139" i="15"/>
  <c r="Y139" i="15"/>
  <c r="X139" i="15"/>
  <c r="W139" i="15"/>
  <c r="V139" i="15"/>
  <c r="AC138" i="15"/>
  <c r="AB138" i="15"/>
  <c r="AA138" i="15"/>
  <c r="Z138" i="15"/>
  <c r="Y138" i="15"/>
  <c r="X138" i="15"/>
  <c r="W138" i="15"/>
  <c r="V138" i="15"/>
  <c r="AC137" i="15"/>
  <c r="AB137" i="15"/>
  <c r="AA137" i="15"/>
  <c r="Z137" i="15"/>
  <c r="Y137" i="15"/>
  <c r="X137" i="15"/>
  <c r="W137" i="15"/>
  <c r="V137" i="15"/>
  <c r="AC136" i="15"/>
  <c r="AB136" i="15"/>
  <c r="AA136" i="15"/>
  <c r="Z136" i="15"/>
  <c r="Y136" i="15"/>
  <c r="X136" i="15"/>
  <c r="W136" i="15"/>
  <c r="V136" i="15"/>
  <c r="AC135" i="15"/>
  <c r="AB135" i="15"/>
  <c r="AA135" i="15"/>
  <c r="Z135" i="15"/>
  <c r="Y135" i="15"/>
  <c r="X135" i="15"/>
  <c r="W135" i="15"/>
  <c r="V135" i="15"/>
  <c r="AC134" i="15"/>
  <c r="AB134" i="15"/>
  <c r="AA134" i="15"/>
  <c r="Z134" i="15"/>
  <c r="Y134" i="15"/>
  <c r="X134" i="15"/>
  <c r="W134" i="15"/>
  <c r="V134" i="15"/>
  <c r="AC133" i="15"/>
  <c r="AB133" i="15"/>
  <c r="AA133" i="15"/>
  <c r="Z133" i="15"/>
  <c r="Y133" i="15"/>
  <c r="X133" i="15"/>
  <c r="W133" i="15"/>
  <c r="V133" i="15"/>
  <c r="AC132" i="15"/>
  <c r="AB132" i="15"/>
  <c r="AA132" i="15"/>
  <c r="Z132" i="15"/>
  <c r="Y132" i="15"/>
  <c r="X132" i="15"/>
  <c r="W132" i="15"/>
  <c r="V132" i="15"/>
  <c r="AC131" i="15"/>
  <c r="AB131" i="15"/>
  <c r="AA131" i="15"/>
  <c r="Z131" i="15"/>
  <c r="Y131" i="15"/>
  <c r="X131" i="15"/>
  <c r="W131" i="15"/>
  <c r="V131" i="15"/>
  <c r="AC130" i="15"/>
  <c r="AB130" i="15"/>
  <c r="AA130" i="15"/>
  <c r="Z130" i="15"/>
  <c r="Y130" i="15"/>
  <c r="X130" i="15"/>
  <c r="W130" i="15"/>
  <c r="V130" i="15"/>
  <c r="AC129" i="15"/>
  <c r="AB129" i="15"/>
  <c r="AA129" i="15"/>
  <c r="Z129" i="15"/>
  <c r="Y129" i="15"/>
  <c r="X129" i="15"/>
  <c r="W129" i="15"/>
  <c r="V129" i="15"/>
  <c r="AC128" i="15"/>
  <c r="AB128" i="15"/>
  <c r="AA128" i="15"/>
  <c r="Z128" i="15"/>
  <c r="Y128" i="15"/>
  <c r="X128" i="15"/>
  <c r="W128" i="15"/>
  <c r="V128" i="15"/>
  <c r="AC127" i="15"/>
  <c r="AB127" i="15"/>
  <c r="AA127" i="15"/>
  <c r="Z127" i="15"/>
  <c r="Y127" i="15"/>
  <c r="X127" i="15"/>
  <c r="W127" i="15"/>
  <c r="V127" i="15"/>
  <c r="AC126" i="15"/>
  <c r="AB126" i="15"/>
  <c r="AA126" i="15"/>
  <c r="Z126" i="15"/>
  <c r="Y126" i="15"/>
  <c r="X126" i="15"/>
  <c r="W126" i="15"/>
  <c r="V126" i="15"/>
  <c r="AC125" i="15"/>
  <c r="AB125" i="15"/>
  <c r="AA125" i="15"/>
  <c r="Z125" i="15"/>
  <c r="Y125" i="15"/>
  <c r="X125" i="15"/>
  <c r="W125" i="15"/>
  <c r="V125" i="15"/>
  <c r="AC124" i="15"/>
  <c r="AB124" i="15"/>
  <c r="AA124" i="15"/>
  <c r="Z124" i="15"/>
  <c r="Y124" i="15"/>
  <c r="X124" i="15"/>
  <c r="W124" i="15"/>
  <c r="V124" i="15"/>
  <c r="AC123" i="15"/>
  <c r="AB123" i="15"/>
  <c r="AA123" i="15"/>
  <c r="Z123" i="15"/>
  <c r="Y123" i="15"/>
  <c r="X123" i="15"/>
  <c r="W123" i="15"/>
  <c r="V123" i="15"/>
  <c r="AC122" i="15"/>
  <c r="AB122" i="15"/>
  <c r="AA122" i="15"/>
  <c r="Z122" i="15"/>
  <c r="Y122" i="15"/>
  <c r="X122" i="15"/>
  <c r="W122" i="15"/>
  <c r="V122" i="15"/>
  <c r="AC121" i="15"/>
  <c r="AB121" i="15"/>
  <c r="AA121" i="15"/>
  <c r="Z121" i="15"/>
  <c r="Y121" i="15"/>
  <c r="X121" i="15"/>
  <c r="W121" i="15"/>
  <c r="V121" i="15"/>
  <c r="AC120" i="15"/>
  <c r="AB120" i="15"/>
  <c r="AA120" i="15"/>
  <c r="Z120" i="15"/>
  <c r="Y120" i="15"/>
  <c r="X120" i="15"/>
  <c r="W120" i="15"/>
  <c r="V120" i="15"/>
  <c r="AC119" i="15"/>
  <c r="AB119" i="15"/>
  <c r="AA119" i="15"/>
  <c r="Z119" i="15"/>
  <c r="Y119" i="15"/>
  <c r="X119" i="15"/>
  <c r="W119" i="15"/>
  <c r="V119" i="15"/>
  <c r="AC118" i="15"/>
  <c r="AB118" i="15"/>
  <c r="AA118" i="15"/>
  <c r="Z118" i="15"/>
  <c r="Y118" i="15"/>
  <c r="X118" i="15"/>
  <c r="W118" i="15"/>
  <c r="V118" i="15"/>
  <c r="AC117" i="15"/>
  <c r="AB117" i="15"/>
  <c r="AA117" i="15"/>
  <c r="Z117" i="15"/>
  <c r="Y117" i="15"/>
  <c r="X117" i="15"/>
  <c r="W117" i="15"/>
  <c r="V117" i="15"/>
  <c r="AC116" i="15"/>
  <c r="AB116" i="15"/>
  <c r="AA116" i="15"/>
  <c r="Z116" i="15"/>
  <c r="Y116" i="15"/>
  <c r="X116" i="15"/>
  <c r="W116" i="15"/>
  <c r="V116" i="15"/>
  <c r="AC115" i="15"/>
  <c r="AB115" i="15"/>
  <c r="AA115" i="15"/>
  <c r="Z115" i="15"/>
  <c r="Y115" i="15"/>
  <c r="X115" i="15"/>
  <c r="W115" i="15"/>
  <c r="V115" i="15"/>
  <c r="AC114" i="15"/>
  <c r="AB114" i="15"/>
  <c r="AA114" i="15"/>
  <c r="Z114" i="15"/>
  <c r="Y114" i="15"/>
  <c r="X114" i="15"/>
  <c r="W114" i="15"/>
  <c r="V114" i="15"/>
  <c r="AC113" i="15"/>
  <c r="AB113" i="15"/>
  <c r="AA113" i="15"/>
  <c r="Z113" i="15"/>
  <c r="Y113" i="15"/>
  <c r="X113" i="15"/>
  <c r="W113" i="15"/>
  <c r="V113" i="15"/>
  <c r="AC112" i="15"/>
  <c r="AB112" i="15"/>
  <c r="AA112" i="15"/>
  <c r="Z112" i="15"/>
  <c r="Y112" i="15"/>
  <c r="X112" i="15"/>
  <c r="W112" i="15"/>
  <c r="V112" i="15"/>
  <c r="AC111" i="15"/>
  <c r="AB111" i="15"/>
  <c r="AA111" i="15"/>
  <c r="Z111" i="15"/>
  <c r="Y111" i="15"/>
  <c r="X111" i="15"/>
  <c r="W111" i="15"/>
  <c r="V111" i="15"/>
  <c r="AC110" i="15"/>
  <c r="AB110" i="15"/>
  <c r="AA110" i="15"/>
  <c r="Z110" i="15"/>
  <c r="Y110" i="15"/>
  <c r="X110" i="15"/>
  <c r="W110" i="15"/>
  <c r="V110" i="15"/>
  <c r="AC109" i="15"/>
  <c r="AB109" i="15"/>
  <c r="AA109" i="15"/>
  <c r="Z109" i="15"/>
  <c r="Y109" i="15"/>
  <c r="X109" i="15"/>
  <c r="W109" i="15"/>
  <c r="V109" i="15"/>
  <c r="AC108" i="15"/>
  <c r="AB108" i="15"/>
  <c r="AA108" i="15"/>
  <c r="Z108" i="15"/>
  <c r="Y108" i="15"/>
  <c r="X108" i="15"/>
  <c r="W108" i="15"/>
  <c r="V108" i="15"/>
  <c r="AC107" i="15"/>
  <c r="AB107" i="15"/>
  <c r="AA107" i="15"/>
  <c r="Z107" i="15"/>
  <c r="Y107" i="15"/>
  <c r="X107" i="15"/>
  <c r="W107" i="15"/>
  <c r="V107" i="15"/>
  <c r="AC106" i="15"/>
  <c r="AB106" i="15"/>
  <c r="AA106" i="15"/>
  <c r="Z106" i="15"/>
  <c r="Y106" i="15"/>
  <c r="X106" i="15"/>
  <c r="W106" i="15"/>
  <c r="V106" i="15"/>
  <c r="AC105" i="15"/>
  <c r="AB105" i="15"/>
  <c r="AA105" i="15"/>
  <c r="Z105" i="15"/>
  <c r="Y105" i="15"/>
  <c r="X105" i="15"/>
  <c r="W105" i="15"/>
  <c r="V105" i="15"/>
  <c r="AC104" i="15"/>
  <c r="AB104" i="15"/>
  <c r="AA104" i="15"/>
  <c r="Z104" i="15"/>
  <c r="Y104" i="15"/>
  <c r="X104" i="15"/>
  <c r="W104" i="15"/>
  <c r="V104" i="15"/>
  <c r="AC103" i="15"/>
  <c r="AB103" i="15"/>
  <c r="AA103" i="15"/>
  <c r="Z103" i="15"/>
  <c r="Y103" i="15"/>
  <c r="X103" i="15"/>
  <c r="W103" i="15"/>
  <c r="V103" i="15"/>
  <c r="AC102" i="15"/>
  <c r="AB102" i="15"/>
  <c r="AA102" i="15"/>
  <c r="Z102" i="15"/>
  <c r="Y102" i="15"/>
  <c r="X102" i="15"/>
  <c r="W102" i="15"/>
  <c r="V102" i="15"/>
  <c r="AC101" i="15"/>
  <c r="AB101" i="15"/>
  <c r="AA101" i="15"/>
  <c r="Z101" i="15"/>
  <c r="Y101" i="15"/>
  <c r="X101" i="15"/>
  <c r="W101" i="15"/>
  <c r="V101" i="15"/>
  <c r="AC100" i="15"/>
  <c r="AB100" i="15"/>
  <c r="AA100" i="15"/>
  <c r="Z100" i="15"/>
  <c r="Y100" i="15"/>
  <c r="X100" i="15"/>
  <c r="W100" i="15"/>
  <c r="V100" i="15"/>
  <c r="AC99" i="15"/>
  <c r="AB99" i="15"/>
  <c r="AA99" i="15"/>
  <c r="Z99" i="15"/>
  <c r="Y99" i="15"/>
  <c r="X99" i="15"/>
  <c r="W99" i="15"/>
  <c r="V99" i="15"/>
  <c r="AC98" i="15"/>
  <c r="AB98" i="15"/>
  <c r="AA98" i="15"/>
  <c r="Z98" i="15"/>
  <c r="Y98" i="15"/>
  <c r="X98" i="15"/>
  <c r="W98" i="15"/>
  <c r="V98" i="15"/>
  <c r="AC97" i="15"/>
  <c r="AB97" i="15"/>
  <c r="AA97" i="15"/>
  <c r="Z97" i="15"/>
  <c r="Y97" i="15"/>
  <c r="X97" i="15"/>
  <c r="W97" i="15"/>
  <c r="V97" i="15"/>
  <c r="AC96" i="15"/>
  <c r="AB96" i="15"/>
  <c r="AA96" i="15"/>
  <c r="Z96" i="15"/>
  <c r="Y96" i="15"/>
  <c r="X96" i="15"/>
  <c r="W96" i="15"/>
  <c r="V96" i="15"/>
  <c r="AC95" i="15"/>
  <c r="AB95" i="15"/>
  <c r="AA95" i="15"/>
  <c r="Z95" i="15"/>
  <c r="Y95" i="15"/>
  <c r="X95" i="15"/>
  <c r="W95" i="15"/>
  <c r="V95" i="15"/>
  <c r="AC94" i="15"/>
  <c r="AB94" i="15"/>
  <c r="AA94" i="15"/>
  <c r="Z94" i="15"/>
  <c r="Y94" i="15"/>
  <c r="X94" i="15"/>
  <c r="W94" i="15"/>
  <c r="V94" i="15"/>
  <c r="AC93" i="15"/>
  <c r="AB93" i="15"/>
  <c r="AA93" i="15"/>
  <c r="Z93" i="15"/>
  <c r="Y93" i="15"/>
  <c r="X93" i="15"/>
  <c r="W93" i="15"/>
  <c r="V93" i="15"/>
  <c r="AC92" i="15"/>
  <c r="AB92" i="15"/>
  <c r="AA92" i="15"/>
  <c r="Z92" i="15"/>
  <c r="Y92" i="15"/>
  <c r="X92" i="15"/>
  <c r="W92" i="15"/>
  <c r="V92" i="15"/>
  <c r="AC91" i="15"/>
  <c r="AB91" i="15"/>
  <c r="AA91" i="15"/>
  <c r="Z91" i="15"/>
  <c r="Y91" i="15"/>
  <c r="X91" i="15"/>
  <c r="W91" i="15"/>
  <c r="V91" i="15"/>
  <c r="AC90" i="15"/>
  <c r="AB90" i="15"/>
  <c r="AA90" i="15"/>
  <c r="Z90" i="15"/>
  <c r="Y90" i="15"/>
  <c r="X90" i="15"/>
  <c r="W90" i="15"/>
  <c r="V90" i="15"/>
  <c r="AC89" i="15"/>
  <c r="AB89" i="15"/>
  <c r="AA89" i="15"/>
  <c r="Z89" i="15"/>
  <c r="Y89" i="15"/>
  <c r="X89" i="15"/>
  <c r="W89" i="15"/>
  <c r="V89" i="15"/>
  <c r="AC88" i="15"/>
  <c r="AB88" i="15"/>
  <c r="AA88" i="15"/>
  <c r="Z88" i="15"/>
  <c r="Y88" i="15"/>
  <c r="X88" i="15"/>
  <c r="W88" i="15"/>
  <c r="V88" i="15"/>
  <c r="AC87" i="15"/>
  <c r="AB87" i="15"/>
  <c r="AA87" i="15"/>
  <c r="Z87" i="15"/>
  <c r="Y87" i="15"/>
  <c r="X87" i="15"/>
  <c r="W87" i="15"/>
  <c r="V87" i="15"/>
  <c r="AC86" i="15"/>
  <c r="AB86" i="15"/>
  <c r="AA86" i="15"/>
  <c r="Z86" i="15"/>
  <c r="Y86" i="15"/>
  <c r="X86" i="15"/>
  <c r="W86" i="15"/>
  <c r="V86" i="15"/>
  <c r="AC85" i="15"/>
  <c r="AB85" i="15"/>
  <c r="AA85" i="15"/>
  <c r="Z85" i="15"/>
  <c r="Y85" i="15"/>
  <c r="X85" i="15"/>
  <c r="W85" i="15"/>
  <c r="V85" i="15"/>
  <c r="AC84" i="15"/>
  <c r="AB84" i="15"/>
  <c r="AA84" i="15"/>
  <c r="Z84" i="15"/>
  <c r="Y84" i="15"/>
  <c r="X84" i="15"/>
  <c r="W84" i="15"/>
  <c r="V84" i="15"/>
  <c r="AC83" i="15"/>
  <c r="AB83" i="15"/>
  <c r="AA83" i="15"/>
  <c r="Z83" i="15"/>
  <c r="Y83" i="15"/>
  <c r="X83" i="15"/>
  <c r="W83" i="15"/>
  <c r="V83" i="15"/>
  <c r="AC82" i="15"/>
  <c r="AB82" i="15"/>
  <c r="AA82" i="15"/>
  <c r="Z82" i="15"/>
  <c r="Y82" i="15"/>
  <c r="X82" i="15"/>
  <c r="W82" i="15"/>
  <c r="V82" i="15"/>
  <c r="AC81" i="15"/>
  <c r="AB81" i="15"/>
  <c r="AA81" i="15"/>
  <c r="Z81" i="15"/>
  <c r="Y81" i="15"/>
  <c r="X81" i="15"/>
  <c r="W81" i="15"/>
  <c r="V81" i="15"/>
  <c r="AC80" i="15"/>
  <c r="AB80" i="15"/>
  <c r="AA80" i="15"/>
  <c r="Z80" i="15"/>
  <c r="Y80" i="15"/>
  <c r="X80" i="15"/>
  <c r="W80" i="15"/>
  <c r="V80" i="15"/>
  <c r="AC79" i="15"/>
  <c r="AB79" i="15"/>
  <c r="AA79" i="15"/>
  <c r="Z79" i="15"/>
  <c r="Y79" i="15"/>
  <c r="X79" i="15"/>
  <c r="W79" i="15"/>
  <c r="V79" i="15"/>
  <c r="AC78" i="15"/>
  <c r="AB78" i="15"/>
  <c r="AA78" i="15"/>
  <c r="Z78" i="15"/>
  <c r="Y78" i="15"/>
  <c r="X78" i="15"/>
  <c r="W78" i="15"/>
  <c r="V78" i="15"/>
  <c r="AC77" i="15"/>
  <c r="AB77" i="15"/>
  <c r="AA77" i="15"/>
  <c r="Z77" i="15"/>
  <c r="Y77" i="15"/>
  <c r="X77" i="15"/>
  <c r="W77" i="15"/>
  <c r="V77" i="15"/>
  <c r="AC76" i="15"/>
  <c r="AB76" i="15"/>
  <c r="AA76" i="15"/>
  <c r="Z76" i="15"/>
  <c r="Y76" i="15"/>
  <c r="X76" i="15"/>
  <c r="W76" i="15"/>
  <c r="V76" i="15"/>
  <c r="AC75" i="15"/>
  <c r="AB75" i="15"/>
  <c r="AA75" i="15"/>
  <c r="Z75" i="15"/>
  <c r="Y75" i="15"/>
  <c r="X75" i="15"/>
  <c r="W75" i="15"/>
  <c r="V75" i="15"/>
  <c r="AC74" i="15"/>
  <c r="AB74" i="15"/>
  <c r="AA74" i="15"/>
  <c r="Z74" i="15"/>
  <c r="Y74" i="15"/>
  <c r="X74" i="15"/>
  <c r="W74" i="15"/>
  <c r="V74" i="15"/>
  <c r="AC73" i="15"/>
  <c r="AB73" i="15"/>
  <c r="AA73" i="15"/>
  <c r="Z73" i="15"/>
  <c r="Y73" i="15"/>
  <c r="X73" i="15"/>
  <c r="W73" i="15"/>
  <c r="V73" i="15"/>
  <c r="AC72" i="15"/>
  <c r="AB72" i="15"/>
  <c r="AA72" i="15"/>
  <c r="Z72" i="15"/>
  <c r="Y72" i="15"/>
  <c r="X72" i="15"/>
  <c r="W72" i="15"/>
  <c r="V72" i="15"/>
  <c r="AC71" i="15"/>
  <c r="AB71" i="15"/>
  <c r="AA71" i="15"/>
  <c r="Z71" i="15"/>
  <c r="Y71" i="15"/>
  <c r="X71" i="15"/>
  <c r="W71" i="15"/>
  <c r="V71" i="15"/>
  <c r="AC70" i="15"/>
  <c r="AB70" i="15"/>
  <c r="AA70" i="15"/>
  <c r="Z70" i="15"/>
  <c r="Y70" i="15"/>
  <c r="X70" i="15"/>
  <c r="W70" i="15"/>
  <c r="V70" i="15"/>
  <c r="AC69" i="15"/>
  <c r="AB69" i="15"/>
  <c r="AA69" i="15"/>
  <c r="Z69" i="15"/>
  <c r="Y69" i="15"/>
  <c r="X69" i="15"/>
  <c r="W69" i="15"/>
  <c r="V69" i="15"/>
  <c r="AC68" i="15"/>
  <c r="AB68" i="15"/>
  <c r="AA68" i="15"/>
  <c r="Z68" i="15"/>
  <c r="Y68" i="15"/>
  <c r="X68" i="15"/>
  <c r="W68" i="15"/>
  <c r="V68" i="15"/>
  <c r="AC67" i="15"/>
  <c r="AB67" i="15"/>
  <c r="AA67" i="15"/>
  <c r="Z67" i="15"/>
  <c r="Y67" i="15"/>
  <c r="X67" i="15"/>
  <c r="W67" i="15"/>
  <c r="V67" i="15"/>
  <c r="AC66" i="15"/>
  <c r="AB66" i="15"/>
  <c r="AA66" i="15"/>
  <c r="Z66" i="15"/>
  <c r="Y66" i="15"/>
  <c r="X66" i="15"/>
  <c r="W66" i="15"/>
  <c r="V66" i="15"/>
  <c r="AC65" i="15"/>
  <c r="AB65" i="15"/>
  <c r="AA65" i="15"/>
  <c r="Z65" i="15"/>
  <c r="Y65" i="15"/>
  <c r="X65" i="15"/>
  <c r="W65" i="15"/>
  <c r="V65" i="15"/>
  <c r="AC64" i="15"/>
  <c r="AB64" i="15"/>
  <c r="AA64" i="15"/>
  <c r="Z64" i="15"/>
  <c r="Y64" i="15"/>
  <c r="X64" i="15"/>
  <c r="W64" i="15"/>
  <c r="V64" i="15"/>
  <c r="AC63" i="15"/>
  <c r="AB63" i="15"/>
  <c r="AA63" i="15"/>
  <c r="Z63" i="15"/>
  <c r="Y63" i="15"/>
  <c r="X63" i="15"/>
  <c r="W63" i="15"/>
  <c r="V63" i="15"/>
  <c r="AC62" i="15"/>
  <c r="AB62" i="15"/>
  <c r="AA62" i="15"/>
  <c r="Z62" i="15"/>
  <c r="Y62" i="15"/>
  <c r="X62" i="15"/>
  <c r="W62" i="15"/>
  <c r="V62" i="15"/>
  <c r="AC61" i="15"/>
  <c r="AB61" i="15"/>
  <c r="AA61" i="15"/>
  <c r="Z61" i="15"/>
  <c r="Y61" i="15"/>
  <c r="X61" i="15"/>
  <c r="W61" i="15"/>
  <c r="V61" i="15"/>
  <c r="AC60" i="15"/>
  <c r="AB60" i="15"/>
  <c r="AA60" i="15"/>
  <c r="Z60" i="15"/>
  <c r="Y60" i="15"/>
  <c r="X60" i="15"/>
  <c r="W60" i="15"/>
  <c r="V60" i="15"/>
  <c r="AC59" i="15"/>
  <c r="AB59" i="15"/>
  <c r="AA59" i="15"/>
  <c r="Z59" i="15"/>
  <c r="Y59" i="15"/>
  <c r="X59" i="15"/>
  <c r="W59" i="15"/>
  <c r="V59" i="15"/>
  <c r="AC58" i="15"/>
  <c r="AB58" i="15"/>
  <c r="AA58" i="15"/>
  <c r="Z58" i="15"/>
  <c r="Y58" i="15"/>
  <c r="X58" i="15"/>
  <c r="W58" i="15"/>
  <c r="V58" i="15"/>
  <c r="AC57" i="15"/>
  <c r="AB57" i="15"/>
  <c r="AA57" i="15"/>
  <c r="Z57" i="15"/>
  <c r="Y57" i="15"/>
  <c r="X57" i="15"/>
  <c r="W57" i="15"/>
  <c r="V57" i="15"/>
  <c r="AC56" i="15"/>
  <c r="AB56" i="15"/>
  <c r="AA56" i="15"/>
  <c r="Z56" i="15"/>
  <c r="Y56" i="15"/>
  <c r="X56" i="15"/>
  <c r="W56" i="15"/>
  <c r="V56" i="15"/>
  <c r="AC55" i="15"/>
  <c r="AB55" i="15"/>
  <c r="AA55" i="15"/>
  <c r="Z55" i="15"/>
  <c r="Y55" i="15"/>
  <c r="X55" i="15"/>
  <c r="W55" i="15"/>
  <c r="V55" i="15"/>
  <c r="AC54" i="15"/>
  <c r="AB54" i="15"/>
  <c r="AA54" i="15"/>
  <c r="Z54" i="15"/>
  <c r="Y54" i="15"/>
  <c r="X54" i="15"/>
  <c r="W54" i="15"/>
  <c r="V54" i="15"/>
  <c r="AC53" i="15"/>
  <c r="AB53" i="15"/>
  <c r="AA53" i="15"/>
  <c r="Z53" i="15"/>
  <c r="Y53" i="15"/>
  <c r="X53" i="15"/>
  <c r="W53" i="15"/>
  <c r="V53" i="15"/>
  <c r="AC52" i="15"/>
  <c r="AB52" i="15"/>
  <c r="AA52" i="15"/>
  <c r="Z52" i="15"/>
  <c r="Y52" i="15"/>
  <c r="X52" i="15"/>
  <c r="W52" i="15"/>
  <c r="V52" i="15"/>
  <c r="AC51" i="15"/>
  <c r="AB51" i="15"/>
  <c r="AA51" i="15"/>
  <c r="Z51" i="15"/>
  <c r="Y51" i="15"/>
  <c r="X51" i="15"/>
  <c r="W51" i="15"/>
  <c r="V51" i="15"/>
  <c r="AC50" i="15"/>
  <c r="AB50" i="15"/>
  <c r="AA50" i="15"/>
  <c r="Z50" i="15"/>
  <c r="Y50" i="15"/>
  <c r="X50" i="15"/>
  <c r="W50" i="15"/>
  <c r="V50" i="15"/>
  <c r="AC49" i="15"/>
  <c r="AB49" i="15"/>
  <c r="AA49" i="15"/>
  <c r="Z49" i="15"/>
  <c r="Y49" i="15"/>
  <c r="X49" i="15"/>
  <c r="W49" i="15"/>
  <c r="V49" i="15"/>
  <c r="AC48" i="15"/>
  <c r="AB48" i="15"/>
  <c r="AA48" i="15"/>
  <c r="Z48" i="15"/>
  <c r="Y48" i="15"/>
  <c r="X48" i="15"/>
  <c r="W48" i="15"/>
  <c r="V48" i="15"/>
  <c r="AC47" i="15"/>
  <c r="AB47" i="15"/>
  <c r="AA47" i="15"/>
  <c r="Z47" i="15"/>
  <c r="Y47" i="15"/>
  <c r="X47" i="15"/>
  <c r="W47" i="15"/>
  <c r="V47" i="15"/>
  <c r="AC46" i="15"/>
  <c r="AB46" i="15"/>
  <c r="AA46" i="15"/>
  <c r="Z46" i="15"/>
  <c r="Y46" i="15"/>
  <c r="X46" i="15"/>
  <c r="W46" i="15"/>
  <c r="V46" i="15"/>
  <c r="AC45" i="15"/>
  <c r="AB45" i="15"/>
  <c r="AA45" i="15"/>
  <c r="Z45" i="15"/>
  <c r="Y45" i="15"/>
  <c r="X45" i="15"/>
  <c r="W45" i="15"/>
  <c r="V45" i="15"/>
  <c r="AC44" i="15"/>
  <c r="AB44" i="15"/>
  <c r="AA44" i="15"/>
  <c r="Z44" i="15"/>
  <c r="Y44" i="15"/>
  <c r="X44" i="15"/>
  <c r="W44" i="15"/>
  <c r="V44" i="15"/>
  <c r="AC43" i="15"/>
  <c r="AB43" i="15"/>
  <c r="AA43" i="15"/>
  <c r="Z43" i="15"/>
  <c r="Y43" i="15"/>
  <c r="X43" i="15"/>
  <c r="W43" i="15"/>
  <c r="V43" i="15"/>
  <c r="AC42" i="15"/>
  <c r="AB42" i="15"/>
  <c r="AA42" i="15"/>
  <c r="Z42" i="15"/>
  <c r="Y42" i="15"/>
  <c r="X42" i="15"/>
  <c r="W42" i="15"/>
  <c r="V42" i="15"/>
  <c r="AC41" i="15"/>
  <c r="AB41" i="15"/>
  <c r="AA41" i="15"/>
  <c r="Z41" i="15"/>
  <c r="Y41" i="15"/>
  <c r="X41" i="15"/>
  <c r="W41" i="15"/>
  <c r="V41" i="15"/>
  <c r="AC40" i="15"/>
  <c r="AB40" i="15"/>
  <c r="AA40" i="15"/>
  <c r="Z40" i="15"/>
  <c r="Y40" i="15"/>
  <c r="X40" i="15"/>
  <c r="W40" i="15"/>
  <c r="V40" i="15"/>
  <c r="AC39" i="15"/>
  <c r="AB39" i="15"/>
  <c r="AA39" i="15"/>
  <c r="Z39" i="15"/>
  <c r="Y39" i="15"/>
  <c r="X39" i="15"/>
  <c r="W39" i="15"/>
  <c r="V39" i="15"/>
  <c r="AC38" i="15"/>
  <c r="AB38" i="15"/>
  <c r="AA38" i="15"/>
  <c r="Z38" i="15"/>
  <c r="Y38" i="15"/>
  <c r="X38" i="15"/>
  <c r="W38" i="15"/>
  <c r="V38" i="15"/>
  <c r="AC37" i="15"/>
  <c r="AB37" i="15"/>
  <c r="AA37" i="15"/>
  <c r="Z37" i="15"/>
  <c r="Y37" i="15"/>
  <c r="X37" i="15"/>
  <c r="W37" i="15"/>
  <c r="V37" i="15"/>
  <c r="AC36" i="15"/>
  <c r="AB36" i="15"/>
  <c r="AA36" i="15"/>
  <c r="Z36" i="15"/>
  <c r="Y36" i="15"/>
  <c r="X36" i="15"/>
  <c r="W36" i="15"/>
  <c r="V36" i="15"/>
  <c r="AC35" i="15"/>
  <c r="AB35" i="15"/>
  <c r="AA35" i="15"/>
  <c r="Z35" i="15"/>
  <c r="Y35" i="15"/>
  <c r="X35" i="15"/>
  <c r="W35" i="15"/>
  <c r="V35" i="15"/>
  <c r="AC34" i="15"/>
  <c r="AB34" i="15"/>
  <c r="AA34" i="15"/>
  <c r="Z34" i="15"/>
  <c r="Y34" i="15"/>
  <c r="X34" i="15"/>
  <c r="W34" i="15"/>
  <c r="V34" i="15"/>
  <c r="AC33" i="15"/>
  <c r="AB33" i="15"/>
  <c r="AA33" i="15"/>
  <c r="Z33" i="15"/>
  <c r="Y33" i="15"/>
  <c r="X33" i="15"/>
  <c r="W33" i="15"/>
  <c r="V33" i="15"/>
  <c r="AC32" i="15"/>
  <c r="AB32" i="15"/>
  <c r="AA32" i="15"/>
  <c r="Z32" i="15"/>
  <c r="Y32" i="15"/>
  <c r="X32" i="15"/>
  <c r="W32" i="15"/>
  <c r="V32" i="15"/>
  <c r="AC31" i="15"/>
  <c r="AB31" i="15"/>
  <c r="AA31" i="15"/>
  <c r="Z31" i="15"/>
  <c r="Y31" i="15"/>
  <c r="X31" i="15"/>
  <c r="W31" i="15"/>
  <c r="V31" i="15"/>
  <c r="AC30" i="15"/>
  <c r="AB30" i="15"/>
  <c r="AA30" i="15"/>
  <c r="Z30" i="15"/>
  <c r="Y30" i="15"/>
  <c r="X30" i="15"/>
  <c r="W30" i="15"/>
  <c r="V30" i="15"/>
  <c r="AC29" i="15"/>
  <c r="AB29" i="15"/>
  <c r="AA29" i="15"/>
  <c r="Z29" i="15"/>
  <c r="Y29" i="15"/>
  <c r="X29" i="15"/>
  <c r="W29" i="15"/>
  <c r="V29" i="15"/>
  <c r="AC28" i="15"/>
  <c r="AB28" i="15"/>
  <c r="AA28" i="15"/>
  <c r="Z28" i="15"/>
  <c r="Y28" i="15"/>
  <c r="X28" i="15"/>
  <c r="W28" i="15"/>
  <c r="V28" i="15"/>
  <c r="AC27" i="15"/>
  <c r="AB27" i="15"/>
  <c r="AA27" i="15"/>
  <c r="Z27" i="15"/>
  <c r="Y27" i="15"/>
  <c r="X27" i="15"/>
  <c r="W27" i="15"/>
  <c r="V27" i="15"/>
  <c r="AC26" i="15"/>
  <c r="AB26" i="15"/>
  <c r="AA26" i="15"/>
  <c r="Z26" i="15"/>
  <c r="Y26" i="15"/>
  <c r="X26" i="15"/>
  <c r="W26" i="15"/>
  <c r="V26" i="15"/>
  <c r="AC25" i="15"/>
  <c r="AB25" i="15"/>
  <c r="AA25" i="15"/>
  <c r="Z25" i="15"/>
  <c r="Y25" i="15"/>
  <c r="X25" i="15"/>
  <c r="W25" i="15"/>
  <c r="V25" i="15"/>
  <c r="AC24" i="15"/>
  <c r="AB24" i="15"/>
  <c r="AA24" i="15"/>
  <c r="Z24" i="15"/>
  <c r="Y24" i="15"/>
  <c r="X24" i="15"/>
  <c r="W24" i="15"/>
  <c r="V24" i="15"/>
  <c r="AC23" i="15"/>
  <c r="AB23" i="15"/>
  <c r="AA23" i="15"/>
  <c r="Z23" i="15"/>
  <c r="Y23" i="15"/>
  <c r="X23" i="15"/>
  <c r="W23" i="15"/>
  <c r="V23" i="15"/>
  <c r="AC22" i="15"/>
  <c r="AB22" i="15"/>
  <c r="AA22" i="15"/>
  <c r="Z22" i="15"/>
  <c r="Y22" i="15"/>
  <c r="X22" i="15"/>
  <c r="W22" i="15"/>
  <c r="V22" i="15"/>
  <c r="AC21" i="15"/>
  <c r="AB21" i="15"/>
  <c r="AA21" i="15"/>
  <c r="Z21" i="15"/>
  <c r="Y21" i="15"/>
  <c r="X21" i="15"/>
  <c r="W21" i="15"/>
  <c r="V21" i="15"/>
  <c r="AC20" i="15"/>
  <c r="AB20" i="15"/>
  <c r="AA20" i="15"/>
  <c r="Z20" i="15"/>
  <c r="Y20" i="15"/>
  <c r="X20" i="15"/>
  <c r="W20" i="15"/>
  <c r="V20" i="15"/>
  <c r="AC19" i="15"/>
  <c r="AB19" i="15"/>
  <c r="AA19" i="15"/>
  <c r="Z19" i="15"/>
  <c r="Y19" i="15"/>
  <c r="X19" i="15"/>
  <c r="W19" i="15"/>
  <c r="V19" i="15"/>
  <c r="AC18" i="15"/>
  <c r="AB18" i="15"/>
  <c r="AA18" i="15"/>
  <c r="Z18" i="15"/>
  <c r="Y18" i="15"/>
  <c r="X18" i="15"/>
  <c r="W18" i="15"/>
  <c r="V18" i="15"/>
  <c r="AC17" i="15"/>
  <c r="AB17" i="15"/>
  <c r="AA17" i="15"/>
  <c r="Z17" i="15"/>
  <c r="Y17" i="15"/>
  <c r="X17" i="15"/>
  <c r="W17" i="15"/>
  <c r="V17" i="15"/>
  <c r="AC16" i="15"/>
  <c r="AB16" i="15"/>
  <c r="AA16" i="15"/>
  <c r="Z16" i="15"/>
  <c r="Y16" i="15"/>
  <c r="X16" i="15"/>
  <c r="W16" i="15"/>
  <c r="V16" i="15"/>
  <c r="AC15" i="15"/>
  <c r="AB15" i="15"/>
  <c r="AA15" i="15"/>
  <c r="Z15" i="15"/>
  <c r="Y15" i="15"/>
  <c r="X15" i="15"/>
  <c r="W15" i="15"/>
  <c r="V15" i="15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1" i="15"/>
  <c r="AB11" i="15"/>
  <c r="AA11" i="15"/>
  <c r="Z11" i="15"/>
  <c r="Y11" i="15"/>
  <c r="X11" i="15"/>
  <c r="W11" i="15"/>
  <c r="V11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6" i="15"/>
  <c r="AB6" i="15"/>
  <c r="AA6" i="15"/>
  <c r="Z6" i="15"/>
  <c r="Y6" i="15"/>
  <c r="X6" i="15"/>
  <c r="W6" i="15"/>
  <c r="V6" i="15"/>
  <c r="AC5" i="15"/>
  <c r="AB5" i="15"/>
  <c r="AA5" i="15"/>
  <c r="Z5" i="15"/>
  <c r="Y5" i="15"/>
  <c r="X5" i="15"/>
  <c r="W5" i="15"/>
  <c r="V5" i="15"/>
  <c r="AC4" i="15"/>
  <c r="AB4" i="15"/>
  <c r="AA4" i="15"/>
  <c r="Z4" i="15"/>
  <c r="Y4" i="15"/>
  <c r="X4" i="15"/>
  <c r="W4" i="15"/>
  <c r="V4" i="15"/>
  <c r="AC3" i="15"/>
  <c r="AB3" i="15"/>
  <c r="AA3" i="15"/>
  <c r="Z3" i="15"/>
  <c r="Y3" i="15"/>
  <c r="X3" i="15"/>
  <c r="W3" i="15"/>
  <c r="V3" i="15"/>
  <c r="AC2" i="15"/>
  <c r="AB2" i="15"/>
  <c r="AA2" i="15"/>
  <c r="AF2" i="15" s="1"/>
  <c r="Z2" i="15"/>
  <c r="Y2" i="15"/>
  <c r="X2" i="15"/>
  <c r="W2" i="15"/>
  <c r="V2" i="15"/>
  <c r="AN2" i="17"/>
  <c r="AD2" i="15" l="1"/>
  <c r="AG2" i="15"/>
  <c r="Q2" i="7" s="1"/>
  <c r="P2" i="7"/>
  <c r="AH2" i="15"/>
  <c r="R2" i="7" s="1"/>
  <c r="S2" i="7" s="1"/>
</calcChain>
</file>

<file path=xl/sharedStrings.xml><?xml version="1.0" encoding="utf-8"?>
<sst xmlns="http://schemas.openxmlformats.org/spreadsheetml/2006/main" count="447" uniqueCount="281">
  <si>
    <t>Template00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</si>
  <si>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</si>
  <si>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</si>
  <si>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</si>
  <si>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</si>
  <si>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</si>
  <si>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</si>
  <si>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</si>
  <si>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</si>
  <si>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</si>
  <si>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</si>
  <si>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</si>
  <si>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</si>
  <si>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</si>
  <si>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</si>
  <si>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</si>
  <si>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</si>
  <si>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</si>
  <si>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</si>
  <si>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</si>
  <si>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</si>
  <si>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</si>
  <si>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</si>
  <si>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</si>
  <si>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</si>
  <si>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</si>
  <si>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Template01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</si>
  <si>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</si>
  <si>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</si>
  <si>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</si>
  <si>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</si>
  <si>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</si>
  <si>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</si>
  <si>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</si>
  <si>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</si>
  <si>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VOL_NEW</t>
  </si>
  <si>
    <t>VOL_EFF</t>
  </si>
  <si>
    <t>VOL_EFF_INF</t>
  </si>
  <si>
    <t>VOL_CLASS</t>
  </si>
  <si>
    <t>REV_STUD</t>
  </si>
  <si>
    <t>PART_ORG</t>
  </si>
  <si>
    <t>CPL</t>
  </si>
  <si>
    <t>CA</t>
  </si>
  <si>
    <t>Template02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</si>
  <si>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</si>
  <si>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</si>
  <si>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</si>
  <si>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</si>
  <si>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</si>
  <si>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</si>
  <si>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</si>
  <si>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</si>
  <si>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</si>
  <si>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Template03</t>
  </si>
  <si>
    <t>VERSION</t>
  </si>
  <si>
    <t>MARQUE</t>
  </si>
  <si>
    <t>NOUVEAUX</t>
  </si>
  <si>
    <t>EFFECTIF</t>
  </si>
  <si>
    <t>PRIX</t>
  </si>
  <si>
    <t>Template04</t>
  </si>
  <si>
    <t>Entity</t>
  </si>
  <si>
    <t>Account</t>
  </si>
  <si>
    <t>Scenario</t>
  </si>
  <si>
    <t>Period</t>
  </si>
  <si>
    <t>Amount</t>
  </si>
  <si>
    <t>Template05</t>
  </si>
  <si>
    <t>ACCOUNT</t>
  </si>
  <si>
    <t>PERIOD</t>
  </si>
  <si>
    <t>AMOUNT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</si>
  <si>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</si>
  <si>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</si>
  <si>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</si>
  <si>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</si>
  <si>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</si>
  <si>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</si>
  <si>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</si>
  <si>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</si>
  <si>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</si>
  <si>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</si>
  <si>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</si>
  <si>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</si>
  <si>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</si>
  <si>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</si>
  <si>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</si>
  <si>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</si>
  <si>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</si>
  <si>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</si>
  <si>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</si>
  <si>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</si>
  <si>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</si>
  <si>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</si>
  <si>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</si>
  <si>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</si>
  <si>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</si>
  <si>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</si>
  <si>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</si>
  <si>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</si>
  <si>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</si>
  <si>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</si>
  <si>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</si>
  <si>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</si>
  <si>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</si>
  <si>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</si>
  <si>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</si>
  <si>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</si>
  <si>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</si>
  <si>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</si>
  <si>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</si>
  <si>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</si>
  <si>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</si>
  <si>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</si>
  <si>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</si>
  <si>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</si>
  <si>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</si>
  <si>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</si>
  <si>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</si>
  <si>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</si>
  <si>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</si>
  <si>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</si>
  <si>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Template06</t>
  </si>
  <si>
    <t>Template09</t>
  </si>
  <si>
    <t>🟢 AMOUNT (live)</t>
  </si>
  <si>
    <t>Δ vs Tagetik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</si>
  <si>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</si>
  <si>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</si>
  <si>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</si>
  <si>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</si>
  <si>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</si>
  <si>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</si>
  <si>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</si>
  <si>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</si>
  <si>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</si>
  <si>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</si>
  <si>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</si>
  <si>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</si>
  <si>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</si>
  <si>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</si>
  <si>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</si>
  <si>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</si>
  <si>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</si>
  <si>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</si>
  <si>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</si>
  <si>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</si>
  <si>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</si>
  <si>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</si>
  <si>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</si>
  <si>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</si>
  <si>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</si>
  <si>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</si>
  <si>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</si>
  <si>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</si>
  <si>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</si>
  <si>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</si>
  <si>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</si>
  <si>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</si>
  <si>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</si>
  <si>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</si>
  <si>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</si>
  <si>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</si>
  <si>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</si>
  <si>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</si>
  <si>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</si>
  <si>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</si>
  <si>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</si>
  <si>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</si>
  <si>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</si>
  <si>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</si>
  <si>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</si>
  <si>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</si>
  <si>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</si>
  <si>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</si>
  <si>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</si>
  <si>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</si>
  <si>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</si>
  <si>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</si>
  <si>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</si>
  <si>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</si>
  <si>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</si>
  <si>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</si>
  <si>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</si>
  <si>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</si>
  <si>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</si>
  <si>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</si>
  <si>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</si>
  <si>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</si>
  <si>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</si>
  <si>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</si>
  <si>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</si>
  <si>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</si>
  <si>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</si>
  <si>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</si>
  <si>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</si>
  <si>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</si>
  <si>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</si>
  <si>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</si>
  <si>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</si>
  <si>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</si>
  <si>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</si>
  <si>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</si>
  <si>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</si>
  <si>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</si>
  <si>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</si>
  <si>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</si>
  <si>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</si>
  <si>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</si>
  <si>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</si>
  <si>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</si>
  <si>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</si>
  <si>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</si>
  <si>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</si>
  <si>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</si>
  <si>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</si>
  <si>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</si>
  <si>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</si>
  <si>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</si>
  <si>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</si>
  <si>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</si>
  <si>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</si>
  <si>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</si>
  <si>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</si>
  <si>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</si>
  <si>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</si>
  <si>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</si>
  <si>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</si>
  <si>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</si>
  <si>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</si>
  <si>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</si>
  <si>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</si>
  <si>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</si>
  <si>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</si>
  <si>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</si>
  <si>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</si>
  <si>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</si>
  <si>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</si>
  <si>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</si>
  <si>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</si>
  <si>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</si>
  <si>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</si>
  <si>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</si>
  <si>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</si>
  <si>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</si>
  <si>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</si>
  <si>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</si>
  <si>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</si>
  <si>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</si>
  <si>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</si>
  <si>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</si>
  <si>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</si>
  <si>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</si>
  <si>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</si>
  <si>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</si>
  <si>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</si>
  <si>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</si>
  <si>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</si>
  <si>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</si>
  <si>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</si>
  <si>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</si>
  <si>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</si>
  <si>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</si>
  <si>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</si>
  <si>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</si>
  <si>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</si>
  <si>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</si>
  <si>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</si>
  <si>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</si>
  <si>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</si>
  <si>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</si>
  <si>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</si>
  <si>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</si>
  <si>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</si>
  <si>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</si>
  <si>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</si>
  <si>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Siège administratif  →  marque</t>
  </si>
  <si>
    <t>Publicité de marque  →  marque</t>
  </si>
  <si>
    <t>Marque  →  campus</t>
  </si>
  <si>
    <t>Campus  →  classe</t>
  </si>
  <si>
    <t>Nombre de classes</t>
  </si>
  <si>
    <t>■ VIOLET = colonne branchee sur une saisie (cad / Pilotage / 3_Allocation2) -&gt; a recabler cote Tagetik</t>
  </si>
  <si>
    <t>3 · Allocation222 &amp; RENTABILITE  —  cout complet du groupe a la classe</t>
  </si>
  <si>
    <t>Cles d'Allocation222 (saisie)</t>
  </si>
  <si>
    <t>COST_HOLDING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</si>
</sst>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_(* #,##0.0_);_(* \(#,##0.0\);_(* &quot;-&quot;??_);_(@_)"/>
    <numFmt numFmtId="170" formatCode="#\ ##0\ &quot;EUR&quot;"/>
    <numFmt numFmtId="171" formatCode="#,##0&quot; €&quot;;\-#,##0&quot; €&quot;;&quot;–&quot;"/>
    <numFmt numFmtId="172" formatCode="0.0%;\-0.0%;&quot;–&quot;"/>
    <numFmt numFmtId="173" formatCode="#,##0;\-#,##0;&quot;–&quot;"/>
    <numFmt numFmtId="174" formatCode="&quot;▲ &quot;#,##0&quot; €&quot;;&quot;▼ &quot;#,##0&quot; €&quot;;&quot;–&quot;"/>
    <numFmt numFmtId="175" formatCode="&quot;▲ &quot;0.0%;&quot;▼ &quot;0.0%;&quot;–&quot;"/>
    <numFmt numFmtId="176" formatCode="&quot;▲ &quot;0.0&quot; pt&quot;;&quot;▼ &quot;0.0&quot; pt&quot;;&quot;–&quot;"/>
    <numFmt numFmtId="177" formatCode="&quot;▲ &quot;#,##0;&quot;▼ &quot;#,##0;&quot;–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b/>
      <sz val="11"/>
      <color rgb="FF2E86DE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sz val="9"/>
      <color rgb="FF333333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b/>
      <sz val="11"/>
      <color rgb="FF843C0C"/>
      <name val="Aptos Narrow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sz val="11"/>
      <color rgb="FFB8860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15406E"/>
      <name val="Arial"/>
      <family val="2"/>
    </font>
    <font>
      <b/>
      <sz val="9"/>
      <color rgb="FF1F3864"/>
      <name val="Arial"/>
      <family val="2"/>
    </font>
    <font>
      <b/>
      <sz val="15"/>
      <color rgb="FF0F5FB0"/>
      <name val="Arial"/>
      <family val="2"/>
    </font>
    <font>
      <sz val="11"/>
      <color rgb="FF1B5FA6"/>
      <name val="Arial"/>
      <family val="2"/>
    </font>
    <font>
      <sz val="11"/>
      <color rgb="FF1F3864"/>
      <name val="Arial"/>
      <family val="2"/>
    </font>
    <font>
      <sz val="11"/>
      <color rgb="FFBFBFBF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sz val="10"/>
      <color rgb="FF3B3B3B"/>
      <name val="Aptos Narrow"/>
      <family val="2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FF2CC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D4E6FA"/>
        <bgColor indexed="64"/>
      </patternFill>
    </fill>
    <fill>
      <patternFill patternType="solid">
        <fgColor rgb="FFDDF2E3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FCEDE3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Continuous" vertical="center"/>
    </xf>
    <xf numFmtId="0" fontId="9" fillId="3" borderId="5" xfId="0" applyFont="1" applyFill="1" applyBorder="1" applyAlignment="1">
      <alignment horizontal="centerContinuous" vertical="center"/>
    </xf>
    <xf numFmtId="0" fontId="10" fillId="3" borderId="5" xfId="0" applyFont="1" applyFill="1" applyBorder="1" applyAlignment="1">
      <alignment vertical="center"/>
    </xf>
    <xf numFmtId="0" fontId="0" fillId="0" borderId="5" xfId="0" applyBorder="1"/>
    <xf numFmtId="169" fontId="0" fillId="0" borderId="0" xfId="3" applyNumberFormat="1" applyFont="1"/>
    <xf numFmtId="164" fontId="0" fillId="0" borderId="0" xfId="3" applyFont="1"/>
    <xf numFmtId="164" fontId="16" fillId="0" borderId="0" xfId="3" applyFont="1" applyAlignment="1">
      <alignment vertical="center"/>
    </xf>
    <xf numFmtId="169" fontId="0" fillId="0" borderId="0" xfId="3" applyNumberFormat="1" applyFont="1" applyAlignment="1"/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indent="1"/>
    </xf>
    <xf numFmtId="0" fontId="18" fillId="13" borderId="2" xfId="0" applyFont="1" applyFill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169" fontId="0" fillId="0" borderId="0" xfId="3" quotePrefix="1" applyNumberFormat="1" applyFont="1"/>
    <xf numFmtId="0" fontId="19" fillId="0" borderId="2" xfId="0" quotePrefix="1" applyFont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0" fontId="20" fillId="14" borderId="0" xfId="0" applyFont="1" applyFill="1"/>
    <xf numFmtId="0" fontId="21" fillId="0" borderId="0" xfId="0" applyFont="1"/>
    <xf numFmtId="0" fontId="6" fillId="7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/>
    </xf>
    <xf numFmtId="0" fontId="23" fillId="1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1" fillId="17" borderId="10" xfId="0" applyFont="1" applyFill="1" applyBorder="1" applyAlignment="1">
      <alignment horizontal="left" vertical="center"/>
    </xf>
    <xf numFmtId="0" fontId="11" fillId="18" borderId="10" xfId="0" applyFont="1" applyFill="1" applyBorder="1" applyAlignment="1">
      <alignment horizontal="left" vertical="center"/>
    </xf>
    <xf numFmtId="0" fontId="26" fillId="15" borderId="10" xfId="0" applyFont="1" applyFill="1" applyBorder="1"/>
    <xf numFmtId="0" fontId="20" fillId="14" borderId="0" xfId="0" applyFont="1" applyFill="1" applyAlignment="1">
      <alignment horizontal="centerContinuous"/>
    </xf>
    <xf numFmtId="0" fontId="20" fillId="14" borderId="0" xfId="0" applyFon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9" fillId="9" borderId="9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vertical="center"/>
    </xf>
    <xf numFmtId="0" fontId="0" fillId="0" borderId="0" xfId="0" applyAlignment="1">
      <alignment horizontal="centerContinuous"/>
    </xf>
    <xf numFmtId="170" fontId="12" fillId="11" borderId="7" xfId="0" applyNumberFormat="1" applyFont="1" applyFill="1" applyBorder="1" applyAlignment="1">
      <alignment horizontal="centerContinuous" vertical="center" wrapText="1"/>
    </xf>
    <xf numFmtId="170" fontId="12" fillId="11" borderId="6" xfId="0" applyNumberFormat="1" applyFont="1" applyFill="1" applyBorder="1" applyAlignment="1">
      <alignment horizontal="centerContinuous" vertical="center" wrapText="1"/>
    </xf>
    <xf numFmtId="170" fontId="12" fillId="11" borderId="8" xfId="0" applyNumberFormat="1" applyFont="1" applyFill="1" applyBorder="1" applyAlignment="1">
      <alignment horizontal="centerContinuous" vertical="center" wrapText="1"/>
    </xf>
    <xf numFmtId="170" fontId="12" fillId="11" borderId="11" xfId="0" applyNumberFormat="1" applyFont="1" applyFill="1" applyBorder="1" applyAlignment="1">
      <alignment horizontal="centerContinuous" vertical="center" wrapText="1"/>
    </xf>
    <xf numFmtId="170" fontId="12" fillId="11" borderId="0" xfId="0" applyNumberFormat="1" applyFont="1" applyFill="1" applyAlignment="1">
      <alignment horizontal="centerContinuous" vertical="center" wrapText="1"/>
    </xf>
    <xf numFmtId="170" fontId="12" fillId="11" borderId="12" xfId="0" applyNumberFormat="1" applyFont="1" applyFill="1" applyBorder="1" applyAlignment="1">
      <alignment horizontal="centerContinuous" vertical="center" wrapText="1"/>
    </xf>
    <xf numFmtId="170" fontId="13" fillId="11" borderId="7" xfId="0" applyNumberFormat="1" applyFont="1" applyFill="1" applyBorder="1" applyAlignment="1">
      <alignment vertical="center" wrapText="1"/>
    </xf>
    <xf numFmtId="170" fontId="13" fillId="11" borderId="6" xfId="0" applyNumberFormat="1" applyFont="1" applyFill="1" applyBorder="1" applyAlignment="1">
      <alignment vertical="center" wrapText="1"/>
    </xf>
    <xf numFmtId="170" fontId="13" fillId="11" borderId="8" xfId="0" applyNumberFormat="1" applyFont="1" applyFill="1" applyBorder="1" applyAlignment="1">
      <alignment vertical="center" wrapText="1"/>
    </xf>
    <xf numFmtId="170" fontId="13" fillId="11" borderId="11" xfId="0" applyNumberFormat="1" applyFont="1" applyFill="1" applyBorder="1" applyAlignment="1">
      <alignment horizontal="centerContinuous" vertical="center" wrapText="1"/>
    </xf>
    <xf numFmtId="170" fontId="13" fillId="11" borderId="0" xfId="0" applyNumberFormat="1" applyFont="1" applyFill="1" applyAlignment="1">
      <alignment horizontal="centerContinuous" vertical="center" wrapText="1"/>
    </xf>
    <xf numFmtId="170" fontId="13" fillId="11" borderId="12" xfId="0" applyNumberFormat="1" applyFont="1" applyFill="1" applyBorder="1" applyAlignment="1">
      <alignment horizontal="centerContinuous" vertical="center" wrapText="1"/>
    </xf>
    <xf numFmtId="165" fontId="14" fillId="11" borderId="7" xfId="0" applyNumberFormat="1" applyFont="1" applyFill="1" applyBorder="1" applyAlignment="1">
      <alignment vertical="center" wrapText="1"/>
    </xf>
    <xf numFmtId="165" fontId="14" fillId="11" borderId="6" xfId="0" applyNumberFormat="1" applyFont="1" applyFill="1" applyBorder="1" applyAlignment="1">
      <alignment vertical="center" wrapText="1"/>
    </xf>
    <xf numFmtId="165" fontId="14" fillId="11" borderId="8" xfId="0" applyNumberFormat="1" applyFont="1" applyFill="1" applyBorder="1" applyAlignment="1">
      <alignment vertical="center" wrapText="1"/>
    </xf>
    <xf numFmtId="165" fontId="14" fillId="11" borderId="11" xfId="0" applyNumberFormat="1" applyFont="1" applyFill="1" applyBorder="1" applyAlignment="1">
      <alignment horizontal="centerContinuous" vertical="center" wrapText="1"/>
    </xf>
    <xf numFmtId="165" fontId="14" fillId="11" borderId="0" xfId="0" applyNumberFormat="1" applyFont="1" applyFill="1" applyAlignment="1">
      <alignment horizontal="centerContinuous" vertical="center" wrapText="1"/>
    </xf>
    <xf numFmtId="165" fontId="14" fillId="11" borderId="12" xfId="0" applyNumberFormat="1" applyFont="1" applyFill="1" applyBorder="1" applyAlignment="1">
      <alignment horizontal="centerContinuous" vertical="center" wrapText="1"/>
    </xf>
    <xf numFmtId="168" fontId="15" fillId="11" borderId="7" xfId="0" applyNumberFormat="1" applyFont="1" applyFill="1" applyBorder="1" applyAlignment="1">
      <alignment vertical="center" wrapText="1"/>
    </xf>
    <xf numFmtId="168" fontId="15" fillId="11" borderId="6" xfId="0" applyNumberFormat="1" applyFont="1" applyFill="1" applyBorder="1" applyAlignment="1">
      <alignment vertical="center" wrapText="1"/>
    </xf>
    <xf numFmtId="168" fontId="15" fillId="11" borderId="8" xfId="0" applyNumberFormat="1" applyFont="1" applyFill="1" applyBorder="1" applyAlignment="1">
      <alignment vertical="center" wrapText="1"/>
    </xf>
    <xf numFmtId="168" fontId="15" fillId="11" borderId="11" xfId="0" applyNumberFormat="1" applyFont="1" applyFill="1" applyBorder="1" applyAlignment="1">
      <alignment horizontal="centerContinuous" vertical="center" wrapText="1"/>
    </xf>
    <xf numFmtId="168" fontId="15" fillId="11" borderId="0" xfId="0" applyNumberFormat="1" applyFont="1" applyFill="1" applyAlignment="1">
      <alignment horizontal="centerContinuous" vertical="center" wrapText="1"/>
    </xf>
    <xf numFmtId="168" fontId="15" fillId="11" borderId="12" xfId="0" applyNumberFormat="1" applyFont="1" applyFill="1" applyBorder="1" applyAlignment="1">
      <alignment horizontal="centerContinuous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64" fontId="30" fillId="0" borderId="0" xfId="3" applyFont="1"/>
    <xf numFmtId="164" fontId="30" fillId="0" borderId="0" xfId="3" quotePrefix="1" applyFont="1"/>
    <xf numFmtId="171" fontId="31" fillId="0" borderId="13" xfId="0" applyNumberFormat="1" applyFont="1" applyBorder="1" applyAlignment="1">
      <alignment horizontal="right" vertical="center"/>
    </xf>
    <xf numFmtId="173" fontId="31" fillId="0" borderId="13" xfId="0" applyNumberFormat="1" applyFont="1" applyBorder="1" applyAlignment="1">
      <alignment horizontal="right" vertical="center"/>
    </xf>
    <xf numFmtId="172" fontId="31" fillId="0" borderId="13" xfId="0" applyNumberFormat="1" applyFont="1" applyBorder="1" applyAlignment="1">
      <alignment horizontal="right" vertical="center"/>
    </xf>
    <xf numFmtId="171" fontId="32" fillId="0" borderId="13" xfId="0" applyNumberFormat="1" applyFont="1" applyBorder="1" applyAlignment="1">
      <alignment horizontal="right" vertical="center"/>
    </xf>
    <xf numFmtId="172" fontId="32" fillId="0" borderId="13" xfId="0" applyNumberFormat="1" applyFont="1" applyBorder="1" applyAlignment="1">
      <alignment horizontal="right" vertical="center"/>
    </xf>
    <xf numFmtId="171" fontId="33" fillId="0" borderId="13" xfId="0" applyNumberFormat="1" applyFont="1" applyBorder="1" applyAlignment="1">
      <alignment horizontal="right" vertical="center"/>
    </xf>
    <xf numFmtId="173" fontId="33" fillId="0" borderId="13" xfId="0" applyNumberFormat="1" applyFont="1" applyBorder="1" applyAlignment="1">
      <alignment horizontal="right" vertical="center"/>
    </xf>
    <xf numFmtId="172" fontId="33" fillId="0" borderId="13" xfId="0" applyNumberFormat="1" applyFont="1" applyBorder="1" applyAlignment="1">
      <alignment horizontal="right" vertical="center"/>
    </xf>
    <xf numFmtId="174" fontId="31" fillId="0" borderId="13" xfId="0" applyNumberFormat="1" applyFont="1" applyBorder="1" applyAlignment="1">
      <alignment horizontal="right" vertical="center"/>
    </xf>
    <xf numFmtId="175" fontId="31" fillId="0" borderId="13" xfId="0" applyNumberFormat="1" applyFont="1" applyBorder="1" applyAlignment="1">
      <alignment horizontal="right" vertical="center"/>
    </xf>
    <xf numFmtId="176" fontId="31" fillId="0" borderId="13" xfId="0" applyNumberFormat="1" applyFont="1" applyBorder="1" applyAlignment="1">
      <alignment horizontal="right" vertical="center"/>
    </xf>
    <xf numFmtId="0" fontId="0" fillId="0" borderId="13" xfId="0" applyBorder="1"/>
    <xf numFmtId="172" fontId="34" fillId="20" borderId="14" xfId="0" applyNumberFormat="1" applyFont="1" applyFill="1" applyBorder="1" applyAlignment="1">
      <alignment horizontal="center" vertical="center"/>
    </xf>
    <xf numFmtId="171" fontId="34" fillId="20" borderId="14" xfId="0" applyNumberFormat="1" applyFont="1" applyFill="1" applyBorder="1" applyAlignment="1">
      <alignment horizontal="center" vertical="center"/>
    </xf>
    <xf numFmtId="2" fontId="34" fillId="20" borderId="14" xfId="0" applyNumberFormat="1" applyFont="1" applyFill="1" applyBorder="1" applyAlignment="1">
      <alignment horizontal="center" vertical="center"/>
    </xf>
    <xf numFmtId="177" fontId="31" fillId="0" borderId="13" xfId="0" applyNumberFormat="1" applyFont="1" applyBorder="1" applyAlignment="1">
      <alignment horizontal="right" vertical="center"/>
    </xf>
    <xf numFmtId="172" fontId="35" fillId="21" borderId="13" xfId="0" applyNumberFormat="1" applyFont="1" applyFill="1" applyBorder="1" applyAlignment="1">
      <alignment horizontal="center" vertical="center"/>
    </xf>
    <xf numFmtId="171" fontId="35" fillId="21" borderId="13" xfId="0" applyNumberFormat="1" applyFont="1" applyFill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left" vertical="center"/>
    </xf>
    <xf numFmtId="0" fontId="37" fillId="22" borderId="13" xfId="0" applyFont="1" applyFill="1" applyBorder="1" applyAlignment="1">
      <alignment horizontal="center" vertical="center" wrapText="1"/>
    </xf>
    <xf numFmtId="0" fontId="38" fillId="23" borderId="0" xfId="0" applyFont="1" applyFill="1" applyAlignment="1">
      <alignment horizontal="centerContinuous" vertical="center" wrapText="1"/>
    </xf>
    <xf numFmtId="0" fontId="0" fillId="23" borderId="0" xfId="0" applyFill="1" applyAlignment="1">
      <alignment horizontal="centerContinuous"/>
    </xf>
    <xf numFmtId="171" fontId="39" fillId="0" borderId="0" xfId="0" applyNumberFormat="1" applyFont="1" applyAlignment="1">
      <alignment horizontal="centerContinuous" vertical="center"/>
    </xf>
    <xf numFmtId="0" fontId="38" fillId="24" borderId="0" xfId="0" applyFont="1" applyFill="1" applyAlignment="1">
      <alignment horizontal="centerContinuous" vertical="center" wrapText="1"/>
    </xf>
    <xf numFmtId="0" fontId="0" fillId="24" borderId="0" xfId="0" applyFill="1" applyAlignment="1">
      <alignment horizontal="centerContinuous"/>
    </xf>
    <xf numFmtId="0" fontId="38" fillId="22" borderId="0" xfId="0" applyFont="1" applyFill="1" applyAlignment="1">
      <alignment horizontal="centerContinuous" vertical="center" wrapText="1"/>
    </xf>
    <xf numFmtId="0" fontId="0" fillId="22" borderId="0" xfId="0" applyFill="1" applyAlignment="1">
      <alignment horizontal="centerContinuous"/>
    </xf>
    <xf numFmtId="172" fontId="39" fillId="0" borderId="0" xfId="0" applyNumberFormat="1" applyFont="1" applyAlignment="1">
      <alignment horizontal="centerContinuous" vertical="center"/>
    </xf>
    <xf numFmtId="0" fontId="38" fillId="25" borderId="0" xfId="0" applyFont="1" applyFill="1" applyAlignment="1">
      <alignment horizontal="centerContinuous" vertical="center" wrapText="1"/>
    </xf>
    <xf numFmtId="0" fontId="0" fillId="25" borderId="0" xfId="0" applyFill="1" applyAlignment="1">
      <alignment horizontal="centerContinuous"/>
    </xf>
    <xf numFmtId="173" fontId="39" fillId="0" borderId="0" xfId="0" applyNumberFormat="1" applyFont="1" applyAlignment="1">
      <alignment horizontal="centerContinuous" vertical="center"/>
    </xf>
    <xf numFmtId="0" fontId="38" fillId="26" borderId="0" xfId="0" applyFont="1" applyFill="1" applyAlignment="1">
      <alignment horizontal="centerContinuous" vertical="center" wrapText="1"/>
    </xf>
    <xf numFmtId="0" fontId="0" fillId="26" borderId="0" xfId="0" applyFill="1" applyAlignment="1">
      <alignment horizontal="centerContinuous"/>
    </xf>
    <xf numFmtId="2" fontId="31" fillId="0" borderId="13" xfId="0" applyNumberFormat="1" applyFont="1" applyBorder="1" applyAlignment="1">
      <alignment horizontal="right" vertical="center"/>
    </xf>
    <xf numFmtId="173" fontId="40" fillId="0" borderId="13" xfId="0" applyNumberFormat="1" applyFont="1" applyBorder="1" applyAlignment="1">
      <alignment horizontal="center" vertical="center"/>
    </xf>
    <xf numFmtId="171" fontId="41" fillId="0" borderId="13" xfId="0" applyNumberFormat="1" applyFont="1" applyBorder="1" applyAlignment="1">
      <alignment horizontal="right" vertical="center"/>
    </xf>
    <xf numFmtId="0" fontId="42" fillId="0" borderId="13" xfId="0" applyFont="1" applyBorder="1" applyAlignment="1">
      <alignment horizontal="left" vertical="center"/>
    </xf>
    <xf numFmtId="173" fontId="35" fillId="0" borderId="13" xfId="0" applyNumberFormat="1" applyFont="1" applyBorder="1" applyAlignment="1">
      <alignment horizontal="right" vertical="center"/>
    </xf>
    <xf numFmtId="171" fontId="35" fillId="0" borderId="13" xfId="0" applyNumberFormat="1" applyFont="1" applyBorder="1" applyAlignment="1">
      <alignment horizontal="right" vertical="center"/>
    </xf>
    <xf numFmtId="172" fontId="35" fillId="0" borderId="13" xfId="0" applyNumberFormat="1" applyFont="1" applyBorder="1" applyAlignment="1">
      <alignment horizontal="right" vertical="center"/>
    </xf>
    <xf numFmtId="173" fontId="35" fillId="27" borderId="13" xfId="0" applyNumberFormat="1" applyFont="1" applyFill="1" applyBorder="1" applyAlignment="1">
      <alignment horizontal="right" vertical="center"/>
    </xf>
    <xf numFmtId="171" fontId="35" fillId="27" borderId="13" xfId="0" applyNumberFormat="1" applyFont="1" applyFill="1" applyBorder="1" applyAlignment="1">
      <alignment horizontal="right" vertical="center"/>
    </xf>
    <xf numFmtId="172" fontId="35" fillId="27" borderId="1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4" fillId="20" borderId="14" xfId="0" applyFont="1" applyFill="1" applyBorder="1" applyAlignment="1">
      <alignment horizontal="center" vertical="center" wrapText="1"/>
    </xf>
    <xf numFmtId="171" fontId="43" fillId="0" borderId="13" xfId="0" applyNumberFormat="1" applyFont="1" applyBorder="1" applyAlignment="1">
      <alignment horizontal="right" vertical="center"/>
    </xf>
    <xf numFmtId="171" fontId="44" fillId="0" borderId="13" xfId="0" applyNumberFormat="1" applyFont="1" applyBorder="1" applyAlignment="1">
      <alignment horizontal="right" vertical="center"/>
    </xf>
    <xf numFmtId="0" fontId="45" fillId="7" borderId="3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46" fillId="0" borderId="0" xfId="0" quotePrefix="1" applyFont="1"/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689-901B-45E2-84E3-22F8FA4E25B3}">
  <dimension ref="A1:B10"/>
  <sheetViews>
    <sheetView workbookViewId="0"/>
  </sheetViews>
  <sheetFormatPr baseColWidth="10" defaultRowHeight="14.25" x14ac:dyDescent="0.45"/>
  <sheetData>
    <row r="1" spans="1:2" x14ac:dyDescent="0.45">
      <c r="A1" t="s">
        <v>0</v>
      </c>
      <c r="B1">
        <f>cad!A65546</f>
        <v>0</v>
      </c>
    </row>
    <row r="2" spans="1:2" x14ac:dyDescent="0.45">
      <c r="A2" t="s">
        <v>26</v>
      </c>
      <c r="B2">
        <f>Allocation2!A65536</f>
        <v>0</v>
      </c>
    </row>
    <row r="3" spans="1:2" x14ac:dyDescent="0.45">
      <c r="A3" t="s">
        <v>43</v>
      </c>
      <c r="B3">
        <f>Campagne!A65536</f>
        <v>0</v>
      </c>
    </row>
    <row r="4" spans="1:2" x14ac:dyDescent="0.45">
      <c r="A4" t="s">
        <v>53</v>
      </c>
      <c r="B4">
        <f>Moteur!A65536</f>
        <v>0</v>
      </c>
    </row>
    <row r="5" spans="1:2" x14ac:dyDescent="0.45">
      <c r="A5" t="s">
        <v>59</v>
      </c>
      <c r="B5">
        <f>Compta!A65536</f>
        <v>0</v>
      </c>
    </row>
    <row r="6" spans="1:2" x14ac:dyDescent="0.45">
      <c r="A6" t="s">
        <v>65</v>
      </c>
      <c r="B6">
        <f>PNL!A65536</f>
        <v>0</v>
      </c>
    </row>
    <row r="7" spans="1:2" x14ac:dyDescent="0.45">
      <c r="A7" t="s">
        <v>119</v>
      </c>
      <c r="B7">
        <f>PIL!A65538</f>
        <v>0</v>
      </c>
    </row>
    <row r="10" spans="1:2" x14ac:dyDescent="0.45">
      <c r="A10" t="s">
        <v>120</v>
      </c>
      <c r="B10">
        <f>ALLOC!B65537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9"/>
  <sheetViews>
    <sheetView showGridLines="0" zoomScale="90" zoomScaleNormal="90" workbookViewId="0">
      <selection activeCell="B5" sqref="B5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.86328125" customWidth="1"/>
    <col min="9" max="9" width="15.53125" customWidth="1"/>
    <col min="10" max="10" width="15.86328125" customWidth="1"/>
  </cols>
  <sheetData>
    <row r="1" spans="2:16" x14ac:dyDescent="0.45">
      <c r="P1" t="str">
        <f>IF(cad!$C$5="Optimiste","V02",IF(cad!$C$5="Prudent","V03","V01"))</f>
        <v>V01</v>
      </c>
    </row>
    <row r="2" spans="2:16" ht="21.4" thickBot="1" x14ac:dyDescent="0.5">
      <c r="B2" s="15" t="s">
        <v>92</v>
      </c>
      <c r="C2" s="15"/>
      <c r="D2" s="15"/>
      <c r="E2" s="15"/>
      <c r="F2" s="15"/>
      <c r="G2" s="15"/>
      <c r="H2" s="15"/>
    </row>
    <row r="3" spans="2:16" ht="14.65" thickTop="1" x14ac:dyDescent="0.45"/>
    <row r="4" spans="2:16" ht="14.65" thickBot="1" x14ac:dyDescent="0.5">
      <c r="K4" s="1"/>
    </row>
    <row r="5" spans="2:16" ht="16.149999999999999" thickBot="1" x14ac:dyDescent="0.5">
      <c r="B5" s="133" t="s">
        <v>194</v>
      </c>
      <c r="C5" s="54">
        <v>1000</v>
      </c>
      <c r="E5" s="6" t="s">
        <v>24</v>
      </c>
      <c r="F5" s="96">
        <v>0.05</v>
      </c>
      <c r="J5" s="1"/>
    </row>
    <row r="6" spans="2:16" x14ac:dyDescent="0.45">
      <c r="B6" s="53"/>
      <c r="E6" s="6" t="s">
        <v>25</v>
      </c>
      <c r="F6" s="96">
        <v>0.15</v>
      </c>
    </row>
    <row r="8" spans="2:16" x14ac:dyDescent="0.45">
      <c r="B8" s="10" t="s">
        <v>86</v>
      </c>
      <c r="C8" s="10"/>
      <c r="D8" s="10"/>
      <c r="E8" s="10"/>
      <c r="F8" s="10"/>
      <c r="G8" s="10"/>
      <c r="I8" s="14" t="s">
        <v>195</v>
      </c>
      <c r="J8" s="56"/>
    </row>
    <row r="10" spans="2:16" x14ac:dyDescent="0.45">
      <c r="B10" s="7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I10" s="7" t="s">
        <v>79</v>
      </c>
      <c r="J10" s="8" t="s">
        <v>196</v>
      </c>
    </row>
    <row r="11" spans="2:16" hidden="1" x14ac:dyDescent="0.45">
      <c r="C11" s="1" t="s">
        <v>93</v>
      </c>
    </row>
    <row r="12" spans="2:16" x14ac:dyDescent="0.45">
      <c r="B12" s="132" t="s">
        <v>21</v>
      </c>
      <c r="C12" s="84">
        <v>22544725</v>
      </c>
      <c r="D12" s="87">
        <f>C12*(1+cad!$F$5)</f>
        <v>23671961.25</v>
      </c>
      <c r="E12" s="89">
        <f>SUMIFS(Moteur!$R$1:$R$175,Moteur!$B$1:$B$175,cad!$P$1)</f>
        <v>0</v>
      </c>
      <c r="F12" s="92">
        <f>E12-D12</f>
        <v>-23671961.25</v>
      </c>
      <c r="G12" s="93">
        <f>IFERROR(E12/D12-1,0)</f>
        <v>-1</v>
      </c>
      <c r="I12" s="52" t="s">
        <v>1</v>
      </c>
      <c r="J12" s="98">
        <v>1.2</v>
      </c>
    </row>
    <row r="13" spans="2:16" x14ac:dyDescent="0.45">
      <c r="B13" s="132" t="s">
        <v>22</v>
      </c>
      <c r="C13" s="84">
        <v>3291530</v>
      </c>
      <c r="D13" s="87">
        <f>D12*cad!$F$6</f>
        <v>3550794.1875</v>
      </c>
      <c r="E13" s="89">
        <f>SUMIFS(_CALC_PNL!$T$1:$T$1347,_CALC_PNL!$D$1:$D$1347,cad!$P$1,_CALC_PNL!$C$1:$C$1347,"2027")</f>
        <v>0</v>
      </c>
      <c r="F13" s="92">
        <f>E13-D13</f>
        <v>-3550794.1875</v>
      </c>
      <c r="G13" s="93">
        <f>IFERROR(E13/D13-1,0)</f>
        <v>-1</v>
      </c>
      <c r="I13" s="52" t="s">
        <v>2</v>
      </c>
      <c r="J13" s="98">
        <v>1.1499999999999999</v>
      </c>
    </row>
    <row r="14" spans="2:16" x14ac:dyDescent="0.45">
      <c r="B14" s="132" t="s">
        <v>87</v>
      </c>
      <c r="C14" s="86">
        <f>IFERROR(C13/C12,0)</f>
        <v>0.14600000665344109</v>
      </c>
      <c r="D14" s="88">
        <f>cad!$F$6</f>
        <v>0.15</v>
      </c>
      <c r="E14" s="91">
        <f>IFERROR(E13/E12,0)</f>
        <v>0</v>
      </c>
      <c r="F14" s="94">
        <f>E14-D14</f>
        <v>-0.15</v>
      </c>
      <c r="G14" s="95"/>
      <c r="I14" s="51" t="s">
        <v>3</v>
      </c>
      <c r="J14" s="98">
        <v>0.95</v>
      </c>
    </row>
    <row r="15" spans="2:16" x14ac:dyDescent="0.45">
      <c r="B15" s="132" t="s">
        <v>23</v>
      </c>
      <c r="C15" s="84">
        <v>1000</v>
      </c>
      <c r="D15" s="95"/>
      <c r="E15" s="90">
        <f>SUMIFS(Moteur!$P$1:$P$175,Moteur!$B$1:$B$175,cad!$P$1)</f>
        <v>0</v>
      </c>
      <c r="F15" s="99" t="e">
        <f>E15-#REF!</f>
        <v>#REF!</v>
      </c>
      <c r="G15" s="93">
        <f>IFERROR(E15/#REF!-1,0)</f>
        <v>0</v>
      </c>
      <c r="I15" s="52" t="s">
        <v>4</v>
      </c>
      <c r="J15" s="98">
        <v>0.9</v>
      </c>
    </row>
    <row r="16" spans="2:16" x14ac:dyDescent="0.45">
      <c r="I16" s="51" t="s">
        <v>5</v>
      </c>
      <c r="J16" s="98">
        <v>1.05</v>
      </c>
    </row>
    <row r="17" spans="1:6" x14ac:dyDescent="0.45">
      <c r="B17" s="1"/>
    </row>
    <row r="19" spans="1:6" x14ac:dyDescent="0.45">
      <c r="B19" s="11" t="s">
        <v>88</v>
      </c>
    </row>
    <row r="21" spans="1:6" ht="24" x14ac:dyDescent="0.45">
      <c r="B21" s="7" t="s">
        <v>69</v>
      </c>
      <c r="C21" s="102" t="str">
        <f>C22</f>
        <v>Cadrage</v>
      </c>
      <c r="D21" s="102" t="str">
        <f>D22</f>
        <v>Optimiste</v>
      </c>
      <c r="E21" s="102" t="str">
        <f>E22</f>
        <v>Prudent</v>
      </c>
      <c r="F21" s="12" t="s">
        <v>91</v>
      </c>
    </row>
    <row r="22" spans="1:6" hidden="1" x14ac:dyDescent="0.45">
      <c r="C22" s="1" t="s">
        <v>6</v>
      </c>
      <c r="D22" s="1" t="s">
        <v>7</v>
      </c>
      <c r="E22" s="1" t="s">
        <v>8</v>
      </c>
    </row>
    <row r="23" spans="1:6" x14ac:dyDescent="0.45">
      <c r="B23" s="32" t="s">
        <v>9</v>
      </c>
      <c r="C23" s="96">
        <v>0.08</v>
      </c>
      <c r="D23" s="96">
        <v>0.15</v>
      </c>
      <c r="E23" s="96">
        <v>-0.05</v>
      </c>
      <c r="F23" s="100" t="e">
        <v>#N/A</v>
      </c>
    </row>
    <row r="24" spans="1:6" x14ac:dyDescent="0.45">
      <c r="B24" s="32" t="s">
        <v>10</v>
      </c>
      <c r="C24" s="96">
        <v>0.1</v>
      </c>
      <c r="D24" s="96">
        <v>0.2</v>
      </c>
      <c r="E24" s="96">
        <v>-0.05</v>
      </c>
      <c r="F24" s="100" t="e">
        <v>#N/A</v>
      </c>
    </row>
    <row r="25" spans="1:6" x14ac:dyDescent="0.45">
      <c r="B25" s="32" t="s">
        <v>11</v>
      </c>
      <c r="C25" s="96">
        <v>2.8549999999999999E-3</v>
      </c>
      <c r="D25" s="96">
        <v>3.5000000000000003E-2</v>
      </c>
      <c r="E25" s="96">
        <v>0.02</v>
      </c>
      <c r="F25" s="100" t="e">
        <v>#N/A</v>
      </c>
    </row>
    <row r="26" spans="1:6" x14ac:dyDescent="0.45">
      <c r="B26" s="32" t="s">
        <v>12</v>
      </c>
      <c r="C26" s="96">
        <v>0.01</v>
      </c>
      <c r="D26" s="96">
        <v>0.03</v>
      </c>
      <c r="E26" s="96">
        <v>0</v>
      </c>
      <c r="F26" s="100" t="e">
        <v>#N/A</v>
      </c>
    </row>
    <row r="27" spans="1:6" x14ac:dyDescent="0.45">
      <c r="B27" s="32" t="s">
        <v>13</v>
      </c>
      <c r="C27" s="96">
        <v>0.01</v>
      </c>
      <c r="D27" s="96">
        <v>2.5000000000000001E-2</v>
      </c>
      <c r="E27" s="96">
        <v>0</v>
      </c>
      <c r="F27" s="100" t="e">
        <v>#N/A</v>
      </c>
    </row>
    <row r="28" spans="1:6" x14ac:dyDescent="0.45">
      <c r="B28" s="32" t="s">
        <v>14</v>
      </c>
      <c r="C28" s="96">
        <v>5.0000000000000001E-3</v>
      </c>
      <c r="D28" s="96">
        <v>1.4999999999999999E-2</v>
      </c>
      <c r="E28" s="96">
        <v>-0.01</v>
      </c>
      <c r="F28" s="100" t="e">
        <v>#N/A</v>
      </c>
    </row>
    <row r="29" spans="1:6" ht="18" customHeight="1" x14ac:dyDescent="0.45">
      <c r="A29" s="2"/>
      <c r="B29" s="2"/>
      <c r="C29" s="2"/>
      <c r="D29" s="2"/>
      <c r="E29" s="2"/>
    </row>
    <row r="30" spans="1:6" x14ac:dyDescent="0.45">
      <c r="B30" s="55" t="s">
        <v>89</v>
      </c>
      <c r="C30" s="2"/>
      <c r="D30" s="2"/>
      <c r="E30" s="2"/>
    </row>
    <row r="31" spans="1:6" x14ac:dyDescent="0.45">
      <c r="A31" s="2"/>
      <c r="B31" s="2"/>
      <c r="C31" s="2"/>
      <c r="D31" s="2"/>
      <c r="E31" s="2"/>
    </row>
    <row r="32" spans="1:6" x14ac:dyDescent="0.45">
      <c r="B32" s="33" t="s">
        <v>15</v>
      </c>
      <c r="C32" s="96">
        <v>0.02</v>
      </c>
      <c r="D32" s="96">
        <v>1.4999999999999999E-2</v>
      </c>
      <c r="E32" s="96">
        <v>0.03</v>
      </c>
      <c r="F32" s="100" t="e">
        <f>INDEX(C32:E32,MATCH(cad!$C$5,$C$22:$E$22,0))</f>
        <v>#N/A</v>
      </c>
    </row>
    <row r="33" spans="1:6" x14ac:dyDescent="0.45">
      <c r="B33" s="33" t="s">
        <v>16</v>
      </c>
      <c r="C33" s="96">
        <v>2.5000000000000001E-2</v>
      </c>
      <c r="D33" s="96">
        <v>0.02</v>
      </c>
      <c r="E33" s="96">
        <v>0.03</v>
      </c>
      <c r="F33" s="100" t="e">
        <f>INDEX(C33:E33,MATCH(cad!$C$5,$C$22:$E$22,0))</f>
        <v>#N/A</v>
      </c>
    </row>
    <row r="34" spans="1:6" x14ac:dyDescent="0.45">
      <c r="B34" s="33" t="s">
        <v>17</v>
      </c>
      <c r="C34" s="96">
        <v>0.04</v>
      </c>
      <c r="D34" s="96">
        <v>0.03</v>
      </c>
      <c r="E34" s="96">
        <v>0.05</v>
      </c>
      <c r="F34" s="100" t="e">
        <f>INDEX(C34:E34,MATCH(cad!$C$5,$C$22:$E$22,0))</f>
        <v>#N/A</v>
      </c>
    </row>
    <row r="35" spans="1:6" x14ac:dyDescent="0.45">
      <c r="B35" s="33" t="s">
        <v>18</v>
      </c>
      <c r="C35" s="96">
        <v>1.8696999999999998E-2</v>
      </c>
      <c r="D35" s="96">
        <v>0.03</v>
      </c>
      <c r="E35" s="96">
        <v>0</v>
      </c>
      <c r="F35" s="100" t="e">
        <f>INDEX(C35:E35,MATCH(cad!$C$5,$C$22:$E$22,0))</f>
        <v>#N/A</v>
      </c>
    </row>
    <row r="36" spans="1:6" x14ac:dyDescent="0.45">
      <c r="B36" s="33" t="s">
        <v>19</v>
      </c>
      <c r="C36" s="96">
        <v>0</v>
      </c>
      <c r="D36" s="96">
        <v>-0.03</v>
      </c>
      <c r="E36" s="96">
        <v>0.04</v>
      </c>
      <c r="F36" s="100" t="e">
        <f>INDEX(C36:E36,MATCH(cad!$C$5,$C$22:$E$22,0))</f>
        <v>#N/A</v>
      </c>
    </row>
    <row r="37" spans="1:6" x14ac:dyDescent="0.45">
      <c r="A37" s="2"/>
      <c r="B37" s="2"/>
      <c r="C37" s="2"/>
      <c r="D37" s="2"/>
      <c r="E37" s="2"/>
    </row>
    <row r="38" spans="1:6" x14ac:dyDescent="0.45">
      <c r="B38" s="103" t="s">
        <v>90</v>
      </c>
    </row>
    <row r="39" spans="1:6" x14ac:dyDescent="0.45">
      <c r="B39" s="13" t="s">
        <v>20</v>
      </c>
      <c r="C39" s="97">
        <v>90</v>
      </c>
      <c r="D39" s="97">
        <v>90</v>
      </c>
      <c r="E39" s="97">
        <v>90</v>
      </c>
      <c r="F39" s="101" t="e">
        <f>INDEX(C39:E39,MATCH(cad!$C$5,$C$22:$E$22,0))</f>
        <v>#N/A</v>
      </c>
    </row>
    <row r="40" spans="1:6" x14ac:dyDescent="0.45">
      <c r="B40" s="1"/>
      <c r="C40" s="3"/>
      <c r="D40" s="3"/>
      <c r="E40" s="3"/>
    </row>
    <row r="57" spans="7:8" x14ac:dyDescent="0.45">
      <c r="H57" s="1"/>
    </row>
    <row r="58" spans="7:8" x14ac:dyDescent="0.45">
      <c r="G58" s="1"/>
      <c r="H58" s="4"/>
    </row>
    <row r="59" spans="7:8" x14ac:dyDescent="0.45">
      <c r="G59" s="1"/>
      <c r="H59" s="4"/>
    </row>
    <row r="60" spans="7:8" hidden="1" x14ac:dyDescent="0.45">
      <c r="H60" s="1"/>
    </row>
    <row r="61" spans="7:8" x14ac:dyDescent="0.45">
      <c r="G61" s="1"/>
      <c r="H61" s="4"/>
    </row>
    <row r="67" spans="7:8" hidden="1" x14ac:dyDescent="0.45">
      <c r="H67" s="1"/>
    </row>
    <row r="68" spans="7:8" x14ac:dyDescent="0.45">
      <c r="G68" s="1"/>
    </row>
    <row r="69" spans="7:8" x14ac:dyDescent="0.45">
      <c r="G69" s="1"/>
    </row>
  </sheetData>
  <conditionalFormatting sqref="F12:G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SHEET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49"/>
  <sheetViews>
    <sheetView showGridLines="0" workbookViewId="0">
      <selection activeCell="U13" sqref="U13:W14"/>
    </sheetView>
  </sheetViews>
  <sheetFormatPr baseColWidth="10" defaultRowHeight="14.25" x14ac:dyDescent="0.45"/>
  <cols>
    <col min="1" max="1" width="10.6640625" customWidth="1"/>
    <col min="2" max="6" width="12.59765625" customWidth="1"/>
    <col min="7" max="7" width="12.59765625" style="18" customWidth="1"/>
    <col min="8" max="9" width="12.59765625" style="2" customWidth="1"/>
    <col min="10" max="13" width="12.59765625" style="19" customWidth="1"/>
    <col min="14" max="15" width="12.59765625" style="18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15" customHeight="1" thickBot="1" x14ac:dyDescent="0.5">
      <c r="B2" s="16" t="s">
        <v>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14.55" customHeight="1" thickTop="1" thickBo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3" ht="14.65" thickTop="1" x14ac:dyDescent="0.45"/>
    <row r="6" spans="1:23" ht="26" customHeight="1" x14ac:dyDescent="0.45">
      <c r="B6" s="105" t="s">
        <v>95</v>
      </c>
      <c r="C6" s="106"/>
      <c r="D6" s="108" t="s">
        <v>96</v>
      </c>
      <c r="E6" s="109"/>
      <c r="F6" s="110" t="s">
        <v>97</v>
      </c>
      <c r="G6" s="111"/>
      <c r="H6" s="113" t="s">
        <v>23</v>
      </c>
      <c r="I6" s="114"/>
      <c r="J6" s="116" t="s">
        <v>98</v>
      </c>
      <c r="K6" s="117"/>
      <c r="L6"/>
      <c r="M6"/>
      <c r="N6"/>
      <c r="O6"/>
      <c r="U6" s="1"/>
      <c r="V6" s="1"/>
    </row>
    <row r="7" spans="1:23" ht="30" customHeight="1" x14ac:dyDescent="0.45">
      <c r="B7" s="107">
        <f>E49</f>
        <v>0</v>
      </c>
      <c r="C7" s="56"/>
      <c r="D7" s="107">
        <f>H49</f>
        <v>0</v>
      </c>
      <c r="E7" s="56"/>
      <c r="F7" s="112">
        <f>I49</f>
        <v>0</v>
      </c>
      <c r="G7" s="56"/>
      <c r="H7" s="115">
        <f>D49</f>
        <v>0</v>
      </c>
      <c r="I7" s="56"/>
      <c r="J7" s="112">
        <f>IFERROR(E49/cad!$C$12-1,0)</f>
        <v>-1</v>
      </c>
      <c r="K7" s="56"/>
      <c r="L7"/>
      <c r="M7"/>
      <c r="N7"/>
      <c r="O7"/>
    </row>
    <row r="8" spans="1:23" ht="14.55" customHeight="1" x14ac:dyDescent="0.45">
      <c r="B8" s="60"/>
      <c r="C8" s="61"/>
      <c r="D8" s="61"/>
      <c r="E8" s="61"/>
      <c r="F8" s="61"/>
      <c r="G8" s="62"/>
      <c r="H8" s="66"/>
      <c r="I8" s="67"/>
      <c r="J8" s="68"/>
      <c r="K8" s="72"/>
      <c r="L8" s="73"/>
      <c r="M8" s="74"/>
      <c r="N8" s="78"/>
      <c r="O8" s="79"/>
      <c r="P8" s="80"/>
      <c r="Q8" s="78"/>
      <c r="R8" s="79"/>
      <c r="S8" s="80"/>
    </row>
    <row r="9" spans="1:23" ht="14.55" customHeight="1" x14ac:dyDescent="0.45">
      <c r="B9" s="57"/>
      <c r="C9" s="58"/>
      <c r="D9" s="58"/>
      <c r="E9" s="58"/>
      <c r="F9" s="58"/>
      <c r="G9" s="59"/>
      <c r="H9" s="63"/>
      <c r="I9" s="64"/>
      <c r="J9" s="65"/>
      <c r="K9" s="69"/>
      <c r="L9" s="70"/>
      <c r="M9" s="71"/>
      <c r="N9" s="75"/>
      <c r="O9" s="76"/>
      <c r="P9" s="77"/>
      <c r="Q9" s="75"/>
      <c r="R9" s="76"/>
      <c r="S9" s="77"/>
    </row>
    <row r="10" spans="1:23" ht="14.55" customHeight="1" x14ac:dyDescent="0.45">
      <c r="J10" s="20"/>
      <c r="K10" s="20"/>
      <c r="L10" s="20"/>
      <c r="N10" s="21"/>
      <c r="O10" s="21"/>
      <c r="P10" s="21"/>
    </row>
    <row r="11" spans="1:23" ht="14.55" customHeight="1" x14ac:dyDescent="0.45">
      <c r="J11" s="20"/>
      <c r="K11" s="20"/>
      <c r="L11" s="20"/>
    </row>
    <row r="12" spans="1:23" ht="15.75" x14ac:dyDescent="0.45">
      <c r="B12" s="22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23" x14ac:dyDescent="0.45">
      <c r="L13" s="82"/>
      <c r="U13" t="s">
        <v>200</v>
      </c>
      <c r="V13" t="s">
        <v>200</v>
      </c>
      <c r="W13" t="s">
        <v>200</v>
      </c>
    </row>
    <row r="14" spans="1:23" ht="26.65" thickBot="1" x14ac:dyDescent="0.5">
      <c r="A14" s="24" t="s">
        <v>169</v>
      </c>
      <c r="B14" s="24" t="s">
        <v>79</v>
      </c>
      <c r="C14" s="24" t="s">
        <v>100</v>
      </c>
      <c r="D14" s="104" t="s">
        <v>101</v>
      </c>
      <c r="E14" s="104" t="s">
        <v>102</v>
      </c>
      <c r="F14" s="104" t="s">
        <v>103</v>
      </c>
      <c r="G14" s="104" t="s">
        <v>104</v>
      </c>
      <c r="H14" s="104" t="s">
        <v>105</v>
      </c>
      <c r="I14" s="25" t="s">
        <v>106</v>
      </c>
      <c r="J14" s="104" t="s">
        <v>107</v>
      </c>
      <c r="K14" s="81" t="s">
        <v>108</v>
      </c>
      <c r="L14" s="83" t="s">
        <v>60</v>
      </c>
      <c r="U14" t="s">
        <v>197</v>
      </c>
      <c r="V14" t="s">
        <v>198</v>
      </c>
      <c r="W14" t="s">
        <v>199</v>
      </c>
    </row>
    <row r="15" spans="1:23" ht="14.65" thickBot="1" x14ac:dyDescent="0.5">
      <c r="A15" s="26" t="s">
        <v>177</v>
      </c>
      <c r="B15" s="26" t="s">
        <v>1</v>
      </c>
      <c r="C15" s="26" t="s">
        <v>109</v>
      </c>
      <c r="D15" s="84">
        <v>1475</v>
      </c>
      <c r="E15" s="86">
        <v>0.110736</v>
      </c>
      <c r="F15" s="86">
        <v>2.1756999999999999E-2</v>
      </c>
      <c r="G15" s="118">
        <v>0.81</v>
      </c>
      <c r="H15" s="118">
        <v>1.06</v>
      </c>
      <c r="I15" s="118">
        <v>0.86</v>
      </c>
      <c r="J15" s="119">
        <v>1</v>
      </c>
      <c r="K15" s="120">
        <v>68291</v>
      </c>
      <c r="L15" s="121" t="s">
        <v>177</v>
      </c>
      <c r="O15" s="27"/>
    </row>
    <row r="16" spans="1:23" ht="14.65" thickBot="1" x14ac:dyDescent="0.5">
      <c r="A16" s="26" t="s">
        <v>178</v>
      </c>
      <c r="B16" s="26" t="s">
        <v>1</v>
      </c>
      <c r="C16" s="28" t="s">
        <v>110</v>
      </c>
      <c r="D16" s="84">
        <v>1102</v>
      </c>
      <c r="E16" s="86">
        <v>0.11887200000000001</v>
      </c>
      <c r="F16" s="86">
        <v>1.6735E-2</v>
      </c>
      <c r="G16" s="118">
        <v>1.0900000000000001</v>
      </c>
      <c r="H16" s="118">
        <v>1.1399999999999999</v>
      </c>
      <c r="I16" s="118">
        <v>1.1200000000000001</v>
      </c>
      <c r="J16" s="119">
        <v>1</v>
      </c>
      <c r="K16" s="120">
        <v>41783</v>
      </c>
      <c r="L16" s="82"/>
    </row>
    <row r="17" spans="1:19" ht="14.65" thickBot="1" x14ac:dyDescent="0.5">
      <c r="A17" s="26" t="s">
        <v>179</v>
      </c>
      <c r="B17" s="26" t="s">
        <v>1</v>
      </c>
      <c r="C17" s="26" t="s">
        <v>111</v>
      </c>
      <c r="D17" s="84">
        <v>964</v>
      </c>
      <c r="E17" s="86">
        <v>0.123795</v>
      </c>
      <c r="F17" s="86">
        <v>1.461E-2</v>
      </c>
      <c r="G17" s="118">
        <v>1.25</v>
      </c>
      <c r="H17" s="118">
        <v>1.18</v>
      </c>
      <c r="I17" s="118">
        <v>1.29</v>
      </c>
      <c r="J17" s="119">
        <v>1</v>
      </c>
      <c r="K17" s="120">
        <v>31533</v>
      </c>
      <c r="L17" s="82"/>
    </row>
    <row r="18" spans="1:19" ht="14.65" thickBot="1" x14ac:dyDescent="0.5">
      <c r="A18" s="26" t="s">
        <v>180</v>
      </c>
      <c r="B18" s="26" t="s">
        <v>1</v>
      </c>
      <c r="C18" s="26" t="s">
        <v>112</v>
      </c>
      <c r="D18" s="84">
        <v>890</v>
      </c>
      <c r="E18" s="86">
        <v>0.12609500000000001</v>
      </c>
      <c r="F18" s="86">
        <v>1.4052E-2</v>
      </c>
      <c r="G18" s="118">
        <v>1.35</v>
      </c>
      <c r="H18" s="118">
        <v>1.21</v>
      </c>
      <c r="I18" s="118">
        <v>1.34</v>
      </c>
      <c r="J18" s="119">
        <v>1</v>
      </c>
      <c r="K18" s="120">
        <v>24923</v>
      </c>
      <c r="L18" s="82"/>
    </row>
    <row r="19" spans="1:19" ht="14.65" thickBot="1" x14ac:dyDescent="0.5">
      <c r="A19" s="26" t="s">
        <v>181</v>
      </c>
      <c r="B19" s="26" t="s">
        <v>2</v>
      </c>
      <c r="C19" s="26" t="s">
        <v>109</v>
      </c>
      <c r="D19" s="84">
        <v>1540</v>
      </c>
      <c r="E19" s="86">
        <v>7.7744999999999995E-2</v>
      </c>
      <c r="F19" s="86">
        <v>2.0903000000000001E-2</v>
      </c>
      <c r="G19" s="118">
        <v>0.78</v>
      </c>
      <c r="H19" s="118">
        <v>0.74</v>
      </c>
      <c r="I19" s="118">
        <v>0.9</v>
      </c>
      <c r="J19" s="119">
        <v>1</v>
      </c>
      <c r="K19" s="120">
        <v>60800</v>
      </c>
      <c r="L19" s="82"/>
    </row>
    <row r="20" spans="1:19" ht="14.65" thickBot="1" x14ac:dyDescent="0.5">
      <c r="A20" s="26" t="s">
        <v>182</v>
      </c>
      <c r="B20" s="26" t="s">
        <v>2</v>
      </c>
      <c r="C20" s="26" t="s">
        <v>113</v>
      </c>
      <c r="D20" s="84">
        <v>979</v>
      </c>
      <c r="E20" s="86">
        <v>8.1545000000000006E-2</v>
      </c>
      <c r="F20" s="86">
        <v>1.4363000000000001E-2</v>
      </c>
      <c r="G20" s="118">
        <v>1.23</v>
      </c>
      <c r="H20" s="118">
        <v>0.78</v>
      </c>
      <c r="I20" s="118">
        <v>1.31</v>
      </c>
      <c r="J20" s="119">
        <v>1</v>
      </c>
      <c r="K20" s="120">
        <v>25220</v>
      </c>
      <c r="L20" s="82"/>
    </row>
    <row r="21" spans="1:19" ht="14.65" thickBot="1" x14ac:dyDescent="0.5">
      <c r="A21" s="26" t="s">
        <v>183</v>
      </c>
      <c r="B21" s="26" t="s">
        <v>2</v>
      </c>
      <c r="C21" s="26" t="s">
        <v>114</v>
      </c>
      <c r="D21" s="84">
        <v>919</v>
      </c>
      <c r="E21" s="86">
        <v>8.2116999999999996E-2</v>
      </c>
      <c r="F21" s="86">
        <v>1.3565000000000001E-2</v>
      </c>
      <c r="G21" s="118">
        <v>1.31</v>
      </c>
      <c r="H21" s="118">
        <v>0.79</v>
      </c>
      <c r="I21" s="118">
        <v>1.39</v>
      </c>
      <c r="J21" s="119">
        <v>1</v>
      </c>
      <c r="K21" s="120">
        <v>22083</v>
      </c>
      <c r="L21" s="82"/>
    </row>
    <row r="22" spans="1:19" ht="14.65" thickBot="1" x14ac:dyDescent="0.5">
      <c r="A22" s="26" t="s">
        <v>184</v>
      </c>
      <c r="B22" s="26" t="s">
        <v>115</v>
      </c>
      <c r="C22" s="26" t="s">
        <v>111</v>
      </c>
      <c r="D22" s="84">
        <v>1216</v>
      </c>
      <c r="E22" s="86">
        <v>0.13788500000000001</v>
      </c>
      <c r="F22" s="86">
        <v>2.1343999999999998E-2</v>
      </c>
      <c r="G22" s="118">
        <v>0.99</v>
      </c>
      <c r="H22" s="118">
        <v>1.32</v>
      </c>
      <c r="I22" s="118">
        <v>0.88</v>
      </c>
      <c r="J22" s="119">
        <v>1</v>
      </c>
      <c r="K22" s="120">
        <v>21760</v>
      </c>
      <c r="L22" s="82"/>
    </row>
    <row r="23" spans="1:19" ht="14.65" thickBot="1" x14ac:dyDescent="0.5">
      <c r="A23" s="26" t="s">
        <v>185</v>
      </c>
      <c r="B23" s="26" t="s">
        <v>115</v>
      </c>
      <c r="C23" s="26" t="s">
        <v>116</v>
      </c>
      <c r="D23" s="84">
        <v>1041</v>
      </c>
      <c r="E23" s="86">
        <v>0.14478099999999999</v>
      </c>
      <c r="F23" s="86">
        <v>1.9103999999999999E-2</v>
      </c>
      <c r="G23" s="118">
        <v>1.1599999999999999</v>
      </c>
      <c r="H23" s="118">
        <v>1.39</v>
      </c>
      <c r="I23" s="118">
        <v>0.98</v>
      </c>
      <c r="J23" s="119">
        <v>1</v>
      </c>
      <c r="K23" s="120">
        <v>14933</v>
      </c>
      <c r="L23" s="82"/>
    </row>
    <row r="24" spans="1:19" ht="14.65" thickBot="1" x14ac:dyDescent="0.5">
      <c r="A24" s="26" t="s">
        <v>186</v>
      </c>
      <c r="B24" s="26" t="s">
        <v>115</v>
      </c>
      <c r="C24" s="26" t="s">
        <v>117</v>
      </c>
      <c r="D24" s="84">
        <v>1034</v>
      </c>
      <c r="E24" s="86">
        <v>0.14478099999999999</v>
      </c>
      <c r="F24" s="86">
        <v>1.9418000000000001E-2</v>
      </c>
      <c r="G24" s="118">
        <v>1.1599999999999999</v>
      </c>
      <c r="H24" s="118">
        <v>1.39</v>
      </c>
      <c r="I24" s="118">
        <v>0.97</v>
      </c>
      <c r="J24" s="119">
        <v>1</v>
      </c>
      <c r="K24" s="120">
        <v>15178</v>
      </c>
      <c r="L24" s="82"/>
    </row>
    <row r="25" spans="1:19" ht="14.65" thickBot="1" x14ac:dyDescent="0.5">
      <c r="A25" s="26" t="s">
        <v>187</v>
      </c>
      <c r="B25" s="26" t="s">
        <v>4</v>
      </c>
      <c r="C25" s="26" t="s">
        <v>110</v>
      </c>
      <c r="D25" s="84">
        <v>1705</v>
      </c>
      <c r="E25" s="86">
        <v>8.5002999999999995E-2</v>
      </c>
      <c r="F25" s="86">
        <v>2.928E-2</v>
      </c>
      <c r="G25" s="118">
        <v>0.71</v>
      </c>
      <c r="H25" s="118">
        <v>0.81</v>
      </c>
      <c r="I25" s="118">
        <v>0.64</v>
      </c>
      <c r="J25" s="119">
        <v>1</v>
      </c>
      <c r="K25" s="120">
        <v>36612</v>
      </c>
      <c r="L25" s="82"/>
    </row>
    <row r="26" spans="1:19" ht="14.65" thickBot="1" x14ac:dyDescent="0.5">
      <c r="A26" s="26" t="s">
        <v>188</v>
      </c>
      <c r="B26" s="26" t="s">
        <v>4</v>
      </c>
      <c r="C26" s="26" t="s">
        <v>112</v>
      </c>
      <c r="D26" s="84">
        <v>1368</v>
      </c>
      <c r="E26" s="86">
        <v>8.7533E-2</v>
      </c>
      <c r="F26" s="86">
        <v>2.436E-2</v>
      </c>
      <c r="G26" s="118">
        <v>0.88</v>
      </c>
      <c r="H26" s="118">
        <v>0.84</v>
      </c>
      <c r="I26" s="118">
        <v>0.77</v>
      </c>
      <c r="J26" s="119">
        <v>1</v>
      </c>
      <c r="K26" s="120">
        <v>21968</v>
      </c>
      <c r="L26" s="82"/>
    </row>
    <row r="27" spans="1:19" ht="14.65" thickBot="1" x14ac:dyDescent="0.5">
      <c r="A27" s="26" t="s">
        <v>189</v>
      </c>
      <c r="B27" s="26" t="s">
        <v>5</v>
      </c>
      <c r="C27" s="26" t="s">
        <v>109</v>
      </c>
      <c r="D27" s="84">
        <v>2193</v>
      </c>
      <c r="E27" s="86">
        <v>6.9518999999999997E-2</v>
      </c>
      <c r="F27" s="86">
        <v>2.7841000000000001E-2</v>
      </c>
      <c r="G27" s="118">
        <v>0.55000000000000004</v>
      </c>
      <c r="H27" s="118">
        <v>0.67</v>
      </c>
      <c r="I27" s="118">
        <v>0.68</v>
      </c>
      <c r="J27" s="119">
        <v>1</v>
      </c>
      <c r="K27" s="120">
        <v>30240</v>
      </c>
      <c r="L27" s="82"/>
      <c r="O27"/>
    </row>
    <row r="28" spans="1:19" ht="14.65" thickBot="1" x14ac:dyDescent="0.5">
      <c r="A28" s="26" t="s">
        <v>190</v>
      </c>
      <c r="B28" s="26" t="s">
        <v>5</v>
      </c>
      <c r="C28" s="26" t="s">
        <v>110</v>
      </c>
      <c r="D28" s="84">
        <v>1625</v>
      </c>
      <c r="E28" s="86">
        <v>7.2554999999999994E-2</v>
      </c>
      <c r="F28" s="86">
        <v>2.1828E-2</v>
      </c>
      <c r="G28" s="118">
        <v>0.74</v>
      </c>
      <c r="H28" s="118">
        <v>0.69</v>
      </c>
      <c r="I28" s="118">
        <v>0.86</v>
      </c>
      <c r="J28" s="119">
        <v>1</v>
      </c>
      <c r="K28" s="120">
        <v>18850</v>
      </c>
      <c r="L28" s="82"/>
      <c r="O28"/>
    </row>
    <row r="29" spans="1:19" x14ac:dyDescent="0.45">
      <c r="L29" s="82"/>
      <c r="O29"/>
    </row>
    <row r="30" spans="1:19" ht="15.75" x14ac:dyDescent="0.45">
      <c r="B30" s="29" t="s">
        <v>118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x14ac:dyDescent="0.45">
      <c r="O31"/>
    </row>
    <row r="32" spans="1:19" x14ac:dyDescent="0.45">
      <c r="A32" s="24" t="s">
        <v>169</v>
      </c>
      <c r="B32" s="24" t="s">
        <v>79</v>
      </c>
      <c r="C32" s="24" t="s">
        <v>100</v>
      </c>
      <c r="D32" s="9" t="s">
        <v>23</v>
      </c>
      <c r="E32" s="9" t="s">
        <v>95</v>
      </c>
      <c r="F32" s="9" t="s">
        <v>170</v>
      </c>
      <c r="G32" s="9" t="s">
        <v>171</v>
      </c>
      <c r="H32" s="9" t="s">
        <v>172</v>
      </c>
      <c r="I32" s="9" t="s">
        <v>173</v>
      </c>
      <c r="J32" s="9" t="s">
        <v>174</v>
      </c>
      <c r="K32" s="9" t="s">
        <v>175</v>
      </c>
      <c r="L32" s="9" t="s">
        <v>176</v>
      </c>
      <c r="O32"/>
    </row>
    <row r="33" spans="1:15" x14ac:dyDescent="0.45">
      <c r="A33" s="26" t="s">
        <v>177</v>
      </c>
      <c r="B33" s="26" t="s">
        <v>1</v>
      </c>
      <c r="C33" s="26" t="s">
        <v>109</v>
      </c>
      <c r="D33" s="85">
        <f>SUMIFS(Moteur!$P$1:$P$175,Moteur!$D$1:$D$175,$A33,Moteur!$B$1:$B$175,cad!$P$1)</f>
        <v>0</v>
      </c>
      <c r="E33" s="89">
        <f>SUMIFS(Moteur!$R$1:$R$175,Moteur!$D$1:$D$175,$A33,Moteur!$B$1:$B$175,cad!$P$1)</f>
        <v>0</v>
      </c>
      <c r="F33" s="84">
        <f t="shared" ref="F33:F47" si="0">IFERROR(E33/D33,0)</f>
        <v>0</v>
      </c>
      <c r="G33" s="86">
        <f t="shared" ref="G33:G46" si="1">IFERROR(E33/SUM($E$33:$E$46),0)</f>
        <v>0</v>
      </c>
      <c r="H33" s="89">
        <f>SUMIFS(_CALC_PNL!$T$1:$T$1347,_CALC_PNL!$A$1:$A$1347,$A33,_CALC_PNL!$D$1:$D$1347,cad!$P$1,_CALC_PNL!$C$1:$C$1347,"2027")</f>
        <v>0</v>
      </c>
      <c r="I33" s="86">
        <f t="shared" ref="I33:I47" si="2">IFERROR(H33/E33,0)</f>
        <v>0</v>
      </c>
      <c r="J33" s="84">
        <f t="shared" ref="J33:J47" si="3">IFERROR(H33/D33,0)</f>
        <v>0</v>
      </c>
      <c r="K33" s="84">
        <f>SUMIFS(PIL!$K$15:$K$28,PIL!$A$15:$A$28,$A33)*SUMIFS(PIL!$J$15:$J$28,PIL!$A$15:$A$28,$A33)*(SUM(PIL!$K$15:$K$28)/SUMPRODUCT(PIL!$K$15:$K$28,PIL!$J$15:$J$28))</f>
        <v>68291</v>
      </c>
      <c r="L33" s="84">
        <f>SUMIFS(PIL!$D$15:$D$28,PIL!$A$15:$A$28,$A33)</f>
        <v>1475</v>
      </c>
      <c r="O33"/>
    </row>
    <row r="34" spans="1:15" x14ac:dyDescent="0.45">
      <c r="A34" s="26" t="s">
        <v>178</v>
      </c>
      <c r="B34" s="26" t="s">
        <v>1</v>
      </c>
      <c r="C34" s="26" t="s">
        <v>110</v>
      </c>
      <c r="D34" s="85">
        <f>SUMIFS(Moteur!$P$1:$P$175,Moteur!$D$1:$D$175,$A34,Moteur!$B$1:$B$175,cad!$P$1)</f>
        <v>0</v>
      </c>
      <c r="E34" s="89">
        <f>SUMIFS(Moteur!$R$1:$R$175,Moteur!$D$1:$D$175,$A34,Moteur!$B$1:$B$175,cad!$P$1)</f>
        <v>0</v>
      </c>
      <c r="F34" s="84">
        <f t="shared" si="0"/>
        <v>0</v>
      </c>
      <c r="G34" s="86">
        <f t="shared" si="1"/>
        <v>0</v>
      </c>
      <c r="H34" s="89">
        <f>SUMIFS(_CALC_PNL!$T$1:$T$1347,_CALC_PNL!$A$1:$A$1347,$A34,_CALC_PNL!$D$1:$D$1347,cad!$P$1,_CALC_PNL!$C$1:$C$1347,"2027")</f>
        <v>0</v>
      </c>
      <c r="I34" s="86">
        <f t="shared" si="2"/>
        <v>0</v>
      </c>
      <c r="J34" s="84">
        <f t="shared" si="3"/>
        <v>0</v>
      </c>
      <c r="K34" s="84">
        <f>SUMIFS(PIL!$K$15:$K$28,PIL!$A$15:$A$28,$A34)*SUMIFS(PIL!$J$15:$J$28,PIL!$A$15:$A$28,$A34)*(SUM(PIL!$K$15:$K$28)/SUMPRODUCT(PIL!$K$15:$K$28,PIL!$J$15:$J$28))</f>
        <v>41783</v>
      </c>
      <c r="L34" s="84">
        <f>SUMIFS(PIL!$D$15:$D$28,PIL!$A$15:$A$28,$A34)</f>
        <v>1102</v>
      </c>
      <c r="O34"/>
    </row>
    <row r="35" spans="1:15" x14ac:dyDescent="0.45">
      <c r="A35" s="26" t="s">
        <v>179</v>
      </c>
      <c r="B35" s="26" t="s">
        <v>1</v>
      </c>
      <c r="C35" s="26" t="s">
        <v>111</v>
      </c>
      <c r="D35" s="85">
        <f>SUMIFS(Moteur!$P$1:$P$175,Moteur!$D$1:$D$175,$A35,Moteur!$B$1:$B$175,cad!$P$1)</f>
        <v>0</v>
      </c>
      <c r="E35" s="89">
        <f>SUMIFS(Moteur!$R$1:$R$175,Moteur!$D$1:$D$175,$A35,Moteur!$B$1:$B$175,cad!$P$1)</f>
        <v>0</v>
      </c>
      <c r="F35" s="84">
        <f t="shared" si="0"/>
        <v>0</v>
      </c>
      <c r="G35" s="86">
        <f t="shared" si="1"/>
        <v>0</v>
      </c>
      <c r="H35" s="89">
        <f>SUMIFS(_CALC_PNL!$T$1:$T$1347,_CALC_PNL!$A$1:$A$1347,$A35,_CALC_PNL!$D$1:$D$1347,cad!$P$1,_CALC_PNL!$C$1:$C$1347,"2027")</f>
        <v>0</v>
      </c>
      <c r="I35" s="86">
        <f t="shared" si="2"/>
        <v>0</v>
      </c>
      <c r="J35" s="84">
        <f t="shared" si="3"/>
        <v>0</v>
      </c>
      <c r="K35" s="84">
        <f>SUMIFS(PIL!$K$15:$K$28,PIL!$A$15:$A$28,$A35)*SUMIFS(PIL!$J$15:$J$28,PIL!$A$15:$A$28,$A35)*(SUM(PIL!$K$15:$K$28)/SUMPRODUCT(PIL!$K$15:$K$28,PIL!$J$15:$J$28))</f>
        <v>31533</v>
      </c>
      <c r="L35" s="84">
        <f>SUMIFS(PIL!$D$15:$D$28,PIL!$A$15:$A$28,$A35)</f>
        <v>964</v>
      </c>
      <c r="O35"/>
    </row>
    <row r="36" spans="1:15" x14ac:dyDescent="0.45">
      <c r="A36" s="26" t="s">
        <v>180</v>
      </c>
      <c r="B36" s="26" t="s">
        <v>1</v>
      </c>
      <c r="C36" s="26" t="s">
        <v>112</v>
      </c>
      <c r="D36" s="85">
        <f>SUMIFS(Moteur!$P$1:$P$175,Moteur!$D$1:$D$175,$A36,Moteur!$B$1:$B$175,cad!$P$1)</f>
        <v>0</v>
      </c>
      <c r="E36" s="89">
        <f>SUMIFS(Moteur!$R$1:$R$175,Moteur!$D$1:$D$175,$A36,Moteur!$B$1:$B$175,cad!$P$1)</f>
        <v>0</v>
      </c>
      <c r="F36" s="84">
        <f t="shared" si="0"/>
        <v>0</v>
      </c>
      <c r="G36" s="86">
        <f t="shared" si="1"/>
        <v>0</v>
      </c>
      <c r="H36" s="89">
        <f>SUMIFS(_CALC_PNL!$T$1:$T$1347,_CALC_PNL!$A$1:$A$1347,$A36,_CALC_PNL!$D$1:$D$1347,cad!$P$1,_CALC_PNL!$C$1:$C$1347,"2027")</f>
        <v>0</v>
      </c>
      <c r="I36" s="86">
        <f t="shared" si="2"/>
        <v>0</v>
      </c>
      <c r="J36" s="84">
        <f t="shared" si="3"/>
        <v>0</v>
      </c>
      <c r="K36" s="84">
        <f>SUMIFS(PIL!$K$15:$K$28,PIL!$A$15:$A$28,$A36)*SUMIFS(PIL!$J$15:$J$28,PIL!$A$15:$A$28,$A36)*(SUM(PIL!$K$15:$K$28)/SUMPRODUCT(PIL!$K$15:$K$28,PIL!$J$15:$J$28))</f>
        <v>24923</v>
      </c>
      <c r="L36" s="84">
        <f>SUMIFS(PIL!$D$15:$D$28,PIL!$A$15:$A$28,$A36)</f>
        <v>890</v>
      </c>
      <c r="O36"/>
    </row>
    <row r="37" spans="1:15" x14ac:dyDescent="0.45">
      <c r="A37" s="26" t="s">
        <v>181</v>
      </c>
      <c r="B37" s="26" t="s">
        <v>2</v>
      </c>
      <c r="C37" s="26" t="s">
        <v>109</v>
      </c>
      <c r="D37" s="85">
        <f>SUMIFS(Moteur!$P$1:$P$175,Moteur!$D$1:$D$175,$A37,Moteur!$B$1:$B$175,cad!$P$1)</f>
        <v>0</v>
      </c>
      <c r="E37" s="89">
        <f>SUMIFS(Moteur!$R$1:$R$175,Moteur!$D$1:$D$175,$A37,Moteur!$B$1:$B$175,cad!$P$1)</f>
        <v>0</v>
      </c>
      <c r="F37" s="84">
        <f t="shared" si="0"/>
        <v>0</v>
      </c>
      <c r="G37" s="86">
        <f t="shared" si="1"/>
        <v>0</v>
      </c>
      <c r="H37" s="89">
        <f>SUMIFS(_CALC_PNL!$T$1:$T$1347,_CALC_PNL!$A$1:$A$1347,$A37,_CALC_PNL!$D$1:$D$1347,cad!$P$1,_CALC_PNL!$C$1:$C$1347,"2027")</f>
        <v>0</v>
      </c>
      <c r="I37" s="86">
        <f t="shared" si="2"/>
        <v>0</v>
      </c>
      <c r="J37" s="84">
        <f t="shared" si="3"/>
        <v>0</v>
      </c>
      <c r="K37" s="84">
        <f>SUMIFS(PIL!$K$15:$K$28,PIL!$A$15:$A$28,$A37)*SUMIFS(PIL!$J$15:$J$28,PIL!$A$15:$A$28,$A37)*(SUM(PIL!$K$15:$K$28)/SUMPRODUCT(PIL!$K$15:$K$28,PIL!$J$15:$J$28))</f>
        <v>60800</v>
      </c>
      <c r="L37" s="84">
        <f>SUMIFS(PIL!$D$15:$D$28,PIL!$A$15:$A$28,$A37)</f>
        <v>1540</v>
      </c>
      <c r="O37"/>
    </row>
    <row r="38" spans="1:15" x14ac:dyDescent="0.45">
      <c r="A38" s="26" t="s">
        <v>182</v>
      </c>
      <c r="B38" s="26" t="s">
        <v>2</v>
      </c>
      <c r="C38" s="26" t="s">
        <v>113</v>
      </c>
      <c r="D38" s="85">
        <f>SUMIFS(Moteur!$P$1:$P$175,Moteur!$D$1:$D$175,$A38,Moteur!$B$1:$B$175,cad!$P$1)</f>
        <v>0</v>
      </c>
      <c r="E38" s="89">
        <f>SUMIFS(Moteur!$R$1:$R$175,Moteur!$D$1:$D$175,$A38,Moteur!$B$1:$B$175,cad!$P$1)</f>
        <v>0</v>
      </c>
      <c r="F38" s="84">
        <f t="shared" si="0"/>
        <v>0</v>
      </c>
      <c r="G38" s="86">
        <f t="shared" si="1"/>
        <v>0</v>
      </c>
      <c r="H38" s="89">
        <f>SUMIFS(_CALC_PNL!$T$1:$T$1347,_CALC_PNL!$A$1:$A$1347,$A38,_CALC_PNL!$D$1:$D$1347,cad!$P$1,_CALC_PNL!$C$1:$C$1347,"2027")</f>
        <v>0</v>
      </c>
      <c r="I38" s="86">
        <f t="shared" si="2"/>
        <v>0</v>
      </c>
      <c r="J38" s="84">
        <f t="shared" si="3"/>
        <v>0</v>
      </c>
      <c r="K38" s="84">
        <f>SUMIFS(PIL!$K$15:$K$28,PIL!$A$15:$A$28,$A38)*SUMIFS(PIL!$J$15:$J$28,PIL!$A$15:$A$28,$A38)*(SUM(PIL!$K$15:$K$28)/SUMPRODUCT(PIL!$K$15:$K$28,PIL!$J$15:$J$28))</f>
        <v>25220</v>
      </c>
      <c r="L38" s="84">
        <f>SUMIFS(PIL!$D$15:$D$28,PIL!$A$15:$A$28,$A38)</f>
        <v>979</v>
      </c>
      <c r="O38"/>
    </row>
    <row r="39" spans="1:15" x14ac:dyDescent="0.45">
      <c r="A39" s="26" t="s">
        <v>183</v>
      </c>
      <c r="B39" s="26" t="s">
        <v>2</v>
      </c>
      <c r="C39" s="26" t="s">
        <v>114</v>
      </c>
      <c r="D39" s="85">
        <f>SUMIFS(Moteur!$P$1:$P$175,Moteur!$D$1:$D$175,$A39,Moteur!$B$1:$B$175,cad!$P$1)</f>
        <v>0</v>
      </c>
      <c r="E39" s="89">
        <f>SUMIFS(Moteur!$R$1:$R$175,Moteur!$D$1:$D$175,$A39,Moteur!$B$1:$B$175,cad!$P$1)</f>
        <v>0</v>
      </c>
      <c r="F39" s="84">
        <f t="shared" si="0"/>
        <v>0</v>
      </c>
      <c r="G39" s="86">
        <f t="shared" si="1"/>
        <v>0</v>
      </c>
      <c r="H39" s="89">
        <f>SUMIFS(_CALC_PNL!$T$1:$T$1347,_CALC_PNL!$A$1:$A$1347,$A39,_CALC_PNL!$D$1:$D$1347,cad!$P$1,_CALC_PNL!$C$1:$C$1347,"2027")</f>
        <v>0</v>
      </c>
      <c r="I39" s="86">
        <f t="shared" si="2"/>
        <v>0</v>
      </c>
      <c r="J39" s="84">
        <f t="shared" si="3"/>
        <v>0</v>
      </c>
      <c r="K39" s="84">
        <f>SUMIFS(PIL!$K$15:$K$28,PIL!$A$15:$A$28,$A39)*SUMIFS(PIL!$J$15:$J$28,PIL!$A$15:$A$28,$A39)*(SUM(PIL!$K$15:$K$28)/SUMPRODUCT(PIL!$K$15:$K$28,PIL!$J$15:$J$28))</f>
        <v>22083</v>
      </c>
      <c r="L39" s="84">
        <f>SUMIFS(PIL!$D$15:$D$28,PIL!$A$15:$A$28,$A39)</f>
        <v>919</v>
      </c>
      <c r="O39"/>
    </row>
    <row r="40" spans="1:15" x14ac:dyDescent="0.45">
      <c r="A40" s="26" t="s">
        <v>184</v>
      </c>
      <c r="B40" s="26" t="s">
        <v>115</v>
      </c>
      <c r="C40" s="26" t="s">
        <v>111</v>
      </c>
      <c r="D40" s="85">
        <f>SUMIFS(Moteur!$P$1:$P$175,Moteur!$D$1:$D$175,$A40,Moteur!$B$1:$B$175,cad!$P$1)</f>
        <v>0</v>
      </c>
      <c r="E40" s="89">
        <f>SUMIFS(Moteur!$R$1:$R$175,Moteur!$D$1:$D$175,$A40,Moteur!$B$1:$B$175,cad!$P$1)</f>
        <v>0</v>
      </c>
      <c r="F40" s="84">
        <f t="shared" si="0"/>
        <v>0</v>
      </c>
      <c r="G40" s="86">
        <f t="shared" si="1"/>
        <v>0</v>
      </c>
      <c r="H40" s="89">
        <f>SUMIFS(_CALC_PNL!$T$1:$T$1347,_CALC_PNL!$A$1:$A$1347,$A40,_CALC_PNL!$D$1:$D$1347,cad!$P$1,_CALC_PNL!$C$1:$C$1347,"2027")</f>
        <v>0</v>
      </c>
      <c r="I40" s="86">
        <f t="shared" si="2"/>
        <v>0</v>
      </c>
      <c r="J40" s="84">
        <f t="shared" si="3"/>
        <v>0</v>
      </c>
      <c r="K40" s="84">
        <f>SUMIFS(PIL!$K$15:$K$28,PIL!$A$15:$A$28,$A40)*SUMIFS(PIL!$J$15:$J$28,PIL!$A$15:$A$28,$A40)*(SUM(PIL!$K$15:$K$28)/SUMPRODUCT(PIL!$K$15:$K$28,PIL!$J$15:$J$28))</f>
        <v>21760</v>
      </c>
      <c r="L40" s="84">
        <f>SUMIFS(PIL!$D$15:$D$28,PIL!$A$15:$A$28,$A40)</f>
        <v>1216</v>
      </c>
      <c r="O40"/>
    </row>
    <row r="41" spans="1:15" x14ac:dyDescent="0.45">
      <c r="A41" s="26" t="s">
        <v>185</v>
      </c>
      <c r="B41" s="26" t="s">
        <v>115</v>
      </c>
      <c r="C41" s="26" t="s">
        <v>116</v>
      </c>
      <c r="D41" s="85">
        <f>SUMIFS(Moteur!$P$1:$P$175,Moteur!$D$1:$D$175,$A41,Moteur!$B$1:$B$175,cad!$P$1)</f>
        <v>0</v>
      </c>
      <c r="E41" s="89">
        <f>SUMIFS(Moteur!$R$1:$R$175,Moteur!$D$1:$D$175,$A41,Moteur!$B$1:$B$175,cad!$P$1)</f>
        <v>0</v>
      </c>
      <c r="F41" s="84">
        <f t="shared" si="0"/>
        <v>0</v>
      </c>
      <c r="G41" s="86">
        <f t="shared" si="1"/>
        <v>0</v>
      </c>
      <c r="H41" s="89">
        <f>SUMIFS(_CALC_PNL!$T$1:$T$1347,_CALC_PNL!$A$1:$A$1347,$A41,_CALC_PNL!$D$1:$D$1347,cad!$P$1,_CALC_PNL!$C$1:$C$1347,"2027")</f>
        <v>0</v>
      </c>
      <c r="I41" s="86">
        <f t="shared" si="2"/>
        <v>0</v>
      </c>
      <c r="J41" s="84">
        <f t="shared" si="3"/>
        <v>0</v>
      </c>
      <c r="K41" s="84">
        <f>SUMIFS(PIL!$K$15:$K$28,PIL!$A$15:$A$28,$A41)*SUMIFS(PIL!$J$15:$J$28,PIL!$A$15:$A$28,$A41)*(SUM(PIL!$K$15:$K$28)/SUMPRODUCT(PIL!$K$15:$K$28,PIL!$J$15:$J$28))</f>
        <v>14933</v>
      </c>
      <c r="L41" s="84">
        <f>SUMIFS(PIL!$D$15:$D$28,PIL!$A$15:$A$28,$A41)</f>
        <v>1041</v>
      </c>
    </row>
    <row r="42" spans="1:15" x14ac:dyDescent="0.45">
      <c r="A42" s="26" t="s">
        <v>186</v>
      </c>
      <c r="B42" s="26" t="s">
        <v>115</v>
      </c>
      <c r="C42" s="26" t="s">
        <v>117</v>
      </c>
      <c r="D42" s="85">
        <f>SUMIFS(Moteur!$P$1:$P$175,Moteur!$D$1:$D$175,$A42,Moteur!$B$1:$B$175,cad!$P$1)</f>
        <v>0</v>
      </c>
      <c r="E42" s="89">
        <f>SUMIFS(Moteur!$R$1:$R$175,Moteur!$D$1:$D$175,$A42,Moteur!$B$1:$B$175,cad!$P$1)</f>
        <v>0</v>
      </c>
      <c r="F42" s="84">
        <f t="shared" si="0"/>
        <v>0</v>
      </c>
      <c r="G42" s="86">
        <f t="shared" si="1"/>
        <v>0</v>
      </c>
      <c r="H42" s="89">
        <f>SUMIFS(_CALC_PNL!$T$1:$T$1347,_CALC_PNL!$A$1:$A$1347,$A42,_CALC_PNL!$D$1:$D$1347,cad!$P$1,_CALC_PNL!$C$1:$C$1347,"2027")</f>
        <v>0</v>
      </c>
      <c r="I42" s="86">
        <f t="shared" si="2"/>
        <v>0</v>
      </c>
      <c r="J42" s="84">
        <f t="shared" si="3"/>
        <v>0</v>
      </c>
      <c r="K42" s="84">
        <f>SUMIFS(PIL!$K$15:$K$28,PIL!$A$15:$A$28,$A42)*SUMIFS(PIL!$J$15:$J$28,PIL!$A$15:$A$28,$A42)*(SUM(PIL!$K$15:$K$28)/SUMPRODUCT(PIL!$K$15:$K$28,PIL!$J$15:$J$28))</f>
        <v>15178</v>
      </c>
      <c r="L42" s="84">
        <f>SUMIFS(PIL!$D$15:$D$28,PIL!$A$15:$A$28,$A42)</f>
        <v>1034</v>
      </c>
    </row>
    <row r="43" spans="1:15" x14ac:dyDescent="0.45">
      <c r="A43" s="26" t="s">
        <v>187</v>
      </c>
      <c r="B43" s="26" t="s">
        <v>4</v>
      </c>
      <c r="C43" s="26" t="s">
        <v>110</v>
      </c>
      <c r="D43" s="85">
        <f>SUMIFS(Moteur!$P$1:$P$175,Moteur!$D$1:$D$175,$A43,Moteur!$B$1:$B$175,cad!$P$1)</f>
        <v>0</v>
      </c>
      <c r="E43" s="89">
        <f>SUMIFS(Moteur!$R$1:$R$175,Moteur!$D$1:$D$175,$A43,Moteur!$B$1:$B$175,cad!$P$1)</f>
        <v>0</v>
      </c>
      <c r="F43" s="84">
        <f t="shared" si="0"/>
        <v>0</v>
      </c>
      <c r="G43" s="86">
        <f t="shared" si="1"/>
        <v>0</v>
      </c>
      <c r="H43" s="89">
        <f>SUMIFS(_CALC_PNL!$T$1:$T$1347,_CALC_PNL!$A$1:$A$1347,$A43,_CALC_PNL!$D$1:$D$1347,cad!$P$1,_CALC_PNL!$C$1:$C$1347,"2027")</f>
        <v>0</v>
      </c>
      <c r="I43" s="86">
        <f t="shared" si="2"/>
        <v>0</v>
      </c>
      <c r="J43" s="84">
        <f t="shared" si="3"/>
        <v>0</v>
      </c>
      <c r="K43" s="84">
        <f>SUMIFS(PIL!$K$15:$K$28,PIL!$A$15:$A$28,$A43)*SUMIFS(PIL!$J$15:$J$28,PIL!$A$15:$A$28,$A43)*(SUM(PIL!$K$15:$K$28)/SUMPRODUCT(PIL!$K$15:$K$28,PIL!$J$15:$J$28))</f>
        <v>36612</v>
      </c>
      <c r="L43" s="84">
        <f>SUMIFS(PIL!$D$15:$D$28,PIL!$A$15:$A$28,$A43)</f>
        <v>1705</v>
      </c>
    </row>
    <row r="44" spans="1:15" x14ac:dyDescent="0.45">
      <c r="A44" s="26" t="s">
        <v>188</v>
      </c>
      <c r="B44" s="26" t="s">
        <v>4</v>
      </c>
      <c r="C44" s="26" t="s">
        <v>112</v>
      </c>
      <c r="D44" s="85">
        <f>SUMIFS(Moteur!$P$1:$P$175,Moteur!$D$1:$D$175,$A44,Moteur!$B$1:$B$175,cad!$P$1)</f>
        <v>0</v>
      </c>
      <c r="E44" s="89">
        <f>SUMIFS(Moteur!$R$1:$R$175,Moteur!$D$1:$D$175,$A44,Moteur!$B$1:$B$175,cad!$P$1)</f>
        <v>0</v>
      </c>
      <c r="F44" s="84">
        <f t="shared" si="0"/>
        <v>0</v>
      </c>
      <c r="G44" s="86">
        <f t="shared" si="1"/>
        <v>0</v>
      </c>
      <c r="H44" s="89">
        <f>SUMIFS(_CALC_PNL!$T$1:$T$1347,_CALC_PNL!$A$1:$A$1347,$A44,_CALC_PNL!$D$1:$D$1347,cad!$P$1,_CALC_PNL!$C$1:$C$1347,"2027")</f>
        <v>0</v>
      </c>
      <c r="I44" s="86">
        <f t="shared" si="2"/>
        <v>0</v>
      </c>
      <c r="J44" s="84">
        <f t="shared" si="3"/>
        <v>0</v>
      </c>
      <c r="K44" s="84">
        <f>SUMIFS(PIL!$K$15:$K$28,PIL!$A$15:$A$28,$A44)*SUMIFS(PIL!$J$15:$J$28,PIL!$A$15:$A$28,$A44)*(SUM(PIL!$K$15:$K$28)/SUMPRODUCT(PIL!$K$15:$K$28,PIL!$J$15:$J$28))</f>
        <v>21968</v>
      </c>
      <c r="L44" s="84">
        <f>SUMIFS(PIL!$D$15:$D$28,PIL!$A$15:$A$28,$A44)</f>
        <v>1368</v>
      </c>
    </row>
    <row r="45" spans="1:15" x14ac:dyDescent="0.45">
      <c r="A45" s="26" t="s">
        <v>189</v>
      </c>
      <c r="B45" s="26" t="s">
        <v>5</v>
      </c>
      <c r="C45" s="26" t="s">
        <v>109</v>
      </c>
      <c r="D45" s="85">
        <f>SUMIFS(Moteur!$P$1:$P$175,Moteur!$D$1:$D$175,$A45,Moteur!$B$1:$B$175,cad!$P$1)</f>
        <v>0</v>
      </c>
      <c r="E45" s="89">
        <f>SUMIFS(Moteur!$R$1:$R$175,Moteur!$D$1:$D$175,$A45,Moteur!$B$1:$B$175,cad!$P$1)</f>
        <v>0</v>
      </c>
      <c r="F45" s="84">
        <f t="shared" si="0"/>
        <v>0</v>
      </c>
      <c r="G45" s="86">
        <f t="shared" si="1"/>
        <v>0</v>
      </c>
      <c r="H45" s="89">
        <f>SUMIFS(_CALC_PNL!$T$1:$T$1347,_CALC_PNL!$A$1:$A$1347,$A45,_CALC_PNL!$D$1:$D$1347,cad!$P$1,_CALC_PNL!$C$1:$C$1347,"2027")</f>
        <v>0</v>
      </c>
      <c r="I45" s="86">
        <f t="shared" si="2"/>
        <v>0</v>
      </c>
      <c r="J45" s="84">
        <f t="shared" si="3"/>
        <v>0</v>
      </c>
      <c r="K45" s="84">
        <f>SUMIFS(PIL!$K$15:$K$28,PIL!$A$15:$A$28,$A45)*SUMIFS(PIL!$J$15:$J$28,PIL!$A$15:$A$28,$A45)*(SUM(PIL!$K$15:$K$28)/SUMPRODUCT(PIL!$K$15:$K$28,PIL!$J$15:$J$28))</f>
        <v>30240</v>
      </c>
      <c r="L45" s="84">
        <f>SUMIFS(PIL!$D$15:$D$28,PIL!$A$15:$A$28,$A45)</f>
        <v>2193</v>
      </c>
    </row>
    <row r="46" spans="1:15" x14ac:dyDescent="0.45">
      <c r="A46" s="26" t="s">
        <v>190</v>
      </c>
      <c r="B46" s="26" t="s">
        <v>5</v>
      </c>
      <c r="C46" s="26" t="s">
        <v>110</v>
      </c>
      <c r="D46" s="85">
        <f>SUMIFS(Moteur!$P$1:$P$175,Moteur!$D$1:$D$175,$A46,Moteur!$B$1:$B$175,cad!$P$1)</f>
        <v>0</v>
      </c>
      <c r="E46" s="89">
        <f>SUMIFS(Moteur!$R$1:$R$175,Moteur!$D$1:$D$175,$A46,Moteur!$B$1:$B$175,cad!$P$1)</f>
        <v>0</v>
      </c>
      <c r="F46" s="84">
        <f t="shared" si="0"/>
        <v>0</v>
      </c>
      <c r="G46" s="86">
        <f t="shared" si="1"/>
        <v>0</v>
      </c>
      <c r="H46" s="89">
        <f>SUMIFS(_CALC_PNL!$T$1:$T$1347,_CALC_PNL!$A$1:$A$1347,$A46,_CALC_PNL!$D$1:$D$1347,cad!$P$1,_CALC_PNL!$C$1:$C$1347,"2027")</f>
        <v>0</v>
      </c>
      <c r="I46" s="86">
        <f t="shared" si="2"/>
        <v>0</v>
      </c>
      <c r="J46" s="84">
        <f t="shared" si="3"/>
        <v>0</v>
      </c>
      <c r="K46" s="84">
        <f>SUMIFS(PIL!$K$15:$K$28,PIL!$A$15:$A$28,$A46)*SUMIFS(PIL!$J$15:$J$28,PIL!$A$15:$A$28,$A46)*(SUM(PIL!$K$15:$K$28)/SUMPRODUCT(PIL!$K$15:$K$28,PIL!$J$15:$J$28))</f>
        <v>18850</v>
      </c>
      <c r="L46" s="84">
        <f>SUMIFS(PIL!$D$15:$D$28,PIL!$A$15:$A$28,$A46)</f>
        <v>1625</v>
      </c>
    </row>
    <row r="47" spans="1:15" x14ac:dyDescent="0.45">
      <c r="A47" s="45" t="s">
        <v>191</v>
      </c>
      <c r="B47" s="46"/>
      <c r="C47" s="46"/>
      <c r="D47" s="122">
        <f>SUM(D33:D46)</f>
        <v>0</v>
      </c>
      <c r="E47" s="123">
        <f>SUM(E33:E46)</f>
        <v>0</v>
      </c>
      <c r="F47" s="123">
        <f t="shared" si="0"/>
        <v>0</v>
      </c>
      <c r="G47" s="124">
        <f>SUM(G33:G46)</f>
        <v>0</v>
      </c>
      <c r="H47" s="123">
        <f>SUM(H33:H46)</f>
        <v>0</v>
      </c>
      <c r="I47" s="124">
        <f t="shared" si="2"/>
        <v>0</v>
      </c>
      <c r="J47" s="123">
        <f t="shared" si="3"/>
        <v>0</v>
      </c>
      <c r="K47" s="123">
        <f>SUM(K33:K46)</f>
        <v>434174</v>
      </c>
      <c r="L47" s="123"/>
    </row>
    <row r="48" spans="1:15" x14ac:dyDescent="0.45">
      <c r="A48" s="47" t="s">
        <v>192</v>
      </c>
      <c r="B48" s="48"/>
      <c r="C48" s="48"/>
      <c r="D48" s="125"/>
      <c r="E48" s="126"/>
      <c r="F48" s="126"/>
      <c r="G48" s="48"/>
      <c r="H48" s="123">
        <f>SUMIFS(_CALC_PNL!$T$1:$T$1347,_CALC_PNL!$A$1:$A$1347,"GRP",_CALC_PNL!$D$1:$D$1347,cad!$P$1,_CALC_PNL!$C$1:$C$1347,"2027")</f>
        <v>0</v>
      </c>
      <c r="I48" s="127"/>
      <c r="J48" s="126"/>
      <c r="K48" s="126"/>
      <c r="L48" s="126"/>
    </row>
    <row r="49" spans="1:12" x14ac:dyDescent="0.45">
      <c r="A49" s="49" t="s">
        <v>193</v>
      </c>
      <c r="B49" s="50"/>
      <c r="C49" s="50"/>
      <c r="D49" s="122">
        <f>D47</f>
        <v>0</v>
      </c>
      <c r="E49" s="123">
        <f>E47</f>
        <v>0</v>
      </c>
      <c r="F49" s="123">
        <f>IFERROR(E49/D49,0)</f>
        <v>0</v>
      </c>
      <c r="G49" s="124">
        <f>SUM(G33:G46)</f>
        <v>0</v>
      </c>
      <c r="H49" s="123">
        <f>H47+H48</f>
        <v>0</v>
      </c>
      <c r="I49" s="124">
        <f>IFERROR(H49/E49,0)</f>
        <v>0</v>
      </c>
      <c r="J49" s="123">
        <f>IFERROR(H49/D49,0)</f>
        <v>0</v>
      </c>
      <c r="K49" s="123">
        <f>SUM(K33:K46)</f>
        <v>434174</v>
      </c>
      <c r="L49" s="123"/>
    </row>
  </sheetData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SHEET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workbookViewId="0">
      <selection activeCell="C7" sqref="C7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44" t="s">
        <v>278</v>
      </c>
      <c r="C2" s="43"/>
      <c r="D2" s="43"/>
      <c r="E2" s="30"/>
      <c r="F2" s="30"/>
      <c r="G2" s="30"/>
      <c r="H2" s="30"/>
      <c r="I2" s="30"/>
      <c r="J2" s="30"/>
      <c r="K2" s="30"/>
      <c r="L2" s="30"/>
      <c r="M2" s="30"/>
      <c r="N2" t="str">
        <f>IF($C$7="Chiffre d'affaires","REV_CA",IF($C$7="Nombre de classes","VOL_CLASS","VOL_EFF"))</f>
        <v>REV_CA</v>
      </c>
    </row>
    <row r="3" spans="2:14" x14ac:dyDescent="0.45">
      <c r="N3" t="str">
        <f>IF($C$8="Chiffre d'affaires","REV_CA",IF($C$8="Nombre de classes","VOL_CLASS","VOL_EFF"))</f>
        <v>VOL_EFF</v>
      </c>
    </row>
    <row r="4" spans="2:14" x14ac:dyDescent="0.45">
      <c r="N4" t="str">
        <f>IF($C$9="Chiffre d'affaires","REV_CA",IF($C$9="Nombre de classes","VOL_CLASS","VOL_EFF"))</f>
        <v>VOL_CLASS</v>
      </c>
    </row>
    <row r="5" spans="2:14" ht="14.65" thickBot="1" x14ac:dyDescent="0.5">
      <c r="B5" s="31" t="s">
        <v>279</v>
      </c>
    </row>
    <row r="6" spans="2:14" ht="14.65" thickBot="1" x14ac:dyDescent="0.5">
      <c r="B6" s="128" t="s">
        <v>272</v>
      </c>
      <c r="C6" s="129" t="s">
        <v>21</v>
      </c>
    </row>
    <row r="7" spans="2:14" ht="14.65" thickBot="1" x14ac:dyDescent="0.5">
      <c r="B7" s="128" t="s">
        <v>273</v>
      </c>
      <c r="C7" s="129" t="s">
        <v>21</v>
      </c>
    </row>
    <row r="8" spans="2:14" ht="14.65" thickBot="1" x14ac:dyDescent="0.5">
      <c r="B8" s="128" t="s">
        <v>274</v>
      </c>
      <c r="C8" s="129" t="s">
        <v>23</v>
      </c>
    </row>
    <row r="9" spans="2:14" ht="14.65" thickBot="1" x14ac:dyDescent="0.5">
      <c r="B9" s="128" t="s">
        <v>275</v>
      </c>
      <c r="C9" s="129" t="s">
        <v>276</v>
      </c>
    </row>
    <row r="14" spans="2:14" x14ac:dyDescent="0.45">
      <c r="B14" s="31" t="s">
        <v>123</v>
      </c>
    </row>
    <row r="17" spans="2:13" ht="26" customHeight="1" x14ac:dyDescent="0.45">
      <c r="B17" s="34" t="s">
        <v>124</v>
      </c>
      <c r="C17" s="34" t="s">
        <v>23</v>
      </c>
      <c r="D17" s="34" t="s">
        <v>42</v>
      </c>
      <c r="E17" s="34" t="s">
        <v>125</v>
      </c>
      <c r="F17" s="34" t="s">
        <v>126</v>
      </c>
      <c r="G17" s="34" t="s">
        <v>127</v>
      </c>
      <c r="H17" s="34" t="s">
        <v>128</v>
      </c>
      <c r="I17" s="34" t="s">
        <v>129</v>
      </c>
      <c r="J17" s="34" t="s">
        <v>130</v>
      </c>
      <c r="K17" s="34" t="s">
        <v>131</v>
      </c>
      <c r="L17" s="34" t="s">
        <v>132</v>
      </c>
      <c r="M17" s="34" t="s">
        <v>133</v>
      </c>
    </row>
    <row r="18" spans="2:13" x14ac:dyDescent="0.45">
      <c r="B18" s="35" t="s">
        <v>1</v>
      </c>
      <c r="C18" s="122" t="e">
        <f>SUMIFS(_CALC_ALLOC!$G$1:$G$349,_CALC_ALLOC!$A$1:$A$349,"2026",_CALC_ALLOC!$C$1:$C$349,"MBWAY")</f>
        <v>#VALUE!</v>
      </c>
      <c r="D18" s="123">
        <f>SUMIFS(_CALC_ALLOC!$I$1:$I$349,_CALC_ALLOC!$A$1:$A$349,"2026",_CALC_ALLOC!$C$1:$C$349,"MBWAY")</f>
        <v>0</v>
      </c>
      <c r="E18" s="123">
        <f>SUMIFS(_CALC_ALLOC!$AI$1:$AI$349,_CALC_ALLOC!$A$1:$A$349,"2026",_CALC_ALLOC!$C$1:$C$349,"MBWAY")</f>
        <v>0</v>
      </c>
      <c r="F18" s="123">
        <f>SUMIFS(_CALC_ALLOC!$AJ$1:$AJ$349,_CALC_ALLOC!$A$1:$A$349,"2026",_CALC_ALLOC!$C$1:$C$349,"MBWAY")</f>
        <v>0</v>
      </c>
      <c r="G18" s="123">
        <f>SUMIFS(_CALC_ALLOC!$AK$1:$AK$349,_CALC_ALLOC!$A$1:$A$349,"2026",_CALC_ALLOC!$C$1:$C$349,"MBWAY")</f>
        <v>0</v>
      </c>
      <c r="H18" s="123">
        <f>SUMIFS(_CALC_ALLOC!$AL$1:$AL$349,_CALC_ALLOC!$A$1:$A$349,"2026",_CALC_ALLOC!$C$1:$C$349,"MBWAY")</f>
        <v>0</v>
      </c>
      <c r="I18" s="123">
        <f>SUMIFS(_CALC_ALLOC!$AR$1:$AR$349,_CALC_ALLOC!$A$1:$A$349,"2026",_CALC_ALLOC!$C$1:$C$349,"MBWAY")</f>
        <v>0</v>
      </c>
      <c r="J18" s="123">
        <f>SUMIFS(_CALC_ALLOC!$AM$1:$AM$349,_CALC_ALLOC!$A$1:$A$349,"2026",_CALC_ALLOC!$C$1:$C$349,"MBWAY")</f>
        <v>0</v>
      </c>
      <c r="K18" s="123">
        <f t="shared" ref="K18:K49" si="0">E18+F18+G18+H18+I18+J18</f>
        <v>0</v>
      </c>
      <c r="L18" s="130">
        <f>SUMIFS(_CALC_ALLOC!$AN$1:$AN$349,_CALC_ALLOC!$A$1:$A$349,"2026",_CALC_ALLOC!$C$1:$C$349,"MBWAY")</f>
        <v>0</v>
      </c>
      <c r="M18" s="124">
        <f t="shared" ref="M18:M49" si="1">IFERROR(L18/D18,0)</f>
        <v>0</v>
      </c>
    </row>
    <row r="19" spans="2:13" outlineLevel="1" collapsed="1" x14ac:dyDescent="0.45">
      <c r="B19" s="36" t="s">
        <v>134</v>
      </c>
      <c r="C19" s="122">
        <f>SUMIFS(_CALC_ALLOC!$G$1:$G$349,_CALC_ALLOC!$A$1:$A$349,"2026",_CALC_ALLOC!$B$1:$B$349,"MBWAY_PAR")</f>
        <v>0</v>
      </c>
      <c r="D19" s="123">
        <f>SUMIFS(_CALC_ALLOC!$I$1:$I$349,_CALC_ALLOC!$A$1:$A$349,"2026",_CALC_ALLOC!$B$1:$B$349,"MBWAY_PAR")</f>
        <v>0</v>
      </c>
      <c r="E19" s="123">
        <f>SUMIFS(_CALC_ALLOC!$AI$1:$AI$349,_CALC_ALLOC!$A$1:$A$349,"2026",_CALC_ALLOC!$B$1:$B$349,"MBWAY_PAR")</f>
        <v>0</v>
      </c>
      <c r="F19" s="123">
        <f>SUMIFS(_CALC_ALLOC!$AJ$1:$AJ$349,_CALC_ALLOC!$A$1:$A$349,"2026",_CALC_ALLOC!$B$1:$B$349,"MBWAY_PAR")</f>
        <v>0</v>
      </c>
      <c r="G19" s="123">
        <f>SUMIFS(_CALC_ALLOC!$AK$1:$AK$349,_CALC_ALLOC!$A$1:$A$349,"2026",_CALC_ALLOC!$B$1:$B$349,"MBWAY_PAR")</f>
        <v>0</v>
      </c>
      <c r="H19" s="123">
        <f>SUMIFS(_CALC_ALLOC!$AL$1:$AL$349,_CALC_ALLOC!$A$1:$A$349,"2026",_CALC_ALLOC!$B$1:$B$349,"MBWAY_PAR")</f>
        <v>0</v>
      </c>
      <c r="I19" s="123">
        <f>SUMIFS(_CALC_ALLOC!$AR$1:$AR$349,_CALC_ALLOC!$A$1:$A$349,"2026",_CALC_ALLOC!$B$1:$B$349,"MBWAY_PAR")</f>
        <v>0</v>
      </c>
      <c r="J19" s="123">
        <f>SUMIFS(_CALC_ALLOC!$AM$1:$AM$349,_CALC_ALLOC!$A$1:$A$349,"2026",_CALC_ALLOC!$B$1:$B$349,"MBWAY_PAR")</f>
        <v>0</v>
      </c>
      <c r="K19" s="123">
        <f t="shared" si="0"/>
        <v>0</v>
      </c>
      <c r="L19" s="130">
        <f>SUMIFS(_CALC_ALLOC!$AN$1:$AN$349,_CALC_ALLOC!$A$1:$A$349,"2026",_CALC_ALLOC!$B$1:$B$349,"MBWAY_PAR")</f>
        <v>0</v>
      </c>
      <c r="M19" s="124">
        <f t="shared" si="1"/>
        <v>0</v>
      </c>
    </row>
    <row r="20" spans="2:13" outlineLevel="2" x14ac:dyDescent="0.45">
      <c r="B20" s="37" t="s">
        <v>135</v>
      </c>
      <c r="C20" s="85">
        <f>SUMIFS(_CALC_ALLOC!$G$1:$G$349,_CALC_ALLOC!$A$1:$A$349,"2026",_CALC_ALLOC!$B$1:$B$349,"MBWAY_PAR",_CALC_ALLOC!$D$1:$D$349,"BAC_MGT",_CALC_ALLOC!$E$1:$E$349,"B1",_CALC_ALLOC!$F$1:$F$349,"INIT")</f>
        <v>0</v>
      </c>
      <c r="D20" s="84">
        <f>SUMIFS(_CALC_ALLOC!$I$1:$I$349,_CALC_ALLOC!$A$1:$A$349,"2026",_CALC_ALLOC!$B$1:$B$349,"MBWAY_PAR",_CALC_ALLOC!$D$1:$D$349,"BAC_MGT",_CALC_ALLOC!$E$1:$E$349,"B1",_CALC_ALLOC!$F$1:$F$349,"INIT")</f>
        <v>0</v>
      </c>
      <c r="E20" s="84">
        <f>SUMIFS(_CALC_ALLOC!$AI$1:$AI$349,_CALC_ALLOC!$A$1:$A$349,"2026",_CALC_ALLOC!$B$1:$B$349,"MBWAY_PAR",_CALC_ALLOC!$D$1:$D$349,"BAC_MGT",_CALC_ALLOC!$E$1:$E$349,"B1",_CALC_ALLOC!$F$1:$F$349,"INIT")</f>
        <v>0</v>
      </c>
      <c r="F20" s="84">
        <f>SUMIFS(_CALC_ALLOC!$AJ$1:$AJ$349,_CALC_ALLOC!$A$1:$A$349,"2026",_CALC_ALLOC!$B$1:$B$349,"MBWAY_PAR",_CALC_ALLOC!$D$1:$D$349,"BAC_MGT",_CALC_ALLOC!$E$1:$E$349,"B1",_CALC_ALLOC!$F$1:$F$349,"INIT")</f>
        <v>0</v>
      </c>
      <c r="G20" s="84">
        <f>SUMIFS(_CALC_ALLOC!$AK$1:$AK$349,_CALC_ALLOC!$A$1:$A$349,"2026",_CALC_ALLOC!$B$1:$B$349,"MBWAY_PAR",_CALC_ALLOC!$D$1:$D$349,"BAC_MGT",_CALC_ALLOC!$E$1:$E$349,"B1",_CALC_ALLOC!$F$1:$F$349,"INIT")</f>
        <v>0</v>
      </c>
      <c r="H20" s="84">
        <f>SUMIFS(_CALC_ALLOC!$AL$1:$AL$349,_CALC_ALLOC!$A$1:$A$349,"2026",_CALC_ALLOC!$B$1:$B$349,"MBWAY_PAR",_CALC_ALLOC!$D$1:$D$349,"BAC_MGT",_CALC_ALLOC!$E$1:$E$349,"B1",_CALC_ALLOC!$F$1:$F$349,"INIT")</f>
        <v>0</v>
      </c>
      <c r="I20" s="84">
        <f>SUMIFS(_CALC_ALLOC!$AR$1:$AR$349,_CALC_ALLOC!$A$1:$A$349,"2026",_CALC_ALLOC!$B$1:$B$349,"MBWAY_PAR",_CALC_ALLOC!$D$1:$D$349,"BAC_MGT",_CALC_ALLOC!$E$1:$E$349,"B1",_CALC_ALLOC!$F$1:$F$349,"INIT")</f>
        <v>0</v>
      </c>
      <c r="J20" s="84">
        <f>SUMIFS(_CALC_ALLOC!$AM$1:$AM$349,_CALC_ALLOC!$A$1:$A$349,"2026",_CALC_ALLOC!$B$1:$B$349,"MBWAY_PAR",_CALC_ALLOC!$D$1:$D$349,"BAC_MGT",_CALC_ALLOC!$E$1:$E$349,"B1",_CALC_ALLOC!$F$1:$F$349,"INIT")</f>
        <v>0</v>
      </c>
      <c r="K20" s="123">
        <f t="shared" si="0"/>
        <v>0</v>
      </c>
      <c r="L20" s="131">
        <f>SUMIFS(_CALC_ALLOC!$AN$1:$AN$349,_CALC_ALLOC!$A$1:$A$349,"2026",_CALC_ALLOC!$B$1:$B$349,"MBWAY_PAR",_CALC_ALLOC!$D$1:$D$349,"BAC_MGT",_CALC_ALLOC!$E$1:$E$349,"B1",_CALC_ALLOC!$F$1:$F$349,"INIT")</f>
        <v>0</v>
      </c>
      <c r="M20" s="86">
        <f t="shared" si="1"/>
        <v>0</v>
      </c>
    </row>
    <row r="21" spans="2:13" outlineLevel="2" x14ac:dyDescent="0.45">
      <c r="B21" s="37" t="s">
        <v>136</v>
      </c>
      <c r="C21" s="85">
        <f>SUMIFS(_CALC_ALLOC!$G$1:$G$349,_CALC_ALLOC!$A$1:$A$349,"2026",_CALC_ALLOC!$B$1:$B$349,"MBWAY_PAR",_CALC_ALLOC!$D$1:$D$349,"BAC_MGT",_CALC_ALLOC!$E$1:$E$349,"B2",_CALC_ALLOC!$F$1:$F$349,"ALT")</f>
        <v>0</v>
      </c>
      <c r="D21" s="84">
        <f>SUMIFS(_CALC_ALLOC!$I$1:$I$349,_CALC_ALLOC!$A$1:$A$349,"2026",_CALC_ALLOC!$B$1:$B$349,"MBWAY_PAR",_CALC_ALLOC!$D$1:$D$349,"BAC_MGT",_CALC_ALLOC!$E$1:$E$349,"B2",_CALC_ALLOC!$F$1:$F$349,"ALT")</f>
        <v>0</v>
      </c>
      <c r="E21" s="84">
        <f>SUMIFS(_CALC_ALLOC!$AI$1:$AI$349,_CALC_ALLOC!$A$1:$A$349,"2026",_CALC_ALLOC!$B$1:$B$349,"MBWAY_PAR",_CALC_ALLOC!$D$1:$D$349,"BAC_MGT",_CALC_ALLOC!$E$1:$E$349,"B2",_CALC_ALLOC!$F$1:$F$349,"ALT")</f>
        <v>0</v>
      </c>
      <c r="F21" s="84">
        <f>SUMIFS(_CALC_ALLOC!$AJ$1:$AJ$349,_CALC_ALLOC!$A$1:$A$349,"2026",_CALC_ALLOC!$B$1:$B$349,"MBWAY_PAR",_CALC_ALLOC!$D$1:$D$349,"BAC_MGT",_CALC_ALLOC!$E$1:$E$349,"B2",_CALC_ALLOC!$F$1:$F$349,"ALT")</f>
        <v>0</v>
      </c>
      <c r="G21" s="84">
        <f>SUMIFS(_CALC_ALLOC!$AK$1:$AK$349,_CALC_ALLOC!$A$1:$A$349,"2026",_CALC_ALLOC!$B$1:$B$349,"MBWAY_PAR",_CALC_ALLOC!$D$1:$D$349,"BAC_MGT",_CALC_ALLOC!$E$1:$E$349,"B2",_CALC_ALLOC!$F$1:$F$349,"ALT")</f>
        <v>0</v>
      </c>
      <c r="H21" s="84">
        <f>SUMIFS(_CALC_ALLOC!$AL$1:$AL$349,_CALC_ALLOC!$A$1:$A$349,"2026",_CALC_ALLOC!$B$1:$B$349,"MBWAY_PAR",_CALC_ALLOC!$D$1:$D$349,"BAC_MGT",_CALC_ALLOC!$E$1:$E$349,"B2",_CALC_ALLOC!$F$1:$F$349,"ALT")</f>
        <v>0</v>
      </c>
      <c r="I21" s="84">
        <f>SUMIFS(_CALC_ALLOC!$AR$1:$AR$349,_CALC_ALLOC!$A$1:$A$349,"2026",_CALC_ALLOC!$B$1:$B$349,"MBWAY_PAR",_CALC_ALLOC!$D$1:$D$349,"BAC_MGT",_CALC_ALLOC!$E$1:$E$349,"B2",_CALC_ALLOC!$F$1:$F$349,"ALT")</f>
        <v>0</v>
      </c>
      <c r="J21" s="84">
        <f>SUMIFS(_CALC_ALLOC!$AM$1:$AM$349,_CALC_ALLOC!$A$1:$A$349,"2026",_CALC_ALLOC!$B$1:$B$349,"MBWAY_PAR",_CALC_ALLOC!$D$1:$D$349,"BAC_MGT",_CALC_ALLOC!$E$1:$E$349,"B2",_CALC_ALLOC!$F$1:$F$349,"ALT")</f>
        <v>0</v>
      </c>
      <c r="K21" s="123">
        <f t="shared" si="0"/>
        <v>0</v>
      </c>
      <c r="L21" s="131">
        <f>SUMIFS(_CALC_ALLOC!$AN$1:$AN$349,_CALC_ALLOC!$A$1:$A$349,"2026",_CALC_ALLOC!$B$1:$B$349,"MBWAY_PAR",_CALC_ALLOC!$D$1:$D$349,"BAC_MGT",_CALC_ALLOC!$E$1:$E$349,"B2",_CALC_ALLOC!$F$1:$F$349,"ALT")</f>
        <v>0</v>
      </c>
      <c r="M21" s="86">
        <f t="shared" si="1"/>
        <v>0</v>
      </c>
    </row>
    <row r="22" spans="2:13" outlineLevel="2" x14ac:dyDescent="0.45">
      <c r="B22" s="37" t="s">
        <v>137</v>
      </c>
      <c r="C22" s="85">
        <f>SUMIFS(_CALC_ALLOC!$G$1:$G$349,_CALC_ALLOC!$A$1:$A$349,"2026",_CALC_ALLOC!$B$1:$B$349,"MBWAY_PAR",_CALC_ALLOC!$D$1:$D$349,"BAC_MGT",_CALC_ALLOC!$E$1:$E$349,"B3",_CALC_ALLOC!$F$1:$F$349,"ALT")</f>
        <v>0</v>
      </c>
      <c r="D22" s="84">
        <f>SUMIFS(_CALC_ALLOC!$I$1:$I$349,_CALC_ALLOC!$A$1:$A$349,"2026",_CALC_ALLOC!$B$1:$B$349,"MBWAY_PAR",_CALC_ALLOC!$D$1:$D$349,"BAC_MGT",_CALC_ALLOC!$E$1:$E$349,"B3",_CALC_ALLOC!$F$1:$F$349,"ALT")</f>
        <v>0</v>
      </c>
      <c r="E22" s="84">
        <f>SUMIFS(_CALC_ALLOC!$AI$1:$AI$349,_CALC_ALLOC!$A$1:$A$349,"2026",_CALC_ALLOC!$B$1:$B$349,"MBWAY_PAR",_CALC_ALLOC!$D$1:$D$349,"BAC_MGT",_CALC_ALLOC!$E$1:$E$349,"B3",_CALC_ALLOC!$F$1:$F$349,"ALT")</f>
        <v>0</v>
      </c>
      <c r="F22" s="84">
        <f>SUMIFS(_CALC_ALLOC!$AJ$1:$AJ$349,_CALC_ALLOC!$A$1:$A$349,"2026",_CALC_ALLOC!$B$1:$B$349,"MBWAY_PAR",_CALC_ALLOC!$D$1:$D$349,"BAC_MGT",_CALC_ALLOC!$E$1:$E$349,"B3",_CALC_ALLOC!$F$1:$F$349,"ALT")</f>
        <v>0</v>
      </c>
      <c r="G22" s="84">
        <f>SUMIFS(_CALC_ALLOC!$AK$1:$AK$349,_CALC_ALLOC!$A$1:$A$349,"2026",_CALC_ALLOC!$B$1:$B$349,"MBWAY_PAR",_CALC_ALLOC!$D$1:$D$349,"BAC_MGT",_CALC_ALLOC!$E$1:$E$349,"B3",_CALC_ALLOC!$F$1:$F$349,"ALT")</f>
        <v>0</v>
      </c>
      <c r="H22" s="84">
        <f>SUMIFS(_CALC_ALLOC!$AL$1:$AL$349,_CALC_ALLOC!$A$1:$A$349,"2026",_CALC_ALLOC!$B$1:$B$349,"MBWAY_PAR",_CALC_ALLOC!$D$1:$D$349,"BAC_MGT",_CALC_ALLOC!$E$1:$E$349,"B3",_CALC_ALLOC!$F$1:$F$349,"ALT")</f>
        <v>0</v>
      </c>
      <c r="I22" s="84">
        <f>SUMIFS(_CALC_ALLOC!$AR$1:$AR$349,_CALC_ALLOC!$A$1:$A$349,"2026",_CALC_ALLOC!$B$1:$B$349,"MBWAY_PAR",_CALC_ALLOC!$D$1:$D$349,"BAC_MGT",_CALC_ALLOC!$E$1:$E$349,"B3",_CALC_ALLOC!$F$1:$F$349,"ALT")</f>
        <v>0</v>
      </c>
      <c r="J22" s="84">
        <f>SUMIFS(_CALC_ALLOC!$AM$1:$AM$349,_CALC_ALLOC!$A$1:$A$349,"2026",_CALC_ALLOC!$B$1:$B$349,"MBWAY_PAR",_CALC_ALLOC!$D$1:$D$349,"BAC_MGT",_CALC_ALLOC!$E$1:$E$349,"B3",_CALC_ALLOC!$F$1:$F$349,"ALT")</f>
        <v>0</v>
      </c>
      <c r="K22" s="123">
        <f t="shared" si="0"/>
        <v>0</v>
      </c>
      <c r="L22" s="131">
        <f>SUMIFS(_CALC_ALLOC!$AN$1:$AN$349,_CALC_ALLOC!$A$1:$A$349,"2026",_CALC_ALLOC!$B$1:$B$349,"MBWAY_PAR",_CALC_ALLOC!$D$1:$D$349,"BAC_MGT",_CALC_ALLOC!$E$1:$E$349,"B3",_CALC_ALLOC!$F$1:$F$349,"ALT")</f>
        <v>0</v>
      </c>
      <c r="M22" s="86">
        <f t="shared" si="1"/>
        <v>0</v>
      </c>
    </row>
    <row r="23" spans="2:13" outlineLevel="2" x14ac:dyDescent="0.45">
      <c r="B23" s="37" t="s">
        <v>138</v>
      </c>
      <c r="C23" s="85">
        <f>SUMIFS(_CALC_ALLOC!$G$1:$G$349,_CALC_ALLOC!$A$1:$A$349,"2026",_CALC_ALLOC!$B$1:$B$349,"MBWAY_PAR",_CALC_ALLOC!$D$1:$D$349,"MAS_MGT",_CALC_ALLOC!$E$1:$E$349,"M1",_CALC_ALLOC!$F$1:$F$349,"ALT")</f>
        <v>0</v>
      </c>
      <c r="D23" s="84">
        <f>SUMIFS(_CALC_ALLOC!$I$1:$I$349,_CALC_ALLOC!$A$1:$A$349,"2026",_CALC_ALLOC!$B$1:$B$349,"MBWAY_PAR",_CALC_ALLOC!$D$1:$D$349,"MAS_MGT",_CALC_ALLOC!$E$1:$E$349,"M1",_CALC_ALLOC!$F$1:$F$349,"ALT")</f>
        <v>0</v>
      </c>
      <c r="E23" s="84">
        <f>SUMIFS(_CALC_ALLOC!$AI$1:$AI$349,_CALC_ALLOC!$A$1:$A$349,"2026",_CALC_ALLOC!$B$1:$B$349,"MBWAY_PAR",_CALC_ALLOC!$D$1:$D$349,"MAS_MGT",_CALC_ALLOC!$E$1:$E$349,"M1",_CALC_ALLOC!$F$1:$F$349,"ALT")</f>
        <v>0</v>
      </c>
      <c r="F23" s="84">
        <f>SUMIFS(_CALC_ALLOC!$AJ$1:$AJ$349,_CALC_ALLOC!$A$1:$A$349,"2026",_CALC_ALLOC!$B$1:$B$349,"MBWAY_PAR",_CALC_ALLOC!$D$1:$D$349,"MAS_MGT",_CALC_ALLOC!$E$1:$E$349,"M1",_CALC_ALLOC!$F$1:$F$349,"ALT")</f>
        <v>0</v>
      </c>
      <c r="G23" s="84">
        <f>SUMIFS(_CALC_ALLOC!$AK$1:$AK$349,_CALC_ALLOC!$A$1:$A$349,"2026",_CALC_ALLOC!$B$1:$B$349,"MBWAY_PAR",_CALC_ALLOC!$D$1:$D$349,"MAS_MGT",_CALC_ALLOC!$E$1:$E$349,"M1",_CALC_ALLOC!$F$1:$F$349,"ALT")</f>
        <v>0</v>
      </c>
      <c r="H23" s="84">
        <f>SUMIFS(_CALC_ALLOC!$AL$1:$AL$349,_CALC_ALLOC!$A$1:$A$349,"2026",_CALC_ALLOC!$B$1:$B$349,"MBWAY_PAR",_CALC_ALLOC!$D$1:$D$349,"MAS_MGT",_CALC_ALLOC!$E$1:$E$349,"M1",_CALC_ALLOC!$F$1:$F$349,"ALT")</f>
        <v>0</v>
      </c>
      <c r="I23" s="84">
        <f>SUMIFS(_CALC_ALLOC!$AR$1:$AR$349,_CALC_ALLOC!$A$1:$A$349,"2026",_CALC_ALLOC!$B$1:$B$349,"MBWAY_PAR",_CALC_ALLOC!$D$1:$D$349,"MAS_MGT",_CALC_ALLOC!$E$1:$E$349,"M1",_CALC_ALLOC!$F$1:$F$349,"ALT")</f>
        <v>0</v>
      </c>
      <c r="J23" s="84">
        <f>SUMIFS(_CALC_ALLOC!$AM$1:$AM$349,_CALC_ALLOC!$A$1:$A$349,"2026",_CALC_ALLOC!$B$1:$B$349,"MBWAY_PAR",_CALC_ALLOC!$D$1:$D$349,"MAS_MGT",_CALC_ALLOC!$E$1:$E$349,"M1",_CALC_ALLOC!$F$1:$F$349,"ALT")</f>
        <v>0</v>
      </c>
      <c r="K23" s="123">
        <f t="shared" si="0"/>
        <v>0</v>
      </c>
      <c r="L23" s="131">
        <f>SUMIFS(_CALC_ALLOC!$AN$1:$AN$349,_CALC_ALLOC!$A$1:$A$349,"2026",_CALC_ALLOC!$B$1:$B$349,"MBWAY_PAR",_CALC_ALLOC!$D$1:$D$349,"MAS_MGT",_CALC_ALLOC!$E$1:$E$349,"M1",_CALC_ALLOC!$F$1:$F$349,"ALT")</f>
        <v>0</v>
      </c>
      <c r="M23" s="86">
        <f t="shared" si="1"/>
        <v>0</v>
      </c>
    </row>
    <row r="24" spans="2:13" outlineLevel="2" x14ac:dyDescent="0.45">
      <c r="B24" s="37" t="s">
        <v>139</v>
      </c>
      <c r="C24" s="85">
        <f>SUMIFS(_CALC_ALLOC!$G$1:$G$349,_CALC_ALLOC!$A$1:$A$349,"2026",_CALC_ALLOC!$B$1:$B$349,"MBWAY_PAR",_CALC_ALLOC!$D$1:$D$349,"MAS_MGT",_CALC_ALLOC!$E$1:$E$349,"M2",_CALC_ALLOC!$F$1:$F$349,"ALT")</f>
        <v>0</v>
      </c>
      <c r="D24" s="84">
        <f>SUMIFS(_CALC_ALLOC!$I$1:$I$349,_CALC_ALLOC!$A$1:$A$349,"2026",_CALC_ALLOC!$B$1:$B$349,"MBWAY_PAR",_CALC_ALLOC!$D$1:$D$349,"MAS_MGT",_CALC_ALLOC!$E$1:$E$349,"M2",_CALC_ALLOC!$F$1:$F$349,"ALT")</f>
        <v>0</v>
      </c>
      <c r="E24" s="84">
        <f>SUMIFS(_CALC_ALLOC!$AI$1:$AI$349,_CALC_ALLOC!$A$1:$A$349,"2026",_CALC_ALLOC!$B$1:$B$349,"MBWAY_PAR",_CALC_ALLOC!$D$1:$D$349,"MAS_MGT",_CALC_ALLOC!$E$1:$E$349,"M2",_CALC_ALLOC!$F$1:$F$349,"ALT")</f>
        <v>0</v>
      </c>
      <c r="F24" s="84">
        <f>SUMIFS(_CALC_ALLOC!$AJ$1:$AJ$349,_CALC_ALLOC!$A$1:$A$349,"2026",_CALC_ALLOC!$B$1:$B$349,"MBWAY_PAR",_CALC_ALLOC!$D$1:$D$349,"MAS_MGT",_CALC_ALLOC!$E$1:$E$349,"M2",_CALC_ALLOC!$F$1:$F$349,"ALT")</f>
        <v>0</v>
      </c>
      <c r="G24" s="84">
        <f>SUMIFS(_CALC_ALLOC!$AK$1:$AK$349,_CALC_ALLOC!$A$1:$A$349,"2026",_CALC_ALLOC!$B$1:$B$349,"MBWAY_PAR",_CALC_ALLOC!$D$1:$D$349,"MAS_MGT",_CALC_ALLOC!$E$1:$E$349,"M2",_CALC_ALLOC!$F$1:$F$349,"ALT")</f>
        <v>0</v>
      </c>
      <c r="H24" s="84">
        <f>SUMIFS(_CALC_ALLOC!$AL$1:$AL$349,_CALC_ALLOC!$A$1:$A$349,"2026",_CALC_ALLOC!$B$1:$B$349,"MBWAY_PAR",_CALC_ALLOC!$D$1:$D$349,"MAS_MGT",_CALC_ALLOC!$E$1:$E$349,"M2",_CALC_ALLOC!$F$1:$F$349,"ALT")</f>
        <v>0</v>
      </c>
      <c r="I24" s="84">
        <f>SUMIFS(_CALC_ALLOC!$AR$1:$AR$349,_CALC_ALLOC!$A$1:$A$349,"2026",_CALC_ALLOC!$B$1:$B$349,"MBWAY_PAR",_CALC_ALLOC!$D$1:$D$349,"MAS_MGT",_CALC_ALLOC!$E$1:$E$349,"M2",_CALC_ALLOC!$F$1:$F$349,"ALT")</f>
        <v>0</v>
      </c>
      <c r="J24" s="84">
        <f>SUMIFS(_CALC_ALLOC!$AM$1:$AM$349,_CALC_ALLOC!$A$1:$A$349,"2026",_CALC_ALLOC!$B$1:$B$349,"MBWAY_PAR",_CALC_ALLOC!$D$1:$D$349,"MAS_MGT",_CALC_ALLOC!$E$1:$E$349,"M2",_CALC_ALLOC!$F$1:$F$349,"ALT")</f>
        <v>0</v>
      </c>
      <c r="K24" s="123">
        <f t="shared" si="0"/>
        <v>0</v>
      </c>
      <c r="L24" s="131">
        <f>SUMIFS(_CALC_ALLOC!$AN$1:$AN$349,_CALC_ALLOC!$A$1:$A$349,"2026",_CALC_ALLOC!$B$1:$B$349,"MBWAY_PAR",_CALC_ALLOC!$D$1:$D$349,"MAS_MGT",_CALC_ALLOC!$E$1:$E$349,"M2",_CALC_ALLOC!$F$1:$F$349,"ALT")</f>
        <v>0</v>
      </c>
      <c r="M24" s="86">
        <f t="shared" si="1"/>
        <v>0</v>
      </c>
    </row>
    <row r="25" spans="2:13" outlineLevel="1" x14ac:dyDescent="0.45">
      <c r="B25" s="36" t="s">
        <v>140</v>
      </c>
      <c r="C25" s="122">
        <f>SUMIFS(_CALC_ALLOC!$G$1:$G$349,_CALC_ALLOC!$A$1:$A$349,"2026",_CALC_ALLOC!$B$1:$B$349,"MBWAY_LYO")</f>
        <v>0</v>
      </c>
      <c r="D25" s="123">
        <f>SUMIFS(_CALC_ALLOC!$I$1:$I$349,_CALC_ALLOC!$A$1:$A$349,"2026",_CALC_ALLOC!$B$1:$B$349,"MBWAY_LYO")</f>
        <v>0</v>
      </c>
      <c r="E25" s="123">
        <f>SUMIFS(_CALC_ALLOC!$AI$1:$AI$349,_CALC_ALLOC!$A$1:$A$349,"2026",_CALC_ALLOC!$B$1:$B$349,"MBWAY_LYO")</f>
        <v>0</v>
      </c>
      <c r="F25" s="123">
        <f>SUMIFS(_CALC_ALLOC!$AJ$1:$AJ$349,_CALC_ALLOC!$A$1:$A$349,"2026",_CALC_ALLOC!$B$1:$B$349,"MBWAY_LYO")</f>
        <v>0</v>
      </c>
      <c r="G25" s="123">
        <f>SUMIFS(_CALC_ALLOC!$AK$1:$AK$349,_CALC_ALLOC!$A$1:$A$349,"2026",_CALC_ALLOC!$B$1:$B$349,"MBWAY_LYO")</f>
        <v>0</v>
      </c>
      <c r="H25" s="123">
        <f>SUMIFS(_CALC_ALLOC!$AL$1:$AL$349,_CALC_ALLOC!$A$1:$A$349,"2026",_CALC_ALLOC!$B$1:$B$349,"MBWAY_LYO")</f>
        <v>0</v>
      </c>
      <c r="I25" s="123">
        <f>SUMIFS(_CALC_ALLOC!$AR$1:$AR$349,_CALC_ALLOC!$A$1:$A$349,"2026",_CALC_ALLOC!$B$1:$B$349,"MBWAY_LYO")</f>
        <v>0</v>
      </c>
      <c r="J25" s="123">
        <f>SUMIFS(_CALC_ALLOC!$AM$1:$AM$349,_CALC_ALLOC!$A$1:$A$349,"2026",_CALC_ALLOC!$B$1:$B$349,"MBWAY_LYO")</f>
        <v>0</v>
      </c>
      <c r="K25" s="123">
        <f t="shared" si="0"/>
        <v>0</v>
      </c>
      <c r="L25" s="130">
        <f>SUMIFS(_CALC_ALLOC!$AN$1:$AN$349,_CALC_ALLOC!$A$1:$A$349,"2026",_CALC_ALLOC!$B$1:$B$349,"MBWAY_LYO")</f>
        <v>0</v>
      </c>
      <c r="M25" s="124">
        <f t="shared" si="1"/>
        <v>0</v>
      </c>
    </row>
    <row r="26" spans="2:13" outlineLevel="2" x14ac:dyDescent="0.45">
      <c r="B26" s="37" t="s">
        <v>135</v>
      </c>
      <c r="C26" s="85">
        <f>SUMIFS(_CALC_ALLOC!$G$1:$G$349,_CALC_ALLOC!$A$1:$A$349,"2026",_CALC_ALLOC!$B$1:$B$349,"MBWAY_LYO",_CALC_ALLOC!$D$1:$D$349,"BAC_MGT",_CALC_ALLOC!$E$1:$E$349,"B1",_CALC_ALLOC!$F$1:$F$349,"INIT")</f>
        <v>0</v>
      </c>
      <c r="D26" s="84">
        <f>SUMIFS(_CALC_ALLOC!$I$1:$I$349,_CALC_ALLOC!$A$1:$A$349,"2026",_CALC_ALLOC!$B$1:$B$349,"MBWAY_LYO",_CALC_ALLOC!$D$1:$D$349,"BAC_MGT",_CALC_ALLOC!$E$1:$E$349,"B1",_CALC_ALLOC!$F$1:$F$349,"INIT")</f>
        <v>0</v>
      </c>
      <c r="E26" s="84">
        <f>SUMIFS(_CALC_ALLOC!$AI$1:$AI$349,_CALC_ALLOC!$A$1:$A$349,"2026",_CALC_ALLOC!$B$1:$B$349,"MBWAY_LYO",_CALC_ALLOC!$D$1:$D$349,"BAC_MGT",_CALC_ALLOC!$E$1:$E$349,"B1",_CALC_ALLOC!$F$1:$F$349,"INIT")</f>
        <v>0</v>
      </c>
      <c r="F26" s="84">
        <f>SUMIFS(_CALC_ALLOC!$AJ$1:$AJ$349,_CALC_ALLOC!$A$1:$A$349,"2026",_CALC_ALLOC!$B$1:$B$349,"MBWAY_LYO",_CALC_ALLOC!$D$1:$D$349,"BAC_MGT",_CALC_ALLOC!$E$1:$E$349,"B1",_CALC_ALLOC!$F$1:$F$349,"INIT")</f>
        <v>0</v>
      </c>
      <c r="G26" s="84">
        <f>SUMIFS(_CALC_ALLOC!$AK$1:$AK$349,_CALC_ALLOC!$A$1:$A$349,"2026",_CALC_ALLOC!$B$1:$B$349,"MBWAY_LYO",_CALC_ALLOC!$D$1:$D$349,"BAC_MGT",_CALC_ALLOC!$E$1:$E$349,"B1",_CALC_ALLOC!$F$1:$F$349,"INIT")</f>
        <v>0</v>
      </c>
      <c r="H26" s="84">
        <f>SUMIFS(_CALC_ALLOC!$AL$1:$AL$349,_CALC_ALLOC!$A$1:$A$349,"2026",_CALC_ALLOC!$B$1:$B$349,"MBWAY_LYO",_CALC_ALLOC!$D$1:$D$349,"BAC_MGT",_CALC_ALLOC!$E$1:$E$349,"B1",_CALC_ALLOC!$F$1:$F$349,"INIT")</f>
        <v>0</v>
      </c>
      <c r="I26" s="84">
        <f>SUMIFS(_CALC_ALLOC!$AR$1:$AR$349,_CALC_ALLOC!$A$1:$A$349,"2026",_CALC_ALLOC!$B$1:$B$349,"MBWAY_LYO",_CALC_ALLOC!$D$1:$D$349,"BAC_MGT",_CALC_ALLOC!$E$1:$E$349,"B1",_CALC_ALLOC!$F$1:$F$349,"INIT")</f>
        <v>0</v>
      </c>
      <c r="J26" s="84">
        <f>SUMIFS(_CALC_ALLOC!$AM$1:$AM$349,_CALC_ALLOC!$A$1:$A$349,"2026",_CALC_ALLOC!$B$1:$B$349,"MBWAY_LYO",_CALC_ALLOC!$D$1:$D$349,"BAC_MGT",_CALC_ALLOC!$E$1:$E$349,"B1",_CALC_ALLOC!$F$1:$F$349,"INIT")</f>
        <v>0</v>
      </c>
      <c r="K26" s="123">
        <f t="shared" si="0"/>
        <v>0</v>
      </c>
      <c r="L26" s="131">
        <f>SUMIFS(_CALC_ALLOC!$AN$1:$AN$349,_CALC_ALLOC!$A$1:$A$349,"2026",_CALC_ALLOC!$B$1:$B$349,"MBWAY_LYO",_CALC_ALLOC!$D$1:$D$349,"BAC_MGT",_CALC_ALLOC!$E$1:$E$349,"B1",_CALC_ALLOC!$F$1:$F$349,"INIT")</f>
        <v>0</v>
      </c>
      <c r="M26" s="86">
        <f t="shared" si="1"/>
        <v>0</v>
      </c>
    </row>
    <row r="27" spans="2:13" outlineLevel="2" x14ac:dyDescent="0.45">
      <c r="B27" s="37" t="s">
        <v>136</v>
      </c>
      <c r="C27" s="85">
        <f>SUMIFS(_CALC_ALLOC!$G$1:$G$349,_CALC_ALLOC!$A$1:$A$349,"2026",_CALC_ALLOC!$B$1:$B$349,"MBWAY_LYO",_CALC_ALLOC!$D$1:$D$349,"BAC_MGT",_CALC_ALLOC!$E$1:$E$349,"B2",_CALC_ALLOC!$F$1:$F$349,"ALT")</f>
        <v>0</v>
      </c>
      <c r="D27" s="84">
        <f>SUMIFS(_CALC_ALLOC!$I$1:$I$349,_CALC_ALLOC!$A$1:$A$349,"2026",_CALC_ALLOC!$B$1:$B$349,"MBWAY_LYO",_CALC_ALLOC!$D$1:$D$349,"BAC_MGT",_CALC_ALLOC!$E$1:$E$349,"B2",_CALC_ALLOC!$F$1:$F$349,"ALT")</f>
        <v>0</v>
      </c>
      <c r="E27" s="84">
        <f>SUMIFS(_CALC_ALLOC!$AI$1:$AI$349,_CALC_ALLOC!$A$1:$A$349,"2026",_CALC_ALLOC!$B$1:$B$349,"MBWAY_LYO",_CALC_ALLOC!$D$1:$D$349,"BAC_MGT",_CALC_ALLOC!$E$1:$E$349,"B2",_CALC_ALLOC!$F$1:$F$349,"ALT")</f>
        <v>0</v>
      </c>
      <c r="F27" s="84">
        <f>SUMIFS(_CALC_ALLOC!$AJ$1:$AJ$349,_CALC_ALLOC!$A$1:$A$349,"2026",_CALC_ALLOC!$B$1:$B$349,"MBWAY_LYO",_CALC_ALLOC!$D$1:$D$349,"BAC_MGT",_CALC_ALLOC!$E$1:$E$349,"B2",_CALC_ALLOC!$F$1:$F$349,"ALT")</f>
        <v>0</v>
      </c>
      <c r="G27" s="84">
        <f>SUMIFS(_CALC_ALLOC!$AK$1:$AK$349,_CALC_ALLOC!$A$1:$A$349,"2026",_CALC_ALLOC!$B$1:$B$349,"MBWAY_LYO",_CALC_ALLOC!$D$1:$D$349,"BAC_MGT",_CALC_ALLOC!$E$1:$E$349,"B2",_CALC_ALLOC!$F$1:$F$349,"ALT")</f>
        <v>0</v>
      </c>
      <c r="H27" s="84">
        <f>SUMIFS(_CALC_ALLOC!$AL$1:$AL$349,_CALC_ALLOC!$A$1:$A$349,"2026",_CALC_ALLOC!$B$1:$B$349,"MBWAY_LYO",_CALC_ALLOC!$D$1:$D$349,"BAC_MGT",_CALC_ALLOC!$E$1:$E$349,"B2",_CALC_ALLOC!$F$1:$F$349,"ALT")</f>
        <v>0</v>
      </c>
      <c r="I27" s="84">
        <f>SUMIFS(_CALC_ALLOC!$AR$1:$AR$349,_CALC_ALLOC!$A$1:$A$349,"2026",_CALC_ALLOC!$B$1:$B$349,"MBWAY_LYO",_CALC_ALLOC!$D$1:$D$349,"BAC_MGT",_CALC_ALLOC!$E$1:$E$349,"B2",_CALC_ALLOC!$F$1:$F$349,"ALT")</f>
        <v>0</v>
      </c>
      <c r="J27" s="84">
        <f>SUMIFS(_CALC_ALLOC!$AM$1:$AM$349,_CALC_ALLOC!$A$1:$A$349,"2026",_CALC_ALLOC!$B$1:$B$349,"MBWAY_LYO",_CALC_ALLOC!$D$1:$D$349,"BAC_MGT",_CALC_ALLOC!$E$1:$E$349,"B2",_CALC_ALLOC!$F$1:$F$349,"ALT")</f>
        <v>0</v>
      </c>
      <c r="K27" s="123">
        <f t="shared" si="0"/>
        <v>0</v>
      </c>
      <c r="L27" s="131">
        <f>SUMIFS(_CALC_ALLOC!$AN$1:$AN$349,_CALC_ALLOC!$A$1:$A$349,"2026",_CALC_ALLOC!$B$1:$B$349,"MBWAY_LYO",_CALC_ALLOC!$D$1:$D$349,"BAC_MGT",_CALC_ALLOC!$E$1:$E$349,"B2",_CALC_ALLOC!$F$1:$F$349,"ALT")</f>
        <v>0</v>
      </c>
      <c r="M27" s="86">
        <f t="shared" si="1"/>
        <v>0</v>
      </c>
    </row>
    <row r="28" spans="2:13" outlineLevel="2" x14ac:dyDescent="0.45">
      <c r="B28" s="37" t="s">
        <v>137</v>
      </c>
      <c r="C28" s="85">
        <f>SUMIFS(_CALC_ALLOC!$G$1:$G$349,_CALC_ALLOC!$A$1:$A$349,"2026",_CALC_ALLOC!$B$1:$B$349,"MBWAY_LYO",_CALC_ALLOC!$D$1:$D$349,"BAC_MGT",_CALC_ALLOC!$E$1:$E$349,"B3",_CALC_ALLOC!$F$1:$F$349,"ALT")</f>
        <v>0</v>
      </c>
      <c r="D28" s="84">
        <f>SUMIFS(_CALC_ALLOC!$I$1:$I$349,_CALC_ALLOC!$A$1:$A$349,"2026",_CALC_ALLOC!$B$1:$B$349,"MBWAY_LYO",_CALC_ALLOC!$D$1:$D$349,"BAC_MGT",_CALC_ALLOC!$E$1:$E$349,"B3",_CALC_ALLOC!$F$1:$F$349,"ALT")</f>
        <v>0</v>
      </c>
      <c r="E28" s="84">
        <f>SUMIFS(_CALC_ALLOC!$AI$1:$AI$349,_CALC_ALLOC!$A$1:$A$349,"2026",_CALC_ALLOC!$B$1:$B$349,"MBWAY_LYO",_CALC_ALLOC!$D$1:$D$349,"BAC_MGT",_CALC_ALLOC!$E$1:$E$349,"B3",_CALC_ALLOC!$F$1:$F$349,"ALT")</f>
        <v>0</v>
      </c>
      <c r="F28" s="84">
        <f>SUMIFS(_CALC_ALLOC!$AJ$1:$AJ$349,_CALC_ALLOC!$A$1:$A$349,"2026",_CALC_ALLOC!$B$1:$B$349,"MBWAY_LYO",_CALC_ALLOC!$D$1:$D$349,"BAC_MGT",_CALC_ALLOC!$E$1:$E$349,"B3",_CALC_ALLOC!$F$1:$F$349,"ALT")</f>
        <v>0</v>
      </c>
      <c r="G28" s="84">
        <f>SUMIFS(_CALC_ALLOC!$AK$1:$AK$349,_CALC_ALLOC!$A$1:$A$349,"2026",_CALC_ALLOC!$B$1:$B$349,"MBWAY_LYO",_CALC_ALLOC!$D$1:$D$349,"BAC_MGT",_CALC_ALLOC!$E$1:$E$349,"B3",_CALC_ALLOC!$F$1:$F$349,"ALT")</f>
        <v>0</v>
      </c>
      <c r="H28" s="84">
        <f>SUMIFS(_CALC_ALLOC!$AL$1:$AL$349,_CALC_ALLOC!$A$1:$A$349,"2026",_CALC_ALLOC!$B$1:$B$349,"MBWAY_LYO",_CALC_ALLOC!$D$1:$D$349,"BAC_MGT",_CALC_ALLOC!$E$1:$E$349,"B3",_CALC_ALLOC!$F$1:$F$349,"ALT")</f>
        <v>0</v>
      </c>
      <c r="I28" s="84">
        <f>SUMIFS(_CALC_ALLOC!$AR$1:$AR$349,_CALC_ALLOC!$A$1:$A$349,"2026",_CALC_ALLOC!$B$1:$B$349,"MBWAY_LYO",_CALC_ALLOC!$D$1:$D$349,"BAC_MGT",_CALC_ALLOC!$E$1:$E$349,"B3",_CALC_ALLOC!$F$1:$F$349,"ALT")</f>
        <v>0</v>
      </c>
      <c r="J28" s="84">
        <f>SUMIFS(_CALC_ALLOC!$AM$1:$AM$349,_CALC_ALLOC!$A$1:$A$349,"2026",_CALC_ALLOC!$B$1:$B$349,"MBWAY_LYO",_CALC_ALLOC!$D$1:$D$349,"BAC_MGT",_CALC_ALLOC!$E$1:$E$349,"B3",_CALC_ALLOC!$F$1:$F$349,"ALT")</f>
        <v>0</v>
      </c>
      <c r="K28" s="123">
        <f t="shared" si="0"/>
        <v>0</v>
      </c>
      <c r="L28" s="131">
        <f>SUMIFS(_CALC_ALLOC!$AN$1:$AN$349,_CALC_ALLOC!$A$1:$A$349,"2026",_CALC_ALLOC!$B$1:$B$349,"MBWAY_LYO",_CALC_ALLOC!$D$1:$D$349,"BAC_MGT",_CALC_ALLOC!$E$1:$E$349,"B3",_CALC_ALLOC!$F$1:$F$349,"ALT")</f>
        <v>0</v>
      </c>
      <c r="M28" s="86">
        <f t="shared" si="1"/>
        <v>0</v>
      </c>
    </row>
    <row r="29" spans="2:13" outlineLevel="2" x14ac:dyDescent="0.45">
      <c r="B29" s="37" t="s">
        <v>138</v>
      </c>
      <c r="C29" s="85">
        <f>SUMIFS(_CALC_ALLOC!$G$1:$G$349,_CALC_ALLOC!$A$1:$A$349,"2026",_CALC_ALLOC!$B$1:$B$349,"MBWAY_LYO",_CALC_ALLOC!$D$1:$D$349,"MAS_MGT",_CALC_ALLOC!$E$1:$E$349,"M1",_CALC_ALLOC!$F$1:$F$349,"ALT")</f>
        <v>0</v>
      </c>
      <c r="D29" s="84">
        <f>SUMIFS(_CALC_ALLOC!$I$1:$I$349,_CALC_ALLOC!$A$1:$A$349,"2026",_CALC_ALLOC!$B$1:$B$349,"MBWAY_LYO",_CALC_ALLOC!$D$1:$D$349,"MAS_MGT",_CALC_ALLOC!$E$1:$E$349,"M1",_CALC_ALLOC!$F$1:$F$349,"ALT")</f>
        <v>0</v>
      </c>
      <c r="E29" s="84">
        <f>SUMIFS(_CALC_ALLOC!$AI$1:$AI$349,_CALC_ALLOC!$A$1:$A$349,"2026",_CALC_ALLOC!$B$1:$B$349,"MBWAY_LYO",_CALC_ALLOC!$D$1:$D$349,"MAS_MGT",_CALC_ALLOC!$E$1:$E$349,"M1",_CALC_ALLOC!$F$1:$F$349,"ALT")</f>
        <v>0</v>
      </c>
      <c r="F29" s="84">
        <f>SUMIFS(_CALC_ALLOC!$AJ$1:$AJ$349,_CALC_ALLOC!$A$1:$A$349,"2026",_CALC_ALLOC!$B$1:$B$349,"MBWAY_LYO",_CALC_ALLOC!$D$1:$D$349,"MAS_MGT",_CALC_ALLOC!$E$1:$E$349,"M1",_CALC_ALLOC!$F$1:$F$349,"ALT")</f>
        <v>0</v>
      </c>
      <c r="G29" s="84">
        <f>SUMIFS(_CALC_ALLOC!$AK$1:$AK$349,_CALC_ALLOC!$A$1:$A$349,"2026",_CALC_ALLOC!$B$1:$B$349,"MBWAY_LYO",_CALC_ALLOC!$D$1:$D$349,"MAS_MGT",_CALC_ALLOC!$E$1:$E$349,"M1",_CALC_ALLOC!$F$1:$F$349,"ALT")</f>
        <v>0</v>
      </c>
      <c r="H29" s="84">
        <f>SUMIFS(_CALC_ALLOC!$AL$1:$AL$349,_CALC_ALLOC!$A$1:$A$349,"2026",_CALC_ALLOC!$B$1:$B$349,"MBWAY_LYO",_CALC_ALLOC!$D$1:$D$349,"MAS_MGT",_CALC_ALLOC!$E$1:$E$349,"M1",_CALC_ALLOC!$F$1:$F$349,"ALT")</f>
        <v>0</v>
      </c>
      <c r="I29" s="84">
        <f>SUMIFS(_CALC_ALLOC!$AR$1:$AR$349,_CALC_ALLOC!$A$1:$A$349,"2026",_CALC_ALLOC!$B$1:$B$349,"MBWAY_LYO",_CALC_ALLOC!$D$1:$D$349,"MAS_MGT",_CALC_ALLOC!$E$1:$E$349,"M1",_CALC_ALLOC!$F$1:$F$349,"ALT")</f>
        <v>0</v>
      </c>
      <c r="J29" s="84">
        <f>SUMIFS(_CALC_ALLOC!$AM$1:$AM$349,_CALC_ALLOC!$A$1:$A$349,"2026",_CALC_ALLOC!$B$1:$B$349,"MBWAY_LYO",_CALC_ALLOC!$D$1:$D$349,"MAS_MGT",_CALC_ALLOC!$E$1:$E$349,"M1",_CALC_ALLOC!$F$1:$F$349,"ALT")</f>
        <v>0</v>
      </c>
      <c r="K29" s="123">
        <f t="shared" si="0"/>
        <v>0</v>
      </c>
      <c r="L29" s="131">
        <f>SUMIFS(_CALC_ALLOC!$AN$1:$AN$349,_CALC_ALLOC!$A$1:$A$349,"2026",_CALC_ALLOC!$B$1:$B$349,"MBWAY_LYO",_CALC_ALLOC!$D$1:$D$349,"MAS_MGT",_CALC_ALLOC!$E$1:$E$349,"M1",_CALC_ALLOC!$F$1:$F$349,"ALT")</f>
        <v>0</v>
      </c>
      <c r="M29" s="86">
        <f t="shared" si="1"/>
        <v>0</v>
      </c>
    </row>
    <row r="30" spans="2:13" outlineLevel="2" x14ac:dyDescent="0.45">
      <c r="B30" s="37" t="s">
        <v>139</v>
      </c>
      <c r="C30" s="85">
        <f>SUMIFS(_CALC_ALLOC!$G$1:$G$349,_CALC_ALLOC!$A$1:$A$349,"2026",_CALC_ALLOC!$B$1:$B$349,"MBWAY_LYO",_CALC_ALLOC!$D$1:$D$349,"MAS_MGT",_CALC_ALLOC!$E$1:$E$349,"M2",_CALC_ALLOC!$F$1:$F$349,"ALT")</f>
        <v>0</v>
      </c>
      <c r="D30" s="84">
        <f>SUMIFS(_CALC_ALLOC!$I$1:$I$349,_CALC_ALLOC!$A$1:$A$349,"2026",_CALC_ALLOC!$B$1:$B$349,"MBWAY_LYO",_CALC_ALLOC!$D$1:$D$349,"MAS_MGT",_CALC_ALLOC!$E$1:$E$349,"M2",_CALC_ALLOC!$F$1:$F$349,"ALT")</f>
        <v>0</v>
      </c>
      <c r="E30" s="84">
        <f>SUMIFS(_CALC_ALLOC!$AI$1:$AI$349,_CALC_ALLOC!$A$1:$A$349,"2026",_CALC_ALLOC!$B$1:$B$349,"MBWAY_LYO",_CALC_ALLOC!$D$1:$D$349,"MAS_MGT",_CALC_ALLOC!$E$1:$E$349,"M2",_CALC_ALLOC!$F$1:$F$349,"ALT")</f>
        <v>0</v>
      </c>
      <c r="F30" s="84">
        <f>SUMIFS(_CALC_ALLOC!$AJ$1:$AJ$349,_CALC_ALLOC!$A$1:$A$349,"2026",_CALC_ALLOC!$B$1:$B$349,"MBWAY_LYO",_CALC_ALLOC!$D$1:$D$349,"MAS_MGT",_CALC_ALLOC!$E$1:$E$349,"M2",_CALC_ALLOC!$F$1:$F$349,"ALT")</f>
        <v>0</v>
      </c>
      <c r="G30" s="84">
        <f>SUMIFS(_CALC_ALLOC!$AK$1:$AK$349,_CALC_ALLOC!$A$1:$A$349,"2026",_CALC_ALLOC!$B$1:$B$349,"MBWAY_LYO",_CALC_ALLOC!$D$1:$D$349,"MAS_MGT",_CALC_ALLOC!$E$1:$E$349,"M2",_CALC_ALLOC!$F$1:$F$349,"ALT")</f>
        <v>0</v>
      </c>
      <c r="H30" s="84">
        <f>SUMIFS(_CALC_ALLOC!$AL$1:$AL$349,_CALC_ALLOC!$A$1:$A$349,"2026",_CALC_ALLOC!$B$1:$B$349,"MBWAY_LYO",_CALC_ALLOC!$D$1:$D$349,"MAS_MGT",_CALC_ALLOC!$E$1:$E$349,"M2",_CALC_ALLOC!$F$1:$F$349,"ALT")</f>
        <v>0</v>
      </c>
      <c r="I30" s="84">
        <f>SUMIFS(_CALC_ALLOC!$AR$1:$AR$349,_CALC_ALLOC!$A$1:$A$349,"2026",_CALC_ALLOC!$B$1:$B$349,"MBWAY_LYO",_CALC_ALLOC!$D$1:$D$349,"MAS_MGT",_CALC_ALLOC!$E$1:$E$349,"M2",_CALC_ALLOC!$F$1:$F$349,"ALT")</f>
        <v>0</v>
      </c>
      <c r="J30" s="84">
        <f>SUMIFS(_CALC_ALLOC!$AM$1:$AM$349,_CALC_ALLOC!$A$1:$A$349,"2026",_CALC_ALLOC!$B$1:$B$349,"MBWAY_LYO",_CALC_ALLOC!$D$1:$D$349,"MAS_MGT",_CALC_ALLOC!$E$1:$E$349,"M2",_CALC_ALLOC!$F$1:$F$349,"ALT")</f>
        <v>0</v>
      </c>
      <c r="K30" s="123">
        <f t="shared" si="0"/>
        <v>0</v>
      </c>
      <c r="L30" s="131">
        <f>SUMIFS(_CALC_ALLOC!$AN$1:$AN$349,_CALC_ALLOC!$A$1:$A$349,"2026",_CALC_ALLOC!$B$1:$B$349,"MBWAY_LYO",_CALC_ALLOC!$D$1:$D$349,"MAS_MGT",_CALC_ALLOC!$E$1:$E$349,"M2",_CALC_ALLOC!$F$1:$F$349,"ALT")</f>
        <v>0</v>
      </c>
      <c r="M30" s="86">
        <f t="shared" si="1"/>
        <v>0</v>
      </c>
    </row>
    <row r="31" spans="2:13" outlineLevel="1" x14ac:dyDescent="0.45">
      <c r="B31" s="36" t="s">
        <v>141</v>
      </c>
      <c r="C31" s="122">
        <f>SUMIFS(_CALC_ALLOC!$G$1:$G$349,_CALC_ALLOC!$A$1:$A$349,"2026",_CALC_ALLOC!$B$1:$B$349,"MBWAY_NAN")</f>
        <v>0</v>
      </c>
      <c r="D31" s="123">
        <f>SUMIFS(_CALC_ALLOC!$I$1:$I$349,_CALC_ALLOC!$A$1:$A$349,"2026",_CALC_ALLOC!$B$1:$B$349,"MBWAY_NAN")</f>
        <v>0</v>
      </c>
      <c r="E31" s="123">
        <f>SUMIFS(_CALC_ALLOC!$AI$1:$AI$349,_CALC_ALLOC!$A$1:$A$349,"2026",_CALC_ALLOC!$B$1:$B$349,"MBWAY_NAN")</f>
        <v>0</v>
      </c>
      <c r="F31" s="123">
        <f>SUMIFS(_CALC_ALLOC!$AJ$1:$AJ$349,_CALC_ALLOC!$A$1:$A$349,"2026",_CALC_ALLOC!$B$1:$B$349,"MBWAY_NAN")</f>
        <v>0</v>
      </c>
      <c r="G31" s="123">
        <f>SUMIFS(_CALC_ALLOC!$AK$1:$AK$349,_CALC_ALLOC!$A$1:$A$349,"2026",_CALC_ALLOC!$B$1:$B$349,"MBWAY_NAN")</f>
        <v>0</v>
      </c>
      <c r="H31" s="123">
        <f>SUMIFS(_CALC_ALLOC!$AL$1:$AL$349,_CALC_ALLOC!$A$1:$A$349,"2026",_CALC_ALLOC!$B$1:$B$349,"MBWAY_NAN")</f>
        <v>0</v>
      </c>
      <c r="I31" s="123">
        <f>SUMIFS(_CALC_ALLOC!$AR$1:$AR$349,_CALC_ALLOC!$A$1:$A$349,"2026",_CALC_ALLOC!$B$1:$B$349,"MBWAY_NAN")</f>
        <v>0</v>
      </c>
      <c r="J31" s="123">
        <f>SUMIFS(_CALC_ALLOC!$AM$1:$AM$349,_CALC_ALLOC!$A$1:$A$349,"2026",_CALC_ALLOC!$B$1:$B$349,"MBWAY_NAN")</f>
        <v>0</v>
      </c>
      <c r="K31" s="123">
        <f t="shared" si="0"/>
        <v>0</v>
      </c>
      <c r="L31" s="130">
        <f>SUMIFS(_CALC_ALLOC!$AN$1:$AN$349,_CALC_ALLOC!$A$1:$A$349,"2026",_CALC_ALLOC!$B$1:$B$349,"MBWAY_NAN")</f>
        <v>0</v>
      </c>
      <c r="M31" s="124">
        <f t="shared" si="1"/>
        <v>0</v>
      </c>
    </row>
    <row r="32" spans="2:13" outlineLevel="2" x14ac:dyDescent="0.45">
      <c r="B32" s="37" t="s">
        <v>135</v>
      </c>
      <c r="C32" s="85">
        <f>SUMIFS(_CALC_ALLOC!$G$1:$G$349,_CALC_ALLOC!$A$1:$A$349,"2026",_CALC_ALLOC!$B$1:$B$349,"MBWAY_NAN",_CALC_ALLOC!$D$1:$D$349,"BAC_MGT",_CALC_ALLOC!$E$1:$E$349,"B1",_CALC_ALLOC!$F$1:$F$349,"INIT")</f>
        <v>0</v>
      </c>
      <c r="D32" s="84">
        <f>SUMIFS(_CALC_ALLOC!$I$1:$I$349,_CALC_ALLOC!$A$1:$A$349,"2026",_CALC_ALLOC!$B$1:$B$349,"MBWAY_NAN",_CALC_ALLOC!$D$1:$D$349,"BAC_MGT",_CALC_ALLOC!$E$1:$E$349,"B1",_CALC_ALLOC!$F$1:$F$349,"INIT")</f>
        <v>0</v>
      </c>
      <c r="E32" s="84">
        <f>SUMIFS(_CALC_ALLOC!$AI$1:$AI$349,_CALC_ALLOC!$A$1:$A$349,"2026",_CALC_ALLOC!$B$1:$B$349,"MBWAY_NAN",_CALC_ALLOC!$D$1:$D$349,"BAC_MGT",_CALC_ALLOC!$E$1:$E$349,"B1",_CALC_ALLOC!$F$1:$F$349,"INIT")</f>
        <v>0</v>
      </c>
      <c r="F32" s="84">
        <f>SUMIFS(_CALC_ALLOC!$AJ$1:$AJ$349,_CALC_ALLOC!$A$1:$A$349,"2026",_CALC_ALLOC!$B$1:$B$349,"MBWAY_NAN",_CALC_ALLOC!$D$1:$D$349,"BAC_MGT",_CALC_ALLOC!$E$1:$E$349,"B1",_CALC_ALLOC!$F$1:$F$349,"INIT")</f>
        <v>0</v>
      </c>
      <c r="G32" s="84">
        <f>SUMIFS(_CALC_ALLOC!$AK$1:$AK$349,_CALC_ALLOC!$A$1:$A$349,"2026",_CALC_ALLOC!$B$1:$B$349,"MBWAY_NAN",_CALC_ALLOC!$D$1:$D$349,"BAC_MGT",_CALC_ALLOC!$E$1:$E$349,"B1",_CALC_ALLOC!$F$1:$F$349,"INIT")</f>
        <v>0</v>
      </c>
      <c r="H32" s="84">
        <f>SUMIFS(_CALC_ALLOC!$AL$1:$AL$349,_CALC_ALLOC!$A$1:$A$349,"2026",_CALC_ALLOC!$B$1:$B$349,"MBWAY_NAN",_CALC_ALLOC!$D$1:$D$349,"BAC_MGT",_CALC_ALLOC!$E$1:$E$349,"B1",_CALC_ALLOC!$F$1:$F$349,"INIT")</f>
        <v>0</v>
      </c>
      <c r="I32" s="84">
        <f>SUMIFS(_CALC_ALLOC!$AR$1:$AR$349,_CALC_ALLOC!$A$1:$A$349,"2026",_CALC_ALLOC!$B$1:$B$349,"MBWAY_NAN",_CALC_ALLOC!$D$1:$D$349,"BAC_MGT",_CALC_ALLOC!$E$1:$E$349,"B1",_CALC_ALLOC!$F$1:$F$349,"INIT")</f>
        <v>0</v>
      </c>
      <c r="J32" s="84">
        <f>SUMIFS(_CALC_ALLOC!$AM$1:$AM$349,_CALC_ALLOC!$A$1:$A$349,"2026",_CALC_ALLOC!$B$1:$B$349,"MBWAY_NAN",_CALC_ALLOC!$D$1:$D$349,"BAC_MGT",_CALC_ALLOC!$E$1:$E$349,"B1",_CALC_ALLOC!$F$1:$F$349,"INIT")</f>
        <v>0</v>
      </c>
      <c r="K32" s="123">
        <f t="shared" si="0"/>
        <v>0</v>
      </c>
      <c r="L32" s="131">
        <f>SUMIFS(_CALC_ALLOC!$AN$1:$AN$349,_CALC_ALLOC!$A$1:$A$349,"2026",_CALC_ALLOC!$B$1:$B$349,"MBWAY_NAN",_CALC_ALLOC!$D$1:$D$349,"BAC_MGT",_CALC_ALLOC!$E$1:$E$349,"B1",_CALC_ALLOC!$F$1:$F$349,"INIT")</f>
        <v>0</v>
      </c>
      <c r="M32" s="86">
        <f t="shared" si="1"/>
        <v>0</v>
      </c>
    </row>
    <row r="33" spans="2:13" outlineLevel="2" x14ac:dyDescent="0.45">
      <c r="B33" s="37" t="s">
        <v>136</v>
      </c>
      <c r="C33" s="85">
        <f>SUMIFS(_CALC_ALLOC!$G$1:$G$349,_CALC_ALLOC!$A$1:$A$349,"2026",_CALC_ALLOC!$B$1:$B$349,"MBWAY_NAN",_CALC_ALLOC!$D$1:$D$349,"BAC_MGT",_CALC_ALLOC!$E$1:$E$349,"B2",_CALC_ALLOC!$F$1:$F$349,"ALT")</f>
        <v>0</v>
      </c>
      <c r="D33" s="84">
        <f>SUMIFS(_CALC_ALLOC!$I$1:$I$349,_CALC_ALLOC!$A$1:$A$349,"2026",_CALC_ALLOC!$B$1:$B$349,"MBWAY_NAN",_CALC_ALLOC!$D$1:$D$349,"BAC_MGT",_CALC_ALLOC!$E$1:$E$349,"B2",_CALC_ALLOC!$F$1:$F$349,"ALT")</f>
        <v>0</v>
      </c>
      <c r="E33" s="84">
        <f>SUMIFS(_CALC_ALLOC!$AI$1:$AI$349,_CALC_ALLOC!$A$1:$A$349,"2026",_CALC_ALLOC!$B$1:$B$349,"MBWAY_NAN",_CALC_ALLOC!$D$1:$D$349,"BAC_MGT",_CALC_ALLOC!$E$1:$E$349,"B2",_CALC_ALLOC!$F$1:$F$349,"ALT")</f>
        <v>0</v>
      </c>
      <c r="F33" s="84">
        <f>SUMIFS(_CALC_ALLOC!$AJ$1:$AJ$349,_CALC_ALLOC!$A$1:$A$349,"2026",_CALC_ALLOC!$B$1:$B$349,"MBWAY_NAN",_CALC_ALLOC!$D$1:$D$349,"BAC_MGT",_CALC_ALLOC!$E$1:$E$349,"B2",_CALC_ALLOC!$F$1:$F$349,"ALT")</f>
        <v>0</v>
      </c>
      <c r="G33" s="84">
        <f>SUMIFS(_CALC_ALLOC!$AK$1:$AK$349,_CALC_ALLOC!$A$1:$A$349,"2026",_CALC_ALLOC!$B$1:$B$349,"MBWAY_NAN",_CALC_ALLOC!$D$1:$D$349,"BAC_MGT",_CALC_ALLOC!$E$1:$E$349,"B2",_CALC_ALLOC!$F$1:$F$349,"ALT")</f>
        <v>0</v>
      </c>
      <c r="H33" s="84">
        <f>SUMIFS(_CALC_ALLOC!$AL$1:$AL$349,_CALC_ALLOC!$A$1:$A$349,"2026",_CALC_ALLOC!$B$1:$B$349,"MBWAY_NAN",_CALC_ALLOC!$D$1:$D$349,"BAC_MGT",_CALC_ALLOC!$E$1:$E$349,"B2",_CALC_ALLOC!$F$1:$F$349,"ALT")</f>
        <v>0</v>
      </c>
      <c r="I33" s="84">
        <f>SUMIFS(_CALC_ALLOC!$AR$1:$AR$349,_CALC_ALLOC!$A$1:$A$349,"2026",_CALC_ALLOC!$B$1:$B$349,"MBWAY_NAN",_CALC_ALLOC!$D$1:$D$349,"BAC_MGT",_CALC_ALLOC!$E$1:$E$349,"B2",_CALC_ALLOC!$F$1:$F$349,"ALT")</f>
        <v>0</v>
      </c>
      <c r="J33" s="84">
        <f>SUMIFS(_CALC_ALLOC!$AM$1:$AM$349,_CALC_ALLOC!$A$1:$A$349,"2026",_CALC_ALLOC!$B$1:$B$349,"MBWAY_NAN",_CALC_ALLOC!$D$1:$D$349,"BAC_MGT",_CALC_ALLOC!$E$1:$E$349,"B2",_CALC_ALLOC!$F$1:$F$349,"ALT")</f>
        <v>0</v>
      </c>
      <c r="K33" s="123">
        <f t="shared" si="0"/>
        <v>0</v>
      </c>
      <c r="L33" s="131">
        <f>SUMIFS(_CALC_ALLOC!$AN$1:$AN$349,_CALC_ALLOC!$A$1:$A$349,"2026",_CALC_ALLOC!$B$1:$B$349,"MBWAY_NAN",_CALC_ALLOC!$D$1:$D$349,"BAC_MGT",_CALC_ALLOC!$E$1:$E$349,"B2",_CALC_ALLOC!$F$1:$F$349,"ALT")</f>
        <v>0</v>
      </c>
      <c r="M33" s="86">
        <f t="shared" si="1"/>
        <v>0</v>
      </c>
    </row>
    <row r="34" spans="2:13" outlineLevel="2" x14ac:dyDescent="0.45">
      <c r="B34" s="37" t="s">
        <v>137</v>
      </c>
      <c r="C34" s="85">
        <f>SUMIFS(_CALC_ALLOC!$G$1:$G$349,_CALC_ALLOC!$A$1:$A$349,"2026",_CALC_ALLOC!$B$1:$B$349,"MBWAY_NAN",_CALC_ALLOC!$D$1:$D$349,"BAC_MGT",_CALC_ALLOC!$E$1:$E$349,"B3",_CALC_ALLOC!$F$1:$F$349,"ALT")</f>
        <v>0</v>
      </c>
      <c r="D34" s="84">
        <f>SUMIFS(_CALC_ALLOC!$I$1:$I$349,_CALC_ALLOC!$A$1:$A$349,"2026",_CALC_ALLOC!$B$1:$B$349,"MBWAY_NAN",_CALC_ALLOC!$D$1:$D$349,"BAC_MGT",_CALC_ALLOC!$E$1:$E$349,"B3",_CALC_ALLOC!$F$1:$F$349,"ALT")</f>
        <v>0</v>
      </c>
      <c r="E34" s="84">
        <f>SUMIFS(_CALC_ALLOC!$AI$1:$AI$349,_CALC_ALLOC!$A$1:$A$349,"2026",_CALC_ALLOC!$B$1:$B$349,"MBWAY_NAN",_CALC_ALLOC!$D$1:$D$349,"BAC_MGT",_CALC_ALLOC!$E$1:$E$349,"B3",_CALC_ALLOC!$F$1:$F$349,"ALT")</f>
        <v>0</v>
      </c>
      <c r="F34" s="84">
        <f>SUMIFS(_CALC_ALLOC!$AJ$1:$AJ$349,_CALC_ALLOC!$A$1:$A$349,"2026",_CALC_ALLOC!$B$1:$B$349,"MBWAY_NAN",_CALC_ALLOC!$D$1:$D$349,"BAC_MGT",_CALC_ALLOC!$E$1:$E$349,"B3",_CALC_ALLOC!$F$1:$F$349,"ALT")</f>
        <v>0</v>
      </c>
      <c r="G34" s="84">
        <f>SUMIFS(_CALC_ALLOC!$AK$1:$AK$349,_CALC_ALLOC!$A$1:$A$349,"2026",_CALC_ALLOC!$B$1:$B$349,"MBWAY_NAN",_CALC_ALLOC!$D$1:$D$349,"BAC_MGT",_CALC_ALLOC!$E$1:$E$349,"B3",_CALC_ALLOC!$F$1:$F$349,"ALT")</f>
        <v>0</v>
      </c>
      <c r="H34" s="84">
        <f>SUMIFS(_CALC_ALLOC!$AL$1:$AL$349,_CALC_ALLOC!$A$1:$A$349,"2026",_CALC_ALLOC!$B$1:$B$349,"MBWAY_NAN",_CALC_ALLOC!$D$1:$D$349,"BAC_MGT",_CALC_ALLOC!$E$1:$E$349,"B3",_CALC_ALLOC!$F$1:$F$349,"ALT")</f>
        <v>0</v>
      </c>
      <c r="I34" s="84">
        <f>SUMIFS(_CALC_ALLOC!$AR$1:$AR$349,_CALC_ALLOC!$A$1:$A$349,"2026",_CALC_ALLOC!$B$1:$B$349,"MBWAY_NAN",_CALC_ALLOC!$D$1:$D$349,"BAC_MGT",_CALC_ALLOC!$E$1:$E$349,"B3",_CALC_ALLOC!$F$1:$F$349,"ALT")</f>
        <v>0</v>
      </c>
      <c r="J34" s="84">
        <f>SUMIFS(_CALC_ALLOC!$AM$1:$AM$349,_CALC_ALLOC!$A$1:$A$349,"2026",_CALC_ALLOC!$B$1:$B$349,"MBWAY_NAN",_CALC_ALLOC!$D$1:$D$349,"BAC_MGT",_CALC_ALLOC!$E$1:$E$349,"B3",_CALC_ALLOC!$F$1:$F$349,"ALT")</f>
        <v>0</v>
      </c>
      <c r="K34" s="123">
        <f t="shared" si="0"/>
        <v>0</v>
      </c>
      <c r="L34" s="131">
        <f>SUMIFS(_CALC_ALLOC!$AN$1:$AN$349,_CALC_ALLOC!$A$1:$A$349,"2026",_CALC_ALLOC!$B$1:$B$349,"MBWAY_NAN",_CALC_ALLOC!$D$1:$D$349,"BAC_MGT",_CALC_ALLOC!$E$1:$E$349,"B3",_CALC_ALLOC!$F$1:$F$349,"ALT")</f>
        <v>0</v>
      </c>
      <c r="M34" s="86">
        <f t="shared" si="1"/>
        <v>0</v>
      </c>
    </row>
    <row r="35" spans="2:13" outlineLevel="2" x14ac:dyDescent="0.45">
      <c r="B35" s="37" t="s">
        <v>138</v>
      </c>
      <c r="C35" s="85">
        <f>SUMIFS(_CALC_ALLOC!$G$1:$G$349,_CALC_ALLOC!$A$1:$A$349,"2026",_CALC_ALLOC!$B$1:$B$349,"MBWAY_NAN",_CALC_ALLOC!$D$1:$D$349,"MAS_MGT",_CALC_ALLOC!$E$1:$E$349,"M1",_CALC_ALLOC!$F$1:$F$349,"ALT")</f>
        <v>0</v>
      </c>
      <c r="D35" s="84">
        <f>SUMIFS(_CALC_ALLOC!$I$1:$I$349,_CALC_ALLOC!$A$1:$A$349,"2026",_CALC_ALLOC!$B$1:$B$349,"MBWAY_NAN",_CALC_ALLOC!$D$1:$D$349,"MAS_MGT",_CALC_ALLOC!$E$1:$E$349,"M1",_CALC_ALLOC!$F$1:$F$349,"ALT")</f>
        <v>0</v>
      </c>
      <c r="E35" s="84">
        <f>SUMIFS(_CALC_ALLOC!$AI$1:$AI$349,_CALC_ALLOC!$A$1:$A$349,"2026",_CALC_ALLOC!$B$1:$B$349,"MBWAY_NAN",_CALC_ALLOC!$D$1:$D$349,"MAS_MGT",_CALC_ALLOC!$E$1:$E$349,"M1",_CALC_ALLOC!$F$1:$F$349,"ALT")</f>
        <v>0</v>
      </c>
      <c r="F35" s="84">
        <f>SUMIFS(_CALC_ALLOC!$AJ$1:$AJ$349,_CALC_ALLOC!$A$1:$A$349,"2026",_CALC_ALLOC!$B$1:$B$349,"MBWAY_NAN",_CALC_ALLOC!$D$1:$D$349,"MAS_MGT",_CALC_ALLOC!$E$1:$E$349,"M1",_CALC_ALLOC!$F$1:$F$349,"ALT")</f>
        <v>0</v>
      </c>
      <c r="G35" s="84">
        <f>SUMIFS(_CALC_ALLOC!$AK$1:$AK$349,_CALC_ALLOC!$A$1:$A$349,"2026",_CALC_ALLOC!$B$1:$B$349,"MBWAY_NAN",_CALC_ALLOC!$D$1:$D$349,"MAS_MGT",_CALC_ALLOC!$E$1:$E$349,"M1",_CALC_ALLOC!$F$1:$F$349,"ALT")</f>
        <v>0</v>
      </c>
      <c r="H35" s="84">
        <f>SUMIFS(_CALC_ALLOC!$AL$1:$AL$349,_CALC_ALLOC!$A$1:$A$349,"2026",_CALC_ALLOC!$B$1:$B$349,"MBWAY_NAN",_CALC_ALLOC!$D$1:$D$349,"MAS_MGT",_CALC_ALLOC!$E$1:$E$349,"M1",_CALC_ALLOC!$F$1:$F$349,"ALT")</f>
        <v>0</v>
      </c>
      <c r="I35" s="84">
        <f>SUMIFS(_CALC_ALLOC!$AR$1:$AR$349,_CALC_ALLOC!$A$1:$A$349,"2026",_CALC_ALLOC!$B$1:$B$349,"MBWAY_NAN",_CALC_ALLOC!$D$1:$D$349,"MAS_MGT",_CALC_ALLOC!$E$1:$E$349,"M1",_CALC_ALLOC!$F$1:$F$349,"ALT")</f>
        <v>0</v>
      </c>
      <c r="J35" s="84">
        <f>SUMIFS(_CALC_ALLOC!$AM$1:$AM$349,_CALC_ALLOC!$A$1:$A$349,"2026",_CALC_ALLOC!$B$1:$B$349,"MBWAY_NAN",_CALC_ALLOC!$D$1:$D$349,"MAS_MGT",_CALC_ALLOC!$E$1:$E$349,"M1",_CALC_ALLOC!$F$1:$F$349,"ALT")</f>
        <v>0</v>
      </c>
      <c r="K35" s="123">
        <f t="shared" si="0"/>
        <v>0</v>
      </c>
      <c r="L35" s="131">
        <f>SUMIFS(_CALC_ALLOC!$AN$1:$AN$349,_CALC_ALLOC!$A$1:$A$349,"2026",_CALC_ALLOC!$B$1:$B$349,"MBWAY_NAN",_CALC_ALLOC!$D$1:$D$349,"MAS_MGT",_CALC_ALLOC!$E$1:$E$349,"M1",_CALC_ALLOC!$F$1:$F$349,"ALT")</f>
        <v>0</v>
      </c>
      <c r="M35" s="86">
        <f t="shared" si="1"/>
        <v>0</v>
      </c>
    </row>
    <row r="36" spans="2:13" outlineLevel="2" x14ac:dyDescent="0.45">
      <c r="B36" s="37" t="s">
        <v>139</v>
      </c>
      <c r="C36" s="85">
        <f>SUMIFS(_CALC_ALLOC!$G$1:$G$349,_CALC_ALLOC!$A$1:$A$349,"2026",_CALC_ALLOC!$B$1:$B$349,"MBWAY_NAN",_CALC_ALLOC!$D$1:$D$349,"MAS_MGT",_CALC_ALLOC!$E$1:$E$349,"M2",_CALC_ALLOC!$F$1:$F$349,"ALT")</f>
        <v>0</v>
      </c>
      <c r="D36" s="84">
        <f>SUMIFS(_CALC_ALLOC!$I$1:$I$349,_CALC_ALLOC!$A$1:$A$349,"2026",_CALC_ALLOC!$B$1:$B$349,"MBWAY_NAN",_CALC_ALLOC!$D$1:$D$349,"MAS_MGT",_CALC_ALLOC!$E$1:$E$349,"M2",_CALC_ALLOC!$F$1:$F$349,"ALT")</f>
        <v>0</v>
      </c>
      <c r="E36" s="84">
        <f>SUMIFS(_CALC_ALLOC!$AI$1:$AI$349,_CALC_ALLOC!$A$1:$A$349,"2026",_CALC_ALLOC!$B$1:$B$349,"MBWAY_NAN",_CALC_ALLOC!$D$1:$D$349,"MAS_MGT",_CALC_ALLOC!$E$1:$E$349,"M2",_CALC_ALLOC!$F$1:$F$349,"ALT")</f>
        <v>0</v>
      </c>
      <c r="F36" s="84">
        <f>SUMIFS(_CALC_ALLOC!$AJ$1:$AJ$349,_CALC_ALLOC!$A$1:$A$349,"2026",_CALC_ALLOC!$B$1:$B$349,"MBWAY_NAN",_CALC_ALLOC!$D$1:$D$349,"MAS_MGT",_CALC_ALLOC!$E$1:$E$349,"M2",_CALC_ALLOC!$F$1:$F$349,"ALT")</f>
        <v>0</v>
      </c>
      <c r="G36" s="84">
        <f>SUMIFS(_CALC_ALLOC!$AK$1:$AK$349,_CALC_ALLOC!$A$1:$A$349,"2026",_CALC_ALLOC!$B$1:$B$349,"MBWAY_NAN",_CALC_ALLOC!$D$1:$D$349,"MAS_MGT",_CALC_ALLOC!$E$1:$E$349,"M2",_CALC_ALLOC!$F$1:$F$349,"ALT")</f>
        <v>0</v>
      </c>
      <c r="H36" s="84">
        <f>SUMIFS(_CALC_ALLOC!$AL$1:$AL$349,_CALC_ALLOC!$A$1:$A$349,"2026",_CALC_ALLOC!$B$1:$B$349,"MBWAY_NAN",_CALC_ALLOC!$D$1:$D$349,"MAS_MGT",_CALC_ALLOC!$E$1:$E$349,"M2",_CALC_ALLOC!$F$1:$F$349,"ALT")</f>
        <v>0</v>
      </c>
      <c r="I36" s="84">
        <f>SUMIFS(_CALC_ALLOC!$AR$1:$AR$349,_CALC_ALLOC!$A$1:$A$349,"2026",_CALC_ALLOC!$B$1:$B$349,"MBWAY_NAN",_CALC_ALLOC!$D$1:$D$349,"MAS_MGT",_CALC_ALLOC!$E$1:$E$349,"M2",_CALC_ALLOC!$F$1:$F$349,"ALT")</f>
        <v>0</v>
      </c>
      <c r="J36" s="84">
        <f>SUMIFS(_CALC_ALLOC!$AM$1:$AM$349,_CALC_ALLOC!$A$1:$A$349,"2026",_CALC_ALLOC!$B$1:$B$349,"MBWAY_NAN",_CALC_ALLOC!$D$1:$D$349,"MAS_MGT",_CALC_ALLOC!$E$1:$E$349,"M2",_CALC_ALLOC!$F$1:$F$349,"ALT")</f>
        <v>0</v>
      </c>
      <c r="K36" s="123">
        <f t="shared" si="0"/>
        <v>0</v>
      </c>
      <c r="L36" s="131">
        <f>SUMIFS(_CALC_ALLOC!$AN$1:$AN$349,_CALC_ALLOC!$A$1:$A$349,"2026",_CALC_ALLOC!$B$1:$B$349,"MBWAY_NAN",_CALC_ALLOC!$D$1:$D$349,"MAS_MGT",_CALC_ALLOC!$E$1:$E$349,"M2",_CALC_ALLOC!$F$1:$F$349,"ALT")</f>
        <v>0</v>
      </c>
      <c r="M36" s="86">
        <f t="shared" si="1"/>
        <v>0</v>
      </c>
    </row>
    <row r="37" spans="2:13" outlineLevel="1" x14ac:dyDescent="0.45">
      <c r="B37" s="36" t="s">
        <v>142</v>
      </c>
      <c r="C37" s="122">
        <f>SUMIFS(_CALC_ALLOC!$G$1:$G$349,_CALC_ALLOC!$A$1:$A$349,"2026",_CALC_ALLOC!$B$1:$B$349,"MBWAY_BOR")</f>
        <v>0</v>
      </c>
      <c r="D37" s="123">
        <f>SUMIFS(_CALC_ALLOC!$I$1:$I$349,_CALC_ALLOC!$A$1:$A$349,"2026",_CALC_ALLOC!$B$1:$B$349,"MBWAY_BOR")</f>
        <v>0</v>
      </c>
      <c r="E37" s="123">
        <f>SUMIFS(_CALC_ALLOC!$AI$1:$AI$349,_CALC_ALLOC!$A$1:$A$349,"2026",_CALC_ALLOC!$B$1:$B$349,"MBWAY_BOR")</f>
        <v>0</v>
      </c>
      <c r="F37" s="123">
        <f>SUMIFS(_CALC_ALLOC!$AJ$1:$AJ$349,_CALC_ALLOC!$A$1:$A$349,"2026",_CALC_ALLOC!$B$1:$B$349,"MBWAY_BOR")</f>
        <v>0</v>
      </c>
      <c r="G37" s="123">
        <f>SUMIFS(_CALC_ALLOC!$AK$1:$AK$349,_CALC_ALLOC!$A$1:$A$349,"2026",_CALC_ALLOC!$B$1:$B$349,"MBWAY_BOR")</f>
        <v>0</v>
      </c>
      <c r="H37" s="123">
        <f>SUMIFS(_CALC_ALLOC!$AL$1:$AL$349,_CALC_ALLOC!$A$1:$A$349,"2026",_CALC_ALLOC!$B$1:$B$349,"MBWAY_BOR")</f>
        <v>0</v>
      </c>
      <c r="I37" s="123">
        <f>SUMIFS(_CALC_ALLOC!$AR$1:$AR$349,_CALC_ALLOC!$A$1:$A$349,"2026",_CALC_ALLOC!$B$1:$B$349,"MBWAY_BOR")</f>
        <v>0</v>
      </c>
      <c r="J37" s="123">
        <f>SUMIFS(_CALC_ALLOC!$AM$1:$AM$349,_CALC_ALLOC!$A$1:$A$349,"2026",_CALC_ALLOC!$B$1:$B$349,"MBWAY_BOR")</f>
        <v>0</v>
      </c>
      <c r="K37" s="123">
        <f t="shared" si="0"/>
        <v>0</v>
      </c>
      <c r="L37" s="130">
        <f>SUMIFS(_CALC_ALLOC!$AN$1:$AN$349,_CALC_ALLOC!$A$1:$A$349,"2026",_CALC_ALLOC!$B$1:$B$349,"MBWAY_BOR")</f>
        <v>0</v>
      </c>
      <c r="M37" s="124">
        <f t="shared" si="1"/>
        <v>0</v>
      </c>
    </row>
    <row r="38" spans="2:13" outlineLevel="2" x14ac:dyDescent="0.45">
      <c r="B38" s="37" t="s">
        <v>135</v>
      </c>
      <c r="C38" s="85">
        <f>SUMIFS(_CALC_ALLOC!$G$1:$G$349,_CALC_ALLOC!$A$1:$A$349,"2026",_CALC_ALLOC!$B$1:$B$349,"MBWAY_BOR",_CALC_ALLOC!$D$1:$D$349,"BAC_MGT",_CALC_ALLOC!$E$1:$E$349,"B1",_CALC_ALLOC!$F$1:$F$349,"INIT")</f>
        <v>0</v>
      </c>
      <c r="D38" s="84">
        <f>SUMIFS(_CALC_ALLOC!$I$1:$I$349,_CALC_ALLOC!$A$1:$A$349,"2026",_CALC_ALLOC!$B$1:$B$349,"MBWAY_BOR",_CALC_ALLOC!$D$1:$D$349,"BAC_MGT",_CALC_ALLOC!$E$1:$E$349,"B1",_CALC_ALLOC!$F$1:$F$349,"INIT")</f>
        <v>0</v>
      </c>
      <c r="E38" s="84">
        <f>SUMIFS(_CALC_ALLOC!$AI$1:$AI$349,_CALC_ALLOC!$A$1:$A$349,"2026",_CALC_ALLOC!$B$1:$B$349,"MBWAY_BOR",_CALC_ALLOC!$D$1:$D$349,"BAC_MGT",_CALC_ALLOC!$E$1:$E$349,"B1",_CALC_ALLOC!$F$1:$F$349,"INIT")</f>
        <v>0</v>
      </c>
      <c r="F38" s="84">
        <f>SUMIFS(_CALC_ALLOC!$AJ$1:$AJ$349,_CALC_ALLOC!$A$1:$A$349,"2026",_CALC_ALLOC!$B$1:$B$349,"MBWAY_BOR",_CALC_ALLOC!$D$1:$D$349,"BAC_MGT",_CALC_ALLOC!$E$1:$E$349,"B1",_CALC_ALLOC!$F$1:$F$349,"INIT")</f>
        <v>0</v>
      </c>
      <c r="G38" s="84">
        <f>SUMIFS(_CALC_ALLOC!$AK$1:$AK$349,_CALC_ALLOC!$A$1:$A$349,"2026",_CALC_ALLOC!$B$1:$B$349,"MBWAY_BOR",_CALC_ALLOC!$D$1:$D$349,"BAC_MGT",_CALC_ALLOC!$E$1:$E$349,"B1",_CALC_ALLOC!$F$1:$F$349,"INIT")</f>
        <v>0</v>
      </c>
      <c r="H38" s="84">
        <f>SUMIFS(_CALC_ALLOC!$AL$1:$AL$349,_CALC_ALLOC!$A$1:$A$349,"2026",_CALC_ALLOC!$B$1:$B$349,"MBWAY_BOR",_CALC_ALLOC!$D$1:$D$349,"BAC_MGT",_CALC_ALLOC!$E$1:$E$349,"B1",_CALC_ALLOC!$F$1:$F$349,"INIT")</f>
        <v>0</v>
      </c>
      <c r="I38" s="84">
        <f>SUMIFS(_CALC_ALLOC!$AR$1:$AR$349,_CALC_ALLOC!$A$1:$A$349,"2026",_CALC_ALLOC!$B$1:$B$349,"MBWAY_BOR",_CALC_ALLOC!$D$1:$D$349,"BAC_MGT",_CALC_ALLOC!$E$1:$E$349,"B1",_CALC_ALLOC!$F$1:$F$349,"INIT")</f>
        <v>0</v>
      </c>
      <c r="J38" s="84">
        <f>SUMIFS(_CALC_ALLOC!$AM$1:$AM$349,_CALC_ALLOC!$A$1:$A$349,"2026",_CALC_ALLOC!$B$1:$B$349,"MBWAY_BOR",_CALC_ALLOC!$D$1:$D$349,"BAC_MGT",_CALC_ALLOC!$E$1:$E$349,"B1",_CALC_ALLOC!$F$1:$F$349,"INIT")</f>
        <v>0</v>
      </c>
      <c r="K38" s="123">
        <f t="shared" si="0"/>
        <v>0</v>
      </c>
      <c r="L38" s="131">
        <f>SUMIFS(_CALC_ALLOC!$AN$1:$AN$349,_CALC_ALLOC!$A$1:$A$349,"2026",_CALC_ALLOC!$B$1:$B$349,"MBWAY_BOR",_CALC_ALLOC!$D$1:$D$349,"BAC_MGT",_CALC_ALLOC!$E$1:$E$349,"B1",_CALC_ALLOC!$F$1:$F$349,"INIT")</f>
        <v>0</v>
      </c>
      <c r="M38" s="86">
        <f t="shared" si="1"/>
        <v>0</v>
      </c>
    </row>
    <row r="39" spans="2:13" outlineLevel="2" x14ac:dyDescent="0.45">
      <c r="B39" s="37" t="s">
        <v>136</v>
      </c>
      <c r="C39" s="85">
        <f>SUMIFS(_CALC_ALLOC!$G$1:$G$349,_CALC_ALLOC!$A$1:$A$349,"2026",_CALC_ALLOC!$B$1:$B$349,"MBWAY_BOR",_CALC_ALLOC!$D$1:$D$349,"BAC_MGT",_CALC_ALLOC!$E$1:$E$349,"B2",_CALC_ALLOC!$F$1:$F$349,"ALT")</f>
        <v>0</v>
      </c>
      <c r="D39" s="84">
        <f>SUMIFS(_CALC_ALLOC!$I$1:$I$349,_CALC_ALLOC!$A$1:$A$349,"2026",_CALC_ALLOC!$B$1:$B$349,"MBWAY_BOR",_CALC_ALLOC!$D$1:$D$349,"BAC_MGT",_CALC_ALLOC!$E$1:$E$349,"B2",_CALC_ALLOC!$F$1:$F$349,"ALT")</f>
        <v>0</v>
      </c>
      <c r="E39" s="84">
        <f>SUMIFS(_CALC_ALLOC!$AI$1:$AI$349,_CALC_ALLOC!$A$1:$A$349,"2026",_CALC_ALLOC!$B$1:$B$349,"MBWAY_BOR",_CALC_ALLOC!$D$1:$D$349,"BAC_MGT",_CALC_ALLOC!$E$1:$E$349,"B2",_CALC_ALLOC!$F$1:$F$349,"ALT")</f>
        <v>0</v>
      </c>
      <c r="F39" s="84">
        <f>SUMIFS(_CALC_ALLOC!$AJ$1:$AJ$349,_CALC_ALLOC!$A$1:$A$349,"2026",_CALC_ALLOC!$B$1:$B$349,"MBWAY_BOR",_CALC_ALLOC!$D$1:$D$349,"BAC_MGT",_CALC_ALLOC!$E$1:$E$349,"B2",_CALC_ALLOC!$F$1:$F$349,"ALT")</f>
        <v>0</v>
      </c>
      <c r="G39" s="84">
        <f>SUMIFS(_CALC_ALLOC!$AK$1:$AK$349,_CALC_ALLOC!$A$1:$A$349,"2026",_CALC_ALLOC!$B$1:$B$349,"MBWAY_BOR",_CALC_ALLOC!$D$1:$D$349,"BAC_MGT",_CALC_ALLOC!$E$1:$E$349,"B2",_CALC_ALLOC!$F$1:$F$349,"ALT")</f>
        <v>0</v>
      </c>
      <c r="H39" s="84">
        <f>SUMIFS(_CALC_ALLOC!$AL$1:$AL$349,_CALC_ALLOC!$A$1:$A$349,"2026",_CALC_ALLOC!$B$1:$B$349,"MBWAY_BOR",_CALC_ALLOC!$D$1:$D$349,"BAC_MGT",_CALC_ALLOC!$E$1:$E$349,"B2",_CALC_ALLOC!$F$1:$F$349,"ALT")</f>
        <v>0</v>
      </c>
      <c r="I39" s="84">
        <f>SUMIFS(_CALC_ALLOC!$AR$1:$AR$349,_CALC_ALLOC!$A$1:$A$349,"2026",_CALC_ALLOC!$B$1:$B$349,"MBWAY_BOR",_CALC_ALLOC!$D$1:$D$349,"BAC_MGT",_CALC_ALLOC!$E$1:$E$349,"B2",_CALC_ALLOC!$F$1:$F$349,"ALT")</f>
        <v>0</v>
      </c>
      <c r="J39" s="84">
        <f>SUMIFS(_CALC_ALLOC!$AM$1:$AM$349,_CALC_ALLOC!$A$1:$A$349,"2026",_CALC_ALLOC!$B$1:$B$349,"MBWAY_BOR",_CALC_ALLOC!$D$1:$D$349,"BAC_MGT",_CALC_ALLOC!$E$1:$E$349,"B2",_CALC_ALLOC!$F$1:$F$349,"ALT")</f>
        <v>0</v>
      </c>
      <c r="K39" s="123">
        <f t="shared" si="0"/>
        <v>0</v>
      </c>
      <c r="L39" s="131">
        <f>SUMIFS(_CALC_ALLOC!$AN$1:$AN$349,_CALC_ALLOC!$A$1:$A$349,"2026",_CALC_ALLOC!$B$1:$B$349,"MBWAY_BOR",_CALC_ALLOC!$D$1:$D$349,"BAC_MGT",_CALC_ALLOC!$E$1:$E$349,"B2",_CALC_ALLOC!$F$1:$F$349,"ALT")</f>
        <v>0</v>
      </c>
      <c r="M39" s="86">
        <f t="shared" si="1"/>
        <v>0</v>
      </c>
    </row>
    <row r="40" spans="2:13" outlineLevel="2" x14ac:dyDescent="0.45">
      <c r="B40" s="37" t="s">
        <v>137</v>
      </c>
      <c r="C40" s="85">
        <f>SUMIFS(_CALC_ALLOC!$G$1:$G$349,_CALC_ALLOC!$A$1:$A$349,"2026",_CALC_ALLOC!$B$1:$B$349,"MBWAY_BOR",_CALC_ALLOC!$D$1:$D$349,"BAC_MGT",_CALC_ALLOC!$E$1:$E$349,"B3",_CALC_ALLOC!$F$1:$F$349,"ALT")</f>
        <v>0</v>
      </c>
      <c r="D40" s="84">
        <f>SUMIFS(_CALC_ALLOC!$I$1:$I$349,_CALC_ALLOC!$A$1:$A$349,"2026",_CALC_ALLOC!$B$1:$B$349,"MBWAY_BOR",_CALC_ALLOC!$D$1:$D$349,"BAC_MGT",_CALC_ALLOC!$E$1:$E$349,"B3",_CALC_ALLOC!$F$1:$F$349,"ALT")</f>
        <v>0</v>
      </c>
      <c r="E40" s="84">
        <f>SUMIFS(_CALC_ALLOC!$AI$1:$AI$349,_CALC_ALLOC!$A$1:$A$349,"2026",_CALC_ALLOC!$B$1:$B$349,"MBWAY_BOR",_CALC_ALLOC!$D$1:$D$349,"BAC_MGT",_CALC_ALLOC!$E$1:$E$349,"B3",_CALC_ALLOC!$F$1:$F$349,"ALT")</f>
        <v>0</v>
      </c>
      <c r="F40" s="84">
        <f>SUMIFS(_CALC_ALLOC!$AJ$1:$AJ$349,_CALC_ALLOC!$A$1:$A$349,"2026",_CALC_ALLOC!$B$1:$B$349,"MBWAY_BOR",_CALC_ALLOC!$D$1:$D$349,"BAC_MGT",_CALC_ALLOC!$E$1:$E$349,"B3",_CALC_ALLOC!$F$1:$F$349,"ALT")</f>
        <v>0</v>
      </c>
      <c r="G40" s="84">
        <f>SUMIFS(_CALC_ALLOC!$AK$1:$AK$349,_CALC_ALLOC!$A$1:$A$349,"2026",_CALC_ALLOC!$B$1:$B$349,"MBWAY_BOR",_CALC_ALLOC!$D$1:$D$349,"BAC_MGT",_CALC_ALLOC!$E$1:$E$349,"B3",_CALC_ALLOC!$F$1:$F$349,"ALT")</f>
        <v>0</v>
      </c>
      <c r="H40" s="84">
        <f>SUMIFS(_CALC_ALLOC!$AL$1:$AL$349,_CALC_ALLOC!$A$1:$A$349,"2026",_CALC_ALLOC!$B$1:$B$349,"MBWAY_BOR",_CALC_ALLOC!$D$1:$D$349,"BAC_MGT",_CALC_ALLOC!$E$1:$E$349,"B3",_CALC_ALLOC!$F$1:$F$349,"ALT")</f>
        <v>0</v>
      </c>
      <c r="I40" s="84">
        <f>SUMIFS(_CALC_ALLOC!$AR$1:$AR$349,_CALC_ALLOC!$A$1:$A$349,"2026",_CALC_ALLOC!$B$1:$B$349,"MBWAY_BOR",_CALC_ALLOC!$D$1:$D$349,"BAC_MGT",_CALC_ALLOC!$E$1:$E$349,"B3",_CALC_ALLOC!$F$1:$F$349,"ALT")</f>
        <v>0</v>
      </c>
      <c r="J40" s="84">
        <f>SUMIFS(_CALC_ALLOC!$AM$1:$AM$349,_CALC_ALLOC!$A$1:$A$349,"2026",_CALC_ALLOC!$B$1:$B$349,"MBWAY_BOR",_CALC_ALLOC!$D$1:$D$349,"BAC_MGT",_CALC_ALLOC!$E$1:$E$349,"B3",_CALC_ALLOC!$F$1:$F$349,"ALT")</f>
        <v>0</v>
      </c>
      <c r="K40" s="123">
        <f t="shared" si="0"/>
        <v>0</v>
      </c>
      <c r="L40" s="131">
        <f>SUMIFS(_CALC_ALLOC!$AN$1:$AN$349,_CALC_ALLOC!$A$1:$A$349,"2026",_CALC_ALLOC!$B$1:$B$349,"MBWAY_BOR",_CALC_ALLOC!$D$1:$D$349,"BAC_MGT",_CALC_ALLOC!$E$1:$E$349,"B3",_CALC_ALLOC!$F$1:$F$349,"ALT")</f>
        <v>0</v>
      </c>
      <c r="M40" s="86">
        <f t="shared" si="1"/>
        <v>0</v>
      </c>
    </row>
    <row r="41" spans="2:13" outlineLevel="2" x14ac:dyDescent="0.45">
      <c r="B41" s="37" t="s">
        <v>138</v>
      </c>
      <c r="C41" s="85">
        <f>SUMIFS(_CALC_ALLOC!$G$1:$G$349,_CALC_ALLOC!$A$1:$A$349,"2026",_CALC_ALLOC!$B$1:$B$349,"MBWAY_BOR",_CALC_ALLOC!$D$1:$D$349,"MAS_MGT",_CALC_ALLOC!$E$1:$E$349,"M1",_CALC_ALLOC!$F$1:$F$349,"ALT")</f>
        <v>0</v>
      </c>
      <c r="D41" s="84">
        <f>SUMIFS(_CALC_ALLOC!$I$1:$I$349,_CALC_ALLOC!$A$1:$A$349,"2026",_CALC_ALLOC!$B$1:$B$349,"MBWAY_BOR",_CALC_ALLOC!$D$1:$D$349,"MAS_MGT",_CALC_ALLOC!$E$1:$E$349,"M1",_CALC_ALLOC!$F$1:$F$349,"ALT")</f>
        <v>0</v>
      </c>
      <c r="E41" s="84">
        <f>SUMIFS(_CALC_ALLOC!$AI$1:$AI$349,_CALC_ALLOC!$A$1:$A$349,"2026",_CALC_ALLOC!$B$1:$B$349,"MBWAY_BOR",_CALC_ALLOC!$D$1:$D$349,"MAS_MGT",_CALC_ALLOC!$E$1:$E$349,"M1",_CALC_ALLOC!$F$1:$F$349,"ALT")</f>
        <v>0</v>
      </c>
      <c r="F41" s="84">
        <f>SUMIFS(_CALC_ALLOC!$AJ$1:$AJ$349,_CALC_ALLOC!$A$1:$A$349,"2026",_CALC_ALLOC!$B$1:$B$349,"MBWAY_BOR",_CALC_ALLOC!$D$1:$D$349,"MAS_MGT",_CALC_ALLOC!$E$1:$E$349,"M1",_CALC_ALLOC!$F$1:$F$349,"ALT")</f>
        <v>0</v>
      </c>
      <c r="G41" s="84">
        <f>SUMIFS(_CALC_ALLOC!$AK$1:$AK$349,_CALC_ALLOC!$A$1:$A$349,"2026",_CALC_ALLOC!$B$1:$B$349,"MBWAY_BOR",_CALC_ALLOC!$D$1:$D$349,"MAS_MGT",_CALC_ALLOC!$E$1:$E$349,"M1",_CALC_ALLOC!$F$1:$F$349,"ALT")</f>
        <v>0</v>
      </c>
      <c r="H41" s="84">
        <f>SUMIFS(_CALC_ALLOC!$AL$1:$AL$349,_CALC_ALLOC!$A$1:$A$349,"2026",_CALC_ALLOC!$B$1:$B$349,"MBWAY_BOR",_CALC_ALLOC!$D$1:$D$349,"MAS_MGT",_CALC_ALLOC!$E$1:$E$349,"M1",_CALC_ALLOC!$F$1:$F$349,"ALT")</f>
        <v>0</v>
      </c>
      <c r="I41" s="84">
        <f>SUMIFS(_CALC_ALLOC!$AR$1:$AR$349,_CALC_ALLOC!$A$1:$A$349,"2026",_CALC_ALLOC!$B$1:$B$349,"MBWAY_BOR",_CALC_ALLOC!$D$1:$D$349,"MAS_MGT",_CALC_ALLOC!$E$1:$E$349,"M1",_CALC_ALLOC!$F$1:$F$349,"ALT")</f>
        <v>0</v>
      </c>
      <c r="J41" s="84">
        <f>SUMIFS(_CALC_ALLOC!$AM$1:$AM$349,_CALC_ALLOC!$A$1:$A$349,"2026",_CALC_ALLOC!$B$1:$B$349,"MBWAY_BOR",_CALC_ALLOC!$D$1:$D$349,"MAS_MGT",_CALC_ALLOC!$E$1:$E$349,"M1",_CALC_ALLOC!$F$1:$F$349,"ALT")</f>
        <v>0</v>
      </c>
      <c r="K41" s="123">
        <f t="shared" si="0"/>
        <v>0</v>
      </c>
      <c r="L41" s="131">
        <f>SUMIFS(_CALC_ALLOC!$AN$1:$AN$349,_CALC_ALLOC!$A$1:$A$349,"2026",_CALC_ALLOC!$B$1:$B$349,"MBWAY_BOR",_CALC_ALLOC!$D$1:$D$349,"MAS_MGT",_CALC_ALLOC!$E$1:$E$349,"M1",_CALC_ALLOC!$F$1:$F$349,"ALT")</f>
        <v>0</v>
      </c>
      <c r="M41" s="86">
        <f t="shared" si="1"/>
        <v>0</v>
      </c>
    </row>
    <row r="42" spans="2:13" outlineLevel="2" x14ac:dyDescent="0.45">
      <c r="B42" s="37" t="s">
        <v>139</v>
      </c>
      <c r="C42" s="85">
        <f>SUMIFS(_CALC_ALLOC!$G$1:$G$349,_CALC_ALLOC!$A$1:$A$349,"2026",_CALC_ALLOC!$B$1:$B$349,"MBWAY_BOR",_CALC_ALLOC!$D$1:$D$349,"MAS_MGT",_CALC_ALLOC!$E$1:$E$349,"M2",_CALC_ALLOC!$F$1:$F$349,"ALT")</f>
        <v>0</v>
      </c>
      <c r="D42" s="84">
        <f>SUMIFS(_CALC_ALLOC!$I$1:$I$349,_CALC_ALLOC!$A$1:$A$349,"2026",_CALC_ALLOC!$B$1:$B$349,"MBWAY_BOR",_CALC_ALLOC!$D$1:$D$349,"MAS_MGT",_CALC_ALLOC!$E$1:$E$349,"M2",_CALC_ALLOC!$F$1:$F$349,"ALT")</f>
        <v>0</v>
      </c>
      <c r="E42" s="84">
        <f>SUMIFS(_CALC_ALLOC!$AI$1:$AI$349,_CALC_ALLOC!$A$1:$A$349,"2026",_CALC_ALLOC!$B$1:$B$349,"MBWAY_BOR",_CALC_ALLOC!$D$1:$D$349,"MAS_MGT",_CALC_ALLOC!$E$1:$E$349,"M2",_CALC_ALLOC!$F$1:$F$349,"ALT")</f>
        <v>0</v>
      </c>
      <c r="F42" s="84">
        <f>SUMIFS(_CALC_ALLOC!$AJ$1:$AJ$349,_CALC_ALLOC!$A$1:$A$349,"2026",_CALC_ALLOC!$B$1:$B$349,"MBWAY_BOR",_CALC_ALLOC!$D$1:$D$349,"MAS_MGT",_CALC_ALLOC!$E$1:$E$349,"M2",_CALC_ALLOC!$F$1:$F$349,"ALT")</f>
        <v>0</v>
      </c>
      <c r="G42" s="84">
        <f>SUMIFS(_CALC_ALLOC!$AK$1:$AK$349,_CALC_ALLOC!$A$1:$A$349,"2026",_CALC_ALLOC!$B$1:$B$349,"MBWAY_BOR",_CALC_ALLOC!$D$1:$D$349,"MAS_MGT",_CALC_ALLOC!$E$1:$E$349,"M2",_CALC_ALLOC!$F$1:$F$349,"ALT")</f>
        <v>0</v>
      </c>
      <c r="H42" s="84">
        <f>SUMIFS(_CALC_ALLOC!$AL$1:$AL$349,_CALC_ALLOC!$A$1:$A$349,"2026",_CALC_ALLOC!$B$1:$B$349,"MBWAY_BOR",_CALC_ALLOC!$D$1:$D$349,"MAS_MGT",_CALC_ALLOC!$E$1:$E$349,"M2",_CALC_ALLOC!$F$1:$F$349,"ALT")</f>
        <v>0</v>
      </c>
      <c r="I42" s="84">
        <f>SUMIFS(_CALC_ALLOC!$AR$1:$AR$349,_CALC_ALLOC!$A$1:$A$349,"2026",_CALC_ALLOC!$B$1:$B$349,"MBWAY_BOR",_CALC_ALLOC!$D$1:$D$349,"MAS_MGT",_CALC_ALLOC!$E$1:$E$349,"M2",_CALC_ALLOC!$F$1:$F$349,"ALT")</f>
        <v>0</v>
      </c>
      <c r="J42" s="84">
        <f>SUMIFS(_CALC_ALLOC!$AM$1:$AM$349,_CALC_ALLOC!$A$1:$A$349,"2026",_CALC_ALLOC!$B$1:$B$349,"MBWAY_BOR",_CALC_ALLOC!$D$1:$D$349,"MAS_MGT",_CALC_ALLOC!$E$1:$E$349,"M2",_CALC_ALLOC!$F$1:$F$349,"ALT")</f>
        <v>0</v>
      </c>
      <c r="K42" s="123">
        <f t="shared" si="0"/>
        <v>0</v>
      </c>
      <c r="L42" s="131">
        <f>SUMIFS(_CALC_ALLOC!$AN$1:$AN$349,_CALC_ALLOC!$A$1:$A$349,"2026",_CALC_ALLOC!$B$1:$B$349,"MBWAY_BOR",_CALC_ALLOC!$D$1:$D$349,"MAS_MGT",_CALC_ALLOC!$E$1:$E$349,"M2",_CALC_ALLOC!$F$1:$F$349,"ALT")</f>
        <v>0</v>
      </c>
      <c r="M42" s="86">
        <f t="shared" si="1"/>
        <v>0</v>
      </c>
    </row>
    <row r="43" spans="2:13" x14ac:dyDescent="0.45">
      <c r="B43" s="38" t="s">
        <v>2</v>
      </c>
      <c r="C43" s="122">
        <f>SUMIFS(_CALC_ALLOC!$G$1:$G$349,_CALC_ALLOC!$A$1:$A$349,"2026",_CALC_ALLOC!$C$1:$C$349,"ISCOM")</f>
        <v>0</v>
      </c>
      <c r="D43" s="123">
        <f>SUMIFS(_CALC_ALLOC!$I$1:$I$349,_CALC_ALLOC!$A$1:$A$349,"2026",_CALC_ALLOC!$C$1:$C$349,"ISCOM")</f>
        <v>0</v>
      </c>
      <c r="E43" s="123">
        <f>SUMIFS(_CALC_ALLOC!$AI$1:$AI$349,_CALC_ALLOC!$A$1:$A$349,"2026",_CALC_ALLOC!$C$1:$C$349,"ISCOM")</f>
        <v>0</v>
      </c>
      <c r="F43" s="123">
        <f>SUMIFS(_CALC_ALLOC!$AJ$1:$AJ$349,_CALC_ALLOC!$A$1:$A$349,"2026",_CALC_ALLOC!$C$1:$C$349,"ISCOM")</f>
        <v>0</v>
      </c>
      <c r="G43" s="123">
        <f>SUMIFS(_CALC_ALLOC!$AK$1:$AK$349,_CALC_ALLOC!$A$1:$A$349,"2026",_CALC_ALLOC!$C$1:$C$349,"ISCOM")</f>
        <v>0</v>
      </c>
      <c r="H43" s="123">
        <f>SUMIFS(_CALC_ALLOC!$AL$1:$AL$349,_CALC_ALLOC!$A$1:$A$349,"2026",_CALC_ALLOC!$C$1:$C$349,"ISCOM")</f>
        <v>0</v>
      </c>
      <c r="I43" s="123">
        <f>SUMIFS(_CALC_ALLOC!$AR$1:$AR$349,_CALC_ALLOC!$A$1:$A$349,"2026",_CALC_ALLOC!$C$1:$C$349,"ISCOM")</f>
        <v>0</v>
      </c>
      <c r="J43" s="123">
        <f>SUMIFS(_CALC_ALLOC!$AM$1:$AM$349,_CALC_ALLOC!$A$1:$A$349,"2026",_CALC_ALLOC!$C$1:$C$349,"ISCOM")</f>
        <v>0</v>
      </c>
      <c r="K43" s="123">
        <f t="shared" si="0"/>
        <v>0</v>
      </c>
      <c r="L43" s="130">
        <f>SUMIFS(_CALC_ALLOC!$AN$1:$AN$349,_CALC_ALLOC!$A$1:$A$349,"2026",_CALC_ALLOC!$C$1:$C$349,"ISCOM")</f>
        <v>0</v>
      </c>
      <c r="M43" s="124">
        <f t="shared" si="1"/>
        <v>0</v>
      </c>
    </row>
    <row r="44" spans="2:13" outlineLevel="1" collapsed="1" x14ac:dyDescent="0.45">
      <c r="B44" s="36" t="s">
        <v>143</v>
      </c>
      <c r="C44" s="122">
        <f>SUMIFS(_CALC_ALLOC!$G$1:$G$349,_CALC_ALLOC!$A$1:$A$349,"2026",_CALC_ALLOC!$B$1:$B$349,"ISCOM_PAR")</f>
        <v>0</v>
      </c>
      <c r="D44" s="123">
        <f>SUMIFS(_CALC_ALLOC!$I$1:$I$349,_CALC_ALLOC!$A$1:$A$349,"2026",_CALC_ALLOC!$B$1:$B$349,"ISCOM_PAR")</f>
        <v>0</v>
      </c>
      <c r="E44" s="123">
        <f>SUMIFS(_CALC_ALLOC!$AI$1:$AI$349,_CALC_ALLOC!$A$1:$A$349,"2026",_CALC_ALLOC!$B$1:$B$349,"ISCOM_PAR")</f>
        <v>0</v>
      </c>
      <c r="F44" s="123">
        <f>SUMIFS(_CALC_ALLOC!$AJ$1:$AJ$349,_CALC_ALLOC!$A$1:$A$349,"2026",_CALC_ALLOC!$B$1:$B$349,"ISCOM_PAR")</f>
        <v>0</v>
      </c>
      <c r="G44" s="123">
        <f>SUMIFS(_CALC_ALLOC!$AK$1:$AK$349,_CALC_ALLOC!$A$1:$A$349,"2026",_CALC_ALLOC!$B$1:$B$349,"ISCOM_PAR")</f>
        <v>0</v>
      </c>
      <c r="H44" s="123">
        <f>SUMIFS(_CALC_ALLOC!$AL$1:$AL$349,_CALC_ALLOC!$A$1:$A$349,"2026",_CALC_ALLOC!$B$1:$B$349,"ISCOM_PAR")</f>
        <v>0</v>
      </c>
      <c r="I44" s="123">
        <f>SUMIFS(_CALC_ALLOC!$AR$1:$AR$349,_CALC_ALLOC!$A$1:$A$349,"2026",_CALC_ALLOC!$B$1:$B$349,"ISCOM_PAR")</f>
        <v>0</v>
      </c>
      <c r="J44" s="123">
        <f>SUMIFS(_CALC_ALLOC!$AM$1:$AM$349,_CALC_ALLOC!$A$1:$A$349,"2026",_CALC_ALLOC!$B$1:$B$349,"ISCOM_PAR")</f>
        <v>0</v>
      </c>
      <c r="K44" s="123">
        <f t="shared" si="0"/>
        <v>0</v>
      </c>
      <c r="L44" s="130">
        <f>SUMIFS(_CALC_ALLOC!$AN$1:$AN$349,_CALC_ALLOC!$A$1:$A$349,"2026",_CALC_ALLOC!$B$1:$B$349,"ISCOM_PAR")</f>
        <v>0</v>
      </c>
      <c r="M44" s="124">
        <f t="shared" si="1"/>
        <v>0</v>
      </c>
    </row>
    <row r="45" spans="2:13" outlineLevel="2" x14ac:dyDescent="0.45">
      <c r="B45" s="37" t="s">
        <v>144</v>
      </c>
      <c r="C45" s="85">
        <f>SUMIFS(_CALC_ALLOC!$G$1:$G$349,_CALC_ALLOC!$A$1:$A$349,"2026",_CALC_ALLOC!$B$1:$B$349,"ISCOM_PAR",_CALC_ALLOC!$D$1:$D$349,"BAC_COM",_CALC_ALLOC!$E$1:$E$349,"B1",_CALC_ALLOC!$F$1:$F$349,"INIT")</f>
        <v>0</v>
      </c>
      <c r="D45" s="84">
        <f>SUMIFS(_CALC_ALLOC!$I$1:$I$349,_CALC_ALLOC!$A$1:$A$349,"2026",_CALC_ALLOC!$B$1:$B$349,"ISCOM_PAR",_CALC_ALLOC!$D$1:$D$349,"BAC_COM",_CALC_ALLOC!$E$1:$E$349,"B1",_CALC_ALLOC!$F$1:$F$349,"INIT")</f>
        <v>0</v>
      </c>
      <c r="E45" s="84">
        <f>SUMIFS(_CALC_ALLOC!$AI$1:$AI$349,_CALC_ALLOC!$A$1:$A$349,"2026",_CALC_ALLOC!$B$1:$B$349,"ISCOM_PAR",_CALC_ALLOC!$D$1:$D$349,"BAC_COM",_CALC_ALLOC!$E$1:$E$349,"B1",_CALC_ALLOC!$F$1:$F$349,"INIT")</f>
        <v>0</v>
      </c>
      <c r="F45" s="84">
        <f>SUMIFS(_CALC_ALLOC!$AJ$1:$AJ$349,_CALC_ALLOC!$A$1:$A$349,"2026",_CALC_ALLOC!$B$1:$B$349,"ISCOM_PAR",_CALC_ALLOC!$D$1:$D$349,"BAC_COM",_CALC_ALLOC!$E$1:$E$349,"B1",_CALC_ALLOC!$F$1:$F$349,"INIT")</f>
        <v>0</v>
      </c>
      <c r="G45" s="84">
        <f>SUMIFS(_CALC_ALLOC!$AK$1:$AK$349,_CALC_ALLOC!$A$1:$A$349,"2026",_CALC_ALLOC!$B$1:$B$349,"ISCOM_PAR",_CALC_ALLOC!$D$1:$D$349,"BAC_COM",_CALC_ALLOC!$E$1:$E$349,"B1",_CALC_ALLOC!$F$1:$F$349,"INIT")</f>
        <v>0</v>
      </c>
      <c r="H45" s="84">
        <f>SUMIFS(_CALC_ALLOC!$AL$1:$AL$349,_CALC_ALLOC!$A$1:$A$349,"2026",_CALC_ALLOC!$B$1:$B$349,"ISCOM_PAR",_CALC_ALLOC!$D$1:$D$349,"BAC_COM",_CALC_ALLOC!$E$1:$E$349,"B1",_CALC_ALLOC!$F$1:$F$349,"INIT")</f>
        <v>0</v>
      </c>
      <c r="I45" s="84">
        <f>SUMIFS(_CALC_ALLOC!$AR$1:$AR$349,_CALC_ALLOC!$A$1:$A$349,"2026",_CALC_ALLOC!$B$1:$B$349,"ISCOM_PAR",_CALC_ALLOC!$D$1:$D$349,"BAC_COM",_CALC_ALLOC!$E$1:$E$349,"B1",_CALC_ALLOC!$F$1:$F$349,"INIT")</f>
        <v>0</v>
      </c>
      <c r="J45" s="84">
        <f>SUMIFS(_CALC_ALLOC!$AM$1:$AM$349,_CALC_ALLOC!$A$1:$A$349,"2026",_CALC_ALLOC!$B$1:$B$349,"ISCOM_PAR",_CALC_ALLOC!$D$1:$D$349,"BAC_COM",_CALC_ALLOC!$E$1:$E$349,"B1",_CALC_ALLOC!$F$1:$F$349,"INIT")</f>
        <v>0</v>
      </c>
      <c r="K45" s="123">
        <f t="shared" si="0"/>
        <v>0</v>
      </c>
      <c r="L45" s="131">
        <f>SUMIFS(_CALC_ALLOC!$AN$1:$AN$349,_CALC_ALLOC!$A$1:$A$349,"2026",_CALC_ALLOC!$B$1:$B$349,"ISCOM_PAR",_CALC_ALLOC!$D$1:$D$349,"BAC_COM",_CALC_ALLOC!$E$1:$E$349,"B1",_CALC_ALLOC!$F$1:$F$349,"INIT")</f>
        <v>0</v>
      </c>
      <c r="M45" s="86">
        <f t="shared" si="1"/>
        <v>0</v>
      </c>
    </row>
    <row r="46" spans="2:13" outlineLevel="2" x14ac:dyDescent="0.45">
      <c r="B46" s="37" t="s">
        <v>145</v>
      </c>
      <c r="C46" s="85">
        <f>SUMIFS(_CALC_ALLOC!$G$1:$G$349,_CALC_ALLOC!$A$1:$A$349,"2026",_CALC_ALLOC!$B$1:$B$349,"ISCOM_PAR",_CALC_ALLOC!$D$1:$D$349,"BAC_COM",_CALC_ALLOC!$E$1:$E$349,"B2",_CALC_ALLOC!$F$1:$F$349,"ALT")</f>
        <v>0</v>
      </c>
      <c r="D46" s="84">
        <f>SUMIFS(_CALC_ALLOC!$I$1:$I$349,_CALC_ALLOC!$A$1:$A$349,"2026",_CALC_ALLOC!$B$1:$B$349,"ISCOM_PAR",_CALC_ALLOC!$D$1:$D$349,"BAC_COM",_CALC_ALLOC!$E$1:$E$349,"B2",_CALC_ALLOC!$F$1:$F$349,"ALT")</f>
        <v>0</v>
      </c>
      <c r="E46" s="84">
        <f>SUMIFS(_CALC_ALLOC!$AI$1:$AI$349,_CALC_ALLOC!$A$1:$A$349,"2026",_CALC_ALLOC!$B$1:$B$349,"ISCOM_PAR",_CALC_ALLOC!$D$1:$D$349,"BAC_COM",_CALC_ALLOC!$E$1:$E$349,"B2",_CALC_ALLOC!$F$1:$F$349,"ALT")</f>
        <v>0</v>
      </c>
      <c r="F46" s="84">
        <f>SUMIFS(_CALC_ALLOC!$AJ$1:$AJ$349,_CALC_ALLOC!$A$1:$A$349,"2026",_CALC_ALLOC!$B$1:$B$349,"ISCOM_PAR",_CALC_ALLOC!$D$1:$D$349,"BAC_COM",_CALC_ALLOC!$E$1:$E$349,"B2",_CALC_ALLOC!$F$1:$F$349,"ALT")</f>
        <v>0</v>
      </c>
      <c r="G46" s="84">
        <f>SUMIFS(_CALC_ALLOC!$AK$1:$AK$349,_CALC_ALLOC!$A$1:$A$349,"2026",_CALC_ALLOC!$B$1:$B$349,"ISCOM_PAR",_CALC_ALLOC!$D$1:$D$349,"BAC_COM",_CALC_ALLOC!$E$1:$E$349,"B2",_CALC_ALLOC!$F$1:$F$349,"ALT")</f>
        <v>0</v>
      </c>
      <c r="H46" s="84">
        <f>SUMIFS(_CALC_ALLOC!$AL$1:$AL$349,_CALC_ALLOC!$A$1:$A$349,"2026",_CALC_ALLOC!$B$1:$B$349,"ISCOM_PAR",_CALC_ALLOC!$D$1:$D$349,"BAC_COM",_CALC_ALLOC!$E$1:$E$349,"B2",_CALC_ALLOC!$F$1:$F$349,"ALT")</f>
        <v>0</v>
      </c>
      <c r="I46" s="84">
        <f>SUMIFS(_CALC_ALLOC!$AR$1:$AR$349,_CALC_ALLOC!$A$1:$A$349,"2026",_CALC_ALLOC!$B$1:$B$349,"ISCOM_PAR",_CALC_ALLOC!$D$1:$D$349,"BAC_COM",_CALC_ALLOC!$E$1:$E$349,"B2",_CALC_ALLOC!$F$1:$F$349,"ALT")</f>
        <v>0</v>
      </c>
      <c r="J46" s="84">
        <f>SUMIFS(_CALC_ALLOC!$AM$1:$AM$349,_CALC_ALLOC!$A$1:$A$349,"2026",_CALC_ALLOC!$B$1:$B$349,"ISCOM_PAR",_CALC_ALLOC!$D$1:$D$349,"BAC_COM",_CALC_ALLOC!$E$1:$E$349,"B2",_CALC_ALLOC!$F$1:$F$349,"ALT")</f>
        <v>0</v>
      </c>
      <c r="K46" s="123">
        <f t="shared" si="0"/>
        <v>0</v>
      </c>
      <c r="L46" s="131">
        <f>SUMIFS(_CALC_ALLOC!$AN$1:$AN$349,_CALC_ALLOC!$A$1:$A$349,"2026",_CALC_ALLOC!$B$1:$B$349,"ISCOM_PAR",_CALC_ALLOC!$D$1:$D$349,"BAC_COM",_CALC_ALLOC!$E$1:$E$349,"B2",_CALC_ALLOC!$F$1:$F$349,"ALT")</f>
        <v>0</v>
      </c>
      <c r="M46" s="86">
        <f t="shared" si="1"/>
        <v>0</v>
      </c>
    </row>
    <row r="47" spans="2:13" outlineLevel="2" x14ac:dyDescent="0.45">
      <c r="B47" s="37" t="s">
        <v>146</v>
      </c>
      <c r="C47" s="85">
        <f>SUMIFS(_CALC_ALLOC!$G$1:$G$349,_CALC_ALLOC!$A$1:$A$349,"2026",_CALC_ALLOC!$B$1:$B$349,"ISCOM_PAR",_CALC_ALLOC!$D$1:$D$349,"BAC_COM",_CALC_ALLOC!$E$1:$E$349,"B3",_CALC_ALLOC!$F$1:$F$349,"ALT")</f>
        <v>0</v>
      </c>
      <c r="D47" s="84">
        <f>SUMIFS(_CALC_ALLOC!$I$1:$I$349,_CALC_ALLOC!$A$1:$A$349,"2026",_CALC_ALLOC!$B$1:$B$349,"ISCOM_PAR",_CALC_ALLOC!$D$1:$D$349,"BAC_COM",_CALC_ALLOC!$E$1:$E$349,"B3",_CALC_ALLOC!$F$1:$F$349,"ALT")</f>
        <v>0</v>
      </c>
      <c r="E47" s="84">
        <f>SUMIFS(_CALC_ALLOC!$AI$1:$AI$349,_CALC_ALLOC!$A$1:$A$349,"2026",_CALC_ALLOC!$B$1:$B$349,"ISCOM_PAR",_CALC_ALLOC!$D$1:$D$349,"BAC_COM",_CALC_ALLOC!$E$1:$E$349,"B3",_CALC_ALLOC!$F$1:$F$349,"ALT")</f>
        <v>0</v>
      </c>
      <c r="F47" s="84">
        <f>SUMIFS(_CALC_ALLOC!$AJ$1:$AJ$349,_CALC_ALLOC!$A$1:$A$349,"2026",_CALC_ALLOC!$B$1:$B$349,"ISCOM_PAR",_CALC_ALLOC!$D$1:$D$349,"BAC_COM",_CALC_ALLOC!$E$1:$E$349,"B3",_CALC_ALLOC!$F$1:$F$349,"ALT")</f>
        <v>0</v>
      </c>
      <c r="G47" s="84">
        <f>SUMIFS(_CALC_ALLOC!$AK$1:$AK$349,_CALC_ALLOC!$A$1:$A$349,"2026",_CALC_ALLOC!$B$1:$B$349,"ISCOM_PAR",_CALC_ALLOC!$D$1:$D$349,"BAC_COM",_CALC_ALLOC!$E$1:$E$349,"B3",_CALC_ALLOC!$F$1:$F$349,"ALT")</f>
        <v>0</v>
      </c>
      <c r="H47" s="84">
        <f>SUMIFS(_CALC_ALLOC!$AL$1:$AL$349,_CALC_ALLOC!$A$1:$A$349,"2026",_CALC_ALLOC!$B$1:$B$349,"ISCOM_PAR",_CALC_ALLOC!$D$1:$D$349,"BAC_COM",_CALC_ALLOC!$E$1:$E$349,"B3",_CALC_ALLOC!$F$1:$F$349,"ALT")</f>
        <v>0</v>
      </c>
      <c r="I47" s="84">
        <f>SUMIFS(_CALC_ALLOC!$AR$1:$AR$349,_CALC_ALLOC!$A$1:$A$349,"2026",_CALC_ALLOC!$B$1:$B$349,"ISCOM_PAR",_CALC_ALLOC!$D$1:$D$349,"BAC_COM",_CALC_ALLOC!$E$1:$E$349,"B3",_CALC_ALLOC!$F$1:$F$349,"ALT")</f>
        <v>0</v>
      </c>
      <c r="J47" s="84">
        <f>SUMIFS(_CALC_ALLOC!$AM$1:$AM$349,_CALC_ALLOC!$A$1:$A$349,"2026",_CALC_ALLOC!$B$1:$B$349,"ISCOM_PAR",_CALC_ALLOC!$D$1:$D$349,"BAC_COM",_CALC_ALLOC!$E$1:$E$349,"B3",_CALC_ALLOC!$F$1:$F$349,"ALT")</f>
        <v>0</v>
      </c>
      <c r="K47" s="123">
        <f t="shared" si="0"/>
        <v>0</v>
      </c>
      <c r="L47" s="131">
        <f>SUMIFS(_CALC_ALLOC!$AN$1:$AN$349,_CALC_ALLOC!$A$1:$A$349,"2026",_CALC_ALLOC!$B$1:$B$349,"ISCOM_PAR",_CALC_ALLOC!$D$1:$D$349,"BAC_COM",_CALC_ALLOC!$E$1:$E$349,"B3",_CALC_ALLOC!$F$1:$F$349,"ALT")</f>
        <v>0</v>
      </c>
      <c r="M47" s="86">
        <f t="shared" si="1"/>
        <v>0</v>
      </c>
    </row>
    <row r="48" spans="2:13" outlineLevel="2" x14ac:dyDescent="0.45">
      <c r="B48" s="37" t="s">
        <v>147</v>
      </c>
      <c r="C48" s="85">
        <f>SUMIFS(_CALC_ALLOC!$G$1:$G$349,_CALC_ALLOC!$A$1:$A$349,"2026",_CALC_ALLOC!$B$1:$B$349,"ISCOM_PAR",_CALC_ALLOC!$D$1:$D$349,"MAS_COM",_CALC_ALLOC!$E$1:$E$349,"M1",_CALC_ALLOC!$F$1:$F$349,"ALT")</f>
        <v>0</v>
      </c>
      <c r="D48" s="84">
        <f>SUMIFS(_CALC_ALLOC!$I$1:$I$349,_CALC_ALLOC!$A$1:$A$349,"2026",_CALC_ALLOC!$B$1:$B$349,"ISCOM_PAR",_CALC_ALLOC!$D$1:$D$349,"MAS_COM",_CALC_ALLOC!$E$1:$E$349,"M1",_CALC_ALLOC!$F$1:$F$349,"ALT")</f>
        <v>0</v>
      </c>
      <c r="E48" s="84">
        <f>SUMIFS(_CALC_ALLOC!$AI$1:$AI$349,_CALC_ALLOC!$A$1:$A$349,"2026",_CALC_ALLOC!$B$1:$B$349,"ISCOM_PAR",_CALC_ALLOC!$D$1:$D$349,"MAS_COM",_CALC_ALLOC!$E$1:$E$349,"M1",_CALC_ALLOC!$F$1:$F$349,"ALT")</f>
        <v>0</v>
      </c>
      <c r="F48" s="84">
        <f>SUMIFS(_CALC_ALLOC!$AJ$1:$AJ$349,_CALC_ALLOC!$A$1:$A$349,"2026",_CALC_ALLOC!$B$1:$B$349,"ISCOM_PAR",_CALC_ALLOC!$D$1:$D$349,"MAS_COM",_CALC_ALLOC!$E$1:$E$349,"M1",_CALC_ALLOC!$F$1:$F$349,"ALT")</f>
        <v>0</v>
      </c>
      <c r="G48" s="84">
        <f>SUMIFS(_CALC_ALLOC!$AK$1:$AK$349,_CALC_ALLOC!$A$1:$A$349,"2026",_CALC_ALLOC!$B$1:$B$349,"ISCOM_PAR",_CALC_ALLOC!$D$1:$D$349,"MAS_COM",_CALC_ALLOC!$E$1:$E$349,"M1",_CALC_ALLOC!$F$1:$F$349,"ALT")</f>
        <v>0</v>
      </c>
      <c r="H48" s="84">
        <f>SUMIFS(_CALC_ALLOC!$AL$1:$AL$349,_CALC_ALLOC!$A$1:$A$349,"2026",_CALC_ALLOC!$B$1:$B$349,"ISCOM_PAR",_CALC_ALLOC!$D$1:$D$349,"MAS_COM",_CALC_ALLOC!$E$1:$E$349,"M1",_CALC_ALLOC!$F$1:$F$349,"ALT")</f>
        <v>0</v>
      </c>
      <c r="I48" s="84">
        <f>SUMIFS(_CALC_ALLOC!$AR$1:$AR$349,_CALC_ALLOC!$A$1:$A$349,"2026",_CALC_ALLOC!$B$1:$B$349,"ISCOM_PAR",_CALC_ALLOC!$D$1:$D$349,"MAS_COM",_CALC_ALLOC!$E$1:$E$349,"M1",_CALC_ALLOC!$F$1:$F$349,"ALT")</f>
        <v>0</v>
      </c>
      <c r="J48" s="84">
        <f>SUMIFS(_CALC_ALLOC!$AM$1:$AM$349,_CALC_ALLOC!$A$1:$A$349,"2026",_CALC_ALLOC!$B$1:$B$349,"ISCOM_PAR",_CALC_ALLOC!$D$1:$D$349,"MAS_COM",_CALC_ALLOC!$E$1:$E$349,"M1",_CALC_ALLOC!$F$1:$F$349,"ALT")</f>
        <v>0</v>
      </c>
      <c r="K48" s="123">
        <f t="shared" si="0"/>
        <v>0</v>
      </c>
      <c r="L48" s="131">
        <f>SUMIFS(_CALC_ALLOC!$AN$1:$AN$349,_CALC_ALLOC!$A$1:$A$349,"2026",_CALC_ALLOC!$B$1:$B$349,"ISCOM_PAR",_CALC_ALLOC!$D$1:$D$349,"MAS_COM",_CALC_ALLOC!$E$1:$E$349,"M1",_CALC_ALLOC!$F$1:$F$349,"ALT")</f>
        <v>0</v>
      </c>
      <c r="M48" s="86">
        <f t="shared" si="1"/>
        <v>0</v>
      </c>
    </row>
    <row r="49" spans="2:13" outlineLevel="2" x14ac:dyDescent="0.45">
      <c r="B49" s="37" t="s">
        <v>148</v>
      </c>
      <c r="C49" s="85">
        <f>SUMIFS(_CALC_ALLOC!$G$1:$G$349,_CALC_ALLOC!$A$1:$A$349,"2026",_CALC_ALLOC!$B$1:$B$349,"ISCOM_PAR",_CALC_ALLOC!$D$1:$D$349,"MAS_COM",_CALC_ALLOC!$E$1:$E$349,"M2",_CALC_ALLOC!$F$1:$F$349,"ALT")</f>
        <v>0</v>
      </c>
      <c r="D49" s="84">
        <f>SUMIFS(_CALC_ALLOC!$I$1:$I$349,_CALC_ALLOC!$A$1:$A$349,"2026",_CALC_ALLOC!$B$1:$B$349,"ISCOM_PAR",_CALC_ALLOC!$D$1:$D$349,"MAS_COM",_CALC_ALLOC!$E$1:$E$349,"M2",_CALC_ALLOC!$F$1:$F$349,"ALT")</f>
        <v>0</v>
      </c>
      <c r="E49" s="84">
        <f>SUMIFS(_CALC_ALLOC!$AI$1:$AI$349,_CALC_ALLOC!$A$1:$A$349,"2026",_CALC_ALLOC!$B$1:$B$349,"ISCOM_PAR",_CALC_ALLOC!$D$1:$D$349,"MAS_COM",_CALC_ALLOC!$E$1:$E$349,"M2",_CALC_ALLOC!$F$1:$F$349,"ALT")</f>
        <v>0</v>
      </c>
      <c r="F49" s="84">
        <f>SUMIFS(_CALC_ALLOC!$AJ$1:$AJ$349,_CALC_ALLOC!$A$1:$A$349,"2026",_CALC_ALLOC!$B$1:$B$349,"ISCOM_PAR",_CALC_ALLOC!$D$1:$D$349,"MAS_COM",_CALC_ALLOC!$E$1:$E$349,"M2",_CALC_ALLOC!$F$1:$F$349,"ALT")</f>
        <v>0</v>
      </c>
      <c r="G49" s="84">
        <f>SUMIFS(_CALC_ALLOC!$AK$1:$AK$349,_CALC_ALLOC!$A$1:$A$349,"2026",_CALC_ALLOC!$B$1:$B$349,"ISCOM_PAR",_CALC_ALLOC!$D$1:$D$349,"MAS_COM",_CALC_ALLOC!$E$1:$E$349,"M2",_CALC_ALLOC!$F$1:$F$349,"ALT")</f>
        <v>0</v>
      </c>
      <c r="H49" s="84">
        <f>SUMIFS(_CALC_ALLOC!$AL$1:$AL$349,_CALC_ALLOC!$A$1:$A$349,"2026",_CALC_ALLOC!$B$1:$B$349,"ISCOM_PAR",_CALC_ALLOC!$D$1:$D$349,"MAS_COM",_CALC_ALLOC!$E$1:$E$349,"M2",_CALC_ALLOC!$F$1:$F$349,"ALT")</f>
        <v>0</v>
      </c>
      <c r="I49" s="84">
        <f>SUMIFS(_CALC_ALLOC!$AR$1:$AR$349,_CALC_ALLOC!$A$1:$A$349,"2026",_CALC_ALLOC!$B$1:$B$349,"ISCOM_PAR",_CALC_ALLOC!$D$1:$D$349,"MAS_COM",_CALC_ALLOC!$E$1:$E$349,"M2",_CALC_ALLOC!$F$1:$F$349,"ALT")</f>
        <v>0</v>
      </c>
      <c r="J49" s="84">
        <f>SUMIFS(_CALC_ALLOC!$AM$1:$AM$349,_CALC_ALLOC!$A$1:$A$349,"2026",_CALC_ALLOC!$B$1:$B$349,"ISCOM_PAR",_CALC_ALLOC!$D$1:$D$349,"MAS_COM",_CALC_ALLOC!$E$1:$E$349,"M2",_CALC_ALLOC!$F$1:$F$349,"ALT")</f>
        <v>0</v>
      </c>
      <c r="K49" s="123">
        <f t="shared" si="0"/>
        <v>0</v>
      </c>
      <c r="L49" s="131">
        <f>SUMIFS(_CALC_ALLOC!$AN$1:$AN$349,_CALC_ALLOC!$A$1:$A$349,"2026",_CALC_ALLOC!$B$1:$B$349,"ISCOM_PAR",_CALC_ALLOC!$D$1:$D$349,"MAS_COM",_CALC_ALLOC!$E$1:$E$349,"M2",_CALC_ALLOC!$F$1:$F$349,"ALT")</f>
        <v>0</v>
      </c>
      <c r="M49" s="86">
        <f t="shared" si="1"/>
        <v>0</v>
      </c>
    </row>
    <row r="50" spans="2:13" outlineLevel="1" x14ac:dyDescent="0.45">
      <c r="B50" s="36" t="s">
        <v>149</v>
      </c>
      <c r="C50" s="122">
        <f>SUMIFS(_CALC_ALLOC!$G$1:$G$349,_CALC_ALLOC!$A$1:$A$349,"2026",_CALC_ALLOC!$B$1:$B$349,"ISCOM_LIL")</f>
        <v>0</v>
      </c>
      <c r="D50" s="123">
        <f>SUMIFS(_CALC_ALLOC!$I$1:$I$349,_CALC_ALLOC!$A$1:$A$349,"2026",_CALC_ALLOC!$B$1:$B$349,"ISCOM_LIL")</f>
        <v>0</v>
      </c>
      <c r="E50" s="123">
        <f>SUMIFS(_CALC_ALLOC!$AI$1:$AI$349,_CALC_ALLOC!$A$1:$A$349,"2026",_CALC_ALLOC!$B$1:$B$349,"ISCOM_LIL")</f>
        <v>0</v>
      </c>
      <c r="F50" s="123">
        <f>SUMIFS(_CALC_ALLOC!$AJ$1:$AJ$349,_CALC_ALLOC!$A$1:$A$349,"2026",_CALC_ALLOC!$B$1:$B$349,"ISCOM_LIL")</f>
        <v>0</v>
      </c>
      <c r="G50" s="123">
        <f>SUMIFS(_CALC_ALLOC!$AK$1:$AK$349,_CALC_ALLOC!$A$1:$A$349,"2026",_CALC_ALLOC!$B$1:$B$349,"ISCOM_LIL")</f>
        <v>0</v>
      </c>
      <c r="H50" s="123">
        <f>SUMIFS(_CALC_ALLOC!$AL$1:$AL$349,_CALC_ALLOC!$A$1:$A$349,"2026",_CALC_ALLOC!$B$1:$B$349,"ISCOM_LIL")</f>
        <v>0</v>
      </c>
      <c r="I50" s="123">
        <f>SUMIFS(_CALC_ALLOC!$AR$1:$AR$349,_CALC_ALLOC!$A$1:$A$349,"2026",_CALC_ALLOC!$B$1:$B$349,"ISCOM_LIL")</f>
        <v>0</v>
      </c>
      <c r="J50" s="123">
        <f>SUMIFS(_CALC_ALLOC!$AM$1:$AM$349,_CALC_ALLOC!$A$1:$A$349,"2026",_CALC_ALLOC!$B$1:$B$349,"ISCOM_LIL")</f>
        <v>0</v>
      </c>
      <c r="K50" s="123">
        <f t="shared" ref="K50:K81" si="2">E50+F50+G50+H50+I50+J50</f>
        <v>0</v>
      </c>
      <c r="L50" s="130">
        <f>SUMIFS(_CALC_ALLOC!$AN$1:$AN$349,_CALC_ALLOC!$A$1:$A$349,"2026",_CALC_ALLOC!$B$1:$B$349,"ISCOM_LIL")</f>
        <v>0</v>
      </c>
      <c r="M50" s="124">
        <f t="shared" ref="M50:M81" si="3">IFERROR(L50/D50,0)</f>
        <v>0</v>
      </c>
    </row>
    <row r="51" spans="2:13" outlineLevel="2" x14ac:dyDescent="0.45">
      <c r="B51" s="37" t="s">
        <v>144</v>
      </c>
      <c r="C51" s="85">
        <f>SUMIFS(_CALC_ALLOC!$G$1:$G$349,_CALC_ALLOC!$A$1:$A$349,"2026",_CALC_ALLOC!$B$1:$B$349,"ISCOM_LIL",_CALC_ALLOC!$D$1:$D$349,"BAC_COM",_CALC_ALLOC!$E$1:$E$349,"B1",_CALC_ALLOC!$F$1:$F$349,"INIT")</f>
        <v>0</v>
      </c>
      <c r="D51" s="84">
        <f>SUMIFS(_CALC_ALLOC!$I$1:$I$349,_CALC_ALLOC!$A$1:$A$349,"2026",_CALC_ALLOC!$B$1:$B$349,"ISCOM_LIL",_CALC_ALLOC!$D$1:$D$349,"BAC_COM",_CALC_ALLOC!$E$1:$E$349,"B1",_CALC_ALLOC!$F$1:$F$349,"INIT")</f>
        <v>0</v>
      </c>
      <c r="E51" s="84">
        <f>SUMIFS(_CALC_ALLOC!$AI$1:$AI$349,_CALC_ALLOC!$A$1:$A$349,"2026",_CALC_ALLOC!$B$1:$B$349,"ISCOM_LIL",_CALC_ALLOC!$D$1:$D$349,"BAC_COM",_CALC_ALLOC!$E$1:$E$349,"B1",_CALC_ALLOC!$F$1:$F$349,"INIT")</f>
        <v>0</v>
      </c>
      <c r="F51" s="84">
        <f>SUMIFS(_CALC_ALLOC!$AJ$1:$AJ$349,_CALC_ALLOC!$A$1:$A$349,"2026",_CALC_ALLOC!$B$1:$B$349,"ISCOM_LIL",_CALC_ALLOC!$D$1:$D$349,"BAC_COM",_CALC_ALLOC!$E$1:$E$349,"B1",_CALC_ALLOC!$F$1:$F$349,"INIT")</f>
        <v>0</v>
      </c>
      <c r="G51" s="84">
        <f>SUMIFS(_CALC_ALLOC!$AK$1:$AK$349,_CALC_ALLOC!$A$1:$A$349,"2026",_CALC_ALLOC!$B$1:$B$349,"ISCOM_LIL",_CALC_ALLOC!$D$1:$D$349,"BAC_COM",_CALC_ALLOC!$E$1:$E$349,"B1",_CALC_ALLOC!$F$1:$F$349,"INIT")</f>
        <v>0</v>
      </c>
      <c r="H51" s="84">
        <f>SUMIFS(_CALC_ALLOC!$AL$1:$AL$349,_CALC_ALLOC!$A$1:$A$349,"2026",_CALC_ALLOC!$B$1:$B$349,"ISCOM_LIL",_CALC_ALLOC!$D$1:$D$349,"BAC_COM",_CALC_ALLOC!$E$1:$E$349,"B1",_CALC_ALLOC!$F$1:$F$349,"INIT")</f>
        <v>0</v>
      </c>
      <c r="I51" s="84">
        <f>SUMIFS(_CALC_ALLOC!$AR$1:$AR$349,_CALC_ALLOC!$A$1:$A$349,"2026",_CALC_ALLOC!$B$1:$B$349,"ISCOM_LIL",_CALC_ALLOC!$D$1:$D$349,"BAC_COM",_CALC_ALLOC!$E$1:$E$349,"B1",_CALC_ALLOC!$F$1:$F$349,"INIT")</f>
        <v>0</v>
      </c>
      <c r="J51" s="84">
        <f>SUMIFS(_CALC_ALLOC!$AM$1:$AM$349,_CALC_ALLOC!$A$1:$A$349,"2026",_CALC_ALLOC!$B$1:$B$349,"ISCOM_LIL",_CALC_ALLOC!$D$1:$D$349,"BAC_COM",_CALC_ALLOC!$E$1:$E$349,"B1",_CALC_ALLOC!$F$1:$F$349,"INIT")</f>
        <v>0</v>
      </c>
      <c r="K51" s="123">
        <f t="shared" si="2"/>
        <v>0</v>
      </c>
      <c r="L51" s="131">
        <f>SUMIFS(_CALC_ALLOC!$AN$1:$AN$349,_CALC_ALLOC!$A$1:$A$349,"2026",_CALC_ALLOC!$B$1:$B$349,"ISCOM_LIL",_CALC_ALLOC!$D$1:$D$349,"BAC_COM",_CALC_ALLOC!$E$1:$E$349,"B1",_CALC_ALLOC!$F$1:$F$349,"INIT")</f>
        <v>0</v>
      </c>
      <c r="M51" s="86">
        <f t="shared" si="3"/>
        <v>0</v>
      </c>
    </row>
    <row r="52" spans="2:13" outlineLevel="2" x14ac:dyDescent="0.45">
      <c r="B52" s="37" t="s">
        <v>145</v>
      </c>
      <c r="C52" s="85">
        <f>SUMIFS(_CALC_ALLOC!$G$1:$G$349,_CALC_ALLOC!$A$1:$A$349,"2026",_CALC_ALLOC!$B$1:$B$349,"ISCOM_LIL",_CALC_ALLOC!$D$1:$D$349,"BAC_COM",_CALC_ALLOC!$E$1:$E$349,"B2",_CALC_ALLOC!$F$1:$F$349,"ALT")</f>
        <v>0</v>
      </c>
      <c r="D52" s="84">
        <f>SUMIFS(_CALC_ALLOC!$I$1:$I$349,_CALC_ALLOC!$A$1:$A$349,"2026",_CALC_ALLOC!$B$1:$B$349,"ISCOM_LIL",_CALC_ALLOC!$D$1:$D$349,"BAC_COM",_CALC_ALLOC!$E$1:$E$349,"B2",_CALC_ALLOC!$F$1:$F$349,"ALT")</f>
        <v>0</v>
      </c>
      <c r="E52" s="84">
        <f>SUMIFS(_CALC_ALLOC!$AI$1:$AI$349,_CALC_ALLOC!$A$1:$A$349,"2026",_CALC_ALLOC!$B$1:$B$349,"ISCOM_LIL",_CALC_ALLOC!$D$1:$D$349,"BAC_COM",_CALC_ALLOC!$E$1:$E$349,"B2",_CALC_ALLOC!$F$1:$F$349,"ALT")</f>
        <v>0</v>
      </c>
      <c r="F52" s="84">
        <f>SUMIFS(_CALC_ALLOC!$AJ$1:$AJ$349,_CALC_ALLOC!$A$1:$A$349,"2026",_CALC_ALLOC!$B$1:$B$349,"ISCOM_LIL",_CALC_ALLOC!$D$1:$D$349,"BAC_COM",_CALC_ALLOC!$E$1:$E$349,"B2",_CALC_ALLOC!$F$1:$F$349,"ALT")</f>
        <v>0</v>
      </c>
      <c r="G52" s="84">
        <f>SUMIFS(_CALC_ALLOC!$AK$1:$AK$349,_CALC_ALLOC!$A$1:$A$349,"2026",_CALC_ALLOC!$B$1:$B$349,"ISCOM_LIL",_CALC_ALLOC!$D$1:$D$349,"BAC_COM",_CALC_ALLOC!$E$1:$E$349,"B2",_CALC_ALLOC!$F$1:$F$349,"ALT")</f>
        <v>0</v>
      </c>
      <c r="H52" s="84">
        <f>SUMIFS(_CALC_ALLOC!$AL$1:$AL$349,_CALC_ALLOC!$A$1:$A$349,"2026",_CALC_ALLOC!$B$1:$B$349,"ISCOM_LIL",_CALC_ALLOC!$D$1:$D$349,"BAC_COM",_CALC_ALLOC!$E$1:$E$349,"B2",_CALC_ALLOC!$F$1:$F$349,"ALT")</f>
        <v>0</v>
      </c>
      <c r="I52" s="84">
        <f>SUMIFS(_CALC_ALLOC!$AR$1:$AR$349,_CALC_ALLOC!$A$1:$A$349,"2026",_CALC_ALLOC!$B$1:$B$349,"ISCOM_LIL",_CALC_ALLOC!$D$1:$D$349,"BAC_COM",_CALC_ALLOC!$E$1:$E$349,"B2",_CALC_ALLOC!$F$1:$F$349,"ALT")</f>
        <v>0</v>
      </c>
      <c r="J52" s="84">
        <f>SUMIFS(_CALC_ALLOC!$AM$1:$AM$349,_CALC_ALLOC!$A$1:$A$349,"2026",_CALC_ALLOC!$B$1:$B$349,"ISCOM_LIL",_CALC_ALLOC!$D$1:$D$349,"BAC_COM",_CALC_ALLOC!$E$1:$E$349,"B2",_CALC_ALLOC!$F$1:$F$349,"ALT")</f>
        <v>0</v>
      </c>
      <c r="K52" s="123">
        <f t="shared" si="2"/>
        <v>0</v>
      </c>
      <c r="L52" s="131">
        <f>SUMIFS(_CALC_ALLOC!$AN$1:$AN$349,_CALC_ALLOC!$A$1:$A$349,"2026",_CALC_ALLOC!$B$1:$B$349,"ISCOM_LIL",_CALC_ALLOC!$D$1:$D$349,"BAC_COM",_CALC_ALLOC!$E$1:$E$349,"B2",_CALC_ALLOC!$F$1:$F$349,"ALT")</f>
        <v>0</v>
      </c>
      <c r="M52" s="86">
        <f t="shared" si="3"/>
        <v>0</v>
      </c>
    </row>
    <row r="53" spans="2:13" outlineLevel="2" x14ac:dyDescent="0.45">
      <c r="B53" s="37" t="s">
        <v>146</v>
      </c>
      <c r="C53" s="85">
        <f>SUMIFS(_CALC_ALLOC!$G$1:$G$349,_CALC_ALLOC!$A$1:$A$349,"2026",_CALC_ALLOC!$B$1:$B$349,"ISCOM_LIL",_CALC_ALLOC!$D$1:$D$349,"BAC_COM",_CALC_ALLOC!$E$1:$E$349,"B3",_CALC_ALLOC!$F$1:$F$349,"ALT")</f>
        <v>0</v>
      </c>
      <c r="D53" s="84">
        <f>SUMIFS(_CALC_ALLOC!$I$1:$I$349,_CALC_ALLOC!$A$1:$A$349,"2026",_CALC_ALLOC!$B$1:$B$349,"ISCOM_LIL",_CALC_ALLOC!$D$1:$D$349,"BAC_COM",_CALC_ALLOC!$E$1:$E$349,"B3",_CALC_ALLOC!$F$1:$F$349,"ALT")</f>
        <v>0</v>
      </c>
      <c r="E53" s="84">
        <f>SUMIFS(_CALC_ALLOC!$AI$1:$AI$349,_CALC_ALLOC!$A$1:$A$349,"2026",_CALC_ALLOC!$B$1:$B$349,"ISCOM_LIL",_CALC_ALLOC!$D$1:$D$349,"BAC_COM",_CALC_ALLOC!$E$1:$E$349,"B3",_CALC_ALLOC!$F$1:$F$349,"ALT")</f>
        <v>0</v>
      </c>
      <c r="F53" s="84">
        <f>SUMIFS(_CALC_ALLOC!$AJ$1:$AJ$349,_CALC_ALLOC!$A$1:$A$349,"2026",_CALC_ALLOC!$B$1:$B$349,"ISCOM_LIL",_CALC_ALLOC!$D$1:$D$349,"BAC_COM",_CALC_ALLOC!$E$1:$E$349,"B3",_CALC_ALLOC!$F$1:$F$349,"ALT")</f>
        <v>0</v>
      </c>
      <c r="G53" s="84">
        <f>SUMIFS(_CALC_ALLOC!$AK$1:$AK$349,_CALC_ALLOC!$A$1:$A$349,"2026",_CALC_ALLOC!$B$1:$B$349,"ISCOM_LIL",_CALC_ALLOC!$D$1:$D$349,"BAC_COM",_CALC_ALLOC!$E$1:$E$349,"B3",_CALC_ALLOC!$F$1:$F$349,"ALT")</f>
        <v>0</v>
      </c>
      <c r="H53" s="84">
        <f>SUMIFS(_CALC_ALLOC!$AL$1:$AL$349,_CALC_ALLOC!$A$1:$A$349,"2026",_CALC_ALLOC!$B$1:$B$349,"ISCOM_LIL",_CALC_ALLOC!$D$1:$D$349,"BAC_COM",_CALC_ALLOC!$E$1:$E$349,"B3",_CALC_ALLOC!$F$1:$F$349,"ALT")</f>
        <v>0</v>
      </c>
      <c r="I53" s="84">
        <f>SUMIFS(_CALC_ALLOC!$AR$1:$AR$349,_CALC_ALLOC!$A$1:$A$349,"2026",_CALC_ALLOC!$B$1:$B$349,"ISCOM_LIL",_CALC_ALLOC!$D$1:$D$349,"BAC_COM",_CALC_ALLOC!$E$1:$E$349,"B3",_CALC_ALLOC!$F$1:$F$349,"ALT")</f>
        <v>0</v>
      </c>
      <c r="J53" s="84">
        <f>SUMIFS(_CALC_ALLOC!$AM$1:$AM$349,_CALC_ALLOC!$A$1:$A$349,"2026",_CALC_ALLOC!$B$1:$B$349,"ISCOM_LIL",_CALC_ALLOC!$D$1:$D$349,"BAC_COM",_CALC_ALLOC!$E$1:$E$349,"B3",_CALC_ALLOC!$F$1:$F$349,"ALT")</f>
        <v>0</v>
      </c>
      <c r="K53" s="123">
        <f t="shared" si="2"/>
        <v>0</v>
      </c>
      <c r="L53" s="131">
        <f>SUMIFS(_CALC_ALLOC!$AN$1:$AN$349,_CALC_ALLOC!$A$1:$A$349,"2026",_CALC_ALLOC!$B$1:$B$349,"ISCOM_LIL",_CALC_ALLOC!$D$1:$D$349,"BAC_COM",_CALC_ALLOC!$E$1:$E$349,"B3",_CALC_ALLOC!$F$1:$F$349,"ALT")</f>
        <v>0</v>
      </c>
      <c r="M53" s="86">
        <f t="shared" si="3"/>
        <v>0</v>
      </c>
    </row>
    <row r="54" spans="2:13" outlineLevel="2" x14ac:dyDescent="0.45">
      <c r="B54" s="37" t="s">
        <v>147</v>
      </c>
      <c r="C54" s="85">
        <f>SUMIFS(_CALC_ALLOC!$G$1:$G$349,_CALC_ALLOC!$A$1:$A$349,"2026",_CALC_ALLOC!$B$1:$B$349,"ISCOM_LIL",_CALC_ALLOC!$D$1:$D$349,"MAS_COM",_CALC_ALLOC!$E$1:$E$349,"M1",_CALC_ALLOC!$F$1:$F$349,"ALT")</f>
        <v>0</v>
      </c>
      <c r="D54" s="84">
        <f>SUMIFS(_CALC_ALLOC!$I$1:$I$349,_CALC_ALLOC!$A$1:$A$349,"2026",_CALC_ALLOC!$B$1:$B$349,"ISCOM_LIL",_CALC_ALLOC!$D$1:$D$349,"MAS_COM",_CALC_ALLOC!$E$1:$E$349,"M1",_CALC_ALLOC!$F$1:$F$349,"ALT")</f>
        <v>0</v>
      </c>
      <c r="E54" s="84">
        <f>SUMIFS(_CALC_ALLOC!$AI$1:$AI$349,_CALC_ALLOC!$A$1:$A$349,"2026",_CALC_ALLOC!$B$1:$B$349,"ISCOM_LIL",_CALC_ALLOC!$D$1:$D$349,"MAS_COM",_CALC_ALLOC!$E$1:$E$349,"M1",_CALC_ALLOC!$F$1:$F$349,"ALT")</f>
        <v>0</v>
      </c>
      <c r="F54" s="84">
        <f>SUMIFS(_CALC_ALLOC!$AJ$1:$AJ$349,_CALC_ALLOC!$A$1:$A$349,"2026",_CALC_ALLOC!$B$1:$B$349,"ISCOM_LIL",_CALC_ALLOC!$D$1:$D$349,"MAS_COM",_CALC_ALLOC!$E$1:$E$349,"M1",_CALC_ALLOC!$F$1:$F$349,"ALT")</f>
        <v>0</v>
      </c>
      <c r="G54" s="84">
        <f>SUMIFS(_CALC_ALLOC!$AK$1:$AK$349,_CALC_ALLOC!$A$1:$A$349,"2026",_CALC_ALLOC!$B$1:$B$349,"ISCOM_LIL",_CALC_ALLOC!$D$1:$D$349,"MAS_COM",_CALC_ALLOC!$E$1:$E$349,"M1",_CALC_ALLOC!$F$1:$F$349,"ALT")</f>
        <v>0</v>
      </c>
      <c r="H54" s="84">
        <f>SUMIFS(_CALC_ALLOC!$AL$1:$AL$349,_CALC_ALLOC!$A$1:$A$349,"2026",_CALC_ALLOC!$B$1:$B$349,"ISCOM_LIL",_CALC_ALLOC!$D$1:$D$349,"MAS_COM",_CALC_ALLOC!$E$1:$E$349,"M1",_CALC_ALLOC!$F$1:$F$349,"ALT")</f>
        <v>0</v>
      </c>
      <c r="I54" s="84">
        <f>SUMIFS(_CALC_ALLOC!$AR$1:$AR$349,_CALC_ALLOC!$A$1:$A$349,"2026",_CALC_ALLOC!$B$1:$B$349,"ISCOM_LIL",_CALC_ALLOC!$D$1:$D$349,"MAS_COM",_CALC_ALLOC!$E$1:$E$349,"M1",_CALC_ALLOC!$F$1:$F$349,"ALT")</f>
        <v>0</v>
      </c>
      <c r="J54" s="84">
        <f>SUMIFS(_CALC_ALLOC!$AM$1:$AM$349,_CALC_ALLOC!$A$1:$A$349,"2026",_CALC_ALLOC!$B$1:$B$349,"ISCOM_LIL",_CALC_ALLOC!$D$1:$D$349,"MAS_COM",_CALC_ALLOC!$E$1:$E$349,"M1",_CALC_ALLOC!$F$1:$F$349,"ALT")</f>
        <v>0</v>
      </c>
      <c r="K54" s="123">
        <f t="shared" si="2"/>
        <v>0</v>
      </c>
      <c r="L54" s="131">
        <f>SUMIFS(_CALC_ALLOC!$AN$1:$AN$349,_CALC_ALLOC!$A$1:$A$349,"2026",_CALC_ALLOC!$B$1:$B$349,"ISCOM_LIL",_CALC_ALLOC!$D$1:$D$349,"MAS_COM",_CALC_ALLOC!$E$1:$E$349,"M1",_CALC_ALLOC!$F$1:$F$349,"ALT")</f>
        <v>0</v>
      </c>
      <c r="M54" s="86">
        <f t="shared" si="3"/>
        <v>0</v>
      </c>
    </row>
    <row r="55" spans="2:13" outlineLevel="2" x14ac:dyDescent="0.45">
      <c r="B55" s="37" t="s">
        <v>148</v>
      </c>
      <c r="C55" s="85">
        <f>SUMIFS(_CALC_ALLOC!$G$1:$G$349,_CALC_ALLOC!$A$1:$A$349,"2026",_CALC_ALLOC!$B$1:$B$349,"ISCOM_LIL",_CALC_ALLOC!$D$1:$D$349,"MAS_COM",_CALC_ALLOC!$E$1:$E$349,"M2",_CALC_ALLOC!$F$1:$F$349,"ALT")</f>
        <v>0</v>
      </c>
      <c r="D55" s="84">
        <f>SUMIFS(_CALC_ALLOC!$I$1:$I$349,_CALC_ALLOC!$A$1:$A$349,"2026",_CALC_ALLOC!$B$1:$B$349,"ISCOM_LIL",_CALC_ALLOC!$D$1:$D$349,"MAS_COM",_CALC_ALLOC!$E$1:$E$349,"M2",_CALC_ALLOC!$F$1:$F$349,"ALT")</f>
        <v>0</v>
      </c>
      <c r="E55" s="84">
        <f>SUMIFS(_CALC_ALLOC!$AI$1:$AI$349,_CALC_ALLOC!$A$1:$A$349,"2026",_CALC_ALLOC!$B$1:$B$349,"ISCOM_LIL",_CALC_ALLOC!$D$1:$D$349,"MAS_COM",_CALC_ALLOC!$E$1:$E$349,"M2",_CALC_ALLOC!$F$1:$F$349,"ALT")</f>
        <v>0</v>
      </c>
      <c r="F55" s="84">
        <f>SUMIFS(_CALC_ALLOC!$AJ$1:$AJ$349,_CALC_ALLOC!$A$1:$A$349,"2026",_CALC_ALLOC!$B$1:$B$349,"ISCOM_LIL",_CALC_ALLOC!$D$1:$D$349,"MAS_COM",_CALC_ALLOC!$E$1:$E$349,"M2",_CALC_ALLOC!$F$1:$F$349,"ALT")</f>
        <v>0</v>
      </c>
      <c r="G55" s="84">
        <f>SUMIFS(_CALC_ALLOC!$AK$1:$AK$349,_CALC_ALLOC!$A$1:$A$349,"2026",_CALC_ALLOC!$B$1:$B$349,"ISCOM_LIL",_CALC_ALLOC!$D$1:$D$349,"MAS_COM",_CALC_ALLOC!$E$1:$E$349,"M2",_CALC_ALLOC!$F$1:$F$349,"ALT")</f>
        <v>0</v>
      </c>
      <c r="H55" s="84">
        <f>SUMIFS(_CALC_ALLOC!$AL$1:$AL$349,_CALC_ALLOC!$A$1:$A$349,"2026",_CALC_ALLOC!$B$1:$B$349,"ISCOM_LIL",_CALC_ALLOC!$D$1:$D$349,"MAS_COM",_CALC_ALLOC!$E$1:$E$349,"M2",_CALC_ALLOC!$F$1:$F$349,"ALT")</f>
        <v>0</v>
      </c>
      <c r="I55" s="84">
        <f>SUMIFS(_CALC_ALLOC!$AR$1:$AR$349,_CALC_ALLOC!$A$1:$A$349,"2026",_CALC_ALLOC!$B$1:$B$349,"ISCOM_LIL",_CALC_ALLOC!$D$1:$D$349,"MAS_COM",_CALC_ALLOC!$E$1:$E$349,"M2",_CALC_ALLOC!$F$1:$F$349,"ALT")</f>
        <v>0</v>
      </c>
      <c r="J55" s="84">
        <f>SUMIFS(_CALC_ALLOC!$AM$1:$AM$349,_CALC_ALLOC!$A$1:$A$349,"2026",_CALC_ALLOC!$B$1:$B$349,"ISCOM_LIL",_CALC_ALLOC!$D$1:$D$349,"MAS_COM",_CALC_ALLOC!$E$1:$E$349,"M2",_CALC_ALLOC!$F$1:$F$349,"ALT")</f>
        <v>0</v>
      </c>
      <c r="K55" s="123">
        <f t="shared" si="2"/>
        <v>0</v>
      </c>
      <c r="L55" s="131">
        <f>SUMIFS(_CALC_ALLOC!$AN$1:$AN$349,_CALC_ALLOC!$A$1:$A$349,"2026",_CALC_ALLOC!$B$1:$B$349,"ISCOM_LIL",_CALC_ALLOC!$D$1:$D$349,"MAS_COM",_CALC_ALLOC!$E$1:$E$349,"M2",_CALC_ALLOC!$F$1:$F$349,"ALT")</f>
        <v>0</v>
      </c>
      <c r="M55" s="86">
        <f t="shared" si="3"/>
        <v>0</v>
      </c>
    </row>
    <row r="56" spans="2:13" outlineLevel="1" x14ac:dyDescent="0.45">
      <c r="B56" s="36" t="s">
        <v>150</v>
      </c>
      <c r="C56" s="122">
        <f>SUMIFS(_CALC_ALLOC!$G$1:$G$349,_CALC_ALLOC!$A$1:$A$349,"2026",_CALC_ALLOC!$B$1:$B$349,"ISCOM_TLS")</f>
        <v>0</v>
      </c>
      <c r="D56" s="123">
        <f>SUMIFS(_CALC_ALLOC!$I$1:$I$349,_CALC_ALLOC!$A$1:$A$349,"2026",_CALC_ALLOC!$B$1:$B$349,"ISCOM_TLS")</f>
        <v>0</v>
      </c>
      <c r="E56" s="123">
        <f>SUMIFS(_CALC_ALLOC!$AI$1:$AI$349,_CALC_ALLOC!$A$1:$A$349,"2026",_CALC_ALLOC!$B$1:$B$349,"ISCOM_TLS")</f>
        <v>0</v>
      </c>
      <c r="F56" s="123">
        <f>SUMIFS(_CALC_ALLOC!$AJ$1:$AJ$349,_CALC_ALLOC!$A$1:$A$349,"2026",_CALC_ALLOC!$B$1:$B$349,"ISCOM_TLS")</f>
        <v>0</v>
      </c>
      <c r="G56" s="123">
        <f>SUMIFS(_CALC_ALLOC!$AK$1:$AK$349,_CALC_ALLOC!$A$1:$A$349,"2026",_CALC_ALLOC!$B$1:$B$349,"ISCOM_TLS")</f>
        <v>0</v>
      </c>
      <c r="H56" s="123">
        <f>SUMIFS(_CALC_ALLOC!$AL$1:$AL$349,_CALC_ALLOC!$A$1:$A$349,"2026",_CALC_ALLOC!$B$1:$B$349,"ISCOM_TLS")</f>
        <v>0</v>
      </c>
      <c r="I56" s="123">
        <f>SUMIFS(_CALC_ALLOC!$AR$1:$AR$349,_CALC_ALLOC!$A$1:$A$349,"2026",_CALC_ALLOC!$B$1:$B$349,"ISCOM_TLS")</f>
        <v>0</v>
      </c>
      <c r="J56" s="123">
        <f>SUMIFS(_CALC_ALLOC!$AM$1:$AM$349,_CALC_ALLOC!$A$1:$A$349,"2026",_CALC_ALLOC!$B$1:$B$349,"ISCOM_TLS")</f>
        <v>0</v>
      </c>
      <c r="K56" s="123">
        <f t="shared" si="2"/>
        <v>0</v>
      </c>
      <c r="L56" s="130">
        <f>SUMIFS(_CALC_ALLOC!$AN$1:$AN$349,_CALC_ALLOC!$A$1:$A$349,"2026",_CALC_ALLOC!$B$1:$B$349,"ISCOM_TLS")</f>
        <v>0</v>
      </c>
      <c r="M56" s="124">
        <f t="shared" si="3"/>
        <v>0</v>
      </c>
    </row>
    <row r="57" spans="2:13" outlineLevel="2" x14ac:dyDescent="0.45">
      <c r="B57" s="37" t="s">
        <v>144</v>
      </c>
      <c r="C57" s="85">
        <f>SUMIFS(_CALC_ALLOC!$G$1:$G$349,_CALC_ALLOC!$A$1:$A$349,"2026",_CALC_ALLOC!$B$1:$B$349,"ISCOM_TLS",_CALC_ALLOC!$D$1:$D$349,"BAC_COM",_CALC_ALLOC!$E$1:$E$349,"B1",_CALC_ALLOC!$F$1:$F$349,"INIT")</f>
        <v>0</v>
      </c>
      <c r="D57" s="84">
        <f>SUMIFS(_CALC_ALLOC!$I$1:$I$349,_CALC_ALLOC!$A$1:$A$349,"2026",_CALC_ALLOC!$B$1:$B$349,"ISCOM_TLS",_CALC_ALLOC!$D$1:$D$349,"BAC_COM",_CALC_ALLOC!$E$1:$E$349,"B1",_CALC_ALLOC!$F$1:$F$349,"INIT")</f>
        <v>0</v>
      </c>
      <c r="E57" s="84">
        <f>SUMIFS(_CALC_ALLOC!$AI$1:$AI$349,_CALC_ALLOC!$A$1:$A$349,"2026",_CALC_ALLOC!$B$1:$B$349,"ISCOM_TLS",_CALC_ALLOC!$D$1:$D$349,"BAC_COM",_CALC_ALLOC!$E$1:$E$349,"B1",_CALC_ALLOC!$F$1:$F$349,"INIT")</f>
        <v>0</v>
      </c>
      <c r="F57" s="84">
        <f>SUMIFS(_CALC_ALLOC!$AJ$1:$AJ$349,_CALC_ALLOC!$A$1:$A$349,"2026",_CALC_ALLOC!$B$1:$B$349,"ISCOM_TLS",_CALC_ALLOC!$D$1:$D$349,"BAC_COM",_CALC_ALLOC!$E$1:$E$349,"B1",_CALC_ALLOC!$F$1:$F$349,"INIT")</f>
        <v>0</v>
      </c>
      <c r="G57" s="84">
        <f>SUMIFS(_CALC_ALLOC!$AK$1:$AK$349,_CALC_ALLOC!$A$1:$A$349,"2026",_CALC_ALLOC!$B$1:$B$349,"ISCOM_TLS",_CALC_ALLOC!$D$1:$D$349,"BAC_COM",_CALC_ALLOC!$E$1:$E$349,"B1",_CALC_ALLOC!$F$1:$F$349,"INIT")</f>
        <v>0</v>
      </c>
      <c r="H57" s="84">
        <f>SUMIFS(_CALC_ALLOC!$AL$1:$AL$349,_CALC_ALLOC!$A$1:$A$349,"2026",_CALC_ALLOC!$B$1:$B$349,"ISCOM_TLS",_CALC_ALLOC!$D$1:$D$349,"BAC_COM",_CALC_ALLOC!$E$1:$E$349,"B1",_CALC_ALLOC!$F$1:$F$349,"INIT")</f>
        <v>0</v>
      </c>
      <c r="I57" s="84">
        <f>SUMIFS(_CALC_ALLOC!$AR$1:$AR$349,_CALC_ALLOC!$A$1:$A$349,"2026",_CALC_ALLOC!$B$1:$B$349,"ISCOM_TLS",_CALC_ALLOC!$D$1:$D$349,"BAC_COM",_CALC_ALLOC!$E$1:$E$349,"B1",_CALC_ALLOC!$F$1:$F$349,"INIT")</f>
        <v>0</v>
      </c>
      <c r="J57" s="84">
        <f>SUMIFS(_CALC_ALLOC!$AM$1:$AM$349,_CALC_ALLOC!$A$1:$A$349,"2026",_CALC_ALLOC!$B$1:$B$349,"ISCOM_TLS",_CALC_ALLOC!$D$1:$D$349,"BAC_COM",_CALC_ALLOC!$E$1:$E$349,"B1",_CALC_ALLOC!$F$1:$F$349,"INIT")</f>
        <v>0</v>
      </c>
      <c r="K57" s="123">
        <f t="shared" si="2"/>
        <v>0</v>
      </c>
      <c r="L57" s="131">
        <f>SUMIFS(_CALC_ALLOC!$AN$1:$AN$349,_CALC_ALLOC!$A$1:$A$349,"2026",_CALC_ALLOC!$B$1:$B$349,"ISCOM_TLS",_CALC_ALLOC!$D$1:$D$349,"BAC_COM",_CALC_ALLOC!$E$1:$E$349,"B1",_CALC_ALLOC!$F$1:$F$349,"INIT")</f>
        <v>0</v>
      </c>
      <c r="M57" s="86">
        <f t="shared" si="3"/>
        <v>0</v>
      </c>
    </row>
    <row r="58" spans="2:13" outlineLevel="2" x14ac:dyDescent="0.45">
      <c r="B58" s="37" t="s">
        <v>145</v>
      </c>
      <c r="C58" s="85">
        <f>SUMIFS(_CALC_ALLOC!$G$1:$G$349,_CALC_ALLOC!$A$1:$A$349,"2026",_CALC_ALLOC!$B$1:$B$349,"ISCOM_TLS",_CALC_ALLOC!$D$1:$D$349,"BAC_COM",_CALC_ALLOC!$E$1:$E$349,"B2",_CALC_ALLOC!$F$1:$F$349,"ALT")</f>
        <v>0</v>
      </c>
      <c r="D58" s="84">
        <f>SUMIFS(_CALC_ALLOC!$I$1:$I$349,_CALC_ALLOC!$A$1:$A$349,"2026",_CALC_ALLOC!$B$1:$B$349,"ISCOM_TLS",_CALC_ALLOC!$D$1:$D$349,"BAC_COM",_CALC_ALLOC!$E$1:$E$349,"B2",_CALC_ALLOC!$F$1:$F$349,"ALT")</f>
        <v>0</v>
      </c>
      <c r="E58" s="84">
        <f>SUMIFS(_CALC_ALLOC!$AI$1:$AI$349,_CALC_ALLOC!$A$1:$A$349,"2026",_CALC_ALLOC!$B$1:$B$349,"ISCOM_TLS",_CALC_ALLOC!$D$1:$D$349,"BAC_COM",_CALC_ALLOC!$E$1:$E$349,"B2",_CALC_ALLOC!$F$1:$F$349,"ALT")</f>
        <v>0</v>
      </c>
      <c r="F58" s="84">
        <f>SUMIFS(_CALC_ALLOC!$AJ$1:$AJ$349,_CALC_ALLOC!$A$1:$A$349,"2026",_CALC_ALLOC!$B$1:$B$349,"ISCOM_TLS",_CALC_ALLOC!$D$1:$D$349,"BAC_COM",_CALC_ALLOC!$E$1:$E$349,"B2",_CALC_ALLOC!$F$1:$F$349,"ALT")</f>
        <v>0</v>
      </c>
      <c r="G58" s="84">
        <f>SUMIFS(_CALC_ALLOC!$AK$1:$AK$349,_CALC_ALLOC!$A$1:$A$349,"2026",_CALC_ALLOC!$B$1:$B$349,"ISCOM_TLS",_CALC_ALLOC!$D$1:$D$349,"BAC_COM",_CALC_ALLOC!$E$1:$E$349,"B2",_CALC_ALLOC!$F$1:$F$349,"ALT")</f>
        <v>0</v>
      </c>
      <c r="H58" s="84">
        <f>SUMIFS(_CALC_ALLOC!$AL$1:$AL$349,_CALC_ALLOC!$A$1:$A$349,"2026",_CALC_ALLOC!$B$1:$B$349,"ISCOM_TLS",_CALC_ALLOC!$D$1:$D$349,"BAC_COM",_CALC_ALLOC!$E$1:$E$349,"B2",_CALC_ALLOC!$F$1:$F$349,"ALT")</f>
        <v>0</v>
      </c>
      <c r="I58" s="84">
        <f>SUMIFS(_CALC_ALLOC!$AR$1:$AR$349,_CALC_ALLOC!$A$1:$A$349,"2026",_CALC_ALLOC!$B$1:$B$349,"ISCOM_TLS",_CALC_ALLOC!$D$1:$D$349,"BAC_COM",_CALC_ALLOC!$E$1:$E$349,"B2",_CALC_ALLOC!$F$1:$F$349,"ALT")</f>
        <v>0</v>
      </c>
      <c r="J58" s="84">
        <f>SUMIFS(_CALC_ALLOC!$AM$1:$AM$349,_CALC_ALLOC!$A$1:$A$349,"2026",_CALC_ALLOC!$B$1:$B$349,"ISCOM_TLS",_CALC_ALLOC!$D$1:$D$349,"BAC_COM",_CALC_ALLOC!$E$1:$E$349,"B2",_CALC_ALLOC!$F$1:$F$349,"ALT")</f>
        <v>0</v>
      </c>
      <c r="K58" s="123">
        <f t="shared" si="2"/>
        <v>0</v>
      </c>
      <c r="L58" s="131">
        <f>SUMIFS(_CALC_ALLOC!$AN$1:$AN$349,_CALC_ALLOC!$A$1:$A$349,"2026",_CALC_ALLOC!$B$1:$B$349,"ISCOM_TLS",_CALC_ALLOC!$D$1:$D$349,"BAC_COM",_CALC_ALLOC!$E$1:$E$349,"B2",_CALC_ALLOC!$F$1:$F$349,"ALT")</f>
        <v>0</v>
      </c>
      <c r="M58" s="86">
        <f t="shared" si="3"/>
        <v>0</v>
      </c>
    </row>
    <row r="59" spans="2:13" outlineLevel="2" x14ac:dyDescent="0.45">
      <c r="B59" s="37" t="s">
        <v>146</v>
      </c>
      <c r="C59" s="85">
        <f>SUMIFS(_CALC_ALLOC!$G$1:$G$349,_CALC_ALLOC!$A$1:$A$349,"2026",_CALC_ALLOC!$B$1:$B$349,"ISCOM_TLS",_CALC_ALLOC!$D$1:$D$349,"BAC_COM",_CALC_ALLOC!$E$1:$E$349,"B3",_CALC_ALLOC!$F$1:$F$349,"ALT")</f>
        <v>0</v>
      </c>
      <c r="D59" s="84">
        <f>SUMIFS(_CALC_ALLOC!$I$1:$I$349,_CALC_ALLOC!$A$1:$A$349,"2026",_CALC_ALLOC!$B$1:$B$349,"ISCOM_TLS",_CALC_ALLOC!$D$1:$D$349,"BAC_COM",_CALC_ALLOC!$E$1:$E$349,"B3",_CALC_ALLOC!$F$1:$F$349,"ALT")</f>
        <v>0</v>
      </c>
      <c r="E59" s="84">
        <f>SUMIFS(_CALC_ALLOC!$AI$1:$AI$349,_CALC_ALLOC!$A$1:$A$349,"2026",_CALC_ALLOC!$B$1:$B$349,"ISCOM_TLS",_CALC_ALLOC!$D$1:$D$349,"BAC_COM",_CALC_ALLOC!$E$1:$E$349,"B3",_CALC_ALLOC!$F$1:$F$349,"ALT")</f>
        <v>0</v>
      </c>
      <c r="F59" s="84">
        <f>SUMIFS(_CALC_ALLOC!$AJ$1:$AJ$349,_CALC_ALLOC!$A$1:$A$349,"2026",_CALC_ALLOC!$B$1:$B$349,"ISCOM_TLS",_CALC_ALLOC!$D$1:$D$349,"BAC_COM",_CALC_ALLOC!$E$1:$E$349,"B3",_CALC_ALLOC!$F$1:$F$349,"ALT")</f>
        <v>0</v>
      </c>
      <c r="G59" s="84">
        <f>SUMIFS(_CALC_ALLOC!$AK$1:$AK$349,_CALC_ALLOC!$A$1:$A$349,"2026",_CALC_ALLOC!$B$1:$B$349,"ISCOM_TLS",_CALC_ALLOC!$D$1:$D$349,"BAC_COM",_CALC_ALLOC!$E$1:$E$349,"B3",_CALC_ALLOC!$F$1:$F$349,"ALT")</f>
        <v>0</v>
      </c>
      <c r="H59" s="84">
        <f>SUMIFS(_CALC_ALLOC!$AL$1:$AL$349,_CALC_ALLOC!$A$1:$A$349,"2026",_CALC_ALLOC!$B$1:$B$349,"ISCOM_TLS",_CALC_ALLOC!$D$1:$D$349,"BAC_COM",_CALC_ALLOC!$E$1:$E$349,"B3",_CALC_ALLOC!$F$1:$F$349,"ALT")</f>
        <v>0</v>
      </c>
      <c r="I59" s="84">
        <f>SUMIFS(_CALC_ALLOC!$AR$1:$AR$349,_CALC_ALLOC!$A$1:$A$349,"2026",_CALC_ALLOC!$B$1:$B$349,"ISCOM_TLS",_CALC_ALLOC!$D$1:$D$349,"BAC_COM",_CALC_ALLOC!$E$1:$E$349,"B3",_CALC_ALLOC!$F$1:$F$349,"ALT")</f>
        <v>0</v>
      </c>
      <c r="J59" s="84">
        <f>SUMIFS(_CALC_ALLOC!$AM$1:$AM$349,_CALC_ALLOC!$A$1:$A$349,"2026",_CALC_ALLOC!$B$1:$B$349,"ISCOM_TLS",_CALC_ALLOC!$D$1:$D$349,"BAC_COM",_CALC_ALLOC!$E$1:$E$349,"B3",_CALC_ALLOC!$F$1:$F$349,"ALT")</f>
        <v>0</v>
      </c>
      <c r="K59" s="123">
        <f t="shared" si="2"/>
        <v>0</v>
      </c>
      <c r="L59" s="131">
        <f>SUMIFS(_CALC_ALLOC!$AN$1:$AN$349,_CALC_ALLOC!$A$1:$A$349,"2026",_CALC_ALLOC!$B$1:$B$349,"ISCOM_TLS",_CALC_ALLOC!$D$1:$D$349,"BAC_COM",_CALC_ALLOC!$E$1:$E$349,"B3",_CALC_ALLOC!$F$1:$F$349,"ALT")</f>
        <v>0</v>
      </c>
      <c r="M59" s="86">
        <f t="shared" si="3"/>
        <v>0</v>
      </c>
    </row>
    <row r="60" spans="2:13" outlineLevel="2" x14ac:dyDescent="0.45">
      <c r="B60" s="37" t="s">
        <v>147</v>
      </c>
      <c r="C60" s="85">
        <f>SUMIFS(_CALC_ALLOC!$G$1:$G$349,_CALC_ALLOC!$A$1:$A$349,"2026",_CALC_ALLOC!$B$1:$B$349,"ISCOM_TLS",_CALC_ALLOC!$D$1:$D$349,"MAS_COM",_CALC_ALLOC!$E$1:$E$349,"M1",_CALC_ALLOC!$F$1:$F$349,"ALT")</f>
        <v>0</v>
      </c>
      <c r="D60" s="84">
        <f>SUMIFS(_CALC_ALLOC!$I$1:$I$349,_CALC_ALLOC!$A$1:$A$349,"2026",_CALC_ALLOC!$B$1:$B$349,"ISCOM_TLS",_CALC_ALLOC!$D$1:$D$349,"MAS_COM",_CALC_ALLOC!$E$1:$E$349,"M1",_CALC_ALLOC!$F$1:$F$349,"ALT")</f>
        <v>0</v>
      </c>
      <c r="E60" s="84">
        <f>SUMIFS(_CALC_ALLOC!$AI$1:$AI$349,_CALC_ALLOC!$A$1:$A$349,"2026",_CALC_ALLOC!$B$1:$B$349,"ISCOM_TLS",_CALC_ALLOC!$D$1:$D$349,"MAS_COM",_CALC_ALLOC!$E$1:$E$349,"M1",_CALC_ALLOC!$F$1:$F$349,"ALT")</f>
        <v>0</v>
      </c>
      <c r="F60" s="84">
        <f>SUMIFS(_CALC_ALLOC!$AJ$1:$AJ$349,_CALC_ALLOC!$A$1:$A$349,"2026",_CALC_ALLOC!$B$1:$B$349,"ISCOM_TLS",_CALC_ALLOC!$D$1:$D$349,"MAS_COM",_CALC_ALLOC!$E$1:$E$349,"M1",_CALC_ALLOC!$F$1:$F$349,"ALT")</f>
        <v>0</v>
      </c>
      <c r="G60" s="84">
        <f>SUMIFS(_CALC_ALLOC!$AK$1:$AK$349,_CALC_ALLOC!$A$1:$A$349,"2026",_CALC_ALLOC!$B$1:$B$349,"ISCOM_TLS",_CALC_ALLOC!$D$1:$D$349,"MAS_COM",_CALC_ALLOC!$E$1:$E$349,"M1",_CALC_ALLOC!$F$1:$F$349,"ALT")</f>
        <v>0</v>
      </c>
      <c r="H60" s="84">
        <f>SUMIFS(_CALC_ALLOC!$AL$1:$AL$349,_CALC_ALLOC!$A$1:$A$349,"2026",_CALC_ALLOC!$B$1:$B$349,"ISCOM_TLS",_CALC_ALLOC!$D$1:$D$349,"MAS_COM",_CALC_ALLOC!$E$1:$E$349,"M1",_CALC_ALLOC!$F$1:$F$349,"ALT")</f>
        <v>0</v>
      </c>
      <c r="I60" s="84">
        <f>SUMIFS(_CALC_ALLOC!$AR$1:$AR$349,_CALC_ALLOC!$A$1:$A$349,"2026",_CALC_ALLOC!$B$1:$B$349,"ISCOM_TLS",_CALC_ALLOC!$D$1:$D$349,"MAS_COM",_CALC_ALLOC!$E$1:$E$349,"M1",_CALC_ALLOC!$F$1:$F$349,"ALT")</f>
        <v>0</v>
      </c>
      <c r="J60" s="84">
        <f>SUMIFS(_CALC_ALLOC!$AM$1:$AM$349,_CALC_ALLOC!$A$1:$A$349,"2026",_CALC_ALLOC!$B$1:$B$349,"ISCOM_TLS",_CALC_ALLOC!$D$1:$D$349,"MAS_COM",_CALC_ALLOC!$E$1:$E$349,"M1",_CALC_ALLOC!$F$1:$F$349,"ALT")</f>
        <v>0</v>
      </c>
      <c r="K60" s="123">
        <f t="shared" si="2"/>
        <v>0</v>
      </c>
      <c r="L60" s="131">
        <f>SUMIFS(_CALC_ALLOC!$AN$1:$AN$349,_CALC_ALLOC!$A$1:$A$349,"2026",_CALC_ALLOC!$B$1:$B$349,"ISCOM_TLS",_CALC_ALLOC!$D$1:$D$349,"MAS_COM",_CALC_ALLOC!$E$1:$E$349,"M1",_CALC_ALLOC!$F$1:$F$349,"ALT")</f>
        <v>0</v>
      </c>
      <c r="M60" s="86">
        <f t="shared" si="3"/>
        <v>0</v>
      </c>
    </row>
    <row r="61" spans="2:13" outlineLevel="2" x14ac:dyDescent="0.45">
      <c r="B61" s="37" t="s">
        <v>148</v>
      </c>
      <c r="C61" s="85">
        <f>SUMIFS(_CALC_ALLOC!$G$1:$G$349,_CALC_ALLOC!$A$1:$A$349,"2026",_CALC_ALLOC!$B$1:$B$349,"ISCOM_TLS",_CALC_ALLOC!$D$1:$D$349,"MAS_COM",_CALC_ALLOC!$E$1:$E$349,"M2",_CALC_ALLOC!$F$1:$F$349,"ALT")</f>
        <v>0</v>
      </c>
      <c r="D61" s="84">
        <f>SUMIFS(_CALC_ALLOC!$I$1:$I$349,_CALC_ALLOC!$A$1:$A$349,"2026",_CALC_ALLOC!$B$1:$B$349,"ISCOM_TLS",_CALC_ALLOC!$D$1:$D$349,"MAS_COM",_CALC_ALLOC!$E$1:$E$349,"M2",_CALC_ALLOC!$F$1:$F$349,"ALT")</f>
        <v>0</v>
      </c>
      <c r="E61" s="84">
        <f>SUMIFS(_CALC_ALLOC!$AI$1:$AI$349,_CALC_ALLOC!$A$1:$A$349,"2026",_CALC_ALLOC!$B$1:$B$349,"ISCOM_TLS",_CALC_ALLOC!$D$1:$D$349,"MAS_COM",_CALC_ALLOC!$E$1:$E$349,"M2",_CALC_ALLOC!$F$1:$F$349,"ALT")</f>
        <v>0</v>
      </c>
      <c r="F61" s="84">
        <f>SUMIFS(_CALC_ALLOC!$AJ$1:$AJ$349,_CALC_ALLOC!$A$1:$A$349,"2026",_CALC_ALLOC!$B$1:$B$349,"ISCOM_TLS",_CALC_ALLOC!$D$1:$D$349,"MAS_COM",_CALC_ALLOC!$E$1:$E$349,"M2",_CALC_ALLOC!$F$1:$F$349,"ALT")</f>
        <v>0</v>
      </c>
      <c r="G61" s="84">
        <f>SUMIFS(_CALC_ALLOC!$AK$1:$AK$349,_CALC_ALLOC!$A$1:$A$349,"2026",_CALC_ALLOC!$B$1:$B$349,"ISCOM_TLS",_CALC_ALLOC!$D$1:$D$349,"MAS_COM",_CALC_ALLOC!$E$1:$E$349,"M2",_CALC_ALLOC!$F$1:$F$349,"ALT")</f>
        <v>0</v>
      </c>
      <c r="H61" s="84">
        <f>SUMIFS(_CALC_ALLOC!$AL$1:$AL$349,_CALC_ALLOC!$A$1:$A$349,"2026",_CALC_ALLOC!$B$1:$B$349,"ISCOM_TLS",_CALC_ALLOC!$D$1:$D$349,"MAS_COM",_CALC_ALLOC!$E$1:$E$349,"M2",_CALC_ALLOC!$F$1:$F$349,"ALT")</f>
        <v>0</v>
      </c>
      <c r="I61" s="84">
        <f>SUMIFS(_CALC_ALLOC!$AR$1:$AR$349,_CALC_ALLOC!$A$1:$A$349,"2026",_CALC_ALLOC!$B$1:$B$349,"ISCOM_TLS",_CALC_ALLOC!$D$1:$D$349,"MAS_COM",_CALC_ALLOC!$E$1:$E$349,"M2",_CALC_ALLOC!$F$1:$F$349,"ALT")</f>
        <v>0</v>
      </c>
      <c r="J61" s="84">
        <f>SUMIFS(_CALC_ALLOC!$AM$1:$AM$349,_CALC_ALLOC!$A$1:$A$349,"2026",_CALC_ALLOC!$B$1:$B$349,"ISCOM_TLS",_CALC_ALLOC!$D$1:$D$349,"MAS_COM",_CALC_ALLOC!$E$1:$E$349,"M2",_CALC_ALLOC!$F$1:$F$349,"ALT")</f>
        <v>0</v>
      </c>
      <c r="K61" s="123">
        <f t="shared" si="2"/>
        <v>0</v>
      </c>
      <c r="L61" s="131">
        <f>SUMIFS(_CALC_ALLOC!$AN$1:$AN$349,_CALC_ALLOC!$A$1:$A$349,"2026",_CALC_ALLOC!$B$1:$B$349,"ISCOM_TLS",_CALC_ALLOC!$D$1:$D$349,"MAS_COM",_CALC_ALLOC!$E$1:$E$349,"M2",_CALC_ALLOC!$F$1:$F$349,"ALT")</f>
        <v>0</v>
      </c>
      <c r="M61" s="86">
        <f t="shared" si="3"/>
        <v>0</v>
      </c>
    </row>
    <row r="62" spans="2:13" x14ac:dyDescent="0.45">
      <c r="B62" s="39" t="s">
        <v>115</v>
      </c>
      <c r="C62" s="122">
        <f>SUMIFS(_CALC_ALLOC!$G$1:$G$349,_CALC_ALLOC!$A$1:$A$349,"2026",_CALC_ALLOC!$C$1:$C$349,"IPAC")</f>
        <v>0</v>
      </c>
      <c r="D62" s="123">
        <f>SUMIFS(_CALC_ALLOC!$I$1:$I$349,_CALC_ALLOC!$A$1:$A$349,"2026",_CALC_ALLOC!$C$1:$C$349,"IPAC")</f>
        <v>0</v>
      </c>
      <c r="E62" s="123">
        <f>SUMIFS(_CALC_ALLOC!$AI$1:$AI$349,_CALC_ALLOC!$A$1:$A$349,"2026",_CALC_ALLOC!$C$1:$C$349,"IPAC")</f>
        <v>0</v>
      </c>
      <c r="F62" s="123">
        <f>SUMIFS(_CALC_ALLOC!$AJ$1:$AJ$349,_CALC_ALLOC!$A$1:$A$349,"2026",_CALC_ALLOC!$C$1:$C$349,"IPAC")</f>
        <v>0</v>
      </c>
      <c r="G62" s="123">
        <f>SUMIFS(_CALC_ALLOC!$AK$1:$AK$349,_CALC_ALLOC!$A$1:$A$349,"2026",_CALC_ALLOC!$C$1:$C$349,"IPAC")</f>
        <v>0</v>
      </c>
      <c r="H62" s="123">
        <f>SUMIFS(_CALC_ALLOC!$AL$1:$AL$349,_CALC_ALLOC!$A$1:$A$349,"2026",_CALC_ALLOC!$C$1:$C$349,"IPAC")</f>
        <v>0</v>
      </c>
      <c r="I62" s="123">
        <f>SUMIFS(_CALC_ALLOC!$AR$1:$AR$349,_CALC_ALLOC!$A$1:$A$349,"2026",_CALC_ALLOC!$C$1:$C$349,"IPAC")</f>
        <v>0</v>
      </c>
      <c r="J62" s="123">
        <f>SUMIFS(_CALC_ALLOC!$AM$1:$AM$349,_CALC_ALLOC!$A$1:$A$349,"2026",_CALC_ALLOC!$C$1:$C$349,"IPAC")</f>
        <v>0</v>
      </c>
      <c r="K62" s="123">
        <f t="shared" si="2"/>
        <v>0</v>
      </c>
      <c r="L62" s="130">
        <f>SUMIFS(_CALC_ALLOC!$AN$1:$AN$349,_CALC_ALLOC!$A$1:$A$349,"2026",_CALC_ALLOC!$C$1:$C$349,"IPAC")</f>
        <v>0</v>
      </c>
      <c r="M62" s="124">
        <f t="shared" si="3"/>
        <v>0</v>
      </c>
    </row>
    <row r="63" spans="2:13" outlineLevel="1" collapsed="1" x14ac:dyDescent="0.45">
      <c r="B63" s="36" t="s">
        <v>151</v>
      </c>
      <c r="C63" s="122">
        <f>SUMIFS(_CALC_ALLOC!$G$1:$G$349,_CALC_ALLOC!$A$1:$A$349,"2026",_CALC_ALLOC!$B$1:$B$349,"IPAC_NAN")</f>
        <v>0</v>
      </c>
      <c r="D63" s="123">
        <f>SUMIFS(_CALC_ALLOC!$I$1:$I$349,_CALC_ALLOC!$A$1:$A$349,"2026",_CALC_ALLOC!$B$1:$B$349,"IPAC_NAN")</f>
        <v>0</v>
      </c>
      <c r="E63" s="123">
        <f>SUMIFS(_CALC_ALLOC!$AI$1:$AI$349,_CALC_ALLOC!$A$1:$A$349,"2026",_CALC_ALLOC!$B$1:$B$349,"IPAC_NAN")</f>
        <v>0</v>
      </c>
      <c r="F63" s="123">
        <f>SUMIFS(_CALC_ALLOC!$AJ$1:$AJ$349,_CALC_ALLOC!$A$1:$A$349,"2026",_CALC_ALLOC!$B$1:$B$349,"IPAC_NAN")</f>
        <v>0</v>
      </c>
      <c r="G63" s="123">
        <f>SUMIFS(_CALC_ALLOC!$AK$1:$AK$349,_CALC_ALLOC!$A$1:$A$349,"2026",_CALC_ALLOC!$B$1:$B$349,"IPAC_NAN")</f>
        <v>0</v>
      </c>
      <c r="H63" s="123">
        <f>SUMIFS(_CALC_ALLOC!$AL$1:$AL$349,_CALC_ALLOC!$A$1:$A$349,"2026",_CALC_ALLOC!$B$1:$B$349,"IPAC_NAN")</f>
        <v>0</v>
      </c>
      <c r="I63" s="123">
        <f>SUMIFS(_CALC_ALLOC!$AR$1:$AR$349,_CALC_ALLOC!$A$1:$A$349,"2026",_CALC_ALLOC!$B$1:$B$349,"IPAC_NAN")</f>
        <v>0</v>
      </c>
      <c r="J63" s="123">
        <f>SUMIFS(_CALC_ALLOC!$AM$1:$AM$349,_CALC_ALLOC!$A$1:$A$349,"2026",_CALC_ALLOC!$B$1:$B$349,"IPAC_NAN")</f>
        <v>0</v>
      </c>
      <c r="K63" s="123">
        <f t="shared" si="2"/>
        <v>0</v>
      </c>
      <c r="L63" s="130">
        <f>SUMIFS(_CALC_ALLOC!$AN$1:$AN$349,_CALC_ALLOC!$A$1:$A$349,"2026",_CALC_ALLOC!$B$1:$B$349,"IPAC_NAN")</f>
        <v>0</v>
      </c>
      <c r="M63" s="124">
        <f t="shared" si="3"/>
        <v>0</v>
      </c>
    </row>
    <row r="64" spans="2:13" outlineLevel="2" x14ac:dyDescent="0.45">
      <c r="B64" s="37" t="s">
        <v>152</v>
      </c>
      <c r="C64" s="85">
        <f>SUMIFS(_CALC_ALLOC!$G$1:$G$349,_CALC_ALLOC!$A$1:$A$349,"2026",_CALC_ALLOC!$B$1:$B$349,"IPAC_NAN",_CALC_ALLOC!$D$1:$D$349,"BAC_CCE",_CALC_ALLOC!$E$1:$E$349,"B1",_CALC_ALLOC!$F$1:$F$349,"ALT")</f>
        <v>0</v>
      </c>
      <c r="D64" s="84">
        <f>SUMIFS(_CALC_ALLOC!$I$1:$I$349,_CALC_ALLOC!$A$1:$A$349,"2026",_CALC_ALLOC!$B$1:$B$349,"IPAC_NAN",_CALC_ALLOC!$D$1:$D$349,"BAC_CCE",_CALC_ALLOC!$E$1:$E$349,"B1",_CALC_ALLOC!$F$1:$F$349,"ALT")</f>
        <v>0</v>
      </c>
      <c r="E64" s="84">
        <f>SUMIFS(_CALC_ALLOC!$AI$1:$AI$349,_CALC_ALLOC!$A$1:$A$349,"2026",_CALC_ALLOC!$B$1:$B$349,"IPAC_NAN",_CALC_ALLOC!$D$1:$D$349,"BAC_CCE",_CALC_ALLOC!$E$1:$E$349,"B1",_CALC_ALLOC!$F$1:$F$349,"ALT")</f>
        <v>0</v>
      </c>
      <c r="F64" s="84">
        <f>SUMIFS(_CALC_ALLOC!$AJ$1:$AJ$349,_CALC_ALLOC!$A$1:$A$349,"2026",_CALC_ALLOC!$B$1:$B$349,"IPAC_NAN",_CALC_ALLOC!$D$1:$D$349,"BAC_CCE",_CALC_ALLOC!$E$1:$E$349,"B1",_CALC_ALLOC!$F$1:$F$349,"ALT")</f>
        <v>0</v>
      </c>
      <c r="G64" s="84">
        <f>SUMIFS(_CALC_ALLOC!$AK$1:$AK$349,_CALC_ALLOC!$A$1:$A$349,"2026",_CALC_ALLOC!$B$1:$B$349,"IPAC_NAN",_CALC_ALLOC!$D$1:$D$349,"BAC_CCE",_CALC_ALLOC!$E$1:$E$349,"B1",_CALC_ALLOC!$F$1:$F$349,"ALT")</f>
        <v>0</v>
      </c>
      <c r="H64" s="84">
        <f>SUMIFS(_CALC_ALLOC!$AL$1:$AL$349,_CALC_ALLOC!$A$1:$A$349,"2026",_CALC_ALLOC!$B$1:$B$349,"IPAC_NAN",_CALC_ALLOC!$D$1:$D$349,"BAC_CCE",_CALC_ALLOC!$E$1:$E$349,"B1",_CALC_ALLOC!$F$1:$F$349,"ALT")</f>
        <v>0</v>
      </c>
      <c r="I64" s="84">
        <f>SUMIFS(_CALC_ALLOC!$AR$1:$AR$349,_CALC_ALLOC!$A$1:$A$349,"2026",_CALC_ALLOC!$B$1:$B$349,"IPAC_NAN",_CALC_ALLOC!$D$1:$D$349,"BAC_CCE",_CALC_ALLOC!$E$1:$E$349,"B1",_CALC_ALLOC!$F$1:$F$349,"ALT")</f>
        <v>0</v>
      </c>
      <c r="J64" s="84">
        <f>SUMIFS(_CALC_ALLOC!$AM$1:$AM$349,_CALC_ALLOC!$A$1:$A$349,"2026",_CALC_ALLOC!$B$1:$B$349,"IPAC_NAN",_CALC_ALLOC!$D$1:$D$349,"BAC_CCE",_CALC_ALLOC!$E$1:$E$349,"B1",_CALC_ALLOC!$F$1:$F$349,"ALT")</f>
        <v>0</v>
      </c>
      <c r="K64" s="123">
        <f t="shared" si="2"/>
        <v>0</v>
      </c>
      <c r="L64" s="131">
        <f>SUMIFS(_CALC_ALLOC!$AN$1:$AN$349,_CALC_ALLOC!$A$1:$A$349,"2026",_CALC_ALLOC!$B$1:$B$349,"IPAC_NAN",_CALC_ALLOC!$D$1:$D$349,"BAC_CCE",_CALC_ALLOC!$E$1:$E$349,"B1",_CALC_ALLOC!$F$1:$F$349,"ALT")</f>
        <v>0</v>
      </c>
      <c r="M64" s="86">
        <f t="shared" si="3"/>
        <v>0</v>
      </c>
    </row>
    <row r="65" spans="2:13" outlineLevel="2" x14ac:dyDescent="0.45">
      <c r="B65" s="37" t="s">
        <v>153</v>
      </c>
      <c r="C65" s="85">
        <f>SUMIFS(_CALC_ALLOC!$G$1:$G$349,_CALC_ALLOC!$A$1:$A$349,"2026",_CALC_ALLOC!$B$1:$B$349,"IPAC_NAN",_CALC_ALLOC!$D$1:$D$349,"BAC_CCE",_CALC_ALLOC!$E$1:$E$349,"B2",_CALC_ALLOC!$F$1:$F$349,"ALT")</f>
        <v>0</v>
      </c>
      <c r="D65" s="84">
        <f>SUMIFS(_CALC_ALLOC!$I$1:$I$349,_CALC_ALLOC!$A$1:$A$349,"2026",_CALC_ALLOC!$B$1:$B$349,"IPAC_NAN",_CALC_ALLOC!$D$1:$D$349,"BAC_CCE",_CALC_ALLOC!$E$1:$E$349,"B2",_CALC_ALLOC!$F$1:$F$349,"ALT")</f>
        <v>0</v>
      </c>
      <c r="E65" s="84">
        <f>SUMIFS(_CALC_ALLOC!$AI$1:$AI$349,_CALC_ALLOC!$A$1:$A$349,"2026",_CALC_ALLOC!$B$1:$B$349,"IPAC_NAN",_CALC_ALLOC!$D$1:$D$349,"BAC_CCE",_CALC_ALLOC!$E$1:$E$349,"B2",_CALC_ALLOC!$F$1:$F$349,"ALT")</f>
        <v>0</v>
      </c>
      <c r="F65" s="84">
        <f>SUMIFS(_CALC_ALLOC!$AJ$1:$AJ$349,_CALC_ALLOC!$A$1:$A$349,"2026",_CALC_ALLOC!$B$1:$B$349,"IPAC_NAN",_CALC_ALLOC!$D$1:$D$349,"BAC_CCE",_CALC_ALLOC!$E$1:$E$349,"B2",_CALC_ALLOC!$F$1:$F$349,"ALT")</f>
        <v>0</v>
      </c>
      <c r="G65" s="84">
        <f>SUMIFS(_CALC_ALLOC!$AK$1:$AK$349,_CALC_ALLOC!$A$1:$A$349,"2026",_CALC_ALLOC!$B$1:$B$349,"IPAC_NAN",_CALC_ALLOC!$D$1:$D$349,"BAC_CCE",_CALC_ALLOC!$E$1:$E$349,"B2",_CALC_ALLOC!$F$1:$F$349,"ALT")</f>
        <v>0</v>
      </c>
      <c r="H65" s="84">
        <f>SUMIFS(_CALC_ALLOC!$AL$1:$AL$349,_CALC_ALLOC!$A$1:$A$349,"2026",_CALC_ALLOC!$B$1:$B$349,"IPAC_NAN",_CALC_ALLOC!$D$1:$D$349,"BAC_CCE",_CALC_ALLOC!$E$1:$E$349,"B2",_CALC_ALLOC!$F$1:$F$349,"ALT")</f>
        <v>0</v>
      </c>
      <c r="I65" s="84">
        <f>SUMIFS(_CALC_ALLOC!$AR$1:$AR$349,_CALC_ALLOC!$A$1:$A$349,"2026",_CALC_ALLOC!$B$1:$B$349,"IPAC_NAN",_CALC_ALLOC!$D$1:$D$349,"BAC_CCE",_CALC_ALLOC!$E$1:$E$349,"B2",_CALC_ALLOC!$F$1:$F$349,"ALT")</f>
        <v>0</v>
      </c>
      <c r="J65" s="84">
        <f>SUMIFS(_CALC_ALLOC!$AM$1:$AM$349,_CALC_ALLOC!$A$1:$A$349,"2026",_CALC_ALLOC!$B$1:$B$349,"IPAC_NAN",_CALC_ALLOC!$D$1:$D$349,"BAC_CCE",_CALC_ALLOC!$E$1:$E$349,"B2",_CALC_ALLOC!$F$1:$F$349,"ALT")</f>
        <v>0</v>
      </c>
      <c r="K65" s="123">
        <f t="shared" si="2"/>
        <v>0</v>
      </c>
      <c r="L65" s="131">
        <f>SUMIFS(_CALC_ALLOC!$AN$1:$AN$349,_CALC_ALLOC!$A$1:$A$349,"2026",_CALC_ALLOC!$B$1:$B$349,"IPAC_NAN",_CALC_ALLOC!$D$1:$D$349,"BAC_CCE",_CALC_ALLOC!$E$1:$E$349,"B2",_CALC_ALLOC!$F$1:$F$349,"ALT")</f>
        <v>0</v>
      </c>
      <c r="M65" s="86">
        <f t="shared" si="3"/>
        <v>0</v>
      </c>
    </row>
    <row r="66" spans="2:13" outlineLevel="2" x14ac:dyDescent="0.45">
      <c r="B66" s="37" t="s">
        <v>154</v>
      </c>
      <c r="C66" s="85">
        <f>SUMIFS(_CALC_ALLOC!$G$1:$G$349,_CALC_ALLOC!$A$1:$A$349,"2026",_CALC_ALLOC!$B$1:$B$349,"IPAC_NAN",_CALC_ALLOC!$D$1:$D$349,"BAC_CCE",_CALC_ALLOC!$E$1:$E$349,"B3",_CALC_ALLOC!$F$1:$F$349,"ALT")</f>
        <v>0</v>
      </c>
      <c r="D66" s="84">
        <f>SUMIFS(_CALC_ALLOC!$I$1:$I$349,_CALC_ALLOC!$A$1:$A$349,"2026",_CALC_ALLOC!$B$1:$B$349,"IPAC_NAN",_CALC_ALLOC!$D$1:$D$349,"BAC_CCE",_CALC_ALLOC!$E$1:$E$349,"B3",_CALC_ALLOC!$F$1:$F$349,"ALT")</f>
        <v>0</v>
      </c>
      <c r="E66" s="84">
        <f>SUMIFS(_CALC_ALLOC!$AI$1:$AI$349,_CALC_ALLOC!$A$1:$A$349,"2026",_CALC_ALLOC!$B$1:$B$349,"IPAC_NAN",_CALC_ALLOC!$D$1:$D$349,"BAC_CCE",_CALC_ALLOC!$E$1:$E$349,"B3",_CALC_ALLOC!$F$1:$F$349,"ALT")</f>
        <v>0</v>
      </c>
      <c r="F66" s="84">
        <f>SUMIFS(_CALC_ALLOC!$AJ$1:$AJ$349,_CALC_ALLOC!$A$1:$A$349,"2026",_CALC_ALLOC!$B$1:$B$349,"IPAC_NAN",_CALC_ALLOC!$D$1:$D$349,"BAC_CCE",_CALC_ALLOC!$E$1:$E$349,"B3",_CALC_ALLOC!$F$1:$F$349,"ALT")</f>
        <v>0</v>
      </c>
      <c r="G66" s="84">
        <f>SUMIFS(_CALC_ALLOC!$AK$1:$AK$349,_CALC_ALLOC!$A$1:$A$349,"2026",_CALC_ALLOC!$B$1:$B$349,"IPAC_NAN",_CALC_ALLOC!$D$1:$D$349,"BAC_CCE",_CALC_ALLOC!$E$1:$E$349,"B3",_CALC_ALLOC!$F$1:$F$349,"ALT")</f>
        <v>0</v>
      </c>
      <c r="H66" s="84">
        <f>SUMIFS(_CALC_ALLOC!$AL$1:$AL$349,_CALC_ALLOC!$A$1:$A$349,"2026",_CALC_ALLOC!$B$1:$B$349,"IPAC_NAN",_CALC_ALLOC!$D$1:$D$349,"BAC_CCE",_CALC_ALLOC!$E$1:$E$349,"B3",_CALC_ALLOC!$F$1:$F$349,"ALT")</f>
        <v>0</v>
      </c>
      <c r="I66" s="84">
        <f>SUMIFS(_CALC_ALLOC!$AR$1:$AR$349,_CALC_ALLOC!$A$1:$A$349,"2026",_CALC_ALLOC!$B$1:$B$349,"IPAC_NAN",_CALC_ALLOC!$D$1:$D$349,"BAC_CCE",_CALC_ALLOC!$E$1:$E$349,"B3",_CALC_ALLOC!$F$1:$F$349,"ALT")</f>
        <v>0</v>
      </c>
      <c r="J66" s="84">
        <f>SUMIFS(_CALC_ALLOC!$AM$1:$AM$349,_CALC_ALLOC!$A$1:$A$349,"2026",_CALC_ALLOC!$B$1:$B$349,"IPAC_NAN",_CALC_ALLOC!$D$1:$D$349,"BAC_CCE",_CALC_ALLOC!$E$1:$E$349,"B3",_CALC_ALLOC!$F$1:$F$349,"ALT")</f>
        <v>0</v>
      </c>
      <c r="K66" s="123">
        <f t="shared" si="2"/>
        <v>0</v>
      </c>
      <c r="L66" s="131">
        <f>SUMIFS(_CALC_ALLOC!$AN$1:$AN$349,_CALC_ALLOC!$A$1:$A$349,"2026",_CALC_ALLOC!$B$1:$B$349,"IPAC_NAN",_CALC_ALLOC!$D$1:$D$349,"BAC_CCE",_CALC_ALLOC!$E$1:$E$349,"B3",_CALC_ALLOC!$F$1:$F$349,"ALT")</f>
        <v>0</v>
      </c>
      <c r="M66" s="86">
        <f t="shared" si="3"/>
        <v>0</v>
      </c>
    </row>
    <row r="67" spans="2:13" outlineLevel="1" x14ac:dyDescent="0.45">
      <c r="B67" s="36" t="s">
        <v>155</v>
      </c>
      <c r="C67" s="122">
        <f>SUMIFS(_CALC_ALLOC!$G$1:$G$349,_CALC_ALLOC!$A$1:$A$349,"2026",_CALC_ALLOC!$B$1:$B$349,"IPAC_REN")</f>
        <v>0</v>
      </c>
      <c r="D67" s="123">
        <f>SUMIFS(_CALC_ALLOC!$I$1:$I$349,_CALC_ALLOC!$A$1:$A$349,"2026",_CALC_ALLOC!$B$1:$B$349,"IPAC_REN")</f>
        <v>0</v>
      </c>
      <c r="E67" s="123">
        <f>SUMIFS(_CALC_ALLOC!$AI$1:$AI$349,_CALC_ALLOC!$A$1:$A$349,"2026",_CALC_ALLOC!$B$1:$B$349,"IPAC_REN")</f>
        <v>0</v>
      </c>
      <c r="F67" s="123">
        <f>SUMIFS(_CALC_ALLOC!$AJ$1:$AJ$349,_CALC_ALLOC!$A$1:$A$349,"2026",_CALC_ALLOC!$B$1:$B$349,"IPAC_REN")</f>
        <v>0</v>
      </c>
      <c r="G67" s="123">
        <f>SUMIFS(_CALC_ALLOC!$AK$1:$AK$349,_CALC_ALLOC!$A$1:$A$349,"2026",_CALC_ALLOC!$B$1:$B$349,"IPAC_REN")</f>
        <v>0</v>
      </c>
      <c r="H67" s="123">
        <f>SUMIFS(_CALC_ALLOC!$AL$1:$AL$349,_CALC_ALLOC!$A$1:$A$349,"2026",_CALC_ALLOC!$B$1:$B$349,"IPAC_REN")</f>
        <v>0</v>
      </c>
      <c r="I67" s="123">
        <f>SUMIFS(_CALC_ALLOC!$AR$1:$AR$349,_CALC_ALLOC!$A$1:$A$349,"2026",_CALC_ALLOC!$B$1:$B$349,"IPAC_REN")</f>
        <v>0</v>
      </c>
      <c r="J67" s="123">
        <f>SUMIFS(_CALC_ALLOC!$AM$1:$AM$349,_CALC_ALLOC!$A$1:$A$349,"2026",_CALC_ALLOC!$B$1:$B$349,"IPAC_REN")</f>
        <v>0</v>
      </c>
      <c r="K67" s="123">
        <f t="shared" si="2"/>
        <v>0</v>
      </c>
      <c r="L67" s="130">
        <f>SUMIFS(_CALC_ALLOC!$AN$1:$AN$349,_CALC_ALLOC!$A$1:$A$349,"2026",_CALC_ALLOC!$B$1:$B$349,"IPAC_REN")</f>
        <v>0</v>
      </c>
      <c r="M67" s="124">
        <f t="shared" si="3"/>
        <v>0</v>
      </c>
    </row>
    <row r="68" spans="2:13" outlineLevel="2" x14ac:dyDescent="0.45">
      <c r="B68" s="37" t="s">
        <v>152</v>
      </c>
      <c r="C68" s="85">
        <f>SUMIFS(_CALC_ALLOC!$G$1:$G$349,_CALC_ALLOC!$A$1:$A$349,"2026",_CALC_ALLOC!$B$1:$B$349,"IPAC_REN",_CALC_ALLOC!$D$1:$D$349,"BAC_CCE",_CALC_ALLOC!$E$1:$E$349,"B1",_CALC_ALLOC!$F$1:$F$349,"ALT")</f>
        <v>0</v>
      </c>
      <c r="D68" s="84">
        <f>SUMIFS(_CALC_ALLOC!$I$1:$I$349,_CALC_ALLOC!$A$1:$A$349,"2026",_CALC_ALLOC!$B$1:$B$349,"IPAC_REN",_CALC_ALLOC!$D$1:$D$349,"BAC_CCE",_CALC_ALLOC!$E$1:$E$349,"B1",_CALC_ALLOC!$F$1:$F$349,"ALT")</f>
        <v>0</v>
      </c>
      <c r="E68" s="84">
        <f>SUMIFS(_CALC_ALLOC!$AI$1:$AI$349,_CALC_ALLOC!$A$1:$A$349,"2026",_CALC_ALLOC!$B$1:$B$349,"IPAC_REN",_CALC_ALLOC!$D$1:$D$349,"BAC_CCE",_CALC_ALLOC!$E$1:$E$349,"B1",_CALC_ALLOC!$F$1:$F$349,"ALT")</f>
        <v>0</v>
      </c>
      <c r="F68" s="84">
        <f>SUMIFS(_CALC_ALLOC!$AJ$1:$AJ$349,_CALC_ALLOC!$A$1:$A$349,"2026",_CALC_ALLOC!$B$1:$B$349,"IPAC_REN",_CALC_ALLOC!$D$1:$D$349,"BAC_CCE",_CALC_ALLOC!$E$1:$E$349,"B1",_CALC_ALLOC!$F$1:$F$349,"ALT")</f>
        <v>0</v>
      </c>
      <c r="G68" s="84">
        <f>SUMIFS(_CALC_ALLOC!$AK$1:$AK$349,_CALC_ALLOC!$A$1:$A$349,"2026",_CALC_ALLOC!$B$1:$B$349,"IPAC_REN",_CALC_ALLOC!$D$1:$D$349,"BAC_CCE",_CALC_ALLOC!$E$1:$E$349,"B1",_CALC_ALLOC!$F$1:$F$349,"ALT")</f>
        <v>0</v>
      </c>
      <c r="H68" s="84">
        <f>SUMIFS(_CALC_ALLOC!$AL$1:$AL$349,_CALC_ALLOC!$A$1:$A$349,"2026",_CALC_ALLOC!$B$1:$B$349,"IPAC_REN",_CALC_ALLOC!$D$1:$D$349,"BAC_CCE",_CALC_ALLOC!$E$1:$E$349,"B1",_CALC_ALLOC!$F$1:$F$349,"ALT")</f>
        <v>0</v>
      </c>
      <c r="I68" s="84">
        <f>SUMIFS(_CALC_ALLOC!$AR$1:$AR$349,_CALC_ALLOC!$A$1:$A$349,"2026",_CALC_ALLOC!$B$1:$B$349,"IPAC_REN",_CALC_ALLOC!$D$1:$D$349,"BAC_CCE",_CALC_ALLOC!$E$1:$E$349,"B1",_CALC_ALLOC!$F$1:$F$349,"ALT")</f>
        <v>0</v>
      </c>
      <c r="J68" s="84">
        <f>SUMIFS(_CALC_ALLOC!$AM$1:$AM$349,_CALC_ALLOC!$A$1:$A$349,"2026",_CALC_ALLOC!$B$1:$B$349,"IPAC_REN",_CALC_ALLOC!$D$1:$D$349,"BAC_CCE",_CALC_ALLOC!$E$1:$E$349,"B1",_CALC_ALLOC!$F$1:$F$349,"ALT")</f>
        <v>0</v>
      </c>
      <c r="K68" s="123">
        <f t="shared" si="2"/>
        <v>0</v>
      </c>
      <c r="L68" s="131">
        <f>SUMIFS(_CALC_ALLOC!$AN$1:$AN$349,_CALC_ALLOC!$A$1:$A$349,"2026",_CALC_ALLOC!$B$1:$B$349,"IPAC_REN",_CALC_ALLOC!$D$1:$D$349,"BAC_CCE",_CALC_ALLOC!$E$1:$E$349,"B1",_CALC_ALLOC!$F$1:$F$349,"ALT")</f>
        <v>0</v>
      </c>
      <c r="M68" s="86">
        <f t="shared" si="3"/>
        <v>0</v>
      </c>
    </row>
    <row r="69" spans="2:13" outlineLevel="2" x14ac:dyDescent="0.45">
      <c r="B69" s="37" t="s">
        <v>153</v>
      </c>
      <c r="C69" s="85">
        <f>SUMIFS(_CALC_ALLOC!$G$1:$G$349,_CALC_ALLOC!$A$1:$A$349,"2026",_CALC_ALLOC!$B$1:$B$349,"IPAC_REN",_CALC_ALLOC!$D$1:$D$349,"BAC_CCE",_CALC_ALLOC!$E$1:$E$349,"B2",_CALC_ALLOC!$F$1:$F$349,"ALT")</f>
        <v>0</v>
      </c>
      <c r="D69" s="84">
        <f>SUMIFS(_CALC_ALLOC!$I$1:$I$349,_CALC_ALLOC!$A$1:$A$349,"2026",_CALC_ALLOC!$B$1:$B$349,"IPAC_REN",_CALC_ALLOC!$D$1:$D$349,"BAC_CCE",_CALC_ALLOC!$E$1:$E$349,"B2",_CALC_ALLOC!$F$1:$F$349,"ALT")</f>
        <v>0</v>
      </c>
      <c r="E69" s="84">
        <f>SUMIFS(_CALC_ALLOC!$AI$1:$AI$349,_CALC_ALLOC!$A$1:$A$349,"2026",_CALC_ALLOC!$B$1:$B$349,"IPAC_REN",_CALC_ALLOC!$D$1:$D$349,"BAC_CCE",_CALC_ALLOC!$E$1:$E$349,"B2",_CALC_ALLOC!$F$1:$F$349,"ALT")</f>
        <v>0</v>
      </c>
      <c r="F69" s="84">
        <f>SUMIFS(_CALC_ALLOC!$AJ$1:$AJ$349,_CALC_ALLOC!$A$1:$A$349,"2026",_CALC_ALLOC!$B$1:$B$349,"IPAC_REN",_CALC_ALLOC!$D$1:$D$349,"BAC_CCE",_CALC_ALLOC!$E$1:$E$349,"B2",_CALC_ALLOC!$F$1:$F$349,"ALT")</f>
        <v>0</v>
      </c>
      <c r="G69" s="84">
        <f>SUMIFS(_CALC_ALLOC!$AK$1:$AK$349,_CALC_ALLOC!$A$1:$A$349,"2026",_CALC_ALLOC!$B$1:$B$349,"IPAC_REN",_CALC_ALLOC!$D$1:$D$349,"BAC_CCE",_CALC_ALLOC!$E$1:$E$349,"B2",_CALC_ALLOC!$F$1:$F$349,"ALT")</f>
        <v>0</v>
      </c>
      <c r="H69" s="84">
        <f>SUMIFS(_CALC_ALLOC!$AL$1:$AL$349,_CALC_ALLOC!$A$1:$A$349,"2026",_CALC_ALLOC!$B$1:$B$349,"IPAC_REN",_CALC_ALLOC!$D$1:$D$349,"BAC_CCE",_CALC_ALLOC!$E$1:$E$349,"B2",_CALC_ALLOC!$F$1:$F$349,"ALT")</f>
        <v>0</v>
      </c>
      <c r="I69" s="84">
        <f>SUMIFS(_CALC_ALLOC!$AR$1:$AR$349,_CALC_ALLOC!$A$1:$A$349,"2026",_CALC_ALLOC!$B$1:$B$349,"IPAC_REN",_CALC_ALLOC!$D$1:$D$349,"BAC_CCE",_CALC_ALLOC!$E$1:$E$349,"B2",_CALC_ALLOC!$F$1:$F$349,"ALT")</f>
        <v>0</v>
      </c>
      <c r="J69" s="84">
        <f>SUMIFS(_CALC_ALLOC!$AM$1:$AM$349,_CALC_ALLOC!$A$1:$A$349,"2026",_CALC_ALLOC!$B$1:$B$349,"IPAC_REN",_CALC_ALLOC!$D$1:$D$349,"BAC_CCE",_CALC_ALLOC!$E$1:$E$349,"B2",_CALC_ALLOC!$F$1:$F$349,"ALT")</f>
        <v>0</v>
      </c>
      <c r="K69" s="123">
        <f t="shared" si="2"/>
        <v>0</v>
      </c>
      <c r="L69" s="131">
        <f>SUMIFS(_CALC_ALLOC!$AN$1:$AN$349,_CALC_ALLOC!$A$1:$A$349,"2026",_CALC_ALLOC!$B$1:$B$349,"IPAC_REN",_CALC_ALLOC!$D$1:$D$349,"BAC_CCE",_CALC_ALLOC!$E$1:$E$349,"B2",_CALC_ALLOC!$F$1:$F$349,"ALT")</f>
        <v>0</v>
      </c>
      <c r="M69" s="86">
        <f t="shared" si="3"/>
        <v>0</v>
      </c>
    </row>
    <row r="70" spans="2:13" outlineLevel="2" x14ac:dyDescent="0.45">
      <c r="B70" s="37" t="s">
        <v>154</v>
      </c>
      <c r="C70" s="85">
        <f>SUMIFS(_CALC_ALLOC!$G$1:$G$349,_CALC_ALLOC!$A$1:$A$349,"2026",_CALC_ALLOC!$B$1:$B$349,"IPAC_REN",_CALC_ALLOC!$D$1:$D$349,"BAC_CCE",_CALC_ALLOC!$E$1:$E$349,"B3",_CALC_ALLOC!$F$1:$F$349,"ALT")</f>
        <v>0</v>
      </c>
      <c r="D70" s="84">
        <f>SUMIFS(_CALC_ALLOC!$I$1:$I$349,_CALC_ALLOC!$A$1:$A$349,"2026",_CALC_ALLOC!$B$1:$B$349,"IPAC_REN",_CALC_ALLOC!$D$1:$D$349,"BAC_CCE",_CALC_ALLOC!$E$1:$E$349,"B3",_CALC_ALLOC!$F$1:$F$349,"ALT")</f>
        <v>0</v>
      </c>
      <c r="E70" s="84">
        <f>SUMIFS(_CALC_ALLOC!$AI$1:$AI$349,_CALC_ALLOC!$A$1:$A$349,"2026",_CALC_ALLOC!$B$1:$B$349,"IPAC_REN",_CALC_ALLOC!$D$1:$D$349,"BAC_CCE",_CALC_ALLOC!$E$1:$E$349,"B3",_CALC_ALLOC!$F$1:$F$349,"ALT")</f>
        <v>0</v>
      </c>
      <c r="F70" s="84">
        <f>SUMIFS(_CALC_ALLOC!$AJ$1:$AJ$349,_CALC_ALLOC!$A$1:$A$349,"2026",_CALC_ALLOC!$B$1:$B$349,"IPAC_REN",_CALC_ALLOC!$D$1:$D$349,"BAC_CCE",_CALC_ALLOC!$E$1:$E$349,"B3",_CALC_ALLOC!$F$1:$F$349,"ALT")</f>
        <v>0</v>
      </c>
      <c r="G70" s="84">
        <f>SUMIFS(_CALC_ALLOC!$AK$1:$AK$349,_CALC_ALLOC!$A$1:$A$349,"2026",_CALC_ALLOC!$B$1:$B$349,"IPAC_REN",_CALC_ALLOC!$D$1:$D$349,"BAC_CCE",_CALC_ALLOC!$E$1:$E$349,"B3",_CALC_ALLOC!$F$1:$F$349,"ALT")</f>
        <v>0</v>
      </c>
      <c r="H70" s="84">
        <f>SUMIFS(_CALC_ALLOC!$AL$1:$AL$349,_CALC_ALLOC!$A$1:$A$349,"2026",_CALC_ALLOC!$B$1:$B$349,"IPAC_REN",_CALC_ALLOC!$D$1:$D$349,"BAC_CCE",_CALC_ALLOC!$E$1:$E$349,"B3",_CALC_ALLOC!$F$1:$F$349,"ALT")</f>
        <v>0</v>
      </c>
      <c r="I70" s="84">
        <f>SUMIFS(_CALC_ALLOC!$AR$1:$AR$349,_CALC_ALLOC!$A$1:$A$349,"2026",_CALC_ALLOC!$B$1:$B$349,"IPAC_REN",_CALC_ALLOC!$D$1:$D$349,"BAC_CCE",_CALC_ALLOC!$E$1:$E$349,"B3",_CALC_ALLOC!$F$1:$F$349,"ALT")</f>
        <v>0</v>
      </c>
      <c r="J70" s="84">
        <f>SUMIFS(_CALC_ALLOC!$AM$1:$AM$349,_CALC_ALLOC!$A$1:$A$349,"2026",_CALC_ALLOC!$B$1:$B$349,"IPAC_REN",_CALC_ALLOC!$D$1:$D$349,"BAC_CCE",_CALC_ALLOC!$E$1:$E$349,"B3",_CALC_ALLOC!$F$1:$F$349,"ALT")</f>
        <v>0</v>
      </c>
      <c r="K70" s="123">
        <f t="shared" si="2"/>
        <v>0</v>
      </c>
      <c r="L70" s="131">
        <f>SUMIFS(_CALC_ALLOC!$AN$1:$AN$349,_CALC_ALLOC!$A$1:$A$349,"2026",_CALC_ALLOC!$B$1:$B$349,"IPAC_REN",_CALC_ALLOC!$D$1:$D$349,"BAC_CCE",_CALC_ALLOC!$E$1:$E$349,"B3",_CALC_ALLOC!$F$1:$F$349,"ALT")</f>
        <v>0</v>
      </c>
      <c r="M70" s="86">
        <f t="shared" si="3"/>
        <v>0</v>
      </c>
    </row>
    <row r="71" spans="2:13" outlineLevel="1" x14ac:dyDescent="0.45">
      <c r="B71" s="36" t="s">
        <v>156</v>
      </c>
      <c r="C71" s="122">
        <f>SUMIFS(_CALC_ALLOC!$G$1:$G$349,_CALC_ALLOC!$A$1:$A$349,"2026",_CALC_ALLOC!$B$1:$B$349,"IPAC_MTP")</f>
        <v>0</v>
      </c>
      <c r="D71" s="123">
        <f>SUMIFS(_CALC_ALLOC!$I$1:$I$349,_CALC_ALLOC!$A$1:$A$349,"2026",_CALC_ALLOC!$B$1:$B$349,"IPAC_MTP")</f>
        <v>0</v>
      </c>
      <c r="E71" s="123">
        <f>SUMIFS(_CALC_ALLOC!$AI$1:$AI$349,_CALC_ALLOC!$A$1:$A$349,"2026",_CALC_ALLOC!$B$1:$B$349,"IPAC_MTP")</f>
        <v>0</v>
      </c>
      <c r="F71" s="123">
        <f>SUMIFS(_CALC_ALLOC!$AJ$1:$AJ$349,_CALC_ALLOC!$A$1:$A$349,"2026",_CALC_ALLOC!$B$1:$B$349,"IPAC_MTP")</f>
        <v>0</v>
      </c>
      <c r="G71" s="123">
        <f>SUMIFS(_CALC_ALLOC!$AK$1:$AK$349,_CALC_ALLOC!$A$1:$A$349,"2026",_CALC_ALLOC!$B$1:$B$349,"IPAC_MTP")</f>
        <v>0</v>
      </c>
      <c r="H71" s="123">
        <f>SUMIFS(_CALC_ALLOC!$AL$1:$AL$349,_CALC_ALLOC!$A$1:$A$349,"2026",_CALC_ALLOC!$B$1:$B$349,"IPAC_MTP")</f>
        <v>0</v>
      </c>
      <c r="I71" s="123">
        <f>SUMIFS(_CALC_ALLOC!$AR$1:$AR$349,_CALC_ALLOC!$A$1:$A$349,"2026",_CALC_ALLOC!$B$1:$B$349,"IPAC_MTP")</f>
        <v>0</v>
      </c>
      <c r="J71" s="123">
        <f>SUMIFS(_CALC_ALLOC!$AM$1:$AM$349,_CALC_ALLOC!$A$1:$A$349,"2026",_CALC_ALLOC!$B$1:$B$349,"IPAC_MTP")</f>
        <v>0</v>
      </c>
      <c r="K71" s="123">
        <f t="shared" si="2"/>
        <v>0</v>
      </c>
      <c r="L71" s="130">
        <f>SUMIFS(_CALC_ALLOC!$AN$1:$AN$349,_CALC_ALLOC!$A$1:$A$349,"2026",_CALC_ALLOC!$B$1:$B$349,"IPAC_MTP")</f>
        <v>0</v>
      </c>
      <c r="M71" s="124">
        <f t="shared" si="3"/>
        <v>0</v>
      </c>
    </row>
    <row r="72" spans="2:13" outlineLevel="2" x14ac:dyDescent="0.45">
      <c r="B72" s="37" t="s">
        <v>152</v>
      </c>
      <c r="C72" s="85">
        <f>SUMIFS(_CALC_ALLOC!$G$1:$G$349,_CALC_ALLOC!$A$1:$A$349,"2026",_CALC_ALLOC!$B$1:$B$349,"IPAC_MTP",_CALC_ALLOC!$D$1:$D$349,"BAC_CCE",_CALC_ALLOC!$E$1:$E$349,"B1",_CALC_ALLOC!$F$1:$F$349,"ALT")</f>
        <v>0</v>
      </c>
      <c r="D72" s="84">
        <f>SUMIFS(_CALC_ALLOC!$I$1:$I$349,_CALC_ALLOC!$A$1:$A$349,"2026",_CALC_ALLOC!$B$1:$B$349,"IPAC_MTP",_CALC_ALLOC!$D$1:$D$349,"BAC_CCE",_CALC_ALLOC!$E$1:$E$349,"B1",_CALC_ALLOC!$F$1:$F$349,"ALT")</f>
        <v>0</v>
      </c>
      <c r="E72" s="84">
        <f>SUMIFS(_CALC_ALLOC!$AI$1:$AI$349,_CALC_ALLOC!$A$1:$A$349,"2026",_CALC_ALLOC!$B$1:$B$349,"IPAC_MTP",_CALC_ALLOC!$D$1:$D$349,"BAC_CCE",_CALC_ALLOC!$E$1:$E$349,"B1",_CALC_ALLOC!$F$1:$F$349,"ALT")</f>
        <v>0</v>
      </c>
      <c r="F72" s="84">
        <f>SUMIFS(_CALC_ALLOC!$AJ$1:$AJ$349,_CALC_ALLOC!$A$1:$A$349,"2026",_CALC_ALLOC!$B$1:$B$349,"IPAC_MTP",_CALC_ALLOC!$D$1:$D$349,"BAC_CCE",_CALC_ALLOC!$E$1:$E$349,"B1",_CALC_ALLOC!$F$1:$F$349,"ALT")</f>
        <v>0</v>
      </c>
      <c r="G72" s="84">
        <f>SUMIFS(_CALC_ALLOC!$AK$1:$AK$349,_CALC_ALLOC!$A$1:$A$349,"2026",_CALC_ALLOC!$B$1:$B$349,"IPAC_MTP",_CALC_ALLOC!$D$1:$D$349,"BAC_CCE",_CALC_ALLOC!$E$1:$E$349,"B1",_CALC_ALLOC!$F$1:$F$349,"ALT")</f>
        <v>0</v>
      </c>
      <c r="H72" s="84">
        <f>SUMIFS(_CALC_ALLOC!$AL$1:$AL$349,_CALC_ALLOC!$A$1:$A$349,"2026",_CALC_ALLOC!$B$1:$B$349,"IPAC_MTP",_CALC_ALLOC!$D$1:$D$349,"BAC_CCE",_CALC_ALLOC!$E$1:$E$349,"B1",_CALC_ALLOC!$F$1:$F$349,"ALT")</f>
        <v>0</v>
      </c>
      <c r="I72" s="84">
        <f>SUMIFS(_CALC_ALLOC!$AR$1:$AR$349,_CALC_ALLOC!$A$1:$A$349,"2026",_CALC_ALLOC!$B$1:$B$349,"IPAC_MTP",_CALC_ALLOC!$D$1:$D$349,"BAC_CCE",_CALC_ALLOC!$E$1:$E$349,"B1",_CALC_ALLOC!$F$1:$F$349,"ALT")</f>
        <v>0</v>
      </c>
      <c r="J72" s="84">
        <f>SUMIFS(_CALC_ALLOC!$AM$1:$AM$349,_CALC_ALLOC!$A$1:$A$349,"2026",_CALC_ALLOC!$B$1:$B$349,"IPAC_MTP",_CALC_ALLOC!$D$1:$D$349,"BAC_CCE",_CALC_ALLOC!$E$1:$E$349,"B1",_CALC_ALLOC!$F$1:$F$349,"ALT")</f>
        <v>0</v>
      </c>
      <c r="K72" s="123">
        <f t="shared" si="2"/>
        <v>0</v>
      </c>
      <c r="L72" s="131">
        <f>SUMIFS(_CALC_ALLOC!$AN$1:$AN$349,_CALC_ALLOC!$A$1:$A$349,"2026",_CALC_ALLOC!$B$1:$B$349,"IPAC_MTP",_CALC_ALLOC!$D$1:$D$349,"BAC_CCE",_CALC_ALLOC!$E$1:$E$349,"B1",_CALC_ALLOC!$F$1:$F$349,"ALT")</f>
        <v>0</v>
      </c>
      <c r="M72" s="86">
        <f t="shared" si="3"/>
        <v>0</v>
      </c>
    </row>
    <row r="73" spans="2:13" outlineLevel="2" x14ac:dyDescent="0.45">
      <c r="B73" s="37" t="s">
        <v>153</v>
      </c>
      <c r="C73" s="85">
        <f>SUMIFS(_CALC_ALLOC!$G$1:$G$349,_CALC_ALLOC!$A$1:$A$349,"2026",_CALC_ALLOC!$B$1:$B$349,"IPAC_MTP",_CALC_ALLOC!$D$1:$D$349,"BAC_CCE",_CALC_ALLOC!$E$1:$E$349,"B2",_CALC_ALLOC!$F$1:$F$349,"ALT")</f>
        <v>0</v>
      </c>
      <c r="D73" s="84">
        <f>SUMIFS(_CALC_ALLOC!$I$1:$I$349,_CALC_ALLOC!$A$1:$A$349,"2026",_CALC_ALLOC!$B$1:$B$349,"IPAC_MTP",_CALC_ALLOC!$D$1:$D$349,"BAC_CCE",_CALC_ALLOC!$E$1:$E$349,"B2",_CALC_ALLOC!$F$1:$F$349,"ALT")</f>
        <v>0</v>
      </c>
      <c r="E73" s="84">
        <f>SUMIFS(_CALC_ALLOC!$AI$1:$AI$349,_CALC_ALLOC!$A$1:$A$349,"2026",_CALC_ALLOC!$B$1:$B$349,"IPAC_MTP",_CALC_ALLOC!$D$1:$D$349,"BAC_CCE",_CALC_ALLOC!$E$1:$E$349,"B2",_CALC_ALLOC!$F$1:$F$349,"ALT")</f>
        <v>0</v>
      </c>
      <c r="F73" s="84">
        <f>SUMIFS(_CALC_ALLOC!$AJ$1:$AJ$349,_CALC_ALLOC!$A$1:$A$349,"2026",_CALC_ALLOC!$B$1:$B$349,"IPAC_MTP",_CALC_ALLOC!$D$1:$D$349,"BAC_CCE",_CALC_ALLOC!$E$1:$E$349,"B2",_CALC_ALLOC!$F$1:$F$349,"ALT")</f>
        <v>0</v>
      </c>
      <c r="G73" s="84">
        <f>SUMIFS(_CALC_ALLOC!$AK$1:$AK$349,_CALC_ALLOC!$A$1:$A$349,"2026",_CALC_ALLOC!$B$1:$B$349,"IPAC_MTP",_CALC_ALLOC!$D$1:$D$349,"BAC_CCE",_CALC_ALLOC!$E$1:$E$349,"B2",_CALC_ALLOC!$F$1:$F$349,"ALT")</f>
        <v>0</v>
      </c>
      <c r="H73" s="84">
        <f>SUMIFS(_CALC_ALLOC!$AL$1:$AL$349,_CALC_ALLOC!$A$1:$A$349,"2026",_CALC_ALLOC!$B$1:$B$349,"IPAC_MTP",_CALC_ALLOC!$D$1:$D$349,"BAC_CCE",_CALC_ALLOC!$E$1:$E$349,"B2",_CALC_ALLOC!$F$1:$F$349,"ALT")</f>
        <v>0</v>
      </c>
      <c r="I73" s="84">
        <f>SUMIFS(_CALC_ALLOC!$AR$1:$AR$349,_CALC_ALLOC!$A$1:$A$349,"2026",_CALC_ALLOC!$B$1:$B$349,"IPAC_MTP",_CALC_ALLOC!$D$1:$D$349,"BAC_CCE",_CALC_ALLOC!$E$1:$E$349,"B2",_CALC_ALLOC!$F$1:$F$349,"ALT")</f>
        <v>0</v>
      </c>
      <c r="J73" s="84">
        <f>SUMIFS(_CALC_ALLOC!$AM$1:$AM$349,_CALC_ALLOC!$A$1:$A$349,"2026",_CALC_ALLOC!$B$1:$B$349,"IPAC_MTP",_CALC_ALLOC!$D$1:$D$349,"BAC_CCE",_CALC_ALLOC!$E$1:$E$349,"B2",_CALC_ALLOC!$F$1:$F$349,"ALT")</f>
        <v>0</v>
      </c>
      <c r="K73" s="123">
        <f t="shared" si="2"/>
        <v>0</v>
      </c>
      <c r="L73" s="131">
        <f>SUMIFS(_CALC_ALLOC!$AN$1:$AN$349,_CALC_ALLOC!$A$1:$A$349,"2026",_CALC_ALLOC!$B$1:$B$349,"IPAC_MTP",_CALC_ALLOC!$D$1:$D$349,"BAC_CCE",_CALC_ALLOC!$E$1:$E$349,"B2",_CALC_ALLOC!$F$1:$F$349,"ALT")</f>
        <v>0</v>
      </c>
      <c r="M73" s="86">
        <f t="shared" si="3"/>
        <v>0</v>
      </c>
    </row>
    <row r="74" spans="2:13" outlineLevel="2" x14ac:dyDescent="0.45">
      <c r="B74" s="37" t="s">
        <v>154</v>
      </c>
      <c r="C74" s="85">
        <f>SUMIFS(_CALC_ALLOC!$G$1:$G$349,_CALC_ALLOC!$A$1:$A$349,"2026",_CALC_ALLOC!$B$1:$B$349,"IPAC_MTP",_CALC_ALLOC!$D$1:$D$349,"BAC_CCE",_CALC_ALLOC!$E$1:$E$349,"B3",_CALC_ALLOC!$F$1:$F$349,"ALT")</f>
        <v>0</v>
      </c>
      <c r="D74" s="84">
        <f>SUMIFS(_CALC_ALLOC!$I$1:$I$349,_CALC_ALLOC!$A$1:$A$349,"2026",_CALC_ALLOC!$B$1:$B$349,"IPAC_MTP",_CALC_ALLOC!$D$1:$D$349,"BAC_CCE",_CALC_ALLOC!$E$1:$E$349,"B3",_CALC_ALLOC!$F$1:$F$349,"ALT")</f>
        <v>0</v>
      </c>
      <c r="E74" s="84">
        <f>SUMIFS(_CALC_ALLOC!$AI$1:$AI$349,_CALC_ALLOC!$A$1:$A$349,"2026",_CALC_ALLOC!$B$1:$B$349,"IPAC_MTP",_CALC_ALLOC!$D$1:$D$349,"BAC_CCE",_CALC_ALLOC!$E$1:$E$349,"B3",_CALC_ALLOC!$F$1:$F$349,"ALT")</f>
        <v>0</v>
      </c>
      <c r="F74" s="84">
        <f>SUMIFS(_CALC_ALLOC!$AJ$1:$AJ$349,_CALC_ALLOC!$A$1:$A$349,"2026",_CALC_ALLOC!$B$1:$B$349,"IPAC_MTP",_CALC_ALLOC!$D$1:$D$349,"BAC_CCE",_CALC_ALLOC!$E$1:$E$349,"B3",_CALC_ALLOC!$F$1:$F$349,"ALT")</f>
        <v>0</v>
      </c>
      <c r="G74" s="84">
        <f>SUMIFS(_CALC_ALLOC!$AK$1:$AK$349,_CALC_ALLOC!$A$1:$A$349,"2026",_CALC_ALLOC!$B$1:$B$349,"IPAC_MTP",_CALC_ALLOC!$D$1:$D$349,"BAC_CCE",_CALC_ALLOC!$E$1:$E$349,"B3",_CALC_ALLOC!$F$1:$F$349,"ALT")</f>
        <v>0</v>
      </c>
      <c r="H74" s="84">
        <f>SUMIFS(_CALC_ALLOC!$AL$1:$AL$349,_CALC_ALLOC!$A$1:$A$349,"2026",_CALC_ALLOC!$B$1:$B$349,"IPAC_MTP",_CALC_ALLOC!$D$1:$D$349,"BAC_CCE",_CALC_ALLOC!$E$1:$E$349,"B3",_CALC_ALLOC!$F$1:$F$349,"ALT")</f>
        <v>0</v>
      </c>
      <c r="I74" s="84">
        <f>SUMIFS(_CALC_ALLOC!$AR$1:$AR$349,_CALC_ALLOC!$A$1:$A$349,"2026",_CALC_ALLOC!$B$1:$B$349,"IPAC_MTP",_CALC_ALLOC!$D$1:$D$349,"BAC_CCE",_CALC_ALLOC!$E$1:$E$349,"B3",_CALC_ALLOC!$F$1:$F$349,"ALT")</f>
        <v>0</v>
      </c>
      <c r="J74" s="84">
        <f>SUMIFS(_CALC_ALLOC!$AM$1:$AM$349,_CALC_ALLOC!$A$1:$A$349,"2026",_CALC_ALLOC!$B$1:$B$349,"IPAC_MTP",_CALC_ALLOC!$D$1:$D$349,"BAC_CCE",_CALC_ALLOC!$E$1:$E$349,"B3",_CALC_ALLOC!$F$1:$F$349,"ALT")</f>
        <v>0</v>
      </c>
      <c r="K74" s="123">
        <f t="shared" si="2"/>
        <v>0</v>
      </c>
      <c r="L74" s="131">
        <f>SUMIFS(_CALC_ALLOC!$AN$1:$AN$349,_CALC_ALLOC!$A$1:$A$349,"2026",_CALC_ALLOC!$B$1:$B$349,"IPAC_MTP",_CALC_ALLOC!$D$1:$D$349,"BAC_CCE",_CALC_ALLOC!$E$1:$E$349,"B3",_CALC_ALLOC!$F$1:$F$349,"ALT")</f>
        <v>0</v>
      </c>
      <c r="M74" s="86">
        <f t="shared" si="3"/>
        <v>0</v>
      </c>
    </row>
    <row r="75" spans="2:13" x14ac:dyDescent="0.45">
      <c r="B75" s="40" t="s">
        <v>4</v>
      </c>
      <c r="C75" s="122">
        <f>SUMIFS(_CALC_ALLOC!$G$1:$G$349,_CALC_ALLOC!$A$1:$A$349,"2026",_CALC_ALLOC!$C$1:$C$349,"PIGIER")</f>
        <v>0</v>
      </c>
      <c r="D75" s="123">
        <f>SUMIFS(_CALC_ALLOC!$I$1:$I$349,_CALC_ALLOC!$A$1:$A$349,"2026",_CALC_ALLOC!$C$1:$C$349,"PIGIER")</f>
        <v>0</v>
      </c>
      <c r="E75" s="123">
        <f>SUMIFS(_CALC_ALLOC!$AI$1:$AI$349,_CALC_ALLOC!$A$1:$A$349,"2026",_CALC_ALLOC!$C$1:$C$349,"PIGIER")</f>
        <v>0</v>
      </c>
      <c r="F75" s="123">
        <f>SUMIFS(_CALC_ALLOC!$AJ$1:$AJ$349,_CALC_ALLOC!$A$1:$A$349,"2026",_CALC_ALLOC!$C$1:$C$349,"PIGIER")</f>
        <v>0</v>
      </c>
      <c r="G75" s="123">
        <f>SUMIFS(_CALC_ALLOC!$AK$1:$AK$349,_CALC_ALLOC!$A$1:$A$349,"2026",_CALC_ALLOC!$C$1:$C$349,"PIGIER")</f>
        <v>0</v>
      </c>
      <c r="H75" s="123">
        <f>SUMIFS(_CALC_ALLOC!$AL$1:$AL$349,_CALC_ALLOC!$A$1:$A$349,"2026",_CALC_ALLOC!$C$1:$C$349,"PIGIER")</f>
        <v>0</v>
      </c>
      <c r="I75" s="123">
        <f>SUMIFS(_CALC_ALLOC!$AR$1:$AR$349,_CALC_ALLOC!$A$1:$A$349,"2026",_CALC_ALLOC!$C$1:$C$349,"PIGIER")</f>
        <v>0</v>
      </c>
      <c r="J75" s="123">
        <f>SUMIFS(_CALC_ALLOC!$AM$1:$AM$349,_CALC_ALLOC!$A$1:$A$349,"2026",_CALC_ALLOC!$C$1:$C$349,"PIGIER")</f>
        <v>0</v>
      </c>
      <c r="K75" s="123">
        <f t="shared" si="2"/>
        <v>0</v>
      </c>
      <c r="L75" s="130">
        <f>SUMIFS(_CALC_ALLOC!$AN$1:$AN$349,_CALC_ALLOC!$A$1:$A$349,"2026",_CALC_ALLOC!$C$1:$C$349,"PIGIER")</f>
        <v>0</v>
      </c>
      <c r="M75" s="124">
        <f t="shared" si="3"/>
        <v>0</v>
      </c>
    </row>
    <row r="76" spans="2:13" outlineLevel="1" collapsed="1" x14ac:dyDescent="0.45">
      <c r="B76" s="36" t="s">
        <v>157</v>
      </c>
      <c r="C76" s="122">
        <f>SUMIFS(_CALC_ALLOC!$G$1:$G$349,_CALC_ALLOC!$A$1:$A$349,"2026",_CALC_ALLOC!$B$1:$B$349,"PIGIER_LYO")</f>
        <v>0</v>
      </c>
      <c r="D76" s="123">
        <f>SUMIFS(_CALC_ALLOC!$I$1:$I$349,_CALC_ALLOC!$A$1:$A$349,"2026",_CALC_ALLOC!$B$1:$B$349,"PIGIER_LYO")</f>
        <v>0</v>
      </c>
      <c r="E76" s="123">
        <f>SUMIFS(_CALC_ALLOC!$AI$1:$AI$349,_CALC_ALLOC!$A$1:$A$349,"2026",_CALC_ALLOC!$B$1:$B$349,"PIGIER_LYO")</f>
        <v>0</v>
      </c>
      <c r="F76" s="123">
        <f>SUMIFS(_CALC_ALLOC!$AJ$1:$AJ$349,_CALC_ALLOC!$A$1:$A$349,"2026",_CALC_ALLOC!$B$1:$B$349,"PIGIER_LYO")</f>
        <v>0</v>
      </c>
      <c r="G76" s="123">
        <f>SUMIFS(_CALC_ALLOC!$AK$1:$AK$349,_CALC_ALLOC!$A$1:$A$349,"2026",_CALC_ALLOC!$B$1:$B$349,"PIGIER_LYO")</f>
        <v>0</v>
      </c>
      <c r="H76" s="123">
        <f>SUMIFS(_CALC_ALLOC!$AL$1:$AL$349,_CALC_ALLOC!$A$1:$A$349,"2026",_CALC_ALLOC!$B$1:$B$349,"PIGIER_LYO")</f>
        <v>0</v>
      </c>
      <c r="I76" s="123">
        <f>SUMIFS(_CALC_ALLOC!$AR$1:$AR$349,_CALC_ALLOC!$A$1:$A$349,"2026",_CALC_ALLOC!$B$1:$B$349,"PIGIER_LYO")</f>
        <v>0</v>
      </c>
      <c r="J76" s="123">
        <f>SUMIFS(_CALC_ALLOC!$AM$1:$AM$349,_CALC_ALLOC!$A$1:$A$349,"2026",_CALC_ALLOC!$B$1:$B$349,"PIGIER_LYO")</f>
        <v>0</v>
      </c>
      <c r="K76" s="123">
        <f t="shared" si="2"/>
        <v>0</v>
      </c>
      <c r="L76" s="130">
        <f>SUMIFS(_CALC_ALLOC!$AN$1:$AN$349,_CALC_ALLOC!$A$1:$A$349,"2026",_CALC_ALLOC!$B$1:$B$349,"PIGIER_LYO")</f>
        <v>0</v>
      </c>
      <c r="M76" s="124">
        <f t="shared" si="3"/>
        <v>0</v>
      </c>
    </row>
    <row r="77" spans="2:13" outlineLevel="2" x14ac:dyDescent="0.45">
      <c r="B77" s="37" t="s">
        <v>158</v>
      </c>
      <c r="C77" s="85">
        <f>SUMIFS(_CALC_ALLOC!$G$1:$G$349,_CALC_ALLOC!$A$1:$A$349,"2026",_CALC_ALLOC!$B$1:$B$349,"PIGIER_LYO",_CALC_ALLOC!$D$1:$D$349,"BTS_GES",_CALC_ALLOC!$E$1:$E$349,"BTS1",_CALC_ALLOC!$F$1:$F$349,"ALT")</f>
        <v>0</v>
      </c>
      <c r="D77" s="84">
        <f>SUMIFS(_CALC_ALLOC!$I$1:$I$349,_CALC_ALLOC!$A$1:$A$349,"2026",_CALC_ALLOC!$B$1:$B$349,"PIGIER_LYO",_CALC_ALLOC!$D$1:$D$349,"BTS_GES",_CALC_ALLOC!$E$1:$E$349,"BTS1",_CALC_ALLOC!$F$1:$F$349,"ALT")</f>
        <v>0</v>
      </c>
      <c r="E77" s="84">
        <f>SUMIFS(_CALC_ALLOC!$AI$1:$AI$349,_CALC_ALLOC!$A$1:$A$349,"2026",_CALC_ALLOC!$B$1:$B$349,"PIGIER_LYO",_CALC_ALLOC!$D$1:$D$349,"BTS_GES",_CALC_ALLOC!$E$1:$E$349,"BTS1",_CALC_ALLOC!$F$1:$F$349,"ALT")</f>
        <v>0</v>
      </c>
      <c r="F77" s="84">
        <f>SUMIFS(_CALC_ALLOC!$AJ$1:$AJ$349,_CALC_ALLOC!$A$1:$A$349,"2026",_CALC_ALLOC!$B$1:$B$349,"PIGIER_LYO",_CALC_ALLOC!$D$1:$D$349,"BTS_GES",_CALC_ALLOC!$E$1:$E$349,"BTS1",_CALC_ALLOC!$F$1:$F$349,"ALT")</f>
        <v>0</v>
      </c>
      <c r="G77" s="84">
        <f>SUMIFS(_CALC_ALLOC!$AK$1:$AK$349,_CALC_ALLOC!$A$1:$A$349,"2026",_CALC_ALLOC!$B$1:$B$349,"PIGIER_LYO",_CALC_ALLOC!$D$1:$D$349,"BTS_GES",_CALC_ALLOC!$E$1:$E$349,"BTS1",_CALC_ALLOC!$F$1:$F$349,"ALT")</f>
        <v>0</v>
      </c>
      <c r="H77" s="84">
        <f>SUMIFS(_CALC_ALLOC!$AL$1:$AL$349,_CALC_ALLOC!$A$1:$A$349,"2026",_CALC_ALLOC!$B$1:$B$349,"PIGIER_LYO",_CALC_ALLOC!$D$1:$D$349,"BTS_GES",_CALC_ALLOC!$E$1:$E$349,"BTS1",_CALC_ALLOC!$F$1:$F$349,"ALT")</f>
        <v>0</v>
      </c>
      <c r="I77" s="84">
        <f>SUMIFS(_CALC_ALLOC!$AR$1:$AR$349,_CALC_ALLOC!$A$1:$A$349,"2026",_CALC_ALLOC!$B$1:$B$349,"PIGIER_LYO",_CALC_ALLOC!$D$1:$D$349,"BTS_GES",_CALC_ALLOC!$E$1:$E$349,"BTS1",_CALC_ALLOC!$F$1:$F$349,"ALT")</f>
        <v>0</v>
      </c>
      <c r="J77" s="84">
        <f>SUMIFS(_CALC_ALLOC!$AM$1:$AM$349,_CALC_ALLOC!$A$1:$A$349,"2026",_CALC_ALLOC!$B$1:$B$349,"PIGIER_LYO",_CALC_ALLOC!$D$1:$D$349,"BTS_GES",_CALC_ALLOC!$E$1:$E$349,"BTS1",_CALC_ALLOC!$F$1:$F$349,"ALT")</f>
        <v>0</v>
      </c>
      <c r="K77" s="123">
        <f t="shared" si="2"/>
        <v>0</v>
      </c>
      <c r="L77" s="131">
        <f>SUMIFS(_CALC_ALLOC!$AN$1:$AN$349,_CALC_ALLOC!$A$1:$A$349,"2026",_CALC_ALLOC!$B$1:$B$349,"PIGIER_LYO",_CALC_ALLOC!$D$1:$D$349,"BTS_GES",_CALC_ALLOC!$E$1:$E$349,"BTS1",_CALC_ALLOC!$F$1:$F$349,"ALT")</f>
        <v>0</v>
      </c>
      <c r="M77" s="86">
        <f t="shared" si="3"/>
        <v>0</v>
      </c>
    </row>
    <row r="78" spans="2:13" outlineLevel="2" x14ac:dyDescent="0.45">
      <c r="B78" s="37" t="s">
        <v>159</v>
      </c>
      <c r="C78" s="85">
        <f>SUMIFS(_CALC_ALLOC!$G$1:$G$349,_CALC_ALLOC!$A$1:$A$349,"2026",_CALC_ALLOC!$B$1:$B$349,"PIGIER_LYO",_CALC_ALLOC!$D$1:$D$349,"BTS_GES",_CALC_ALLOC!$E$1:$E$349,"BTS2",_CALC_ALLOC!$F$1:$F$349,"ALT")</f>
        <v>0</v>
      </c>
      <c r="D78" s="84">
        <f>SUMIFS(_CALC_ALLOC!$I$1:$I$349,_CALC_ALLOC!$A$1:$A$349,"2026",_CALC_ALLOC!$B$1:$B$349,"PIGIER_LYO",_CALC_ALLOC!$D$1:$D$349,"BTS_GES",_CALC_ALLOC!$E$1:$E$349,"BTS2",_CALC_ALLOC!$F$1:$F$349,"ALT")</f>
        <v>0</v>
      </c>
      <c r="E78" s="84">
        <f>SUMIFS(_CALC_ALLOC!$AI$1:$AI$349,_CALC_ALLOC!$A$1:$A$349,"2026",_CALC_ALLOC!$B$1:$B$349,"PIGIER_LYO",_CALC_ALLOC!$D$1:$D$349,"BTS_GES",_CALC_ALLOC!$E$1:$E$349,"BTS2",_CALC_ALLOC!$F$1:$F$349,"ALT")</f>
        <v>0</v>
      </c>
      <c r="F78" s="84">
        <f>SUMIFS(_CALC_ALLOC!$AJ$1:$AJ$349,_CALC_ALLOC!$A$1:$A$349,"2026",_CALC_ALLOC!$B$1:$B$349,"PIGIER_LYO",_CALC_ALLOC!$D$1:$D$349,"BTS_GES",_CALC_ALLOC!$E$1:$E$349,"BTS2",_CALC_ALLOC!$F$1:$F$349,"ALT")</f>
        <v>0</v>
      </c>
      <c r="G78" s="84">
        <f>SUMIFS(_CALC_ALLOC!$AK$1:$AK$349,_CALC_ALLOC!$A$1:$A$349,"2026",_CALC_ALLOC!$B$1:$B$349,"PIGIER_LYO",_CALC_ALLOC!$D$1:$D$349,"BTS_GES",_CALC_ALLOC!$E$1:$E$349,"BTS2",_CALC_ALLOC!$F$1:$F$349,"ALT")</f>
        <v>0</v>
      </c>
      <c r="H78" s="84">
        <f>SUMIFS(_CALC_ALLOC!$AL$1:$AL$349,_CALC_ALLOC!$A$1:$A$349,"2026",_CALC_ALLOC!$B$1:$B$349,"PIGIER_LYO",_CALC_ALLOC!$D$1:$D$349,"BTS_GES",_CALC_ALLOC!$E$1:$E$349,"BTS2",_CALC_ALLOC!$F$1:$F$349,"ALT")</f>
        <v>0</v>
      </c>
      <c r="I78" s="84">
        <f>SUMIFS(_CALC_ALLOC!$AR$1:$AR$349,_CALC_ALLOC!$A$1:$A$349,"2026",_CALC_ALLOC!$B$1:$B$349,"PIGIER_LYO",_CALC_ALLOC!$D$1:$D$349,"BTS_GES",_CALC_ALLOC!$E$1:$E$349,"BTS2",_CALC_ALLOC!$F$1:$F$349,"ALT")</f>
        <v>0</v>
      </c>
      <c r="J78" s="84">
        <f>SUMIFS(_CALC_ALLOC!$AM$1:$AM$349,_CALC_ALLOC!$A$1:$A$349,"2026",_CALC_ALLOC!$B$1:$B$349,"PIGIER_LYO",_CALC_ALLOC!$D$1:$D$349,"BTS_GES",_CALC_ALLOC!$E$1:$E$349,"BTS2",_CALC_ALLOC!$F$1:$F$349,"ALT")</f>
        <v>0</v>
      </c>
      <c r="K78" s="123">
        <f t="shared" si="2"/>
        <v>0</v>
      </c>
      <c r="L78" s="131">
        <f>SUMIFS(_CALC_ALLOC!$AN$1:$AN$349,_CALC_ALLOC!$A$1:$A$349,"2026",_CALC_ALLOC!$B$1:$B$349,"PIGIER_LYO",_CALC_ALLOC!$D$1:$D$349,"BTS_GES",_CALC_ALLOC!$E$1:$E$349,"BTS2",_CALC_ALLOC!$F$1:$F$349,"ALT")</f>
        <v>0</v>
      </c>
      <c r="M78" s="86">
        <f t="shared" si="3"/>
        <v>0</v>
      </c>
    </row>
    <row r="79" spans="2:13" outlineLevel="2" x14ac:dyDescent="0.45">
      <c r="B79" s="37" t="s">
        <v>160</v>
      </c>
      <c r="C79" s="85">
        <f>SUMIFS(_CALC_ALLOC!$G$1:$G$349,_CALC_ALLOC!$A$1:$A$349,"2026",_CALC_ALLOC!$B$1:$B$349,"PIGIER_LYO",_CALC_ALLOC!$D$1:$D$349,"BAC_RH",_CALC_ALLOC!$E$1:$E$349,"B1",_CALC_ALLOC!$F$1:$F$349,"ALT")</f>
        <v>0</v>
      </c>
      <c r="D79" s="84">
        <f>SUMIFS(_CALC_ALLOC!$I$1:$I$349,_CALC_ALLOC!$A$1:$A$349,"2026",_CALC_ALLOC!$B$1:$B$349,"PIGIER_LYO",_CALC_ALLOC!$D$1:$D$349,"BAC_RH",_CALC_ALLOC!$E$1:$E$349,"B1",_CALC_ALLOC!$F$1:$F$349,"ALT")</f>
        <v>0</v>
      </c>
      <c r="E79" s="84">
        <f>SUMIFS(_CALC_ALLOC!$AI$1:$AI$349,_CALC_ALLOC!$A$1:$A$349,"2026",_CALC_ALLOC!$B$1:$B$349,"PIGIER_LYO",_CALC_ALLOC!$D$1:$D$349,"BAC_RH",_CALC_ALLOC!$E$1:$E$349,"B1",_CALC_ALLOC!$F$1:$F$349,"ALT")</f>
        <v>0</v>
      </c>
      <c r="F79" s="84">
        <f>SUMIFS(_CALC_ALLOC!$AJ$1:$AJ$349,_CALC_ALLOC!$A$1:$A$349,"2026",_CALC_ALLOC!$B$1:$B$349,"PIGIER_LYO",_CALC_ALLOC!$D$1:$D$349,"BAC_RH",_CALC_ALLOC!$E$1:$E$349,"B1",_CALC_ALLOC!$F$1:$F$349,"ALT")</f>
        <v>0</v>
      </c>
      <c r="G79" s="84">
        <f>SUMIFS(_CALC_ALLOC!$AK$1:$AK$349,_CALC_ALLOC!$A$1:$A$349,"2026",_CALC_ALLOC!$B$1:$B$349,"PIGIER_LYO",_CALC_ALLOC!$D$1:$D$349,"BAC_RH",_CALC_ALLOC!$E$1:$E$349,"B1",_CALC_ALLOC!$F$1:$F$349,"ALT")</f>
        <v>0</v>
      </c>
      <c r="H79" s="84">
        <f>SUMIFS(_CALC_ALLOC!$AL$1:$AL$349,_CALC_ALLOC!$A$1:$A$349,"2026",_CALC_ALLOC!$B$1:$B$349,"PIGIER_LYO",_CALC_ALLOC!$D$1:$D$349,"BAC_RH",_CALC_ALLOC!$E$1:$E$349,"B1",_CALC_ALLOC!$F$1:$F$349,"ALT")</f>
        <v>0</v>
      </c>
      <c r="I79" s="84">
        <f>SUMIFS(_CALC_ALLOC!$AR$1:$AR$349,_CALC_ALLOC!$A$1:$A$349,"2026",_CALC_ALLOC!$B$1:$B$349,"PIGIER_LYO",_CALC_ALLOC!$D$1:$D$349,"BAC_RH",_CALC_ALLOC!$E$1:$E$349,"B1",_CALC_ALLOC!$F$1:$F$349,"ALT")</f>
        <v>0</v>
      </c>
      <c r="J79" s="84">
        <f>SUMIFS(_CALC_ALLOC!$AM$1:$AM$349,_CALC_ALLOC!$A$1:$A$349,"2026",_CALC_ALLOC!$B$1:$B$349,"PIGIER_LYO",_CALC_ALLOC!$D$1:$D$349,"BAC_RH",_CALC_ALLOC!$E$1:$E$349,"B1",_CALC_ALLOC!$F$1:$F$349,"ALT")</f>
        <v>0</v>
      </c>
      <c r="K79" s="123">
        <f t="shared" si="2"/>
        <v>0</v>
      </c>
      <c r="L79" s="131">
        <f>SUMIFS(_CALC_ALLOC!$AN$1:$AN$349,_CALC_ALLOC!$A$1:$A$349,"2026",_CALC_ALLOC!$B$1:$B$349,"PIGIER_LYO",_CALC_ALLOC!$D$1:$D$349,"BAC_RH",_CALC_ALLOC!$E$1:$E$349,"B1",_CALC_ALLOC!$F$1:$F$349,"ALT")</f>
        <v>0</v>
      </c>
      <c r="M79" s="86">
        <f t="shared" si="3"/>
        <v>0</v>
      </c>
    </row>
    <row r="80" spans="2:13" outlineLevel="2" x14ac:dyDescent="0.45">
      <c r="B80" s="37" t="s">
        <v>161</v>
      </c>
      <c r="C80" s="85">
        <f>SUMIFS(_CALC_ALLOC!$G$1:$G$349,_CALC_ALLOC!$A$1:$A$349,"2026",_CALC_ALLOC!$B$1:$B$349,"PIGIER_LYO",_CALC_ALLOC!$D$1:$D$349,"BAC_RH",_CALC_ALLOC!$E$1:$E$349,"B3",_CALC_ALLOC!$F$1:$F$349,"ALT")</f>
        <v>0</v>
      </c>
      <c r="D80" s="84">
        <f>SUMIFS(_CALC_ALLOC!$I$1:$I$349,_CALC_ALLOC!$A$1:$A$349,"2026",_CALC_ALLOC!$B$1:$B$349,"PIGIER_LYO",_CALC_ALLOC!$D$1:$D$349,"BAC_RH",_CALC_ALLOC!$E$1:$E$349,"B3",_CALC_ALLOC!$F$1:$F$349,"ALT")</f>
        <v>0</v>
      </c>
      <c r="E80" s="84">
        <f>SUMIFS(_CALC_ALLOC!$AI$1:$AI$349,_CALC_ALLOC!$A$1:$A$349,"2026",_CALC_ALLOC!$B$1:$B$349,"PIGIER_LYO",_CALC_ALLOC!$D$1:$D$349,"BAC_RH",_CALC_ALLOC!$E$1:$E$349,"B3",_CALC_ALLOC!$F$1:$F$349,"ALT")</f>
        <v>0</v>
      </c>
      <c r="F80" s="84">
        <f>SUMIFS(_CALC_ALLOC!$AJ$1:$AJ$349,_CALC_ALLOC!$A$1:$A$349,"2026",_CALC_ALLOC!$B$1:$B$349,"PIGIER_LYO",_CALC_ALLOC!$D$1:$D$349,"BAC_RH",_CALC_ALLOC!$E$1:$E$349,"B3",_CALC_ALLOC!$F$1:$F$349,"ALT")</f>
        <v>0</v>
      </c>
      <c r="G80" s="84">
        <f>SUMIFS(_CALC_ALLOC!$AK$1:$AK$349,_CALC_ALLOC!$A$1:$A$349,"2026",_CALC_ALLOC!$B$1:$B$349,"PIGIER_LYO",_CALC_ALLOC!$D$1:$D$349,"BAC_RH",_CALC_ALLOC!$E$1:$E$349,"B3",_CALC_ALLOC!$F$1:$F$349,"ALT")</f>
        <v>0</v>
      </c>
      <c r="H80" s="84">
        <f>SUMIFS(_CALC_ALLOC!$AL$1:$AL$349,_CALC_ALLOC!$A$1:$A$349,"2026",_CALC_ALLOC!$B$1:$B$349,"PIGIER_LYO",_CALC_ALLOC!$D$1:$D$349,"BAC_RH",_CALC_ALLOC!$E$1:$E$349,"B3",_CALC_ALLOC!$F$1:$F$349,"ALT")</f>
        <v>0</v>
      </c>
      <c r="I80" s="84">
        <f>SUMIFS(_CALC_ALLOC!$AR$1:$AR$349,_CALC_ALLOC!$A$1:$A$349,"2026",_CALC_ALLOC!$B$1:$B$349,"PIGIER_LYO",_CALC_ALLOC!$D$1:$D$349,"BAC_RH",_CALC_ALLOC!$E$1:$E$349,"B3",_CALC_ALLOC!$F$1:$F$349,"ALT")</f>
        <v>0</v>
      </c>
      <c r="J80" s="84">
        <f>SUMIFS(_CALC_ALLOC!$AM$1:$AM$349,_CALC_ALLOC!$A$1:$A$349,"2026",_CALC_ALLOC!$B$1:$B$349,"PIGIER_LYO",_CALC_ALLOC!$D$1:$D$349,"BAC_RH",_CALC_ALLOC!$E$1:$E$349,"B3",_CALC_ALLOC!$F$1:$F$349,"ALT")</f>
        <v>0</v>
      </c>
      <c r="K80" s="123">
        <f t="shared" si="2"/>
        <v>0</v>
      </c>
      <c r="L80" s="131">
        <f>SUMIFS(_CALC_ALLOC!$AN$1:$AN$349,_CALC_ALLOC!$A$1:$A$349,"2026",_CALC_ALLOC!$B$1:$B$349,"PIGIER_LYO",_CALC_ALLOC!$D$1:$D$349,"BAC_RH",_CALC_ALLOC!$E$1:$E$349,"B3",_CALC_ALLOC!$F$1:$F$349,"ALT")</f>
        <v>0</v>
      </c>
      <c r="M80" s="86">
        <f t="shared" si="3"/>
        <v>0</v>
      </c>
    </row>
    <row r="81" spans="2:13" outlineLevel="1" x14ac:dyDescent="0.45">
      <c r="B81" s="36" t="s">
        <v>162</v>
      </c>
      <c r="C81" s="122">
        <f>SUMIFS(_CALC_ALLOC!$G$1:$G$349,_CALC_ALLOC!$A$1:$A$349,"2026",_CALC_ALLOC!$B$1:$B$349,"PIGIER_BOR")</f>
        <v>0</v>
      </c>
      <c r="D81" s="123">
        <f>SUMIFS(_CALC_ALLOC!$I$1:$I$349,_CALC_ALLOC!$A$1:$A$349,"2026",_CALC_ALLOC!$B$1:$B$349,"PIGIER_BOR")</f>
        <v>0</v>
      </c>
      <c r="E81" s="123">
        <f>SUMIFS(_CALC_ALLOC!$AI$1:$AI$349,_CALC_ALLOC!$A$1:$A$349,"2026",_CALC_ALLOC!$B$1:$B$349,"PIGIER_BOR")</f>
        <v>0</v>
      </c>
      <c r="F81" s="123">
        <f>SUMIFS(_CALC_ALLOC!$AJ$1:$AJ$349,_CALC_ALLOC!$A$1:$A$349,"2026",_CALC_ALLOC!$B$1:$B$349,"PIGIER_BOR")</f>
        <v>0</v>
      </c>
      <c r="G81" s="123">
        <f>SUMIFS(_CALC_ALLOC!$AK$1:$AK$349,_CALC_ALLOC!$A$1:$A$349,"2026",_CALC_ALLOC!$B$1:$B$349,"PIGIER_BOR")</f>
        <v>0</v>
      </c>
      <c r="H81" s="123">
        <f>SUMIFS(_CALC_ALLOC!$AL$1:$AL$349,_CALC_ALLOC!$A$1:$A$349,"2026",_CALC_ALLOC!$B$1:$B$349,"PIGIER_BOR")</f>
        <v>0</v>
      </c>
      <c r="I81" s="123">
        <f>SUMIFS(_CALC_ALLOC!$AR$1:$AR$349,_CALC_ALLOC!$A$1:$A$349,"2026",_CALC_ALLOC!$B$1:$B$349,"PIGIER_BOR")</f>
        <v>0</v>
      </c>
      <c r="J81" s="123">
        <f>SUMIFS(_CALC_ALLOC!$AM$1:$AM$349,_CALC_ALLOC!$A$1:$A$349,"2026",_CALC_ALLOC!$B$1:$B$349,"PIGIER_BOR")</f>
        <v>0</v>
      </c>
      <c r="K81" s="123">
        <f t="shared" si="2"/>
        <v>0</v>
      </c>
      <c r="L81" s="130">
        <f>SUMIFS(_CALC_ALLOC!$AN$1:$AN$349,_CALC_ALLOC!$A$1:$A$349,"2026",_CALC_ALLOC!$B$1:$B$349,"PIGIER_BOR")</f>
        <v>0</v>
      </c>
      <c r="M81" s="124">
        <f t="shared" si="3"/>
        <v>0</v>
      </c>
    </row>
    <row r="82" spans="2:13" outlineLevel="2" x14ac:dyDescent="0.45">
      <c r="B82" s="37" t="s">
        <v>158</v>
      </c>
      <c r="C82" s="85">
        <f>SUMIFS(_CALC_ALLOC!$G$1:$G$349,_CALC_ALLOC!$A$1:$A$349,"2026",_CALC_ALLOC!$B$1:$B$349,"PIGIER_BOR",_CALC_ALLOC!$D$1:$D$349,"BTS_GES",_CALC_ALLOC!$E$1:$E$349,"BTS1",_CALC_ALLOC!$F$1:$F$349,"ALT")</f>
        <v>0</v>
      </c>
      <c r="D82" s="84">
        <f>SUMIFS(_CALC_ALLOC!$I$1:$I$349,_CALC_ALLOC!$A$1:$A$349,"2026",_CALC_ALLOC!$B$1:$B$349,"PIGIER_BOR",_CALC_ALLOC!$D$1:$D$349,"BTS_GES",_CALC_ALLOC!$E$1:$E$349,"BTS1",_CALC_ALLOC!$F$1:$F$349,"ALT")</f>
        <v>0</v>
      </c>
      <c r="E82" s="84">
        <f>SUMIFS(_CALC_ALLOC!$AI$1:$AI$349,_CALC_ALLOC!$A$1:$A$349,"2026",_CALC_ALLOC!$B$1:$B$349,"PIGIER_BOR",_CALC_ALLOC!$D$1:$D$349,"BTS_GES",_CALC_ALLOC!$E$1:$E$349,"BTS1",_CALC_ALLOC!$F$1:$F$349,"ALT")</f>
        <v>0</v>
      </c>
      <c r="F82" s="84">
        <f>SUMIFS(_CALC_ALLOC!$AJ$1:$AJ$349,_CALC_ALLOC!$A$1:$A$349,"2026",_CALC_ALLOC!$B$1:$B$349,"PIGIER_BOR",_CALC_ALLOC!$D$1:$D$349,"BTS_GES",_CALC_ALLOC!$E$1:$E$349,"BTS1",_CALC_ALLOC!$F$1:$F$349,"ALT")</f>
        <v>0</v>
      </c>
      <c r="G82" s="84">
        <f>SUMIFS(_CALC_ALLOC!$AK$1:$AK$349,_CALC_ALLOC!$A$1:$A$349,"2026",_CALC_ALLOC!$B$1:$B$349,"PIGIER_BOR",_CALC_ALLOC!$D$1:$D$349,"BTS_GES",_CALC_ALLOC!$E$1:$E$349,"BTS1",_CALC_ALLOC!$F$1:$F$349,"ALT")</f>
        <v>0</v>
      </c>
      <c r="H82" s="84">
        <f>SUMIFS(_CALC_ALLOC!$AL$1:$AL$349,_CALC_ALLOC!$A$1:$A$349,"2026",_CALC_ALLOC!$B$1:$B$349,"PIGIER_BOR",_CALC_ALLOC!$D$1:$D$349,"BTS_GES",_CALC_ALLOC!$E$1:$E$349,"BTS1",_CALC_ALLOC!$F$1:$F$349,"ALT")</f>
        <v>0</v>
      </c>
      <c r="I82" s="84">
        <f>SUMIFS(_CALC_ALLOC!$AR$1:$AR$349,_CALC_ALLOC!$A$1:$A$349,"2026",_CALC_ALLOC!$B$1:$B$349,"PIGIER_BOR",_CALC_ALLOC!$D$1:$D$349,"BTS_GES",_CALC_ALLOC!$E$1:$E$349,"BTS1",_CALC_ALLOC!$F$1:$F$349,"ALT")</f>
        <v>0</v>
      </c>
      <c r="J82" s="84">
        <f>SUMIFS(_CALC_ALLOC!$AM$1:$AM$349,_CALC_ALLOC!$A$1:$A$349,"2026",_CALC_ALLOC!$B$1:$B$349,"PIGIER_BOR",_CALC_ALLOC!$D$1:$D$349,"BTS_GES",_CALC_ALLOC!$E$1:$E$349,"BTS1",_CALC_ALLOC!$F$1:$F$349,"ALT")</f>
        <v>0</v>
      </c>
      <c r="K82" s="123">
        <f t="shared" ref="K82:K95" si="4">E82+F82+G82+H82+I82+J82</f>
        <v>0</v>
      </c>
      <c r="L82" s="131">
        <f>SUMIFS(_CALC_ALLOC!$AN$1:$AN$349,_CALC_ALLOC!$A$1:$A$349,"2026",_CALC_ALLOC!$B$1:$B$349,"PIGIER_BOR",_CALC_ALLOC!$D$1:$D$349,"BTS_GES",_CALC_ALLOC!$E$1:$E$349,"BTS1",_CALC_ALLOC!$F$1:$F$349,"ALT")</f>
        <v>0</v>
      </c>
      <c r="M82" s="86">
        <f t="shared" ref="M82:M95" si="5">IFERROR(L82/D82,0)</f>
        <v>0</v>
      </c>
    </row>
    <row r="83" spans="2:13" outlineLevel="2" x14ac:dyDescent="0.45">
      <c r="B83" s="37" t="s">
        <v>159</v>
      </c>
      <c r="C83" s="85">
        <f>SUMIFS(_CALC_ALLOC!$G$1:$G$349,_CALC_ALLOC!$A$1:$A$349,"2026",_CALC_ALLOC!$B$1:$B$349,"PIGIER_BOR",_CALC_ALLOC!$D$1:$D$349,"BTS_GES",_CALC_ALLOC!$E$1:$E$349,"BTS2",_CALC_ALLOC!$F$1:$F$349,"ALT")</f>
        <v>0</v>
      </c>
      <c r="D83" s="84">
        <f>SUMIFS(_CALC_ALLOC!$I$1:$I$349,_CALC_ALLOC!$A$1:$A$349,"2026",_CALC_ALLOC!$B$1:$B$349,"PIGIER_BOR",_CALC_ALLOC!$D$1:$D$349,"BTS_GES",_CALC_ALLOC!$E$1:$E$349,"BTS2",_CALC_ALLOC!$F$1:$F$349,"ALT")</f>
        <v>0</v>
      </c>
      <c r="E83" s="84">
        <f>SUMIFS(_CALC_ALLOC!$AI$1:$AI$349,_CALC_ALLOC!$A$1:$A$349,"2026",_CALC_ALLOC!$B$1:$B$349,"PIGIER_BOR",_CALC_ALLOC!$D$1:$D$349,"BTS_GES",_CALC_ALLOC!$E$1:$E$349,"BTS2",_CALC_ALLOC!$F$1:$F$349,"ALT")</f>
        <v>0</v>
      </c>
      <c r="F83" s="84">
        <f>SUMIFS(_CALC_ALLOC!$AJ$1:$AJ$349,_CALC_ALLOC!$A$1:$A$349,"2026",_CALC_ALLOC!$B$1:$B$349,"PIGIER_BOR",_CALC_ALLOC!$D$1:$D$349,"BTS_GES",_CALC_ALLOC!$E$1:$E$349,"BTS2",_CALC_ALLOC!$F$1:$F$349,"ALT")</f>
        <v>0</v>
      </c>
      <c r="G83" s="84">
        <f>SUMIFS(_CALC_ALLOC!$AK$1:$AK$349,_CALC_ALLOC!$A$1:$A$349,"2026",_CALC_ALLOC!$B$1:$B$349,"PIGIER_BOR",_CALC_ALLOC!$D$1:$D$349,"BTS_GES",_CALC_ALLOC!$E$1:$E$349,"BTS2",_CALC_ALLOC!$F$1:$F$349,"ALT")</f>
        <v>0</v>
      </c>
      <c r="H83" s="84">
        <f>SUMIFS(_CALC_ALLOC!$AL$1:$AL$349,_CALC_ALLOC!$A$1:$A$349,"2026",_CALC_ALLOC!$B$1:$B$349,"PIGIER_BOR",_CALC_ALLOC!$D$1:$D$349,"BTS_GES",_CALC_ALLOC!$E$1:$E$349,"BTS2",_CALC_ALLOC!$F$1:$F$349,"ALT")</f>
        <v>0</v>
      </c>
      <c r="I83" s="84">
        <f>SUMIFS(_CALC_ALLOC!$AR$1:$AR$349,_CALC_ALLOC!$A$1:$A$349,"2026",_CALC_ALLOC!$B$1:$B$349,"PIGIER_BOR",_CALC_ALLOC!$D$1:$D$349,"BTS_GES",_CALC_ALLOC!$E$1:$E$349,"BTS2",_CALC_ALLOC!$F$1:$F$349,"ALT")</f>
        <v>0</v>
      </c>
      <c r="J83" s="84">
        <f>SUMIFS(_CALC_ALLOC!$AM$1:$AM$349,_CALC_ALLOC!$A$1:$A$349,"2026",_CALC_ALLOC!$B$1:$B$349,"PIGIER_BOR",_CALC_ALLOC!$D$1:$D$349,"BTS_GES",_CALC_ALLOC!$E$1:$E$349,"BTS2",_CALC_ALLOC!$F$1:$F$349,"ALT")</f>
        <v>0</v>
      </c>
      <c r="K83" s="123">
        <f t="shared" si="4"/>
        <v>0</v>
      </c>
      <c r="L83" s="131">
        <f>SUMIFS(_CALC_ALLOC!$AN$1:$AN$349,_CALC_ALLOC!$A$1:$A$349,"2026",_CALC_ALLOC!$B$1:$B$349,"PIGIER_BOR",_CALC_ALLOC!$D$1:$D$349,"BTS_GES",_CALC_ALLOC!$E$1:$E$349,"BTS2",_CALC_ALLOC!$F$1:$F$349,"ALT")</f>
        <v>0</v>
      </c>
      <c r="M83" s="86">
        <f t="shared" si="5"/>
        <v>0</v>
      </c>
    </row>
    <row r="84" spans="2:13" outlineLevel="2" x14ac:dyDescent="0.45">
      <c r="B84" s="37" t="s">
        <v>160</v>
      </c>
      <c r="C84" s="85">
        <f>SUMIFS(_CALC_ALLOC!$G$1:$G$349,_CALC_ALLOC!$A$1:$A$349,"2026",_CALC_ALLOC!$B$1:$B$349,"PIGIER_BOR",_CALC_ALLOC!$D$1:$D$349,"BAC_RH",_CALC_ALLOC!$E$1:$E$349,"B1",_CALC_ALLOC!$F$1:$F$349,"ALT")</f>
        <v>0</v>
      </c>
      <c r="D84" s="84">
        <f>SUMIFS(_CALC_ALLOC!$I$1:$I$349,_CALC_ALLOC!$A$1:$A$349,"2026",_CALC_ALLOC!$B$1:$B$349,"PIGIER_BOR",_CALC_ALLOC!$D$1:$D$349,"BAC_RH",_CALC_ALLOC!$E$1:$E$349,"B1",_CALC_ALLOC!$F$1:$F$349,"ALT")</f>
        <v>0</v>
      </c>
      <c r="E84" s="84">
        <f>SUMIFS(_CALC_ALLOC!$AI$1:$AI$349,_CALC_ALLOC!$A$1:$A$349,"2026",_CALC_ALLOC!$B$1:$B$349,"PIGIER_BOR",_CALC_ALLOC!$D$1:$D$349,"BAC_RH",_CALC_ALLOC!$E$1:$E$349,"B1",_CALC_ALLOC!$F$1:$F$349,"ALT")</f>
        <v>0</v>
      </c>
      <c r="F84" s="84">
        <f>SUMIFS(_CALC_ALLOC!$AJ$1:$AJ$349,_CALC_ALLOC!$A$1:$A$349,"2026",_CALC_ALLOC!$B$1:$B$349,"PIGIER_BOR",_CALC_ALLOC!$D$1:$D$349,"BAC_RH",_CALC_ALLOC!$E$1:$E$349,"B1",_CALC_ALLOC!$F$1:$F$349,"ALT")</f>
        <v>0</v>
      </c>
      <c r="G84" s="84">
        <f>SUMIFS(_CALC_ALLOC!$AK$1:$AK$349,_CALC_ALLOC!$A$1:$A$349,"2026",_CALC_ALLOC!$B$1:$B$349,"PIGIER_BOR",_CALC_ALLOC!$D$1:$D$349,"BAC_RH",_CALC_ALLOC!$E$1:$E$349,"B1",_CALC_ALLOC!$F$1:$F$349,"ALT")</f>
        <v>0</v>
      </c>
      <c r="H84" s="84">
        <f>SUMIFS(_CALC_ALLOC!$AL$1:$AL$349,_CALC_ALLOC!$A$1:$A$349,"2026",_CALC_ALLOC!$B$1:$B$349,"PIGIER_BOR",_CALC_ALLOC!$D$1:$D$349,"BAC_RH",_CALC_ALLOC!$E$1:$E$349,"B1",_CALC_ALLOC!$F$1:$F$349,"ALT")</f>
        <v>0</v>
      </c>
      <c r="I84" s="84">
        <f>SUMIFS(_CALC_ALLOC!$AR$1:$AR$349,_CALC_ALLOC!$A$1:$A$349,"2026",_CALC_ALLOC!$B$1:$B$349,"PIGIER_BOR",_CALC_ALLOC!$D$1:$D$349,"BAC_RH",_CALC_ALLOC!$E$1:$E$349,"B1",_CALC_ALLOC!$F$1:$F$349,"ALT")</f>
        <v>0</v>
      </c>
      <c r="J84" s="84">
        <f>SUMIFS(_CALC_ALLOC!$AM$1:$AM$349,_CALC_ALLOC!$A$1:$A$349,"2026",_CALC_ALLOC!$B$1:$B$349,"PIGIER_BOR",_CALC_ALLOC!$D$1:$D$349,"BAC_RH",_CALC_ALLOC!$E$1:$E$349,"B1",_CALC_ALLOC!$F$1:$F$349,"ALT")</f>
        <v>0</v>
      </c>
      <c r="K84" s="123">
        <f t="shared" si="4"/>
        <v>0</v>
      </c>
      <c r="L84" s="131">
        <f>SUMIFS(_CALC_ALLOC!$AN$1:$AN$349,_CALC_ALLOC!$A$1:$A$349,"2026",_CALC_ALLOC!$B$1:$B$349,"PIGIER_BOR",_CALC_ALLOC!$D$1:$D$349,"BAC_RH",_CALC_ALLOC!$E$1:$E$349,"B1",_CALC_ALLOC!$F$1:$F$349,"ALT")</f>
        <v>0</v>
      </c>
      <c r="M84" s="86">
        <f t="shared" si="5"/>
        <v>0</v>
      </c>
    </row>
    <row r="85" spans="2:13" outlineLevel="2" x14ac:dyDescent="0.45">
      <c r="B85" s="37" t="s">
        <v>161</v>
      </c>
      <c r="C85" s="85">
        <f>SUMIFS(_CALC_ALLOC!$G$1:$G$349,_CALC_ALLOC!$A$1:$A$349,"2026",_CALC_ALLOC!$B$1:$B$349,"PIGIER_BOR",_CALC_ALLOC!$D$1:$D$349,"BAC_RH",_CALC_ALLOC!$E$1:$E$349,"B3",_CALC_ALLOC!$F$1:$F$349,"ALT")</f>
        <v>0</v>
      </c>
      <c r="D85" s="84">
        <f>SUMIFS(_CALC_ALLOC!$I$1:$I$349,_CALC_ALLOC!$A$1:$A$349,"2026",_CALC_ALLOC!$B$1:$B$349,"PIGIER_BOR",_CALC_ALLOC!$D$1:$D$349,"BAC_RH",_CALC_ALLOC!$E$1:$E$349,"B3",_CALC_ALLOC!$F$1:$F$349,"ALT")</f>
        <v>0</v>
      </c>
      <c r="E85" s="84">
        <f>SUMIFS(_CALC_ALLOC!$AI$1:$AI$349,_CALC_ALLOC!$A$1:$A$349,"2026",_CALC_ALLOC!$B$1:$B$349,"PIGIER_BOR",_CALC_ALLOC!$D$1:$D$349,"BAC_RH",_CALC_ALLOC!$E$1:$E$349,"B3",_CALC_ALLOC!$F$1:$F$349,"ALT")</f>
        <v>0</v>
      </c>
      <c r="F85" s="84">
        <f>SUMIFS(_CALC_ALLOC!$AJ$1:$AJ$349,_CALC_ALLOC!$A$1:$A$349,"2026",_CALC_ALLOC!$B$1:$B$349,"PIGIER_BOR",_CALC_ALLOC!$D$1:$D$349,"BAC_RH",_CALC_ALLOC!$E$1:$E$349,"B3",_CALC_ALLOC!$F$1:$F$349,"ALT")</f>
        <v>0</v>
      </c>
      <c r="G85" s="84">
        <f>SUMIFS(_CALC_ALLOC!$AK$1:$AK$349,_CALC_ALLOC!$A$1:$A$349,"2026",_CALC_ALLOC!$B$1:$B$349,"PIGIER_BOR",_CALC_ALLOC!$D$1:$D$349,"BAC_RH",_CALC_ALLOC!$E$1:$E$349,"B3",_CALC_ALLOC!$F$1:$F$349,"ALT")</f>
        <v>0</v>
      </c>
      <c r="H85" s="84">
        <f>SUMIFS(_CALC_ALLOC!$AL$1:$AL$349,_CALC_ALLOC!$A$1:$A$349,"2026",_CALC_ALLOC!$B$1:$B$349,"PIGIER_BOR",_CALC_ALLOC!$D$1:$D$349,"BAC_RH",_CALC_ALLOC!$E$1:$E$349,"B3",_CALC_ALLOC!$F$1:$F$349,"ALT")</f>
        <v>0</v>
      </c>
      <c r="I85" s="84">
        <f>SUMIFS(_CALC_ALLOC!$AR$1:$AR$349,_CALC_ALLOC!$A$1:$A$349,"2026",_CALC_ALLOC!$B$1:$B$349,"PIGIER_BOR",_CALC_ALLOC!$D$1:$D$349,"BAC_RH",_CALC_ALLOC!$E$1:$E$349,"B3",_CALC_ALLOC!$F$1:$F$349,"ALT")</f>
        <v>0</v>
      </c>
      <c r="J85" s="84">
        <f>SUMIFS(_CALC_ALLOC!$AM$1:$AM$349,_CALC_ALLOC!$A$1:$A$349,"2026",_CALC_ALLOC!$B$1:$B$349,"PIGIER_BOR",_CALC_ALLOC!$D$1:$D$349,"BAC_RH",_CALC_ALLOC!$E$1:$E$349,"B3",_CALC_ALLOC!$F$1:$F$349,"ALT")</f>
        <v>0</v>
      </c>
      <c r="K85" s="123">
        <f t="shared" si="4"/>
        <v>0</v>
      </c>
      <c r="L85" s="131">
        <f>SUMIFS(_CALC_ALLOC!$AN$1:$AN$349,_CALC_ALLOC!$A$1:$A$349,"2026",_CALC_ALLOC!$B$1:$B$349,"PIGIER_BOR",_CALC_ALLOC!$D$1:$D$349,"BAC_RH",_CALC_ALLOC!$E$1:$E$349,"B3",_CALC_ALLOC!$F$1:$F$349,"ALT")</f>
        <v>0</v>
      </c>
      <c r="M85" s="86">
        <f t="shared" si="5"/>
        <v>0</v>
      </c>
    </row>
    <row r="86" spans="2:13" x14ac:dyDescent="0.45">
      <c r="B86" s="41" t="s">
        <v>5</v>
      </c>
      <c r="C86" s="122">
        <f>SUMIFS(_CALC_ALLOC!$G$1:$G$349,_CALC_ALLOC!$A$1:$A$349,"2026",_CALC_ALLOC!$C$1:$C$349,"TUNON")</f>
        <v>0</v>
      </c>
      <c r="D86" s="123">
        <f>SUMIFS(_CALC_ALLOC!$I$1:$I$349,_CALC_ALLOC!$A$1:$A$349,"2026",_CALC_ALLOC!$C$1:$C$349,"TUNON")</f>
        <v>0</v>
      </c>
      <c r="E86" s="123">
        <f>SUMIFS(_CALC_ALLOC!$AI$1:$AI$349,_CALC_ALLOC!$A$1:$A$349,"2026",_CALC_ALLOC!$C$1:$C$349,"TUNON")</f>
        <v>0</v>
      </c>
      <c r="F86" s="123">
        <f>SUMIFS(_CALC_ALLOC!$AJ$1:$AJ$349,_CALC_ALLOC!$A$1:$A$349,"2026",_CALC_ALLOC!$C$1:$C$349,"TUNON")</f>
        <v>0</v>
      </c>
      <c r="G86" s="123">
        <f>SUMIFS(_CALC_ALLOC!$AK$1:$AK$349,_CALC_ALLOC!$A$1:$A$349,"2026",_CALC_ALLOC!$C$1:$C$349,"TUNON")</f>
        <v>0</v>
      </c>
      <c r="H86" s="123">
        <f>SUMIFS(_CALC_ALLOC!$AL$1:$AL$349,_CALC_ALLOC!$A$1:$A$349,"2026",_CALC_ALLOC!$C$1:$C$349,"TUNON")</f>
        <v>0</v>
      </c>
      <c r="I86" s="123">
        <f>SUMIFS(_CALC_ALLOC!$AR$1:$AR$349,_CALC_ALLOC!$A$1:$A$349,"2026",_CALC_ALLOC!$C$1:$C$349,"TUNON")</f>
        <v>0</v>
      </c>
      <c r="J86" s="123">
        <f>SUMIFS(_CALC_ALLOC!$AM$1:$AM$349,_CALC_ALLOC!$A$1:$A$349,"2026",_CALC_ALLOC!$C$1:$C$349,"TUNON")</f>
        <v>0</v>
      </c>
      <c r="K86" s="123">
        <f t="shared" si="4"/>
        <v>0</v>
      </c>
      <c r="L86" s="130">
        <f>SUMIFS(_CALC_ALLOC!$AN$1:$AN$349,_CALC_ALLOC!$A$1:$A$349,"2026",_CALC_ALLOC!$C$1:$C$349,"TUNON")</f>
        <v>0</v>
      </c>
      <c r="M86" s="124">
        <f t="shared" si="5"/>
        <v>0</v>
      </c>
    </row>
    <row r="87" spans="2:13" outlineLevel="1" collapsed="1" x14ac:dyDescent="0.45">
      <c r="B87" s="36" t="s">
        <v>163</v>
      </c>
      <c r="C87" s="122">
        <f>SUMIFS(_CALC_ALLOC!$G$1:$G$349,_CALC_ALLOC!$A$1:$A$349,"2026",_CALC_ALLOC!$B$1:$B$349,"TUNON_PAR")</f>
        <v>0</v>
      </c>
      <c r="D87" s="123">
        <f>SUMIFS(_CALC_ALLOC!$I$1:$I$349,_CALC_ALLOC!$A$1:$A$349,"2026",_CALC_ALLOC!$B$1:$B$349,"TUNON_PAR")</f>
        <v>0</v>
      </c>
      <c r="E87" s="123">
        <f>SUMIFS(_CALC_ALLOC!$AI$1:$AI$349,_CALC_ALLOC!$A$1:$A$349,"2026",_CALC_ALLOC!$B$1:$B$349,"TUNON_PAR")</f>
        <v>0</v>
      </c>
      <c r="F87" s="123">
        <f>SUMIFS(_CALC_ALLOC!$AJ$1:$AJ$349,_CALC_ALLOC!$A$1:$A$349,"2026",_CALC_ALLOC!$B$1:$B$349,"TUNON_PAR")</f>
        <v>0</v>
      </c>
      <c r="G87" s="123">
        <f>SUMIFS(_CALC_ALLOC!$AK$1:$AK$349,_CALC_ALLOC!$A$1:$A$349,"2026",_CALC_ALLOC!$B$1:$B$349,"TUNON_PAR")</f>
        <v>0</v>
      </c>
      <c r="H87" s="123">
        <f>SUMIFS(_CALC_ALLOC!$AL$1:$AL$349,_CALC_ALLOC!$A$1:$A$349,"2026",_CALC_ALLOC!$B$1:$B$349,"TUNON_PAR")</f>
        <v>0</v>
      </c>
      <c r="I87" s="123">
        <f>SUMIFS(_CALC_ALLOC!$AR$1:$AR$349,_CALC_ALLOC!$A$1:$A$349,"2026",_CALC_ALLOC!$B$1:$B$349,"TUNON_PAR")</f>
        <v>0</v>
      </c>
      <c r="J87" s="123">
        <f>SUMIFS(_CALC_ALLOC!$AM$1:$AM$349,_CALC_ALLOC!$A$1:$A$349,"2026",_CALC_ALLOC!$B$1:$B$349,"TUNON_PAR")</f>
        <v>0</v>
      </c>
      <c r="K87" s="123">
        <f t="shared" si="4"/>
        <v>0</v>
      </c>
      <c r="L87" s="130">
        <f>SUMIFS(_CALC_ALLOC!$AN$1:$AN$349,_CALC_ALLOC!$A$1:$A$349,"2026",_CALC_ALLOC!$B$1:$B$349,"TUNON_PAR")</f>
        <v>0</v>
      </c>
      <c r="M87" s="124">
        <f t="shared" si="5"/>
        <v>0</v>
      </c>
    </row>
    <row r="88" spans="2:13" outlineLevel="2" x14ac:dyDescent="0.45">
      <c r="B88" s="37" t="s">
        <v>164</v>
      </c>
      <c r="C88" s="85">
        <f>SUMIFS(_CALC_ALLOC!$G$1:$G$349,_CALC_ALLOC!$A$1:$A$349,"2026",_CALC_ALLOC!$B$1:$B$349,"TUNON_PAR",_CALC_ALLOC!$D$1:$D$349,"BAC_TOU",_CALC_ALLOC!$E$1:$E$349,"B1",_CALC_ALLOC!$F$1:$F$349,"ALT")</f>
        <v>0</v>
      </c>
      <c r="D88" s="84">
        <f>SUMIFS(_CALC_ALLOC!$I$1:$I$349,_CALC_ALLOC!$A$1:$A$349,"2026",_CALC_ALLOC!$B$1:$B$349,"TUNON_PAR",_CALC_ALLOC!$D$1:$D$349,"BAC_TOU",_CALC_ALLOC!$E$1:$E$349,"B1",_CALC_ALLOC!$F$1:$F$349,"ALT")</f>
        <v>0</v>
      </c>
      <c r="E88" s="84">
        <f>SUMIFS(_CALC_ALLOC!$AI$1:$AI$349,_CALC_ALLOC!$A$1:$A$349,"2026",_CALC_ALLOC!$B$1:$B$349,"TUNON_PAR",_CALC_ALLOC!$D$1:$D$349,"BAC_TOU",_CALC_ALLOC!$E$1:$E$349,"B1",_CALC_ALLOC!$F$1:$F$349,"ALT")</f>
        <v>0</v>
      </c>
      <c r="F88" s="84">
        <f>SUMIFS(_CALC_ALLOC!$AJ$1:$AJ$349,_CALC_ALLOC!$A$1:$A$349,"2026",_CALC_ALLOC!$B$1:$B$349,"TUNON_PAR",_CALC_ALLOC!$D$1:$D$349,"BAC_TOU",_CALC_ALLOC!$E$1:$E$349,"B1",_CALC_ALLOC!$F$1:$F$349,"ALT")</f>
        <v>0</v>
      </c>
      <c r="G88" s="84">
        <f>SUMIFS(_CALC_ALLOC!$AK$1:$AK$349,_CALC_ALLOC!$A$1:$A$349,"2026",_CALC_ALLOC!$B$1:$B$349,"TUNON_PAR",_CALC_ALLOC!$D$1:$D$349,"BAC_TOU",_CALC_ALLOC!$E$1:$E$349,"B1",_CALC_ALLOC!$F$1:$F$349,"ALT")</f>
        <v>0</v>
      </c>
      <c r="H88" s="84">
        <f>SUMIFS(_CALC_ALLOC!$AL$1:$AL$349,_CALC_ALLOC!$A$1:$A$349,"2026",_CALC_ALLOC!$B$1:$B$349,"TUNON_PAR",_CALC_ALLOC!$D$1:$D$349,"BAC_TOU",_CALC_ALLOC!$E$1:$E$349,"B1",_CALC_ALLOC!$F$1:$F$349,"ALT")</f>
        <v>0</v>
      </c>
      <c r="I88" s="84">
        <f>SUMIFS(_CALC_ALLOC!$AR$1:$AR$349,_CALC_ALLOC!$A$1:$A$349,"2026",_CALC_ALLOC!$B$1:$B$349,"TUNON_PAR",_CALC_ALLOC!$D$1:$D$349,"BAC_TOU",_CALC_ALLOC!$E$1:$E$349,"B1",_CALC_ALLOC!$F$1:$F$349,"ALT")</f>
        <v>0</v>
      </c>
      <c r="J88" s="84">
        <f>SUMIFS(_CALC_ALLOC!$AM$1:$AM$349,_CALC_ALLOC!$A$1:$A$349,"2026",_CALC_ALLOC!$B$1:$B$349,"TUNON_PAR",_CALC_ALLOC!$D$1:$D$349,"BAC_TOU",_CALC_ALLOC!$E$1:$E$349,"B1",_CALC_ALLOC!$F$1:$F$349,"ALT")</f>
        <v>0</v>
      </c>
      <c r="K88" s="123">
        <f t="shared" si="4"/>
        <v>0</v>
      </c>
      <c r="L88" s="131">
        <f>SUMIFS(_CALC_ALLOC!$AN$1:$AN$349,_CALC_ALLOC!$A$1:$A$349,"2026",_CALC_ALLOC!$B$1:$B$349,"TUNON_PAR",_CALC_ALLOC!$D$1:$D$349,"BAC_TOU",_CALC_ALLOC!$E$1:$E$349,"B1",_CALC_ALLOC!$F$1:$F$349,"ALT")</f>
        <v>0</v>
      </c>
      <c r="M88" s="86">
        <f t="shared" si="5"/>
        <v>0</v>
      </c>
    </row>
    <row r="89" spans="2:13" outlineLevel="2" x14ac:dyDescent="0.45">
      <c r="B89" s="37" t="s">
        <v>165</v>
      </c>
      <c r="C89" s="85">
        <f>SUMIFS(_CALC_ALLOC!$G$1:$G$349,_CALC_ALLOC!$A$1:$A$349,"2026",_CALC_ALLOC!$B$1:$B$349,"TUNON_PAR",_CALC_ALLOC!$D$1:$D$349,"BAC_TOU",_CALC_ALLOC!$E$1:$E$349,"B2",_CALC_ALLOC!$F$1:$F$349,"ALT")</f>
        <v>0</v>
      </c>
      <c r="D89" s="84">
        <f>SUMIFS(_CALC_ALLOC!$I$1:$I$349,_CALC_ALLOC!$A$1:$A$349,"2026",_CALC_ALLOC!$B$1:$B$349,"TUNON_PAR",_CALC_ALLOC!$D$1:$D$349,"BAC_TOU",_CALC_ALLOC!$E$1:$E$349,"B2",_CALC_ALLOC!$F$1:$F$349,"ALT")</f>
        <v>0</v>
      </c>
      <c r="E89" s="84">
        <f>SUMIFS(_CALC_ALLOC!$AI$1:$AI$349,_CALC_ALLOC!$A$1:$A$349,"2026",_CALC_ALLOC!$B$1:$B$349,"TUNON_PAR",_CALC_ALLOC!$D$1:$D$349,"BAC_TOU",_CALC_ALLOC!$E$1:$E$349,"B2",_CALC_ALLOC!$F$1:$F$349,"ALT")</f>
        <v>0</v>
      </c>
      <c r="F89" s="84">
        <f>SUMIFS(_CALC_ALLOC!$AJ$1:$AJ$349,_CALC_ALLOC!$A$1:$A$349,"2026",_CALC_ALLOC!$B$1:$B$349,"TUNON_PAR",_CALC_ALLOC!$D$1:$D$349,"BAC_TOU",_CALC_ALLOC!$E$1:$E$349,"B2",_CALC_ALLOC!$F$1:$F$349,"ALT")</f>
        <v>0</v>
      </c>
      <c r="G89" s="84">
        <f>SUMIFS(_CALC_ALLOC!$AK$1:$AK$349,_CALC_ALLOC!$A$1:$A$349,"2026",_CALC_ALLOC!$B$1:$B$349,"TUNON_PAR",_CALC_ALLOC!$D$1:$D$349,"BAC_TOU",_CALC_ALLOC!$E$1:$E$349,"B2",_CALC_ALLOC!$F$1:$F$349,"ALT")</f>
        <v>0</v>
      </c>
      <c r="H89" s="84">
        <f>SUMIFS(_CALC_ALLOC!$AL$1:$AL$349,_CALC_ALLOC!$A$1:$A$349,"2026",_CALC_ALLOC!$B$1:$B$349,"TUNON_PAR",_CALC_ALLOC!$D$1:$D$349,"BAC_TOU",_CALC_ALLOC!$E$1:$E$349,"B2",_CALC_ALLOC!$F$1:$F$349,"ALT")</f>
        <v>0</v>
      </c>
      <c r="I89" s="84">
        <f>SUMIFS(_CALC_ALLOC!$AR$1:$AR$349,_CALC_ALLOC!$A$1:$A$349,"2026",_CALC_ALLOC!$B$1:$B$349,"TUNON_PAR",_CALC_ALLOC!$D$1:$D$349,"BAC_TOU",_CALC_ALLOC!$E$1:$E$349,"B2",_CALC_ALLOC!$F$1:$F$349,"ALT")</f>
        <v>0</v>
      </c>
      <c r="J89" s="84">
        <f>SUMIFS(_CALC_ALLOC!$AM$1:$AM$349,_CALC_ALLOC!$A$1:$A$349,"2026",_CALC_ALLOC!$B$1:$B$349,"TUNON_PAR",_CALC_ALLOC!$D$1:$D$349,"BAC_TOU",_CALC_ALLOC!$E$1:$E$349,"B2",_CALC_ALLOC!$F$1:$F$349,"ALT")</f>
        <v>0</v>
      </c>
      <c r="K89" s="123">
        <f t="shared" si="4"/>
        <v>0</v>
      </c>
      <c r="L89" s="131">
        <f>SUMIFS(_CALC_ALLOC!$AN$1:$AN$349,_CALC_ALLOC!$A$1:$A$349,"2026",_CALC_ALLOC!$B$1:$B$349,"TUNON_PAR",_CALC_ALLOC!$D$1:$D$349,"BAC_TOU",_CALC_ALLOC!$E$1:$E$349,"B2",_CALC_ALLOC!$F$1:$F$349,"ALT")</f>
        <v>0</v>
      </c>
      <c r="M89" s="86">
        <f t="shared" si="5"/>
        <v>0</v>
      </c>
    </row>
    <row r="90" spans="2:13" outlineLevel="2" x14ac:dyDescent="0.45">
      <c r="B90" s="37" t="s">
        <v>166</v>
      </c>
      <c r="C90" s="85">
        <f>SUMIFS(_CALC_ALLOC!$G$1:$G$349,_CALC_ALLOC!$A$1:$A$349,"2026",_CALC_ALLOC!$B$1:$B$349,"TUNON_PAR",_CALC_ALLOC!$D$1:$D$349,"BAC_TOU",_CALC_ALLOC!$E$1:$E$349,"B3",_CALC_ALLOC!$F$1:$F$349,"ALT")</f>
        <v>0</v>
      </c>
      <c r="D90" s="84">
        <f>SUMIFS(_CALC_ALLOC!$I$1:$I$349,_CALC_ALLOC!$A$1:$A$349,"2026",_CALC_ALLOC!$B$1:$B$349,"TUNON_PAR",_CALC_ALLOC!$D$1:$D$349,"BAC_TOU",_CALC_ALLOC!$E$1:$E$349,"B3",_CALC_ALLOC!$F$1:$F$349,"ALT")</f>
        <v>0</v>
      </c>
      <c r="E90" s="84">
        <f>SUMIFS(_CALC_ALLOC!$AI$1:$AI$349,_CALC_ALLOC!$A$1:$A$349,"2026",_CALC_ALLOC!$B$1:$B$349,"TUNON_PAR",_CALC_ALLOC!$D$1:$D$349,"BAC_TOU",_CALC_ALLOC!$E$1:$E$349,"B3",_CALC_ALLOC!$F$1:$F$349,"ALT")</f>
        <v>0</v>
      </c>
      <c r="F90" s="84">
        <f>SUMIFS(_CALC_ALLOC!$AJ$1:$AJ$349,_CALC_ALLOC!$A$1:$A$349,"2026",_CALC_ALLOC!$B$1:$B$349,"TUNON_PAR",_CALC_ALLOC!$D$1:$D$349,"BAC_TOU",_CALC_ALLOC!$E$1:$E$349,"B3",_CALC_ALLOC!$F$1:$F$349,"ALT")</f>
        <v>0</v>
      </c>
      <c r="G90" s="84">
        <f>SUMIFS(_CALC_ALLOC!$AK$1:$AK$349,_CALC_ALLOC!$A$1:$A$349,"2026",_CALC_ALLOC!$B$1:$B$349,"TUNON_PAR",_CALC_ALLOC!$D$1:$D$349,"BAC_TOU",_CALC_ALLOC!$E$1:$E$349,"B3",_CALC_ALLOC!$F$1:$F$349,"ALT")</f>
        <v>0</v>
      </c>
      <c r="H90" s="84">
        <f>SUMIFS(_CALC_ALLOC!$AL$1:$AL$349,_CALC_ALLOC!$A$1:$A$349,"2026",_CALC_ALLOC!$B$1:$B$349,"TUNON_PAR",_CALC_ALLOC!$D$1:$D$349,"BAC_TOU",_CALC_ALLOC!$E$1:$E$349,"B3",_CALC_ALLOC!$F$1:$F$349,"ALT")</f>
        <v>0</v>
      </c>
      <c r="I90" s="84">
        <f>SUMIFS(_CALC_ALLOC!$AR$1:$AR$349,_CALC_ALLOC!$A$1:$A$349,"2026",_CALC_ALLOC!$B$1:$B$349,"TUNON_PAR",_CALC_ALLOC!$D$1:$D$349,"BAC_TOU",_CALC_ALLOC!$E$1:$E$349,"B3",_CALC_ALLOC!$F$1:$F$349,"ALT")</f>
        <v>0</v>
      </c>
      <c r="J90" s="84">
        <f>SUMIFS(_CALC_ALLOC!$AM$1:$AM$349,_CALC_ALLOC!$A$1:$A$349,"2026",_CALC_ALLOC!$B$1:$B$349,"TUNON_PAR",_CALC_ALLOC!$D$1:$D$349,"BAC_TOU",_CALC_ALLOC!$E$1:$E$349,"B3",_CALC_ALLOC!$F$1:$F$349,"ALT")</f>
        <v>0</v>
      </c>
      <c r="K90" s="123">
        <f t="shared" si="4"/>
        <v>0</v>
      </c>
      <c r="L90" s="131">
        <f>SUMIFS(_CALC_ALLOC!$AN$1:$AN$349,_CALC_ALLOC!$A$1:$A$349,"2026",_CALC_ALLOC!$B$1:$B$349,"TUNON_PAR",_CALC_ALLOC!$D$1:$D$349,"BAC_TOU",_CALC_ALLOC!$E$1:$E$349,"B3",_CALC_ALLOC!$F$1:$F$349,"ALT")</f>
        <v>0</v>
      </c>
      <c r="M90" s="86">
        <f t="shared" si="5"/>
        <v>0</v>
      </c>
    </row>
    <row r="91" spans="2:13" outlineLevel="1" x14ac:dyDescent="0.45">
      <c r="B91" s="36" t="s">
        <v>167</v>
      </c>
      <c r="C91" s="122">
        <f>SUMIFS(_CALC_ALLOC!$G$1:$G$349,_CALC_ALLOC!$A$1:$A$349,"2026",_CALC_ALLOC!$B$1:$B$349,"TUNON_LYO")</f>
        <v>0</v>
      </c>
      <c r="D91" s="123">
        <f>SUMIFS(_CALC_ALLOC!$I$1:$I$349,_CALC_ALLOC!$A$1:$A$349,"2026",_CALC_ALLOC!$B$1:$B$349,"TUNON_LYO")</f>
        <v>0</v>
      </c>
      <c r="E91" s="123">
        <f>SUMIFS(_CALC_ALLOC!$AI$1:$AI$349,_CALC_ALLOC!$A$1:$A$349,"2026",_CALC_ALLOC!$B$1:$B$349,"TUNON_LYO")</f>
        <v>0</v>
      </c>
      <c r="F91" s="123">
        <f>SUMIFS(_CALC_ALLOC!$AJ$1:$AJ$349,_CALC_ALLOC!$A$1:$A$349,"2026",_CALC_ALLOC!$B$1:$B$349,"TUNON_LYO")</f>
        <v>0</v>
      </c>
      <c r="G91" s="123">
        <f>SUMIFS(_CALC_ALLOC!$AK$1:$AK$349,_CALC_ALLOC!$A$1:$A$349,"2026",_CALC_ALLOC!$B$1:$B$349,"TUNON_LYO")</f>
        <v>0</v>
      </c>
      <c r="H91" s="123">
        <f>SUMIFS(_CALC_ALLOC!$AL$1:$AL$349,_CALC_ALLOC!$A$1:$A$349,"2026",_CALC_ALLOC!$B$1:$B$349,"TUNON_LYO")</f>
        <v>0</v>
      </c>
      <c r="I91" s="123">
        <f>SUMIFS(_CALC_ALLOC!$AR$1:$AR$349,_CALC_ALLOC!$A$1:$A$349,"2026",_CALC_ALLOC!$B$1:$B$349,"TUNON_LYO")</f>
        <v>0</v>
      </c>
      <c r="J91" s="123">
        <f>SUMIFS(_CALC_ALLOC!$AM$1:$AM$349,_CALC_ALLOC!$A$1:$A$349,"2026",_CALC_ALLOC!$B$1:$B$349,"TUNON_LYO")</f>
        <v>0</v>
      </c>
      <c r="K91" s="123">
        <f t="shared" si="4"/>
        <v>0</v>
      </c>
      <c r="L91" s="130">
        <f>SUMIFS(_CALC_ALLOC!$AN$1:$AN$349,_CALC_ALLOC!$A$1:$A$349,"2026",_CALC_ALLOC!$B$1:$B$349,"TUNON_LYO")</f>
        <v>0</v>
      </c>
      <c r="M91" s="124">
        <f t="shared" si="5"/>
        <v>0</v>
      </c>
    </row>
    <row r="92" spans="2:13" outlineLevel="2" x14ac:dyDescent="0.45">
      <c r="B92" s="37" t="s">
        <v>164</v>
      </c>
      <c r="C92" s="85">
        <f>SUMIFS(_CALC_ALLOC!$G$1:$G$349,_CALC_ALLOC!$A$1:$A$349,"2026",_CALC_ALLOC!$B$1:$B$349,"TUNON_LYO",_CALC_ALLOC!$D$1:$D$349,"BAC_TOU",_CALC_ALLOC!$E$1:$E$349,"B1",_CALC_ALLOC!$F$1:$F$349,"ALT")</f>
        <v>0</v>
      </c>
      <c r="D92" s="84">
        <f>SUMIFS(_CALC_ALLOC!$I$1:$I$349,_CALC_ALLOC!$A$1:$A$349,"2026",_CALC_ALLOC!$B$1:$B$349,"TUNON_LYO",_CALC_ALLOC!$D$1:$D$349,"BAC_TOU",_CALC_ALLOC!$E$1:$E$349,"B1",_CALC_ALLOC!$F$1:$F$349,"ALT")</f>
        <v>0</v>
      </c>
      <c r="E92" s="84">
        <f>SUMIFS(_CALC_ALLOC!$AI$1:$AI$349,_CALC_ALLOC!$A$1:$A$349,"2026",_CALC_ALLOC!$B$1:$B$349,"TUNON_LYO",_CALC_ALLOC!$D$1:$D$349,"BAC_TOU",_CALC_ALLOC!$E$1:$E$349,"B1",_CALC_ALLOC!$F$1:$F$349,"ALT")</f>
        <v>0</v>
      </c>
      <c r="F92" s="84">
        <f>SUMIFS(_CALC_ALLOC!$AJ$1:$AJ$349,_CALC_ALLOC!$A$1:$A$349,"2026",_CALC_ALLOC!$B$1:$B$349,"TUNON_LYO",_CALC_ALLOC!$D$1:$D$349,"BAC_TOU",_CALC_ALLOC!$E$1:$E$349,"B1",_CALC_ALLOC!$F$1:$F$349,"ALT")</f>
        <v>0</v>
      </c>
      <c r="G92" s="84">
        <f>SUMIFS(_CALC_ALLOC!$AK$1:$AK$349,_CALC_ALLOC!$A$1:$A$349,"2026",_CALC_ALLOC!$B$1:$B$349,"TUNON_LYO",_CALC_ALLOC!$D$1:$D$349,"BAC_TOU",_CALC_ALLOC!$E$1:$E$349,"B1",_CALC_ALLOC!$F$1:$F$349,"ALT")</f>
        <v>0</v>
      </c>
      <c r="H92" s="84">
        <f>SUMIFS(_CALC_ALLOC!$AL$1:$AL$349,_CALC_ALLOC!$A$1:$A$349,"2026",_CALC_ALLOC!$B$1:$B$349,"TUNON_LYO",_CALC_ALLOC!$D$1:$D$349,"BAC_TOU",_CALC_ALLOC!$E$1:$E$349,"B1",_CALC_ALLOC!$F$1:$F$349,"ALT")</f>
        <v>0</v>
      </c>
      <c r="I92" s="84">
        <f>SUMIFS(_CALC_ALLOC!$AR$1:$AR$349,_CALC_ALLOC!$A$1:$A$349,"2026",_CALC_ALLOC!$B$1:$B$349,"TUNON_LYO",_CALC_ALLOC!$D$1:$D$349,"BAC_TOU",_CALC_ALLOC!$E$1:$E$349,"B1",_CALC_ALLOC!$F$1:$F$349,"ALT")</f>
        <v>0</v>
      </c>
      <c r="J92" s="84">
        <f>SUMIFS(_CALC_ALLOC!$AM$1:$AM$349,_CALC_ALLOC!$A$1:$A$349,"2026",_CALC_ALLOC!$B$1:$B$349,"TUNON_LYO",_CALC_ALLOC!$D$1:$D$349,"BAC_TOU",_CALC_ALLOC!$E$1:$E$349,"B1",_CALC_ALLOC!$F$1:$F$349,"ALT")</f>
        <v>0</v>
      </c>
      <c r="K92" s="123">
        <f t="shared" si="4"/>
        <v>0</v>
      </c>
      <c r="L92" s="131">
        <f>SUMIFS(_CALC_ALLOC!$AN$1:$AN$349,_CALC_ALLOC!$A$1:$A$349,"2026",_CALC_ALLOC!$B$1:$B$349,"TUNON_LYO",_CALC_ALLOC!$D$1:$D$349,"BAC_TOU",_CALC_ALLOC!$E$1:$E$349,"B1",_CALC_ALLOC!$F$1:$F$349,"ALT")</f>
        <v>0</v>
      </c>
      <c r="M92" s="86">
        <f t="shared" si="5"/>
        <v>0</v>
      </c>
    </row>
    <row r="93" spans="2:13" outlineLevel="2" x14ac:dyDescent="0.45">
      <c r="B93" s="37" t="s">
        <v>165</v>
      </c>
      <c r="C93" s="85">
        <f>SUMIFS(_CALC_ALLOC!$G$1:$G$349,_CALC_ALLOC!$A$1:$A$349,"2026",_CALC_ALLOC!$B$1:$B$349,"TUNON_LYO",_CALC_ALLOC!$D$1:$D$349,"BAC_TOU",_CALC_ALLOC!$E$1:$E$349,"B2",_CALC_ALLOC!$F$1:$F$349,"ALT")</f>
        <v>0</v>
      </c>
      <c r="D93" s="84">
        <f>SUMIFS(_CALC_ALLOC!$I$1:$I$349,_CALC_ALLOC!$A$1:$A$349,"2026",_CALC_ALLOC!$B$1:$B$349,"TUNON_LYO",_CALC_ALLOC!$D$1:$D$349,"BAC_TOU",_CALC_ALLOC!$E$1:$E$349,"B2",_CALC_ALLOC!$F$1:$F$349,"ALT")</f>
        <v>0</v>
      </c>
      <c r="E93" s="84">
        <f>SUMIFS(_CALC_ALLOC!$AI$1:$AI$349,_CALC_ALLOC!$A$1:$A$349,"2026",_CALC_ALLOC!$B$1:$B$349,"TUNON_LYO",_CALC_ALLOC!$D$1:$D$349,"BAC_TOU",_CALC_ALLOC!$E$1:$E$349,"B2",_CALC_ALLOC!$F$1:$F$349,"ALT")</f>
        <v>0</v>
      </c>
      <c r="F93" s="84">
        <f>SUMIFS(_CALC_ALLOC!$AJ$1:$AJ$349,_CALC_ALLOC!$A$1:$A$349,"2026",_CALC_ALLOC!$B$1:$B$349,"TUNON_LYO",_CALC_ALLOC!$D$1:$D$349,"BAC_TOU",_CALC_ALLOC!$E$1:$E$349,"B2",_CALC_ALLOC!$F$1:$F$349,"ALT")</f>
        <v>0</v>
      </c>
      <c r="G93" s="84">
        <f>SUMIFS(_CALC_ALLOC!$AK$1:$AK$349,_CALC_ALLOC!$A$1:$A$349,"2026",_CALC_ALLOC!$B$1:$B$349,"TUNON_LYO",_CALC_ALLOC!$D$1:$D$349,"BAC_TOU",_CALC_ALLOC!$E$1:$E$349,"B2",_CALC_ALLOC!$F$1:$F$349,"ALT")</f>
        <v>0</v>
      </c>
      <c r="H93" s="84">
        <f>SUMIFS(_CALC_ALLOC!$AL$1:$AL$349,_CALC_ALLOC!$A$1:$A$349,"2026",_CALC_ALLOC!$B$1:$B$349,"TUNON_LYO",_CALC_ALLOC!$D$1:$D$349,"BAC_TOU",_CALC_ALLOC!$E$1:$E$349,"B2",_CALC_ALLOC!$F$1:$F$349,"ALT")</f>
        <v>0</v>
      </c>
      <c r="I93" s="84">
        <f>SUMIFS(_CALC_ALLOC!$AR$1:$AR$349,_CALC_ALLOC!$A$1:$A$349,"2026",_CALC_ALLOC!$B$1:$B$349,"TUNON_LYO",_CALC_ALLOC!$D$1:$D$349,"BAC_TOU",_CALC_ALLOC!$E$1:$E$349,"B2",_CALC_ALLOC!$F$1:$F$349,"ALT")</f>
        <v>0</v>
      </c>
      <c r="J93" s="84">
        <f>SUMIFS(_CALC_ALLOC!$AM$1:$AM$349,_CALC_ALLOC!$A$1:$A$349,"2026",_CALC_ALLOC!$B$1:$B$349,"TUNON_LYO",_CALC_ALLOC!$D$1:$D$349,"BAC_TOU",_CALC_ALLOC!$E$1:$E$349,"B2",_CALC_ALLOC!$F$1:$F$349,"ALT")</f>
        <v>0</v>
      </c>
      <c r="K93" s="123">
        <f t="shared" si="4"/>
        <v>0</v>
      </c>
      <c r="L93" s="131">
        <f>SUMIFS(_CALC_ALLOC!$AN$1:$AN$349,_CALC_ALLOC!$A$1:$A$349,"2026",_CALC_ALLOC!$B$1:$B$349,"TUNON_LYO",_CALC_ALLOC!$D$1:$D$349,"BAC_TOU",_CALC_ALLOC!$E$1:$E$349,"B2",_CALC_ALLOC!$F$1:$F$349,"ALT")</f>
        <v>0</v>
      </c>
      <c r="M93" s="86">
        <f t="shared" si="5"/>
        <v>0</v>
      </c>
    </row>
    <row r="94" spans="2:13" outlineLevel="2" x14ac:dyDescent="0.45">
      <c r="B94" s="37" t="s">
        <v>166</v>
      </c>
      <c r="C94" s="85">
        <f>SUMIFS(_CALC_ALLOC!$G$1:$G$349,_CALC_ALLOC!$A$1:$A$349,"2026",_CALC_ALLOC!$B$1:$B$349,"TUNON_LYO",_CALC_ALLOC!$D$1:$D$349,"BAC_TOU",_CALC_ALLOC!$E$1:$E$349,"B3",_CALC_ALLOC!$F$1:$F$349,"ALT")</f>
        <v>0</v>
      </c>
      <c r="D94" s="84">
        <f>SUMIFS(_CALC_ALLOC!$I$1:$I$349,_CALC_ALLOC!$A$1:$A$349,"2026",_CALC_ALLOC!$B$1:$B$349,"TUNON_LYO",_CALC_ALLOC!$D$1:$D$349,"BAC_TOU",_CALC_ALLOC!$E$1:$E$349,"B3",_CALC_ALLOC!$F$1:$F$349,"ALT")</f>
        <v>0</v>
      </c>
      <c r="E94" s="84">
        <f>SUMIFS(_CALC_ALLOC!$AI$1:$AI$349,_CALC_ALLOC!$A$1:$A$349,"2026",_CALC_ALLOC!$B$1:$B$349,"TUNON_LYO",_CALC_ALLOC!$D$1:$D$349,"BAC_TOU",_CALC_ALLOC!$E$1:$E$349,"B3",_CALC_ALLOC!$F$1:$F$349,"ALT")</f>
        <v>0</v>
      </c>
      <c r="F94" s="84">
        <f>SUMIFS(_CALC_ALLOC!$AJ$1:$AJ$349,_CALC_ALLOC!$A$1:$A$349,"2026",_CALC_ALLOC!$B$1:$B$349,"TUNON_LYO",_CALC_ALLOC!$D$1:$D$349,"BAC_TOU",_CALC_ALLOC!$E$1:$E$349,"B3",_CALC_ALLOC!$F$1:$F$349,"ALT")</f>
        <v>0</v>
      </c>
      <c r="G94" s="84">
        <f>SUMIFS(_CALC_ALLOC!$AK$1:$AK$349,_CALC_ALLOC!$A$1:$A$349,"2026",_CALC_ALLOC!$B$1:$B$349,"TUNON_LYO",_CALC_ALLOC!$D$1:$D$349,"BAC_TOU",_CALC_ALLOC!$E$1:$E$349,"B3",_CALC_ALLOC!$F$1:$F$349,"ALT")</f>
        <v>0</v>
      </c>
      <c r="H94" s="84">
        <f>SUMIFS(_CALC_ALLOC!$AL$1:$AL$349,_CALC_ALLOC!$A$1:$A$349,"2026",_CALC_ALLOC!$B$1:$B$349,"TUNON_LYO",_CALC_ALLOC!$D$1:$D$349,"BAC_TOU",_CALC_ALLOC!$E$1:$E$349,"B3",_CALC_ALLOC!$F$1:$F$349,"ALT")</f>
        <v>0</v>
      </c>
      <c r="I94" s="84">
        <f>SUMIFS(_CALC_ALLOC!$AR$1:$AR$349,_CALC_ALLOC!$A$1:$A$349,"2026",_CALC_ALLOC!$B$1:$B$349,"TUNON_LYO",_CALC_ALLOC!$D$1:$D$349,"BAC_TOU",_CALC_ALLOC!$E$1:$E$349,"B3",_CALC_ALLOC!$F$1:$F$349,"ALT")</f>
        <v>0</v>
      </c>
      <c r="J94" s="84">
        <f>SUMIFS(_CALC_ALLOC!$AM$1:$AM$349,_CALC_ALLOC!$A$1:$A$349,"2026",_CALC_ALLOC!$B$1:$B$349,"TUNON_LYO",_CALC_ALLOC!$D$1:$D$349,"BAC_TOU",_CALC_ALLOC!$E$1:$E$349,"B3",_CALC_ALLOC!$F$1:$F$349,"ALT")</f>
        <v>0</v>
      </c>
      <c r="K94" s="123">
        <f t="shared" si="4"/>
        <v>0</v>
      </c>
      <c r="L94" s="131">
        <f>SUMIFS(_CALC_ALLOC!$AN$1:$AN$349,_CALC_ALLOC!$A$1:$A$349,"2026",_CALC_ALLOC!$B$1:$B$349,"TUNON_LYO",_CALC_ALLOC!$D$1:$D$349,"BAC_TOU",_CALC_ALLOC!$E$1:$E$349,"B3",_CALC_ALLOC!$F$1:$F$349,"ALT")</f>
        <v>0</v>
      </c>
      <c r="M94" s="86">
        <f t="shared" si="5"/>
        <v>0</v>
      </c>
    </row>
    <row r="95" spans="2:13" x14ac:dyDescent="0.45">
      <c r="B95" s="42" t="s">
        <v>168</v>
      </c>
      <c r="C95" s="122">
        <f>SUMIFS(_CALC_ALLOC!$G$1:$G$349,_CALC_ALLOC!$A$1:$A$349,"2026")</f>
        <v>0</v>
      </c>
      <c r="D95" s="123">
        <f>SUMIFS(_CALC_ALLOC!$I$1:$I$349,_CALC_ALLOC!$A$1:$A$349,"2026")</f>
        <v>0</v>
      </c>
      <c r="E95" s="123">
        <f>SUMIFS(_CALC_ALLOC!$AI$1:$AI$349,_CALC_ALLOC!$A$1:$A$349,"2026")</f>
        <v>0</v>
      </c>
      <c r="F95" s="123">
        <f>SUMIFS(_CALC_ALLOC!$AJ$1:$AJ$349,_CALC_ALLOC!$A$1:$A$349,"2026")</f>
        <v>0</v>
      </c>
      <c r="G95" s="123">
        <f>SUMIFS(_CALC_ALLOC!$AK$1:$AK$349,_CALC_ALLOC!$A$1:$A$349,"2026")</f>
        <v>0</v>
      </c>
      <c r="H95" s="123">
        <f>SUMIFS(_CALC_ALLOC!$AL$1:$AL$349,_CALC_ALLOC!$A$1:$A$349,"2026")</f>
        <v>0</v>
      </c>
      <c r="I95" s="123">
        <f>SUMIFS(_CALC_ALLOC!$AR$1:$AR$349,_CALC_ALLOC!$A$1:$A$349,"2026")</f>
        <v>0</v>
      </c>
      <c r="J95" s="123">
        <f>SUMIFS(_CALC_ALLOC!$AM$1:$AM$349,_CALC_ALLOC!$A$1:$A$349,"2026")</f>
        <v>0</v>
      </c>
      <c r="K95" s="123">
        <f t="shared" si="4"/>
        <v>0</v>
      </c>
      <c r="L95" s="123">
        <f>SUMIFS(_CALC_ALLOC!$AN$1:$AN$349,_CALC_ALLOC!$A$1:$A$349,"2026")</f>
        <v>0</v>
      </c>
      <c r="M95" s="124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SHEET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2"/>
  <sheetViews>
    <sheetView tabSelected="1" zoomScale="86" zoomScaleNormal="86" workbookViewId="0"/>
  </sheetViews>
  <sheetFormatPr baseColWidth="10" defaultRowHeight="14.25" x14ac:dyDescent="0.45"/>
  <cols>
    <col min="1" max="1" width="9.796875" bestFit="1" customWidth="1"/>
    <col min="2" max="2" width="8.06640625" bestFit="1" customWidth="1"/>
    <col min="3" max="3" width="7.9296875" bestFit="1" customWidth="1"/>
    <col min="4" max="4" width="8.86328125" bestFit="1" customWidth="1"/>
    <col min="5" max="5" width="6.265625" bestFit="1" customWidth="1"/>
    <col min="6" max="6" width="7.796875" bestFit="1" customWidth="1"/>
    <col min="7" max="7" width="11.46484375" bestFit="1" customWidth="1"/>
    <col min="8" max="8" width="9.1328125" bestFit="1" customWidth="1"/>
    <col min="9" max="9" width="8.9296875" bestFit="1" customWidth="1"/>
    <col min="10" max="10" width="7.59765625" bestFit="1" customWidth="1"/>
    <col min="11" max="11" width="10" bestFit="1" customWidth="1"/>
    <col min="12" max="12" width="3" bestFit="1" customWidth="1"/>
    <col min="13" max="13" width="9.265625" bestFit="1" customWidth="1"/>
    <col min="14" max="14" width="10.53125" bestFit="1" customWidth="1"/>
    <col min="15" max="15" width="10.0664062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0.796875" bestFit="1" customWidth="1"/>
    <col min="20" max="20" width="13.73046875" bestFit="1" customWidth="1"/>
    <col min="21" max="21" width="15.59765625" bestFit="1" customWidth="1"/>
    <col min="22" max="22" width="13.59765625" bestFit="1" customWidth="1"/>
    <col min="23" max="23" width="16.1328125" bestFit="1" customWidth="1"/>
  </cols>
  <sheetData>
    <row r="1" spans="1:31" x14ac:dyDescent="0.45">
      <c r="A1" s="134" t="s">
        <v>27</v>
      </c>
      <c r="B1" s="6" t="s">
        <v>54</v>
      </c>
      <c r="C1" s="6" t="s">
        <v>28</v>
      </c>
      <c r="D1" s="6" t="s">
        <v>33</v>
      </c>
      <c r="E1" s="6" t="s">
        <v>29</v>
      </c>
      <c r="F1" s="6" t="s">
        <v>55</v>
      </c>
      <c r="G1" s="6" t="s">
        <v>30</v>
      </c>
      <c r="H1" s="6" t="s">
        <v>31</v>
      </c>
      <c r="I1" s="6" t="s">
        <v>32</v>
      </c>
      <c r="J1" s="6" t="s">
        <v>36</v>
      </c>
      <c r="K1" s="6" t="s">
        <v>38</v>
      </c>
      <c r="L1" s="6" t="s">
        <v>42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271</v>
      </c>
      <c r="R1" s="6" t="s">
        <v>280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inlineStr">
        <is>
          <t>VOL_NEW</t>
        </is>
      </c>
      <c r="Y1" s="6" t="inlineStr">
        <is>
          <t>POOL_VAC</t>
        </is>
      </c>
      <c r="Z1" s="6" t="inlineStr">
        <is>
          <t>POOL_PERM</t>
        </is>
      </c>
      <c r="AA1" s="6" t="inlineStr">
        <is>
          <t>POOL_ODIR</t>
        </is>
      </c>
      <c r="AB1" s="6" t="inlineStr">
        <is>
          <t>POOL_MKT</t>
        </is>
      </c>
      <c r="AC1" s="6" t="inlineStr">
        <is>
          <t>POOL_STRUCT</t>
        </is>
      </c>
      <c r="AD1" s="6" t="inlineStr">
        <is>
          <t>POOL_HOLDING</t>
        </is>
      </c>
      <c r="AE1" s="6" t="inlineStr">
        <is>
          <t>POOL_FRAIS_MARQUE</t>
        </is>
      </c>
    </row>
    <row r="2" spans="1:3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</sheetData>
  <pageMargins left="0.7" right="0.7" top="0.75" bottom="0.75" header="0.3" footer="0.3"/>
  <customProperties>
    <customPr name="TGK_SHEET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2"/>
  <sheetViews>
    <sheetView workbookViewId="0"/>
  </sheetViews>
  <sheetFormatPr baseColWidth="10" defaultRowHeight="14.25" x14ac:dyDescent="0.45"/>
  <sheetData>
    <row r="1" spans="1:14" x14ac:dyDescent="0.45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40</v>
      </c>
      <c r="J1" s="1" t="s">
        <v>41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workbookViewId="0">
      <selection activeCell="M2" sqref="M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5" t="s">
        <v>27</v>
      </c>
      <c r="B1" s="1" t="s">
        <v>54</v>
      </c>
      <c r="C1" s="1" t="s">
        <v>28</v>
      </c>
      <c r="D1" s="1" t="s">
        <v>29</v>
      </c>
      <c r="E1" s="1" t="s">
        <v>55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56</v>
      </c>
      <c r="K1" s="1" t="s">
        <v>57</v>
      </c>
      <c r="L1" s="1" t="s">
        <v>58</v>
      </c>
      <c r="M1" s="1" t="s">
        <v>42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</row>
    <row r="2" spans="1:1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O2">
        <f>IF(D2="","",_CALC_MOTEUR!AE2)</f>
        <v>0</v>
      </c>
      <c r="P2">
        <f>IF(D2="","",_CALC_MOTEUR!AF2)</f>
        <v>0</v>
      </c>
      <c r="Q2">
        <f>IF(D2="","",_CALC_MOTEUR!AG2)</f>
        <v>0</v>
      </c>
      <c r="R2">
        <f>IF(D2="","",_CALC_MOTEUR!AH2)</f>
        <v>0</v>
      </c>
      <c r="S2">
        <f t="shared" ref="S2:S65" si="0">IF(D2="","",R2-M2)</f>
        <v>-1000</v>
      </c>
    </row>
    <row r="3" spans="1:19" x14ac:dyDescent="0.45">
      <c r="O3" t="str">
        <f>IF(D3="","",_CALC_MOTEUR!AE3)</f>
        <v/>
      </c>
      <c r="P3" t="str">
        <f>IF(D3="","",_CALC_MOTEUR!AF3)</f>
        <v/>
      </c>
      <c r="Q3" t="str">
        <f>IF(D3="","",_CALC_MOTEUR!AG3)</f>
        <v/>
      </c>
      <c r="R3" t="str">
        <f>IF(D3="","",_CALC_MOTEUR!AH3)</f>
        <v/>
      </c>
      <c r="S3" t="str">
        <f t="shared" si="0"/>
        <v/>
      </c>
    </row>
    <row r="4" spans="1:19" x14ac:dyDescent="0.45">
      <c r="O4" t="str">
        <f>IF(D4="","",_CALC_MOTEUR!AE4)</f>
        <v/>
      </c>
      <c r="P4" t="str">
        <f>IF(D4="","",_CALC_MOTEUR!AF4)</f>
        <v/>
      </c>
      <c r="Q4" t="str">
        <f>IF(D4="","",_CALC_MOTEUR!AG4)</f>
        <v/>
      </c>
      <c r="R4" t="str">
        <f>IF(D4="","",_CALC_MOTEUR!AH4)</f>
        <v/>
      </c>
      <c r="S4" t="str">
        <f t="shared" si="0"/>
        <v/>
      </c>
    </row>
    <row r="5" spans="1:19" x14ac:dyDescent="0.45">
      <c r="O5" t="str">
        <f>IF(D5="","",_CALC_MOTEUR!AE5)</f>
        <v/>
      </c>
      <c r="P5" t="str">
        <f>IF(D5="","",_CALC_MOTEUR!AF5)</f>
        <v/>
      </c>
      <c r="Q5" t="str">
        <f>IF(D5="","",_CALC_MOTEUR!AG5)</f>
        <v/>
      </c>
      <c r="R5" t="str">
        <f>IF(D5="","",_CALC_MOTEUR!AH5)</f>
        <v/>
      </c>
      <c r="S5" t="str">
        <f t="shared" si="0"/>
        <v/>
      </c>
    </row>
    <row r="6" spans="1:19" x14ac:dyDescent="0.45">
      <c r="O6" t="str">
        <f>IF(D6="","",_CALC_MOTEUR!AE6)</f>
        <v/>
      </c>
      <c r="P6" t="str">
        <f>IF(D6="","",_CALC_MOTEUR!AF6)</f>
        <v/>
      </c>
      <c r="Q6" t="str">
        <f>IF(D6="","",_CALC_MOTEUR!AG6)</f>
        <v/>
      </c>
      <c r="R6" t="str">
        <f>IF(D6="","",_CALC_MOTEUR!AH6)</f>
        <v/>
      </c>
      <c r="S6" t="str">
        <f t="shared" si="0"/>
        <v/>
      </c>
    </row>
    <row r="7" spans="1:19" x14ac:dyDescent="0.45">
      <c r="O7" t="str">
        <f>IF(D7="","",_CALC_MOTEUR!AE7)</f>
        <v/>
      </c>
      <c r="P7" t="str">
        <f>IF(D7="","",_CALC_MOTEUR!AF7)</f>
        <v/>
      </c>
      <c r="Q7" t="str">
        <f>IF(D7="","",_CALC_MOTEUR!AG7)</f>
        <v/>
      </c>
      <c r="R7" t="str">
        <f>IF(D7="","",_CALC_MOTEUR!AH7)</f>
        <v/>
      </c>
      <c r="S7" t="str">
        <f t="shared" si="0"/>
        <v/>
      </c>
    </row>
    <row r="8" spans="1:19" x14ac:dyDescent="0.45">
      <c r="O8" t="str">
        <f>IF(D8="","",_CALC_MOTEUR!AE8)</f>
        <v/>
      </c>
      <c r="P8" t="str">
        <f>IF(D8="","",_CALC_MOTEUR!AF8)</f>
        <v/>
      </c>
      <c r="Q8" t="str">
        <f>IF(D8="","",_CALC_MOTEUR!AG8)</f>
        <v/>
      </c>
      <c r="R8" t="str">
        <f>IF(D8="","",_CALC_MOTEUR!AH8)</f>
        <v/>
      </c>
      <c r="S8" t="str">
        <f t="shared" si="0"/>
        <v/>
      </c>
    </row>
    <row r="9" spans="1:19" x14ac:dyDescent="0.45">
      <c r="O9" t="str">
        <f>IF(D9="","",_CALC_MOTEUR!AE9)</f>
        <v/>
      </c>
      <c r="P9" t="str">
        <f>IF(D9="","",_CALC_MOTEUR!AF9)</f>
        <v/>
      </c>
      <c r="Q9" t="str">
        <f>IF(D9="","",_CALC_MOTEUR!AG9)</f>
        <v/>
      </c>
      <c r="R9" t="str">
        <f>IF(D9="","",_CALC_MOTEUR!AH9)</f>
        <v/>
      </c>
      <c r="S9" t="str">
        <f t="shared" si="0"/>
        <v/>
      </c>
    </row>
    <row r="10" spans="1:19" x14ac:dyDescent="0.45">
      <c r="O10" t="str">
        <f>IF(D10="","",_CALC_MOTEUR!AE10)</f>
        <v/>
      </c>
      <c r="P10" t="str">
        <f>IF(D10="","",_CALC_MOTEUR!AF10)</f>
        <v/>
      </c>
      <c r="Q10" t="str">
        <f>IF(D10="","",_CALC_MOTEUR!AG10)</f>
        <v/>
      </c>
      <c r="R10" t="str">
        <f>IF(D10="","",_CALC_MOTEUR!AH10)</f>
        <v/>
      </c>
      <c r="S10" t="str">
        <f t="shared" si="0"/>
        <v/>
      </c>
    </row>
    <row r="11" spans="1:19" x14ac:dyDescent="0.45">
      <c r="O11" t="str">
        <f>IF(D11="","",_CALC_MOTEUR!AE11)</f>
        <v/>
      </c>
      <c r="P11" t="str">
        <f>IF(D11="","",_CALC_MOTEUR!AF11)</f>
        <v/>
      </c>
      <c r="Q11" t="str">
        <f>IF(D11="","",_CALC_MOTEUR!AG11)</f>
        <v/>
      </c>
      <c r="R11" t="str">
        <f>IF(D11="","",_CALC_MOTEUR!AH11)</f>
        <v/>
      </c>
      <c r="S11" t="str">
        <f t="shared" si="0"/>
        <v/>
      </c>
    </row>
    <row r="12" spans="1:19" x14ac:dyDescent="0.45">
      <c r="O12" t="str">
        <f>IF(D12="","",_CALC_MOTEUR!AE12)</f>
        <v/>
      </c>
      <c r="P12" t="str">
        <f>IF(D12="","",_CALC_MOTEUR!AF12)</f>
        <v/>
      </c>
      <c r="Q12" t="str">
        <f>IF(D12="","",_CALC_MOTEUR!AG12)</f>
        <v/>
      </c>
      <c r="R12" t="str">
        <f>IF(D12="","",_CALC_MOTEUR!AH12)</f>
        <v/>
      </c>
      <c r="S12" t="str">
        <f t="shared" si="0"/>
        <v/>
      </c>
    </row>
    <row r="13" spans="1:19" x14ac:dyDescent="0.45">
      <c r="O13" t="str">
        <f>IF(D13="","",_CALC_MOTEUR!AE13)</f>
        <v/>
      </c>
      <c r="P13" t="str">
        <f>IF(D13="","",_CALC_MOTEUR!AF13)</f>
        <v/>
      </c>
      <c r="Q13" t="str">
        <f>IF(D13="","",_CALC_MOTEUR!AG13)</f>
        <v/>
      </c>
      <c r="R13" t="str">
        <f>IF(D13="","",_CALC_MOTEUR!AH13)</f>
        <v/>
      </c>
      <c r="S13" t="str">
        <f t="shared" si="0"/>
        <v/>
      </c>
    </row>
    <row r="14" spans="1:19" x14ac:dyDescent="0.45">
      <c r="O14" t="str">
        <f>IF(D14="","",_CALC_MOTEUR!AE14)</f>
        <v/>
      </c>
      <c r="P14" t="str">
        <f>IF(D14="","",_CALC_MOTEUR!AF14)</f>
        <v/>
      </c>
      <c r="Q14" t="str">
        <f>IF(D14="","",_CALC_MOTEUR!AG14)</f>
        <v/>
      </c>
      <c r="R14" t="str">
        <f>IF(D14="","",_CALC_MOTEUR!AH14)</f>
        <v/>
      </c>
      <c r="S14" t="str">
        <f t="shared" si="0"/>
        <v/>
      </c>
    </row>
    <row r="15" spans="1:19" x14ac:dyDescent="0.45">
      <c r="O15" t="str">
        <f>IF(D15="","",_CALC_MOTEUR!AE15)</f>
        <v/>
      </c>
      <c r="P15" t="str">
        <f>IF(D15="","",_CALC_MOTEUR!AF15)</f>
        <v/>
      </c>
      <c r="Q15" t="str">
        <f>IF(D15="","",_CALC_MOTEUR!AG15)</f>
        <v/>
      </c>
      <c r="R15" t="str">
        <f>IF(D15="","",_CALC_MOTEUR!AH15)</f>
        <v/>
      </c>
      <c r="S15" t="str">
        <f t="shared" si="0"/>
        <v/>
      </c>
    </row>
    <row r="16" spans="1:19" x14ac:dyDescent="0.45">
      <c r="O16" t="str">
        <f>IF(D16="","",_CALC_MOTEUR!AE16)</f>
        <v/>
      </c>
      <c r="P16" t="str">
        <f>IF(D16="","",_CALC_MOTEUR!AF16)</f>
        <v/>
      </c>
      <c r="Q16" t="str">
        <f>IF(D16="","",_CALC_MOTEUR!AG16)</f>
        <v/>
      </c>
      <c r="R16" t="str">
        <f>IF(D16="","",_CALC_MOTEUR!AH16)</f>
        <v/>
      </c>
      <c r="S16" t="str">
        <f t="shared" si="0"/>
        <v/>
      </c>
    </row>
    <row r="17" spans="15:19" x14ac:dyDescent="0.45">
      <c r="O17" t="str">
        <f>IF(D17="","",_CALC_MOTEUR!AE17)</f>
        <v/>
      </c>
      <c r="P17" t="str">
        <f>IF(D17="","",_CALC_MOTEUR!AF17)</f>
        <v/>
      </c>
      <c r="Q17" t="str">
        <f>IF(D17="","",_CALC_MOTEUR!AG17)</f>
        <v/>
      </c>
      <c r="R17" t="str">
        <f>IF(D17="","",_CALC_MOTEUR!AH17)</f>
        <v/>
      </c>
      <c r="S17" t="str">
        <f t="shared" si="0"/>
        <v/>
      </c>
    </row>
    <row r="18" spans="15:19" x14ac:dyDescent="0.45">
      <c r="O18" t="str">
        <f>IF(D18="","",_CALC_MOTEUR!AE18)</f>
        <v/>
      </c>
      <c r="P18" t="str">
        <f>IF(D18="","",_CALC_MOTEUR!AF18)</f>
        <v/>
      </c>
      <c r="Q18" t="str">
        <f>IF(D18="","",_CALC_MOTEUR!AG18)</f>
        <v/>
      </c>
      <c r="R18" t="str">
        <f>IF(D18="","",_CALC_MOTEUR!AH18)</f>
        <v/>
      </c>
      <c r="S18" t="str">
        <f t="shared" si="0"/>
        <v/>
      </c>
    </row>
    <row r="19" spans="15:19" x14ac:dyDescent="0.45">
      <c r="O19" t="str">
        <f>IF(D19="","",_CALC_MOTEUR!AE19)</f>
        <v/>
      </c>
      <c r="P19" t="str">
        <f>IF(D19="","",_CALC_MOTEUR!AF19)</f>
        <v/>
      </c>
      <c r="Q19" t="str">
        <f>IF(D19="","",_CALC_MOTEUR!AG19)</f>
        <v/>
      </c>
      <c r="R19" t="str">
        <f>IF(D19="","",_CALC_MOTEUR!AH19)</f>
        <v/>
      </c>
      <c r="S19" t="str">
        <f t="shared" si="0"/>
        <v/>
      </c>
    </row>
    <row r="20" spans="15:19" x14ac:dyDescent="0.45">
      <c r="O20" t="str">
        <f>IF(D20="","",_CALC_MOTEUR!AE20)</f>
        <v/>
      </c>
      <c r="P20" t="str">
        <f>IF(D20="","",_CALC_MOTEUR!AF20)</f>
        <v/>
      </c>
      <c r="Q20" t="str">
        <f>IF(D20="","",_CALC_MOTEUR!AG20)</f>
        <v/>
      </c>
      <c r="R20" t="str">
        <f>IF(D20="","",_CALC_MOTEUR!AH20)</f>
        <v/>
      </c>
      <c r="S20" t="str">
        <f t="shared" si="0"/>
        <v/>
      </c>
    </row>
    <row r="21" spans="15:19" x14ac:dyDescent="0.45">
      <c r="O21" t="str">
        <f>IF(D21="","",_CALC_MOTEUR!AE21)</f>
        <v/>
      </c>
      <c r="P21" t="str">
        <f>IF(D21="","",_CALC_MOTEUR!AF21)</f>
        <v/>
      </c>
      <c r="Q21" t="str">
        <f>IF(D21="","",_CALC_MOTEUR!AG21)</f>
        <v/>
      </c>
      <c r="R21" t="str">
        <f>IF(D21="","",_CALC_MOTEUR!AH21)</f>
        <v/>
      </c>
      <c r="S21" t="str">
        <f t="shared" si="0"/>
        <v/>
      </c>
    </row>
    <row r="22" spans="15:19" x14ac:dyDescent="0.45">
      <c r="O22" t="str">
        <f>IF(D22="","",_CALC_MOTEUR!AE22)</f>
        <v/>
      </c>
      <c r="P22" t="str">
        <f>IF(D22="","",_CALC_MOTEUR!AF22)</f>
        <v/>
      </c>
      <c r="Q22" t="str">
        <f>IF(D22="","",_CALC_MOTEUR!AG22)</f>
        <v/>
      </c>
      <c r="R22" t="str">
        <f>IF(D22="","",_CALC_MOTEUR!AH22)</f>
        <v/>
      </c>
      <c r="S22" t="str">
        <f t="shared" si="0"/>
        <v/>
      </c>
    </row>
    <row r="23" spans="15:19" x14ac:dyDescent="0.45">
      <c r="O23" t="str">
        <f>IF(D23="","",_CALC_MOTEUR!AE23)</f>
        <v/>
      </c>
      <c r="P23" t="str">
        <f>IF(D23="","",_CALC_MOTEUR!AF23)</f>
        <v/>
      </c>
      <c r="Q23" t="str">
        <f>IF(D23="","",_CALC_MOTEUR!AG23)</f>
        <v/>
      </c>
      <c r="R23" t="str">
        <f>IF(D23="","",_CALC_MOTEUR!AH23)</f>
        <v/>
      </c>
      <c r="S23" t="str">
        <f t="shared" si="0"/>
        <v/>
      </c>
    </row>
    <row r="24" spans="15:19" x14ac:dyDescent="0.45">
      <c r="O24" t="str">
        <f>IF(D24="","",_CALC_MOTEUR!AE24)</f>
        <v/>
      </c>
      <c r="P24" t="str">
        <f>IF(D24="","",_CALC_MOTEUR!AF24)</f>
        <v/>
      </c>
      <c r="Q24" t="str">
        <f>IF(D24="","",_CALC_MOTEUR!AG24)</f>
        <v/>
      </c>
      <c r="R24" t="str">
        <f>IF(D24="","",_CALC_MOTEUR!AH24)</f>
        <v/>
      </c>
      <c r="S24" t="str">
        <f t="shared" si="0"/>
        <v/>
      </c>
    </row>
    <row r="25" spans="15:19" x14ac:dyDescent="0.45">
      <c r="O25" t="str">
        <f>IF(D25="","",_CALC_MOTEUR!AE25)</f>
        <v/>
      </c>
      <c r="P25" t="str">
        <f>IF(D25="","",_CALC_MOTEUR!AF25)</f>
        <v/>
      </c>
      <c r="Q25" t="str">
        <f>IF(D25="","",_CALC_MOTEUR!AG25)</f>
        <v/>
      </c>
      <c r="R25" t="str">
        <f>IF(D25="","",_CALC_MOTEUR!AH25)</f>
        <v/>
      </c>
      <c r="S25" t="str">
        <f t="shared" si="0"/>
        <v/>
      </c>
    </row>
    <row r="26" spans="15:19" x14ac:dyDescent="0.45">
      <c r="O26" t="str">
        <f>IF(D26="","",_CALC_MOTEUR!AE26)</f>
        <v/>
      </c>
      <c r="P26" t="str">
        <f>IF(D26="","",_CALC_MOTEUR!AF26)</f>
        <v/>
      </c>
      <c r="Q26" t="str">
        <f>IF(D26="","",_CALC_MOTEUR!AG26)</f>
        <v/>
      </c>
      <c r="R26" t="str">
        <f>IF(D26="","",_CALC_MOTEUR!AH26)</f>
        <v/>
      </c>
      <c r="S26" t="str">
        <f t="shared" si="0"/>
        <v/>
      </c>
    </row>
    <row r="27" spans="15:19" x14ac:dyDescent="0.45">
      <c r="O27" t="str">
        <f>IF(D27="","",_CALC_MOTEUR!AE27)</f>
        <v/>
      </c>
      <c r="P27" t="str">
        <f>IF(D27="","",_CALC_MOTEUR!AF27)</f>
        <v/>
      </c>
      <c r="Q27" t="str">
        <f>IF(D27="","",_CALC_MOTEUR!AG27)</f>
        <v/>
      </c>
      <c r="R27" t="str">
        <f>IF(D27="","",_CALC_MOTEUR!AH27)</f>
        <v/>
      </c>
      <c r="S27" t="str">
        <f t="shared" si="0"/>
        <v/>
      </c>
    </row>
    <row r="28" spans="15:19" x14ac:dyDescent="0.45">
      <c r="O28" t="str">
        <f>IF(D28="","",_CALC_MOTEUR!AE28)</f>
        <v/>
      </c>
      <c r="P28" t="str">
        <f>IF(D28="","",_CALC_MOTEUR!AF28)</f>
        <v/>
      </c>
      <c r="Q28" t="str">
        <f>IF(D28="","",_CALC_MOTEUR!AG28)</f>
        <v/>
      </c>
      <c r="R28" t="str">
        <f>IF(D28="","",_CALC_MOTEUR!AH28)</f>
        <v/>
      </c>
      <c r="S28" t="str">
        <f t="shared" si="0"/>
        <v/>
      </c>
    </row>
    <row r="29" spans="15:19" x14ac:dyDescent="0.45">
      <c r="O29" t="str">
        <f>IF(D29="","",_CALC_MOTEUR!AE29)</f>
        <v/>
      </c>
      <c r="P29" t="str">
        <f>IF(D29="","",_CALC_MOTEUR!AF29)</f>
        <v/>
      </c>
      <c r="Q29" t="str">
        <f>IF(D29="","",_CALC_MOTEUR!AG29)</f>
        <v/>
      </c>
      <c r="R29" t="str">
        <f>IF(D29="","",_CALC_MOTEUR!AH29)</f>
        <v/>
      </c>
      <c r="S29" t="str">
        <f t="shared" si="0"/>
        <v/>
      </c>
    </row>
    <row r="30" spans="15:19" x14ac:dyDescent="0.45">
      <c r="O30" t="str">
        <f>IF(D30="","",_CALC_MOTEUR!AE30)</f>
        <v/>
      </c>
      <c r="P30" t="str">
        <f>IF(D30="","",_CALC_MOTEUR!AF30)</f>
        <v/>
      </c>
      <c r="Q30" t="str">
        <f>IF(D30="","",_CALC_MOTEUR!AG30)</f>
        <v/>
      </c>
      <c r="R30" t="str">
        <f>IF(D30="","",_CALC_MOTEUR!AH30)</f>
        <v/>
      </c>
      <c r="S30" t="str">
        <f t="shared" si="0"/>
        <v/>
      </c>
    </row>
    <row r="31" spans="15:19" x14ac:dyDescent="0.45">
      <c r="O31" t="str">
        <f>IF(D31="","",_CALC_MOTEUR!AE31)</f>
        <v/>
      </c>
      <c r="P31" t="str">
        <f>IF(D31="","",_CALC_MOTEUR!AF31)</f>
        <v/>
      </c>
      <c r="Q31" t="str">
        <f>IF(D31="","",_CALC_MOTEUR!AG31)</f>
        <v/>
      </c>
      <c r="R31" t="str">
        <f>IF(D31="","",_CALC_MOTEUR!AH31)</f>
        <v/>
      </c>
      <c r="S31" t="str">
        <f t="shared" si="0"/>
        <v/>
      </c>
    </row>
    <row r="32" spans="15:19" x14ac:dyDescent="0.45">
      <c r="O32" t="str">
        <f>IF(D32="","",_CALC_MOTEUR!AE32)</f>
        <v/>
      </c>
      <c r="P32" t="str">
        <f>IF(D32="","",_CALC_MOTEUR!AF32)</f>
        <v/>
      </c>
      <c r="Q32" t="str">
        <f>IF(D32="","",_CALC_MOTEUR!AG32)</f>
        <v/>
      </c>
      <c r="R32" t="str">
        <f>IF(D32="","",_CALC_MOTEUR!AH32)</f>
        <v/>
      </c>
      <c r="S32" t="str">
        <f t="shared" si="0"/>
        <v/>
      </c>
    </row>
    <row r="33" spans="15:19" x14ac:dyDescent="0.45">
      <c r="O33" t="str">
        <f>IF(D33="","",_CALC_MOTEUR!AE33)</f>
        <v/>
      </c>
      <c r="P33" t="str">
        <f>IF(D33="","",_CALC_MOTEUR!AF33)</f>
        <v/>
      </c>
      <c r="Q33" t="str">
        <f>IF(D33="","",_CALC_MOTEUR!AG33)</f>
        <v/>
      </c>
      <c r="R33" t="str">
        <f>IF(D33="","",_CALC_MOTEUR!AH33)</f>
        <v/>
      </c>
      <c r="S33" t="str">
        <f t="shared" si="0"/>
        <v/>
      </c>
    </row>
    <row r="34" spans="15:19" x14ac:dyDescent="0.45">
      <c r="O34" t="str">
        <f>IF(D34="","",_CALC_MOTEUR!AE34)</f>
        <v/>
      </c>
      <c r="P34" t="str">
        <f>IF(D34="","",_CALC_MOTEUR!AF34)</f>
        <v/>
      </c>
      <c r="Q34" t="str">
        <f>IF(D34="","",_CALC_MOTEUR!AG34)</f>
        <v/>
      </c>
      <c r="R34" t="str">
        <f>IF(D34="","",_CALC_MOTEUR!AH34)</f>
        <v/>
      </c>
      <c r="S34" t="str">
        <f t="shared" si="0"/>
        <v/>
      </c>
    </row>
    <row r="35" spans="15:19" x14ac:dyDescent="0.45">
      <c r="O35" t="str">
        <f>IF(D35="","",_CALC_MOTEUR!AE35)</f>
        <v/>
      </c>
      <c r="P35" t="str">
        <f>IF(D35="","",_CALC_MOTEUR!AF35)</f>
        <v/>
      </c>
      <c r="Q35" t="str">
        <f>IF(D35="","",_CALC_MOTEUR!AG35)</f>
        <v/>
      </c>
      <c r="R35" t="str">
        <f>IF(D35="","",_CALC_MOTEUR!AH35)</f>
        <v/>
      </c>
      <c r="S35" t="str">
        <f t="shared" si="0"/>
        <v/>
      </c>
    </row>
    <row r="36" spans="15:19" x14ac:dyDescent="0.45">
      <c r="O36" t="str">
        <f>IF(D36="","",_CALC_MOTEUR!AE36)</f>
        <v/>
      </c>
      <c r="P36" t="str">
        <f>IF(D36="","",_CALC_MOTEUR!AF36)</f>
        <v/>
      </c>
      <c r="Q36" t="str">
        <f>IF(D36="","",_CALC_MOTEUR!AG36)</f>
        <v/>
      </c>
      <c r="R36" t="str">
        <f>IF(D36="","",_CALC_MOTEUR!AH36)</f>
        <v/>
      </c>
      <c r="S36" t="str">
        <f t="shared" si="0"/>
        <v/>
      </c>
    </row>
    <row r="37" spans="15:19" x14ac:dyDescent="0.45">
      <c r="O37" t="str">
        <f>IF(D37="","",_CALC_MOTEUR!AE37)</f>
        <v/>
      </c>
      <c r="P37" t="str">
        <f>IF(D37="","",_CALC_MOTEUR!AF37)</f>
        <v/>
      </c>
      <c r="Q37" t="str">
        <f>IF(D37="","",_CALC_MOTEUR!AG37)</f>
        <v/>
      </c>
      <c r="R37" t="str">
        <f>IF(D37="","",_CALC_MOTEUR!AH37)</f>
        <v/>
      </c>
      <c r="S37" t="str">
        <f t="shared" si="0"/>
        <v/>
      </c>
    </row>
    <row r="38" spans="15:19" x14ac:dyDescent="0.45">
      <c r="O38" t="str">
        <f>IF(D38="","",_CALC_MOTEUR!AE38)</f>
        <v/>
      </c>
      <c r="P38" t="str">
        <f>IF(D38="","",_CALC_MOTEUR!AF38)</f>
        <v/>
      </c>
      <c r="Q38" t="str">
        <f>IF(D38="","",_CALC_MOTEUR!AG38)</f>
        <v/>
      </c>
      <c r="R38" t="str">
        <f>IF(D38="","",_CALC_MOTEUR!AH38)</f>
        <v/>
      </c>
      <c r="S38" t="str">
        <f t="shared" si="0"/>
        <v/>
      </c>
    </row>
    <row r="39" spans="15:19" x14ac:dyDescent="0.45">
      <c r="O39" t="str">
        <f>IF(D39="","",_CALC_MOTEUR!AE39)</f>
        <v/>
      </c>
      <c r="P39" t="str">
        <f>IF(D39="","",_CALC_MOTEUR!AF39)</f>
        <v/>
      </c>
      <c r="Q39" t="str">
        <f>IF(D39="","",_CALC_MOTEUR!AG39)</f>
        <v/>
      </c>
      <c r="R39" t="str">
        <f>IF(D39="","",_CALC_MOTEUR!AH39)</f>
        <v/>
      </c>
      <c r="S39" t="str">
        <f t="shared" si="0"/>
        <v/>
      </c>
    </row>
    <row r="40" spans="15:19" x14ac:dyDescent="0.45">
      <c r="O40" t="str">
        <f>IF(D40="","",_CALC_MOTEUR!AE40)</f>
        <v/>
      </c>
      <c r="P40" t="str">
        <f>IF(D40="","",_CALC_MOTEUR!AF40)</f>
        <v/>
      </c>
      <c r="Q40" t="str">
        <f>IF(D40="","",_CALC_MOTEUR!AG40)</f>
        <v/>
      </c>
      <c r="R40" t="str">
        <f>IF(D40="","",_CALC_MOTEUR!AH40)</f>
        <v/>
      </c>
      <c r="S40" t="str">
        <f t="shared" si="0"/>
        <v/>
      </c>
    </row>
    <row r="41" spans="15:19" x14ac:dyDescent="0.45">
      <c r="O41" t="str">
        <f>IF(D41="","",_CALC_MOTEUR!AE41)</f>
        <v/>
      </c>
      <c r="P41" t="str">
        <f>IF(D41="","",_CALC_MOTEUR!AF41)</f>
        <v/>
      </c>
      <c r="Q41" t="str">
        <f>IF(D41="","",_CALC_MOTEUR!AG41)</f>
        <v/>
      </c>
      <c r="R41" t="str">
        <f>IF(D41="","",_CALC_MOTEUR!AH41)</f>
        <v/>
      </c>
      <c r="S41" t="str">
        <f t="shared" si="0"/>
        <v/>
      </c>
    </row>
    <row r="42" spans="15:19" x14ac:dyDescent="0.45">
      <c r="O42" t="str">
        <f>IF(D42="","",_CALC_MOTEUR!AE42)</f>
        <v/>
      </c>
      <c r="P42" t="str">
        <f>IF(D42="","",_CALC_MOTEUR!AF42)</f>
        <v/>
      </c>
      <c r="Q42" t="str">
        <f>IF(D42="","",_CALC_MOTEUR!AG42)</f>
        <v/>
      </c>
      <c r="R42" t="str">
        <f>IF(D42="","",_CALC_MOTEUR!AH42)</f>
        <v/>
      </c>
      <c r="S42" t="str">
        <f t="shared" si="0"/>
        <v/>
      </c>
    </row>
    <row r="43" spans="15:19" x14ac:dyDescent="0.45">
      <c r="O43" t="str">
        <f>IF(D43="","",_CALC_MOTEUR!AE43)</f>
        <v/>
      </c>
      <c r="P43" t="str">
        <f>IF(D43="","",_CALC_MOTEUR!AF43)</f>
        <v/>
      </c>
      <c r="Q43" t="str">
        <f>IF(D43="","",_CALC_MOTEUR!AG43)</f>
        <v/>
      </c>
      <c r="R43" t="str">
        <f>IF(D43="","",_CALC_MOTEUR!AH43)</f>
        <v/>
      </c>
      <c r="S43" t="str">
        <f t="shared" si="0"/>
        <v/>
      </c>
    </row>
    <row r="44" spans="15:19" x14ac:dyDescent="0.45">
      <c r="O44" t="str">
        <f>IF(D44="","",_CALC_MOTEUR!AE44)</f>
        <v/>
      </c>
      <c r="P44" t="str">
        <f>IF(D44="","",_CALC_MOTEUR!AF44)</f>
        <v/>
      </c>
      <c r="Q44" t="str">
        <f>IF(D44="","",_CALC_MOTEUR!AG44)</f>
        <v/>
      </c>
      <c r="R44" t="str">
        <f>IF(D44="","",_CALC_MOTEUR!AH44)</f>
        <v/>
      </c>
      <c r="S44" t="str">
        <f t="shared" si="0"/>
        <v/>
      </c>
    </row>
    <row r="45" spans="15:19" x14ac:dyDescent="0.45">
      <c r="O45" t="str">
        <f>IF(D45="","",_CALC_MOTEUR!AE45)</f>
        <v/>
      </c>
      <c r="P45" t="str">
        <f>IF(D45="","",_CALC_MOTEUR!AF45)</f>
        <v/>
      </c>
      <c r="Q45" t="str">
        <f>IF(D45="","",_CALC_MOTEUR!AG45)</f>
        <v/>
      </c>
      <c r="R45" t="str">
        <f>IF(D45="","",_CALC_MOTEUR!AH45)</f>
        <v/>
      </c>
      <c r="S45" t="str">
        <f t="shared" si="0"/>
        <v/>
      </c>
    </row>
    <row r="46" spans="15:19" x14ac:dyDescent="0.45">
      <c r="O46" t="str">
        <f>IF(D46="","",_CALC_MOTEUR!AE46)</f>
        <v/>
      </c>
      <c r="P46" t="str">
        <f>IF(D46="","",_CALC_MOTEUR!AF46)</f>
        <v/>
      </c>
      <c r="Q46" t="str">
        <f>IF(D46="","",_CALC_MOTEUR!AG46)</f>
        <v/>
      </c>
      <c r="R46" t="str">
        <f>IF(D46="","",_CALC_MOTEUR!AH46)</f>
        <v/>
      </c>
      <c r="S46" t="str">
        <f t="shared" si="0"/>
        <v/>
      </c>
    </row>
    <row r="47" spans="15:19" x14ac:dyDescent="0.45">
      <c r="O47" t="str">
        <f>IF(D47="","",_CALC_MOTEUR!AE47)</f>
        <v/>
      </c>
      <c r="P47" t="str">
        <f>IF(D47="","",_CALC_MOTEUR!AF47)</f>
        <v/>
      </c>
      <c r="Q47" t="str">
        <f>IF(D47="","",_CALC_MOTEUR!AG47)</f>
        <v/>
      </c>
      <c r="R47" t="str">
        <f>IF(D47="","",_CALC_MOTEUR!AH47)</f>
        <v/>
      </c>
      <c r="S47" t="str">
        <f t="shared" si="0"/>
        <v/>
      </c>
    </row>
    <row r="48" spans="15:19" x14ac:dyDescent="0.45">
      <c r="O48" t="str">
        <f>IF(D48="","",_CALC_MOTEUR!AE48)</f>
        <v/>
      </c>
      <c r="P48" t="str">
        <f>IF(D48="","",_CALC_MOTEUR!AF48)</f>
        <v/>
      </c>
      <c r="Q48" t="str">
        <f>IF(D48="","",_CALC_MOTEUR!AG48)</f>
        <v/>
      </c>
      <c r="R48" t="str">
        <f>IF(D48="","",_CALC_MOTEUR!AH48)</f>
        <v/>
      </c>
      <c r="S48" t="str">
        <f t="shared" si="0"/>
        <v/>
      </c>
    </row>
    <row r="49" spans="15:19" x14ac:dyDescent="0.45">
      <c r="O49" t="str">
        <f>IF(D49="","",_CALC_MOTEUR!AE49)</f>
        <v/>
      </c>
      <c r="P49" t="str">
        <f>IF(D49="","",_CALC_MOTEUR!AF49)</f>
        <v/>
      </c>
      <c r="Q49" t="str">
        <f>IF(D49="","",_CALC_MOTEUR!AG49)</f>
        <v/>
      </c>
      <c r="R49" t="str">
        <f>IF(D49="","",_CALC_MOTEUR!AH49)</f>
        <v/>
      </c>
      <c r="S49" t="str">
        <f t="shared" si="0"/>
        <v/>
      </c>
    </row>
    <row r="50" spans="15:19" x14ac:dyDescent="0.45">
      <c r="O50" t="str">
        <f>IF(D50="","",_CALC_MOTEUR!AE50)</f>
        <v/>
      </c>
      <c r="P50" t="str">
        <f>IF(D50="","",_CALC_MOTEUR!AF50)</f>
        <v/>
      </c>
      <c r="Q50" t="str">
        <f>IF(D50="","",_CALC_MOTEUR!AG50)</f>
        <v/>
      </c>
      <c r="R50" t="str">
        <f>IF(D50="","",_CALC_MOTEUR!AH50)</f>
        <v/>
      </c>
      <c r="S50" t="str">
        <f t="shared" si="0"/>
        <v/>
      </c>
    </row>
    <row r="51" spans="15:19" x14ac:dyDescent="0.45">
      <c r="O51" t="str">
        <f>IF(D51="","",_CALC_MOTEUR!AE51)</f>
        <v/>
      </c>
      <c r="P51" t="str">
        <f>IF(D51="","",_CALC_MOTEUR!AF51)</f>
        <v/>
      </c>
      <c r="Q51" t="str">
        <f>IF(D51="","",_CALC_MOTEUR!AG51)</f>
        <v/>
      </c>
      <c r="R51" t="str">
        <f>IF(D51="","",_CALC_MOTEUR!AH51)</f>
        <v/>
      </c>
      <c r="S51" t="str">
        <f t="shared" si="0"/>
        <v/>
      </c>
    </row>
    <row r="52" spans="15:19" x14ac:dyDescent="0.45">
      <c r="O52" t="str">
        <f>IF(D52="","",_CALC_MOTEUR!AE52)</f>
        <v/>
      </c>
      <c r="P52" t="str">
        <f>IF(D52="","",_CALC_MOTEUR!AF52)</f>
        <v/>
      </c>
      <c r="Q52" t="str">
        <f>IF(D52="","",_CALC_MOTEUR!AG52)</f>
        <v/>
      </c>
      <c r="R52" t="str">
        <f>IF(D52="","",_CALC_MOTEUR!AH52)</f>
        <v/>
      </c>
      <c r="S52" t="str">
        <f t="shared" si="0"/>
        <v/>
      </c>
    </row>
    <row r="53" spans="15:19" x14ac:dyDescent="0.45">
      <c r="O53" t="str">
        <f>IF(D53="","",_CALC_MOTEUR!AE53)</f>
        <v/>
      </c>
      <c r="P53" t="str">
        <f>IF(D53="","",_CALC_MOTEUR!AF53)</f>
        <v/>
      </c>
      <c r="Q53" t="str">
        <f>IF(D53="","",_CALC_MOTEUR!AG53)</f>
        <v/>
      </c>
      <c r="R53" t="str">
        <f>IF(D53="","",_CALC_MOTEUR!AH53)</f>
        <v/>
      </c>
      <c r="S53" t="str">
        <f t="shared" si="0"/>
        <v/>
      </c>
    </row>
    <row r="54" spans="15:19" x14ac:dyDescent="0.45">
      <c r="O54" t="str">
        <f>IF(D54="","",_CALC_MOTEUR!AE54)</f>
        <v/>
      </c>
      <c r="P54" t="str">
        <f>IF(D54="","",_CALC_MOTEUR!AF54)</f>
        <v/>
      </c>
      <c r="Q54" t="str">
        <f>IF(D54="","",_CALC_MOTEUR!AG54)</f>
        <v/>
      </c>
      <c r="R54" t="str">
        <f>IF(D54="","",_CALC_MOTEUR!AH54)</f>
        <v/>
      </c>
      <c r="S54" t="str">
        <f t="shared" si="0"/>
        <v/>
      </c>
    </row>
    <row r="55" spans="15:19" x14ac:dyDescent="0.45">
      <c r="O55" t="str">
        <f>IF(D55="","",_CALC_MOTEUR!AE55)</f>
        <v/>
      </c>
      <c r="P55" t="str">
        <f>IF(D55="","",_CALC_MOTEUR!AF55)</f>
        <v/>
      </c>
      <c r="Q55" t="str">
        <f>IF(D55="","",_CALC_MOTEUR!AG55)</f>
        <v/>
      </c>
      <c r="R55" t="str">
        <f>IF(D55="","",_CALC_MOTEUR!AH55)</f>
        <v/>
      </c>
      <c r="S55" t="str">
        <f t="shared" si="0"/>
        <v/>
      </c>
    </row>
    <row r="56" spans="15:19" x14ac:dyDescent="0.45">
      <c r="O56" t="str">
        <f>IF(D56="","",_CALC_MOTEUR!AE56)</f>
        <v/>
      </c>
      <c r="P56" t="str">
        <f>IF(D56="","",_CALC_MOTEUR!AF56)</f>
        <v/>
      </c>
      <c r="Q56" t="str">
        <f>IF(D56="","",_CALC_MOTEUR!AG56)</f>
        <v/>
      </c>
      <c r="R56" t="str">
        <f>IF(D56="","",_CALC_MOTEUR!AH56)</f>
        <v/>
      </c>
      <c r="S56" t="str">
        <f t="shared" si="0"/>
        <v/>
      </c>
    </row>
    <row r="57" spans="15:19" x14ac:dyDescent="0.45">
      <c r="O57" t="str">
        <f>IF(D57="","",_CALC_MOTEUR!AE57)</f>
        <v/>
      </c>
      <c r="P57" t="str">
        <f>IF(D57="","",_CALC_MOTEUR!AF57)</f>
        <v/>
      </c>
      <c r="Q57" t="str">
        <f>IF(D57="","",_CALC_MOTEUR!AG57)</f>
        <v/>
      </c>
      <c r="R57" t="str">
        <f>IF(D57="","",_CALC_MOTEUR!AH57)</f>
        <v/>
      </c>
      <c r="S57" t="str">
        <f t="shared" si="0"/>
        <v/>
      </c>
    </row>
    <row r="58" spans="15:19" x14ac:dyDescent="0.45">
      <c r="O58" t="str">
        <f>IF(D58="","",_CALC_MOTEUR!AE58)</f>
        <v/>
      </c>
      <c r="P58" t="str">
        <f>IF(D58="","",_CALC_MOTEUR!AF58)</f>
        <v/>
      </c>
      <c r="Q58" t="str">
        <f>IF(D58="","",_CALC_MOTEUR!AG58)</f>
        <v/>
      </c>
      <c r="R58" t="str">
        <f>IF(D58="","",_CALC_MOTEUR!AH58)</f>
        <v/>
      </c>
      <c r="S58" t="str">
        <f t="shared" si="0"/>
        <v/>
      </c>
    </row>
    <row r="59" spans="15:19" x14ac:dyDescent="0.45">
      <c r="O59" t="str">
        <f>IF(D59="","",_CALC_MOTEUR!AE59)</f>
        <v/>
      </c>
      <c r="P59" t="str">
        <f>IF(D59="","",_CALC_MOTEUR!AF59)</f>
        <v/>
      </c>
      <c r="Q59" t="str">
        <f>IF(D59="","",_CALC_MOTEUR!AG59)</f>
        <v/>
      </c>
      <c r="R59" t="str">
        <f>IF(D59="","",_CALC_MOTEUR!AH59)</f>
        <v/>
      </c>
      <c r="S59" t="str">
        <f t="shared" si="0"/>
        <v/>
      </c>
    </row>
    <row r="60" spans="15:19" x14ac:dyDescent="0.45">
      <c r="O60" t="str">
        <f>IF(D60="","",_CALC_MOTEUR!AE60)</f>
        <v/>
      </c>
      <c r="P60" t="str">
        <f>IF(D60="","",_CALC_MOTEUR!AF60)</f>
        <v/>
      </c>
      <c r="Q60" t="str">
        <f>IF(D60="","",_CALC_MOTEUR!AG60)</f>
        <v/>
      </c>
      <c r="R60" t="str">
        <f>IF(D60="","",_CALC_MOTEUR!AH60)</f>
        <v/>
      </c>
      <c r="S60" t="str">
        <f t="shared" si="0"/>
        <v/>
      </c>
    </row>
    <row r="61" spans="15:19" x14ac:dyDescent="0.45">
      <c r="O61" t="str">
        <f>IF(D61="","",_CALC_MOTEUR!AE61)</f>
        <v/>
      </c>
      <c r="P61" t="str">
        <f>IF(D61="","",_CALC_MOTEUR!AF61)</f>
        <v/>
      </c>
      <c r="Q61" t="str">
        <f>IF(D61="","",_CALC_MOTEUR!AG61)</f>
        <v/>
      </c>
      <c r="R61" t="str">
        <f>IF(D61="","",_CALC_MOTEUR!AH61)</f>
        <v/>
      </c>
      <c r="S61" t="str">
        <f t="shared" si="0"/>
        <v/>
      </c>
    </row>
    <row r="62" spans="15:19" x14ac:dyDescent="0.45">
      <c r="O62" t="str">
        <f>IF(D62="","",_CALC_MOTEUR!AE62)</f>
        <v/>
      </c>
      <c r="P62" t="str">
        <f>IF(D62="","",_CALC_MOTEUR!AF62)</f>
        <v/>
      </c>
      <c r="Q62" t="str">
        <f>IF(D62="","",_CALC_MOTEUR!AG62)</f>
        <v/>
      </c>
      <c r="R62" t="str">
        <f>IF(D62="","",_CALC_MOTEUR!AH62)</f>
        <v/>
      </c>
      <c r="S62" t="str">
        <f t="shared" si="0"/>
        <v/>
      </c>
    </row>
    <row r="63" spans="15:19" x14ac:dyDescent="0.45">
      <c r="O63" t="str">
        <f>IF(D63="","",_CALC_MOTEUR!AE63)</f>
        <v/>
      </c>
      <c r="P63" t="str">
        <f>IF(D63="","",_CALC_MOTEUR!AF63)</f>
        <v/>
      </c>
      <c r="Q63" t="str">
        <f>IF(D63="","",_CALC_MOTEUR!AG63)</f>
        <v/>
      </c>
      <c r="R63" t="str">
        <f>IF(D63="","",_CALC_MOTEUR!AH63)</f>
        <v/>
      </c>
      <c r="S63" t="str">
        <f t="shared" si="0"/>
        <v/>
      </c>
    </row>
    <row r="64" spans="15:19" x14ac:dyDescent="0.45">
      <c r="O64" t="str">
        <f>IF(D64="","",_CALC_MOTEUR!AE64)</f>
        <v/>
      </c>
      <c r="P64" t="str">
        <f>IF(D64="","",_CALC_MOTEUR!AF64)</f>
        <v/>
      </c>
      <c r="Q64" t="str">
        <f>IF(D64="","",_CALC_MOTEUR!AG64)</f>
        <v/>
      </c>
      <c r="R64" t="str">
        <f>IF(D64="","",_CALC_MOTEUR!AH64)</f>
        <v/>
      </c>
      <c r="S64" t="str">
        <f t="shared" si="0"/>
        <v/>
      </c>
    </row>
    <row r="65" spans="15:19" x14ac:dyDescent="0.45">
      <c r="O65" t="str">
        <f>IF(D65="","",_CALC_MOTEUR!AE65)</f>
        <v/>
      </c>
      <c r="P65" t="str">
        <f>IF(D65="","",_CALC_MOTEUR!AF65)</f>
        <v/>
      </c>
      <c r="Q65" t="str">
        <f>IF(D65="","",_CALC_MOTEUR!AG65)</f>
        <v/>
      </c>
      <c r="R65" t="str">
        <f>IF(D65="","",_CALC_MOTEUR!AH65)</f>
        <v/>
      </c>
      <c r="S65" t="str">
        <f t="shared" si="0"/>
        <v/>
      </c>
    </row>
    <row r="66" spans="15:19" x14ac:dyDescent="0.45">
      <c r="O66" t="str">
        <f>IF(D66="","",_CALC_MOTEUR!AE66)</f>
        <v/>
      </c>
      <c r="P66" t="str">
        <f>IF(D66="","",_CALC_MOTEUR!AF66)</f>
        <v/>
      </c>
      <c r="Q66" t="str">
        <f>IF(D66="","",_CALC_MOTEUR!AG66)</f>
        <v/>
      </c>
      <c r="R66" t="str">
        <f>IF(D66="","",_CALC_MOTEUR!AH66)</f>
        <v/>
      </c>
      <c r="S66" t="str">
        <f t="shared" ref="S66:S129" si="1">IF(D66="","",R66-M66)</f>
        <v/>
      </c>
    </row>
    <row r="67" spans="15:19" x14ac:dyDescent="0.45">
      <c r="O67" t="str">
        <f>IF(D67="","",_CALC_MOTEUR!AE67)</f>
        <v/>
      </c>
      <c r="P67" t="str">
        <f>IF(D67="","",_CALC_MOTEUR!AF67)</f>
        <v/>
      </c>
      <c r="Q67" t="str">
        <f>IF(D67="","",_CALC_MOTEUR!AG67)</f>
        <v/>
      </c>
      <c r="R67" t="str">
        <f>IF(D67="","",_CALC_MOTEUR!AH67)</f>
        <v/>
      </c>
      <c r="S67" t="str">
        <f t="shared" si="1"/>
        <v/>
      </c>
    </row>
    <row r="68" spans="15:19" x14ac:dyDescent="0.45">
      <c r="O68" t="str">
        <f>IF(D68="","",_CALC_MOTEUR!AE68)</f>
        <v/>
      </c>
      <c r="P68" t="str">
        <f>IF(D68="","",_CALC_MOTEUR!AF68)</f>
        <v/>
      </c>
      <c r="Q68" t="str">
        <f>IF(D68="","",_CALC_MOTEUR!AG68)</f>
        <v/>
      </c>
      <c r="R68" t="str">
        <f>IF(D68="","",_CALC_MOTEUR!AH68)</f>
        <v/>
      </c>
      <c r="S68" t="str">
        <f t="shared" si="1"/>
        <v/>
      </c>
    </row>
    <row r="69" spans="15:19" x14ac:dyDescent="0.45">
      <c r="O69" t="str">
        <f>IF(D69="","",_CALC_MOTEUR!AE69)</f>
        <v/>
      </c>
      <c r="P69" t="str">
        <f>IF(D69="","",_CALC_MOTEUR!AF69)</f>
        <v/>
      </c>
      <c r="Q69" t="str">
        <f>IF(D69="","",_CALC_MOTEUR!AG69)</f>
        <v/>
      </c>
      <c r="R69" t="str">
        <f>IF(D69="","",_CALC_MOTEUR!AH69)</f>
        <v/>
      </c>
      <c r="S69" t="str">
        <f t="shared" si="1"/>
        <v/>
      </c>
    </row>
    <row r="70" spans="15:19" x14ac:dyDescent="0.45">
      <c r="O70" t="str">
        <f>IF(D70="","",_CALC_MOTEUR!AE70)</f>
        <v/>
      </c>
      <c r="P70" t="str">
        <f>IF(D70="","",_CALC_MOTEUR!AF70)</f>
        <v/>
      </c>
      <c r="Q70" t="str">
        <f>IF(D70="","",_CALC_MOTEUR!AG70)</f>
        <v/>
      </c>
      <c r="R70" t="str">
        <f>IF(D70="","",_CALC_MOTEUR!AH70)</f>
        <v/>
      </c>
      <c r="S70" t="str">
        <f t="shared" si="1"/>
        <v/>
      </c>
    </row>
    <row r="71" spans="15:19" x14ac:dyDescent="0.45">
      <c r="O71" t="str">
        <f>IF(D71="","",_CALC_MOTEUR!AE71)</f>
        <v/>
      </c>
      <c r="P71" t="str">
        <f>IF(D71="","",_CALC_MOTEUR!AF71)</f>
        <v/>
      </c>
      <c r="Q71" t="str">
        <f>IF(D71="","",_CALC_MOTEUR!AG71)</f>
        <v/>
      </c>
      <c r="R71" t="str">
        <f>IF(D71="","",_CALC_MOTEUR!AH71)</f>
        <v/>
      </c>
      <c r="S71" t="str">
        <f t="shared" si="1"/>
        <v/>
      </c>
    </row>
    <row r="72" spans="15:19" x14ac:dyDescent="0.45">
      <c r="O72" t="str">
        <f>IF(D72="","",_CALC_MOTEUR!AE72)</f>
        <v/>
      </c>
      <c r="P72" t="str">
        <f>IF(D72="","",_CALC_MOTEUR!AF72)</f>
        <v/>
      </c>
      <c r="Q72" t="str">
        <f>IF(D72="","",_CALC_MOTEUR!AG72)</f>
        <v/>
      </c>
      <c r="R72" t="str">
        <f>IF(D72="","",_CALC_MOTEUR!AH72)</f>
        <v/>
      </c>
      <c r="S72" t="str">
        <f t="shared" si="1"/>
        <v/>
      </c>
    </row>
    <row r="73" spans="15:19" x14ac:dyDescent="0.45">
      <c r="O73" t="str">
        <f>IF(D73="","",_CALC_MOTEUR!AE73)</f>
        <v/>
      </c>
      <c r="P73" t="str">
        <f>IF(D73="","",_CALC_MOTEUR!AF73)</f>
        <v/>
      </c>
      <c r="Q73" t="str">
        <f>IF(D73="","",_CALC_MOTEUR!AG73)</f>
        <v/>
      </c>
      <c r="R73" t="str">
        <f>IF(D73="","",_CALC_MOTEUR!AH73)</f>
        <v/>
      </c>
      <c r="S73" t="str">
        <f t="shared" si="1"/>
        <v/>
      </c>
    </row>
    <row r="74" spans="15:19" x14ac:dyDescent="0.45">
      <c r="O74" t="str">
        <f>IF(D74="","",_CALC_MOTEUR!AE74)</f>
        <v/>
      </c>
      <c r="P74" t="str">
        <f>IF(D74="","",_CALC_MOTEUR!AF74)</f>
        <v/>
      </c>
      <c r="Q74" t="str">
        <f>IF(D74="","",_CALC_MOTEUR!AG74)</f>
        <v/>
      </c>
      <c r="R74" t="str">
        <f>IF(D74="","",_CALC_MOTEUR!AH74)</f>
        <v/>
      </c>
      <c r="S74" t="str">
        <f t="shared" si="1"/>
        <v/>
      </c>
    </row>
    <row r="75" spans="15:19" x14ac:dyDescent="0.45">
      <c r="O75" t="str">
        <f>IF(D75="","",_CALC_MOTEUR!AE75)</f>
        <v/>
      </c>
      <c r="P75" t="str">
        <f>IF(D75="","",_CALC_MOTEUR!AF75)</f>
        <v/>
      </c>
      <c r="Q75" t="str">
        <f>IF(D75="","",_CALC_MOTEUR!AG75)</f>
        <v/>
      </c>
      <c r="R75" t="str">
        <f>IF(D75="","",_CALC_MOTEUR!AH75)</f>
        <v/>
      </c>
      <c r="S75" t="str">
        <f t="shared" si="1"/>
        <v/>
      </c>
    </row>
    <row r="76" spans="15:19" x14ac:dyDescent="0.45">
      <c r="O76" t="str">
        <f>IF(D76="","",_CALC_MOTEUR!AE76)</f>
        <v/>
      </c>
      <c r="P76" t="str">
        <f>IF(D76="","",_CALC_MOTEUR!AF76)</f>
        <v/>
      </c>
      <c r="Q76" t="str">
        <f>IF(D76="","",_CALC_MOTEUR!AG76)</f>
        <v/>
      </c>
      <c r="R76" t="str">
        <f>IF(D76="","",_CALC_MOTEUR!AH76)</f>
        <v/>
      </c>
      <c r="S76" t="str">
        <f t="shared" si="1"/>
        <v/>
      </c>
    </row>
    <row r="77" spans="15:19" x14ac:dyDescent="0.45">
      <c r="O77" t="str">
        <f>IF(D77="","",_CALC_MOTEUR!AE77)</f>
        <v/>
      </c>
      <c r="P77" t="str">
        <f>IF(D77="","",_CALC_MOTEUR!AF77)</f>
        <v/>
      </c>
      <c r="Q77" t="str">
        <f>IF(D77="","",_CALC_MOTEUR!AG77)</f>
        <v/>
      </c>
      <c r="R77" t="str">
        <f>IF(D77="","",_CALC_MOTEUR!AH77)</f>
        <v/>
      </c>
      <c r="S77" t="str">
        <f t="shared" si="1"/>
        <v/>
      </c>
    </row>
    <row r="78" spans="15:19" x14ac:dyDescent="0.45">
      <c r="O78" t="str">
        <f>IF(D78="","",_CALC_MOTEUR!AE78)</f>
        <v/>
      </c>
      <c r="P78" t="str">
        <f>IF(D78="","",_CALC_MOTEUR!AF78)</f>
        <v/>
      </c>
      <c r="Q78" t="str">
        <f>IF(D78="","",_CALC_MOTEUR!AG78)</f>
        <v/>
      </c>
      <c r="R78" t="str">
        <f>IF(D78="","",_CALC_MOTEUR!AH78)</f>
        <v/>
      </c>
      <c r="S78" t="str">
        <f t="shared" si="1"/>
        <v/>
      </c>
    </row>
    <row r="79" spans="15:19" x14ac:dyDescent="0.45">
      <c r="O79" t="str">
        <f>IF(D79="","",_CALC_MOTEUR!AE79)</f>
        <v/>
      </c>
      <c r="P79" t="str">
        <f>IF(D79="","",_CALC_MOTEUR!AF79)</f>
        <v/>
      </c>
      <c r="Q79" t="str">
        <f>IF(D79="","",_CALC_MOTEUR!AG79)</f>
        <v/>
      </c>
      <c r="R79" t="str">
        <f>IF(D79="","",_CALC_MOTEUR!AH79)</f>
        <v/>
      </c>
      <c r="S79" t="str">
        <f t="shared" si="1"/>
        <v/>
      </c>
    </row>
    <row r="80" spans="15:19" x14ac:dyDescent="0.45">
      <c r="O80" t="str">
        <f>IF(D80="","",_CALC_MOTEUR!AE80)</f>
        <v/>
      </c>
      <c r="P80" t="str">
        <f>IF(D80="","",_CALC_MOTEUR!AF80)</f>
        <v/>
      </c>
      <c r="Q80" t="str">
        <f>IF(D80="","",_CALC_MOTEUR!AG80)</f>
        <v/>
      </c>
      <c r="R80" t="str">
        <f>IF(D80="","",_CALC_MOTEUR!AH80)</f>
        <v/>
      </c>
      <c r="S80" t="str">
        <f t="shared" si="1"/>
        <v/>
      </c>
    </row>
    <row r="81" spans="15:19" x14ac:dyDescent="0.45">
      <c r="O81" t="str">
        <f>IF(D81="","",_CALC_MOTEUR!AE81)</f>
        <v/>
      </c>
      <c r="P81" t="str">
        <f>IF(D81="","",_CALC_MOTEUR!AF81)</f>
        <v/>
      </c>
      <c r="Q81" t="str">
        <f>IF(D81="","",_CALC_MOTEUR!AG81)</f>
        <v/>
      </c>
      <c r="R81" t="str">
        <f>IF(D81="","",_CALC_MOTEUR!AH81)</f>
        <v/>
      </c>
      <c r="S81" t="str">
        <f t="shared" si="1"/>
        <v/>
      </c>
    </row>
    <row r="82" spans="15:19" x14ac:dyDescent="0.45">
      <c r="O82" t="str">
        <f>IF(D82="","",_CALC_MOTEUR!AE82)</f>
        <v/>
      </c>
      <c r="P82" t="str">
        <f>IF(D82="","",_CALC_MOTEUR!AF82)</f>
        <v/>
      </c>
      <c r="Q82" t="str">
        <f>IF(D82="","",_CALC_MOTEUR!AG82)</f>
        <v/>
      </c>
      <c r="R82" t="str">
        <f>IF(D82="","",_CALC_MOTEUR!AH82)</f>
        <v/>
      </c>
      <c r="S82" t="str">
        <f t="shared" si="1"/>
        <v/>
      </c>
    </row>
    <row r="83" spans="15:19" x14ac:dyDescent="0.45">
      <c r="O83" t="str">
        <f>IF(D83="","",_CALC_MOTEUR!AE83)</f>
        <v/>
      </c>
      <c r="P83" t="str">
        <f>IF(D83="","",_CALC_MOTEUR!AF83)</f>
        <v/>
      </c>
      <c r="Q83" t="str">
        <f>IF(D83="","",_CALC_MOTEUR!AG83)</f>
        <v/>
      </c>
      <c r="R83" t="str">
        <f>IF(D83="","",_CALC_MOTEUR!AH83)</f>
        <v/>
      </c>
      <c r="S83" t="str">
        <f t="shared" si="1"/>
        <v/>
      </c>
    </row>
    <row r="84" spans="15:19" x14ac:dyDescent="0.45">
      <c r="O84" t="str">
        <f>IF(D84="","",_CALC_MOTEUR!AE84)</f>
        <v/>
      </c>
      <c r="P84" t="str">
        <f>IF(D84="","",_CALC_MOTEUR!AF84)</f>
        <v/>
      </c>
      <c r="Q84" t="str">
        <f>IF(D84="","",_CALC_MOTEUR!AG84)</f>
        <v/>
      </c>
      <c r="R84" t="str">
        <f>IF(D84="","",_CALC_MOTEUR!AH84)</f>
        <v/>
      </c>
      <c r="S84" t="str">
        <f t="shared" si="1"/>
        <v/>
      </c>
    </row>
    <row r="85" spans="15:19" x14ac:dyDescent="0.45">
      <c r="O85" t="str">
        <f>IF(D85="","",_CALC_MOTEUR!AE85)</f>
        <v/>
      </c>
      <c r="P85" t="str">
        <f>IF(D85="","",_CALC_MOTEUR!AF85)</f>
        <v/>
      </c>
      <c r="Q85" t="str">
        <f>IF(D85="","",_CALC_MOTEUR!AG85)</f>
        <v/>
      </c>
      <c r="R85" t="str">
        <f>IF(D85="","",_CALC_MOTEUR!AH85)</f>
        <v/>
      </c>
      <c r="S85" t="str">
        <f t="shared" si="1"/>
        <v/>
      </c>
    </row>
    <row r="86" spans="15:19" x14ac:dyDescent="0.45">
      <c r="O86" t="str">
        <f>IF(D86="","",_CALC_MOTEUR!AE86)</f>
        <v/>
      </c>
      <c r="P86" t="str">
        <f>IF(D86="","",_CALC_MOTEUR!AF86)</f>
        <v/>
      </c>
      <c r="Q86" t="str">
        <f>IF(D86="","",_CALC_MOTEUR!AG86)</f>
        <v/>
      </c>
      <c r="R86" t="str">
        <f>IF(D86="","",_CALC_MOTEUR!AH86)</f>
        <v/>
      </c>
      <c r="S86" t="str">
        <f t="shared" si="1"/>
        <v/>
      </c>
    </row>
    <row r="87" spans="15:19" x14ac:dyDescent="0.45">
      <c r="O87" t="str">
        <f>IF(D87="","",_CALC_MOTEUR!AE87)</f>
        <v/>
      </c>
      <c r="P87" t="str">
        <f>IF(D87="","",_CALC_MOTEUR!AF87)</f>
        <v/>
      </c>
      <c r="Q87" t="str">
        <f>IF(D87="","",_CALC_MOTEUR!AG87)</f>
        <v/>
      </c>
      <c r="R87" t="str">
        <f>IF(D87="","",_CALC_MOTEUR!AH87)</f>
        <v/>
      </c>
      <c r="S87" t="str">
        <f t="shared" si="1"/>
        <v/>
      </c>
    </row>
    <row r="88" spans="15:19" x14ac:dyDescent="0.45">
      <c r="O88" t="str">
        <f>IF(D88="","",_CALC_MOTEUR!AE88)</f>
        <v/>
      </c>
      <c r="P88" t="str">
        <f>IF(D88="","",_CALC_MOTEUR!AF88)</f>
        <v/>
      </c>
      <c r="Q88" t="str">
        <f>IF(D88="","",_CALC_MOTEUR!AG88)</f>
        <v/>
      </c>
      <c r="R88" t="str">
        <f>IF(D88="","",_CALC_MOTEUR!AH88)</f>
        <v/>
      </c>
      <c r="S88" t="str">
        <f t="shared" si="1"/>
        <v/>
      </c>
    </row>
    <row r="89" spans="15:19" x14ac:dyDescent="0.45">
      <c r="O89" t="str">
        <f>IF(D89="","",_CALC_MOTEUR!AE89)</f>
        <v/>
      </c>
      <c r="P89" t="str">
        <f>IF(D89="","",_CALC_MOTEUR!AF89)</f>
        <v/>
      </c>
      <c r="Q89" t="str">
        <f>IF(D89="","",_CALC_MOTEUR!AG89)</f>
        <v/>
      </c>
      <c r="R89" t="str">
        <f>IF(D89="","",_CALC_MOTEUR!AH89)</f>
        <v/>
      </c>
      <c r="S89" t="str">
        <f t="shared" si="1"/>
        <v/>
      </c>
    </row>
    <row r="90" spans="15:19" x14ac:dyDescent="0.45">
      <c r="O90" t="str">
        <f>IF(D90="","",_CALC_MOTEUR!AE90)</f>
        <v/>
      </c>
      <c r="P90" t="str">
        <f>IF(D90="","",_CALC_MOTEUR!AF90)</f>
        <v/>
      </c>
      <c r="Q90" t="str">
        <f>IF(D90="","",_CALC_MOTEUR!AG90)</f>
        <v/>
      </c>
      <c r="R90" t="str">
        <f>IF(D90="","",_CALC_MOTEUR!AH90)</f>
        <v/>
      </c>
      <c r="S90" t="str">
        <f t="shared" si="1"/>
        <v/>
      </c>
    </row>
    <row r="91" spans="15:19" x14ac:dyDescent="0.45">
      <c r="O91" t="str">
        <f>IF(D91="","",_CALC_MOTEUR!AE91)</f>
        <v/>
      </c>
      <c r="P91" t="str">
        <f>IF(D91="","",_CALC_MOTEUR!AF91)</f>
        <v/>
      </c>
      <c r="Q91" t="str">
        <f>IF(D91="","",_CALC_MOTEUR!AG91)</f>
        <v/>
      </c>
      <c r="R91" t="str">
        <f>IF(D91="","",_CALC_MOTEUR!AH91)</f>
        <v/>
      </c>
      <c r="S91" t="str">
        <f t="shared" si="1"/>
        <v/>
      </c>
    </row>
    <row r="92" spans="15:19" x14ac:dyDescent="0.45">
      <c r="O92" t="str">
        <f>IF(D92="","",_CALC_MOTEUR!AE92)</f>
        <v/>
      </c>
      <c r="P92" t="str">
        <f>IF(D92="","",_CALC_MOTEUR!AF92)</f>
        <v/>
      </c>
      <c r="Q92" t="str">
        <f>IF(D92="","",_CALC_MOTEUR!AG92)</f>
        <v/>
      </c>
      <c r="R92" t="str">
        <f>IF(D92="","",_CALC_MOTEUR!AH92)</f>
        <v/>
      </c>
      <c r="S92" t="str">
        <f t="shared" si="1"/>
        <v/>
      </c>
    </row>
    <row r="93" spans="15:19" x14ac:dyDescent="0.45">
      <c r="O93" t="str">
        <f>IF(D93="","",_CALC_MOTEUR!AE93)</f>
        <v/>
      </c>
      <c r="P93" t="str">
        <f>IF(D93="","",_CALC_MOTEUR!AF93)</f>
        <v/>
      </c>
      <c r="Q93" t="str">
        <f>IF(D93="","",_CALC_MOTEUR!AG93)</f>
        <v/>
      </c>
      <c r="R93" t="str">
        <f>IF(D93="","",_CALC_MOTEUR!AH93)</f>
        <v/>
      </c>
      <c r="S93" t="str">
        <f t="shared" si="1"/>
        <v/>
      </c>
    </row>
    <row r="94" spans="15:19" x14ac:dyDescent="0.45">
      <c r="O94" t="str">
        <f>IF(D94="","",_CALC_MOTEUR!AE94)</f>
        <v/>
      </c>
      <c r="P94" t="str">
        <f>IF(D94="","",_CALC_MOTEUR!AF94)</f>
        <v/>
      </c>
      <c r="Q94" t="str">
        <f>IF(D94="","",_CALC_MOTEUR!AG94)</f>
        <v/>
      </c>
      <c r="R94" t="str">
        <f>IF(D94="","",_CALC_MOTEUR!AH94)</f>
        <v/>
      </c>
      <c r="S94" t="str">
        <f t="shared" si="1"/>
        <v/>
      </c>
    </row>
    <row r="95" spans="15:19" x14ac:dyDescent="0.45">
      <c r="O95" t="str">
        <f>IF(D95="","",_CALC_MOTEUR!AE95)</f>
        <v/>
      </c>
      <c r="P95" t="str">
        <f>IF(D95="","",_CALC_MOTEUR!AF95)</f>
        <v/>
      </c>
      <c r="Q95" t="str">
        <f>IF(D95="","",_CALC_MOTEUR!AG95)</f>
        <v/>
      </c>
      <c r="R95" t="str">
        <f>IF(D95="","",_CALC_MOTEUR!AH95)</f>
        <v/>
      </c>
      <c r="S95" t="str">
        <f t="shared" si="1"/>
        <v/>
      </c>
    </row>
    <row r="96" spans="15:19" x14ac:dyDescent="0.45">
      <c r="O96" t="str">
        <f>IF(D96="","",_CALC_MOTEUR!AE96)</f>
        <v/>
      </c>
      <c r="P96" t="str">
        <f>IF(D96="","",_CALC_MOTEUR!AF96)</f>
        <v/>
      </c>
      <c r="Q96" t="str">
        <f>IF(D96="","",_CALC_MOTEUR!AG96)</f>
        <v/>
      </c>
      <c r="R96" t="str">
        <f>IF(D96="","",_CALC_MOTEUR!AH96)</f>
        <v/>
      </c>
      <c r="S96" t="str">
        <f t="shared" si="1"/>
        <v/>
      </c>
    </row>
    <row r="97" spans="15:19" x14ac:dyDescent="0.45">
      <c r="O97" t="str">
        <f>IF(D97="","",_CALC_MOTEUR!AE97)</f>
        <v/>
      </c>
      <c r="P97" t="str">
        <f>IF(D97="","",_CALC_MOTEUR!AF97)</f>
        <v/>
      </c>
      <c r="Q97" t="str">
        <f>IF(D97="","",_CALC_MOTEUR!AG97)</f>
        <v/>
      </c>
      <c r="R97" t="str">
        <f>IF(D97="","",_CALC_MOTEUR!AH97)</f>
        <v/>
      </c>
      <c r="S97" t="str">
        <f t="shared" si="1"/>
        <v/>
      </c>
    </row>
    <row r="98" spans="15:19" x14ac:dyDescent="0.45">
      <c r="O98" t="str">
        <f>IF(D98="","",_CALC_MOTEUR!AE98)</f>
        <v/>
      </c>
      <c r="P98" t="str">
        <f>IF(D98="","",_CALC_MOTEUR!AF98)</f>
        <v/>
      </c>
      <c r="Q98" t="str">
        <f>IF(D98="","",_CALC_MOTEUR!AG98)</f>
        <v/>
      </c>
      <c r="R98" t="str">
        <f>IF(D98="","",_CALC_MOTEUR!AH98)</f>
        <v/>
      </c>
      <c r="S98" t="str">
        <f t="shared" si="1"/>
        <v/>
      </c>
    </row>
    <row r="99" spans="15:19" x14ac:dyDescent="0.45">
      <c r="O99" t="str">
        <f>IF(D99="","",_CALC_MOTEUR!AE99)</f>
        <v/>
      </c>
      <c r="P99" t="str">
        <f>IF(D99="","",_CALC_MOTEUR!AF99)</f>
        <v/>
      </c>
      <c r="Q99" t="str">
        <f>IF(D99="","",_CALC_MOTEUR!AG99)</f>
        <v/>
      </c>
      <c r="R99" t="str">
        <f>IF(D99="","",_CALC_MOTEUR!AH99)</f>
        <v/>
      </c>
      <c r="S99" t="str">
        <f t="shared" si="1"/>
        <v/>
      </c>
    </row>
    <row r="100" spans="15:19" x14ac:dyDescent="0.45">
      <c r="O100" t="str">
        <f>IF(D100="","",_CALC_MOTEUR!AE100)</f>
        <v/>
      </c>
      <c r="P100" t="str">
        <f>IF(D100="","",_CALC_MOTEUR!AF100)</f>
        <v/>
      </c>
      <c r="Q100" t="str">
        <f>IF(D100="","",_CALC_MOTEUR!AG100)</f>
        <v/>
      </c>
      <c r="R100" t="str">
        <f>IF(D100="","",_CALC_MOTEUR!AH100)</f>
        <v/>
      </c>
      <c r="S100" t="str">
        <f t="shared" si="1"/>
        <v/>
      </c>
    </row>
    <row r="101" spans="15:19" x14ac:dyDescent="0.45">
      <c r="O101" t="str">
        <f>IF(D101="","",_CALC_MOTEUR!AE101)</f>
        <v/>
      </c>
      <c r="P101" t="str">
        <f>IF(D101="","",_CALC_MOTEUR!AF101)</f>
        <v/>
      </c>
      <c r="Q101" t="str">
        <f>IF(D101="","",_CALC_MOTEUR!AG101)</f>
        <v/>
      </c>
      <c r="R101" t="str">
        <f>IF(D101="","",_CALC_MOTEUR!AH101)</f>
        <v/>
      </c>
      <c r="S101" t="str">
        <f t="shared" si="1"/>
        <v/>
      </c>
    </row>
    <row r="102" spans="15:19" x14ac:dyDescent="0.45">
      <c r="O102" t="str">
        <f>IF(D102="","",_CALC_MOTEUR!AE102)</f>
        <v/>
      </c>
      <c r="P102" t="str">
        <f>IF(D102="","",_CALC_MOTEUR!AF102)</f>
        <v/>
      </c>
      <c r="Q102" t="str">
        <f>IF(D102="","",_CALC_MOTEUR!AG102)</f>
        <v/>
      </c>
      <c r="R102" t="str">
        <f>IF(D102="","",_CALC_MOTEUR!AH102)</f>
        <v/>
      </c>
      <c r="S102" t="str">
        <f t="shared" si="1"/>
        <v/>
      </c>
    </row>
    <row r="103" spans="15:19" x14ac:dyDescent="0.45">
      <c r="O103" t="str">
        <f>IF(D103="","",_CALC_MOTEUR!AE103)</f>
        <v/>
      </c>
      <c r="P103" t="str">
        <f>IF(D103="","",_CALC_MOTEUR!AF103)</f>
        <v/>
      </c>
      <c r="Q103" t="str">
        <f>IF(D103="","",_CALC_MOTEUR!AG103)</f>
        <v/>
      </c>
      <c r="R103" t="str">
        <f>IF(D103="","",_CALC_MOTEUR!AH103)</f>
        <v/>
      </c>
      <c r="S103" t="str">
        <f t="shared" si="1"/>
        <v/>
      </c>
    </row>
    <row r="104" spans="15:19" x14ac:dyDescent="0.45">
      <c r="O104" t="str">
        <f>IF(D104="","",_CALC_MOTEUR!AE104)</f>
        <v/>
      </c>
      <c r="P104" t="str">
        <f>IF(D104="","",_CALC_MOTEUR!AF104)</f>
        <v/>
      </c>
      <c r="Q104" t="str">
        <f>IF(D104="","",_CALC_MOTEUR!AG104)</f>
        <v/>
      </c>
      <c r="R104" t="str">
        <f>IF(D104="","",_CALC_MOTEUR!AH104)</f>
        <v/>
      </c>
      <c r="S104" t="str">
        <f t="shared" si="1"/>
        <v/>
      </c>
    </row>
    <row r="105" spans="15:19" x14ac:dyDescent="0.45">
      <c r="O105" t="str">
        <f>IF(D105="","",_CALC_MOTEUR!AE105)</f>
        <v/>
      </c>
      <c r="P105" t="str">
        <f>IF(D105="","",_CALC_MOTEUR!AF105)</f>
        <v/>
      </c>
      <c r="Q105" t="str">
        <f>IF(D105="","",_CALC_MOTEUR!AG105)</f>
        <v/>
      </c>
      <c r="R105" t="str">
        <f>IF(D105="","",_CALC_MOTEUR!AH105)</f>
        <v/>
      </c>
      <c r="S105" t="str">
        <f t="shared" si="1"/>
        <v/>
      </c>
    </row>
    <row r="106" spans="15:19" x14ac:dyDescent="0.45">
      <c r="O106" t="str">
        <f>IF(D106="","",_CALC_MOTEUR!AE106)</f>
        <v/>
      </c>
      <c r="P106" t="str">
        <f>IF(D106="","",_CALC_MOTEUR!AF106)</f>
        <v/>
      </c>
      <c r="Q106" t="str">
        <f>IF(D106="","",_CALC_MOTEUR!AG106)</f>
        <v/>
      </c>
      <c r="R106" t="str">
        <f>IF(D106="","",_CALC_MOTEUR!AH106)</f>
        <v/>
      </c>
      <c r="S106" t="str">
        <f t="shared" si="1"/>
        <v/>
      </c>
    </row>
    <row r="107" spans="15:19" x14ac:dyDescent="0.45">
      <c r="O107" t="str">
        <f>IF(D107="","",_CALC_MOTEUR!AE107)</f>
        <v/>
      </c>
      <c r="P107" t="str">
        <f>IF(D107="","",_CALC_MOTEUR!AF107)</f>
        <v/>
      </c>
      <c r="Q107" t="str">
        <f>IF(D107="","",_CALC_MOTEUR!AG107)</f>
        <v/>
      </c>
      <c r="R107" t="str">
        <f>IF(D107="","",_CALC_MOTEUR!AH107)</f>
        <v/>
      </c>
      <c r="S107" t="str">
        <f t="shared" si="1"/>
        <v/>
      </c>
    </row>
    <row r="108" spans="15:19" x14ac:dyDescent="0.45">
      <c r="O108" t="str">
        <f>IF(D108="","",_CALC_MOTEUR!AE108)</f>
        <v/>
      </c>
      <c r="P108" t="str">
        <f>IF(D108="","",_CALC_MOTEUR!AF108)</f>
        <v/>
      </c>
      <c r="Q108" t="str">
        <f>IF(D108="","",_CALC_MOTEUR!AG108)</f>
        <v/>
      </c>
      <c r="R108" t="str">
        <f>IF(D108="","",_CALC_MOTEUR!AH108)</f>
        <v/>
      </c>
      <c r="S108" t="str">
        <f t="shared" si="1"/>
        <v/>
      </c>
    </row>
    <row r="109" spans="15:19" x14ac:dyDescent="0.45">
      <c r="O109" t="str">
        <f>IF(D109="","",_CALC_MOTEUR!AE109)</f>
        <v/>
      </c>
      <c r="P109" t="str">
        <f>IF(D109="","",_CALC_MOTEUR!AF109)</f>
        <v/>
      </c>
      <c r="Q109" t="str">
        <f>IF(D109="","",_CALC_MOTEUR!AG109)</f>
        <v/>
      </c>
      <c r="R109" t="str">
        <f>IF(D109="","",_CALC_MOTEUR!AH109)</f>
        <v/>
      </c>
      <c r="S109" t="str">
        <f t="shared" si="1"/>
        <v/>
      </c>
    </row>
    <row r="110" spans="15:19" x14ac:dyDescent="0.45">
      <c r="O110" t="str">
        <f>IF(D110="","",_CALC_MOTEUR!AE110)</f>
        <v/>
      </c>
      <c r="P110" t="str">
        <f>IF(D110="","",_CALC_MOTEUR!AF110)</f>
        <v/>
      </c>
      <c r="Q110" t="str">
        <f>IF(D110="","",_CALC_MOTEUR!AG110)</f>
        <v/>
      </c>
      <c r="R110" t="str">
        <f>IF(D110="","",_CALC_MOTEUR!AH110)</f>
        <v/>
      </c>
      <c r="S110" t="str">
        <f t="shared" si="1"/>
        <v/>
      </c>
    </row>
    <row r="111" spans="15:19" x14ac:dyDescent="0.45">
      <c r="O111" t="str">
        <f>IF(D111="","",_CALC_MOTEUR!AE111)</f>
        <v/>
      </c>
      <c r="P111" t="str">
        <f>IF(D111="","",_CALC_MOTEUR!AF111)</f>
        <v/>
      </c>
      <c r="Q111" t="str">
        <f>IF(D111="","",_CALC_MOTEUR!AG111)</f>
        <v/>
      </c>
      <c r="R111" t="str">
        <f>IF(D111="","",_CALC_MOTEUR!AH111)</f>
        <v/>
      </c>
      <c r="S111" t="str">
        <f t="shared" si="1"/>
        <v/>
      </c>
    </row>
    <row r="112" spans="15:19" x14ac:dyDescent="0.45">
      <c r="O112" t="str">
        <f>IF(D112="","",_CALC_MOTEUR!AE112)</f>
        <v/>
      </c>
      <c r="P112" t="str">
        <f>IF(D112="","",_CALC_MOTEUR!AF112)</f>
        <v/>
      </c>
      <c r="Q112" t="str">
        <f>IF(D112="","",_CALC_MOTEUR!AG112)</f>
        <v/>
      </c>
      <c r="R112" t="str">
        <f>IF(D112="","",_CALC_MOTEUR!AH112)</f>
        <v/>
      </c>
      <c r="S112" t="str">
        <f t="shared" si="1"/>
        <v/>
      </c>
    </row>
    <row r="113" spans="15:19" x14ac:dyDescent="0.45">
      <c r="O113" t="str">
        <f>IF(D113="","",_CALC_MOTEUR!AE113)</f>
        <v/>
      </c>
      <c r="P113" t="str">
        <f>IF(D113="","",_CALC_MOTEUR!AF113)</f>
        <v/>
      </c>
      <c r="Q113" t="str">
        <f>IF(D113="","",_CALC_MOTEUR!AG113)</f>
        <v/>
      </c>
      <c r="R113" t="str">
        <f>IF(D113="","",_CALC_MOTEUR!AH113)</f>
        <v/>
      </c>
      <c r="S113" t="str">
        <f t="shared" si="1"/>
        <v/>
      </c>
    </row>
    <row r="114" spans="15:19" x14ac:dyDescent="0.45">
      <c r="O114" t="str">
        <f>IF(D114="","",_CALC_MOTEUR!AE114)</f>
        <v/>
      </c>
      <c r="P114" t="str">
        <f>IF(D114="","",_CALC_MOTEUR!AF114)</f>
        <v/>
      </c>
      <c r="Q114" t="str">
        <f>IF(D114="","",_CALC_MOTEUR!AG114)</f>
        <v/>
      </c>
      <c r="R114" t="str">
        <f>IF(D114="","",_CALC_MOTEUR!AH114)</f>
        <v/>
      </c>
      <c r="S114" t="str">
        <f t="shared" si="1"/>
        <v/>
      </c>
    </row>
    <row r="115" spans="15:19" x14ac:dyDescent="0.45">
      <c r="O115" t="str">
        <f>IF(D115="","",_CALC_MOTEUR!AE115)</f>
        <v/>
      </c>
      <c r="P115" t="str">
        <f>IF(D115="","",_CALC_MOTEUR!AF115)</f>
        <v/>
      </c>
      <c r="Q115" t="str">
        <f>IF(D115="","",_CALC_MOTEUR!AG115)</f>
        <v/>
      </c>
      <c r="R115" t="str">
        <f>IF(D115="","",_CALC_MOTEUR!AH115)</f>
        <v/>
      </c>
      <c r="S115" t="str">
        <f t="shared" si="1"/>
        <v/>
      </c>
    </row>
    <row r="116" spans="15:19" x14ac:dyDescent="0.45">
      <c r="O116" t="str">
        <f>IF(D116="","",_CALC_MOTEUR!AE116)</f>
        <v/>
      </c>
      <c r="P116" t="str">
        <f>IF(D116="","",_CALC_MOTEUR!AF116)</f>
        <v/>
      </c>
      <c r="Q116" t="str">
        <f>IF(D116="","",_CALC_MOTEUR!AG116)</f>
        <v/>
      </c>
      <c r="R116" t="str">
        <f>IF(D116="","",_CALC_MOTEUR!AH116)</f>
        <v/>
      </c>
      <c r="S116" t="str">
        <f t="shared" si="1"/>
        <v/>
      </c>
    </row>
    <row r="117" spans="15:19" x14ac:dyDescent="0.45">
      <c r="O117" t="str">
        <f>IF(D117="","",_CALC_MOTEUR!AE117)</f>
        <v/>
      </c>
      <c r="P117" t="str">
        <f>IF(D117="","",_CALC_MOTEUR!AF117)</f>
        <v/>
      </c>
      <c r="Q117" t="str">
        <f>IF(D117="","",_CALC_MOTEUR!AG117)</f>
        <v/>
      </c>
      <c r="R117" t="str">
        <f>IF(D117="","",_CALC_MOTEUR!AH117)</f>
        <v/>
      </c>
      <c r="S117" t="str">
        <f t="shared" si="1"/>
        <v/>
      </c>
    </row>
    <row r="118" spans="15:19" x14ac:dyDescent="0.45">
      <c r="O118" t="str">
        <f>IF(D118="","",_CALC_MOTEUR!AE118)</f>
        <v/>
      </c>
      <c r="P118" t="str">
        <f>IF(D118="","",_CALC_MOTEUR!AF118)</f>
        <v/>
      </c>
      <c r="Q118" t="str">
        <f>IF(D118="","",_CALC_MOTEUR!AG118)</f>
        <v/>
      </c>
      <c r="R118" t="str">
        <f>IF(D118="","",_CALC_MOTEUR!AH118)</f>
        <v/>
      </c>
      <c r="S118" t="str">
        <f t="shared" si="1"/>
        <v/>
      </c>
    </row>
    <row r="119" spans="15:19" x14ac:dyDescent="0.45">
      <c r="O119" t="str">
        <f>IF(D119="","",_CALC_MOTEUR!AE119)</f>
        <v/>
      </c>
      <c r="P119" t="str">
        <f>IF(D119="","",_CALC_MOTEUR!AF119)</f>
        <v/>
      </c>
      <c r="Q119" t="str">
        <f>IF(D119="","",_CALC_MOTEUR!AG119)</f>
        <v/>
      </c>
      <c r="R119" t="str">
        <f>IF(D119="","",_CALC_MOTEUR!AH119)</f>
        <v/>
      </c>
      <c r="S119" t="str">
        <f t="shared" si="1"/>
        <v/>
      </c>
    </row>
    <row r="120" spans="15:19" x14ac:dyDescent="0.45">
      <c r="O120" t="str">
        <f>IF(D120="","",_CALC_MOTEUR!AE120)</f>
        <v/>
      </c>
      <c r="P120" t="str">
        <f>IF(D120="","",_CALC_MOTEUR!AF120)</f>
        <v/>
      </c>
      <c r="Q120" t="str">
        <f>IF(D120="","",_CALC_MOTEUR!AG120)</f>
        <v/>
      </c>
      <c r="R120" t="str">
        <f>IF(D120="","",_CALC_MOTEUR!AH120)</f>
        <v/>
      </c>
      <c r="S120" t="str">
        <f t="shared" si="1"/>
        <v/>
      </c>
    </row>
    <row r="121" spans="15:19" x14ac:dyDescent="0.45">
      <c r="O121" t="str">
        <f>IF(D121="","",_CALC_MOTEUR!AE121)</f>
        <v/>
      </c>
      <c r="P121" t="str">
        <f>IF(D121="","",_CALC_MOTEUR!AF121)</f>
        <v/>
      </c>
      <c r="Q121" t="str">
        <f>IF(D121="","",_CALC_MOTEUR!AG121)</f>
        <v/>
      </c>
      <c r="R121" t="str">
        <f>IF(D121="","",_CALC_MOTEUR!AH121)</f>
        <v/>
      </c>
      <c r="S121" t="str">
        <f t="shared" si="1"/>
        <v/>
      </c>
    </row>
    <row r="122" spans="15:19" x14ac:dyDescent="0.45">
      <c r="O122" t="str">
        <f>IF(D122="","",_CALC_MOTEUR!AE122)</f>
        <v/>
      </c>
      <c r="P122" t="str">
        <f>IF(D122="","",_CALC_MOTEUR!AF122)</f>
        <v/>
      </c>
      <c r="Q122" t="str">
        <f>IF(D122="","",_CALC_MOTEUR!AG122)</f>
        <v/>
      </c>
      <c r="R122" t="str">
        <f>IF(D122="","",_CALC_MOTEUR!AH122)</f>
        <v/>
      </c>
      <c r="S122" t="str">
        <f t="shared" si="1"/>
        <v/>
      </c>
    </row>
    <row r="123" spans="15:19" x14ac:dyDescent="0.45">
      <c r="O123" t="str">
        <f>IF(D123="","",_CALC_MOTEUR!AE123)</f>
        <v/>
      </c>
      <c r="P123" t="str">
        <f>IF(D123="","",_CALC_MOTEUR!AF123)</f>
        <v/>
      </c>
      <c r="Q123" t="str">
        <f>IF(D123="","",_CALC_MOTEUR!AG123)</f>
        <v/>
      </c>
      <c r="R123" t="str">
        <f>IF(D123="","",_CALC_MOTEUR!AH123)</f>
        <v/>
      </c>
      <c r="S123" t="str">
        <f t="shared" si="1"/>
        <v/>
      </c>
    </row>
    <row r="124" spans="15:19" x14ac:dyDescent="0.45">
      <c r="O124" t="str">
        <f>IF(D124="","",_CALC_MOTEUR!AE124)</f>
        <v/>
      </c>
      <c r="P124" t="str">
        <f>IF(D124="","",_CALC_MOTEUR!AF124)</f>
        <v/>
      </c>
      <c r="Q124" t="str">
        <f>IF(D124="","",_CALC_MOTEUR!AG124)</f>
        <v/>
      </c>
      <c r="R124" t="str">
        <f>IF(D124="","",_CALC_MOTEUR!AH124)</f>
        <v/>
      </c>
      <c r="S124" t="str">
        <f t="shared" si="1"/>
        <v/>
      </c>
    </row>
    <row r="125" spans="15:19" x14ac:dyDescent="0.45">
      <c r="O125" t="str">
        <f>IF(D125="","",_CALC_MOTEUR!AE125)</f>
        <v/>
      </c>
      <c r="P125" t="str">
        <f>IF(D125="","",_CALC_MOTEUR!AF125)</f>
        <v/>
      </c>
      <c r="Q125" t="str">
        <f>IF(D125="","",_CALC_MOTEUR!AG125)</f>
        <v/>
      </c>
      <c r="R125" t="str">
        <f>IF(D125="","",_CALC_MOTEUR!AH125)</f>
        <v/>
      </c>
      <c r="S125" t="str">
        <f t="shared" si="1"/>
        <v/>
      </c>
    </row>
    <row r="126" spans="15:19" x14ac:dyDescent="0.45">
      <c r="O126" t="str">
        <f>IF(D126="","",_CALC_MOTEUR!AE126)</f>
        <v/>
      </c>
      <c r="P126" t="str">
        <f>IF(D126="","",_CALC_MOTEUR!AF126)</f>
        <v/>
      </c>
      <c r="Q126" t="str">
        <f>IF(D126="","",_CALC_MOTEUR!AG126)</f>
        <v/>
      </c>
      <c r="R126" t="str">
        <f>IF(D126="","",_CALC_MOTEUR!AH126)</f>
        <v/>
      </c>
      <c r="S126" t="str">
        <f t="shared" si="1"/>
        <v/>
      </c>
    </row>
    <row r="127" spans="15:19" x14ac:dyDescent="0.45">
      <c r="O127" t="str">
        <f>IF(D127="","",_CALC_MOTEUR!AE127)</f>
        <v/>
      </c>
      <c r="P127" t="str">
        <f>IF(D127="","",_CALC_MOTEUR!AF127)</f>
        <v/>
      </c>
      <c r="Q127" t="str">
        <f>IF(D127="","",_CALC_MOTEUR!AG127)</f>
        <v/>
      </c>
      <c r="R127" t="str">
        <f>IF(D127="","",_CALC_MOTEUR!AH127)</f>
        <v/>
      </c>
      <c r="S127" t="str">
        <f t="shared" si="1"/>
        <v/>
      </c>
    </row>
    <row r="128" spans="15:19" x14ac:dyDescent="0.45">
      <c r="O128" t="str">
        <f>IF(D128="","",_CALC_MOTEUR!AE128)</f>
        <v/>
      </c>
      <c r="P128" t="str">
        <f>IF(D128="","",_CALC_MOTEUR!AF128)</f>
        <v/>
      </c>
      <c r="Q128" t="str">
        <f>IF(D128="","",_CALC_MOTEUR!AG128)</f>
        <v/>
      </c>
      <c r="R128" t="str">
        <f>IF(D128="","",_CALC_MOTEUR!AH128)</f>
        <v/>
      </c>
      <c r="S128" t="str">
        <f t="shared" si="1"/>
        <v/>
      </c>
    </row>
    <row r="129" spans="15:19" x14ac:dyDescent="0.45">
      <c r="O129" t="str">
        <f>IF(D129="","",_CALC_MOTEUR!AE129)</f>
        <v/>
      </c>
      <c r="P129" t="str">
        <f>IF(D129="","",_CALC_MOTEUR!AF129)</f>
        <v/>
      </c>
      <c r="Q129" t="str">
        <f>IF(D129="","",_CALC_MOTEUR!AG129)</f>
        <v/>
      </c>
      <c r="R129" t="str">
        <f>IF(D129="","",_CALC_MOTEUR!AH129)</f>
        <v/>
      </c>
      <c r="S129" t="str">
        <f t="shared" si="1"/>
        <v/>
      </c>
    </row>
    <row r="130" spans="15:19" x14ac:dyDescent="0.45">
      <c r="O130" t="str">
        <f>IF(D130="","",_CALC_MOTEUR!AE130)</f>
        <v/>
      </c>
      <c r="P130" t="str">
        <f>IF(D130="","",_CALC_MOTEUR!AF130)</f>
        <v/>
      </c>
      <c r="Q130" t="str">
        <f>IF(D130="","",_CALC_MOTEUR!AG130)</f>
        <v/>
      </c>
      <c r="R130" t="str">
        <f>IF(D130="","",_CALC_MOTEUR!AH130)</f>
        <v/>
      </c>
      <c r="S130" t="str">
        <f t="shared" ref="S130:S175" si="2">IF(D130="","",R130-M130)</f>
        <v/>
      </c>
    </row>
    <row r="131" spans="15:19" x14ac:dyDescent="0.45">
      <c r="O131" t="str">
        <f>IF(D131="","",_CALC_MOTEUR!AE131)</f>
        <v/>
      </c>
      <c r="P131" t="str">
        <f>IF(D131="","",_CALC_MOTEUR!AF131)</f>
        <v/>
      </c>
      <c r="Q131" t="str">
        <f>IF(D131="","",_CALC_MOTEUR!AG131)</f>
        <v/>
      </c>
      <c r="R131" t="str">
        <f>IF(D131="","",_CALC_MOTEUR!AH131)</f>
        <v/>
      </c>
      <c r="S131" t="str">
        <f t="shared" si="2"/>
        <v/>
      </c>
    </row>
    <row r="132" spans="15:19" x14ac:dyDescent="0.45">
      <c r="O132" t="str">
        <f>IF(D132="","",_CALC_MOTEUR!AE132)</f>
        <v/>
      </c>
      <c r="P132" t="str">
        <f>IF(D132="","",_CALC_MOTEUR!AF132)</f>
        <v/>
      </c>
      <c r="Q132" t="str">
        <f>IF(D132="","",_CALC_MOTEUR!AG132)</f>
        <v/>
      </c>
      <c r="R132" t="str">
        <f>IF(D132="","",_CALC_MOTEUR!AH132)</f>
        <v/>
      </c>
      <c r="S132" t="str">
        <f t="shared" si="2"/>
        <v/>
      </c>
    </row>
    <row r="133" spans="15:19" x14ac:dyDescent="0.45">
      <c r="O133" t="str">
        <f>IF(D133="","",_CALC_MOTEUR!AE133)</f>
        <v/>
      </c>
      <c r="P133" t="str">
        <f>IF(D133="","",_CALC_MOTEUR!AF133)</f>
        <v/>
      </c>
      <c r="Q133" t="str">
        <f>IF(D133="","",_CALC_MOTEUR!AG133)</f>
        <v/>
      </c>
      <c r="R133" t="str">
        <f>IF(D133="","",_CALC_MOTEUR!AH133)</f>
        <v/>
      </c>
      <c r="S133" t="str">
        <f t="shared" si="2"/>
        <v/>
      </c>
    </row>
    <row r="134" spans="15:19" x14ac:dyDescent="0.45">
      <c r="O134" t="str">
        <f>IF(D134="","",_CALC_MOTEUR!AE134)</f>
        <v/>
      </c>
      <c r="P134" t="str">
        <f>IF(D134="","",_CALC_MOTEUR!AF134)</f>
        <v/>
      </c>
      <c r="Q134" t="str">
        <f>IF(D134="","",_CALC_MOTEUR!AG134)</f>
        <v/>
      </c>
      <c r="R134" t="str">
        <f>IF(D134="","",_CALC_MOTEUR!AH134)</f>
        <v/>
      </c>
      <c r="S134" t="str">
        <f t="shared" si="2"/>
        <v/>
      </c>
    </row>
    <row r="135" spans="15:19" x14ac:dyDescent="0.45">
      <c r="O135" t="str">
        <f>IF(D135="","",_CALC_MOTEUR!AE135)</f>
        <v/>
      </c>
      <c r="P135" t="str">
        <f>IF(D135="","",_CALC_MOTEUR!AF135)</f>
        <v/>
      </c>
      <c r="Q135" t="str">
        <f>IF(D135="","",_CALC_MOTEUR!AG135)</f>
        <v/>
      </c>
      <c r="R135" t="str">
        <f>IF(D135="","",_CALC_MOTEUR!AH135)</f>
        <v/>
      </c>
      <c r="S135" t="str">
        <f t="shared" si="2"/>
        <v/>
      </c>
    </row>
    <row r="136" spans="15:19" x14ac:dyDescent="0.45">
      <c r="O136" t="str">
        <f>IF(D136="","",_CALC_MOTEUR!AE136)</f>
        <v/>
      </c>
      <c r="P136" t="str">
        <f>IF(D136="","",_CALC_MOTEUR!AF136)</f>
        <v/>
      </c>
      <c r="Q136" t="str">
        <f>IF(D136="","",_CALC_MOTEUR!AG136)</f>
        <v/>
      </c>
      <c r="R136" t="str">
        <f>IF(D136="","",_CALC_MOTEUR!AH136)</f>
        <v/>
      </c>
      <c r="S136" t="str">
        <f t="shared" si="2"/>
        <v/>
      </c>
    </row>
    <row r="137" spans="15:19" x14ac:dyDescent="0.45">
      <c r="O137" t="str">
        <f>IF(D137="","",_CALC_MOTEUR!AE137)</f>
        <v/>
      </c>
      <c r="P137" t="str">
        <f>IF(D137="","",_CALC_MOTEUR!AF137)</f>
        <v/>
      </c>
      <c r="Q137" t="str">
        <f>IF(D137="","",_CALC_MOTEUR!AG137)</f>
        <v/>
      </c>
      <c r="R137" t="str">
        <f>IF(D137="","",_CALC_MOTEUR!AH137)</f>
        <v/>
      </c>
      <c r="S137" t="str">
        <f t="shared" si="2"/>
        <v/>
      </c>
    </row>
    <row r="138" spans="15:19" x14ac:dyDescent="0.45">
      <c r="O138" t="str">
        <f>IF(D138="","",_CALC_MOTEUR!AE138)</f>
        <v/>
      </c>
      <c r="P138" t="str">
        <f>IF(D138="","",_CALC_MOTEUR!AF138)</f>
        <v/>
      </c>
      <c r="Q138" t="str">
        <f>IF(D138="","",_CALC_MOTEUR!AG138)</f>
        <v/>
      </c>
      <c r="R138" t="str">
        <f>IF(D138="","",_CALC_MOTEUR!AH138)</f>
        <v/>
      </c>
      <c r="S138" t="str">
        <f t="shared" si="2"/>
        <v/>
      </c>
    </row>
    <row r="139" spans="15:19" x14ac:dyDescent="0.45">
      <c r="O139" t="str">
        <f>IF(D139="","",_CALC_MOTEUR!AE139)</f>
        <v/>
      </c>
      <c r="P139" t="str">
        <f>IF(D139="","",_CALC_MOTEUR!AF139)</f>
        <v/>
      </c>
      <c r="Q139" t="str">
        <f>IF(D139="","",_CALC_MOTEUR!AG139)</f>
        <v/>
      </c>
      <c r="R139" t="str">
        <f>IF(D139="","",_CALC_MOTEUR!AH139)</f>
        <v/>
      </c>
      <c r="S139" t="str">
        <f t="shared" si="2"/>
        <v/>
      </c>
    </row>
    <row r="140" spans="15:19" x14ac:dyDescent="0.45">
      <c r="O140" t="str">
        <f>IF(D140="","",_CALC_MOTEUR!AE140)</f>
        <v/>
      </c>
      <c r="P140" t="str">
        <f>IF(D140="","",_CALC_MOTEUR!AF140)</f>
        <v/>
      </c>
      <c r="Q140" t="str">
        <f>IF(D140="","",_CALC_MOTEUR!AG140)</f>
        <v/>
      </c>
      <c r="R140" t="str">
        <f>IF(D140="","",_CALC_MOTEUR!AH140)</f>
        <v/>
      </c>
      <c r="S140" t="str">
        <f t="shared" si="2"/>
        <v/>
      </c>
    </row>
    <row r="141" spans="15:19" x14ac:dyDescent="0.45">
      <c r="O141" t="str">
        <f>IF(D141="","",_CALC_MOTEUR!AE141)</f>
        <v/>
      </c>
      <c r="P141" t="str">
        <f>IF(D141="","",_CALC_MOTEUR!AF141)</f>
        <v/>
      </c>
      <c r="Q141" t="str">
        <f>IF(D141="","",_CALC_MOTEUR!AG141)</f>
        <v/>
      </c>
      <c r="R141" t="str">
        <f>IF(D141="","",_CALC_MOTEUR!AH141)</f>
        <v/>
      </c>
      <c r="S141" t="str">
        <f t="shared" si="2"/>
        <v/>
      </c>
    </row>
    <row r="142" spans="15:19" x14ac:dyDescent="0.45">
      <c r="O142" t="str">
        <f>IF(D142="","",_CALC_MOTEUR!AE142)</f>
        <v/>
      </c>
      <c r="P142" t="str">
        <f>IF(D142="","",_CALC_MOTEUR!AF142)</f>
        <v/>
      </c>
      <c r="Q142" t="str">
        <f>IF(D142="","",_CALC_MOTEUR!AG142)</f>
        <v/>
      </c>
      <c r="R142" t="str">
        <f>IF(D142="","",_CALC_MOTEUR!AH142)</f>
        <v/>
      </c>
      <c r="S142" t="str">
        <f t="shared" si="2"/>
        <v/>
      </c>
    </row>
    <row r="143" spans="15:19" x14ac:dyDescent="0.45">
      <c r="O143" t="str">
        <f>IF(D143="","",_CALC_MOTEUR!AE143)</f>
        <v/>
      </c>
      <c r="P143" t="str">
        <f>IF(D143="","",_CALC_MOTEUR!AF143)</f>
        <v/>
      </c>
      <c r="Q143" t="str">
        <f>IF(D143="","",_CALC_MOTEUR!AG143)</f>
        <v/>
      </c>
      <c r="R143" t="str">
        <f>IF(D143="","",_CALC_MOTEUR!AH143)</f>
        <v/>
      </c>
      <c r="S143" t="str">
        <f t="shared" si="2"/>
        <v/>
      </c>
    </row>
    <row r="144" spans="15:19" x14ac:dyDescent="0.45">
      <c r="O144" t="str">
        <f>IF(D144="","",_CALC_MOTEUR!AE144)</f>
        <v/>
      </c>
      <c r="P144" t="str">
        <f>IF(D144="","",_CALC_MOTEUR!AF144)</f>
        <v/>
      </c>
      <c r="Q144" t="str">
        <f>IF(D144="","",_CALC_MOTEUR!AG144)</f>
        <v/>
      </c>
      <c r="R144" t="str">
        <f>IF(D144="","",_CALC_MOTEUR!AH144)</f>
        <v/>
      </c>
      <c r="S144" t="str">
        <f t="shared" si="2"/>
        <v/>
      </c>
    </row>
    <row r="145" spans="15:19" x14ac:dyDescent="0.45">
      <c r="O145" t="str">
        <f>IF(D145="","",_CALC_MOTEUR!AE145)</f>
        <v/>
      </c>
      <c r="P145" t="str">
        <f>IF(D145="","",_CALC_MOTEUR!AF145)</f>
        <v/>
      </c>
      <c r="Q145" t="str">
        <f>IF(D145="","",_CALC_MOTEUR!AG145)</f>
        <v/>
      </c>
      <c r="R145" t="str">
        <f>IF(D145="","",_CALC_MOTEUR!AH145)</f>
        <v/>
      </c>
      <c r="S145" t="str">
        <f t="shared" si="2"/>
        <v/>
      </c>
    </row>
    <row r="146" spans="15:19" x14ac:dyDescent="0.45">
      <c r="O146" t="str">
        <f>IF(D146="","",_CALC_MOTEUR!AE146)</f>
        <v/>
      </c>
      <c r="P146" t="str">
        <f>IF(D146="","",_CALC_MOTEUR!AF146)</f>
        <v/>
      </c>
      <c r="Q146" t="str">
        <f>IF(D146="","",_CALC_MOTEUR!AG146)</f>
        <v/>
      </c>
      <c r="R146" t="str">
        <f>IF(D146="","",_CALC_MOTEUR!AH146)</f>
        <v/>
      </c>
      <c r="S146" t="str">
        <f t="shared" si="2"/>
        <v/>
      </c>
    </row>
    <row r="147" spans="15:19" x14ac:dyDescent="0.45">
      <c r="O147" t="str">
        <f>IF(D147="","",_CALC_MOTEUR!AE147)</f>
        <v/>
      </c>
      <c r="P147" t="str">
        <f>IF(D147="","",_CALC_MOTEUR!AF147)</f>
        <v/>
      </c>
      <c r="Q147" t="str">
        <f>IF(D147="","",_CALC_MOTEUR!AG147)</f>
        <v/>
      </c>
      <c r="R147" t="str">
        <f>IF(D147="","",_CALC_MOTEUR!AH147)</f>
        <v/>
      </c>
      <c r="S147" t="str">
        <f t="shared" si="2"/>
        <v/>
      </c>
    </row>
    <row r="148" spans="15:19" x14ac:dyDescent="0.45">
      <c r="O148" t="str">
        <f>IF(D148="","",_CALC_MOTEUR!AE148)</f>
        <v/>
      </c>
      <c r="P148" t="str">
        <f>IF(D148="","",_CALC_MOTEUR!AF148)</f>
        <v/>
      </c>
      <c r="Q148" t="str">
        <f>IF(D148="","",_CALC_MOTEUR!AG148)</f>
        <v/>
      </c>
      <c r="R148" t="str">
        <f>IF(D148="","",_CALC_MOTEUR!AH148)</f>
        <v/>
      </c>
      <c r="S148" t="str">
        <f t="shared" si="2"/>
        <v/>
      </c>
    </row>
    <row r="149" spans="15:19" x14ac:dyDescent="0.45">
      <c r="O149" t="str">
        <f>IF(D149="","",_CALC_MOTEUR!AE149)</f>
        <v/>
      </c>
      <c r="P149" t="str">
        <f>IF(D149="","",_CALC_MOTEUR!AF149)</f>
        <v/>
      </c>
      <c r="Q149" t="str">
        <f>IF(D149="","",_CALC_MOTEUR!AG149)</f>
        <v/>
      </c>
      <c r="R149" t="str">
        <f>IF(D149="","",_CALC_MOTEUR!AH149)</f>
        <v/>
      </c>
      <c r="S149" t="str">
        <f t="shared" si="2"/>
        <v/>
      </c>
    </row>
    <row r="150" spans="15:19" x14ac:dyDescent="0.45">
      <c r="O150" t="str">
        <f>IF(D150="","",_CALC_MOTEUR!AE150)</f>
        <v/>
      </c>
      <c r="P150" t="str">
        <f>IF(D150="","",_CALC_MOTEUR!AF150)</f>
        <v/>
      </c>
      <c r="Q150" t="str">
        <f>IF(D150="","",_CALC_MOTEUR!AG150)</f>
        <v/>
      </c>
      <c r="R150" t="str">
        <f>IF(D150="","",_CALC_MOTEUR!AH150)</f>
        <v/>
      </c>
      <c r="S150" t="str">
        <f t="shared" si="2"/>
        <v/>
      </c>
    </row>
    <row r="151" spans="15:19" x14ac:dyDescent="0.45">
      <c r="O151" t="str">
        <f>IF(D151="","",_CALC_MOTEUR!AE151)</f>
        <v/>
      </c>
      <c r="P151" t="str">
        <f>IF(D151="","",_CALC_MOTEUR!AF151)</f>
        <v/>
      </c>
      <c r="Q151" t="str">
        <f>IF(D151="","",_CALC_MOTEUR!AG151)</f>
        <v/>
      </c>
      <c r="R151" t="str">
        <f>IF(D151="","",_CALC_MOTEUR!AH151)</f>
        <v/>
      </c>
      <c r="S151" t="str">
        <f t="shared" si="2"/>
        <v/>
      </c>
    </row>
    <row r="152" spans="15:19" x14ac:dyDescent="0.45">
      <c r="O152" t="str">
        <f>IF(D152="","",_CALC_MOTEUR!AE152)</f>
        <v/>
      </c>
      <c r="P152" t="str">
        <f>IF(D152="","",_CALC_MOTEUR!AF152)</f>
        <v/>
      </c>
      <c r="Q152" t="str">
        <f>IF(D152="","",_CALC_MOTEUR!AG152)</f>
        <v/>
      </c>
      <c r="R152" t="str">
        <f>IF(D152="","",_CALC_MOTEUR!AH152)</f>
        <v/>
      </c>
      <c r="S152" t="str">
        <f t="shared" si="2"/>
        <v/>
      </c>
    </row>
    <row r="153" spans="15:19" x14ac:dyDescent="0.45">
      <c r="O153" t="str">
        <f>IF(D153="","",_CALC_MOTEUR!AE153)</f>
        <v/>
      </c>
      <c r="P153" t="str">
        <f>IF(D153="","",_CALC_MOTEUR!AF153)</f>
        <v/>
      </c>
      <c r="Q153" t="str">
        <f>IF(D153="","",_CALC_MOTEUR!AG153)</f>
        <v/>
      </c>
      <c r="R153" t="str">
        <f>IF(D153="","",_CALC_MOTEUR!AH153)</f>
        <v/>
      </c>
      <c r="S153" t="str">
        <f t="shared" si="2"/>
        <v/>
      </c>
    </row>
    <row r="154" spans="15:19" x14ac:dyDescent="0.45">
      <c r="O154" t="str">
        <f>IF(D154="","",_CALC_MOTEUR!AE154)</f>
        <v/>
      </c>
      <c r="P154" t="str">
        <f>IF(D154="","",_CALC_MOTEUR!AF154)</f>
        <v/>
      </c>
      <c r="Q154" t="str">
        <f>IF(D154="","",_CALC_MOTEUR!AG154)</f>
        <v/>
      </c>
      <c r="R154" t="str">
        <f>IF(D154="","",_CALC_MOTEUR!AH154)</f>
        <v/>
      </c>
      <c r="S154" t="str">
        <f t="shared" si="2"/>
        <v/>
      </c>
    </row>
    <row r="155" spans="15:19" x14ac:dyDescent="0.45">
      <c r="O155" t="str">
        <f>IF(D155="","",_CALC_MOTEUR!AE155)</f>
        <v/>
      </c>
      <c r="P155" t="str">
        <f>IF(D155="","",_CALC_MOTEUR!AF155)</f>
        <v/>
      </c>
      <c r="Q155" t="str">
        <f>IF(D155="","",_CALC_MOTEUR!AG155)</f>
        <v/>
      </c>
      <c r="R155" t="str">
        <f>IF(D155="","",_CALC_MOTEUR!AH155)</f>
        <v/>
      </c>
      <c r="S155" t="str">
        <f t="shared" si="2"/>
        <v/>
      </c>
    </row>
    <row r="156" spans="15:19" x14ac:dyDescent="0.45">
      <c r="O156" t="str">
        <f>IF(D156="","",_CALC_MOTEUR!AE156)</f>
        <v/>
      </c>
      <c r="P156" t="str">
        <f>IF(D156="","",_CALC_MOTEUR!AF156)</f>
        <v/>
      </c>
      <c r="Q156" t="str">
        <f>IF(D156="","",_CALC_MOTEUR!AG156)</f>
        <v/>
      </c>
      <c r="R156" t="str">
        <f>IF(D156="","",_CALC_MOTEUR!AH156)</f>
        <v/>
      </c>
      <c r="S156" t="str">
        <f t="shared" si="2"/>
        <v/>
      </c>
    </row>
    <row r="157" spans="15:19" x14ac:dyDescent="0.45">
      <c r="O157" t="str">
        <f>IF(D157="","",_CALC_MOTEUR!AE157)</f>
        <v/>
      </c>
      <c r="P157" t="str">
        <f>IF(D157="","",_CALC_MOTEUR!AF157)</f>
        <v/>
      </c>
      <c r="Q157" t="str">
        <f>IF(D157="","",_CALC_MOTEUR!AG157)</f>
        <v/>
      </c>
      <c r="R157" t="str">
        <f>IF(D157="","",_CALC_MOTEUR!AH157)</f>
        <v/>
      </c>
      <c r="S157" t="str">
        <f t="shared" si="2"/>
        <v/>
      </c>
    </row>
    <row r="158" spans="15:19" x14ac:dyDescent="0.45">
      <c r="O158" t="str">
        <f>IF(D158="","",_CALC_MOTEUR!AE158)</f>
        <v/>
      </c>
      <c r="P158" t="str">
        <f>IF(D158="","",_CALC_MOTEUR!AF158)</f>
        <v/>
      </c>
      <c r="Q158" t="str">
        <f>IF(D158="","",_CALC_MOTEUR!AG158)</f>
        <v/>
      </c>
      <c r="R158" t="str">
        <f>IF(D158="","",_CALC_MOTEUR!AH158)</f>
        <v/>
      </c>
      <c r="S158" t="str">
        <f t="shared" si="2"/>
        <v/>
      </c>
    </row>
    <row r="159" spans="15:19" x14ac:dyDescent="0.45">
      <c r="O159" t="str">
        <f>IF(D159="","",_CALC_MOTEUR!AE159)</f>
        <v/>
      </c>
      <c r="P159" t="str">
        <f>IF(D159="","",_CALC_MOTEUR!AF159)</f>
        <v/>
      </c>
      <c r="Q159" t="str">
        <f>IF(D159="","",_CALC_MOTEUR!AG159)</f>
        <v/>
      </c>
      <c r="R159" t="str">
        <f>IF(D159="","",_CALC_MOTEUR!AH159)</f>
        <v/>
      </c>
      <c r="S159" t="str">
        <f t="shared" si="2"/>
        <v/>
      </c>
    </row>
    <row r="160" spans="15:19" x14ac:dyDescent="0.45">
      <c r="O160" t="str">
        <f>IF(D160="","",_CALC_MOTEUR!AE160)</f>
        <v/>
      </c>
      <c r="P160" t="str">
        <f>IF(D160="","",_CALC_MOTEUR!AF160)</f>
        <v/>
      </c>
      <c r="Q160" t="str">
        <f>IF(D160="","",_CALC_MOTEUR!AG160)</f>
        <v/>
      </c>
      <c r="R160" t="str">
        <f>IF(D160="","",_CALC_MOTEUR!AH160)</f>
        <v/>
      </c>
      <c r="S160" t="str">
        <f t="shared" si="2"/>
        <v/>
      </c>
    </row>
    <row r="161" spans="15:19" x14ac:dyDescent="0.45">
      <c r="O161" t="str">
        <f>IF(D161="","",_CALC_MOTEUR!AE161)</f>
        <v/>
      </c>
      <c r="P161" t="str">
        <f>IF(D161="","",_CALC_MOTEUR!AF161)</f>
        <v/>
      </c>
      <c r="Q161" t="str">
        <f>IF(D161="","",_CALC_MOTEUR!AG161)</f>
        <v/>
      </c>
      <c r="R161" t="str">
        <f>IF(D161="","",_CALC_MOTEUR!AH161)</f>
        <v/>
      </c>
      <c r="S161" t="str">
        <f t="shared" si="2"/>
        <v/>
      </c>
    </row>
    <row r="162" spans="15:19" x14ac:dyDescent="0.45">
      <c r="O162" t="str">
        <f>IF(D162="","",_CALC_MOTEUR!AE162)</f>
        <v/>
      </c>
      <c r="P162" t="str">
        <f>IF(D162="","",_CALC_MOTEUR!AF162)</f>
        <v/>
      </c>
      <c r="Q162" t="str">
        <f>IF(D162="","",_CALC_MOTEUR!AG162)</f>
        <v/>
      </c>
      <c r="R162" t="str">
        <f>IF(D162="","",_CALC_MOTEUR!AH162)</f>
        <v/>
      </c>
      <c r="S162" t="str">
        <f t="shared" si="2"/>
        <v/>
      </c>
    </row>
    <row r="163" spans="15:19" x14ac:dyDescent="0.45">
      <c r="O163" t="str">
        <f>IF(D163="","",_CALC_MOTEUR!AE163)</f>
        <v/>
      </c>
      <c r="P163" t="str">
        <f>IF(D163="","",_CALC_MOTEUR!AF163)</f>
        <v/>
      </c>
      <c r="Q163" t="str">
        <f>IF(D163="","",_CALC_MOTEUR!AG163)</f>
        <v/>
      </c>
      <c r="R163" t="str">
        <f>IF(D163="","",_CALC_MOTEUR!AH163)</f>
        <v/>
      </c>
      <c r="S163" t="str">
        <f t="shared" si="2"/>
        <v/>
      </c>
    </row>
    <row r="164" spans="15:19" x14ac:dyDescent="0.45">
      <c r="O164" t="str">
        <f>IF(D164="","",_CALC_MOTEUR!AE164)</f>
        <v/>
      </c>
      <c r="P164" t="str">
        <f>IF(D164="","",_CALC_MOTEUR!AF164)</f>
        <v/>
      </c>
      <c r="Q164" t="str">
        <f>IF(D164="","",_CALC_MOTEUR!AG164)</f>
        <v/>
      </c>
      <c r="R164" t="str">
        <f>IF(D164="","",_CALC_MOTEUR!AH164)</f>
        <v/>
      </c>
      <c r="S164" t="str">
        <f t="shared" si="2"/>
        <v/>
      </c>
    </row>
    <row r="165" spans="15:19" x14ac:dyDescent="0.45">
      <c r="O165" t="str">
        <f>IF(D165="","",_CALC_MOTEUR!AE165)</f>
        <v/>
      </c>
      <c r="P165" t="str">
        <f>IF(D165="","",_CALC_MOTEUR!AF165)</f>
        <v/>
      </c>
      <c r="Q165" t="str">
        <f>IF(D165="","",_CALC_MOTEUR!AG165)</f>
        <v/>
      </c>
      <c r="R165" t="str">
        <f>IF(D165="","",_CALC_MOTEUR!AH165)</f>
        <v/>
      </c>
      <c r="S165" t="str">
        <f t="shared" si="2"/>
        <v/>
      </c>
    </row>
    <row r="166" spans="15:19" x14ac:dyDescent="0.45">
      <c r="O166" t="str">
        <f>IF(D166="","",_CALC_MOTEUR!AE166)</f>
        <v/>
      </c>
      <c r="P166" t="str">
        <f>IF(D166="","",_CALC_MOTEUR!AF166)</f>
        <v/>
      </c>
      <c r="Q166" t="str">
        <f>IF(D166="","",_CALC_MOTEUR!AG166)</f>
        <v/>
      </c>
      <c r="R166" t="str">
        <f>IF(D166="","",_CALC_MOTEUR!AH166)</f>
        <v/>
      </c>
      <c r="S166" t="str">
        <f t="shared" si="2"/>
        <v/>
      </c>
    </row>
    <row r="167" spans="15:19" x14ac:dyDescent="0.45">
      <c r="O167" t="str">
        <f>IF(D167="","",_CALC_MOTEUR!AE167)</f>
        <v/>
      </c>
      <c r="P167" t="str">
        <f>IF(D167="","",_CALC_MOTEUR!AF167)</f>
        <v/>
      </c>
      <c r="Q167" t="str">
        <f>IF(D167="","",_CALC_MOTEUR!AG167)</f>
        <v/>
      </c>
      <c r="R167" t="str">
        <f>IF(D167="","",_CALC_MOTEUR!AH167)</f>
        <v/>
      </c>
      <c r="S167" t="str">
        <f t="shared" si="2"/>
        <v/>
      </c>
    </row>
    <row r="168" spans="15:19" x14ac:dyDescent="0.45">
      <c r="O168" t="str">
        <f>IF(D168="","",_CALC_MOTEUR!AE168)</f>
        <v/>
      </c>
      <c r="P168" t="str">
        <f>IF(D168="","",_CALC_MOTEUR!AF168)</f>
        <v/>
      </c>
      <c r="Q168" t="str">
        <f>IF(D168="","",_CALC_MOTEUR!AG168)</f>
        <v/>
      </c>
      <c r="R168" t="str">
        <f>IF(D168="","",_CALC_MOTEUR!AH168)</f>
        <v/>
      </c>
      <c r="S168" t="str">
        <f t="shared" si="2"/>
        <v/>
      </c>
    </row>
    <row r="169" spans="15:19" x14ac:dyDescent="0.45">
      <c r="O169" t="str">
        <f>IF(D169="","",_CALC_MOTEUR!AE169)</f>
        <v/>
      </c>
      <c r="P169" t="str">
        <f>IF(D169="","",_CALC_MOTEUR!AF169)</f>
        <v/>
      </c>
      <c r="Q169" t="str">
        <f>IF(D169="","",_CALC_MOTEUR!AG169)</f>
        <v/>
      </c>
      <c r="R169" t="str">
        <f>IF(D169="","",_CALC_MOTEUR!AH169)</f>
        <v/>
      </c>
      <c r="S169" t="str">
        <f t="shared" si="2"/>
        <v/>
      </c>
    </row>
    <row r="170" spans="15:19" x14ac:dyDescent="0.45">
      <c r="O170" t="str">
        <f>IF(D170="","",_CALC_MOTEUR!AE170)</f>
        <v/>
      </c>
      <c r="P170" t="str">
        <f>IF(D170="","",_CALC_MOTEUR!AF170)</f>
        <v/>
      </c>
      <c r="Q170" t="str">
        <f>IF(D170="","",_CALC_MOTEUR!AG170)</f>
        <v/>
      </c>
      <c r="R170" t="str">
        <f>IF(D170="","",_CALC_MOTEUR!AH170)</f>
        <v/>
      </c>
      <c r="S170" t="str">
        <f t="shared" si="2"/>
        <v/>
      </c>
    </row>
    <row r="171" spans="15:19" x14ac:dyDescent="0.45">
      <c r="O171" t="str">
        <f>IF(D171="","",_CALC_MOTEUR!AE171)</f>
        <v/>
      </c>
      <c r="P171" t="str">
        <f>IF(D171="","",_CALC_MOTEUR!AF171)</f>
        <v/>
      </c>
      <c r="Q171" t="str">
        <f>IF(D171="","",_CALC_MOTEUR!AG171)</f>
        <v/>
      </c>
      <c r="R171" t="str">
        <f>IF(D171="","",_CALC_MOTEUR!AH171)</f>
        <v/>
      </c>
      <c r="S171" t="str">
        <f t="shared" si="2"/>
        <v/>
      </c>
    </row>
    <row r="172" spans="15:19" x14ac:dyDescent="0.45">
      <c r="O172" t="str">
        <f>IF(D172="","",_CALC_MOTEUR!AE172)</f>
        <v/>
      </c>
      <c r="P172" t="str">
        <f>IF(D172="","",_CALC_MOTEUR!AF172)</f>
        <v/>
      </c>
      <c r="Q172" t="str">
        <f>IF(D172="","",_CALC_MOTEUR!AG172)</f>
        <v/>
      </c>
      <c r="R172" t="str">
        <f>IF(D172="","",_CALC_MOTEUR!AH172)</f>
        <v/>
      </c>
      <c r="S172" t="str">
        <f t="shared" si="2"/>
        <v/>
      </c>
    </row>
    <row r="173" spans="15:19" x14ac:dyDescent="0.45">
      <c r="O173" t="str">
        <f>IF(D173="","",_CALC_MOTEUR!AE173)</f>
        <v/>
      </c>
      <c r="P173" t="str">
        <f>IF(D173="","",_CALC_MOTEUR!AF173)</f>
        <v/>
      </c>
      <c r="Q173" t="str">
        <f>IF(D173="","",_CALC_MOTEUR!AG173)</f>
        <v/>
      </c>
      <c r="R173" t="str">
        <f>IF(D173="","",_CALC_MOTEUR!AH173)</f>
        <v/>
      </c>
      <c r="S173" t="str">
        <f t="shared" si="2"/>
        <v/>
      </c>
    </row>
    <row r="174" spans="15:19" x14ac:dyDescent="0.45">
      <c r="O174" t="str">
        <f>IF(D174="","",_CALC_MOTEUR!AE174)</f>
        <v/>
      </c>
      <c r="P174" t="str">
        <f>IF(D174="","",_CALC_MOTEUR!AF174)</f>
        <v/>
      </c>
      <c r="Q174" t="str">
        <f>IF(D174="","",_CALC_MOTEUR!AG174)</f>
        <v/>
      </c>
      <c r="R174" t="str">
        <f>IF(D174="","",_CALC_MOTEUR!AH174)</f>
        <v/>
      </c>
      <c r="S174" t="str">
        <f t="shared" si="2"/>
        <v/>
      </c>
    </row>
    <row r="175" spans="15:19" x14ac:dyDescent="0.45">
      <c r="O175" t="str">
        <f>IF(D175="","",_CALC_MOTEUR!AE175)</f>
        <v/>
      </c>
      <c r="P175" t="str">
        <f>IF(D175="","",_CALC_MOTEUR!AF175)</f>
        <v/>
      </c>
      <c r="Q175" t="str">
        <f>IF(D175="","",_CALC_MOTEUR!AG175)</f>
        <v/>
      </c>
      <c r="R175" t="str">
        <f>IF(D175="","",_CALC_MOTEUR!AH175)</f>
        <v/>
      </c>
      <c r="S175" t="str">
        <f t="shared" si="2"/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2"/>
  <sheetViews>
    <sheetView workbookViewId="0"/>
  </sheetViews>
  <sheetFormatPr baseColWidth="10" defaultRowHeight="14.25" x14ac:dyDescent="0.45"/>
  <sheetData>
    <row r="1" spans="1:6" x14ac:dyDescent="0.45">
      <c r="A1" s="1" t="s">
        <v>60</v>
      </c>
      <c r="B1" s="1" t="s">
        <v>61</v>
      </c>
      <c r="C1" s="1" t="s">
        <v>33</v>
      </c>
      <c r="D1" s="1" t="s">
        <v>62</v>
      </c>
      <c r="E1" s="1" t="s">
        <v>63</v>
      </c>
      <c r="F1" s="1" t="s">
        <v>64</v>
      </c>
    </row>
    <row r="2" spans="1:6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29</v>
      </c>
      <c r="B1" s="1" t="s">
        <v>66</v>
      </c>
      <c r="C1" s="1" t="s">
        <v>33</v>
      </c>
      <c r="D1" s="1" t="s">
        <v>54</v>
      </c>
      <c r="E1" s="1" t="s">
        <v>27</v>
      </c>
      <c r="F1" s="1" t="s">
        <v>67</v>
      </c>
      <c r="G1" s="1" t="s">
        <v>68</v>
      </c>
      <c r="H1" t="s">
        <v>121</v>
      </c>
      <c r="I1" t="s">
        <v>122</v>
      </c>
    </row>
    <row r="2" spans="1: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f>IF(PNL!A2="","",_CALC_PNL!P2)</f>
        <v>1000</v>
      </c>
      <c r="I2" t="str">
        <f>IF(PNL!A2="","",IF(_CALC_PNL!E2=1,H2-G2,""))</f>
        <v/>
      </c>
    </row>
    <row r="3" spans="1:9" x14ac:dyDescent="0.45">
      <c r="H3" t="str">
        <f>IF(PNL!A3="","",_CALC_PNL!P3)</f>
        <v/>
      </c>
      <c r="I3" t="str">
        <f>IF(PNL!A3="","",IF(_CALC_PNL!E3=1,H3-G3,""))</f>
        <v/>
      </c>
    </row>
    <row r="4" spans="1:9" x14ac:dyDescent="0.45">
      <c r="H4" t="str">
        <f>IF(PNL!A4="","",_CALC_PNL!P4)</f>
        <v/>
      </c>
      <c r="I4" t="str">
        <f>IF(PNL!A4="","",IF(_CALC_PNL!E4=1,H4-G4,""))</f>
        <v/>
      </c>
    </row>
    <row r="5" spans="1:9" x14ac:dyDescent="0.45">
      <c r="H5" t="str">
        <f>IF(PNL!A5="","",_CALC_PNL!P5)</f>
        <v/>
      </c>
      <c r="I5" t="str">
        <f>IF(PNL!A5="","",IF(_CALC_PNL!E5=1,H5-G5,""))</f>
        <v/>
      </c>
    </row>
    <row r="6" spans="1:9" x14ac:dyDescent="0.45">
      <c r="H6" t="str">
        <f>IF(PNL!A6="","",_CALC_PNL!P6)</f>
        <v/>
      </c>
      <c r="I6" t="str">
        <f>IF(PNL!A6="","",IF(_CALC_PNL!E6=1,H6-G6,""))</f>
        <v/>
      </c>
    </row>
    <row r="7" spans="1:9" x14ac:dyDescent="0.45">
      <c r="H7" t="str">
        <f>IF(PNL!A7="","",_CALC_PNL!P7)</f>
        <v/>
      </c>
      <c r="I7" t="str">
        <f>IF(PNL!A7="","",IF(_CALC_PNL!E7=1,H7-G7,""))</f>
        <v/>
      </c>
    </row>
    <row r="8" spans="1:9" x14ac:dyDescent="0.45">
      <c r="H8" t="str">
        <f>IF(PNL!A8="","",_CALC_PNL!P8)</f>
        <v/>
      </c>
      <c r="I8" t="str">
        <f>IF(PNL!A8="","",IF(_CALC_PNL!E8=1,H8-G8,""))</f>
        <v/>
      </c>
    </row>
    <row r="9" spans="1:9" x14ac:dyDescent="0.45">
      <c r="H9" t="str">
        <f>IF(PNL!A9="","",_CALC_PNL!P9)</f>
        <v/>
      </c>
      <c r="I9" t="str">
        <f>IF(PNL!A9="","",IF(_CALC_PNL!E9=1,H9-G9,""))</f>
        <v/>
      </c>
    </row>
    <row r="10" spans="1:9" x14ac:dyDescent="0.45">
      <c r="H10" t="str">
        <f>IF(PNL!A10="","",_CALC_PNL!P10)</f>
        <v/>
      </c>
      <c r="I10" t="str">
        <f>IF(PNL!A10="","",IF(_CALC_PNL!E10=1,H10-G10,""))</f>
        <v/>
      </c>
    </row>
    <row r="11" spans="1:9" x14ac:dyDescent="0.45">
      <c r="H11" t="str">
        <f>IF(PNL!A11="","",_CALC_PNL!P11)</f>
        <v/>
      </c>
      <c r="I11" t="str">
        <f>IF(PNL!A11="","",IF(_CALC_PNL!E11=1,H11-G11,""))</f>
        <v/>
      </c>
    </row>
    <row r="12" spans="1:9" x14ac:dyDescent="0.45">
      <c r="H12" t="str">
        <f>IF(PNL!A12="","",_CALC_PNL!P12)</f>
        <v/>
      </c>
      <c r="I12" t="str">
        <f>IF(PNL!A12="","",IF(_CALC_PNL!E12=1,H12-G12,""))</f>
        <v/>
      </c>
    </row>
    <row r="13" spans="1:9" x14ac:dyDescent="0.45">
      <c r="H13" t="str">
        <f>IF(PNL!A13="","",_CALC_PNL!P13)</f>
        <v/>
      </c>
      <c r="I13" t="str">
        <f>IF(PNL!A13="","",IF(_CALC_PNL!E13=1,H13-G13,""))</f>
        <v/>
      </c>
    </row>
    <row r="14" spans="1:9" x14ac:dyDescent="0.45">
      <c r="H14" t="str">
        <f>IF(PNL!A14="","",_CALC_PNL!P14)</f>
        <v/>
      </c>
      <c r="I14" t="str">
        <f>IF(PNL!A14="","",IF(_CALC_PNL!E14=1,H14-G14,""))</f>
        <v/>
      </c>
    </row>
    <row r="15" spans="1:9" x14ac:dyDescent="0.45">
      <c r="H15" t="str">
        <f>IF(PNL!A15="","",_CALC_PNL!P15)</f>
        <v/>
      </c>
      <c r="I15" t="str">
        <f>IF(PNL!A15="","",IF(_CALC_PNL!E15=1,H15-G15,""))</f>
        <v/>
      </c>
    </row>
    <row r="16" spans="1:9" x14ac:dyDescent="0.45">
      <c r="H16" t="str">
        <f>IF(PNL!A16="","",_CALC_PNL!P16)</f>
        <v/>
      </c>
      <c r="I16" t="str">
        <f>IF(PNL!A16="","",IF(_CALC_PNL!E16=1,H16-G16,""))</f>
        <v/>
      </c>
    </row>
    <row r="17" spans="8:9" x14ac:dyDescent="0.45">
      <c r="H17" t="str">
        <f>IF(PNL!A17="","",_CALC_PNL!P17)</f>
        <v/>
      </c>
      <c r="I17" t="str">
        <f>IF(PNL!A17="","",IF(_CALC_PNL!E17=1,H17-G17,""))</f>
        <v/>
      </c>
    </row>
    <row r="18" spans="8:9" x14ac:dyDescent="0.45">
      <c r="H18" t="str">
        <f>IF(PNL!A18="","",_CALC_PNL!P18)</f>
        <v/>
      </c>
      <c r="I18" t="str">
        <f>IF(PNL!A18="","",IF(_CALC_PNL!E18=1,H18-G18,""))</f>
        <v/>
      </c>
    </row>
    <row r="19" spans="8:9" x14ac:dyDescent="0.45">
      <c r="H19" t="str">
        <f>IF(PNL!A19="","",_CALC_PNL!P19)</f>
        <v/>
      </c>
      <c r="I19" t="str">
        <f>IF(PNL!A19="","",IF(_CALC_PNL!E19=1,H19-G19,""))</f>
        <v/>
      </c>
    </row>
    <row r="20" spans="8:9" x14ac:dyDescent="0.45">
      <c r="H20" t="str">
        <f>IF(PNL!A20="","",_CALC_PNL!P20)</f>
        <v/>
      </c>
      <c r="I20" t="str">
        <f>IF(PNL!A20="","",IF(_CALC_PNL!E20=1,H20-G20,""))</f>
        <v/>
      </c>
    </row>
    <row r="21" spans="8:9" x14ac:dyDescent="0.45">
      <c r="H21" t="str">
        <f>IF(PNL!A21="","",_CALC_PNL!P21)</f>
        <v/>
      </c>
      <c r="I21" t="str">
        <f>IF(PNL!A21="","",IF(_CALC_PNL!E21=1,H21-G21,""))</f>
        <v/>
      </c>
    </row>
    <row r="22" spans="8:9" x14ac:dyDescent="0.45">
      <c r="H22" t="str">
        <f>IF(PNL!A22="","",_CALC_PNL!P22)</f>
        <v/>
      </c>
      <c r="I22" t="str">
        <f>IF(PNL!A22="","",IF(_CALC_PNL!E22=1,H22-G22,""))</f>
        <v/>
      </c>
    </row>
    <row r="23" spans="8:9" x14ac:dyDescent="0.45">
      <c r="H23" t="str">
        <f>IF(PNL!A23="","",_CALC_PNL!P23)</f>
        <v/>
      </c>
      <c r="I23" t="str">
        <f>IF(PNL!A23="","",IF(_CALC_PNL!E23=1,H23-G23,""))</f>
        <v/>
      </c>
    </row>
    <row r="24" spans="8:9" x14ac:dyDescent="0.45">
      <c r="H24" t="str">
        <f>IF(PNL!A24="","",_CALC_PNL!P24)</f>
        <v/>
      </c>
      <c r="I24" t="str">
        <f>IF(PNL!A24="","",IF(_CALC_PNL!E24=1,H24-G24,""))</f>
        <v/>
      </c>
    </row>
    <row r="25" spans="8:9" x14ac:dyDescent="0.45">
      <c r="H25" t="str">
        <f>IF(PNL!A25="","",_CALC_PNL!P25)</f>
        <v/>
      </c>
      <c r="I25" t="str">
        <f>IF(PNL!A25="","",IF(_CALC_PNL!E25=1,H25-G25,""))</f>
        <v/>
      </c>
    </row>
    <row r="26" spans="8:9" x14ac:dyDescent="0.45">
      <c r="H26" t="str">
        <f>IF(PNL!A26="","",_CALC_PNL!P26)</f>
        <v/>
      </c>
      <c r="I26" t="str">
        <f>IF(PNL!A26="","",IF(_CALC_PNL!E26=1,H26-G26,""))</f>
        <v/>
      </c>
    </row>
    <row r="27" spans="8:9" x14ac:dyDescent="0.45">
      <c r="H27" t="str">
        <f>IF(PNL!A27="","",_CALC_PNL!P27)</f>
        <v/>
      </c>
      <c r="I27" t="str">
        <f>IF(PNL!A27="","",IF(_CALC_PNL!E27=1,H27-G27,""))</f>
        <v/>
      </c>
    </row>
    <row r="28" spans="8:9" x14ac:dyDescent="0.45">
      <c r="H28" t="str">
        <f>IF(PNL!A28="","",_CALC_PNL!P28)</f>
        <v/>
      </c>
      <c r="I28" t="str">
        <f>IF(PNL!A28="","",IF(_CALC_PNL!E28=1,H28-G28,""))</f>
        <v/>
      </c>
    </row>
    <row r="29" spans="8:9" x14ac:dyDescent="0.45">
      <c r="H29" t="str">
        <f>IF(PNL!A29="","",_CALC_PNL!P29)</f>
        <v/>
      </c>
      <c r="I29" t="str">
        <f>IF(PNL!A29="","",IF(_CALC_PNL!E29=1,H29-G29,""))</f>
        <v/>
      </c>
    </row>
    <row r="30" spans="8:9" x14ac:dyDescent="0.45">
      <c r="H30" t="str">
        <f>IF(PNL!A30="","",_CALC_PNL!P30)</f>
        <v/>
      </c>
      <c r="I30" t="str">
        <f>IF(PNL!A30="","",IF(_CALC_PNL!E30=1,H30-G30,""))</f>
        <v/>
      </c>
    </row>
    <row r="31" spans="8:9" x14ac:dyDescent="0.45">
      <c r="H31" t="str">
        <f>IF(PNL!A31="","",_CALC_PNL!P31)</f>
        <v/>
      </c>
      <c r="I31" t="str">
        <f>IF(PNL!A31="","",IF(_CALC_PNL!E31=1,H31-G31,""))</f>
        <v/>
      </c>
    </row>
    <row r="32" spans="8:9" x14ac:dyDescent="0.45">
      <c r="H32" t="str">
        <f>IF(PNL!A32="","",_CALC_PNL!P32)</f>
        <v/>
      </c>
      <c r="I32" t="str">
        <f>IF(PNL!A32="","",IF(_CALC_PNL!E32=1,H32-G32,""))</f>
        <v/>
      </c>
    </row>
    <row r="33" spans="8:9" x14ac:dyDescent="0.45">
      <c r="H33" t="str">
        <f>IF(PNL!A33="","",_CALC_PNL!P33)</f>
        <v/>
      </c>
      <c r="I33" t="str">
        <f>IF(PNL!A33="","",IF(_CALC_PNL!E33=1,H33-G33,""))</f>
        <v/>
      </c>
    </row>
    <row r="34" spans="8:9" x14ac:dyDescent="0.45">
      <c r="H34" t="str">
        <f>IF(PNL!A34="","",_CALC_PNL!P34)</f>
        <v/>
      </c>
      <c r="I34" t="str">
        <f>IF(PNL!A34="","",IF(_CALC_PNL!E34=1,H34-G34,""))</f>
        <v/>
      </c>
    </row>
    <row r="35" spans="8:9" x14ac:dyDescent="0.45">
      <c r="H35" t="str">
        <f>IF(PNL!A35="","",_CALC_PNL!P35)</f>
        <v/>
      </c>
      <c r="I35" t="str">
        <f>IF(PNL!A35="","",IF(_CALC_PNL!E35=1,H35-G35,""))</f>
        <v/>
      </c>
    </row>
    <row r="36" spans="8:9" x14ac:dyDescent="0.45">
      <c r="H36" t="str">
        <f>IF(PNL!A36="","",_CALC_PNL!P36)</f>
        <v/>
      </c>
      <c r="I36" t="str">
        <f>IF(PNL!A36="","",IF(_CALC_PNL!E36=1,H36-G36,""))</f>
        <v/>
      </c>
    </row>
    <row r="37" spans="8:9" x14ac:dyDescent="0.45">
      <c r="H37" t="str">
        <f>IF(PNL!A37="","",_CALC_PNL!P37)</f>
        <v/>
      </c>
      <c r="I37" t="str">
        <f>IF(PNL!A37="","",IF(_CALC_PNL!E37=1,H37-G37,""))</f>
        <v/>
      </c>
    </row>
    <row r="38" spans="8:9" x14ac:dyDescent="0.45">
      <c r="H38" t="str">
        <f>IF(PNL!A38="","",_CALC_PNL!P38)</f>
        <v/>
      </c>
      <c r="I38" t="str">
        <f>IF(PNL!A38="","",IF(_CALC_PNL!E38=1,H38-G38,""))</f>
        <v/>
      </c>
    </row>
    <row r="39" spans="8:9" x14ac:dyDescent="0.45">
      <c r="H39" t="str">
        <f>IF(PNL!A39="","",_CALC_PNL!P39)</f>
        <v/>
      </c>
      <c r="I39" t="str">
        <f>IF(PNL!A39="","",IF(_CALC_PNL!E39=1,H39-G39,""))</f>
        <v/>
      </c>
    </row>
    <row r="40" spans="8:9" x14ac:dyDescent="0.45">
      <c r="H40" t="str">
        <f>IF(PNL!A40="","",_CALC_PNL!P40)</f>
        <v/>
      </c>
      <c r="I40" t="str">
        <f>IF(PNL!A40="","",IF(_CALC_PNL!E40=1,H40-G40,""))</f>
        <v/>
      </c>
    </row>
    <row r="41" spans="8:9" x14ac:dyDescent="0.45">
      <c r="H41" t="str">
        <f>IF(PNL!A41="","",_CALC_PNL!P41)</f>
        <v/>
      </c>
      <c r="I41" t="str">
        <f>IF(PNL!A41="","",IF(_CALC_PNL!E41=1,H41-G41,""))</f>
        <v/>
      </c>
    </row>
    <row r="42" spans="8:9" x14ac:dyDescent="0.45">
      <c r="H42" t="str">
        <f>IF(PNL!A42="","",_CALC_PNL!P42)</f>
        <v/>
      </c>
      <c r="I42" t="str">
        <f>IF(PNL!A42="","",IF(_CALC_PNL!E42=1,H42-G42,""))</f>
        <v/>
      </c>
    </row>
    <row r="43" spans="8:9" x14ac:dyDescent="0.45">
      <c r="H43" t="str">
        <f>IF(PNL!A43="","",_CALC_PNL!P43)</f>
        <v/>
      </c>
      <c r="I43" t="str">
        <f>IF(PNL!A43="","",IF(_CALC_PNL!E43=1,H43-G43,""))</f>
        <v/>
      </c>
    </row>
    <row r="44" spans="8:9" x14ac:dyDescent="0.45">
      <c r="H44" t="str">
        <f>IF(PNL!A44="","",_CALC_PNL!P44)</f>
        <v/>
      </c>
      <c r="I44" t="str">
        <f>IF(PNL!A44="","",IF(_CALC_PNL!E44=1,H44-G44,""))</f>
        <v/>
      </c>
    </row>
    <row r="45" spans="8:9" x14ac:dyDescent="0.45">
      <c r="H45" t="str">
        <f>IF(PNL!A45="","",_CALC_PNL!P45)</f>
        <v/>
      </c>
      <c r="I45" t="str">
        <f>IF(PNL!A45="","",IF(_CALC_PNL!E45=1,H45-G45,""))</f>
        <v/>
      </c>
    </row>
    <row r="46" spans="8:9" x14ac:dyDescent="0.45">
      <c r="H46" t="str">
        <f>IF(PNL!A46="","",_CALC_PNL!P46)</f>
        <v/>
      </c>
      <c r="I46" t="str">
        <f>IF(PNL!A46="","",IF(_CALC_PNL!E46=1,H46-G46,""))</f>
        <v/>
      </c>
    </row>
    <row r="47" spans="8:9" x14ac:dyDescent="0.45">
      <c r="H47" t="str">
        <f>IF(PNL!A47="","",_CALC_PNL!P47)</f>
        <v/>
      </c>
      <c r="I47" t="str">
        <f>IF(PNL!A47="","",IF(_CALC_PNL!E47=1,H47-G47,""))</f>
        <v/>
      </c>
    </row>
    <row r="48" spans="8:9" x14ac:dyDescent="0.45">
      <c r="H48" t="str">
        <f>IF(PNL!A48="","",_CALC_PNL!P48)</f>
        <v/>
      </c>
      <c r="I48" t="str">
        <f>IF(PNL!A48="","",IF(_CALC_PNL!E48=1,H48-G48,""))</f>
        <v/>
      </c>
    </row>
    <row r="49" spans="8:9" x14ac:dyDescent="0.45">
      <c r="H49" t="str">
        <f>IF(PNL!A49="","",_CALC_PNL!P49)</f>
        <v/>
      </c>
      <c r="I49" t="str">
        <f>IF(PNL!A49="","",IF(_CALC_PNL!E49=1,H49-G49,""))</f>
        <v/>
      </c>
    </row>
    <row r="50" spans="8:9" x14ac:dyDescent="0.45">
      <c r="H50" t="str">
        <f>IF(PNL!A50="","",_CALC_PNL!P50)</f>
        <v/>
      </c>
      <c r="I50" t="str">
        <f>IF(PNL!A50="","",IF(_CALC_PNL!E50=1,H50-G50,""))</f>
        <v/>
      </c>
    </row>
    <row r="51" spans="8:9" x14ac:dyDescent="0.45">
      <c r="H51" t="str">
        <f>IF(PNL!A51="","",_CALC_PNL!P51)</f>
        <v/>
      </c>
      <c r="I51" t="str">
        <f>IF(PNL!A51="","",IF(_CALC_PNL!E51=1,H51-G51,""))</f>
        <v/>
      </c>
    </row>
    <row r="52" spans="8:9" x14ac:dyDescent="0.45">
      <c r="H52" t="str">
        <f>IF(PNL!A52="","",_CALC_PNL!P52)</f>
        <v/>
      </c>
      <c r="I52" t="str">
        <f>IF(PNL!A52="","",IF(_CALC_PNL!E52=1,H52-G52,""))</f>
        <v/>
      </c>
    </row>
    <row r="53" spans="8:9" x14ac:dyDescent="0.45">
      <c r="H53" t="str">
        <f>IF(PNL!A53="","",_CALC_PNL!P53)</f>
        <v/>
      </c>
      <c r="I53" t="str">
        <f>IF(PNL!A53="","",IF(_CALC_PNL!E53=1,H53-G53,""))</f>
        <v/>
      </c>
    </row>
    <row r="54" spans="8:9" x14ac:dyDescent="0.45">
      <c r="H54" t="str">
        <f>IF(PNL!A54="","",_CALC_PNL!P54)</f>
        <v/>
      </c>
      <c r="I54" t="str">
        <f>IF(PNL!A54="","",IF(_CALC_PNL!E54=1,H54-G54,""))</f>
        <v/>
      </c>
    </row>
    <row r="55" spans="8:9" x14ac:dyDescent="0.45">
      <c r="H55" t="str">
        <f>IF(PNL!A55="","",_CALC_PNL!P55)</f>
        <v/>
      </c>
      <c r="I55" t="str">
        <f>IF(PNL!A55="","",IF(_CALC_PNL!E55=1,H55-G55,""))</f>
        <v/>
      </c>
    </row>
    <row r="56" spans="8:9" x14ac:dyDescent="0.45">
      <c r="H56" t="str">
        <f>IF(PNL!A56="","",_CALC_PNL!P56)</f>
        <v/>
      </c>
      <c r="I56" t="str">
        <f>IF(PNL!A56="","",IF(_CALC_PNL!E56=1,H56-G56,""))</f>
        <v/>
      </c>
    </row>
    <row r="57" spans="8:9" x14ac:dyDescent="0.45">
      <c r="H57" t="str">
        <f>IF(PNL!A57="","",_CALC_PNL!P57)</f>
        <v/>
      </c>
      <c r="I57" t="str">
        <f>IF(PNL!A57="","",IF(_CALC_PNL!E57=1,H57-G57,""))</f>
        <v/>
      </c>
    </row>
    <row r="58" spans="8:9" x14ac:dyDescent="0.45">
      <c r="H58" t="str">
        <f>IF(PNL!A58="","",_CALC_PNL!P58)</f>
        <v/>
      </c>
      <c r="I58" t="str">
        <f>IF(PNL!A58="","",IF(_CALC_PNL!E58=1,H58-G58,""))</f>
        <v/>
      </c>
    </row>
    <row r="59" spans="8:9" x14ac:dyDescent="0.45">
      <c r="H59" t="str">
        <f>IF(PNL!A59="","",_CALC_PNL!P59)</f>
        <v/>
      </c>
      <c r="I59" t="str">
        <f>IF(PNL!A59="","",IF(_CALC_PNL!E59=1,H59-G59,""))</f>
        <v/>
      </c>
    </row>
    <row r="60" spans="8:9" x14ac:dyDescent="0.45">
      <c r="H60" t="str">
        <f>IF(PNL!A60="","",_CALC_PNL!P60)</f>
        <v/>
      </c>
      <c r="I60" t="str">
        <f>IF(PNL!A60="","",IF(_CALC_PNL!E60=1,H60-G60,""))</f>
        <v/>
      </c>
    </row>
    <row r="61" spans="8:9" x14ac:dyDescent="0.45">
      <c r="H61" t="str">
        <f>IF(PNL!A61="","",_CALC_PNL!P61)</f>
        <v/>
      </c>
      <c r="I61" t="str">
        <f>IF(PNL!A61="","",IF(_CALC_PNL!E61=1,H61-G61,""))</f>
        <v/>
      </c>
    </row>
    <row r="62" spans="8:9" x14ac:dyDescent="0.45">
      <c r="H62" t="str">
        <f>IF(PNL!A62="","",_CALC_PNL!P62)</f>
        <v/>
      </c>
      <c r="I62" t="str">
        <f>IF(PNL!A62="","",IF(_CALC_PNL!E62=1,H62-G62,""))</f>
        <v/>
      </c>
    </row>
    <row r="63" spans="8:9" x14ac:dyDescent="0.45">
      <c r="H63" t="str">
        <f>IF(PNL!A63="","",_CALC_PNL!P63)</f>
        <v/>
      </c>
      <c r="I63" t="str">
        <f>IF(PNL!A63="","",IF(_CALC_PNL!E63=1,H63-G63,""))</f>
        <v/>
      </c>
    </row>
    <row r="64" spans="8:9" x14ac:dyDescent="0.45">
      <c r="H64" t="str">
        <f>IF(PNL!A64="","",_CALC_PNL!P64)</f>
        <v/>
      </c>
      <c r="I64" t="str">
        <f>IF(PNL!A64="","",IF(_CALC_PNL!E64=1,H64-G64,""))</f>
        <v/>
      </c>
    </row>
    <row r="65" spans="8:9" x14ac:dyDescent="0.45">
      <c r="H65" t="str">
        <f>IF(PNL!A65="","",_CALC_PNL!P65)</f>
        <v/>
      </c>
      <c r="I65" t="str">
        <f>IF(PNL!A65="","",IF(_CALC_PNL!E65=1,H65-G65,""))</f>
        <v/>
      </c>
    </row>
    <row r="66" spans="8:9" x14ac:dyDescent="0.45">
      <c r="H66" t="str">
        <f>IF(PNL!A66="","",_CALC_PNL!P66)</f>
        <v/>
      </c>
      <c r="I66" t="str">
        <f>IF(PNL!A66="","",IF(_CALC_PNL!E66=1,H66-G66,""))</f>
        <v/>
      </c>
    </row>
    <row r="67" spans="8:9" x14ac:dyDescent="0.45">
      <c r="H67" t="str">
        <f>IF(PNL!A67="","",_CALC_PNL!P67)</f>
        <v/>
      </c>
      <c r="I67" t="str">
        <f>IF(PNL!A67="","",IF(_CALC_PNL!E67=1,H67-G67,""))</f>
        <v/>
      </c>
    </row>
    <row r="68" spans="8:9" x14ac:dyDescent="0.45">
      <c r="H68" t="str">
        <f>IF(PNL!A68="","",_CALC_PNL!P68)</f>
        <v/>
      </c>
      <c r="I68" t="str">
        <f>IF(PNL!A68="","",IF(_CALC_PNL!E68=1,H68-G68,""))</f>
        <v/>
      </c>
    </row>
    <row r="69" spans="8:9" x14ac:dyDescent="0.45">
      <c r="H69" t="str">
        <f>IF(PNL!A69="","",_CALC_PNL!P69)</f>
        <v/>
      </c>
      <c r="I69" t="str">
        <f>IF(PNL!A69="","",IF(_CALC_PNL!E69=1,H69-G69,""))</f>
        <v/>
      </c>
    </row>
    <row r="70" spans="8:9" x14ac:dyDescent="0.45">
      <c r="H70" t="str">
        <f>IF(PNL!A70="","",_CALC_PNL!P70)</f>
        <v/>
      </c>
      <c r="I70" t="str">
        <f>IF(PNL!A70="","",IF(_CALC_PNL!E70=1,H70-G70,""))</f>
        <v/>
      </c>
    </row>
    <row r="71" spans="8:9" x14ac:dyDescent="0.45">
      <c r="H71" t="str">
        <f>IF(PNL!A71="","",_CALC_PNL!P71)</f>
        <v/>
      </c>
      <c r="I71" t="str">
        <f>IF(PNL!A71="","",IF(_CALC_PNL!E71=1,H71-G71,""))</f>
        <v/>
      </c>
    </row>
    <row r="72" spans="8:9" x14ac:dyDescent="0.45">
      <c r="H72" t="str">
        <f>IF(PNL!A72="","",_CALC_PNL!P72)</f>
        <v/>
      </c>
      <c r="I72" t="str">
        <f>IF(PNL!A72="","",IF(_CALC_PNL!E72=1,H72-G72,""))</f>
        <v/>
      </c>
    </row>
    <row r="73" spans="8:9" x14ac:dyDescent="0.45">
      <c r="H73" t="str">
        <f>IF(PNL!A73="","",_CALC_PNL!P73)</f>
        <v/>
      </c>
      <c r="I73" t="str">
        <f>IF(PNL!A73="","",IF(_CALC_PNL!E73=1,H73-G73,""))</f>
        <v/>
      </c>
    </row>
    <row r="74" spans="8:9" x14ac:dyDescent="0.45">
      <c r="H74" t="str">
        <f>IF(PNL!A74="","",_CALC_PNL!P74)</f>
        <v/>
      </c>
      <c r="I74" t="str">
        <f>IF(PNL!A74="","",IF(_CALC_PNL!E74=1,H74-G74,""))</f>
        <v/>
      </c>
    </row>
    <row r="75" spans="8:9" x14ac:dyDescent="0.45">
      <c r="H75" t="str">
        <f>IF(PNL!A75="","",_CALC_PNL!P75)</f>
        <v/>
      </c>
      <c r="I75" t="str">
        <f>IF(PNL!A75="","",IF(_CALC_PNL!E75=1,H75-G75,""))</f>
        <v/>
      </c>
    </row>
    <row r="76" spans="8:9" x14ac:dyDescent="0.45">
      <c r="H76" t="str">
        <f>IF(PNL!A76="","",_CALC_PNL!P76)</f>
        <v/>
      </c>
      <c r="I76" t="str">
        <f>IF(PNL!A76="","",IF(_CALC_PNL!E76=1,H76-G76,""))</f>
        <v/>
      </c>
    </row>
    <row r="77" spans="8:9" x14ac:dyDescent="0.45">
      <c r="H77" t="str">
        <f>IF(PNL!A77="","",_CALC_PNL!P77)</f>
        <v/>
      </c>
      <c r="I77" t="str">
        <f>IF(PNL!A77="","",IF(_CALC_PNL!E77=1,H77-G77,""))</f>
        <v/>
      </c>
    </row>
    <row r="78" spans="8:9" x14ac:dyDescent="0.45">
      <c r="H78" t="str">
        <f>IF(PNL!A78="","",_CALC_PNL!P78)</f>
        <v/>
      </c>
      <c r="I78" t="str">
        <f>IF(PNL!A78="","",IF(_CALC_PNL!E78=1,H78-G78,""))</f>
        <v/>
      </c>
    </row>
    <row r="79" spans="8:9" x14ac:dyDescent="0.45">
      <c r="H79" t="str">
        <f>IF(PNL!A79="","",_CALC_PNL!P79)</f>
        <v/>
      </c>
      <c r="I79" t="str">
        <f>IF(PNL!A79="","",IF(_CALC_PNL!E79=1,H79-G79,""))</f>
        <v/>
      </c>
    </row>
    <row r="80" spans="8:9" x14ac:dyDescent="0.45">
      <c r="H80" t="str">
        <f>IF(PNL!A80="","",_CALC_PNL!P80)</f>
        <v/>
      </c>
      <c r="I80" t="str">
        <f>IF(PNL!A80="","",IF(_CALC_PNL!E80=1,H80-G80,""))</f>
        <v/>
      </c>
    </row>
    <row r="81" spans="8:9" x14ac:dyDescent="0.45">
      <c r="H81" t="str">
        <f>IF(PNL!A81="","",_CALC_PNL!P81)</f>
        <v/>
      </c>
      <c r="I81" t="str">
        <f>IF(PNL!A81="","",IF(_CALC_PNL!E81=1,H81-G81,""))</f>
        <v/>
      </c>
    </row>
    <row r="82" spans="8:9" x14ac:dyDescent="0.45">
      <c r="H82" t="str">
        <f>IF(PNL!A82="","",_CALC_PNL!P82)</f>
        <v/>
      </c>
      <c r="I82" t="str">
        <f>IF(PNL!A82="","",IF(_CALC_PNL!E82=1,H82-G82,""))</f>
        <v/>
      </c>
    </row>
    <row r="83" spans="8:9" x14ac:dyDescent="0.45">
      <c r="H83" t="str">
        <f>IF(PNL!A83="","",_CALC_PNL!P83)</f>
        <v/>
      </c>
      <c r="I83" t="str">
        <f>IF(PNL!A83="","",IF(_CALC_PNL!E83=1,H83-G83,""))</f>
        <v/>
      </c>
    </row>
    <row r="84" spans="8:9" x14ac:dyDescent="0.45">
      <c r="H84" t="str">
        <f>IF(PNL!A84="","",_CALC_PNL!P84)</f>
        <v/>
      </c>
      <c r="I84" t="str">
        <f>IF(PNL!A84="","",IF(_CALC_PNL!E84=1,H84-G84,""))</f>
        <v/>
      </c>
    </row>
    <row r="85" spans="8:9" x14ac:dyDescent="0.45">
      <c r="H85" t="str">
        <f>IF(PNL!A85="","",_CALC_PNL!P85)</f>
        <v/>
      </c>
      <c r="I85" t="str">
        <f>IF(PNL!A85="","",IF(_CALC_PNL!E85=1,H85-G85,""))</f>
        <v/>
      </c>
    </row>
    <row r="86" spans="8:9" x14ac:dyDescent="0.45">
      <c r="H86" t="str">
        <f>IF(PNL!A86="","",_CALC_PNL!P86)</f>
        <v/>
      </c>
      <c r="I86" t="str">
        <f>IF(PNL!A86="","",IF(_CALC_PNL!E86=1,H86-G86,""))</f>
        <v/>
      </c>
    </row>
    <row r="87" spans="8:9" x14ac:dyDescent="0.45">
      <c r="H87" t="str">
        <f>IF(PNL!A87="","",_CALC_PNL!P87)</f>
        <v/>
      </c>
      <c r="I87" t="str">
        <f>IF(PNL!A87="","",IF(_CALC_PNL!E87=1,H87-G87,""))</f>
        <v/>
      </c>
    </row>
    <row r="88" spans="8:9" x14ac:dyDescent="0.45">
      <c r="H88" t="str">
        <f>IF(PNL!A88="","",_CALC_PNL!P88)</f>
        <v/>
      </c>
      <c r="I88" t="str">
        <f>IF(PNL!A88="","",IF(_CALC_PNL!E88=1,H88-G88,""))</f>
        <v/>
      </c>
    </row>
    <row r="89" spans="8:9" x14ac:dyDescent="0.45">
      <c r="H89" t="str">
        <f>IF(PNL!A89="","",_CALC_PNL!P89)</f>
        <v/>
      </c>
      <c r="I89" t="str">
        <f>IF(PNL!A89="","",IF(_CALC_PNL!E89=1,H89-G89,""))</f>
        <v/>
      </c>
    </row>
    <row r="90" spans="8:9" x14ac:dyDescent="0.45">
      <c r="H90" t="str">
        <f>IF(PNL!A90="","",_CALC_PNL!P90)</f>
        <v/>
      </c>
      <c r="I90" t="str">
        <f>IF(PNL!A90="","",IF(_CALC_PNL!E90=1,H90-G90,""))</f>
        <v/>
      </c>
    </row>
    <row r="91" spans="8:9" x14ac:dyDescent="0.45">
      <c r="H91" t="str">
        <f>IF(PNL!A91="","",_CALC_PNL!P91)</f>
        <v/>
      </c>
      <c r="I91" t="str">
        <f>IF(PNL!A91="","",IF(_CALC_PNL!E91=1,H91-G91,""))</f>
        <v/>
      </c>
    </row>
    <row r="92" spans="8:9" x14ac:dyDescent="0.45">
      <c r="H92" t="str">
        <f>IF(PNL!A92="","",_CALC_PNL!P92)</f>
        <v/>
      </c>
      <c r="I92" t="str">
        <f>IF(PNL!A92="","",IF(_CALC_PNL!E92=1,H92-G92,""))</f>
        <v/>
      </c>
    </row>
    <row r="93" spans="8:9" x14ac:dyDescent="0.45">
      <c r="H93" t="str">
        <f>IF(PNL!A93="","",_CALC_PNL!P93)</f>
        <v/>
      </c>
      <c r="I93" t="str">
        <f>IF(PNL!A93="","",IF(_CALC_PNL!E93=1,H93-G93,""))</f>
        <v/>
      </c>
    </row>
    <row r="94" spans="8:9" x14ac:dyDescent="0.45">
      <c r="H94" t="str">
        <f>IF(PNL!A94="","",_CALC_PNL!P94)</f>
        <v/>
      </c>
      <c r="I94" t="str">
        <f>IF(PNL!A94="","",IF(_CALC_PNL!E94=1,H94-G94,""))</f>
        <v/>
      </c>
    </row>
    <row r="95" spans="8:9" x14ac:dyDescent="0.45">
      <c r="H95" t="str">
        <f>IF(PNL!A95="","",_CALC_PNL!P95)</f>
        <v/>
      </c>
      <c r="I95" t="str">
        <f>IF(PNL!A95="","",IF(_CALC_PNL!E95=1,H95-G95,""))</f>
        <v/>
      </c>
    </row>
    <row r="96" spans="8:9" x14ac:dyDescent="0.45">
      <c r="H96" t="str">
        <f>IF(PNL!A96="","",_CALC_PNL!P96)</f>
        <v/>
      </c>
      <c r="I96" t="str">
        <f>IF(PNL!A96="","",IF(_CALC_PNL!E96=1,H96-G96,""))</f>
        <v/>
      </c>
    </row>
    <row r="97" spans="8:9" x14ac:dyDescent="0.45">
      <c r="H97" t="str">
        <f>IF(PNL!A97="","",_CALC_PNL!P97)</f>
        <v/>
      </c>
      <c r="I97" t="str">
        <f>IF(PNL!A97="","",IF(_CALC_PNL!E97=1,H97-G97,""))</f>
        <v/>
      </c>
    </row>
    <row r="98" spans="8:9" x14ac:dyDescent="0.45">
      <c r="H98" t="str">
        <f>IF(PNL!A98="","",_CALC_PNL!P98)</f>
        <v/>
      </c>
      <c r="I98" t="str">
        <f>IF(PNL!A98="","",IF(_CALC_PNL!E98=1,H98-G98,""))</f>
        <v/>
      </c>
    </row>
    <row r="99" spans="8:9" x14ac:dyDescent="0.45">
      <c r="H99" t="str">
        <f>IF(PNL!A99="","",_CALC_PNL!P99)</f>
        <v/>
      </c>
      <c r="I99" t="str">
        <f>IF(PNL!A99="","",IF(_CALC_PNL!E99=1,H99-G99,""))</f>
        <v/>
      </c>
    </row>
    <row r="100" spans="8:9" x14ac:dyDescent="0.45">
      <c r="H100" t="str">
        <f>IF(PNL!A100="","",_CALC_PNL!P100)</f>
        <v/>
      </c>
      <c r="I100" t="str">
        <f>IF(PNL!A100="","",IF(_CALC_PNL!E100=1,H100-G100,""))</f>
        <v/>
      </c>
    </row>
    <row r="101" spans="8:9" x14ac:dyDescent="0.45">
      <c r="H101" t="str">
        <f>IF(PNL!A101="","",_CALC_PNL!P101)</f>
        <v/>
      </c>
      <c r="I101" t="str">
        <f>IF(PNL!A101="","",IF(_CALC_PNL!E101=1,H101-G101,""))</f>
        <v/>
      </c>
    </row>
    <row r="102" spans="8:9" x14ac:dyDescent="0.45">
      <c r="H102" t="str">
        <f>IF(PNL!A102="","",_CALC_PNL!P102)</f>
        <v/>
      </c>
      <c r="I102" t="str">
        <f>IF(PNL!A102="","",IF(_CALC_PNL!E102=1,H102-G102,""))</f>
        <v/>
      </c>
    </row>
    <row r="103" spans="8:9" x14ac:dyDescent="0.45">
      <c r="H103" t="str">
        <f>IF(PNL!A103="","",_CALC_PNL!P103)</f>
        <v/>
      </c>
      <c r="I103" t="str">
        <f>IF(PNL!A103="","",IF(_CALC_PNL!E103=1,H103-G103,""))</f>
        <v/>
      </c>
    </row>
    <row r="104" spans="8:9" x14ac:dyDescent="0.45">
      <c r="H104" t="str">
        <f>IF(PNL!A104="","",_CALC_PNL!P104)</f>
        <v/>
      </c>
      <c r="I104" t="str">
        <f>IF(PNL!A104="","",IF(_CALC_PNL!E104=1,H104-G104,""))</f>
        <v/>
      </c>
    </row>
    <row r="105" spans="8:9" x14ac:dyDescent="0.45">
      <c r="H105" t="str">
        <f>IF(PNL!A105="","",_CALC_PNL!P105)</f>
        <v/>
      </c>
      <c r="I105" t="str">
        <f>IF(PNL!A105="","",IF(_CALC_PNL!E105=1,H105-G105,""))</f>
        <v/>
      </c>
    </row>
    <row r="106" spans="8:9" x14ac:dyDescent="0.45">
      <c r="H106" t="str">
        <f>IF(PNL!A106="","",_CALC_PNL!P106)</f>
        <v/>
      </c>
      <c r="I106" t="str">
        <f>IF(PNL!A106="","",IF(_CALC_PNL!E106=1,H106-G106,""))</f>
        <v/>
      </c>
    </row>
    <row r="107" spans="8:9" x14ac:dyDescent="0.45">
      <c r="H107" t="str">
        <f>IF(PNL!A107="","",_CALC_PNL!P107)</f>
        <v/>
      </c>
      <c r="I107" t="str">
        <f>IF(PNL!A107="","",IF(_CALC_PNL!E107=1,H107-G107,""))</f>
        <v/>
      </c>
    </row>
    <row r="108" spans="8:9" x14ac:dyDescent="0.45">
      <c r="H108" t="str">
        <f>IF(PNL!A108="","",_CALC_PNL!P108)</f>
        <v/>
      </c>
      <c r="I108" t="str">
        <f>IF(PNL!A108="","",IF(_CALC_PNL!E108=1,H108-G108,""))</f>
        <v/>
      </c>
    </row>
    <row r="109" spans="8:9" x14ac:dyDescent="0.45">
      <c r="H109" t="str">
        <f>IF(PNL!A109="","",_CALC_PNL!P109)</f>
        <v/>
      </c>
      <c r="I109" t="str">
        <f>IF(PNL!A109="","",IF(_CALC_PNL!E109=1,H109-G109,""))</f>
        <v/>
      </c>
    </row>
    <row r="110" spans="8:9" x14ac:dyDescent="0.45">
      <c r="H110" t="str">
        <f>IF(PNL!A110="","",_CALC_PNL!P110)</f>
        <v/>
      </c>
      <c r="I110" t="str">
        <f>IF(PNL!A110="","",IF(_CALC_PNL!E110=1,H110-G110,""))</f>
        <v/>
      </c>
    </row>
    <row r="111" spans="8:9" x14ac:dyDescent="0.45">
      <c r="H111" t="str">
        <f>IF(PNL!A111="","",_CALC_PNL!P111)</f>
        <v/>
      </c>
      <c r="I111" t="str">
        <f>IF(PNL!A111="","",IF(_CALC_PNL!E111=1,H111-G111,""))</f>
        <v/>
      </c>
    </row>
    <row r="112" spans="8:9" x14ac:dyDescent="0.45">
      <c r="H112" t="str">
        <f>IF(PNL!A112="","",_CALC_PNL!P112)</f>
        <v/>
      </c>
      <c r="I112" t="str">
        <f>IF(PNL!A112="","",IF(_CALC_PNL!E112=1,H112-G112,""))</f>
        <v/>
      </c>
    </row>
    <row r="113" spans="8:9" x14ac:dyDescent="0.45">
      <c r="H113" t="str">
        <f>IF(PNL!A113="","",_CALC_PNL!P113)</f>
        <v/>
      </c>
      <c r="I113" t="str">
        <f>IF(PNL!A113="","",IF(_CALC_PNL!E113=1,H113-G113,""))</f>
        <v/>
      </c>
    </row>
    <row r="114" spans="8:9" x14ac:dyDescent="0.45">
      <c r="H114" t="str">
        <f>IF(PNL!A114="","",_CALC_PNL!P114)</f>
        <v/>
      </c>
      <c r="I114" t="str">
        <f>IF(PNL!A114="","",IF(_CALC_PNL!E114=1,H114-G114,""))</f>
        <v/>
      </c>
    </row>
    <row r="115" spans="8:9" x14ac:dyDescent="0.45">
      <c r="H115" t="str">
        <f>IF(PNL!A115="","",_CALC_PNL!P115)</f>
        <v/>
      </c>
      <c r="I115" t="str">
        <f>IF(PNL!A115="","",IF(_CALC_PNL!E115=1,H115-G115,""))</f>
        <v/>
      </c>
    </row>
    <row r="116" spans="8:9" x14ac:dyDescent="0.45">
      <c r="H116" t="str">
        <f>IF(PNL!A116="","",_CALC_PNL!P116)</f>
        <v/>
      </c>
      <c r="I116" t="str">
        <f>IF(PNL!A116="","",IF(_CALC_PNL!E116=1,H116-G116,""))</f>
        <v/>
      </c>
    </row>
    <row r="117" spans="8:9" x14ac:dyDescent="0.45">
      <c r="H117" t="str">
        <f>IF(PNL!A117="","",_CALC_PNL!P117)</f>
        <v/>
      </c>
      <c r="I117" t="str">
        <f>IF(PNL!A117="","",IF(_CALC_PNL!E117=1,H117-G117,""))</f>
        <v/>
      </c>
    </row>
    <row r="118" spans="8:9" x14ac:dyDescent="0.45">
      <c r="H118" t="str">
        <f>IF(PNL!A118="","",_CALC_PNL!P118)</f>
        <v/>
      </c>
      <c r="I118" t="str">
        <f>IF(PNL!A118="","",IF(_CALC_PNL!E118=1,H118-G118,""))</f>
        <v/>
      </c>
    </row>
    <row r="119" spans="8:9" x14ac:dyDescent="0.45">
      <c r="H119" t="str">
        <f>IF(PNL!A119="","",_CALC_PNL!P119)</f>
        <v/>
      </c>
      <c r="I119" t="str">
        <f>IF(PNL!A119="","",IF(_CALC_PNL!E119=1,H119-G119,""))</f>
        <v/>
      </c>
    </row>
    <row r="120" spans="8:9" x14ac:dyDescent="0.45">
      <c r="H120" t="str">
        <f>IF(PNL!A120="","",_CALC_PNL!P120)</f>
        <v/>
      </c>
      <c r="I120" t="str">
        <f>IF(PNL!A120="","",IF(_CALC_PNL!E120=1,H120-G120,""))</f>
        <v/>
      </c>
    </row>
    <row r="121" spans="8:9" x14ac:dyDescent="0.45">
      <c r="H121" t="str">
        <f>IF(PNL!A121="","",_CALC_PNL!P121)</f>
        <v/>
      </c>
      <c r="I121" t="str">
        <f>IF(PNL!A121="","",IF(_CALC_PNL!E121=1,H121-G121,""))</f>
        <v/>
      </c>
    </row>
    <row r="122" spans="8:9" x14ac:dyDescent="0.45">
      <c r="H122" t="str">
        <f>IF(PNL!A122="","",_CALC_PNL!P122)</f>
        <v/>
      </c>
      <c r="I122" t="str">
        <f>IF(PNL!A122="","",IF(_CALC_PNL!E122=1,H122-G122,""))</f>
        <v/>
      </c>
    </row>
    <row r="123" spans="8:9" x14ac:dyDescent="0.45">
      <c r="H123" t="str">
        <f>IF(PNL!A123="","",_CALC_PNL!P123)</f>
        <v/>
      </c>
      <c r="I123" t="str">
        <f>IF(PNL!A123="","",IF(_CALC_PNL!E123=1,H123-G123,""))</f>
        <v/>
      </c>
    </row>
    <row r="124" spans="8:9" x14ac:dyDescent="0.45">
      <c r="H124" t="str">
        <f>IF(PNL!A124="","",_CALC_PNL!P124)</f>
        <v/>
      </c>
      <c r="I124" t="str">
        <f>IF(PNL!A124="","",IF(_CALC_PNL!E124=1,H124-G124,""))</f>
        <v/>
      </c>
    </row>
    <row r="125" spans="8:9" x14ac:dyDescent="0.45">
      <c r="H125" t="str">
        <f>IF(PNL!A125="","",_CALC_PNL!P125)</f>
        <v/>
      </c>
      <c r="I125" t="str">
        <f>IF(PNL!A125="","",IF(_CALC_PNL!E125=1,H125-G125,""))</f>
        <v/>
      </c>
    </row>
    <row r="126" spans="8:9" x14ac:dyDescent="0.45">
      <c r="H126" t="str">
        <f>IF(PNL!A126="","",_CALC_PNL!P126)</f>
        <v/>
      </c>
      <c r="I126" t="str">
        <f>IF(PNL!A126="","",IF(_CALC_PNL!E126=1,H126-G126,""))</f>
        <v/>
      </c>
    </row>
    <row r="127" spans="8:9" x14ac:dyDescent="0.45">
      <c r="H127" t="str">
        <f>IF(PNL!A127="","",_CALC_PNL!P127)</f>
        <v/>
      </c>
      <c r="I127" t="str">
        <f>IF(PNL!A127="","",IF(_CALC_PNL!E127=1,H127-G127,""))</f>
        <v/>
      </c>
    </row>
    <row r="128" spans="8:9" x14ac:dyDescent="0.45">
      <c r="H128" t="str">
        <f>IF(PNL!A128="","",_CALC_PNL!P128)</f>
        <v/>
      </c>
      <c r="I128" t="str">
        <f>IF(PNL!A128="","",IF(_CALC_PNL!E128=1,H128-G128,""))</f>
        <v/>
      </c>
    </row>
    <row r="129" spans="8:9" x14ac:dyDescent="0.45">
      <c r="H129" t="str">
        <f>IF(PNL!A129="","",_CALC_PNL!P129)</f>
        <v/>
      </c>
      <c r="I129" t="str">
        <f>IF(PNL!A129="","",IF(_CALC_PNL!E129=1,H129-G129,""))</f>
        <v/>
      </c>
    </row>
    <row r="130" spans="8:9" x14ac:dyDescent="0.45">
      <c r="H130" t="str">
        <f>IF(PNL!A130="","",_CALC_PNL!P130)</f>
        <v/>
      </c>
      <c r="I130" t="str">
        <f>IF(PNL!A130="","",IF(_CALC_PNL!E130=1,H130-G130,""))</f>
        <v/>
      </c>
    </row>
    <row r="131" spans="8:9" x14ac:dyDescent="0.45">
      <c r="H131" t="str">
        <f>IF(PNL!A131="","",_CALC_PNL!P131)</f>
        <v/>
      </c>
      <c r="I131" t="str">
        <f>IF(PNL!A131="","",IF(_CALC_PNL!E131=1,H131-G131,""))</f>
        <v/>
      </c>
    </row>
    <row r="132" spans="8:9" x14ac:dyDescent="0.45">
      <c r="H132" t="str">
        <f>IF(PNL!A132="","",_CALC_PNL!P132)</f>
        <v/>
      </c>
      <c r="I132" t="str">
        <f>IF(PNL!A132="","",IF(_CALC_PNL!E132=1,H132-G132,""))</f>
        <v/>
      </c>
    </row>
    <row r="133" spans="8:9" x14ac:dyDescent="0.45">
      <c r="H133" t="str">
        <f>IF(PNL!A133="","",_CALC_PNL!P133)</f>
        <v/>
      </c>
      <c r="I133" t="str">
        <f>IF(PNL!A133="","",IF(_CALC_PNL!E133=1,H133-G133,""))</f>
        <v/>
      </c>
    </row>
    <row r="134" spans="8:9" x14ac:dyDescent="0.45">
      <c r="H134" t="str">
        <f>IF(PNL!A134="","",_CALC_PNL!P134)</f>
        <v/>
      </c>
      <c r="I134" t="str">
        <f>IF(PNL!A134="","",IF(_CALC_PNL!E134=1,H134-G134,""))</f>
        <v/>
      </c>
    </row>
    <row r="135" spans="8:9" x14ac:dyDescent="0.45">
      <c r="H135" t="str">
        <f>IF(PNL!A135="","",_CALC_PNL!P135)</f>
        <v/>
      </c>
      <c r="I135" t="str">
        <f>IF(PNL!A135="","",IF(_CALC_PNL!E135=1,H135-G135,""))</f>
        <v/>
      </c>
    </row>
    <row r="136" spans="8:9" x14ac:dyDescent="0.45">
      <c r="H136" t="str">
        <f>IF(PNL!A136="","",_CALC_PNL!P136)</f>
        <v/>
      </c>
      <c r="I136" t="str">
        <f>IF(PNL!A136="","",IF(_CALC_PNL!E136=1,H136-G136,""))</f>
        <v/>
      </c>
    </row>
    <row r="137" spans="8:9" x14ac:dyDescent="0.45">
      <c r="H137" t="str">
        <f>IF(PNL!A137="","",_CALC_PNL!P137)</f>
        <v/>
      </c>
      <c r="I137" t="str">
        <f>IF(PNL!A137="","",IF(_CALC_PNL!E137=1,H137-G137,""))</f>
        <v/>
      </c>
    </row>
    <row r="138" spans="8:9" x14ac:dyDescent="0.45">
      <c r="H138" t="str">
        <f>IF(PNL!A138="","",_CALC_PNL!P138)</f>
        <v/>
      </c>
      <c r="I138" t="str">
        <f>IF(PNL!A138="","",IF(_CALC_PNL!E138=1,H138-G138,""))</f>
        <v/>
      </c>
    </row>
    <row r="139" spans="8:9" x14ac:dyDescent="0.45">
      <c r="H139" t="str">
        <f>IF(PNL!A139="","",_CALC_PNL!P139)</f>
        <v/>
      </c>
      <c r="I139" t="str">
        <f>IF(PNL!A139="","",IF(_CALC_PNL!E139=1,H139-G139,""))</f>
        <v/>
      </c>
    </row>
    <row r="140" spans="8:9" x14ac:dyDescent="0.45">
      <c r="H140" t="str">
        <f>IF(PNL!A140="","",_CALC_PNL!P140)</f>
        <v/>
      </c>
      <c r="I140" t="str">
        <f>IF(PNL!A140="","",IF(_CALC_PNL!E140=1,H140-G140,""))</f>
        <v/>
      </c>
    </row>
    <row r="141" spans="8:9" x14ac:dyDescent="0.45">
      <c r="H141" t="str">
        <f>IF(PNL!A141="","",_CALC_PNL!P141)</f>
        <v/>
      </c>
      <c r="I141" t="str">
        <f>IF(PNL!A141="","",IF(_CALC_PNL!E141=1,H141-G141,""))</f>
        <v/>
      </c>
    </row>
    <row r="142" spans="8:9" x14ac:dyDescent="0.45">
      <c r="H142" t="str">
        <f>IF(PNL!A142="","",_CALC_PNL!P142)</f>
        <v/>
      </c>
      <c r="I142" t="str">
        <f>IF(PNL!A142="","",IF(_CALC_PNL!E142=1,H142-G142,""))</f>
        <v/>
      </c>
    </row>
    <row r="143" spans="8:9" x14ac:dyDescent="0.45">
      <c r="H143" t="str">
        <f>IF(PNL!A143="","",_CALC_PNL!P143)</f>
        <v/>
      </c>
      <c r="I143" t="str">
        <f>IF(PNL!A143="","",IF(_CALC_PNL!E143=1,H143-G143,""))</f>
        <v/>
      </c>
    </row>
    <row r="144" spans="8:9" x14ac:dyDescent="0.45">
      <c r="H144" t="str">
        <f>IF(PNL!A144="","",_CALC_PNL!P144)</f>
        <v/>
      </c>
      <c r="I144" t="str">
        <f>IF(PNL!A144="","",IF(_CALC_PNL!E144=1,H144-G144,""))</f>
        <v/>
      </c>
    </row>
    <row r="145" spans="8:9" x14ac:dyDescent="0.45">
      <c r="H145" t="str">
        <f>IF(PNL!A145="","",_CALC_PNL!P145)</f>
        <v/>
      </c>
      <c r="I145" t="str">
        <f>IF(PNL!A145="","",IF(_CALC_PNL!E145=1,H145-G145,""))</f>
        <v/>
      </c>
    </row>
    <row r="146" spans="8:9" x14ac:dyDescent="0.45">
      <c r="H146" t="str">
        <f>IF(PNL!A146="","",_CALC_PNL!P146)</f>
        <v/>
      </c>
      <c r="I146" t="str">
        <f>IF(PNL!A146="","",IF(_CALC_PNL!E146=1,H146-G146,""))</f>
        <v/>
      </c>
    </row>
    <row r="147" spans="8:9" x14ac:dyDescent="0.45">
      <c r="H147" t="str">
        <f>IF(PNL!A147="","",_CALC_PNL!P147)</f>
        <v/>
      </c>
      <c r="I147" t="str">
        <f>IF(PNL!A147="","",IF(_CALC_PNL!E147=1,H147-G147,""))</f>
        <v/>
      </c>
    </row>
    <row r="148" spans="8:9" x14ac:dyDescent="0.45">
      <c r="H148" t="str">
        <f>IF(PNL!A148="","",_CALC_PNL!P148)</f>
        <v/>
      </c>
      <c r="I148" t="str">
        <f>IF(PNL!A148="","",IF(_CALC_PNL!E148=1,H148-G148,""))</f>
        <v/>
      </c>
    </row>
    <row r="149" spans="8:9" x14ac:dyDescent="0.45">
      <c r="H149" t="str">
        <f>IF(PNL!A149="","",_CALC_PNL!P149)</f>
        <v/>
      </c>
      <c r="I149" t="str">
        <f>IF(PNL!A149="","",IF(_CALC_PNL!E149=1,H149-G149,""))</f>
        <v/>
      </c>
    </row>
    <row r="150" spans="8:9" x14ac:dyDescent="0.45">
      <c r="H150" t="str">
        <f>IF(PNL!A150="","",_CALC_PNL!P150)</f>
        <v/>
      </c>
      <c r="I150" t="str">
        <f>IF(PNL!A150="","",IF(_CALC_PNL!E150=1,H150-G150,""))</f>
        <v/>
      </c>
    </row>
    <row r="151" spans="8:9" x14ac:dyDescent="0.45">
      <c r="H151" t="str">
        <f>IF(PNL!A151="","",_CALC_PNL!P151)</f>
        <v/>
      </c>
      <c r="I151" t="str">
        <f>IF(PNL!A151="","",IF(_CALC_PNL!E151=1,H151-G151,""))</f>
        <v/>
      </c>
    </row>
    <row r="152" spans="8:9" x14ac:dyDescent="0.45">
      <c r="H152" t="str">
        <f>IF(PNL!A152="","",_CALC_PNL!P152)</f>
        <v/>
      </c>
      <c r="I152" t="str">
        <f>IF(PNL!A152="","",IF(_CALC_PNL!E152=1,H152-G152,""))</f>
        <v/>
      </c>
    </row>
    <row r="153" spans="8:9" x14ac:dyDescent="0.45">
      <c r="H153" t="str">
        <f>IF(PNL!A153="","",_CALC_PNL!P153)</f>
        <v/>
      </c>
      <c r="I153" t="str">
        <f>IF(PNL!A153="","",IF(_CALC_PNL!E153=1,H153-G153,""))</f>
        <v/>
      </c>
    </row>
    <row r="154" spans="8:9" x14ac:dyDescent="0.45">
      <c r="H154" t="str">
        <f>IF(PNL!A154="","",_CALC_PNL!P154)</f>
        <v/>
      </c>
      <c r="I154" t="str">
        <f>IF(PNL!A154="","",IF(_CALC_PNL!E154=1,H154-G154,""))</f>
        <v/>
      </c>
    </row>
    <row r="155" spans="8:9" x14ac:dyDescent="0.45">
      <c r="H155" t="str">
        <f>IF(PNL!A155="","",_CALC_PNL!P155)</f>
        <v/>
      </c>
      <c r="I155" t="str">
        <f>IF(PNL!A155="","",IF(_CALC_PNL!E155=1,H155-G155,""))</f>
        <v/>
      </c>
    </row>
    <row r="156" spans="8:9" x14ac:dyDescent="0.45">
      <c r="H156" t="str">
        <f>IF(PNL!A156="","",_CALC_PNL!P156)</f>
        <v/>
      </c>
      <c r="I156" t="str">
        <f>IF(PNL!A156="","",IF(_CALC_PNL!E156=1,H156-G156,""))</f>
        <v/>
      </c>
    </row>
    <row r="157" spans="8:9" x14ac:dyDescent="0.45">
      <c r="H157" t="str">
        <f>IF(PNL!A157="","",_CALC_PNL!P157)</f>
        <v/>
      </c>
      <c r="I157" t="str">
        <f>IF(PNL!A157="","",IF(_CALC_PNL!E157=1,H157-G157,""))</f>
        <v/>
      </c>
    </row>
    <row r="158" spans="8:9" x14ac:dyDescent="0.45">
      <c r="H158" t="str">
        <f>IF(PNL!A158="","",_CALC_PNL!P158)</f>
        <v/>
      </c>
      <c r="I158" t="str">
        <f>IF(PNL!A158="","",IF(_CALC_PNL!E158=1,H158-G158,""))</f>
        <v/>
      </c>
    </row>
    <row r="159" spans="8:9" x14ac:dyDescent="0.45">
      <c r="H159" t="str">
        <f>IF(PNL!A159="","",_CALC_PNL!P159)</f>
        <v/>
      </c>
      <c r="I159" t="str">
        <f>IF(PNL!A159="","",IF(_CALC_PNL!E159=1,H159-G159,""))</f>
        <v/>
      </c>
    </row>
    <row r="160" spans="8:9" x14ac:dyDescent="0.45">
      <c r="H160" t="str">
        <f>IF(PNL!A160="","",_CALC_PNL!P160)</f>
        <v/>
      </c>
      <c r="I160" t="str">
        <f>IF(PNL!A160="","",IF(_CALC_PNL!E160=1,H160-G160,""))</f>
        <v/>
      </c>
    </row>
    <row r="161" spans="8:9" x14ac:dyDescent="0.45">
      <c r="H161" t="str">
        <f>IF(PNL!A161="","",_CALC_PNL!P161)</f>
        <v/>
      </c>
      <c r="I161" t="str">
        <f>IF(PNL!A161="","",IF(_CALC_PNL!E161=1,H161-G161,""))</f>
        <v/>
      </c>
    </row>
    <row r="162" spans="8:9" x14ac:dyDescent="0.45">
      <c r="H162" t="str">
        <f>IF(PNL!A162="","",_CALC_PNL!P162)</f>
        <v/>
      </c>
      <c r="I162" t="str">
        <f>IF(PNL!A162="","",IF(_CALC_PNL!E162=1,H162-G162,""))</f>
        <v/>
      </c>
    </row>
    <row r="163" spans="8:9" x14ac:dyDescent="0.45">
      <c r="H163" t="str">
        <f>IF(PNL!A163="","",_CALC_PNL!P163)</f>
        <v/>
      </c>
      <c r="I163" t="str">
        <f>IF(PNL!A163="","",IF(_CALC_PNL!E163=1,H163-G163,""))</f>
        <v/>
      </c>
    </row>
    <row r="164" spans="8:9" x14ac:dyDescent="0.45">
      <c r="H164" t="str">
        <f>IF(PNL!A164="","",_CALC_PNL!P164)</f>
        <v/>
      </c>
      <c r="I164" t="str">
        <f>IF(PNL!A164="","",IF(_CALC_PNL!E164=1,H164-G164,""))</f>
        <v/>
      </c>
    </row>
    <row r="165" spans="8:9" x14ac:dyDescent="0.45">
      <c r="H165" t="str">
        <f>IF(PNL!A165="","",_CALC_PNL!P165)</f>
        <v/>
      </c>
      <c r="I165" t="str">
        <f>IF(PNL!A165="","",IF(_CALC_PNL!E165=1,H165-G165,""))</f>
        <v/>
      </c>
    </row>
    <row r="166" spans="8:9" x14ac:dyDescent="0.45">
      <c r="H166" t="str">
        <f>IF(PNL!A166="","",_CALC_PNL!P166)</f>
        <v/>
      </c>
      <c r="I166" t="str">
        <f>IF(PNL!A166="","",IF(_CALC_PNL!E166=1,H166-G166,""))</f>
        <v/>
      </c>
    </row>
    <row r="167" spans="8:9" x14ac:dyDescent="0.45">
      <c r="H167" t="str">
        <f>IF(PNL!A167="","",_CALC_PNL!P167)</f>
        <v/>
      </c>
      <c r="I167" t="str">
        <f>IF(PNL!A167="","",IF(_CALC_PNL!E167=1,H167-G167,""))</f>
        <v/>
      </c>
    </row>
    <row r="168" spans="8:9" x14ac:dyDescent="0.45">
      <c r="H168" t="str">
        <f>IF(PNL!A168="","",_CALC_PNL!P168)</f>
        <v/>
      </c>
      <c r="I168" t="str">
        <f>IF(PNL!A168="","",IF(_CALC_PNL!E168=1,H168-G168,""))</f>
        <v/>
      </c>
    </row>
    <row r="169" spans="8:9" x14ac:dyDescent="0.45">
      <c r="H169" t="str">
        <f>IF(PNL!A169="","",_CALC_PNL!P169)</f>
        <v/>
      </c>
      <c r="I169" t="str">
        <f>IF(PNL!A169="","",IF(_CALC_PNL!E169=1,H169-G169,""))</f>
        <v/>
      </c>
    </row>
    <row r="170" spans="8:9" x14ac:dyDescent="0.45">
      <c r="H170" t="str">
        <f>IF(PNL!A170="","",_CALC_PNL!P170)</f>
        <v/>
      </c>
      <c r="I170" t="str">
        <f>IF(PNL!A170="","",IF(_CALC_PNL!E170=1,H170-G170,""))</f>
        <v/>
      </c>
    </row>
    <row r="171" spans="8:9" x14ac:dyDescent="0.45">
      <c r="H171" t="str">
        <f>IF(PNL!A171="","",_CALC_PNL!P171)</f>
        <v/>
      </c>
      <c r="I171" t="str">
        <f>IF(PNL!A171="","",IF(_CALC_PNL!E171=1,H171-G171,""))</f>
        <v/>
      </c>
    </row>
    <row r="172" spans="8:9" x14ac:dyDescent="0.45">
      <c r="H172" t="str">
        <f>IF(PNL!A172="","",_CALC_PNL!P172)</f>
        <v/>
      </c>
      <c r="I172" t="str">
        <f>IF(PNL!A172="","",IF(_CALC_PNL!E172=1,H172-G172,""))</f>
        <v/>
      </c>
    </row>
    <row r="173" spans="8:9" x14ac:dyDescent="0.45">
      <c r="H173" t="str">
        <f>IF(PNL!A173="","",_CALC_PNL!P173)</f>
        <v/>
      </c>
      <c r="I173" t="str">
        <f>IF(PNL!A173="","",IF(_CALC_PNL!E173=1,H173-G173,""))</f>
        <v/>
      </c>
    </row>
    <row r="174" spans="8:9" x14ac:dyDescent="0.45">
      <c r="H174" t="str">
        <f>IF(PNL!A174="","",_CALC_PNL!P174)</f>
        <v/>
      </c>
      <c r="I174" t="str">
        <f>IF(PNL!A174="","",IF(_CALC_PNL!E174=1,H174-G174,""))</f>
        <v/>
      </c>
    </row>
    <row r="175" spans="8:9" x14ac:dyDescent="0.45">
      <c r="H175" t="str">
        <f>IF(PNL!A175="","",_CALC_PNL!P175)</f>
        <v/>
      </c>
      <c r="I175" t="str">
        <f>IF(PNL!A175="","",IF(_CALC_PNL!E175=1,H175-G175,""))</f>
        <v/>
      </c>
    </row>
    <row r="176" spans="8:9" x14ac:dyDescent="0.45">
      <c r="H176" t="str">
        <f>IF(PNL!A176="","",_CALC_PNL!P176)</f>
        <v/>
      </c>
      <c r="I176" t="str">
        <f>IF(PNL!A176="","",IF(_CALC_PNL!E176=1,H176-G176,""))</f>
        <v/>
      </c>
    </row>
    <row r="177" spans="8:9" x14ac:dyDescent="0.45">
      <c r="H177" t="str">
        <f>IF(PNL!A177="","",_CALC_PNL!P177)</f>
        <v/>
      </c>
      <c r="I177" t="str">
        <f>IF(PNL!A177="","",IF(_CALC_PNL!E177=1,H177-G177,""))</f>
        <v/>
      </c>
    </row>
    <row r="178" spans="8:9" x14ac:dyDescent="0.45">
      <c r="H178" t="str">
        <f>IF(PNL!A178="","",_CALC_PNL!P178)</f>
        <v/>
      </c>
      <c r="I178" t="str">
        <f>IF(PNL!A178="","",IF(_CALC_PNL!E178=1,H178-G178,""))</f>
        <v/>
      </c>
    </row>
    <row r="179" spans="8:9" x14ac:dyDescent="0.45">
      <c r="H179" t="str">
        <f>IF(PNL!A179="","",_CALC_PNL!P179)</f>
        <v/>
      </c>
      <c r="I179" t="str">
        <f>IF(PNL!A179="","",IF(_CALC_PNL!E179=1,H179-G179,""))</f>
        <v/>
      </c>
    </row>
    <row r="180" spans="8:9" x14ac:dyDescent="0.45">
      <c r="H180" t="str">
        <f>IF(PNL!A180="","",_CALC_PNL!P180)</f>
        <v/>
      </c>
      <c r="I180" t="str">
        <f>IF(PNL!A180="","",IF(_CALC_PNL!E180=1,H180-G180,""))</f>
        <v/>
      </c>
    </row>
    <row r="181" spans="8:9" x14ac:dyDescent="0.45">
      <c r="H181" t="str">
        <f>IF(PNL!A181="","",_CALC_PNL!P181)</f>
        <v/>
      </c>
      <c r="I181" t="str">
        <f>IF(PNL!A181="","",IF(_CALC_PNL!E181=1,H181-G181,""))</f>
        <v/>
      </c>
    </row>
    <row r="182" spans="8:9" x14ac:dyDescent="0.45">
      <c r="H182" t="str">
        <f>IF(PNL!A182="","",_CALC_PNL!P182)</f>
        <v/>
      </c>
      <c r="I182" t="str">
        <f>IF(PNL!A182="","",IF(_CALC_PNL!E182=1,H182-G182,""))</f>
        <v/>
      </c>
    </row>
    <row r="183" spans="8:9" x14ac:dyDescent="0.45">
      <c r="H183" t="str">
        <f>IF(PNL!A183="","",_CALC_PNL!P183)</f>
        <v/>
      </c>
      <c r="I183" t="str">
        <f>IF(PNL!A183="","",IF(_CALC_PNL!E183=1,H183-G183,""))</f>
        <v/>
      </c>
    </row>
    <row r="184" spans="8:9" x14ac:dyDescent="0.45">
      <c r="H184" t="str">
        <f>IF(PNL!A184="","",_CALC_PNL!P184)</f>
        <v/>
      </c>
      <c r="I184" t="str">
        <f>IF(PNL!A184="","",IF(_CALC_PNL!E184=1,H184-G184,""))</f>
        <v/>
      </c>
    </row>
    <row r="185" spans="8:9" x14ac:dyDescent="0.45">
      <c r="H185" t="str">
        <f>IF(PNL!A185="","",_CALC_PNL!P185)</f>
        <v/>
      </c>
      <c r="I185" t="str">
        <f>IF(PNL!A185="","",IF(_CALC_PNL!E185=1,H185-G185,""))</f>
        <v/>
      </c>
    </row>
    <row r="186" spans="8:9" x14ac:dyDescent="0.45">
      <c r="H186" t="str">
        <f>IF(PNL!A186="","",_CALC_PNL!P186)</f>
        <v/>
      </c>
      <c r="I186" t="str">
        <f>IF(PNL!A186="","",IF(_CALC_PNL!E186=1,H186-G186,""))</f>
        <v/>
      </c>
    </row>
    <row r="187" spans="8:9" x14ac:dyDescent="0.45">
      <c r="H187" t="str">
        <f>IF(PNL!A187="","",_CALC_PNL!P187)</f>
        <v/>
      </c>
      <c r="I187" t="str">
        <f>IF(PNL!A187="","",IF(_CALC_PNL!E187=1,H187-G187,""))</f>
        <v/>
      </c>
    </row>
    <row r="188" spans="8:9" x14ac:dyDescent="0.45">
      <c r="H188" t="str">
        <f>IF(PNL!A188="","",_CALC_PNL!P188)</f>
        <v/>
      </c>
      <c r="I188" t="str">
        <f>IF(PNL!A188="","",IF(_CALC_PNL!E188=1,H188-G188,""))</f>
        <v/>
      </c>
    </row>
    <row r="189" spans="8:9" x14ac:dyDescent="0.45">
      <c r="H189" t="str">
        <f>IF(PNL!A189="","",_CALC_PNL!P189)</f>
        <v/>
      </c>
      <c r="I189" t="str">
        <f>IF(PNL!A189="","",IF(_CALC_PNL!E189=1,H189-G189,""))</f>
        <v/>
      </c>
    </row>
    <row r="190" spans="8:9" x14ac:dyDescent="0.45">
      <c r="H190" t="str">
        <f>IF(PNL!A190="","",_CALC_PNL!P190)</f>
        <v/>
      </c>
      <c r="I190" t="str">
        <f>IF(PNL!A190="","",IF(_CALC_PNL!E190=1,H190-G190,""))</f>
        <v/>
      </c>
    </row>
    <row r="191" spans="8:9" x14ac:dyDescent="0.45">
      <c r="H191" t="str">
        <f>IF(PNL!A191="","",_CALC_PNL!P191)</f>
        <v/>
      </c>
      <c r="I191" t="str">
        <f>IF(PNL!A191="","",IF(_CALC_PNL!E191=1,H191-G191,""))</f>
        <v/>
      </c>
    </row>
    <row r="192" spans="8:9" x14ac:dyDescent="0.45">
      <c r="H192" t="str">
        <f>IF(PNL!A192="","",_CALC_PNL!P192)</f>
        <v/>
      </c>
      <c r="I192" t="str">
        <f>IF(PNL!A192="","",IF(_CALC_PNL!E192=1,H192-G192,""))</f>
        <v/>
      </c>
    </row>
    <row r="193" spans="8:9" x14ac:dyDescent="0.45">
      <c r="H193" t="str">
        <f>IF(PNL!A193="","",_CALC_PNL!P193)</f>
        <v/>
      </c>
      <c r="I193" t="str">
        <f>IF(PNL!A193="","",IF(_CALC_PNL!E193=1,H193-G193,""))</f>
        <v/>
      </c>
    </row>
    <row r="194" spans="8:9" x14ac:dyDescent="0.45">
      <c r="H194" t="str">
        <f>IF(PNL!A194="","",_CALC_PNL!P194)</f>
        <v/>
      </c>
      <c r="I194" t="str">
        <f>IF(PNL!A194="","",IF(_CALC_PNL!E194=1,H194-G194,""))</f>
        <v/>
      </c>
    </row>
    <row r="195" spans="8:9" x14ac:dyDescent="0.45">
      <c r="H195" t="str">
        <f>IF(PNL!A195="","",_CALC_PNL!P195)</f>
        <v/>
      </c>
      <c r="I195" t="str">
        <f>IF(PNL!A195="","",IF(_CALC_PNL!E195=1,H195-G195,""))</f>
        <v/>
      </c>
    </row>
    <row r="196" spans="8:9" x14ac:dyDescent="0.45">
      <c r="H196" t="str">
        <f>IF(PNL!A196="","",_CALC_PNL!P196)</f>
        <v/>
      </c>
      <c r="I196" t="str">
        <f>IF(PNL!A196="","",IF(_CALC_PNL!E196=1,H196-G196,""))</f>
        <v/>
      </c>
    </row>
    <row r="197" spans="8:9" x14ac:dyDescent="0.45">
      <c r="H197" t="str">
        <f>IF(PNL!A197="","",_CALC_PNL!P197)</f>
        <v/>
      </c>
      <c r="I197" t="str">
        <f>IF(PNL!A197="","",IF(_CALC_PNL!E197=1,H197-G197,""))</f>
        <v/>
      </c>
    </row>
    <row r="198" spans="8:9" x14ac:dyDescent="0.45">
      <c r="H198" t="str">
        <f>IF(PNL!A198="","",_CALC_PNL!P198)</f>
        <v/>
      </c>
      <c r="I198" t="str">
        <f>IF(PNL!A198="","",IF(_CALC_PNL!E198=1,H198-G198,""))</f>
        <v/>
      </c>
    </row>
    <row r="199" spans="8:9" x14ac:dyDescent="0.45">
      <c r="H199" t="str">
        <f>IF(PNL!A199="","",_CALC_PNL!P199)</f>
        <v/>
      </c>
      <c r="I199" t="str">
        <f>IF(PNL!A199="","",IF(_CALC_PNL!E199=1,H199-G199,""))</f>
        <v/>
      </c>
    </row>
    <row r="200" spans="8:9" x14ac:dyDescent="0.45">
      <c r="H200" t="str">
        <f>IF(PNL!A200="","",_CALC_PNL!P200)</f>
        <v/>
      </c>
      <c r="I200" t="str">
        <f>IF(PNL!A200="","",IF(_CALC_PNL!E200=1,H200-G200,""))</f>
        <v/>
      </c>
    </row>
    <row r="201" spans="8:9" x14ac:dyDescent="0.45">
      <c r="H201" t="str">
        <f>IF(PNL!A201="","",_CALC_PNL!P201)</f>
        <v/>
      </c>
      <c r="I201" t="str">
        <f>IF(PNL!A201="","",IF(_CALC_PNL!E201=1,H201-G201,""))</f>
        <v/>
      </c>
    </row>
    <row r="202" spans="8:9" x14ac:dyDescent="0.45">
      <c r="H202" t="str">
        <f>IF(PNL!A202="","",_CALC_PNL!P202)</f>
        <v/>
      </c>
      <c r="I202" t="str">
        <f>IF(PNL!A202="","",IF(_CALC_PNL!E202=1,H202-G202,""))</f>
        <v/>
      </c>
    </row>
    <row r="203" spans="8:9" x14ac:dyDescent="0.45">
      <c r="H203" t="str">
        <f>IF(PNL!A203="","",_CALC_PNL!P203)</f>
        <v/>
      </c>
      <c r="I203" t="str">
        <f>IF(PNL!A203="","",IF(_CALC_PNL!E203=1,H203-G203,""))</f>
        <v/>
      </c>
    </row>
    <row r="204" spans="8:9" x14ac:dyDescent="0.45">
      <c r="H204" t="str">
        <f>IF(PNL!A204="","",_CALC_PNL!P204)</f>
        <v/>
      </c>
      <c r="I204" t="str">
        <f>IF(PNL!A204="","",IF(_CALC_PNL!E204=1,H204-G204,""))</f>
        <v/>
      </c>
    </row>
    <row r="205" spans="8:9" x14ac:dyDescent="0.45">
      <c r="H205" t="str">
        <f>IF(PNL!A205="","",_CALC_PNL!P205)</f>
        <v/>
      </c>
      <c r="I205" t="str">
        <f>IF(PNL!A205="","",IF(_CALC_PNL!E205=1,H205-G205,""))</f>
        <v/>
      </c>
    </row>
    <row r="206" spans="8:9" x14ac:dyDescent="0.45">
      <c r="H206" t="str">
        <f>IF(PNL!A206="","",_CALC_PNL!P206)</f>
        <v/>
      </c>
      <c r="I206" t="str">
        <f>IF(PNL!A206="","",IF(_CALC_PNL!E206=1,H206-G206,""))</f>
        <v/>
      </c>
    </row>
    <row r="207" spans="8:9" x14ac:dyDescent="0.45">
      <c r="H207" t="str">
        <f>IF(PNL!A207="","",_CALC_PNL!P207)</f>
        <v/>
      </c>
      <c r="I207" t="str">
        <f>IF(PNL!A207="","",IF(_CALC_PNL!E207=1,H207-G207,""))</f>
        <v/>
      </c>
    </row>
    <row r="208" spans="8:9" x14ac:dyDescent="0.45">
      <c r="H208" t="str">
        <f>IF(PNL!A208="","",_CALC_PNL!P208)</f>
        <v/>
      </c>
      <c r="I208" t="str">
        <f>IF(PNL!A208="","",IF(_CALC_PNL!E208=1,H208-G208,""))</f>
        <v/>
      </c>
    </row>
    <row r="209" spans="8:9" x14ac:dyDescent="0.45">
      <c r="H209" t="str">
        <f>IF(PNL!A209="","",_CALC_PNL!P209)</f>
        <v/>
      </c>
      <c r="I209" t="str">
        <f>IF(PNL!A209="","",IF(_CALC_PNL!E209=1,H209-G209,""))</f>
        <v/>
      </c>
    </row>
    <row r="210" spans="8:9" x14ac:dyDescent="0.45">
      <c r="H210" t="str">
        <f>IF(PNL!A210="","",_CALC_PNL!P210)</f>
        <v/>
      </c>
      <c r="I210" t="str">
        <f>IF(PNL!A210="","",IF(_CALC_PNL!E210=1,H210-G210,""))</f>
        <v/>
      </c>
    </row>
    <row r="211" spans="8:9" x14ac:dyDescent="0.45">
      <c r="H211" t="str">
        <f>IF(PNL!A211="","",_CALC_PNL!P211)</f>
        <v/>
      </c>
      <c r="I211" t="str">
        <f>IF(PNL!A211="","",IF(_CALC_PNL!E211=1,H211-G211,""))</f>
        <v/>
      </c>
    </row>
    <row r="212" spans="8:9" x14ac:dyDescent="0.45">
      <c r="H212" t="str">
        <f>IF(PNL!A212="","",_CALC_PNL!P212)</f>
        <v/>
      </c>
      <c r="I212" t="str">
        <f>IF(PNL!A212="","",IF(_CALC_PNL!E212=1,H212-G212,""))</f>
        <v/>
      </c>
    </row>
    <row r="213" spans="8:9" x14ac:dyDescent="0.45">
      <c r="H213" t="str">
        <f>IF(PNL!A213="","",_CALC_PNL!P213)</f>
        <v/>
      </c>
      <c r="I213" t="str">
        <f>IF(PNL!A213="","",IF(_CALC_PNL!E213=1,H213-G213,""))</f>
        <v/>
      </c>
    </row>
    <row r="214" spans="8:9" x14ac:dyDescent="0.45">
      <c r="H214" t="str">
        <f>IF(PNL!A214="","",_CALC_PNL!P214)</f>
        <v/>
      </c>
      <c r="I214" t="str">
        <f>IF(PNL!A214="","",IF(_CALC_PNL!E214=1,H214-G214,""))</f>
        <v/>
      </c>
    </row>
    <row r="215" spans="8:9" x14ac:dyDescent="0.45">
      <c r="H215" t="str">
        <f>IF(PNL!A215="","",_CALC_PNL!P215)</f>
        <v/>
      </c>
      <c r="I215" t="str">
        <f>IF(PNL!A215="","",IF(_CALC_PNL!E215=1,H215-G215,""))</f>
        <v/>
      </c>
    </row>
    <row r="216" spans="8:9" x14ac:dyDescent="0.45">
      <c r="H216" t="str">
        <f>IF(PNL!A216="","",_CALC_PNL!P216)</f>
        <v/>
      </c>
      <c r="I216" t="str">
        <f>IF(PNL!A216="","",IF(_CALC_PNL!E216=1,H216-G216,""))</f>
        <v/>
      </c>
    </row>
    <row r="217" spans="8:9" x14ac:dyDescent="0.45">
      <c r="H217" t="str">
        <f>IF(PNL!A217="","",_CALC_PNL!P217)</f>
        <v/>
      </c>
      <c r="I217" t="str">
        <f>IF(PNL!A217="","",IF(_CALC_PNL!E217=1,H217-G217,""))</f>
        <v/>
      </c>
    </row>
    <row r="218" spans="8:9" x14ac:dyDescent="0.45">
      <c r="H218" t="str">
        <f>IF(PNL!A218="","",_CALC_PNL!P218)</f>
        <v/>
      </c>
      <c r="I218" t="str">
        <f>IF(PNL!A218="","",IF(_CALC_PNL!E218=1,H218-G218,""))</f>
        <v/>
      </c>
    </row>
    <row r="219" spans="8:9" x14ac:dyDescent="0.45">
      <c r="H219" t="str">
        <f>IF(PNL!A219="","",_CALC_PNL!P219)</f>
        <v/>
      </c>
      <c r="I219" t="str">
        <f>IF(PNL!A219="","",IF(_CALC_PNL!E219=1,H219-G219,""))</f>
        <v/>
      </c>
    </row>
    <row r="220" spans="8:9" x14ac:dyDescent="0.45">
      <c r="H220" t="str">
        <f>IF(PNL!A220="","",_CALC_PNL!P220)</f>
        <v/>
      </c>
      <c r="I220" t="str">
        <f>IF(PNL!A220="","",IF(_CALC_PNL!E220=1,H220-G220,""))</f>
        <v/>
      </c>
    </row>
    <row r="221" spans="8:9" x14ac:dyDescent="0.45">
      <c r="H221" t="str">
        <f>IF(PNL!A221="","",_CALC_PNL!P221)</f>
        <v/>
      </c>
      <c r="I221" t="str">
        <f>IF(PNL!A221="","",IF(_CALC_PNL!E221=1,H221-G221,""))</f>
        <v/>
      </c>
    </row>
    <row r="222" spans="8:9" x14ac:dyDescent="0.45">
      <c r="H222" t="str">
        <f>IF(PNL!A222="","",_CALC_PNL!P222)</f>
        <v/>
      </c>
      <c r="I222" t="str">
        <f>IF(PNL!A222="","",IF(_CALC_PNL!E222=1,H222-G222,""))</f>
        <v/>
      </c>
    </row>
    <row r="223" spans="8:9" x14ac:dyDescent="0.45">
      <c r="H223" t="str">
        <f>IF(PNL!A223="","",_CALC_PNL!P223)</f>
        <v/>
      </c>
      <c r="I223" t="str">
        <f>IF(PNL!A223="","",IF(_CALC_PNL!E223=1,H223-G223,""))</f>
        <v/>
      </c>
    </row>
    <row r="224" spans="8:9" x14ac:dyDescent="0.45">
      <c r="H224" t="str">
        <f>IF(PNL!A224="","",_CALC_PNL!P224)</f>
        <v/>
      </c>
      <c r="I224" t="str">
        <f>IF(PNL!A224="","",IF(_CALC_PNL!E224=1,H224-G224,""))</f>
        <v/>
      </c>
    </row>
    <row r="225" spans="8:9" x14ac:dyDescent="0.45">
      <c r="H225" t="str">
        <f>IF(PNL!A225="","",_CALC_PNL!P225)</f>
        <v/>
      </c>
      <c r="I225" t="str">
        <f>IF(PNL!A225="","",IF(_CALC_PNL!E225=1,H225-G225,""))</f>
        <v/>
      </c>
    </row>
    <row r="226" spans="8:9" x14ac:dyDescent="0.45">
      <c r="H226" t="str">
        <f>IF(PNL!A226="","",_CALC_PNL!P226)</f>
        <v/>
      </c>
      <c r="I226" t="str">
        <f>IF(PNL!A226="","",IF(_CALC_PNL!E226=1,H226-G226,""))</f>
        <v/>
      </c>
    </row>
    <row r="227" spans="8:9" x14ac:dyDescent="0.45">
      <c r="H227" t="str">
        <f>IF(PNL!A227="","",_CALC_PNL!P227)</f>
        <v/>
      </c>
      <c r="I227" t="str">
        <f>IF(PNL!A227="","",IF(_CALC_PNL!E227=1,H227-G227,""))</f>
        <v/>
      </c>
    </row>
    <row r="228" spans="8:9" x14ac:dyDescent="0.45">
      <c r="H228" t="str">
        <f>IF(PNL!A228="","",_CALC_PNL!P228)</f>
        <v/>
      </c>
      <c r="I228" t="str">
        <f>IF(PNL!A228="","",IF(_CALC_PNL!E228=1,H228-G228,""))</f>
        <v/>
      </c>
    </row>
    <row r="229" spans="8:9" x14ac:dyDescent="0.45">
      <c r="H229" t="str">
        <f>IF(PNL!A229="","",_CALC_PNL!P229)</f>
        <v/>
      </c>
      <c r="I229" t="str">
        <f>IF(PNL!A229="","",IF(_CALC_PNL!E229=1,H229-G229,""))</f>
        <v/>
      </c>
    </row>
    <row r="230" spans="8:9" x14ac:dyDescent="0.45">
      <c r="H230" t="str">
        <f>IF(PNL!A230="","",_CALC_PNL!P230)</f>
        <v/>
      </c>
      <c r="I230" t="str">
        <f>IF(PNL!A230="","",IF(_CALC_PNL!E230=1,H230-G230,""))</f>
        <v/>
      </c>
    </row>
    <row r="231" spans="8:9" x14ac:dyDescent="0.45">
      <c r="H231" t="str">
        <f>IF(PNL!A231="","",_CALC_PNL!P231)</f>
        <v/>
      </c>
      <c r="I231" t="str">
        <f>IF(PNL!A231="","",IF(_CALC_PNL!E231=1,H231-G231,""))</f>
        <v/>
      </c>
    </row>
    <row r="232" spans="8:9" x14ac:dyDescent="0.45">
      <c r="H232" t="str">
        <f>IF(PNL!A232="","",_CALC_PNL!P232)</f>
        <v/>
      </c>
      <c r="I232" t="str">
        <f>IF(PNL!A232="","",IF(_CALC_PNL!E232=1,H232-G232,""))</f>
        <v/>
      </c>
    </row>
    <row r="233" spans="8:9" x14ac:dyDescent="0.45">
      <c r="H233" t="str">
        <f>IF(PNL!A233="","",_CALC_PNL!P233)</f>
        <v/>
      </c>
      <c r="I233" t="str">
        <f>IF(PNL!A233="","",IF(_CALC_PNL!E233=1,H233-G233,""))</f>
        <v/>
      </c>
    </row>
    <row r="234" spans="8:9" x14ac:dyDescent="0.45">
      <c r="H234" t="str">
        <f>IF(PNL!A234="","",_CALC_PNL!P234)</f>
        <v/>
      </c>
      <c r="I234" t="str">
        <f>IF(PNL!A234="","",IF(_CALC_PNL!E234=1,H234-G234,""))</f>
        <v/>
      </c>
    </row>
    <row r="235" spans="8:9" x14ac:dyDescent="0.45">
      <c r="H235" t="str">
        <f>IF(PNL!A235="","",_CALC_PNL!P235)</f>
        <v/>
      </c>
      <c r="I235" t="str">
        <f>IF(PNL!A235="","",IF(_CALC_PNL!E235=1,H235-G235,""))</f>
        <v/>
      </c>
    </row>
    <row r="236" spans="8:9" x14ac:dyDescent="0.45">
      <c r="H236" t="str">
        <f>IF(PNL!A236="","",_CALC_PNL!P236)</f>
        <v/>
      </c>
      <c r="I236" t="str">
        <f>IF(PNL!A236="","",IF(_CALC_PNL!E236=1,H236-G236,""))</f>
        <v/>
      </c>
    </row>
    <row r="237" spans="8:9" x14ac:dyDescent="0.45">
      <c r="H237" t="str">
        <f>IF(PNL!A237="","",_CALC_PNL!P237)</f>
        <v/>
      </c>
      <c r="I237" t="str">
        <f>IF(PNL!A237="","",IF(_CALC_PNL!E237=1,H237-G237,""))</f>
        <v/>
      </c>
    </row>
    <row r="238" spans="8:9" x14ac:dyDescent="0.45">
      <c r="H238" t="str">
        <f>IF(PNL!A238="","",_CALC_PNL!P238)</f>
        <v/>
      </c>
      <c r="I238" t="str">
        <f>IF(PNL!A238="","",IF(_CALC_PNL!E238=1,H238-G238,""))</f>
        <v/>
      </c>
    </row>
    <row r="239" spans="8:9" x14ac:dyDescent="0.45">
      <c r="H239" t="str">
        <f>IF(PNL!A239="","",_CALC_PNL!P239)</f>
        <v/>
      </c>
      <c r="I239" t="str">
        <f>IF(PNL!A239="","",IF(_CALC_PNL!E239=1,H239-G239,""))</f>
        <v/>
      </c>
    </row>
    <row r="240" spans="8:9" x14ac:dyDescent="0.45">
      <c r="H240" t="str">
        <f>IF(PNL!A240="","",_CALC_PNL!P240)</f>
        <v/>
      </c>
      <c r="I240" t="str">
        <f>IF(PNL!A240="","",IF(_CALC_PNL!E240=1,H240-G240,""))</f>
        <v/>
      </c>
    </row>
    <row r="241" spans="8:9" x14ac:dyDescent="0.45">
      <c r="H241" t="str">
        <f>IF(PNL!A241="","",_CALC_PNL!P241)</f>
        <v/>
      </c>
      <c r="I241" t="str">
        <f>IF(PNL!A241="","",IF(_CALC_PNL!E241=1,H241-G241,""))</f>
        <v/>
      </c>
    </row>
    <row r="242" spans="8:9" x14ac:dyDescent="0.45">
      <c r="H242" t="str">
        <f>IF(PNL!A242="","",_CALC_PNL!P242)</f>
        <v/>
      </c>
      <c r="I242" t="str">
        <f>IF(PNL!A242="","",IF(_CALC_PNL!E242=1,H242-G242,""))</f>
        <v/>
      </c>
    </row>
    <row r="243" spans="8:9" x14ac:dyDescent="0.45">
      <c r="H243" t="str">
        <f>IF(PNL!A243="","",_CALC_PNL!P243)</f>
        <v/>
      </c>
      <c r="I243" t="str">
        <f>IF(PNL!A243="","",IF(_CALC_PNL!E243=1,H243-G243,""))</f>
        <v/>
      </c>
    </row>
    <row r="244" spans="8:9" x14ac:dyDescent="0.45">
      <c r="H244" t="str">
        <f>IF(PNL!A244="","",_CALC_PNL!P244)</f>
        <v/>
      </c>
      <c r="I244" t="str">
        <f>IF(PNL!A244="","",IF(_CALC_PNL!E244=1,H244-G244,""))</f>
        <v/>
      </c>
    </row>
    <row r="245" spans="8:9" x14ac:dyDescent="0.45">
      <c r="H245" t="str">
        <f>IF(PNL!A245="","",_CALC_PNL!P245)</f>
        <v/>
      </c>
      <c r="I245" t="str">
        <f>IF(PNL!A245="","",IF(_CALC_PNL!E245=1,H245-G245,""))</f>
        <v/>
      </c>
    </row>
    <row r="246" spans="8:9" x14ac:dyDescent="0.45">
      <c r="H246" t="str">
        <f>IF(PNL!A246="","",_CALC_PNL!P246)</f>
        <v/>
      </c>
      <c r="I246" t="str">
        <f>IF(PNL!A246="","",IF(_CALC_PNL!E246=1,H246-G246,""))</f>
        <v/>
      </c>
    </row>
    <row r="247" spans="8:9" x14ac:dyDescent="0.45">
      <c r="H247" t="str">
        <f>IF(PNL!A247="","",_CALC_PNL!P247)</f>
        <v/>
      </c>
      <c r="I247" t="str">
        <f>IF(PNL!A247="","",IF(_CALC_PNL!E247=1,H247-G247,""))</f>
        <v/>
      </c>
    </row>
    <row r="248" spans="8:9" x14ac:dyDescent="0.45">
      <c r="H248" t="str">
        <f>IF(PNL!A248="","",_CALC_PNL!P248)</f>
        <v/>
      </c>
      <c r="I248" t="str">
        <f>IF(PNL!A248="","",IF(_CALC_PNL!E248=1,H248-G248,""))</f>
        <v/>
      </c>
    </row>
    <row r="249" spans="8:9" x14ac:dyDescent="0.45">
      <c r="H249" t="str">
        <f>IF(PNL!A249="","",_CALC_PNL!P249)</f>
        <v/>
      </c>
      <c r="I249" t="str">
        <f>IF(PNL!A249="","",IF(_CALC_PNL!E249=1,H249-G249,""))</f>
        <v/>
      </c>
    </row>
    <row r="250" spans="8:9" x14ac:dyDescent="0.45">
      <c r="H250" t="str">
        <f>IF(PNL!A250="","",_CALC_PNL!P250)</f>
        <v/>
      </c>
      <c r="I250" t="str">
        <f>IF(PNL!A250="","",IF(_CALC_PNL!E250=1,H250-G250,""))</f>
        <v/>
      </c>
    </row>
    <row r="251" spans="8:9" x14ac:dyDescent="0.45">
      <c r="H251" t="str">
        <f>IF(PNL!A251="","",_CALC_PNL!P251)</f>
        <v/>
      </c>
      <c r="I251" t="str">
        <f>IF(PNL!A251="","",IF(_CALC_PNL!E251=1,H251-G251,""))</f>
        <v/>
      </c>
    </row>
    <row r="252" spans="8:9" x14ac:dyDescent="0.45">
      <c r="H252" t="str">
        <f>IF(PNL!A252="","",_CALC_PNL!P252)</f>
        <v/>
      </c>
      <c r="I252" t="str">
        <f>IF(PNL!A252="","",IF(_CALC_PNL!E252=1,H252-G252,""))</f>
        <v/>
      </c>
    </row>
    <row r="253" spans="8:9" x14ac:dyDescent="0.45">
      <c r="H253" t="str">
        <f>IF(PNL!A253="","",_CALC_PNL!P253)</f>
        <v/>
      </c>
      <c r="I253" t="str">
        <f>IF(PNL!A253="","",IF(_CALC_PNL!E253=1,H253-G253,""))</f>
        <v/>
      </c>
    </row>
    <row r="254" spans="8:9" x14ac:dyDescent="0.45">
      <c r="H254" t="str">
        <f>IF(PNL!A254="","",_CALC_PNL!P254)</f>
        <v/>
      </c>
      <c r="I254" t="str">
        <f>IF(PNL!A254="","",IF(_CALC_PNL!E254=1,H254-G254,""))</f>
        <v/>
      </c>
    </row>
    <row r="255" spans="8:9" x14ac:dyDescent="0.45">
      <c r="H255" t="str">
        <f>IF(PNL!A255="","",_CALC_PNL!P255)</f>
        <v/>
      </c>
      <c r="I255" t="str">
        <f>IF(PNL!A255="","",IF(_CALC_PNL!E255=1,H255-G255,""))</f>
        <v/>
      </c>
    </row>
    <row r="256" spans="8:9" x14ac:dyDescent="0.45">
      <c r="H256" t="str">
        <f>IF(PNL!A256="","",_CALC_PNL!P256)</f>
        <v/>
      </c>
      <c r="I256" t="str">
        <f>IF(PNL!A256="","",IF(_CALC_PNL!E256=1,H256-G256,""))</f>
        <v/>
      </c>
    </row>
    <row r="257" spans="8:9" x14ac:dyDescent="0.45">
      <c r="H257" t="str">
        <f>IF(PNL!A257="","",_CALC_PNL!P257)</f>
        <v/>
      </c>
      <c r="I257" t="str">
        <f>IF(PNL!A257="","",IF(_CALC_PNL!E257=1,H257-G257,""))</f>
        <v/>
      </c>
    </row>
    <row r="258" spans="8:9" x14ac:dyDescent="0.45">
      <c r="H258" t="str">
        <f>IF(PNL!A258="","",_CALC_PNL!P258)</f>
        <v/>
      </c>
      <c r="I258" t="str">
        <f>IF(PNL!A258="","",IF(_CALC_PNL!E258=1,H258-G258,""))</f>
        <v/>
      </c>
    </row>
    <row r="259" spans="8:9" x14ac:dyDescent="0.45">
      <c r="H259" t="str">
        <f>IF(PNL!A259="","",_CALC_PNL!P259)</f>
        <v/>
      </c>
      <c r="I259" t="str">
        <f>IF(PNL!A259="","",IF(_CALC_PNL!E259=1,H259-G259,""))</f>
        <v/>
      </c>
    </row>
    <row r="260" spans="8:9" x14ac:dyDescent="0.45">
      <c r="H260" t="str">
        <f>IF(PNL!A260="","",_CALC_PNL!P260)</f>
        <v/>
      </c>
      <c r="I260" t="str">
        <f>IF(PNL!A260="","",IF(_CALC_PNL!E260=1,H260-G260,""))</f>
        <v/>
      </c>
    </row>
    <row r="261" spans="8:9" x14ac:dyDescent="0.45">
      <c r="H261" t="str">
        <f>IF(PNL!A261="","",_CALC_PNL!P261)</f>
        <v/>
      </c>
      <c r="I261" t="str">
        <f>IF(PNL!A261="","",IF(_CALC_PNL!E261=1,H261-G261,""))</f>
        <v/>
      </c>
    </row>
    <row r="262" spans="8:9" x14ac:dyDescent="0.45">
      <c r="H262" t="str">
        <f>IF(PNL!A262="","",_CALC_PNL!P262)</f>
        <v/>
      </c>
      <c r="I262" t="str">
        <f>IF(PNL!A262="","",IF(_CALC_PNL!E262=1,H262-G262,""))</f>
        <v/>
      </c>
    </row>
    <row r="263" spans="8:9" x14ac:dyDescent="0.45">
      <c r="H263" t="str">
        <f>IF(PNL!A263="","",_CALC_PNL!P263)</f>
        <v/>
      </c>
      <c r="I263" t="str">
        <f>IF(PNL!A263="","",IF(_CALC_PNL!E263=1,H263-G263,""))</f>
        <v/>
      </c>
    </row>
    <row r="264" spans="8:9" x14ac:dyDescent="0.45">
      <c r="H264" t="str">
        <f>IF(PNL!A264="","",_CALC_PNL!P264)</f>
        <v/>
      </c>
      <c r="I264" t="str">
        <f>IF(PNL!A264="","",IF(_CALC_PNL!E264=1,H264-G264,""))</f>
        <v/>
      </c>
    </row>
    <row r="265" spans="8:9" x14ac:dyDescent="0.45">
      <c r="H265" t="str">
        <f>IF(PNL!A265="","",_CALC_PNL!P265)</f>
        <v/>
      </c>
      <c r="I265" t="str">
        <f>IF(PNL!A265="","",IF(_CALC_PNL!E265=1,H265-G265,""))</f>
        <v/>
      </c>
    </row>
    <row r="266" spans="8:9" x14ac:dyDescent="0.45">
      <c r="H266" t="str">
        <f>IF(PNL!A266="","",_CALC_PNL!P266)</f>
        <v/>
      </c>
      <c r="I266" t="str">
        <f>IF(PNL!A266="","",IF(_CALC_PNL!E266=1,H266-G266,""))</f>
        <v/>
      </c>
    </row>
    <row r="267" spans="8:9" x14ac:dyDescent="0.45">
      <c r="H267" t="str">
        <f>IF(PNL!A267="","",_CALC_PNL!P267)</f>
        <v/>
      </c>
      <c r="I267" t="str">
        <f>IF(PNL!A267="","",IF(_CALC_PNL!E267=1,H267-G267,""))</f>
        <v/>
      </c>
    </row>
    <row r="268" spans="8:9" x14ac:dyDescent="0.45">
      <c r="H268" t="str">
        <f>IF(PNL!A268="","",_CALC_PNL!P268)</f>
        <v/>
      </c>
      <c r="I268" t="str">
        <f>IF(PNL!A268="","",IF(_CALC_PNL!E268=1,H268-G268,""))</f>
        <v/>
      </c>
    </row>
    <row r="269" spans="8:9" x14ac:dyDescent="0.45">
      <c r="H269" t="str">
        <f>IF(PNL!A269="","",_CALC_PNL!P269)</f>
        <v/>
      </c>
      <c r="I269" t="str">
        <f>IF(PNL!A269="","",IF(_CALC_PNL!E269=1,H269-G269,""))</f>
        <v/>
      </c>
    </row>
    <row r="270" spans="8:9" x14ac:dyDescent="0.45">
      <c r="H270" t="str">
        <f>IF(PNL!A270="","",_CALC_PNL!P270)</f>
        <v/>
      </c>
      <c r="I270" t="str">
        <f>IF(PNL!A270="","",IF(_CALC_PNL!E270=1,H270-G270,""))</f>
        <v/>
      </c>
    </row>
    <row r="271" spans="8:9" x14ac:dyDescent="0.45">
      <c r="H271" t="str">
        <f>IF(PNL!A271="","",_CALC_PNL!P271)</f>
        <v/>
      </c>
      <c r="I271" t="str">
        <f>IF(PNL!A271="","",IF(_CALC_PNL!E271=1,H271-G271,""))</f>
        <v/>
      </c>
    </row>
    <row r="272" spans="8:9" x14ac:dyDescent="0.45">
      <c r="H272" t="str">
        <f>IF(PNL!A272="","",_CALC_PNL!P272)</f>
        <v/>
      </c>
      <c r="I272" t="str">
        <f>IF(PNL!A272="","",IF(_CALC_PNL!E272=1,H272-G272,""))</f>
        <v/>
      </c>
    </row>
    <row r="273" spans="8:9" x14ac:dyDescent="0.45">
      <c r="H273" t="str">
        <f>IF(PNL!A273="","",_CALC_PNL!P273)</f>
        <v/>
      </c>
      <c r="I273" t="str">
        <f>IF(PNL!A273="","",IF(_CALC_PNL!E273=1,H273-G273,""))</f>
        <v/>
      </c>
    </row>
    <row r="274" spans="8:9" x14ac:dyDescent="0.45">
      <c r="H274" t="str">
        <f>IF(PNL!A274="","",_CALC_PNL!P274)</f>
        <v/>
      </c>
      <c r="I274" t="str">
        <f>IF(PNL!A274="","",IF(_CALC_PNL!E274=1,H274-G274,""))</f>
        <v/>
      </c>
    </row>
    <row r="275" spans="8:9" x14ac:dyDescent="0.45">
      <c r="H275" t="str">
        <f>IF(PNL!A275="","",_CALC_PNL!P275)</f>
        <v/>
      </c>
      <c r="I275" t="str">
        <f>IF(PNL!A275="","",IF(_CALC_PNL!E275=1,H275-G275,""))</f>
        <v/>
      </c>
    </row>
    <row r="276" spans="8:9" x14ac:dyDescent="0.45">
      <c r="H276" t="str">
        <f>IF(PNL!A276="","",_CALC_PNL!P276)</f>
        <v/>
      </c>
      <c r="I276" t="str">
        <f>IF(PNL!A276="","",IF(_CALC_PNL!E276=1,H276-G276,""))</f>
        <v/>
      </c>
    </row>
    <row r="277" spans="8:9" x14ac:dyDescent="0.45">
      <c r="H277" t="str">
        <f>IF(PNL!A277="","",_CALC_PNL!P277)</f>
        <v/>
      </c>
      <c r="I277" t="str">
        <f>IF(PNL!A277="","",IF(_CALC_PNL!E277=1,H277-G277,""))</f>
        <v/>
      </c>
    </row>
    <row r="278" spans="8:9" x14ac:dyDescent="0.45">
      <c r="H278" t="str">
        <f>IF(PNL!A278="","",_CALC_PNL!P278)</f>
        <v/>
      </c>
      <c r="I278" t="str">
        <f>IF(PNL!A278="","",IF(_CALC_PNL!E278=1,H278-G278,""))</f>
        <v/>
      </c>
    </row>
    <row r="279" spans="8:9" x14ac:dyDescent="0.45">
      <c r="H279" t="str">
        <f>IF(PNL!A279="","",_CALC_PNL!P279)</f>
        <v/>
      </c>
      <c r="I279" t="str">
        <f>IF(PNL!A279="","",IF(_CALC_PNL!E279=1,H279-G279,""))</f>
        <v/>
      </c>
    </row>
    <row r="280" spans="8:9" x14ac:dyDescent="0.45">
      <c r="H280" t="str">
        <f>IF(PNL!A280="","",_CALC_PNL!P280)</f>
        <v/>
      </c>
      <c r="I280" t="str">
        <f>IF(PNL!A280="","",IF(_CALC_PNL!E280=1,H280-G280,""))</f>
        <v/>
      </c>
    </row>
    <row r="281" spans="8:9" x14ac:dyDescent="0.45">
      <c r="H281" t="str">
        <f>IF(PNL!A281="","",_CALC_PNL!P281)</f>
        <v/>
      </c>
      <c r="I281" t="str">
        <f>IF(PNL!A281="","",IF(_CALC_PNL!E281=1,H281-G281,""))</f>
        <v/>
      </c>
    </row>
    <row r="282" spans="8:9" x14ac:dyDescent="0.45">
      <c r="H282" t="str">
        <f>IF(PNL!A282="","",_CALC_PNL!P282)</f>
        <v/>
      </c>
      <c r="I282" t="str">
        <f>IF(PNL!A282="","",IF(_CALC_PNL!E282=1,H282-G282,""))</f>
        <v/>
      </c>
    </row>
    <row r="283" spans="8:9" x14ac:dyDescent="0.45">
      <c r="H283" t="str">
        <f>IF(PNL!A283="","",_CALC_PNL!P283)</f>
        <v/>
      </c>
      <c r="I283" t="str">
        <f>IF(PNL!A283="","",IF(_CALC_PNL!E283=1,H283-G283,""))</f>
        <v/>
      </c>
    </row>
    <row r="284" spans="8:9" x14ac:dyDescent="0.45">
      <c r="H284" t="str">
        <f>IF(PNL!A284="","",_CALC_PNL!P284)</f>
        <v/>
      </c>
      <c r="I284" t="str">
        <f>IF(PNL!A284="","",IF(_CALC_PNL!E284=1,H284-G284,""))</f>
        <v/>
      </c>
    </row>
    <row r="285" spans="8:9" x14ac:dyDescent="0.45">
      <c r="H285" t="str">
        <f>IF(PNL!A285="","",_CALC_PNL!P285)</f>
        <v/>
      </c>
      <c r="I285" t="str">
        <f>IF(PNL!A285="","",IF(_CALC_PNL!E285=1,H285-G285,""))</f>
        <v/>
      </c>
    </row>
    <row r="286" spans="8:9" x14ac:dyDescent="0.45">
      <c r="H286" t="str">
        <f>IF(PNL!A286="","",_CALC_PNL!P286)</f>
        <v/>
      </c>
      <c r="I286" t="str">
        <f>IF(PNL!A286="","",IF(_CALC_PNL!E286=1,H286-G286,""))</f>
        <v/>
      </c>
    </row>
    <row r="287" spans="8:9" x14ac:dyDescent="0.45">
      <c r="H287" t="str">
        <f>IF(PNL!A287="","",_CALC_PNL!P287)</f>
        <v/>
      </c>
      <c r="I287" t="str">
        <f>IF(PNL!A287="","",IF(_CALC_PNL!E287=1,H287-G287,""))</f>
        <v/>
      </c>
    </row>
    <row r="288" spans="8:9" x14ac:dyDescent="0.45">
      <c r="H288" t="str">
        <f>IF(PNL!A288="","",_CALC_PNL!P288)</f>
        <v/>
      </c>
      <c r="I288" t="str">
        <f>IF(PNL!A288="","",IF(_CALC_PNL!E288=1,H288-G288,""))</f>
        <v/>
      </c>
    </row>
    <row r="289" spans="8:9" x14ac:dyDescent="0.45">
      <c r="H289" t="str">
        <f>IF(PNL!A289="","",_CALC_PNL!P289)</f>
        <v/>
      </c>
      <c r="I289" t="str">
        <f>IF(PNL!A289="","",IF(_CALC_PNL!E289=1,H289-G289,""))</f>
        <v/>
      </c>
    </row>
    <row r="290" spans="8:9" x14ac:dyDescent="0.45">
      <c r="H290" t="str">
        <f>IF(PNL!A290="","",_CALC_PNL!P290)</f>
        <v/>
      </c>
      <c r="I290" t="str">
        <f>IF(PNL!A290="","",IF(_CALC_PNL!E290=1,H290-G290,""))</f>
        <v/>
      </c>
    </row>
    <row r="291" spans="8:9" x14ac:dyDescent="0.45">
      <c r="H291" t="str">
        <f>IF(PNL!A291="","",_CALC_PNL!P291)</f>
        <v/>
      </c>
      <c r="I291" t="str">
        <f>IF(PNL!A291="","",IF(_CALC_PNL!E291=1,H291-G291,""))</f>
        <v/>
      </c>
    </row>
    <row r="292" spans="8:9" x14ac:dyDescent="0.45">
      <c r="H292" t="str">
        <f>IF(PNL!A292="","",_CALC_PNL!P292)</f>
        <v/>
      </c>
      <c r="I292" t="str">
        <f>IF(PNL!A292="","",IF(_CALC_PNL!E292=1,H292-G292,""))</f>
        <v/>
      </c>
    </row>
    <row r="293" spans="8:9" x14ac:dyDescent="0.45">
      <c r="H293" t="str">
        <f>IF(PNL!A293="","",_CALC_PNL!P293)</f>
        <v/>
      </c>
      <c r="I293" t="str">
        <f>IF(PNL!A293="","",IF(_CALC_PNL!E293=1,H293-G293,""))</f>
        <v/>
      </c>
    </row>
    <row r="294" spans="8:9" x14ac:dyDescent="0.45">
      <c r="H294" t="str">
        <f>IF(PNL!A294="","",_CALC_PNL!P294)</f>
        <v/>
      </c>
      <c r="I294" t="str">
        <f>IF(PNL!A294="","",IF(_CALC_PNL!E294=1,H294-G294,""))</f>
        <v/>
      </c>
    </row>
    <row r="295" spans="8:9" x14ac:dyDescent="0.45">
      <c r="H295" t="str">
        <f>IF(PNL!A295="","",_CALC_PNL!P295)</f>
        <v/>
      </c>
      <c r="I295" t="str">
        <f>IF(PNL!A295="","",IF(_CALC_PNL!E295=1,H295-G295,""))</f>
        <v/>
      </c>
    </row>
    <row r="296" spans="8:9" x14ac:dyDescent="0.45">
      <c r="H296" t="str">
        <f>IF(PNL!A296="","",_CALC_PNL!P296)</f>
        <v/>
      </c>
      <c r="I296" t="str">
        <f>IF(PNL!A296="","",IF(_CALC_PNL!E296=1,H296-G296,""))</f>
        <v/>
      </c>
    </row>
    <row r="297" spans="8:9" x14ac:dyDescent="0.45">
      <c r="H297" t="str">
        <f>IF(PNL!A297="","",_CALC_PNL!P297)</f>
        <v/>
      </c>
      <c r="I297" t="str">
        <f>IF(PNL!A297="","",IF(_CALC_PNL!E297=1,H297-G297,""))</f>
        <v/>
      </c>
    </row>
    <row r="298" spans="8:9" x14ac:dyDescent="0.45">
      <c r="H298" t="str">
        <f>IF(PNL!A298="","",_CALC_PNL!P298)</f>
        <v/>
      </c>
      <c r="I298" t="str">
        <f>IF(PNL!A298="","",IF(_CALC_PNL!E298=1,H298-G298,""))</f>
        <v/>
      </c>
    </row>
    <row r="299" spans="8:9" x14ac:dyDescent="0.45">
      <c r="H299" t="str">
        <f>IF(PNL!A299="","",_CALC_PNL!P299)</f>
        <v/>
      </c>
      <c r="I299" t="str">
        <f>IF(PNL!A299="","",IF(_CALC_PNL!E299=1,H299-G299,""))</f>
        <v/>
      </c>
    </row>
    <row r="300" spans="8:9" x14ac:dyDescent="0.45">
      <c r="H300" t="str">
        <f>IF(PNL!A300="","",_CALC_PNL!P300)</f>
        <v/>
      </c>
      <c r="I300" t="str">
        <f>IF(PNL!A300="","",IF(_CALC_PNL!E300=1,H300-G300,""))</f>
        <v/>
      </c>
    </row>
    <row r="301" spans="8:9" x14ac:dyDescent="0.45">
      <c r="H301" t="str">
        <f>IF(PNL!A301="","",_CALC_PNL!P301)</f>
        <v/>
      </c>
      <c r="I301" t="str">
        <f>IF(PNL!A301="","",IF(_CALC_PNL!E301=1,H301-G301,""))</f>
        <v/>
      </c>
    </row>
    <row r="302" spans="8:9" x14ac:dyDescent="0.45">
      <c r="H302" t="str">
        <f>IF(PNL!A302="","",_CALC_PNL!P302)</f>
        <v/>
      </c>
      <c r="I302" t="str">
        <f>IF(PNL!A302="","",IF(_CALC_PNL!E302=1,H302-G302,""))</f>
        <v/>
      </c>
    </row>
    <row r="303" spans="8:9" x14ac:dyDescent="0.45">
      <c r="H303" t="str">
        <f>IF(PNL!A303="","",_CALC_PNL!P303)</f>
        <v/>
      </c>
      <c r="I303" t="str">
        <f>IF(PNL!A303="","",IF(_CALC_PNL!E303=1,H303-G303,""))</f>
        <v/>
      </c>
    </row>
    <row r="304" spans="8:9" x14ac:dyDescent="0.45">
      <c r="H304" t="str">
        <f>IF(PNL!A304="","",_CALC_PNL!P304)</f>
        <v/>
      </c>
      <c r="I304" t="str">
        <f>IF(PNL!A304="","",IF(_CALC_PNL!E304=1,H304-G304,""))</f>
        <v/>
      </c>
    </row>
    <row r="305" spans="8:9" x14ac:dyDescent="0.45">
      <c r="H305" t="str">
        <f>IF(PNL!A305="","",_CALC_PNL!P305)</f>
        <v/>
      </c>
      <c r="I305" t="str">
        <f>IF(PNL!A305="","",IF(_CALC_PNL!E305=1,H305-G305,""))</f>
        <v/>
      </c>
    </row>
    <row r="306" spans="8:9" x14ac:dyDescent="0.45">
      <c r="H306" t="str">
        <f>IF(PNL!A306="","",_CALC_PNL!P306)</f>
        <v/>
      </c>
      <c r="I306" t="str">
        <f>IF(PNL!A306="","",IF(_CALC_PNL!E306=1,H306-G306,""))</f>
        <v/>
      </c>
    </row>
    <row r="307" spans="8:9" x14ac:dyDescent="0.45">
      <c r="H307" t="str">
        <f>IF(PNL!A307="","",_CALC_PNL!P307)</f>
        <v/>
      </c>
      <c r="I307" t="str">
        <f>IF(PNL!A307="","",IF(_CALC_PNL!E307=1,H307-G307,""))</f>
        <v/>
      </c>
    </row>
    <row r="308" spans="8:9" x14ac:dyDescent="0.45">
      <c r="H308" t="str">
        <f>IF(PNL!A308="","",_CALC_PNL!P308)</f>
        <v/>
      </c>
      <c r="I308" t="str">
        <f>IF(PNL!A308="","",IF(_CALC_PNL!E308=1,H308-G308,""))</f>
        <v/>
      </c>
    </row>
    <row r="309" spans="8:9" x14ac:dyDescent="0.45">
      <c r="H309" t="str">
        <f>IF(PNL!A309="","",_CALC_PNL!P309)</f>
        <v/>
      </c>
      <c r="I309" t="str">
        <f>IF(PNL!A309="","",IF(_CALC_PNL!E309=1,H309-G309,""))</f>
        <v/>
      </c>
    </row>
    <row r="310" spans="8:9" x14ac:dyDescent="0.45">
      <c r="H310" t="str">
        <f>IF(PNL!A310="","",_CALC_PNL!P310)</f>
        <v/>
      </c>
      <c r="I310" t="str">
        <f>IF(PNL!A310="","",IF(_CALC_PNL!E310=1,H310-G310,""))</f>
        <v/>
      </c>
    </row>
    <row r="311" spans="8:9" x14ac:dyDescent="0.45">
      <c r="H311" t="str">
        <f>IF(PNL!A311="","",_CALC_PNL!P311)</f>
        <v/>
      </c>
      <c r="I311" t="str">
        <f>IF(PNL!A311="","",IF(_CALC_PNL!E311=1,H311-G311,""))</f>
        <v/>
      </c>
    </row>
    <row r="312" spans="8:9" x14ac:dyDescent="0.45">
      <c r="H312" t="str">
        <f>IF(PNL!A312="","",_CALC_PNL!P312)</f>
        <v/>
      </c>
      <c r="I312" t="str">
        <f>IF(PNL!A312="","",IF(_CALC_PNL!E312=1,H312-G312,""))</f>
        <v/>
      </c>
    </row>
    <row r="313" spans="8:9" x14ac:dyDescent="0.45">
      <c r="H313" t="str">
        <f>IF(PNL!A313="","",_CALC_PNL!P313)</f>
        <v/>
      </c>
      <c r="I313" t="str">
        <f>IF(PNL!A313="","",IF(_CALC_PNL!E313=1,H313-G313,""))</f>
        <v/>
      </c>
    </row>
    <row r="314" spans="8:9" x14ac:dyDescent="0.45">
      <c r="H314" t="str">
        <f>IF(PNL!A314="","",_CALC_PNL!P314)</f>
        <v/>
      </c>
      <c r="I314" t="str">
        <f>IF(PNL!A314="","",IF(_CALC_PNL!E314=1,H314-G314,""))</f>
        <v/>
      </c>
    </row>
    <row r="315" spans="8:9" x14ac:dyDescent="0.45">
      <c r="H315" t="str">
        <f>IF(PNL!A315="","",_CALC_PNL!P315)</f>
        <v/>
      </c>
      <c r="I315" t="str">
        <f>IF(PNL!A315="","",IF(_CALC_PNL!E315=1,H315-G315,""))</f>
        <v/>
      </c>
    </row>
    <row r="316" spans="8:9" x14ac:dyDescent="0.45">
      <c r="H316" t="str">
        <f>IF(PNL!A316="","",_CALC_PNL!P316)</f>
        <v/>
      </c>
      <c r="I316" t="str">
        <f>IF(PNL!A316="","",IF(_CALC_PNL!E316=1,H316-G316,""))</f>
        <v/>
      </c>
    </row>
    <row r="317" spans="8:9" x14ac:dyDescent="0.45">
      <c r="H317" t="str">
        <f>IF(PNL!A317="","",_CALC_PNL!P317)</f>
        <v/>
      </c>
      <c r="I317" t="str">
        <f>IF(PNL!A317="","",IF(_CALC_PNL!E317=1,H317-G317,""))</f>
        <v/>
      </c>
    </row>
    <row r="318" spans="8:9" x14ac:dyDescent="0.45">
      <c r="H318" t="str">
        <f>IF(PNL!A318="","",_CALC_PNL!P318)</f>
        <v/>
      </c>
      <c r="I318" t="str">
        <f>IF(PNL!A318="","",IF(_CALC_PNL!E318=1,H318-G318,""))</f>
        <v/>
      </c>
    </row>
    <row r="319" spans="8:9" x14ac:dyDescent="0.45">
      <c r="H319" t="str">
        <f>IF(PNL!A319="","",_CALC_PNL!P319)</f>
        <v/>
      </c>
      <c r="I319" t="str">
        <f>IF(PNL!A319="","",IF(_CALC_PNL!E319=1,H319-G319,""))</f>
        <v/>
      </c>
    </row>
    <row r="320" spans="8:9" x14ac:dyDescent="0.45">
      <c r="H320" t="str">
        <f>IF(PNL!A320="","",_CALC_PNL!P320)</f>
        <v/>
      </c>
      <c r="I320" t="str">
        <f>IF(PNL!A320="","",IF(_CALC_PNL!E320=1,H320-G320,""))</f>
        <v/>
      </c>
    </row>
    <row r="321" spans="8:9" x14ac:dyDescent="0.45">
      <c r="H321" t="str">
        <f>IF(PNL!A321="","",_CALC_PNL!P321)</f>
        <v/>
      </c>
      <c r="I321" t="str">
        <f>IF(PNL!A321="","",IF(_CALC_PNL!E321=1,H321-G321,""))</f>
        <v/>
      </c>
    </row>
    <row r="322" spans="8:9" x14ac:dyDescent="0.45">
      <c r="H322" t="str">
        <f>IF(PNL!A322="","",_CALC_PNL!P322)</f>
        <v/>
      </c>
      <c r="I322" t="str">
        <f>IF(PNL!A322="","",IF(_CALC_PNL!E322=1,H322-G322,""))</f>
        <v/>
      </c>
    </row>
    <row r="323" spans="8:9" x14ac:dyDescent="0.45">
      <c r="H323" t="str">
        <f>IF(PNL!A323="","",_CALC_PNL!P323)</f>
        <v/>
      </c>
      <c r="I323" t="str">
        <f>IF(PNL!A323="","",IF(_CALC_PNL!E323=1,H323-G323,""))</f>
        <v/>
      </c>
    </row>
    <row r="324" spans="8:9" x14ac:dyDescent="0.45">
      <c r="H324" t="str">
        <f>IF(PNL!A324="","",_CALC_PNL!P324)</f>
        <v/>
      </c>
      <c r="I324" t="str">
        <f>IF(PNL!A324="","",IF(_CALC_PNL!E324=1,H324-G324,""))</f>
        <v/>
      </c>
    </row>
    <row r="325" spans="8:9" x14ac:dyDescent="0.45">
      <c r="H325" t="str">
        <f>IF(PNL!A325="","",_CALC_PNL!P325)</f>
        <v/>
      </c>
      <c r="I325" t="str">
        <f>IF(PNL!A325="","",IF(_CALC_PNL!E325=1,H325-G325,""))</f>
        <v/>
      </c>
    </row>
    <row r="326" spans="8:9" x14ac:dyDescent="0.45">
      <c r="H326" t="str">
        <f>IF(PNL!A326="","",_CALC_PNL!P326)</f>
        <v/>
      </c>
      <c r="I326" t="str">
        <f>IF(PNL!A326="","",IF(_CALC_PNL!E326=1,H326-G326,""))</f>
        <v/>
      </c>
    </row>
    <row r="327" spans="8:9" x14ac:dyDescent="0.45">
      <c r="H327" t="str">
        <f>IF(PNL!A327="","",_CALC_PNL!P327)</f>
        <v/>
      </c>
      <c r="I327" t="str">
        <f>IF(PNL!A327="","",IF(_CALC_PNL!E327=1,H327-G327,""))</f>
        <v/>
      </c>
    </row>
    <row r="328" spans="8:9" x14ac:dyDescent="0.45">
      <c r="H328" t="str">
        <f>IF(PNL!A328="","",_CALC_PNL!P328)</f>
        <v/>
      </c>
      <c r="I328" t="str">
        <f>IF(PNL!A328="","",IF(_CALC_PNL!E328=1,H328-G328,""))</f>
        <v/>
      </c>
    </row>
    <row r="329" spans="8:9" x14ac:dyDescent="0.45">
      <c r="H329" t="str">
        <f>IF(PNL!A329="","",_CALC_PNL!P329)</f>
        <v/>
      </c>
      <c r="I329" t="str">
        <f>IF(PNL!A329="","",IF(_CALC_PNL!E329=1,H329-G329,""))</f>
        <v/>
      </c>
    </row>
    <row r="330" spans="8:9" x14ac:dyDescent="0.45">
      <c r="H330" t="str">
        <f>IF(PNL!A330="","",_CALC_PNL!P330)</f>
        <v/>
      </c>
      <c r="I330" t="str">
        <f>IF(PNL!A330="","",IF(_CALC_PNL!E330=1,H330-G330,""))</f>
        <v/>
      </c>
    </row>
    <row r="331" spans="8:9" x14ac:dyDescent="0.45">
      <c r="H331" t="str">
        <f>IF(PNL!A331="","",_CALC_PNL!P331)</f>
        <v/>
      </c>
      <c r="I331" t="str">
        <f>IF(PNL!A331="","",IF(_CALC_PNL!E331=1,H331-G331,""))</f>
        <v/>
      </c>
    </row>
    <row r="332" spans="8:9" x14ac:dyDescent="0.45">
      <c r="H332" t="str">
        <f>IF(PNL!A332="","",_CALC_PNL!P332)</f>
        <v/>
      </c>
      <c r="I332" t="str">
        <f>IF(PNL!A332="","",IF(_CALC_PNL!E332=1,H332-G332,""))</f>
        <v/>
      </c>
    </row>
    <row r="333" spans="8:9" x14ac:dyDescent="0.45">
      <c r="H333" t="str">
        <f>IF(PNL!A333="","",_CALC_PNL!P333)</f>
        <v/>
      </c>
      <c r="I333" t="str">
        <f>IF(PNL!A333="","",IF(_CALC_PNL!E333=1,H333-G333,""))</f>
        <v/>
      </c>
    </row>
    <row r="334" spans="8:9" x14ac:dyDescent="0.45">
      <c r="H334" t="str">
        <f>IF(PNL!A334="","",_CALC_PNL!P334)</f>
        <v/>
      </c>
      <c r="I334" t="str">
        <f>IF(PNL!A334="","",IF(_CALC_PNL!E334=1,H334-G334,""))</f>
        <v/>
      </c>
    </row>
    <row r="335" spans="8:9" x14ac:dyDescent="0.45">
      <c r="H335" t="str">
        <f>IF(PNL!A335="","",_CALC_PNL!P335)</f>
        <v/>
      </c>
      <c r="I335" t="str">
        <f>IF(PNL!A335="","",IF(_CALC_PNL!E335=1,H335-G335,""))</f>
        <v/>
      </c>
    </row>
    <row r="336" spans="8:9" x14ac:dyDescent="0.45">
      <c r="H336" t="str">
        <f>IF(PNL!A336="","",_CALC_PNL!P336)</f>
        <v/>
      </c>
      <c r="I336" t="str">
        <f>IF(PNL!A336="","",IF(_CALC_PNL!E336=1,H336-G336,""))</f>
        <v/>
      </c>
    </row>
    <row r="337" spans="8:9" x14ac:dyDescent="0.45">
      <c r="H337" t="str">
        <f>IF(PNL!A337="","",_CALC_PNL!P337)</f>
        <v/>
      </c>
      <c r="I337" t="str">
        <f>IF(PNL!A337="","",IF(_CALC_PNL!E337=1,H337-G337,""))</f>
        <v/>
      </c>
    </row>
    <row r="338" spans="8:9" x14ac:dyDescent="0.45">
      <c r="H338" t="str">
        <f>IF(PNL!A338="","",_CALC_PNL!P338)</f>
        <v/>
      </c>
      <c r="I338" t="str">
        <f>IF(PNL!A338="","",IF(_CALC_PNL!E338=1,H338-G338,""))</f>
        <v/>
      </c>
    </row>
    <row r="339" spans="8:9" x14ac:dyDescent="0.45">
      <c r="H339" t="str">
        <f>IF(PNL!A339="","",_CALC_PNL!P339)</f>
        <v/>
      </c>
      <c r="I339" t="str">
        <f>IF(PNL!A339="","",IF(_CALC_PNL!E339=1,H339-G339,""))</f>
        <v/>
      </c>
    </row>
    <row r="340" spans="8:9" x14ac:dyDescent="0.45">
      <c r="H340" t="str">
        <f>IF(PNL!A340="","",_CALC_PNL!P340)</f>
        <v/>
      </c>
      <c r="I340" t="str">
        <f>IF(PNL!A340="","",IF(_CALC_PNL!E340=1,H340-G340,""))</f>
        <v/>
      </c>
    </row>
    <row r="341" spans="8:9" x14ac:dyDescent="0.45">
      <c r="H341" t="str">
        <f>IF(PNL!A341="","",_CALC_PNL!P341)</f>
        <v/>
      </c>
      <c r="I341" t="str">
        <f>IF(PNL!A341="","",IF(_CALC_PNL!E341=1,H341-G341,""))</f>
        <v/>
      </c>
    </row>
    <row r="342" spans="8:9" x14ac:dyDescent="0.45">
      <c r="H342" t="str">
        <f>IF(PNL!A342="","",_CALC_PNL!P342)</f>
        <v/>
      </c>
      <c r="I342" t="str">
        <f>IF(PNL!A342="","",IF(_CALC_PNL!E342=1,H342-G342,""))</f>
        <v/>
      </c>
    </row>
    <row r="343" spans="8:9" x14ac:dyDescent="0.45">
      <c r="H343" t="str">
        <f>IF(PNL!A343="","",_CALC_PNL!P343)</f>
        <v/>
      </c>
      <c r="I343" t="str">
        <f>IF(PNL!A343="","",IF(_CALC_PNL!E343=1,H343-G343,""))</f>
        <v/>
      </c>
    </row>
    <row r="344" spans="8:9" x14ac:dyDescent="0.45">
      <c r="H344" t="str">
        <f>IF(PNL!A344="","",_CALC_PNL!P344)</f>
        <v/>
      </c>
      <c r="I344" t="str">
        <f>IF(PNL!A344="","",IF(_CALC_PNL!E344=1,H344-G344,""))</f>
        <v/>
      </c>
    </row>
    <row r="345" spans="8:9" x14ac:dyDescent="0.45">
      <c r="H345" t="str">
        <f>IF(PNL!A345="","",_CALC_PNL!P345)</f>
        <v/>
      </c>
      <c r="I345" t="str">
        <f>IF(PNL!A345="","",IF(_CALC_PNL!E345=1,H345-G345,""))</f>
        <v/>
      </c>
    </row>
    <row r="346" spans="8:9" x14ac:dyDescent="0.45">
      <c r="H346" t="str">
        <f>IF(PNL!A346="","",_CALC_PNL!P346)</f>
        <v/>
      </c>
      <c r="I346" t="str">
        <f>IF(PNL!A346="","",IF(_CALC_PNL!E346=1,H346-G346,""))</f>
        <v/>
      </c>
    </row>
    <row r="347" spans="8:9" x14ac:dyDescent="0.45">
      <c r="H347" t="str">
        <f>IF(PNL!A347="","",_CALC_PNL!P347)</f>
        <v/>
      </c>
      <c r="I347" t="str">
        <f>IF(PNL!A347="","",IF(_CALC_PNL!E347=1,H347-G347,""))</f>
        <v/>
      </c>
    </row>
    <row r="348" spans="8:9" x14ac:dyDescent="0.45">
      <c r="H348" t="str">
        <f>IF(PNL!A348="","",_CALC_PNL!P348)</f>
        <v/>
      </c>
      <c r="I348" t="str">
        <f>IF(PNL!A348="","",IF(_CALC_PNL!E348=1,H348-G348,""))</f>
        <v/>
      </c>
    </row>
    <row r="349" spans="8:9" x14ac:dyDescent="0.45">
      <c r="H349" t="str">
        <f>IF(PNL!A349="","",_CALC_PNL!P349)</f>
        <v/>
      </c>
      <c r="I349" t="str">
        <f>IF(PNL!A349="","",IF(_CALC_PNL!E349=1,H349-G349,""))</f>
        <v/>
      </c>
    </row>
    <row r="350" spans="8:9" x14ac:dyDescent="0.45">
      <c r="H350" t="str">
        <f>IF(PNL!A350="","",_CALC_PNL!P350)</f>
        <v/>
      </c>
      <c r="I350" t="str">
        <f>IF(PNL!A350="","",IF(_CALC_PNL!E350=1,H350-G350,""))</f>
        <v/>
      </c>
    </row>
    <row r="351" spans="8:9" x14ac:dyDescent="0.45">
      <c r="H351" t="str">
        <f>IF(PNL!A351="","",_CALC_PNL!P351)</f>
        <v/>
      </c>
      <c r="I351" t="str">
        <f>IF(PNL!A351="","",IF(_CALC_PNL!E351=1,H351-G351,""))</f>
        <v/>
      </c>
    </row>
    <row r="352" spans="8:9" x14ac:dyDescent="0.45">
      <c r="H352" t="str">
        <f>IF(PNL!A352="","",_CALC_PNL!P352)</f>
        <v/>
      </c>
      <c r="I352" t="str">
        <f>IF(PNL!A352="","",IF(_CALC_PNL!E352=1,H352-G352,""))</f>
        <v/>
      </c>
    </row>
    <row r="353" spans="8:9" x14ac:dyDescent="0.45">
      <c r="H353" t="str">
        <f>IF(PNL!A353="","",_CALC_PNL!P353)</f>
        <v/>
      </c>
      <c r="I353" t="str">
        <f>IF(PNL!A353="","",IF(_CALC_PNL!E353=1,H353-G353,""))</f>
        <v/>
      </c>
    </row>
    <row r="354" spans="8:9" x14ac:dyDescent="0.45">
      <c r="H354" t="str">
        <f>IF(PNL!A354="","",_CALC_PNL!P354)</f>
        <v/>
      </c>
      <c r="I354" t="str">
        <f>IF(PNL!A354="","",IF(_CALC_PNL!E354=1,H354-G354,""))</f>
        <v/>
      </c>
    </row>
    <row r="355" spans="8:9" x14ac:dyDescent="0.45">
      <c r="H355" t="str">
        <f>IF(PNL!A355="","",_CALC_PNL!P355)</f>
        <v/>
      </c>
      <c r="I355" t="str">
        <f>IF(PNL!A355="","",IF(_CALC_PNL!E355=1,H355-G355,""))</f>
        <v/>
      </c>
    </row>
    <row r="356" spans="8:9" x14ac:dyDescent="0.45">
      <c r="H356" t="str">
        <f>IF(PNL!A356="","",_CALC_PNL!P356)</f>
        <v/>
      </c>
      <c r="I356" t="str">
        <f>IF(PNL!A356="","",IF(_CALC_PNL!E356=1,H356-G356,""))</f>
        <v/>
      </c>
    </row>
    <row r="357" spans="8:9" x14ac:dyDescent="0.45">
      <c r="H357" t="str">
        <f>IF(PNL!A357="","",_CALC_PNL!P357)</f>
        <v/>
      </c>
      <c r="I357" t="str">
        <f>IF(PNL!A357="","",IF(_CALC_PNL!E357=1,H357-G357,""))</f>
        <v/>
      </c>
    </row>
    <row r="358" spans="8:9" x14ac:dyDescent="0.45">
      <c r="H358" t="str">
        <f>IF(PNL!A358="","",_CALC_PNL!P358)</f>
        <v/>
      </c>
      <c r="I358" t="str">
        <f>IF(PNL!A358="","",IF(_CALC_PNL!E358=1,H358-G358,""))</f>
        <v/>
      </c>
    </row>
    <row r="359" spans="8:9" x14ac:dyDescent="0.45">
      <c r="H359" t="str">
        <f>IF(PNL!A359="","",_CALC_PNL!P359)</f>
        <v/>
      </c>
      <c r="I359" t="str">
        <f>IF(PNL!A359="","",IF(_CALC_PNL!E359=1,H359-G359,""))</f>
        <v/>
      </c>
    </row>
    <row r="360" spans="8:9" x14ac:dyDescent="0.45">
      <c r="H360" t="str">
        <f>IF(PNL!A360="","",_CALC_PNL!P360)</f>
        <v/>
      </c>
      <c r="I360" t="str">
        <f>IF(PNL!A360="","",IF(_CALC_PNL!E360=1,H360-G360,""))</f>
        <v/>
      </c>
    </row>
    <row r="361" spans="8:9" x14ac:dyDescent="0.45">
      <c r="H361" t="str">
        <f>IF(PNL!A361="","",_CALC_PNL!P361)</f>
        <v/>
      </c>
      <c r="I361" t="str">
        <f>IF(PNL!A361="","",IF(_CALC_PNL!E361=1,H361-G361,""))</f>
        <v/>
      </c>
    </row>
    <row r="362" spans="8:9" x14ac:dyDescent="0.45">
      <c r="H362" t="str">
        <f>IF(PNL!A362="","",_CALC_PNL!P362)</f>
        <v/>
      </c>
      <c r="I362" t="str">
        <f>IF(PNL!A362="","",IF(_CALC_PNL!E362=1,H362-G362,""))</f>
        <v/>
      </c>
    </row>
    <row r="363" spans="8:9" x14ac:dyDescent="0.45">
      <c r="H363" t="str">
        <f>IF(PNL!A363="","",_CALC_PNL!P363)</f>
        <v/>
      </c>
      <c r="I363" t="str">
        <f>IF(PNL!A363="","",IF(_CALC_PNL!E363=1,H363-G363,""))</f>
        <v/>
      </c>
    </row>
    <row r="364" spans="8:9" x14ac:dyDescent="0.45">
      <c r="H364" t="str">
        <f>IF(PNL!A364="","",_CALC_PNL!P364)</f>
        <v/>
      </c>
      <c r="I364" t="str">
        <f>IF(PNL!A364="","",IF(_CALC_PNL!E364=1,H364-G364,""))</f>
        <v/>
      </c>
    </row>
    <row r="365" spans="8:9" x14ac:dyDescent="0.45">
      <c r="H365" t="str">
        <f>IF(PNL!A365="","",_CALC_PNL!P365)</f>
        <v/>
      </c>
      <c r="I365" t="str">
        <f>IF(PNL!A365="","",IF(_CALC_PNL!E365=1,H365-G365,""))</f>
        <v/>
      </c>
    </row>
    <row r="366" spans="8:9" x14ac:dyDescent="0.45">
      <c r="H366" t="str">
        <f>IF(PNL!A366="","",_CALC_PNL!P366)</f>
        <v/>
      </c>
      <c r="I366" t="str">
        <f>IF(PNL!A366="","",IF(_CALC_PNL!E366=1,H366-G366,""))</f>
        <v/>
      </c>
    </row>
    <row r="367" spans="8:9" x14ac:dyDescent="0.45">
      <c r="H367" t="str">
        <f>IF(PNL!A367="","",_CALC_PNL!P367)</f>
        <v/>
      </c>
      <c r="I367" t="str">
        <f>IF(PNL!A367="","",IF(_CALC_PNL!E367=1,H367-G367,""))</f>
        <v/>
      </c>
    </row>
    <row r="368" spans="8:9" x14ac:dyDescent="0.45">
      <c r="H368" t="str">
        <f>IF(PNL!A368="","",_CALC_PNL!P368)</f>
        <v/>
      </c>
      <c r="I368" t="str">
        <f>IF(PNL!A368="","",IF(_CALC_PNL!E368=1,H368-G368,""))</f>
        <v/>
      </c>
    </row>
    <row r="369" spans="8:9" x14ac:dyDescent="0.45">
      <c r="H369" t="str">
        <f>IF(PNL!A369="","",_CALC_PNL!P369)</f>
        <v/>
      </c>
      <c r="I369" t="str">
        <f>IF(PNL!A369="","",IF(_CALC_PNL!E369=1,H369-G369,""))</f>
        <v/>
      </c>
    </row>
    <row r="370" spans="8:9" x14ac:dyDescent="0.45">
      <c r="H370" t="str">
        <f>IF(PNL!A370="","",_CALC_PNL!P370)</f>
        <v/>
      </c>
      <c r="I370" t="str">
        <f>IF(PNL!A370="","",IF(_CALC_PNL!E370=1,H370-G370,""))</f>
        <v/>
      </c>
    </row>
    <row r="371" spans="8:9" x14ac:dyDescent="0.45">
      <c r="H371" t="str">
        <f>IF(PNL!A371="","",_CALC_PNL!P371)</f>
        <v/>
      </c>
      <c r="I371" t="str">
        <f>IF(PNL!A371="","",IF(_CALC_PNL!E371=1,H371-G371,""))</f>
        <v/>
      </c>
    </row>
    <row r="372" spans="8:9" x14ac:dyDescent="0.45">
      <c r="H372" t="str">
        <f>IF(PNL!A372="","",_CALC_PNL!P372)</f>
        <v/>
      </c>
      <c r="I372" t="str">
        <f>IF(PNL!A372="","",IF(_CALC_PNL!E372=1,H372-G372,""))</f>
        <v/>
      </c>
    </row>
    <row r="373" spans="8:9" x14ac:dyDescent="0.45">
      <c r="H373" t="str">
        <f>IF(PNL!A373="","",_CALC_PNL!P373)</f>
        <v/>
      </c>
      <c r="I373" t="str">
        <f>IF(PNL!A373="","",IF(_CALC_PNL!E373=1,H373-G373,""))</f>
        <v/>
      </c>
    </row>
    <row r="374" spans="8:9" x14ac:dyDescent="0.45">
      <c r="H374" t="str">
        <f>IF(PNL!A374="","",_CALC_PNL!P374)</f>
        <v/>
      </c>
      <c r="I374" t="str">
        <f>IF(PNL!A374="","",IF(_CALC_PNL!E374=1,H374-G374,""))</f>
        <v/>
      </c>
    </row>
    <row r="375" spans="8:9" x14ac:dyDescent="0.45">
      <c r="H375" t="str">
        <f>IF(PNL!A375="","",_CALC_PNL!P375)</f>
        <v/>
      </c>
      <c r="I375" t="str">
        <f>IF(PNL!A375="","",IF(_CALC_PNL!E375=1,H375-G375,""))</f>
        <v/>
      </c>
    </row>
    <row r="376" spans="8:9" x14ac:dyDescent="0.45">
      <c r="H376" t="str">
        <f>IF(PNL!A376="","",_CALC_PNL!P376)</f>
        <v/>
      </c>
      <c r="I376" t="str">
        <f>IF(PNL!A376="","",IF(_CALC_PNL!E376=1,H376-G376,""))</f>
        <v/>
      </c>
    </row>
    <row r="377" spans="8:9" x14ac:dyDescent="0.45">
      <c r="H377" t="str">
        <f>IF(PNL!A377="","",_CALC_PNL!P377)</f>
        <v/>
      </c>
      <c r="I377" t="str">
        <f>IF(PNL!A377="","",IF(_CALC_PNL!E377=1,H377-G377,""))</f>
        <v/>
      </c>
    </row>
    <row r="378" spans="8:9" x14ac:dyDescent="0.45">
      <c r="H378" t="str">
        <f>IF(PNL!A378="","",_CALC_PNL!P378)</f>
        <v/>
      </c>
      <c r="I378" t="str">
        <f>IF(PNL!A378="","",IF(_CALC_PNL!E378=1,H378-G378,""))</f>
        <v/>
      </c>
    </row>
    <row r="379" spans="8:9" x14ac:dyDescent="0.45">
      <c r="H379" t="str">
        <f>IF(PNL!A379="","",_CALC_PNL!P379)</f>
        <v/>
      </c>
      <c r="I379" t="str">
        <f>IF(PNL!A379="","",IF(_CALC_PNL!E379=1,H379-G379,""))</f>
        <v/>
      </c>
    </row>
    <row r="380" spans="8:9" x14ac:dyDescent="0.45">
      <c r="H380" t="str">
        <f>IF(PNL!A380="","",_CALC_PNL!P380)</f>
        <v/>
      </c>
      <c r="I380" t="str">
        <f>IF(PNL!A380="","",IF(_CALC_PNL!E380=1,H380-G380,""))</f>
        <v/>
      </c>
    </row>
    <row r="381" spans="8:9" x14ac:dyDescent="0.45">
      <c r="H381" t="str">
        <f>IF(PNL!A381="","",_CALC_PNL!P381)</f>
        <v/>
      </c>
      <c r="I381" t="str">
        <f>IF(PNL!A381="","",IF(_CALC_PNL!E381=1,H381-G381,""))</f>
        <v/>
      </c>
    </row>
    <row r="382" spans="8:9" x14ac:dyDescent="0.45">
      <c r="H382" t="str">
        <f>IF(PNL!A382="","",_CALC_PNL!P382)</f>
        <v/>
      </c>
      <c r="I382" t="str">
        <f>IF(PNL!A382="","",IF(_CALC_PNL!E382=1,H382-G382,""))</f>
        <v/>
      </c>
    </row>
    <row r="383" spans="8:9" x14ac:dyDescent="0.45">
      <c r="H383" t="str">
        <f>IF(PNL!A383="","",_CALC_PNL!P383)</f>
        <v/>
      </c>
      <c r="I383" t="str">
        <f>IF(PNL!A383="","",IF(_CALC_PNL!E383=1,H383-G383,""))</f>
        <v/>
      </c>
    </row>
    <row r="384" spans="8:9" x14ac:dyDescent="0.45">
      <c r="H384" t="str">
        <f>IF(PNL!A384="","",_CALC_PNL!P384)</f>
        <v/>
      </c>
      <c r="I384" t="str">
        <f>IF(PNL!A384="","",IF(_CALC_PNL!E384=1,H384-G384,""))</f>
        <v/>
      </c>
    </row>
    <row r="385" spans="8:9" x14ac:dyDescent="0.45">
      <c r="H385" t="str">
        <f>IF(PNL!A385="","",_CALC_PNL!P385)</f>
        <v/>
      </c>
      <c r="I385" t="str">
        <f>IF(PNL!A385="","",IF(_CALC_PNL!E385=1,H385-G385,""))</f>
        <v/>
      </c>
    </row>
    <row r="386" spans="8:9" x14ac:dyDescent="0.45">
      <c r="H386" t="str">
        <f>IF(PNL!A386="","",_CALC_PNL!P386)</f>
        <v/>
      </c>
      <c r="I386" t="str">
        <f>IF(PNL!A386="","",IF(_CALC_PNL!E386=1,H386-G386,""))</f>
        <v/>
      </c>
    </row>
    <row r="387" spans="8:9" x14ac:dyDescent="0.45">
      <c r="H387" t="str">
        <f>IF(PNL!A387="","",_CALC_PNL!P387)</f>
        <v/>
      </c>
      <c r="I387" t="str">
        <f>IF(PNL!A387="","",IF(_CALC_PNL!E387=1,H387-G387,""))</f>
        <v/>
      </c>
    </row>
    <row r="388" spans="8:9" x14ac:dyDescent="0.45">
      <c r="H388" t="str">
        <f>IF(PNL!A388="","",_CALC_PNL!P388)</f>
        <v/>
      </c>
      <c r="I388" t="str">
        <f>IF(PNL!A388="","",IF(_CALC_PNL!E388=1,H388-G388,""))</f>
        <v/>
      </c>
    </row>
    <row r="389" spans="8:9" x14ac:dyDescent="0.45">
      <c r="H389" t="str">
        <f>IF(PNL!A389="","",_CALC_PNL!P389)</f>
        <v/>
      </c>
      <c r="I389" t="str">
        <f>IF(PNL!A389="","",IF(_CALC_PNL!E389=1,H389-G389,""))</f>
        <v/>
      </c>
    </row>
    <row r="390" spans="8:9" x14ac:dyDescent="0.45">
      <c r="H390" t="str">
        <f>IF(PNL!A390="","",_CALC_PNL!P390)</f>
        <v/>
      </c>
      <c r="I390" t="str">
        <f>IF(PNL!A390="","",IF(_CALC_PNL!E390=1,H390-G390,""))</f>
        <v/>
      </c>
    </row>
    <row r="391" spans="8:9" x14ac:dyDescent="0.45">
      <c r="H391" t="str">
        <f>IF(PNL!A391="","",_CALC_PNL!P391)</f>
        <v/>
      </c>
      <c r="I391" t="str">
        <f>IF(PNL!A391="","",IF(_CALC_PNL!E391=1,H391-G391,""))</f>
        <v/>
      </c>
    </row>
    <row r="392" spans="8:9" x14ac:dyDescent="0.45">
      <c r="H392" t="str">
        <f>IF(PNL!A392="","",_CALC_PNL!P392)</f>
        <v/>
      </c>
      <c r="I392" t="str">
        <f>IF(PNL!A392="","",IF(_CALC_PNL!E392=1,H392-G392,""))</f>
        <v/>
      </c>
    </row>
    <row r="393" spans="8:9" x14ac:dyDescent="0.45">
      <c r="H393" t="str">
        <f>IF(PNL!A393="","",_CALC_PNL!P393)</f>
        <v/>
      </c>
      <c r="I393" t="str">
        <f>IF(PNL!A393="","",IF(_CALC_PNL!E393=1,H393-G393,""))</f>
        <v/>
      </c>
    </row>
    <row r="394" spans="8:9" x14ac:dyDescent="0.45">
      <c r="H394" t="str">
        <f>IF(PNL!A394="","",_CALC_PNL!P394)</f>
        <v/>
      </c>
      <c r="I394" t="str">
        <f>IF(PNL!A394="","",IF(_CALC_PNL!E394=1,H394-G394,""))</f>
        <v/>
      </c>
    </row>
    <row r="395" spans="8:9" x14ac:dyDescent="0.45">
      <c r="H395" t="str">
        <f>IF(PNL!A395="","",_CALC_PNL!P395)</f>
        <v/>
      </c>
      <c r="I395" t="str">
        <f>IF(PNL!A395="","",IF(_CALC_PNL!E395=1,H395-G395,""))</f>
        <v/>
      </c>
    </row>
    <row r="396" spans="8:9" x14ac:dyDescent="0.45">
      <c r="H396" t="str">
        <f>IF(PNL!A396="","",_CALC_PNL!P396)</f>
        <v/>
      </c>
      <c r="I396" t="str">
        <f>IF(PNL!A396="","",IF(_CALC_PNL!E396=1,H396-G396,""))</f>
        <v/>
      </c>
    </row>
    <row r="397" spans="8:9" x14ac:dyDescent="0.45">
      <c r="H397" t="str">
        <f>IF(PNL!A397="","",_CALC_PNL!P397)</f>
        <v/>
      </c>
      <c r="I397" t="str">
        <f>IF(PNL!A397="","",IF(_CALC_PNL!E397=1,H397-G397,""))</f>
        <v/>
      </c>
    </row>
    <row r="398" spans="8:9" x14ac:dyDescent="0.45">
      <c r="H398" t="str">
        <f>IF(PNL!A398="","",_CALC_PNL!P398)</f>
        <v/>
      </c>
      <c r="I398" t="str">
        <f>IF(PNL!A398="","",IF(_CALC_PNL!E398=1,H398-G398,""))</f>
        <v/>
      </c>
    </row>
    <row r="399" spans="8:9" x14ac:dyDescent="0.45">
      <c r="H399" t="str">
        <f>IF(PNL!A399="","",_CALC_PNL!P399)</f>
        <v/>
      </c>
      <c r="I399" t="str">
        <f>IF(PNL!A399="","",IF(_CALC_PNL!E399=1,H399-G399,""))</f>
        <v/>
      </c>
    </row>
    <row r="400" spans="8:9" x14ac:dyDescent="0.45">
      <c r="H400" t="str">
        <f>IF(PNL!A400="","",_CALC_PNL!P400)</f>
        <v/>
      </c>
      <c r="I400" t="str">
        <f>IF(PNL!A400="","",IF(_CALC_PNL!E400=1,H400-G400,""))</f>
        <v/>
      </c>
    </row>
    <row r="401" spans="8:9" x14ac:dyDescent="0.45">
      <c r="H401" t="str">
        <f>IF(PNL!A401="","",_CALC_PNL!P401)</f>
        <v/>
      </c>
      <c r="I401" t="str">
        <f>IF(PNL!A401="","",IF(_CALC_PNL!E401=1,H401-G401,""))</f>
        <v/>
      </c>
    </row>
    <row r="402" spans="8:9" x14ac:dyDescent="0.45">
      <c r="H402" t="str">
        <f>IF(PNL!A402="","",_CALC_PNL!P402)</f>
        <v/>
      </c>
      <c r="I402" t="str">
        <f>IF(PNL!A402="","",IF(_CALC_PNL!E402=1,H402-G402,""))</f>
        <v/>
      </c>
    </row>
    <row r="403" spans="8:9" x14ac:dyDescent="0.45">
      <c r="H403" t="str">
        <f>IF(PNL!A403="","",_CALC_PNL!P403)</f>
        <v/>
      </c>
      <c r="I403" t="str">
        <f>IF(PNL!A403="","",IF(_CALC_PNL!E403=1,H403-G403,""))</f>
        <v/>
      </c>
    </row>
    <row r="404" spans="8:9" x14ac:dyDescent="0.45">
      <c r="H404" t="str">
        <f>IF(PNL!A404="","",_CALC_PNL!P404)</f>
        <v/>
      </c>
      <c r="I404" t="str">
        <f>IF(PNL!A404="","",IF(_CALC_PNL!E404=1,H404-G404,""))</f>
        <v/>
      </c>
    </row>
    <row r="405" spans="8:9" x14ac:dyDescent="0.45">
      <c r="H405" t="str">
        <f>IF(PNL!A405="","",_CALC_PNL!P405)</f>
        <v/>
      </c>
      <c r="I405" t="str">
        <f>IF(PNL!A405="","",IF(_CALC_PNL!E405=1,H405-G405,""))</f>
        <v/>
      </c>
    </row>
    <row r="406" spans="8:9" x14ac:dyDescent="0.45">
      <c r="H406" t="str">
        <f>IF(PNL!A406="","",_CALC_PNL!P406)</f>
        <v/>
      </c>
      <c r="I406" t="str">
        <f>IF(PNL!A406="","",IF(_CALC_PNL!E406=1,H406-G406,""))</f>
        <v/>
      </c>
    </row>
    <row r="407" spans="8:9" x14ac:dyDescent="0.45">
      <c r="H407" t="str">
        <f>IF(PNL!A407="","",_CALC_PNL!P407)</f>
        <v/>
      </c>
      <c r="I407" t="str">
        <f>IF(PNL!A407="","",IF(_CALC_PNL!E407=1,H407-G407,""))</f>
        <v/>
      </c>
    </row>
    <row r="408" spans="8:9" x14ac:dyDescent="0.45">
      <c r="H408" t="str">
        <f>IF(PNL!A408="","",_CALC_PNL!P408)</f>
        <v/>
      </c>
      <c r="I408" t="str">
        <f>IF(PNL!A408="","",IF(_CALC_PNL!E408=1,H408-G408,""))</f>
        <v/>
      </c>
    </row>
    <row r="409" spans="8:9" x14ac:dyDescent="0.45">
      <c r="H409" t="str">
        <f>IF(PNL!A409="","",_CALC_PNL!P409)</f>
        <v/>
      </c>
      <c r="I409" t="str">
        <f>IF(PNL!A409="","",IF(_CALC_PNL!E409=1,H409-G409,""))</f>
        <v/>
      </c>
    </row>
    <row r="410" spans="8:9" x14ac:dyDescent="0.45">
      <c r="H410" t="str">
        <f>IF(PNL!A410="","",_CALC_PNL!P410)</f>
        <v/>
      </c>
      <c r="I410" t="str">
        <f>IF(PNL!A410="","",IF(_CALC_PNL!E410=1,H410-G410,""))</f>
        <v/>
      </c>
    </row>
    <row r="411" spans="8:9" x14ac:dyDescent="0.45">
      <c r="H411" t="str">
        <f>IF(PNL!A411="","",_CALC_PNL!P411)</f>
        <v/>
      </c>
      <c r="I411" t="str">
        <f>IF(PNL!A411="","",IF(_CALC_PNL!E411=1,H411-G411,""))</f>
        <v/>
      </c>
    </row>
    <row r="412" spans="8:9" x14ac:dyDescent="0.45">
      <c r="H412" t="str">
        <f>IF(PNL!A412="","",_CALC_PNL!P412)</f>
        <v/>
      </c>
      <c r="I412" t="str">
        <f>IF(PNL!A412="","",IF(_CALC_PNL!E412=1,H412-G412,""))</f>
        <v/>
      </c>
    </row>
    <row r="413" spans="8:9" x14ac:dyDescent="0.45">
      <c r="H413" t="str">
        <f>IF(PNL!A413="","",_CALC_PNL!P413)</f>
        <v/>
      </c>
      <c r="I413" t="str">
        <f>IF(PNL!A413="","",IF(_CALC_PNL!E413=1,H413-G413,""))</f>
        <v/>
      </c>
    </row>
    <row r="414" spans="8:9" x14ac:dyDescent="0.45">
      <c r="H414" t="str">
        <f>IF(PNL!A414="","",_CALC_PNL!P414)</f>
        <v/>
      </c>
      <c r="I414" t="str">
        <f>IF(PNL!A414="","",IF(_CALC_PNL!E414=1,H414-G414,""))</f>
        <v/>
      </c>
    </row>
    <row r="415" spans="8:9" x14ac:dyDescent="0.45">
      <c r="H415" t="str">
        <f>IF(PNL!A415="","",_CALC_PNL!P415)</f>
        <v/>
      </c>
      <c r="I415" t="str">
        <f>IF(PNL!A415="","",IF(_CALC_PNL!E415=1,H415-G415,""))</f>
        <v/>
      </c>
    </row>
    <row r="416" spans="8:9" x14ac:dyDescent="0.45">
      <c r="H416" t="str">
        <f>IF(PNL!A416="","",_CALC_PNL!P416)</f>
        <v/>
      </c>
      <c r="I416" t="str">
        <f>IF(PNL!A416="","",IF(_CALC_PNL!E416=1,H416-G416,""))</f>
        <v/>
      </c>
    </row>
    <row r="417" spans="8:9" x14ac:dyDescent="0.45">
      <c r="H417" t="str">
        <f>IF(PNL!A417="","",_CALC_PNL!P417)</f>
        <v/>
      </c>
      <c r="I417" t="str">
        <f>IF(PNL!A417="","",IF(_CALC_PNL!E417=1,H417-G417,""))</f>
        <v/>
      </c>
    </row>
    <row r="418" spans="8:9" x14ac:dyDescent="0.45">
      <c r="H418" t="str">
        <f>IF(PNL!A418="","",_CALC_PNL!P418)</f>
        <v/>
      </c>
      <c r="I418" t="str">
        <f>IF(PNL!A418="","",IF(_CALC_PNL!E418=1,H418-G418,""))</f>
        <v/>
      </c>
    </row>
    <row r="419" spans="8:9" x14ac:dyDescent="0.45">
      <c r="H419" t="str">
        <f>IF(PNL!A419="","",_CALC_PNL!P419)</f>
        <v/>
      </c>
      <c r="I419" t="str">
        <f>IF(PNL!A419="","",IF(_CALC_PNL!E419=1,H419-G419,""))</f>
        <v/>
      </c>
    </row>
    <row r="420" spans="8:9" x14ac:dyDescent="0.45">
      <c r="H420" t="str">
        <f>IF(PNL!A420="","",_CALC_PNL!P420)</f>
        <v/>
      </c>
      <c r="I420" t="str">
        <f>IF(PNL!A420="","",IF(_CALC_PNL!E420=1,H420-G420,""))</f>
        <v/>
      </c>
    </row>
    <row r="421" spans="8:9" x14ac:dyDescent="0.45">
      <c r="H421" t="str">
        <f>IF(PNL!A421="","",_CALC_PNL!P421)</f>
        <v/>
      </c>
      <c r="I421" t="str">
        <f>IF(PNL!A421="","",IF(_CALC_PNL!E421=1,H421-G421,""))</f>
        <v/>
      </c>
    </row>
    <row r="422" spans="8:9" x14ac:dyDescent="0.45">
      <c r="H422" t="str">
        <f>IF(PNL!A422="","",_CALC_PNL!P422)</f>
        <v/>
      </c>
      <c r="I422" t="str">
        <f>IF(PNL!A422="","",IF(_CALC_PNL!E422=1,H422-G422,""))</f>
        <v/>
      </c>
    </row>
    <row r="423" spans="8:9" x14ac:dyDescent="0.45">
      <c r="H423" t="str">
        <f>IF(PNL!A423="","",_CALC_PNL!P423)</f>
        <v/>
      </c>
      <c r="I423" t="str">
        <f>IF(PNL!A423="","",IF(_CALC_PNL!E423=1,H423-G423,""))</f>
        <v/>
      </c>
    </row>
    <row r="424" spans="8:9" x14ac:dyDescent="0.45">
      <c r="H424" t="str">
        <f>IF(PNL!A424="","",_CALC_PNL!P424)</f>
        <v/>
      </c>
      <c r="I424" t="str">
        <f>IF(PNL!A424="","",IF(_CALC_PNL!E424=1,H424-G424,""))</f>
        <v/>
      </c>
    </row>
    <row r="425" spans="8:9" x14ac:dyDescent="0.45">
      <c r="H425" t="str">
        <f>IF(PNL!A425="","",_CALC_PNL!P425)</f>
        <v/>
      </c>
      <c r="I425" t="str">
        <f>IF(PNL!A425="","",IF(_CALC_PNL!E425=1,H425-G425,""))</f>
        <v/>
      </c>
    </row>
    <row r="426" spans="8:9" x14ac:dyDescent="0.45">
      <c r="H426" t="str">
        <f>IF(PNL!A426="","",_CALC_PNL!P426)</f>
        <v/>
      </c>
      <c r="I426" t="str">
        <f>IF(PNL!A426="","",IF(_CALC_PNL!E426=1,H426-G426,""))</f>
        <v/>
      </c>
    </row>
    <row r="427" spans="8:9" x14ac:dyDescent="0.45">
      <c r="H427" t="str">
        <f>IF(PNL!A427="","",_CALC_PNL!P427)</f>
        <v/>
      </c>
      <c r="I427" t="str">
        <f>IF(PNL!A427="","",IF(_CALC_PNL!E427=1,H427-G427,""))</f>
        <v/>
      </c>
    </row>
    <row r="428" spans="8:9" x14ac:dyDescent="0.45">
      <c r="H428" t="str">
        <f>IF(PNL!A428="","",_CALC_PNL!P428)</f>
        <v/>
      </c>
      <c r="I428" t="str">
        <f>IF(PNL!A428="","",IF(_CALC_PNL!E428=1,H428-G428,""))</f>
        <v/>
      </c>
    </row>
    <row r="429" spans="8:9" x14ac:dyDescent="0.45">
      <c r="H429" t="str">
        <f>IF(PNL!A429="","",_CALC_PNL!P429)</f>
        <v/>
      </c>
      <c r="I429" t="str">
        <f>IF(PNL!A429="","",IF(_CALC_PNL!E429=1,H429-G429,""))</f>
        <v/>
      </c>
    </row>
    <row r="430" spans="8:9" x14ac:dyDescent="0.45">
      <c r="H430" t="str">
        <f>IF(PNL!A430="","",_CALC_PNL!P430)</f>
        <v/>
      </c>
      <c r="I430" t="str">
        <f>IF(PNL!A430="","",IF(_CALC_PNL!E430=1,H430-G430,""))</f>
        <v/>
      </c>
    </row>
    <row r="431" spans="8:9" x14ac:dyDescent="0.45">
      <c r="H431" t="str">
        <f>IF(PNL!A431="","",_CALC_PNL!P431)</f>
        <v/>
      </c>
      <c r="I431" t="str">
        <f>IF(PNL!A431="","",IF(_CALC_PNL!E431=1,H431-G431,""))</f>
        <v/>
      </c>
    </row>
    <row r="432" spans="8:9" x14ac:dyDescent="0.45">
      <c r="H432" t="str">
        <f>IF(PNL!A432="","",_CALC_PNL!P432)</f>
        <v/>
      </c>
      <c r="I432" t="str">
        <f>IF(PNL!A432="","",IF(_CALC_PNL!E432=1,H432-G432,""))</f>
        <v/>
      </c>
    </row>
    <row r="433" spans="8:9" x14ac:dyDescent="0.45">
      <c r="H433" t="str">
        <f>IF(PNL!A433="","",_CALC_PNL!P433)</f>
        <v/>
      </c>
      <c r="I433" t="str">
        <f>IF(PNL!A433="","",IF(_CALC_PNL!E433=1,H433-G433,""))</f>
        <v/>
      </c>
    </row>
    <row r="434" spans="8:9" x14ac:dyDescent="0.45">
      <c r="H434" t="str">
        <f>IF(PNL!A434="","",_CALC_PNL!P434)</f>
        <v/>
      </c>
      <c r="I434" t="str">
        <f>IF(PNL!A434="","",IF(_CALC_PNL!E434=1,H434-G434,""))</f>
        <v/>
      </c>
    </row>
    <row r="435" spans="8:9" x14ac:dyDescent="0.45">
      <c r="H435" t="str">
        <f>IF(PNL!A435="","",_CALC_PNL!P435)</f>
        <v/>
      </c>
      <c r="I435" t="str">
        <f>IF(PNL!A435="","",IF(_CALC_PNL!E435=1,H435-G435,""))</f>
        <v/>
      </c>
    </row>
    <row r="436" spans="8:9" x14ac:dyDescent="0.45">
      <c r="H436" t="str">
        <f>IF(PNL!A436="","",_CALC_PNL!P436)</f>
        <v/>
      </c>
      <c r="I436" t="str">
        <f>IF(PNL!A436="","",IF(_CALC_PNL!E436=1,H436-G436,""))</f>
        <v/>
      </c>
    </row>
    <row r="437" spans="8:9" x14ac:dyDescent="0.45">
      <c r="H437" t="str">
        <f>IF(PNL!A437="","",_CALC_PNL!P437)</f>
        <v/>
      </c>
      <c r="I437" t="str">
        <f>IF(PNL!A437="","",IF(_CALC_PNL!E437=1,H437-G437,""))</f>
        <v/>
      </c>
    </row>
    <row r="438" spans="8:9" x14ac:dyDescent="0.45">
      <c r="H438" t="str">
        <f>IF(PNL!A438="","",_CALC_PNL!P438)</f>
        <v/>
      </c>
      <c r="I438" t="str">
        <f>IF(PNL!A438="","",IF(_CALC_PNL!E438=1,H438-G438,""))</f>
        <v/>
      </c>
    </row>
    <row r="439" spans="8:9" x14ac:dyDescent="0.45">
      <c r="H439" t="str">
        <f>IF(PNL!A439="","",_CALC_PNL!P439)</f>
        <v/>
      </c>
      <c r="I439" t="str">
        <f>IF(PNL!A439="","",IF(_CALC_PNL!E439=1,H439-G439,""))</f>
        <v/>
      </c>
    </row>
    <row r="440" spans="8:9" x14ac:dyDescent="0.45">
      <c r="H440" t="str">
        <f>IF(PNL!A440="","",_CALC_PNL!P440)</f>
        <v/>
      </c>
      <c r="I440" t="str">
        <f>IF(PNL!A440="","",IF(_CALC_PNL!E440=1,H440-G440,""))</f>
        <v/>
      </c>
    </row>
    <row r="441" spans="8:9" x14ac:dyDescent="0.45">
      <c r="H441" t="str">
        <f>IF(PNL!A441="","",_CALC_PNL!P441)</f>
        <v/>
      </c>
      <c r="I441" t="str">
        <f>IF(PNL!A441="","",IF(_CALC_PNL!E441=1,H441-G441,""))</f>
        <v/>
      </c>
    </row>
    <row r="442" spans="8:9" x14ac:dyDescent="0.45">
      <c r="H442" t="str">
        <f>IF(PNL!A442="","",_CALC_PNL!P442)</f>
        <v/>
      </c>
      <c r="I442" t="str">
        <f>IF(PNL!A442="","",IF(_CALC_PNL!E442=1,H442-G442,""))</f>
        <v/>
      </c>
    </row>
    <row r="443" spans="8:9" x14ac:dyDescent="0.45">
      <c r="H443" t="str">
        <f>IF(PNL!A443="","",_CALC_PNL!P443)</f>
        <v/>
      </c>
      <c r="I443" t="str">
        <f>IF(PNL!A443="","",IF(_CALC_PNL!E443=1,H443-G443,""))</f>
        <v/>
      </c>
    </row>
    <row r="444" spans="8:9" x14ac:dyDescent="0.45">
      <c r="H444" t="str">
        <f>IF(PNL!A444="","",_CALC_PNL!P444)</f>
        <v/>
      </c>
      <c r="I444" t="str">
        <f>IF(PNL!A444="","",IF(_CALC_PNL!E444=1,H444-G444,""))</f>
        <v/>
      </c>
    </row>
    <row r="445" spans="8:9" x14ac:dyDescent="0.45">
      <c r="H445" t="str">
        <f>IF(PNL!A445="","",_CALC_PNL!P445)</f>
        <v/>
      </c>
      <c r="I445" t="str">
        <f>IF(PNL!A445="","",IF(_CALC_PNL!E445=1,H445-G445,""))</f>
        <v/>
      </c>
    </row>
    <row r="446" spans="8:9" x14ac:dyDescent="0.45">
      <c r="H446" t="str">
        <f>IF(PNL!A446="","",_CALC_PNL!P446)</f>
        <v/>
      </c>
      <c r="I446" t="str">
        <f>IF(PNL!A446="","",IF(_CALC_PNL!E446=1,H446-G446,""))</f>
        <v/>
      </c>
    </row>
    <row r="447" spans="8:9" x14ac:dyDescent="0.45">
      <c r="H447" t="str">
        <f>IF(PNL!A447="","",_CALC_PNL!P447)</f>
        <v/>
      </c>
      <c r="I447" t="str">
        <f>IF(PNL!A447="","",IF(_CALC_PNL!E447=1,H447-G447,""))</f>
        <v/>
      </c>
    </row>
    <row r="448" spans="8:9" x14ac:dyDescent="0.45">
      <c r="H448" t="str">
        <f>IF(PNL!A448="","",_CALC_PNL!P448)</f>
        <v/>
      </c>
      <c r="I448" t="str">
        <f>IF(PNL!A448="","",IF(_CALC_PNL!E448=1,H448-G448,""))</f>
        <v/>
      </c>
    </row>
    <row r="449" spans="8:9" x14ac:dyDescent="0.45">
      <c r="H449" t="str">
        <f>IF(PNL!A449="","",_CALC_PNL!P449)</f>
        <v/>
      </c>
      <c r="I449" t="str">
        <f>IF(PNL!A449="","",IF(_CALC_PNL!E449=1,H449-G449,""))</f>
        <v/>
      </c>
    </row>
    <row r="450" spans="8:9" x14ac:dyDescent="0.45">
      <c r="H450" t="str">
        <f>IF(PNL!A450="","",_CALC_PNL!P450)</f>
        <v/>
      </c>
      <c r="I450" t="str">
        <f>IF(PNL!A450="","",IF(_CALC_PNL!E450=1,H450-G450,""))</f>
        <v/>
      </c>
    </row>
    <row r="451" spans="8:9" x14ac:dyDescent="0.45">
      <c r="H451" t="str">
        <f>IF(PNL!A451="","",_CALC_PNL!P451)</f>
        <v/>
      </c>
      <c r="I451" t="str">
        <f>IF(PNL!A451="","",IF(_CALC_PNL!E451=1,H451-G451,""))</f>
        <v/>
      </c>
    </row>
    <row r="452" spans="8:9" x14ac:dyDescent="0.45">
      <c r="H452" t="str">
        <f>IF(PNL!A452="","",_CALC_PNL!P452)</f>
        <v/>
      </c>
      <c r="I452" t="str">
        <f>IF(PNL!A452="","",IF(_CALC_PNL!E452=1,H452-G452,""))</f>
        <v/>
      </c>
    </row>
    <row r="453" spans="8:9" x14ac:dyDescent="0.45">
      <c r="H453" t="str">
        <f>IF(PNL!A453="","",_CALC_PNL!P453)</f>
        <v/>
      </c>
      <c r="I453" t="str">
        <f>IF(PNL!A453="","",IF(_CALC_PNL!E453=1,H453-G453,""))</f>
        <v/>
      </c>
    </row>
    <row r="454" spans="8:9" x14ac:dyDescent="0.45">
      <c r="H454" t="str">
        <f>IF(PNL!A454="","",_CALC_PNL!P454)</f>
        <v/>
      </c>
      <c r="I454" t="str">
        <f>IF(PNL!A454="","",IF(_CALC_PNL!E454=1,H454-G454,""))</f>
        <v/>
      </c>
    </row>
    <row r="455" spans="8:9" x14ac:dyDescent="0.45">
      <c r="H455" t="str">
        <f>IF(PNL!A455="","",_CALC_PNL!P455)</f>
        <v/>
      </c>
      <c r="I455" t="str">
        <f>IF(PNL!A455="","",IF(_CALC_PNL!E455=1,H455-G455,""))</f>
        <v/>
      </c>
    </row>
    <row r="456" spans="8:9" x14ac:dyDescent="0.45">
      <c r="H456" t="str">
        <f>IF(PNL!A456="","",_CALC_PNL!P456)</f>
        <v/>
      </c>
      <c r="I456" t="str">
        <f>IF(PNL!A456="","",IF(_CALC_PNL!E456=1,H456-G456,""))</f>
        <v/>
      </c>
    </row>
    <row r="457" spans="8:9" x14ac:dyDescent="0.45">
      <c r="H457" t="str">
        <f>IF(PNL!A457="","",_CALC_PNL!P457)</f>
        <v/>
      </c>
      <c r="I457" t="str">
        <f>IF(PNL!A457="","",IF(_CALC_PNL!E457=1,H457-G457,""))</f>
        <v/>
      </c>
    </row>
    <row r="458" spans="8:9" x14ac:dyDescent="0.45">
      <c r="H458" t="str">
        <f>IF(PNL!A458="","",_CALC_PNL!P458)</f>
        <v/>
      </c>
      <c r="I458" t="str">
        <f>IF(PNL!A458="","",IF(_CALC_PNL!E458=1,H458-G458,""))</f>
        <v/>
      </c>
    </row>
    <row r="459" spans="8:9" x14ac:dyDescent="0.45">
      <c r="H459" t="str">
        <f>IF(PNL!A459="","",_CALC_PNL!P459)</f>
        <v/>
      </c>
      <c r="I459" t="str">
        <f>IF(PNL!A459="","",IF(_CALC_PNL!E459=1,H459-G459,""))</f>
        <v/>
      </c>
    </row>
    <row r="460" spans="8:9" x14ac:dyDescent="0.45">
      <c r="H460" t="str">
        <f>IF(PNL!A460="","",_CALC_PNL!P460)</f>
        <v/>
      </c>
      <c r="I460" t="str">
        <f>IF(PNL!A460="","",IF(_CALC_PNL!E460=1,H460-G460,""))</f>
        <v/>
      </c>
    </row>
    <row r="461" spans="8:9" x14ac:dyDescent="0.45">
      <c r="H461" t="str">
        <f>IF(PNL!A461="","",_CALC_PNL!P461)</f>
        <v/>
      </c>
      <c r="I461" t="str">
        <f>IF(PNL!A461="","",IF(_CALC_PNL!E461=1,H461-G461,""))</f>
        <v/>
      </c>
    </row>
    <row r="462" spans="8:9" x14ac:dyDescent="0.45">
      <c r="H462" t="str">
        <f>IF(PNL!A462="","",_CALC_PNL!P462)</f>
        <v/>
      </c>
      <c r="I462" t="str">
        <f>IF(PNL!A462="","",IF(_CALC_PNL!E462=1,H462-G462,""))</f>
        <v/>
      </c>
    </row>
    <row r="463" spans="8:9" x14ac:dyDescent="0.45">
      <c r="H463" t="str">
        <f>IF(PNL!A463="","",_CALC_PNL!P463)</f>
        <v/>
      </c>
      <c r="I463" t="str">
        <f>IF(PNL!A463="","",IF(_CALC_PNL!E463=1,H463-G463,""))</f>
        <v/>
      </c>
    </row>
    <row r="464" spans="8:9" x14ac:dyDescent="0.45">
      <c r="H464" t="str">
        <f>IF(PNL!A464="","",_CALC_PNL!P464)</f>
        <v/>
      </c>
      <c r="I464" t="str">
        <f>IF(PNL!A464="","",IF(_CALC_PNL!E464=1,H464-G464,""))</f>
        <v/>
      </c>
    </row>
    <row r="465" spans="8:9" x14ac:dyDescent="0.45">
      <c r="H465" t="str">
        <f>IF(PNL!A465="","",_CALC_PNL!P465)</f>
        <v/>
      </c>
      <c r="I465" t="str">
        <f>IF(PNL!A465="","",IF(_CALC_PNL!E465=1,H465-G465,""))</f>
        <v/>
      </c>
    </row>
    <row r="466" spans="8:9" x14ac:dyDescent="0.45">
      <c r="H466" t="str">
        <f>IF(PNL!A466="","",_CALC_PNL!P466)</f>
        <v/>
      </c>
      <c r="I466" t="str">
        <f>IF(PNL!A466="","",IF(_CALC_PNL!E466=1,H466-G466,""))</f>
        <v/>
      </c>
    </row>
    <row r="467" spans="8:9" x14ac:dyDescent="0.45">
      <c r="H467" t="str">
        <f>IF(PNL!A467="","",_CALC_PNL!P467)</f>
        <v/>
      </c>
      <c r="I467" t="str">
        <f>IF(PNL!A467="","",IF(_CALC_PNL!E467=1,H467-G467,""))</f>
        <v/>
      </c>
    </row>
    <row r="468" spans="8:9" x14ac:dyDescent="0.45">
      <c r="H468" t="str">
        <f>IF(PNL!A468="","",_CALC_PNL!P468)</f>
        <v/>
      </c>
      <c r="I468" t="str">
        <f>IF(PNL!A468="","",IF(_CALC_PNL!E468=1,H468-G468,""))</f>
        <v/>
      </c>
    </row>
    <row r="469" spans="8:9" x14ac:dyDescent="0.45">
      <c r="H469" t="str">
        <f>IF(PNL!A469="","",_CALC_PNL!P469)</f>
        <v/>
      </c>
      <c r="I469" t="str">
        <f>IF(PNL!A469="","",IF(_CALC_PNL!E469=1,H469-G469,""))</f>
        <v/>
      </c>
    </row>
    <row r="470" spans="8:9" x14ac:dyDescent="0.45">
      <c r="H470" t="str">
        <f>IF(PNL!A470="","",_CALC_PNL!P470)</f>
        <v/>
      </c>
      <c r="I470" t="str">
        <f>IF(PNL!A470="","",IF(_CALC_PNL!E470=1,H470-G470,""))</f>
        <v/>
      </c>
    </row>
    <row r="471" spans="8:9" x14ac:dyDescent="0.45">
      <c r="H471" t="str">
        <f>IF(PNL!A471="","",_CALC_PNL!P471)</f>
        <v/>
      </c>
      <c r="I471" t="str">
        <f>IF(PNL!A471="","",IF(_CALC_PNL!E471=1,H471-G471,""))</f>
        <v/>
      </c>
    </row>
    <row r="472" spans="8:9" x14ac:dyDescent="0.45">
      <c r="H472" t="str">
        <f>IF(PNL!A472="","",_CALC_PNL!P472)</f>
        <v/>
      </c>
      <c r="I472" t="str">
        <f>IF(PNL!A472="","",IF(_CALC_PNL!E472=1,H472-G472,""))</f>
        <v/>
      </c>
    </row>
    <row r="473" spans="8:9" x14ac:dyDescent="0.45">
      <c r="H473" t="str">
        <f>IF(PNL!A473="","",_CALC_PNL!P473)</f>
        <v/>
      </c>
      <c r="I473" t="str">
        <f>IF(PNL!A473="","",IF(_CALC_PNL!E473=1,H473-G473,""))</f>
        <v/>
      </c>
    </row>
    <row r="474" spans="8:9" x14ac:dyDescent="0.45">
      <c r="H474" t="str">
        <f>IF(PNL!A474="","",_CALC_PNL!P474)</f>
        <v/>
      </c>
      <c r="I474" t="str">
        <f>IF(PNL!A474="","",IF(_CALC_PNL!E474=1,H474-G474,""))</f>
        <v/>
      </c>
    </row>
    <row r="475" spans="8:9" x14ac:dyDescent="0.45">
      <c r="H475" t="str">
        <f>IF(PNL!A475="","",_CALC_PNL!P475)</f>
        <v/>
      </c>
      <c r="I475" t="str">
        <f>IF(PNL!A475="","",IF(_CALC_PNL!E475=1,H475-G475,""))</f>
        <v/>
      </c>
    </row>
    <row r="476" spans="8:9" x14ac:dyDescent="0.45">
      <c r="H476" t="str">
        <f>IF(PNL!A476="","",_CALC_PNL!P476)</f>
        <v/>
      </c>
      <c r="I476" t="str">
        <f>IF(PNL!A476="","",IF(_CALC_PNL!E476=1,H476-G476,""))</f>
        <v/>
      </c>
    </row>
    <row r="477" spans="8:9" x14ac:dyDescent="0.45">
      <c r="H477" t="str">
        <f>IF(PNL!A477="","",_CALC_PNL!P477)</f>
        <v/>
      </c>
      <c r="I477" t="str">
        <f>IF(PNL!A477="","",IF(_CALC_PNL!E477=1,H477-G477,""))</f>
        <v/>
      </c>
    </row>
    <row r="478" spans="8:9" x14ac:dyDescent="0.45">
      <c r="H478" t="str">
        <f>IF(PNL!A478="","",_CALC_PNL!P478)</f>
        <v/>
      </c>
      <c r="I478" t="str">
        <f>IF(PNL!A478="","",IF(_CALC_PNL!E478=1,H478-G478,""))</f>
        <v/>
      </c>
    </row>
    <row r="479" spans="8:9" x14ac:dyDescent="0.45">
      <c r="H479" t="str">
        <f>IF(PNL!A479="","",_CALC_PNL!P479)</f>
        <v/>
      </c>
      <c r="I479" t="str">
        <f>IF(PNL!A479="","",IF(_CALC_PNL!E479=1,H479-G479,""))</f>
        <v/>
      </c>
    </row>
    <row r="480" spans="8:9" x14ac:dyDescent="0.45">
      <c r="H480" t="str">
        <f>IF(PNL!A480="","",_CALC_PNL!P480)</f>
        <v/>
      </c>
      <c r="I480" t="str">
        <f>IF(PNL!A480="","",IF(_CALC_PNL!E480=1,H480-G480,""))</f>
        <v/>
      </c>
    </row>
    <row r="481" spans="8:9" x14ac:dyDescent="0.45">
      <c r="H481" t="str">
        <f>IF(PNL!A481="","",_CALC_PNL!P481)</f>
        <v/>
      </c>
      <c r="I481" t="str">
        <f>IF(PNL!A481="","",IF(_CALC_PNL!E481=1,H481-G481,""))</f>
        <v/>
      </c>
    </row>
    <row r="482" spans="8:9" x14ac:dyDescent="0.45">
      <c r="H482" t="str">
        <f>IF(PNL!A482="","",_CALC_PNL!P482)</f>
        <v/>
      </c>
      <c r="I482" t="str">
        <f>IF(PNL!A482="","",IF(_CALC_PNL!E482=1,H482-G482,""))</f>
        <v/>
      </c>
    </row>
    <row r="483" spans="8:9" x14ac:dyDescent="0.45">
      <c r="H483" t="str">
        <f>IF(PNL!A483="","",_CALC_PNL!P483)</f>
        <v/>
      </c>
      <c r="I483" t="str">
        <f>IF(PNL!A483="","",IF(_CALC_PNL!E483=1,H483-G483,""))</f>
        <v/>
      </c>
    </row>
    <row r="484" spans="8:9" x14ac:dyDescent="0.45">
      <c r="H484" t="str">
        <f>IF(PNL!A484="","",_CALC_PNL!P484)</f>
        <v/>
      </c>
      <c r="I484" t="str">
        <f>IF(PNL!A484="","",IF(_CALC_PNL!E484=1,H484-G484,""))</f>
        <v/>
      </c>
    </row>
    <row r="485" spans="8:9" x14ac:dyDescent="0.45">
      <c r="H485" t="str">
        <f>IF(PNL!A485="","",_CALC_PNL!P485)</f>
        <v/>
      </c>
      <c r="I485" t="str">
        <f>IF(PNL!A485="","",IF(_CALC_PNL!E485=1,H485-G485,""))</f>
        <v/>
      </c>
    </row>
    <row r="486" spans="8:9" x14ac:dyDescent="0.45">
      <c r="H486" t="str">
        <f>IF(PNL!A486="","",_CALC_PNL!P486)</f>
        <v/>
      </c>
      <c r="I486" t="str">
        <f>IF(PNL!A486="","",IF(_CALC_PNL!E486=1,H486-G486,""))</f>
        <v/>
      </c>
    </row>
    <row r="487" spans="8:9" x14ac:dyDescent="0.45">
      <c r="H487" t="str">
        <f>IF(PNL!A487="","",_CALC_PNL!P487)</f>
        <v/>
      </c>
      <c r="I487" t="str">
        <f>IF(PNL!A487="","",IF(_CALC_PNL!E487=1,H487-G487,""))</f>
        <v/>
      </c>
    </row>
    <row r="488" spans="8:9" x14ac:dyDescent="0.45">
      <c r="H488" t="str">
        <f>IF(PNL!A488="","",_CALC_PNL!P488)</f>
        <v/>
      </c>
      <c r="I488" t="str">
        <f>IF(PNL!A488="","",IF(_CALC_PNL!E488=1,H488-G488,""))</f>
        <v/>
      </c>
    </row>
    <row r="489" spans="8:9" x14ac:dyDescent="0.45">
      <c r="H489" t="str">
        <f>IF(PNL!A489="","",_CALC_PNL!P489)</f>
        <v/>
      </c>
      <c r="I489" t="str">
        <f>IF(PNL!A489="","",IF(_CALC_PNL!E489=1,H489-G489,""))</f>
        <v/>
      </c>
    </row>
    <row r="490" spans="8:9" x14ac:dyDescent="0.45">
      <c r="H490" t="str">
        <f>IF(PNL!A490="","",_CALC_PNL!P490)</f>
        <v/>
      </c>
      <c r="I490" t="str">
        <f>IF(PNL!A490="","",IF(_CALC_PNL!E490=1,H490-G490,""))</f>
        <v/>
      </c>
    </row>
    <row r="491" spans="8:9" x14ac:dyDescent="0.45">
      <c r="H491" t="str">
        <f>IF(PNL!A491="","",_CALC_PNL!P491)</f>
        <v/>
      </c>
      <c r="I491" t="str">
        <f>IF(PNL!A491="","",IF(_CALC_PNL!E491=1,H491-G491,""))</f>
        <v/>
      </c>
    </row>
    <row r="492" spans="8:9" x14ac:dyDescent="0.45">
      <c r="H492" t="str">
        <f>IF(PNL!A492="","",_CALC_PNL!P492)</f>
        <v/>
      </c>
      <c r="I492" t="str">
        <f>IF(PNL!A492="","",IF(_CALC_PNL!E492=1,H492-G492,""))</f>
        <v/>
      </c>
    </row>
    <row r="493" spans="8:9" x14ac:dyDescent="0.45">
      <c r="H493" t="str">
        <f>IF(PNL!A493="","",_CALC_PNL!P493)</f>
        <v/>
      </c>
      <c r="I493" t="str">
        <f>IF(PNL!A493="","",IF(_CALC_PNL!E493=1,H493-G493,""))</f>
        <v/>
      </c>
    </row>
    <row r="494" spans="8:9" x14ac:dyDescent="0.45">
      <c r="H494" t="str">
        <f>IF(PNL!A494="","",_CALC_PNL!P494)</f>
        <v/>
      </c>
      <c r="I494" t="str">
        <f>IF(PNL!A494="","",IF(_CALC_PNL!E494=1,H494-G494,""))</f>
        <v/>
      </c>
    </row>
    <row r="495" spans="8:9" x14ac:dyDescent="0.45">
      <c r="H495" t="str">
        <f>IF(PNL!A495="","",_CALC_PNL!P495)</f>
        <v/>
      </c>
      <c r="I495" t="str">
        <f>IF(PNL!A495="","",IF(_CALC_PNL!E495=1,H495-G495,""))</f>
        <v/>
      </c>
    </row>
    <row r="496" spans="8:9" x14ac:dyDescent="0.45">
      <c r="H496" t="str">
        <f>IF(PNL!A496="","",_CALC_PNL!P496)</f>
        <v/>
      </c>
      <c r="I496" t="str">
        <f>IF(PNL!A496="","",IF(_CALC_PNL!E496=1,H496-G496,""))</f>
        <v/>
      </c>
    </row>
    <row r="497" spans="8:9" x14ac:dyDescent="0.45">
      <c r="H497" t="str">
        <f>IF(PNL!A497="","",_CALC_PNL!P497)</f>
        <v/>
      </c>
      <c r="I497" t="str">
        <f>IF(PNL!A497="","",IF(_CALC_PNL!E497=1,H497-G497,""))</f>
        <v/>
      </c>
    </row>
    <row r="498" spans="8:9" x14ac:dyDescent="0.45">
      <c r="H498" t="str">
        <f>IF(PNL!A498="","",_CALC_PNL!P498)</f>
        <v/>
      </c>
      <c r="I498" t="str">
        <f>IF(PNL!A498="","",IF(_CALC_PNL!E498=1,H498-G498,""))</f>
        <v/>
      </c>
    </row>
    <row r="499" spans="8:9" x14ac:dyDescent="0.45">
      <c r="H499" t="str">
        <f>IF(PNL!A499="","",_CALC_PNL!P499)</f>
        <v/>
      </c>
      <c r="I499" t="str">
        <f>IF(PNL!A499="","",IF(_CALC_PNL!E499=1,H499-G499,""))</f>
        <v/>
      </c>
    </row>
    <row r="500" spans="8:9" x14ac:dyDescent="0.45">
      <c r="H500" t="str">
        <f>IF(PNL!A500="","",_CALC_PNL!P500)</f>
        <v/>
      </c>
      <c r="I500" t="str">
        <f>IF(PNL!A500="","",IF(_CALC_PNL!E500=1,H500-G500,""))</f>
        <v/>
      </c>
    </row>
    <row r="501" spans="8:9" x14ac:dyDescent="0.45">
      <c r="H501" t="str">
        <f>IF(PNL!A501="","",_CALC_PNL!P501)</f>
        <v/>
      </c>
      <c r="I501" t="str">
        <f>IF(PNL!A501="","",IF(_CALC_PNL!E501=1,H501-G501,""))</f>
        <v/>
      </c>
    </row>
    <row r="502" spans="8:9" x14ac:dyDescent="0.45">
      <c r="H502" t="str">
        <f>IF(PNL!A502="","",_CALC_PNL!P502)</f>
        <v/>
      </c>
      <c r="I502" t="str">
        <f>IF(PNL!A502="","",IF(_CALC_PNL!E502=1,H502-G502,""))</f>
        <v/>
      </c>
    </row>
    <row r="503" spans="8:9" x14ac:dyDescent="0.45">
      <c r="H503" t="str">
        <f>IF(PNL!A503="","",_CALC_PNL!P503)</f>
        <v/>
      </c>
      <c r="I503" t="str">
        <f>IF(PNL!A503="","",IF(_CALC_PNL!E503=1,H503-G503,""))</f>
        <v/>
      </c>
    </row>
    <row r="504" spans="8:9" x14ac:dyDescent="0.45">
      <c r="H504" t="str">
        <f>IF(PNL!A504="","",_CALC_PNL!P504)</f>
        <v/>
      </c>
      <c r="I504" t="str">
        <f>IF(PNL!A504="","",IF(_CALC_PNL!E504=1,H504-G504,""))</f>
        <v/>
      </c>
    </row>
    <row r="505" spans="8:9" x14ac:dyDescent="0.45">
      <c r="H505" t="str">
        <f>IF(PNL!A505="","",_CALC_PNL!P505)</f>
        <v/>
      </c>
      <c r="I505" t="str">
        <f>IF(PNL!A505="","",IF(_CALC_PNL!E505=1,H505-G505,""))</f>
        <v/>
      </c>
    </row>
    <row r="506" spans="8:9" x14ac:dyDescent="0.45">
      <c r="H506" t="str">
        <f>IF(PNL!A506="","",_CALC_PNL!P506)</f>
        <v/>
      </c>
      <c r="I506" t="str">
        <f>IF(PNL!A506="","",IF(_CALC_PNL!E506=1,H506-G506,""))</f>
        <v/>
      </c>
    </row>
    <row r="507" spans="8:9" x14ac:dyDescent="0.45">
      <c r="H507" t="str">
        <f>IF(PNL!A507="","",_CALC_PNL!P507)</f>
        <v/>
      </c>
      <c r="I507" t="str">
        <f>IF(PNL!A507="","",IF(_CALC_PNL!E507=1,H507-G507,""))</f>
        <v/>
      </c>
    </row>
    <row r="508" spans="8:9" x14ac:dyDescent="0.45">
      <c r="H508" t="str">
        <f>IF(PNL!A508="","",_CALC_PNL!P508)</f>
        <v/>
      </c>
      <c r="I508" t="str">
        <f>IF(PNL!A508="","",IF(_CALC_PNL!E508=1,H508-G508,""))</f>
        <v/>
      </c>
    </row>
    <row r="509" spans="8:9" x14ac:dyDescent="0.45">
      <c r="H509" t="str">
        <f>IF(PNL!A509="","",_CALC_PNL!P509)</f>
        <v/>
      </c>
      <c r="I509" t="str">
        <f>IF(PNL!A509="","",IF(_CALC_PNL!E509=1,H509-G509,""))</f>
        <v/>
      </c>
    </row>
    <row r="510" spans="8:9" x14ac:dyDescent="0.45">
      <c r="H510" t="str">
        <f>IF(PNL!A510="","",_CALC_PNL!P510)</f>
        <v/>
      </c>
      <c r="I510" t="str">
        <f>IF(PNL!A510="","",IF(_CALC_PNL!E510=1,H510-G510,""))</f>
        <v/>
      </c>
    </row>
    <row r="511" spans="8:9" x14ac:dyDescent="0.45">
      <c r="H511" t="str">
        <f>IF(PNL!A511="","",_CALC_PNL!P511)</f>
        <v/>
      </c>
      <c r="I511" t="str">
        <f>IF(PNL!A511="","",IF(_CALC_PNL!E511=1,H511-G511,""))</f>
        <v/>
      </c>
    </row>
    <row r="512" spans="8:9" x14ac:dyDescent="0.45">
      <c r="H512" t="str">
        <f>IF(PNL!A512="","",_CALC_PNL!P512)</f>
        <v/>
      </c>
      <c r="I512" t="str">
        <f>IF(PNL!A512="","",IF(_CALC_PNL!E512=1,H512-G512,""))</f>
        <v/>
      </c>
    </row>
    <row r="513" spans="8:9" x14ac:dyDescent="0.45">
      <c r="H513" t="str">
        <f>IF(PNL!A513="","",_CALC_PNL!P513)</f>
        <v/>
      </c>
      <c r="I513" t="str">
        <f>IF(PNL!A513="","",IF(_CALC_PNL!E513=1,H513-G513,""))</f>
        <v/>
      </c>
    </row>
    <row r="514" spans="8:9" x14ac:dyDescent="0.45">
      <c r="H514" t="str">
        <f>IF(PNL!A514="","",_CALC_PNL!P514)</f>
        <v/>
      </c>
      <c r="I514" t="str">
        <f>IF(PNL!A514="","",IF(_CALC_PNL!E514=1,H514-G514,""))</f>
        <v/>
      </c>
    </row>
    <row r="515" spans="8:9" x14ac:dyDescent="0.45">
      <c r="H515" t="str">
        <f>IF(PNL!A515="","",_CALC_PNL!P515)</f>
        <v/>
      </c>
      <c r="I515" t="str">
        <f>IF(PNL!A515="","",IF(_CALC_PNL!E515=1,H515-G515,""))</f>
        <v/>
      </c>
    </row>
    <row r="516" spans="8:9" x14ac:dyDescent="0.45">
      <c r="H516" t="str">
        <f>IF(PNL!A516="","",_CALC_PNL!P516)</f>
        <v/>
      </c>
      <c r="I516" t="str">
        <f>IF(PNL!A516="","",IF(_CALC_PNL!E516=1,H516-G516,""))</f>
        <v/>
      </c>
    </row>
    <row r="517" spans="8:9" x14ac:dyDescent="0.45">
      <c r="H517" t="str">
        <f>IF(PNL!A517="","",_CALC_PNL!P517)</f>
        <v/>
      </c>
      <c r="I517" t="str">
        <f>IF(PNL!A517="","",IF(_CALC_PNL!E517=1,H517-G517,""))</f>
        <v/>
      </c>
    </row>
    <row r="518" spans="8:9" x14ac:dyDescent="0.45">
      <c r="H518" t="str">
        <f>IF(PNL!A518="","",_CALC_PNL!P518)</f>
        <v/>
      </c>
      <c r="I518" t="str">
        <f>IF(PNL!A518="","",IF(_CALC_PNL!E518=1,H518-G518,""))</f>
        <v/>
      </c>
    </row>
    <row r="519" spans="8:9" x14ac:dyDescent="0.45">
      <c r="H519" t="str">
        <f>IF(PNL!A519="","",_CALC_PNL!P519)</f>
        <v/>
      </c>
      <c r="I519" t="str">
        <f>IF(PNL!A519="","",IF(_CALC_PNL!E519=1,H519-G519,""))</f>
        <v/>
      </c>
    </row>
    <row r="520" spans="8:9" x14ac:dyDescent="0.45">
      <c r="H520" t="str">
        <f>IF(PNL!A520="","",_CALC_PNL!P520)</f>
        <v/>
      </c>
      <c r="I520" t="str">
        <f>IF(PNL!A520="","",IF(_CALC_PNL!E520=1,H520-G520,""))</f>
        <v/>
      </c>
    </row>
    <row r="521" spans="8:9" x14ac:dyDescent="0.45">
      <c r="H521" t="str">
        <f>IF(PNL!A521="","",_CALC_PNL!P521)</f>
        <v/>
      </c>
      <c r="I521" t="str">
        <f>IF(PNL!A521="","",IF(_CALC_PNL!E521=1,H521-G521,""))</f>
        <v/>
      </c>
    </row>
    <row r="522" spans="8:9" x14ac:dyDescent="0.45">
      <c r="H522" t="str">
        <f>IF(PNL!A522="","",_CALC_PNL!P522)</f>
        <v/>
      </c>
      <c r="I522" t="str">
        <f>IF(PNL!A522="","",IF(_CALC_PNL!E522=1,H522-G522,""))</f>
        <v/>
      </c>
    </row>
    <row r="523" spans="8:9" x14ac:dyDescent="0.45">
      <c r="H523" t="str">
        <f>IF(PNL!A523="","",_CALC_PNL!P523)</f>
        <v/>
      </c>
      <c r="I523" t="str">
        <f>IF(PNL!A523="","",IF(_CALC_PNL!E523=1,H523-G523,""))</f>
        <v/>
      </c>
    </row>
    <row r="524" spans="8:9" x14ac:dyDescent="0.45">
      <c r="H524" t="str">
        <f>IF(PNL!A524="","",_CALC_PNL!P524)</f>
        <v/>
      </c>
      <c r="I524" t="str">
        <f>IF(PNL!A524="","",IF(_CALC_PNL!E524=1,H524-G524,""))</f>
        <v/>
      </c>
    </row>
    <row r="525" spans="8:9" x14ac:dyDescent="0.45">
      <c r="H525" t="str">
        <f>IF(PNL!A525="","",_CALC_PNL!P525)</f>
        <v/>
      </c>
      <c r="I525" t="str">
        <f>IF(PNL!A525="","",IF(_CALC_PNL!E525=1,H525-G525,""))</f>
        <v/>
      </c>
    </row>
    <row r="526" spans="8:9" x14ac:dyDescent="0.45">
      <c r="H526" t="str">
        <f>IF(PNL!A526="","",_CALC_PNL!P526)</f>
        <v/>
      </c>
      <c r="I526" t="str">
        <f>IF(PNL!A526="","",IF(_CALC_PNL!E526=1,H526-G526,""))</f>
        <v/>
      </c>
    </row>
    <row r="527" spans="8:9" x14ac:dyDescent="0.45">
      <c r="H527" t="str">
        <f>IF(PNL!A527="","",_CALC_PNL!P527)</f>
        <v/>
      </c>
      <c r="I527" t="str">
        <f>IF(PNL!A527="","",IF(_CALC_PNL!E527=1,H527-G527,""))</f>
        <v/>
      </c>
    </row>
    <row r="528" spans="8:9" x14ac:dyDescent="0.45">
      <c r="H528" t="str">
        <f>IF(PNL!A528="","",_CALC_PNL!P528)</f>
        <v/>
      </c>
      <c r="I528" t="str">
        <f>IF(PNL!A528="","",IF(_CALC_PNL!E528=1,H528-G528,""))</f>
        <v/>
      </c>
    </row>
    <row r="529" spans="8:9" x14ac:dyDescent="0.45">
      <c r="H529" t="str">
        <f>IF(PNL!A529="","",_CALC_PNL!P529)</f>
        <v/>
      </c>
      <c r="I529" t="str">
        <f>IF(PNL!A529="","",IF(_CALC_PNL!E529=1,H529-G529,""))</f>
        <v/>
      </c>
    </row>
    <row r="530" spans="8:9" x14ac:dyDescent="0.45">
      <c r="H530" t="str">
        <f>IF(PNL!A530="","",_CALC_PNL!P530)</f>
        <v/>
      </c>
      <c r="I530" t="str">
        <f>IF(PNL!A530="","",IF(_CALC_PNL!E530=1,H530-G530,""))</f>
        <v/>
      </c>
    </row>
    <row r="531" spans="8:9" x14ac:dyDescent="0.45">
      <c r="H531" t="str">
        <f>IF(PNL!A531="","",_CALC_PNL!P531)</f>
        <v/>
      </c>
      <c r="I531" t="str">
        <f>IF(PNL!A531="","",IF(_CALC_PNL!E531=1,H531-G531,""))</f>
        <v/>
      </c>
    </row>
    <row r="532" spans="8:9" x14ac:dyDescent="0.45">
      <c r="H532" t="str">
        <f>IF(PNL!A532="","",_CALC_PNL!P532)</f>
        <v/>
      </c>
      <c r="I532" t="str">
        <f>IF(PNL!A532="","",IF(_CALC_PNL!E532=1,H532-G532,""))</f>
        <v/>
      </c>
    </row>
    <row r="533" spans="8:9" x14ac:dyDescent="0.45">
      <c r="H533" t="str">
        <f>IF(PNL!A533="","",_CALC_PNL!P533)</f>
        <v/>
      </c>
      <c r="I533" t="str">
        <f>IF(PNL!A533="","",IF(_CALC_PNL!E533=1,H533-G533,""))</f>
        <v/>
      </c>
    </row>
    <row r="534" spans="8:9" x14ac:dyDescent="0.45">
      <c r="H534" t="str">
        <f>IF(PNL!A534="","",_CALC_PNL!P534)</f>
        <v/>
      </c>
      <c r="I534" t="str">
        <f>IF(PNL!A534="","",IF(_CALC_PNL!E534=1,H534-G534,""))</f>
        <v/>
      </c>
    </row>
    <row r="535" spans="8:9" x14ac:dyDescent="0.45">
      <c r="H535" t="str">
        <f>IF(PNL!A535="","",_CALC_PNL!P535)</f>
        <v/>
      </c>
      <c r="I535" t="str">
        <f>IF(PNL!A535="","",IF(_CALC_PNL!E535=1,H535-G535,""))</f>
        <v/>
      </c>
    </row>
    <row r="536" spans="8:9" x14ac:dyDescent="0.45">
      <c r="H536" t="str">
        <f>IF(PNL!A536="","",_CALC_PNL!P536)</f>
        <v/>
      </c>
      <c r="I536" t="str">
        <f>IF(PNL!A536="","",IF(_CALC_PNL!E536=1,H536-G536,""))</f>
        <v/>
      </c>
    </row>
    <row r="537" spans="8:9" x14ac:dyDescent="0.45">
      <c r="H537" t="str">
        <f>IF(PNL!A537="","",_CALC_PNL!P537)</f>
        <v/>
      </c>
      <c r="I537" t="str">
        <f>IF(PNL!A537="","",IF(_CALC_PNL!E537=1,H537-G537,""))</f>
        <v/>
      </c>
    </row>
    <row r="538" spans="8:9" x14ac:dyDescent="0.45">
      <c r="H538" t="str">
        <f>IF(PNL!A538="","",_CALC_PNL!P538)</f>
        <v/>
      </c>
      <c r="I538" t="str">
        <f>IF(PNL!A538="","",IF(_CALC_PNL!E538=1,H538-G538,""))</f>
        <v/>
      </c>
    </row>
    <row r="539" spans="8:9" x14ac:dyDescent="0.45">
      <c r="H539" t="str">
        <f>IF(PNL!A539="","",_CALC_PNL!P539)</f>
        <v/>
      </c>
      <c r="I539" t="str">
        <f>IF(PNL!A539="","",IF(_CALC_PNL!E539=1,H539-G539,""))</f>
        <v/>
      </c>
    </row>
    <row r="540" spans="8:9" x14ac:dyDescent="0.45">
      <c r="H540" t="str">
        <f>IF(PNL!A540="","",_CALC_PNL!P540)</f>
        <v/>
      </c>
      <c r="I540" t="str">
        <f>IF(PNL!A540="","",IF(_CALC_PNL!E540=1,H540-G540,""))</f>
        <v/>
      </c>
    </row>
    <row r="541" spans="8:9" x14ac:dyDescent="0.45">
      <c r="H541" t="str">
        <f>IF(PNL!A541="","",_CALC_PNL!P541)</f>
        <v/>
      </c>
      <c r="I541" t="str">
        <f>IF(PNL!A541="","",IF(_CALC_PNL!E541=1,H541-G541,""))</f>
        <v/>
      </c>
    </row>
    <row r="542" spans="8:9" x14ac:dyDescent="0.45">
      <c r="H542" t="str">
        <f>IF(PNL!A542="","",_CALC_PNL!P542)</f>
        <v/>
      </c>
      <c r="I542" t="str">
        <f>IF(PNL!A542="","",IF(_CALC_PNL!E542=1,H542-G542,""))</f>
        <v/>
      </c>
    </row>
    <row r="543" spans="8:9" x14ac:dyDescent="0.45">
      <c r="H543" t="str">
        <f>IF(PNL!A543="","",_CALC_PNL!P543)</f>
        <v/>
      </c>
      <c r="I543" t="str">
        <f>IF(PNL!A543="","",IF(_CALC_PNL!E543=1,H543-G543,""))</f>
        <v/>
      </c>
    </row>
    <row r="544" spans="8:9" x14ac:dyDescent="0.45">
      <c r="H544" t="str">
        <f>IF(PNL!A544="","",_CALC_PNL!P544)</f>
        <v/>
      </c>
      <c r="I544" t="str">
        <f>IF(PNL!A544="","",IF(_CALC_PNL!E544=1,H544-G544,""))</f>
        <v/>
      </c>
    </row>
    <row r="545" spans="8:9" x14ac:dyDescent="0.45">
      <c r="H545" t="str">
        <f>IF(PNL!A545="","",_CALC_PNL!P545)</f>
        <v/>
      </c>
      <c r="I545" t="str">
        <f>IF(PNL!A545="","",IF(_CALC_PNL!E545=1,H545-G545,""))</f>
        <v/>
      </c>
    </row>
    <row r="546" spans="8:9" x14ac:dyDescent="0.45">
      <c r="H546" t="str">
        <f>IF(PNL!A546="","",_CALC_PNL!P546)</f>
        <v/>
      </c>
      <c r="I546" t="str">
        <f>IF(PNL!A546="","",IF(_CALC_PNL!E546=1,H546-G546,""))</f>
        <v/>
      </c>
    </row>
    <row r="547" spans="8:9" x14ac:dyDescent="0.45">
      <c r="H547" t="str">
        <f>IF(PNL!A547="","",_CALC_PNL!P547)</f>
        <v/>
      </c>
      <c r="I547" t="str">
        <f>IF(PNL!A547="","",IF(_CALC_PNL!E547=1,H547-G547,""))</f>
        <v/>
      </c>
    </row>
    <row r="548" spans="8:9" x14ac:dyDescent="0.45">
      <c r="H548" t="str">
        <f>IF(PNL!A548="","",_CALC_PNL!P548)</f>
        <v/>
      </c>
      <c r="I548" t="str">
        <f>IF(PNL!A548="","",IF(_CALC_PNL!E548=1,H548-G548,""))</f>
        <v/>
      </c>
    </row>
    <row r="549" spans="8:9" x14ac:dyDescent="0.45">
      <c r="H549" t="str">
        <f>IF(PNL!A549="","",_CALC_PNL!P549)</f>
        <v/>
      </c>
      <c r="I549" t="str">
        <f>IF(PNL!A549="","",IF(_CALC_PNL!E549=1,H549-G549,""))</f>
        <v/>
      </c>
    </row>
    <row r="550" spans="8:9" x14ac:dyDescent="0.45">
      <c r="H550" t="str">
        <f>IF(PNL!A550="","",_CALC_PNL!P550)</f>
        <v/>
      </c>
      <c r="I550" t="str">
        <f>IF(PNL!A550="","",IF(_CALC_PNL!E550=1,H550-G550,""))</f>
        <v/>
      </c>
    </row>
    <row r="551" spans="8:9" x14ac:dyDescent="0.45">
      <c r="H551" t="str">
        <f>IF(PNL!A551="","",_CALC_PNL!P551)</f>
        <v/>
      </c>
      <c r="I551" t="str">
        <f>IF(PNL!A551="","",IF(_CALC_PNL!E551=1,H551-G551,""))</f>
        <v/>
      </c>
    </row>
    <row r="552" spans="8:9" x14ac:dyDescent="0.45">
      <c r="H552" t="str">
        <f>IF(PNL!A552="","",_CALC_PNL!P552)</f>
        <v/>
      </c>
      <c r="I552" t="str">
        <f>IF(PNL!A552="","",IF(_CALC_PNL!E552=1,H552-G552,""))</f>
        <v/>
      </c>
    </row>
    <row r="553" spans="8:9" x14ac:dyDescent="0.45">
      <c r="H553" t="str">
        <f>IF(PNL!A553="","",_CALC_PNL!P553)</f>
        <v/>
      </c>
      <c r="I553" t="str">
        <f>IF(PNL!A553="","",IF(_CALC_PNL!E553=1,H553-G553,""))</f>
        <v/>
      </c>
    </row>
    <row r="554" spans="8:9" x14ac:dyDescent="0.45">
      <c r="H554" t="str">
        <f>IF(PNL!A554="","",_CALC_PNL!P554)</f>
        <v/>
      </c>
      <c r="I554" t="str">
        <f>IF(PNL!A554="","",IF(_CALC_PNL!E554=1,H554-G554,""))</f>
        <v/>
      </c>
    </row>
    <row r="555" spans="8:9" x14ac:dyDescent="0.45">
      <c r="H555" t="str">
        <f>IF(PNL!A555="","",_CALC_PNL!P555)</f>
        <v/>
      </c>
      <c r="I555" t="str">
        <f>IF(PNL!A555="","",IF(_CALC_PNL!E555=1,H555-G555,""))</f>
        <v/>
      </c>
    </row>
    <row r="556" spans="8:9" x14ac:dyDescent="0.45">
      <c r="H556" t="str">
        <f>IF(PNL!A556="","",_CALC_PNL!P556)</f>
        <v/>
      </c>
      <c r="I556" t="str">
        <f>IF(PNL!A556="","",IF(_CALC_PNL!E556=1,H556-G556,""))</f>
        <v/>
      </c>
    </row>
    <row r="557" spans="8:9" x14ac:dyDescent="0.45">
      <c r="H557" t="str">
        <f>IF(PNL!A557="","",_CALC_PNL!P557)</f>
        <v/>
      </c>
      <c r="I557" t="str">
        <f>IF(PNL!A557="","",IF(_CALC_PNL!E557=1,H557-G557,""))</f>
        <v/>
      </c>
    </row>
    <row r="558" spans="8:9" x14ac:dyDescent="0.45">
      <c r="H558" t="str">
        <f>IF(PNL!A558="","",_CALC_PNL!P558)</f>
        <v/>
      </c>
      <c r="I558" t="str">
        <f>IF(PNL!A558="","",IF(_CALC_PNL!E558=1,H558-G558,""))</f>
        <v/>
      </c>
    </row>
    <row r="559" spans="8:9" x14ac:dyDescent="0.45">
      <c r="H559" t="str">
        <f>IF(PNL!A559="","",_CALC_PNL!P559)</f>
        <v/>
      </c>
      <c r="I559" t="str">
        <f>IF(PNL!A559="","",IF(_CALC_PNL!E559=1,H559-G559,""))</f>
        <v/>
      </c>
    </row>
    <row r="560" spans="8:9" x14ac:dyDescent="0.45">
      <c r="H560" t="str">
        <f>IF(PNL!A560="","",_CALC_PNL!P560)</f>
        <v/>
      </c>
      <c r="I560" t="str">
        <f>IF(PNL!A560="","",IF(_CALC_PNL!E560=1,H560-G560,""))</f>
        <v/>
      </c>
    </row>
    <row r="561" spans="8:9" x14ac:dyDescent="0.45">
      <c r="H561" t="str">
        <f>IF(PNL!A561="","",_CALC_PNL!P561)</f>
        <v/>
      </c>
      <c r="I561" t="str">
        <f>IF(PNL!A561="","",IF(_CALC_PNL!E561=1,H561-G561,""))</f>
        <v/>
      </c>
    </row>
    <row r="562" spans="8:9" x14ac:dyDescent="0.45">
      <c r="H562" t="str">
        <f>IF(PNL!A562="","",_CALC_PNL!P562)</f>
        <v/>
      </c>
      <c r="I562" t="str">
        <f>IF(PNL!A562="","",IF(_CALC_PNL!E562=1,H562-G562,""))</f>
        <v/>
      </c>
    </row>
    <row r="563" spans="8:9" x14ac:dyDescent="0.45">
      <c r="H563" t="str">
        <f>IF(PNL!A563="","",_CALC_PNL!P563)</f>
        <v/>
      </c>
      <c r="I563" t="str">
        <f>IF(PNL!A563="","",IF(_CALC_PNL!E563=1,H563-G563,""))</f>
        <v/>
      </c>
    </row>
    <row r="564" spans="8:9" x14ac:dyDescent="0.45">
      <c r="H564" t="str">
        <f>IF(PNL!A564="","",_CALC_PNL!P564)</f>
        <v/>
      </c>
      <c r="I564" t="str">
        <f>IF(PNL!A564="","",IF(_CALC_PNL!E564=1,H564-G564,""))</f>
        <v/>
      </c>
    </row>
    <row r="565" spans="8:9" x14ac:dyDescent="0.45">
      <c r="H565" t="str">
        <f>IF(PNL!A565="","",_CALC_PNL!P565)</f>
        <v/>
      </c>
      <c r="I565" t="str">
        <f>IF(PNL!A565="","",IF(_CALC_PNL!E565=1,H565-G565,""))</f>
        <v/>
      </c>
    </row>
    <row r="566" spans="8:9" x14ac:dyDescent="0.45">
      <c r="H566" t="str">
        <f>IF(PNL!A566="","",_CALC_PNL!P566)</f>
        <v/>
      </c>
      <c r="I566" t="str">
        <f>IF(PNL!A566="","",IF(_CALC_PNL!E566=1,H566-G566,""))</f>
        <v/>
      </c>
    </row>
    <row r="567" spans="8:9" x14ac:dyDescent="0.45">
      <c r="H567" t="str">
        <f>IF(PNL!A567="","",_CALC_PNL!P567)</f>
        <v/>
      </c>
      <c r="I567" t="str">
        <f>IF(PNL!A567="","",IF(_CALC_PNL!E567=1,H567-G567,""))</f>
        <v/>
      </c>
    </row>
    <row r="568" spans="8:9" x14ac:dyDescent="0.45">
      <c r="H568" t="str">
        <f>IF(PNL!A568="","",_CALC_PNL!P568)</f>
        <v/>
      </c>
      <c r="I568" t="str">
        <f>IF(PNL!A568="","",IF(_CALC_PNL!E568=1,H568-G568,""))</f>
        <v/>
      </c>
    </row>
    <row r="569" spans="8:9" x14ac:dyDescent="0.45">
      <c r="H569" t="str">
        <f>IF(PNL!A569="","",_CALC_PNL!P569)</f>
        <v/>
      </c>
      <c r="I569" t="str">
        <f>IF(PNL!A569="","",IF(_CALC_PNL!E569=1,H569-G569,""))</f>
        <v/>
      </c>
    </row>
    <row r="570" spans="8:9" x14ac:dyDescent="0.45">
      <c r="H570" t="str">
        <f>IF(PNL!A570="","",_CALC_PNL!P570)</f>
        <v/>
      </c>
      <c r="I570" t="str">
        <f>IF(PNL!A570="","",IF(_CALC_PNL!E570=1,H570-G570,""))</f>
        <v/>
      </c>
    </row>
    <row r="571" spans="8:9" x14ac:dyDescent="0.45">
      <c r="H571" t="str">
        <f>IF(PNL!A571="","",_CALC_PNL!P571)</f>
        <v/>
      </c>
      <c r="I571" t="str">
        <f>IF(PNL!A571="","",IF(_CALC_PNL!E571=1,H571-G571,""))</f>
        <v/>
      </c>
    </row>
    <row r="572" spans="8:9" x14ac:dyDescent="0.45">
      <c r="H572" t="str">
        <f>IF(PNL!A572="","",_CALC_PNL!P572)</f>
        <v/>
      </c>
      <c r="I572" t="str">
        <f>IF(PNL!A572="","",IF(_CALC_PNL!E572=1,H572-G572,""))</f>
        <v/>
      </c>
    </row>
    <row r="573" spans="8:9" x14ac:dyDescent="0.45">
      <c r="H573" t="str">
        <f>IF(PNL!A573="","",_CALC_PNL!P573)</f>
        <v/>
      </c>
      <c r="I573" t="str">
        <f>IF(PNL!A573="","",IF(_CALC_PNL!E573=1,H573-G573,""))</f>
        <v/>
      </c>
    </row>
    <row r="574" spans="8:9" x14ac:dyDescent="0.45">
      <c r="H574" t="str">
        <f>IF(PNL!A574="","",_CALC_PNL!P574)</f>
        <v/>
      </c>
      <c r="I574" t="str">
        <f>IF(PNL!A574="","",IF(_CALC_PNL!E574=1,H574-G574,""))</f>
        <v/>
      </c>
    </row>
    <row r="575" spans="8:9" x14ac:dyDescent="0.45">
      <c r="H575" t="str">
        <f>IF(PNL!A575="","",_CALC_PNL!P575)</f>
        <v/>
      </c>
      <c r="I575" t="str">
        <f>IF(PNL!A575="","",IF(_CALC_PNL!E575=1,H575-G575,""))</f>
        <v/>
      </c>
    </row>
    <row r="576" spans="8:9" x14ac:dyDescent="0.45">
      <c r="H576" t="str">
        <f>IF(PNL!A576="","",_CALC_PNL!P576)</f>
        <v/>
      </c>
      <c r="I576" t="str">
        <f>IF(PNL!A576="","",IF(_CALC_PNL!E576=1,H576-G576,""))</f>
        <v/>
      </c>
    </row>
    <row r="577" spans="8:9" x14ac:dyDescent="0.45">
      <c r="H577" t="str">
        <f>IF(PNL!A577="","",_CALC_PNL!P577)</f>
        <v/>
      </c>
      <c r="I577" t="str">
        <f>IF(PNL!A577="","",IF(_CALC_PNL!E577=1,H577-G577,""))</f>
        <v/>
      </c>
    </row>
    <row r="578" spans="8:9" x14ac:dyDescent="0.45">
      <c r="H578" t="str">
        <f>IF(PNL!A578="","",_CALC_PNL!P578)</f>
        <v/>
      </c>
      <c r="I578" t="str">
        <f>IF(PNL!A578="","",IF(_CALC_PNL!E578=1,H578-G578,""))</f>
        <v/>
      </c>
    </row>
    <row r="579" spans="8:9" x14ac:dyDescent="0.45">
      <c r="H579" t="str">
        <f>IF(PNL!A579="","",_CALC_PNL!P579)</f>
        <v/>
      </c>
      <c r="I579" t="str">
        <f>IF(PNL!A579="","",IF(_CALC_PNL!E579=1,H579-G579,""))</f>
        <v/>
      </c>
    </row>
    <row r="580" spans="8:9" x14ac:dyDescent="0.45">
      <c r="H580" t="str">
        <f>IF(PNL!A580="","",_CALC_PNL!P580)</f>
        <v/>
      </c>
      <c r="I580" t="str">
        <f>IF(PNL!A580="","",IF(_CALC_PNL!E580=1,H580-G580,""))</f>
        <v/>
      </c>
    </row>
    <row r="581" spans="8:9" x14ac:dyDescent="0.45">
      <c r="H581" t="str">
        <f>IF(PNL!A581="","",_CALC_PNL!P581)</f>
        <v/>
      </c>
      <c r="I581" t="str">
        <f>IF(PNL!A581="","",IF(_CALC_PNL!E581=1,H581-G581,""))</f>
        <v/>
      </c>
    </row>
    <row r="582" spans="8:9" x14ac:dyDescent="0.45">
      <c r="H582" t="str">
        <f>IF(PNL!A582="","",_CALC_PNL!P582)</f>
        <v/>
      </c>
      <c r="I582" t="str">
        <f>IF(PNL!A582="","",IF(_CALC_PNL!E582=1,H582-G582,""))</f>
        <v/>
      </c>
    </row>
    <row r="583" spans="8:9" x14ac:dyDescent="0.45">
      <c r="H583" t="str">
        <f>IF(PNL!A583="","",_CALC_PNL!P583)</f>
        <v/>
      </c>
      <c r="I583" t="str">
        <f>IF(PNL!A583="","",IF(_CALC_PNL!E583=1,H583-G583,""))</f>
        <v/>
      </c>
    </row>
    <row r="584" spans="8:9" x14ac:dyDescent="0.45">
      <c r="H584" t="str">
        <f>IF(PNL!A584="","",_CALC_PNL!P584)</f>
        <v/>
      </c>
      <c r="I584" t="str">
        <f>IF(PNL!A584="","",IF(_CALC_PNL!E584=1,H584-G584,""))</f>
        <v/>
      </c>
    </row>
    <row r="585" spans="8:9" x14ac:dyDescent="0.45">
      <c r="H585" t="str">
        <f>IF(PNL!A585="","",_CALC_PNL!P585)</f>
        <v/>
      </c>
      <c r="I585" t="str">
        <f>IF(PNL!A585="","",IF(_CALC_PNL!E585=1,H585-G585,""))</f>
        <v/>
      </c>
    </row>
    <row r="586" spans="8:9" x14ac:dyDescent="0.45">
      <c r="H586" t="str">
        <f>IF(PNL!A586="","",_CALC_PNL!P586)</f>
        <v/>
      </c>
      <c r="I586" t="str">
        <f>IF(PNL!A586="","",IF(_CALC_PNL!E586=1,H586-G586,""))</f>
        <v/>
      </c>
    </row>
    <row r="587" spans="8:9" x14ac:dyDescent="0.45">
      <c r="H587" t="str">
        <f>IF(PNL!A587="","",_CALC_PNL!P587)</f>
        <v/>
      </c>
      <c r="I587" t="str">
        <f>IF(PNL!A587="","",IF(_CALC_PNL!E587=1,H587-G587,""))</f>
        <v/>
      </c>
    </row>
    <row r="588" spans="8:9" x14ac:dyDescent="0.45">
      <c r="H588" t="str">
        <f>IF(PNL!A588="","",_CALC_PNL!P588)</f>
        <v/>
      </c>
      <c r="I588" t="str">
        <f>IF(PNL!A588="","",IF(_CALC_PNL!E588=1,H588-G588,""))</f>
        <v/>
      </c>
    </row>
    <row r="589" spans="8:9" x14ac:dyDescent="0.45">
      <c r="H589" t="str">
        <f>IF(PNL!A589="","",_CALC_PNL!P589)</f>
        <v/>
      </c>
      <c r="I589" t="str">
        <f>IF(PNL!A589="","",IF(_CALC_PNL!E589=1,H589-G589,""))</f>
        <v/>
      </c>
    </row>
    <row r="590" spans="8:9" x14ac:dyDescent="0.45">
      <c r="H590" t="str">
        <f>IF(PNL!A590="","",_CALC_PNL!P590)</f>
        <v/>
      </c>
      <c r="I590" t="str">
        <f>IF(PNL!A590="","",IF(_CALC_PNL!E590=1,H590-G590,""))</f>
        <v/>
      </c>
    </row>
    <row r="591" spans="8:9" x14ac:dyDescent="0.45">
      <c r="H591" t="str">
        <f>IF(PNL!A591="","",_CALC_PNL!P591)</f>
        <v/>
      </c>
      <c r="I591" t="str">
        <f>IF(PNL!A591="","",IF(_CALC_PNL!E591=1,H591-G591,""))</f>
        <v/>
      </c>
    </row>
    <row r="592" spans="8:9" x14ac:dyDescent="0.45">
      <c r="H592" t="str">
        <f>IF(PNL!A592="","",_CALC_PNL!P592)</f>
        <v/>
      </c>
      <c r="I592" t="str">
        <f>IF(PNL!A592="","",IF(_CALC_PNL!E592=1,H592-G592,""))</f>
        <v/>
      </c>
    </row>
    <row r="593" spans="8:9" x14ac:dyDescent="0.45">
      <c r="H593" t="str">
        <f>IF(PNL!A593="","",_CALC_PNL!P593)</f>
        <v/>
      </c>
      <c r="I593" t="str">
        <f>IF(PNL!A593="","",IF(_CALC_PNL!E593=1,H593-G593,""))</f>
        <v/>
      </c>
    </row>
    <row r="594" spans="8:9" x14ac:dyDescent="0.45">
      <c r="H594" t="str">
        <f>IF(PNL!A594="","",_CALC_PNL!P594)</f>
        <v/>
      </c>
      <c r="I594" t="str">
        <f>IF(PNL!A594="","",IF(_CALC_PNL!E594=1,H594-G594,""))</f>
        <v/>
      </c>
    </row>
    <row r="595" spans="8:9" x14ac:dyDescent="0.45">
      <c r="H595" t="str">
        <f>IF(PNL!A595="","",_CALC_PNL!P595)</f>
        <v/>
      </c>
      <c r="I595" t="str">
        <f>IF(PNL!A595="","",IF(_CALC_PNL!E595=1,H595-G595,""))</f>
        <v/>
      </c>
    </row>
    <row r="596" spans="8:9" x14ac:dyDescent="0.45">
      <c r="H596" t="str">
        <f>IF(PNL!A596="","",_CALC_PNL!P596)</f>
        <v/>
      </c>
      <c r="I596" t="str">
        <f>IF(PNL!A596="","",IF(_CALC_PNL!E596=1,H596-G596,""))</f>
        <v/>
      </c>
    </row>
    <row r="597" spans="8:9" x14ac:dyDescent="0.45">
      <c r="H597" t="str">
        <f>IF(PNL!A597="","",_CALC_PNL!P597)</f>
        <v/>
      </c>
      <c r="I597" t="str">
        <f>IF(PNL!A597="","",IF(_CALC_PNL!E597=1,H597-G597,""))</f>
        <v/>
      </c>
    </row>
    <row r="598" spans="8:9" x14ac:dyDescent="0.45">
      <c r="H598" t="str">
        <f>IF(PNL!A598="","",_CALC_PNL!P598)</f>
        <v/>
      </c>
      <c r="I598" t="str">
        <f>IF(PNL!A598="","",IF(_CALC_PNL!E598=1,H598-G598,""))</f>
        <v/>
      </c>
    </row>
    <row r="599" spans="8:9" x14ac:dyDescent="0.45">
      <c r="H599" t="str">
        <f>IF(PNL!A599="","",_CALC_PNL!P599)</f>
        <v/>
      </c>
      <c r="I599" t="str">
        <f>IF(PNL!A599="","",IF(_CALC_PNL!E599=1,H599-G599,""))</f>
        <v/>
      </c>
    </row>
    <row r="600" spans="8:9" x14ac:dyDescent="0.45">
      <c r="H600" t="str">
        <f>IF(PNL!A600="","",_CALC_PNL!P600)</f>
        <v/>
      </c>
      <c r="I600" t="str">
        <f>IF(PNL!A600="","",IF(_CALC_PNL!E600=1,H600-G600,""))</f>
        <v/>
      </c>
    </row>
    <row r="601" spans="8:9" x14ac:dyDescent="0.45">
      <c r="H601" t="str">
        <f>IF(PNL!A601="","",_CALC_PNL!P601)</f>
        <v/>
      </c>
      <c r="I601" t="str">
        <f>IF(PNL!A601="","",IF(_CALC_PNL!E601=1,H601-G601,""))</f>
        <v/>
      </c>
    </row>
    <row r="602" spans="8:9" x14ac:dyDescent="0.45">
      <c r="H602" t="str">
        <f>IF(PNL!A602="","",_CALC_PNL!P602)</f>
        <v/>
      </c>
      <c r="I602" t="str">
        <f>IF(PNL!A602="","",IF(_CALC_PNL!E602=1,H602-G602,""))</f>
        <v/>
      </c>
    </row>
    <row r="603" spans="8:9" x14ac:dyDescent="0.45">
      <c r="H603" t="str">
        <f>IF(PNL!A603="","",_CALC_PNL!P603)</f>
        <v/>
      </c>
      <c r="I603" t="str">
        <f>IF(PNL!A603="","",IF(_CALC_PNL!E603=1,H603-G603,""))</f>
        <v/>
      </c>
    </row>
    <row r="604" spans="8:9" x14ac:dyDescent="0.45">
      <c r="H604" t="str">
        <f>IF(PNL!A604="","",_CALC_PNL!P604)</f>
        <v/>
      </c>
      <c r="I604" t="str">
        <f>IF(PNL!A604="","",IF(_CALC_PNL!E604=1,H604-G604,""))</f>
        <v/>
      </c>
    </row>
    <row r="605" spans="8:9" x14ac:dyDescent="0.45">
      <c r="H605" t="str">
        <f>IF(PNL!A605="","",_CALC_PNL!P605)</f>
        <v/>
      </c>
      <c r="I605" t="str">
        <f>IF(PNL!A605="","",IF(_CALC_PNL!E605=1,H605-G605,""))</f>
        <v/>
      </c>
    </row>
    <row r="606" spans="8:9" x14ac:dyDescent="0.45">
      <c r="H606" t="str">
        <f>IF(PNL!A606="","",_CALC_PNL!P606)</f>
        <v/>
      </c>
      <c r="I606" t="str">
        <f>IF(PNL!A606="","",IF(_CALC_PNL!E606=1,H606-G606,""))</f>
        <v/>
      </c>
    </row>
    <row r="607" spans="8:9" x14ac:dyDescent="0.45">
      <c r="H607" t="str">
        <f>IF(PNL!A607="","",_CALC_PNL!P607)</f>
        <v/>
      </c>
      <c r="I607" t="str">
        <f>IF(PNL!A607="","",IF(_CALC_PNL!E607=1,H607-G607,""))</f>
        <v/>
      </c>
    </row>
    <row r="608" spans="8:9" x14ac:dyDescent="0.45">
      <c r="H608" t="str">
        <f>IF(PNL!A608="","",_CALC_PNL!P608)</f>
        <v/>
      </c>
      <c r="I608" t="str">
        <f>IF(PNL!A608="","",IF(_CALC_PNL!E608=1,H608-G608,""))</f>
        <v/>
      </c>
    </row>
    <row r="609" spans="8:9" x14ac:dyDescent="0.45">
      <c r="H609" t="str">
        <f>IF(PNL!A609="","",_CALC_PNL!P609)</f>
        <v/>
      </c>
      <c r="I609" t="str">
        <f>IF(PNL!A609="","",IF(_CALC_PNL!E609=1,H609-G609,""))</f>
        <v/>
      </c>
    </row>
    <row r="610" spans="8:9" x14ac:dyDescent="0.45">
      <c r="H610" t="str">
        <f>IF(PNL!A610="","",_CALC_PNL!P610)</f>
        <v/>
      </c>
      <c r="I610" t="str">
        <f>IF(PNL!A610="","",IF(_CALC_PNL!E610=1,H610-G610,""))</f>
        <v/>
      </c>
    </row>
    <row r="611" spans="8:9" x14ac:dyDescent="0.45">
      <c r="H611" t="str">
        <f>IF(PNL!A611="","",_CALC_PNL!P611)</f>
        <v/>
      </c>
      <c r="I611" t="str">
        <f>IF(PNL!A611="","",IF(_CALC_PNL!E611=1,H611-G611,""))</f>
        <v/>
      </c>
    </row>
    <row r="612" spans="8:9" x14ac:dyDescent="0.45">
      <c r="H612" t="str">
        <f>IF(PNL!A612="","",_CALC_PNL!P612)</f>
        <v/>
      </c>
      <c r="I612" t="str">
        <f>IF(PNL!A612="","",IF(_CALC_PNL!E612=1,H612-G612,""))</f>
        <v/>
      </c>
    </row>
    <row r="613" spans="8:9" x14ac:dyDescent="0.45">
      <c r="H613" t="str">
        <f>IF(PNL!A613="","",_CALC_PNL!P613)</f>
        <v/>
      </c>
      <c r="I613" t="str">
        <f>IF(PNL!A613="","",IF(_CALC_PNL!E613=1,H613-G613,""))</f>
        <v/>
      </c>
    </row>
    <row r="614" spans="8:9" x14ac:dyDescent="0.45">
      <c r="H614" t="str">
        <f>IF(PNL!A614="","",_CALC_PNL!P614)</f>
        <v/>
      </c>
      <c r="I614" t="str">
        <f>IF(PNL!A614="","",IF(_CALC_PNL!E614=1,H614-G614,""))</f>
        <v/>
      </c>
    </row>
    <row r="615" spans="8:9" x14ac:dyDescent="0.45">
      <c r="H615" t="str">
        <f>IF(PNL!A615="","",_CALC_PNL!P615)</f>
        <v/>
      </c>
      <c r="I615" t="str">
        <f>IF(PNL!A615="","",IF(_CALC_PNL!E615=1,H615-G615,""))</f>
        <v/>
      </c>
    </row>
    <row r="616" spans="8:9" x14ac:dyDescent="0.45">
      <c r="H616" t="str">
        <f>IF(PNL!A616="","",_CALC_PNL!P616)</f>
        <v/>
      </c>
      <c r="I616" t="str">
        <f>IF(PNL!A616="","",IF(_CALC_PNL!E616=1,H616-G616,""))</f>
        <v/>
      </c>
    </row>
    <row r="617" spans="8:9" x14ac:dyDescent="0.45">
      <c r="H617" t="str">
        <f>IF(PNL!A617="","",_CALC_PNL!P617)</f>
        <v/>
      </c>
      <c r="I617" t="str">
        <f>IF(PNL!A617="","",IF(_CALC_PNL!E617=1,H617-G617,""))</f>
        <v/>
      </c>
    </row>
    <row r="618" spans="8:9" x14ac:dyDescent="0.45">
      <c r="H618" t="str">
        <f>IF(PNL!A618="","",_CALC_PNL!P618)</f>
        <v/>
      </c>
      <c r="I618" t="str">
        <f>IF(PNL!A618="","",IF(_CALC_PNL!E618=1,H618-G618,""))</f>
        <v/>
      </c>
    </row>
    <row r="619" spans="8:9" x14ac:dyDescent="0.45">
      <c r="H619" t="str">
        <f>IF(PNL!A619="","",_CALC_PNL!P619)</f>
        <v/>
      </c>
      <c r="I619" t="str">
        <f>IF(PNL!A619="","",IF(_CALC_PNL!E619=1,H619-G619,""))</f>
        <v/>
      </c>
    </row>
    <row r="620" spans="8:9" x14ac:dyDescent="0.45">
      <c r="H620" t="str">
        <f>IF(PNL!A620="","",_CALC_PNL!P620)</f>
        <v/>
      </c>
      <c r="I620" t="str">
        <f>IF(PNL!A620="","",IF(_CALC_PNL!E620=1,H620-G620,""))</f>
        <v/>
      </c>
    </row>
    <row r="621" spans="8:9" x14ac:dyDescent="0.45">
      <c r="H621" t="str">
        <f>IF(PNL!A621="","",_CALC_PNL!P621)</f>
        <v/>
      </c>
      <c r="I621" t="str">
        <f>IF(PNL!A621="","",IF(_CALC_PNL!E621=1,H621-G621,""))</f>
        <v/>
      </c>
    </row>
    <row r="622" spans="8:9" x14ac:dyDescent="0.45">
      <c r="H622" t="str">
        <f>IF(PNL!A622="","",_CALC_PNL!P622)</f>
        <v/>
      </c>
      <c r="I622" t="str">
        <f>IF(PNL!A622="","",IF(_CALC_PNL!E622=1,H622-G622,""))</f>
        <v/>
      </c>
    </row>
    <row r="623" spans="8:9" x14ac:dyDescent="0.45">
      <c r="H623" t="str">
        <f>IF(PNL!A623="","",_CALC_PNL!P623)</f>
        <v/>
      </c>
      <c r="I623" t="str">
        <f>IF(PNL!A623="","",IF(_CALC_PNL!E623=1,H623-G623,""))</f>
        <v/>
      </c>
    </row>
    <row r="624" spans="8:9" x14ac:dyDescent="0.45">
      <c r="H624" t="str">
        <f>IF(PNL!A624="","",_CALC_PNL!P624)</f>
        <v/>
      </c>
      <c r="I624" t="str">
        <f>IF(PNL!A624="","",IF(_CALC_PNL!E624=1,H624-G624,""))</f>
        <v/>
      </c>
    </row>
    <row r="625" spans="8:9" x14ac:dyDescent="0.45">
      <c r="H625" t="str">
        <f>IF(PNL!A625="","",_CALC_PNL!P625)</f>
        <v/>
      </c>
      <c r="I625" t="str">
        <f>IF(PNL!A625="","",IF(_CALC_PNL!E625=1,H625-G625,""))</f>
        <v/>
      </c>
    </row>
    <row r="626" spans="8:9" x14ac:dyDescent="0.45">
      <c r="H626" t="str">
        <f>IF(PNL!A626="","",_CALC_PNL!P626)</f>
        <v/>
      </c>
      <c r="I626" t="str">
        <f>IF(PNL!A626="","",IF(_CALC_PNL!E626=1,H626-G626,""))</f>
        <v/>
      </c>
    </row>
    <row r="627" spans="8:9" x14ac:dyDescent="0.45">
      <c r="H627" t="str">
        <f>IF(PNL!A627="","",_CALC_PNL!P627)</f>
        <v/>
      </c>
      <c r="I627" t="str">
        <f>IF(PNL!A627="","",IF(_CALC_PNL!E627=1,H627-G627,""))</f>
        <v/>
      </c>
    </row>
    <row r="628" spans="8:9" x14ac:dyDescent="0.45">
      <c r="H628" t="str">
        <f>IF(PNL!A628="","",_CALC_PNL!P628)</f>
        <v/>
      </c>
      <c r="I628" t="str">
        <f>IF(PNL!A628="","",IF(_CALC_PNL!E628=1,H628-G628,""))</f>
        <v/>
      </c>
    </row>
    <row r="629" spans="8:9" x14ac:dyDescent="0.45">
      <c r="H629" t="str">
        <f>IF(PNL!A629="","",_CALC_PNL!P629)</f>
        <v/>
      </c>
      <c r="I629" t="str">
        <f>IF(PNL!A629="","",IF(_CALC_PNL!E629=1,H629-G629,""))</f>
        <v/>
      </c>
    </row>
    <row r="630" spans="8:9" x14ac:dyDescent="0.45">
      <c r="H630" t="str">
        <f>IF(PNL!A630="","",_CALC_PNL!P630)</f>
        <v/>
      </c>
      <c r="I630" t="str">
        <f>IF(PNL!A630="","",IF(_CALC_PNL!E630=1,H630-G630,""))</f>
        <v/>
      </c>
    </row>
    <row r="631" spans="8:9" x14ac:dyDescent="0.45">
      <c r="H631" t="str">
        <f>IF(PNL!A631="","",_CALC_PNL!P631)</f>
        <v/>
      </c>
      <c r="I631" t="str">
        <f>IF(PNL!A631="","",IF(_CALC_PNL!E631=1,H631-G631,""))</f>
        <v/>
      </c>
    </row>
    <row r="632" spans="8:9" x14ac:dyDescent="0.45">
      <c r="H632" t="str">
        <f>IF(PNL!A632="","",_CALC_PNL!P632)</f>
        <v/>
      </c>
      <c r="I632" t="str">
        <f>IF(PNL!A632="","",IF(_CALC_PNL!E632=1,H632-G632,""))</f>
        <v/>
      </c>
    </row>
    <row r="633" spans="8:9" x14ac:dyDescent="0.45">
      <c r="H633" t="str">
        <f>IF(PNL!A633="","",_CALC_PNL!P633)</f>
        <v/>
      </c>
      <c r="I633" t="str">
        <f>IF(PNL!A633="","",IF(_CALC_PNL!E633=1,H633-G633,""))</f>
        <v/>
      </c>
    </row>
    <row r="634" spans="8:9" x14ac:dyDescent="0.45">
      <c r="H634" t="str">
        <f>IF(PNL!A634="","",_CALC_PNL!P634)</f>
        <v/>
      </c>
      <c r="I634" t="str">
        <f>IF(PNL!A634="","",IF(_CALC_PNL!E634=1,H634-G634,""))</f>
        <v/>
      </c>
    </row>
    <row r="635" spans="8:9" x14ac:dyDescent="0.45">
      <c r="H635" t="str">
        <f>IF(PNL!A635="","",_CALC_PNL!P635)</f>
        <v/>
      </c>
      <c r="I635" t="str">
        <f>IF(PNL!A635="","",IF(_CALC_PNL!E635=1,H635-G635,""))</f>
        <v/>
      </c>
    </row>
    <row r="636" spans="8:9" x14ac:dyDescent="0.45">
      <c r="H636" t="str">
        <f>IF(PNL!A636="","",_CALC_PNL!P636)</f>
        <v/>
      </c>
      <c r="I636" t="str">
        <f>IF(PNL!A636="","",IF(_CALC_PNL!E636=1,H636-G636,""))</f>
        <v/>
      </c>
    </row>
    <row r="637" spans="8:9" x14ac:dyDescent="0.45">
      <c r="H637" t="str">
        <f>IF(PNL!A637="","",_CALC_PNL!P637)</f>
        <v/>
      </c>
      <c r="I637" t="str">
        <f>IF(PNL!A637="","",IF(_CALC_PNL!E637=1,H637-G637,""))</f>
        <v/>
      </c>
    </row>
    <row r="638" spans="8:9" x14ac:dyDescent="0.45">
      <c r="H638" t="str">
        <f>IF(PNL!A638="","",_CALC_PNL!P638)</f>
        <v/>
      </c>
      <c r="I638" t="str">
        <f>IF(PNL!A638="","",IF(_CALC_PNL!E638=1,H638-G638,""))</f>
        <v/>
      </c>
    </row>
    <row r="639" spans="8:9" x14ac:dyDescent="0.45">
      <c r="H639" t="str">
        <f>IF(PNL!A639="","",_CALC_PNL!P639)</f>
        <v/>
      </c>
      <c r="I639" t="str">
        <f>IF(PNL!A639="","",IF(_CALC_PNL!E639=1,H639-G639,""))</f>
        <v/>
      </c>
    </row>
    <row r="640" spans="8:9" x14ac:dyDescent="0.45">
      <c r="H640" t="str">
        <f>IF(PNL!A640="","",_CALC_PNL!P640)</f>
        <v/>
      </c>
      <c r="I640" t="str">
        <f>IF(PNL!A640="","",IF(_CALC_PNL!E640=1,H640-G640,""))</f>
        <v/>
      </c>
    </row>
    <row r="641" spans="8:9" x14ac:dyDescent="0.45">
      <c r="H641" t="str">
        <f>IF(PNL!A641="","",_CALC_PNL!P641)</f>
        <v/>
      </c>
      <c r="I641" t="str">
        <f>IF(PNL!A641="","",IF(_CALC_PNL!E641=1,H641-G641,""))</f>
        <v/>
      </c>
    </row>
    <row r="642" spans="8:9" x14ac:dyDescent="0.45">
      <c r="H642" t="str">
        <f>IF(PNL!A642="","",_CALC_PNL!P642)</f>
        <v/>
      </c>
      <c r="I642" t="str">
        <f>IF(PNL!A642="","",IF(_CALC_PNL!E642=1,H642-G642,""))</f>
        <v/>
      </c>
    </row>
    <row r="643" spans="8:9" x14ac:dyDescent="0.45">
      <c r="H643" t="str">
        <f>IF(PNL!A643="","",_CALC_PNL!P643)</f>
        <v/>
      </c>
      <c r="I643" t="str">
        <f>IF(PNL!A643="","",IF(_CALC_PNL!E643=1,H643-G643,""))</f>
        <v/>
      </c>
    </row>
    <row r="644" spans="8:9" x14ac:dyDescent="0.45">
      <c r="H644" t="str">
        <f>IF(PNL!A644="","",_CALC_PNL!P644)</f>
        <v/>
      </c>
      <c r="I644" t="str">
        <f>IF(PNL!A644="","",IF(_CALC_PNL!E644=1,H644-G644,""))</f>
        <v/>
      </c>
    </row>
    <row r="645" spans="8:9" x14ac:dyDescent="0.45">
      <c r="H645" t="str">
        <f>IF(PNL!A645="","",_CALC_PNL!P645)</f>
        <v/>
      </c>
      <c r="I645" t="str">
        <f>IF(PNL!A645="","",IF(_CALC_PNL!E645=1,H645-G645,""))</f>
        <v/>
      </c>
    </row>
    <row r="646" spans="8:9" x14ac:dyDescent="0.45">
      <c r="H646" t="str">
        <f>IF(PNL!A646="","",_CALC_PNL!P646)</f>
        <v/>
      </c>
      <c r="I646" t="str">
        <f>IF(PNL!A646="","",IF(_CALC_PNL!E646=1,H646-G646,""))</f>
        <v/>
      </c>
    </row>
    <row r="647" spans="8:9" x14ac:dyDescent="0.45">
      <c r="H647" t="str">
        <f>IF(PNL!A647="","",_CALC_PNL!P647)</f>
        <v/>
      </c>
      <c r="I647" t="str">
        <f>IF(PNL!A647="","",IF(_CALC_PNL!E647=1,H647-G647,""))</f>
        <v/>
      </c>
    </row>
    <row r="648" spans="8:9" x14ac:dyDescent="0.45">
      <c r="H648" t="str">
        <f>IF(PNL!A648="","",_CALC_PNL!P648)</f>
        <v/>
      </c>
      <c r="I648" t="str">
        <f>IF(PNL!A648="","",IF(_CALC_PNL!E648=1,H648-G648,""))</f>
        <v/>
      </c>
    </row>
    <row r="649" spans="8:9" x14ac:dyDescent="0.45">
      <c r="H649" t="str">
        <f>IF(PNL!A649="","",_CALC_PNL!P649)</f>
        <v/>
      </c>
      <c r="I649" t="str">
        <f>IF(PNL!A649="","",IF(_CALC_PNL!E649=1,H649-G649,""))</f>
        <v/>
      </c>
    </row>
    <row r="650" spans="8:9" x14ac:dyDescent="0.45">
      <c r="H650" t="str">
        <f>IF(PNL!A650="","",_CALC_PNL!P650)</f>
        <v/>
      </c>
      <c r="I650" t="str">
        <f>IF(PNL!A650="","",IF(_CALC_PNL!E650=1,H650-G650,""))</f>
        <v/>
      </c>
    </row>
    <row r="651" spans="8:9" x14ac:dyDescent="0.45">
      <c r="H651" t="str">
        <f>IF(PNL!A651="","",_CALC_PNL!P651)</f>
        <v/>
      </c>
      <c r="I651" t="str">
        <f>IF(PNL!A651="","",IF(_CALC_PNL!E651=1,H651-G651,""))</f>
        <v/>
      </c>
    </row>
    <row r="652" spans="8:9" x14ac:dyDescent="0.45">
      <c r="H652" t="str">
        <f>IF(PNL!A652="","",_CALC_PNL!P652)</f>
        <v/>
      </c>
      <c r="I652" t="str">
        <f>IF(PNL!A652="","",IF(_CALC_PNL!E652=1,H652-G652,""))</f>
        <v/>
      </c>
    </row>
    <row r="653" spans="8:9" x14ac:dyDescent="0.45">
      <c r="H653" t="str">
        <f>IF(PNL!A653="","",_CALC_PNL!P653)</f>
        <v/>
      </c>
      <c r="I653" t="str">
        <f>IF(PNL!A653="","",IF(_CALC_PNL!E653=1,H653-G653,""))</f>
        <v/>
      </c>
    </row>
    <row r="654" spans="8:9" x14ac:dyDescent="0.45">
      <c r="H654" t="str">
        <f>IF(PNL!A654="","",_CALC_PNL!P654)</f>
        <v/>
      </c>
      <c r="I654" t="str">
        <f>IF(PNL!A654="","",IF(_CALC_PNL!E654=1,H654-G654,""))</f>
        <v/>
      </c>
    </row>
    <row r="655" spans="8:9" x14ac:dyDescent="0.45">
      <c r="H655" t="str">
        <f>IF(PNL!A655="","",_CALC_PNL!P655)</f>
        <v/>
      </c>
      <c r="I655" t="str">
        <f>IF(PNL!A655="","",IF(_CALC_PNL!E655=1,H655-G655,""))</f>
        <v/>
      </c>
    </row>
    <row r="656" spans="8:9" x14ac:dyDescent="0.45">
      <c r="H656" t="str">
        <f>IF(PNL!A656="","",_CALC_PNL!P656)</f>
        <v/>
      </c>
      <c r="I656" t="str">
        <f>IF(PNL!A656="","",IF(_CALC_PNL!E656=1,H656-G656,""))</f>
        <v/>
      </c>
    </row>
    <row r="657" spans="8:9" x14ac:dyDescent="0.45">
      <c r="H657" t="str">
        <f>IF(PNL!A657="","",_CALC_PNL!P657)</f>
        <v/>
      </c>
      <c r="I657" t="str">
        <f>IF(PNL!A657="","",IF(_CALC_PNL!E657=1,H657-G657,""))</f>
        <v/>
      </c>
    </row>
    <row r="658" spans="8:9" x14ac:dyDescent="0.45">
      <c r="H658" t="str">
        <f>IF(PNL!A658="","",_CALC_PNL!P658)</f>
        <v/>
      </c>
      <c r="I658" t="str">
        <f>IF(PNL!A658="","",IF(_CALC_PNL!E658=1,H658-G658,""))</f>
        <v/>
      </c>
    </row>
    <row r="659" spans="8:9" x14ac:dyDescent="0.45">
      <c r="H659" t="str">
        <f>IF(PNL!A659="","",_CALC_PNL!P659)</f>
        <v/>
      </c>
      <c r="I659" t="str">
        <f>IF(PNL!A659="","",IF(_CALC_PNL!E659=1,H659-G659,""))</f>
        <v/>
      </c>
    </row>
    <row r="660" spans="8:9" x14ac:dyDescent="0.45">
      <c r="H660" t="str">
        <f>IF(PNL!A660="","",_CALC_PNL!P660)</f>
        <v/>
      </c>
      <c r="I660" t="str">
        <f>IF(PNL!A660="","",IF(_CALC_PNL!E660=1,H660-G660,""))</f>
        <v/>
      </c>
    </row>
    <row r="661" spans="8:9" x14ac:dyDescent="0.45">
      <c r="H661" t="str">
        <f>IF(PNL!A661="","",_CALC_PNL!P661)</f>
        <v/>
      </c>
      <c r="I661" t="str">
        <f>IF(PNL!A661="","",IF(_CALC_PNL!E661=1,H661-G661,""))</f>
        <v/>
      </c>
    </row>
    <row r="662" spans="8:9" x14ac:dyDescent="0.45">
      <c r="H662" t="str">
        <f>IF(PNL!A662="","",_CALC_PNL!P662)</f>
        <v/>
      </c>
      <c r="I662" t="str">
        <f>IF(PNL!A662="","",IF(_CALC_PNL!E662=1,H662-G662,""))</f>
        <v/>
      </c>
    </row>
    <row r="663" spans="8:9" x14ac:dyDescent="0.45">
      <c r="H663" t="str">
        <f>IF(PNL!A663="","",_CALC_PNL!P663)</f>
        <v/>
      </c>
      <c r="I663" t="str">
        <f>IF(PNL!A663="","",IF(_CALC_PNL!E663=1,H663-G663,""))</f>
        <v/>
      </c>
    </row>
    <row r="664" spans="8:9" x14ac:dyDescent="0.45">
      <c r="H664" t="str">
        <f>IF(PNL!A664="","",_CALC_PNL!P664)</f>
        <v/>
      </c>
      <c r="I664" t="str">
        <f>IF(PNL!A664="","",IF(_CALC_PNL!E664=1,H664-G664,""))</f>
        <v/>
      </c>
    </row>
    <row r="665" spans="8:9" x14ac:dyDescent="0.45">
      <c r="H665" t="str">
        <f>IF(PNL!A665="","",_CALC_PNL!P665)</f>
        <v/>
      </c>
      <c r="I665" t="str">
        <f>IF(PNL!A665="","",IF(_CALC_PNL!E665=1,H665-G665,""))</f>
        <v/>
      </c>
    </row>
    <row r="666" spans="8:9" x14ac:dyDescent="0.45">
      <c r="H666" t="str">
        <f>IF(PNL!A666="","",_CALC_PNL!P666)</f>
        <v/>
      </c>
      <c r="I666" t="str">
        <f>IF(PNL!A666="","",IF(_CALC_PNL!E666=1,H666-G666,""))</f>
        <v/>
      </c>
    </row>
    <row r="667" spans="8:9" x14ac:dyDescent="0.45">
      <c r="H667" t="str">
        <f>IF(PNL!A667="","",_CALC_PNL!P667)</f>
        <v/>
      </c>
      <c r="I667" t="str">
        <f>IF(PNL!A667="","",IF(_CALC_PNL!E667=1,H667-G667,""))</f>
        <v/>
      </c>
    </row>
    <row r="668" spans="8:9" x14ac:dyDescent="0.45">
      <c r="H668" t="str">
        <f>IF(PNL!A668="","",_CALC_PNL!P668)</f>
        <v/>
      </c>
      <c r="I668" t="str">
        <f>IF(PNL!A668="","",IF(_CALC_PNL!E668=1,H668-G668,""))</f>
        <v/>
      </c>
    </row>
    <row r="669" spans="8:9" x14ac:dyDescent="0.45">
      <c r="H669" t="str">
        <f>IF(PNL!A669="","",_CALC_PNL!P669)</f>
        <v/>
      </c>
      <c r="I669" t="str">
        <f>IF(PNL!A669="","",IF(_CALC_PNL!E669=1,H669-G669,""))</f>
        <v/>
      </c>
    </row>
    <row r="670" spans="8:9" x14ac:dyDescent="0.45">
      <c r="H670" t="str">
        <f>IF(PNL!A670="","",_CALC_PNL!P670)</f>
        <v/>
      </c>
      <c r="I670" t="str">
        <f>IF(PNL!A670="","",IF(_CALC_PNL!E670=1,H670-G670,""))</f>
        <v/>
      </c>
    </row>
    <row r="671" spans="8:9" x14ac:dyDescent="0.45">
      <c r="H671" t="str">
        <f>IF(PNL!A671="","",_CALC_PNL!P671)</f>
        <v/>
      </c>
      <c r="I671" t="str">
        <f>IF(PNL!A671="","",IF(_CALC_PNL!E671=1,H671-G671,""))</f>
        <v/>
      </c>
    </row>
    <row r="672" spans="8:9" x14ac:dyDescent="0.45">
      <c r="H672" t="str">
        <f>IF(PNL!A672="","",_CALC_PNL!P672)</f>
        <v/>
      </c>
      <c r="I672" t="str">
        <f>IF(PNL!A672="","",IF(_CALC_PNL!E672=1,H672-G672,""))</f>
        <v/>
      </c>
    </row>
    <row r="673" spans="8:9" x14ac:dyDescent="0.45">
      <c r="H673" t="str">
        <f>IF(PNL!A673="","",_CALC_PNL!P673)</f>
        <v/>
      </c>
      <c r="I673" t="str">
        <f>IF(PNL!A673="","",IF(_CALC_PNL!E673=1,H673-G673,""))</f>
        <v/>
      </c>
    </row>
    <row r="674" spans="8:9" x14ac:dyDescent="0.45">
      <c r="H674" t="str">
        <f>IF(PNL!A674="","",_CALC_PNL!P674)</f>
        <v/>
      </c>
      <c r="I674" t="str">
        <f>IF(PNL!A674="","",IF(_CALC_PNL!E674=1,H674-G674,""))</f>
        <v/>
      </c>
    </row>
    <row r="675" spans="8:9" x14ac:dyDescent="0.45">
      <c r="H675" t="str">
        <f>IF(PNL!A675="","",_CALC_PNL!P675)</f>
        <v/>
      </c>
      <c r="I675" t="str">
        <f>IF(PNL!A675="","",IF(_CALC_PNL!E675=1,H675-G675,""))</f>
        <v/>
      </c>
    </row>
    <row r="676" spans="8:9" x14ac:dyDescent="0.45">
      <c r="H676" t="str">
        <f>IF(PNL!A676="","",_CALC_PNL!P676)</f>
        <v/>
      </c>
      <c r="I676" t="str">
        <f>IF(PNL!A676="","",IF(_CALC_PNL!E676=1,H676-G676,""))</f>
        <v/>
      </c>
    </row>
    <row r="677" spans="8:9" x14ac:dyDescent="0.45">
      <c r="H677" t="str">
        <f>IF(PNL!A677="","",_CALC_PNL!P677)</f>
        <v/>
      </c>
      <c r="I677" t="str">
        <f>IF(PNL!A677="","",IF(_CALC_PNL!E677=1,H677-G677,""))</f>
        <v/>
      </c>
    </row>
    <row r="678" spans="8:9" x14ac:dyDescent="0.45">
      <c r="H678" t="str">
        <f>IF(PNL!A678="","",_CALC_PNL!P678)</f>
        <v/>
      </c>
      <c r="I678" t="str">
        <f>IF(PNL!A678="","",IF(_CALC_PNL!E678=1,H678-G678,""))</f>
        <v/>
      </c>
    </row>
    <row r="679" spans="8:9" x14ac:dyDescent="0.45">
      <c r="H679" t="str">
        <f>IF(PNL!A679="","",_CALC_PNL!P679)</f>
        <v/>
      </c>
      <c r="I679" t="str">
        <f>IF(PNL!A679="","",IF(_CALC_PNL!E679=1,H679-G679,""))</f>
        <v/>
      </c>
    </row>
    <row r="680" spans="8:9" x14ac:dyDescent="0.45">
      <c r="H680" t="str">
        <f>IF(PNL!A680="","",_CALC_PNL!P680)</f>
        <v/>
      </c>
      <c r="I680" t="str">
        <f>IF(PNL!A680="","",IF(_CALC_PNL!E680=1,H680-G680,""))</f>
        <v/>
      </c>
    </row>
    <row r="681" spans="8:9" x14ac:dyDescent="0.45">
      <c r="H681" t="str">
        <f>IF(PNL!A681="","",_CALC_PNL!P681)</f>
        <v/>
      </c>
      <c r="I681" t="str">
        <f>IF(PNL!A681="","",IF(_CALC_PNL!E681=1,H681-G681,""))</f>
        <v/>
      </c>
    </row>
    <row r="682" spans="8:9" x14ac:dyDescent="0.45">
      <c r="H682" t="str">
        <f>IF(PNL!A682="","",_CALC_PNL!P682)</f>
        <v/>
      </c>
      <c r="I682" t="str">
        <f>IF(PNL!A682="","",IF(_CALC_PNL!E682=1,H682-G682,""))</f>
        <v/>
      </c>
    </row>
    <row r="683" spans="8:9" x14ac:dyDescent="0.45">
      <c r="H683" t="str">
        <f>IF(PNL!A683="","",_CALC_PNL!P683)</f>
        <v/>
      </c>
      <c r="I683" t="str">
        <f>IF(PNL!A683="","",IF(_CALC_PNL!E683=1,H683-G683,""))</f>
        <v/>
      </c>
    </row>
    <row r="684" spans="8:9" x14ac:dyDescent="0.45">
      <c r="H684" t="str">
        <f>IF(PNL!A684="","",_CALC_PNL!P684)</f>
        <v/>
      </c>
      <c r="I684" t="str">
        <f>IF(PNL!A684="","",IF(_CALC_PNL!E684=1,H684-G684,""))</f>
        <v/>
      </c>
    </row>
    <row r="685" spans="8:9" x14ac:dyDescent="0.45">
      <c r="H685" t="str">
        <f>IF(PNL!A685="","",_CALC_PNL!P685)</f>
        <v/>
      </c>
      <c r="I685" t="str">
        <f>IF(PNL!A685="","",IF(_CALC_PNL!E685=1,H685-G685,""))</f>
        <v/>
      </c>
    </row>
    <row r="686" spans="8:9" x14ac:dyDescent="0.45">
      <c r="H686" t="str">
        <f>IF(PNL!A686="","",_CALC_PNL!P686)</f>
        <v/>
      </c>
      <c r="I686" t="str">
        <f>IF(PNL!A686="","",IF(_CALC_PNL!E686=1,H686-G686,""))</f>
        <v/>
      </c>
    </row>
    <row r="687" spans="8:9" x14ac:dyDescent="0.45">
      <c r="H687" t="str">
        <f>IF(PNL!A687="","",_CALC_PNL!P687)</f>
        <v/>
      </c>
      <c r="I687" t="str">
        <f>IF(PNL!A687="","",IF(_CALC_PNL!E687=1,H687-G687,""))</f>
        <v/>
      </c>
    </row>
    <row r="688" spans="8:9" x14ac:dyDescent="0.45">
      <c r="H688" t="str">
        <f>IF(PNL!A688="","",_CALC_PNL!P688)</f>
        <v/>
      </c>
      <c r="I688" t="str">
        <f>IF(PNL!A688="","",IF(_CALC_PNL!E688=1,H688-G688,""))</f>
        <v/>
      </c>
    </row>
    <row r="689" spans="8:9" x14ac:dyDescent="0.45">
      <c r="H689" t="str">
        <f>IF(PNL!A689="","",_CALC_PNL!P689)</f>
        <v/>
      </c>
      <c r="I689" t="str">
        <f>IF(PNL!A689="","",IF(_CALC_PNL!E689=1,H689-G689,""))</f>
        <v/>
      </c>
    </row>
    <row r="690" spans="8:9" x14ac:dyDescent="0.45">
      <c r="H690" t="str">
        <f>IF(PNL!A690="","",_CALC_PNL!P690)</f>
        <v/>
      </c>
      <c r="I690" t="str">
        <f>IF(PNL!A690="","",IF(_CALC_PNL!E690=1,H690-G690,""))</f>
        <v/>
      </c>
    </row>
    <row r="691" spans="8:9" x14ac:dyDescent="0.45">
      <c r="H691" t="str">
        <f>IF(PNL!A691="","",_CALC_PNL!P691)</f>
        <v/>
      </c>
      <c r="I691" t="str">
        <f>IF(PNL!A691="","",IF(_CALC_PNL!E691=1,H691-G691,""))</f>
        <v/>
      </c>
    </row>
    <row r="692" spans="8:9" x14ac:dyDescent="0.45">
      <c r="H692" t="str">
        <f>IF(PNL!A692="","",_CALC_PNL!P692)</f>
        <v/>
      </c>
      <c r="I692" t="str">
        <f>IF(PNL!A692="","",IF(_CALC_PNL!E692=1,H692-G692,""))</f>
        <v/>
      </c>
    </row>
    <row r="693" spans="8:9" x14ac:dyDescent="0.45">
      <c r="H693" t="str">
        <f>IF(PNL!A693="","",_CALC_PNL!P693)</f>
        <v/>
      </c>
      <c r="I693" t="str">
        <f>IF(PNL!A693="","",IF(_CALC_PNL!E693=1,H693-G693,""))</f>
        <v/>
      </c>
    </row>
    <row r="694" spans="8:9" x14ac:dyDescent="0.45">
      <c r="H694" t="str">
        <f>IF(PNL!A694="","",_CALC_PNL!P694)</f>
        <v/>
      </c>
      <c r="I694" t="str">
        <f>IF(PNL!A694="","",IF(_CALC_PNL!E694=1,H694-G694,""))</f>
        <v/>
      </c>
    </row>
    <row r="695" spans="8:9" x14ac:dyDescent="0.45">
      <c r="H695" t="str">
        <f>IF(PNL!A695="","",_CALC_PNL!P695)</f>
        <v/>
      </c>
      <c r="I695" t="str">
        <f>IF(PNL!A695="","",IF(_CALC_PNL!E695=1,H695-G695,""))</f>
        <v/>
      </c>
    </row>
    <row r="696" spans="8:9" x14ac:dyDescent="0.45">
      <c r="H696" t="str">
        <f>IF(PNL!A696="","",_CALC_PNL!P696)</f>
        <v/>
      </c>
      <c r="I696" t="str">
        <f>IF(PNL!A696="","",IF(_CALC_PNL!E696=1,H696-G696,""))</f>
        <v/>
      </c>
    </row>
    <row r="697" spans="8:9" x14ac:dyDescent="0.45">
      <c r="H697" t="str">
        <f>IF(PNL!A697="","",_CALC_PNL!P697)</f>
        <v/>
      </c>
      <c r="I697" t="str">
        <f>IF(PNL!A697="","",IF(_CALC_PNL!E697=1,H697-G697,""))</f>
        <v/>
      </c>
    </row>
    <row r="698" spans="8:9" x14ac:dyDescent="0.45">
      <c r="H698" t="str">
        <f>IF(PNL!A698="","",_CALC_PNL!P698)</f>
        <v/>
      </c>
      <c r="I698" t="str">
        <f>IF(PNL!A698="","",IF(_CALC_PNL!E698=1,H698-G698,""))</f>
        <v/>
      </c>
    </row>
    <row r="699" spans="8:9" x14ac:dyDescent="0.45">
      <c r="H699" t="str">
        <f>IF(PNL!A699="","",_CALC_PNL!P699)</f>
        <v/>
      </c>
      <c r="I699" t="str">
        <f>IF(PNL!A699="","",IF(_CALC_PNL!E699=1,H699-G699,""))</f>
        <v/>
      </c>
    </row>
    <row r="700" spans="8:9" x14ac:dyDescent="0.45">
      <c r="H700" t="str">
        <f>IF(PNL!A700="","",_CALC_PNL!P700)</f>
        <v/>
      </c>
      <c r="I700" t="str">
        <f>IF(PNL!A700="","",IF(_CALC_PNL!E700=1,H700-G700,""))</f>
        <v/>
      </c>
    </row>
    <row r="701" spans="8:9" x14ac:dyDescent="0.45">
      <c r="H701" t="str">
        <f>IF(PNL!A701="","",_CALC_PNL!P701)</f>
        <v/>
      </c>
      <c r="I701" t="str">
        <f>IF(PNL!A701="","",IF(_CALC_PNL!E701=1,H701-G701,""))</f>
        <v/>
      </c>
    </row>
    <row r="702" spans="8:9" x14ac:dyDescent="0.45">
      <c r="H702" t="str">
        <f>IF(PNL!A702="","",_CALC_PNL!P702)</f>
        <v/>
      </c>
      <c r="I702" t="str">
        <f>IF(PNL!A702="","",IF(_CALC_PNL!E702=1,H702-G702,""))</f>
        <v/>
      </c>
    </row>
    <row r="703" spans="8:9" x14ac:dyDescent="0.45">
      <c r="H703" t="str">
        <f>IF(PNL!A703="","",_CALC_PNL!P703)</f>
        <v/>
      </c>
      <c r="I703" t="str">
        <f>IF(PNL!A703="","",IF(_CALC_PNL!E703=1,H703-G703,""))</f>
        <v/>
      </c>
    </row>
    <row r="704" spans="8:9" x14ac:dyDescent="0.45">
      <c r="H704" t="str">
        <f>IF(PNL!A704="","",_CALC_PNL!P704)</f>
        <v/>
      </c>
      <c r="I704" t="str">
        <f>IF(PNL!A704="","",IF(_CALC_PNL!E704=1,H704-G704,""))</f>
        <v/>
      </c>
    </row>
    <row r="705" spans="8:9" x14ac:dyDescent="0.45">
      <c r="H705" t="str">
        <f>IF(PNL!A705="","",_CALC_PNL!P705)</f>
        <v/>
      </c>
      <c r="I705" t="str">
        <f>IF(PNL!A705="","",IF(_CALC_PNL!E705=1,H705-G705,""))</f>
        <v/>
      </c>
    </row>
    <row r="706" spans="8:9" x14ac:dyDescent="0.45">
      <c r="H706" t="str">
        <f>IF(PNL!A706="","",_CALC_PNL!P706)</f>
        <v/>
      </c>
      <c r="I706" t="str">
        <f>IF(PNL!A706="","",IF(_CALC_PNL!E706=1,H706-G706,""))</f>
        <v/>
      </c>
    </row>
    <row r="707" spans="8:9" x14ac:dyDescent="0.45">
      <c r="H707" t="str">
        <f>IF(PNL!A707="","",_CALC_PNL!P707)</f>
        <v/>
      </c>
      <c r="I707" t="str">
        <f>IF(PNL!A707="","",IF(_CALC_PNL!E707=1,H707-G707,""))</f>
        <v/>
      </c>
    </row>
    <row r="708" spans="8:9" x14ac:dyDescent="0.45">
      <c r="H708" t="str">
        <f>IF(PNL!A708="","",_CALC_PNL!P708)</f>
        <v/>
      </c>
      <c r="I708" t="str">
        <f>IF(PNL!A708="","",IF(_CALC_PNL!E708=1,H708-G708,""))</f>
        <v/>
      </c>
    </row>
    <row r="709" spans="8:9" x14ac:dyDescent="0.45">
      <c r="H709" t="str">
        <f>IF(PNL!A709="","",_CALC_PNL!P709)</f>
        <v/>
      </c>
      <c r="I709" t="str">
        <f>IF(PNL!A709="","",IF(_CALC_PNL!E709=1,H709-G709,""))</f>
        <v/>
      </c>
    </row>
    <row r="710" spans="8:9" x14ac:dyDescent="0.45">
      <c r="H710" t="str">
        <f>IF(PNL!A710="","",_CALC_PNL!P710)</f>
        <v/>
      </c>
      <c r="I710" t="str">
        <f>IF(PNL!A710="","",IF(_CALC_PNL!E710=1,H710-G710,""))</f>
        <v/>
      </c>
    </row>
    <row r="711" spans="8:9" x14ac:dyDescent="0.45">
      <c r="H711" t="str">
        <f>IF(PNL!A711="","",_CALC_PNL!P711)</f>
        <v/>
      </c>
      <c r="I711" t="str">
        <f>IF(PNL!A711="","",IF(_CALC_PNL!E711=1,H711-G711,""))</f>
        <v/>
      </c>
    </row>
    <row r="712" spans="8:9" x14ac:dyDescent="0.45">
      <c r="H712" t="str">
        <f>IF(PNL!A712="","",_CALC_PNL!P712)</f>
        <v/>
      </c>
      <c r="I712" t="str">
        <f>IF(PNL!A712="","",IF(_CALC_PNL!E712=1,H712-G712,""))</f>
        <v/>
      </c>
    </row>
    <row r="713" spans="8:9" x14ac:dyDescent="0.45">
      <c r="H713" t="str">
        <f>IF(PNL!A713="","",_CALC_PNL!P713)</f>
        <v/>
      </c>
      <c r="I713" t="str">
        <f>IF(PNL!A713="","",IF(_CALC_PNL!E713=1,H713-G713,""))</f>
        <v/>
      </c>
    </row>
    <row r="714" spans="8:9" x14ac:dyDescent="0.45">
      <c r="H714" t="str">
        <f>IF(PNL!A714="","",_CALC_PNL!P714)</f>
        <v/>
      </c>
      <c r="I714" t="str">
        <f>IF(PNL!A714="","",IF(_CALC_PNL!E714=1,H714-G714,""))</f>
        <v/>
      </c>
    </row>
    <row r="715" spans="8:9" x14ac:dyDescent="0.45">
      <c r="H715" t="str">
        <f>IF(PNL!A715="","",_CALC_PNL!P715)</f>
        <v/>
      </c>
      <c r="I715" t="str">
        <f>IF(PNL!A715="","",IF(_CALC_PNL!E715=1,H715-G715,""))</f>
        <v/>
      </c>
    </row>
    <row r="716" spans="8:9" x14ac:dyDescent="0.45">
      <c r="H716" t="str">
        <f>IF(PNL!A716="","",_CALC_PNL!P716)</f>
        <v/>
      </c>
      <c r="I716" t="str">
        <f>IF(PNL!A716="","",IF(_CALC_PNL!E716=1,H716-G716,""))</f>
        <v/>
      </c>
    </row>
    <row r="717" spans="8:9" x14ac:dyDescent="0.45">
      <c r="H717" t="str">
        <f>IF(PNL!A717="","",_CALC_PNL!P717)</f>
        <v/>
      </c>
      <c r="I717" t="str">
        <f>IF(PNL!A717="","",IF(_CALC_PNL!E717=1,H717-G717,""))</f>
        <v/>
      </c>
    </row>
    <row r="718" spans="8:9" x14ac:dyDescent="0.45">
      <c r="H718" t="str">
        <f>IF(PNL!A718="","",_CALC_PNL!P718)</f>
        <v/>
      </c>
      <c r="I718" t="str">
        <f>IF(PNL!A718="","",IF(_CALC_PNL!E718=1,H718-G718,""))</f>
        <v/>
      </c>
    </row>
    <row r="719" spans="8:9" x14ac:dyDescent="0.45">
      <c r="H719" t="str">
        <f>IF(PNL!A719="","",_CALC_PNL!P719)</f>
        <v/>
      </c>
      <c r="I719" t="str">
        <f>IF(PNL!A719="","",IF(_CALC_PNL!E719=1,H719-G719,""))</f>
        <v/>
      </c>
    </row>
    <row r="720" spans="8:9" x14ac:dyDescent="0.45">
      <c r="H720" t="str">
        <f>IF(PNL!A720="","",_CALC_PNL!P720)</f>
        <v/>
      </c>
      <c r="I720" t="str">
        <f>IF(PNL!A720="","",IF(_CALC_PNL!E720=1,H720-G720,""))</f>
        <v/>
      </c>
    </row>
    <row r="721" spans="8:9" x14ac:dyDescent="0.45">
      <c r="H721" t="str">
        <f>IF(PNL!A721="","",_CALC_PNL!P721)</f>
        <v/>
      </c>
      <c r="I721" t="str">
        <f>IF(PNL!A721="","",IF(_CALC_PNL!E721=1,H721-G721,""))</f>
        <v/>
      </c>
    </row>
    <row r="722" spans="8:9" x14ac:dyDescent="0.45">
      <c r="H722" t="str">
        <f>IF(PNL!A722="","",_CALC_PNL!P722)</f>
        <v/>
      </c>
      <c r="I722" t="str">
        <f>IF(PNL!A722="","",IF(_CALC_PNL!E722=1,H722-G722,""))</f>
        <v/>
      </c>
    </row>
    <row r="723" spans="8:9" x14ac:dyDescent="0.45">
      <c r="H723" t="str">
        <f>IF(PNL!A723="","",_CALC_PNL!P723)</f>
        <v/>
      </c>
      <c r="I723" t="str">
        <f>IF(PNL!A723="","",IF(_CALC_PNL!E723=1,H723-G723,""))</f>
        <v/>
      </c>
    </row>
    <row r="724" spans="8:9" x14ac:dyDescent="0.45">
      <c r="H724" t="str">
        <f>IF(PNL!A724="","",_CALC_PNL!P724)</f>
        <v/>
      </c>
      <c r="I724" t="str">
        <f>IF(PNL!A724="","",IF(_CALC_PNL!E724=1,H724-G724,""))</f>
        <v/>
      </c>
    </row>
    <row r="725" spans="8:9" x14ac:dyDescent="0.45">
      <c r="H725" t="str">
        <f>IF(PNL!A725="","",_CALC_PNL!P725)</f>
        <v/>
      </c>
      <c r="I725" t="str">
        <f>IF(PNL!A725="","",IF(_CALC_PNL!E725=1,H725-G725,""))</f>
        <v/>
      </c>
    </row>
    <row r="726" spans="8:9" x14ac:dyDescent="0.45">
      <c r="H726" t="str">
        <f>IF(PNL!A726="","",_CALC_PNL!P726)</f>
        <v/>
      </c>
      <c r="I726" t="str">
        <f>IF(PNL!A726="","",IF(_CALC_PNL!E726=1,H726-G726,""))</f>
        <v/>
      </c>
    </row>
    <row r="727" spans="8:9" x14ac:dyDescent="0.45">
      <c r="H727" t="str">
        <f>IF(PNL!A727="","",_CALC_PNL!P727)</f>
        <v/>
      </c>
      <c r="I727" t="str">
        <f>IF(PNL!A727="","",IF(_CALC_PNL!E727=1,H727-G727,""))</f>
        <v/>
      </c>
    </row>
    <row r="728" spans="8:9" x14ac:dyDescent="0.45">
      <c r="H728" t="str">
        <f>IF(PNL!A728="","",_CALC_PNL!P728)</f>
        <v/>
      </c>
      <c r="I728" t="str">
        <f>IF(PNL!A728="","",IF(_CALC_PNL!E728=1,H728-G728,""))</f>
        <v/>
      </c>
    </row>
    <row r="729" spans="8:9" x14ac:dyDescent="0.45">
      <c r="H729" t="str">
        <f>IF(PNL!A729="","",_CALC_PNL!P729)</f>
        <v/>
      </c>
      <c r="I729" t="str">
        <f>IF(PNL!A729="","",IF(_CALC_PNL!E729=1,H729-G729,""))</f>
        <v/>
      </c>
    </row>
    <row r="730" spans="8:9" x14ac:dyDescent="0.45">
      <c r="H730" t="str">
        <f>IF(PNL!A730="","",_CALC_PNL!P730)</f>
        <v/>
      </c>
      <c r="I730" t="str">
        <f>IF(PNL!A730="","",IF(_CALC_PNL!E730=1,H730-G730,""))</f>
        <v/>
      </c>
    </row>
    <row r="731" spans="8:9" x14ac:dyDescent="0.45">
      <c r="H731" t="str">
        <f>IF(PNL!A731="","",_CALC_PNL!P731)</f>
        <v/>
      </c>
      <c r="I731" t="str">
        <f>IF(PNL!A731="","",IF(_CALC_PNL!E731=1,H731-G731,""))</f>
        <v/>
      </c>
    </row>
    <row r="732" spans="8:9" x14ac:dyDescent="0.45">
      <c r="H732" t="str">
        <f>IF(PNL!A732="","",_CALC_PNL!P732)</f>
        <v/>
      </c>
      <c r="I732" t="str">
        <f>IF(PNL!A732="","",IF(_CALC_PNL!E732=1,H732-G732,""))</f>
        <v/>
      </c>
    </row>
    <row r="733" spans="8:9" x14ac:dyDescent="0.45">
      <c r="H733" t="str">
        <f>IF(PNL!A733="","",_CALC_PNL!P733)</f>
        <v/>
      </c>
      <c r="I733" t="str">
        <f>IF(PNL!A733="","",IF(_CALC_PNL!E733=1,H733-G733,""))</f>
        <v/>
      </c>
    </row>
    <row r="734" spans="8:9" x14ac:dyDescent="0.45">
      <c r="H734" t="str">
        <f>IF(PNL!A734="","",_CALC_PNL!P734)</f>
        <v/>
      </c>
      <c r="I734" t="str">
        <f>IF(PNL!A734="","",IF(_CALC_PNL!E734=1,H734-G734,""))</f>
        <v/>
      </c>
    </row>
    <row r="735" spans="8:9" x14ac:dyDescent="0.45">
      <c r="H735" t="str">
        <f>IF(PNL!A735="","",_CALC_PNL!P735)</f>
        <v/>
      </c>
      <c r="I735" t="str">
        <f>IF(PNL!A735="","",IF(_CALC_PNL!E735=1,H735-G735,""))</f>
        <v/>
      </c>
    </row>
    <row r="736" spans="8:9" x14ac:dyDescent="0.45">
      <c r="H736" t="str">
        <f>IF(PNL!A736="","",_CALC_PNL!P736)</f>
        <v/>
      </c>
      <c r="I736" t="str">
        <f>IF(PNL!A736="","",IF(_CALC_PNL!E736=1,H736-G736,""))</f>
        <v/>
      </c>
    </row>
    <row r="737" spans="8:9" x14ac:dyDescent="0.45">
      <c r="H737" t="str">
        <f>IF(PNL!A737="","",_CALC_PNL!P737)</f>
        <v/>
      </c>
      <c r="I737" t="str">
        <f>IF(PNL!A737="","",IF(_CALC_PNL!E737=1,H737-G737,""))</f>
        <v/>
      </c>
    </row>
    <row r="738" spans="8:9" x14ac:dyDescent="0.45">
      <c r="H738" t="str">
        <f>IF(PNL!A738="","",_CALC_PNL!P738)</f>
        <v/>
      </c>
      <c r="I738" t="str">
        <f>IF(PNL!A738="","",IF(_CALC_PNL!E738=1,H738-G738,""))</f>
        <v/>
      </c>
    </row>
    <row r="739" spans="8:9" x14ac:dyDescent="0.45">
      <c r="H739" t="str">
        <f>IF(PNL!A739="","",_CALC_PNL!P739)</f>
        <v/>
      </c>
      <c r="I739" t="str">
        <f>IF(PNL!A739="","",IF(_CALC_PNL!E739=1,H739-G739,""))</f>
        <v/>
      </c>
    </row>
    <row r="740" spans="8:9" x14ac:dyDescent="0.45">
      <c r="H740" t="str">
        <f>IF(PNL!A740="","",_CALC_PNL!P740)</f>
        <v/>
      </c>
      <c r="I740" t="str">
        <f>IF(PNL!A740="","",IF(_CALC_PNL!E740=1,H740-G740,""))</f>
        <v/>
      </c>
    </row>
    <row r="741" spans="8:9" x14ac:dyDescent="0.45">
      <c r="H741" t="str">
        <f>IF(PNL!A741="","",_CALC_PNL!P741)</f>
        <v/>
      </c>
      <c r="I741" t="str">
        <f>IF(PNL!A741="","",IF(_CALC_PNL!E741=1,H741-G741,""))</f>
        <v/>
      </c>
    </row>
    <row r="742" spans="8:9" x14ac:dyDescent="0.45">
      <c r="H742" t="str">
        <f>IF(PNL!A742="","",_CALC_PNL!P742)</f>
        <v/>
      </c>
      <c r="I742" t="str">
        <f>IF(PNL!A742="","",IF(_CALC_PNL!E742=1,H742-G742,""))</f>
        <v/>
      </c>
    </row>
    <row r="743" spans="8:9" x14ac:dyDescent="0.45">
      <c r="H743" t="str">
        <f>IF(PNL!A743="","",_CALC_PNL!P743)</f>
        <v/>
      </c>
      <c r="I743" t="str">
        <f>IF(PNL!A743="","",IF(_CALC_PNL!E743=1,H743-G743,""))</f>
        <v/>
      </c>
    </row>
    <row r="744" spans="8:9" x14ac:dyDescent="0.45">
      <c r="H744" t="str">
        <f>IF(PNL!A744="","",_CALC_PNL!P744)</f>
        <v/>
      </c>
      <c r="I744" t="str">
        <f>IF(PNL!A744="","",IF(_CALC_PNL!E744=1,H744-G744,""))</f>
        <v/>
      </c>
    </row>
    <row r="745" spans="8:9" x14ac:dyDescent="0.45">
      <c r="H745" t="str">
        <f>IF(PNL!A745="","",_CALC_PNL!P745)</f>
        <v/>
      </c>
      <c r="I745" t="str">
        <f>IF(PNL!A745="","",IF(_CALC_PNL!E745=1,H745-G745,""))</f>
        <v/>
      </c>
    </row>
    <row r="746" spans="8:9" x14ac:dyDescent="0.45">
      <c r="H746" t="str">
        <f>IF(PNL!A746="","",_CALC_PNL!P746)</f>
        <v/>
      </c>
      <c r="I746" t="str">
        <f>IF(PNL!A746="","",IF(_CALC_PNL!E746=1,H746-G746,""))</f>
        <v/>
      </c>
    </row>
    <row r="747" spans="8:9" x14ac:dyDescent="0.45">
      <c r="H747" t="str">
        <f>IF(PNL!A747="","",_CALC_PNL!P747)</f>
        <v/>
      </c>
      <c r="I747" t="str">
        <f>IF(PNL!A747="","",IF(_CALC_PNL!E747=1,H747-G747,""))</f>
        <v/>
      </c>
    </row>
    <row r="748" spans="8:9" x14ac:dyDescent="0.45">
      <c r="H748" t="str">
        <f>IF(PNL!A748="","",_CALC_PNL!P748)</f>
        <v/>
      </c>
      <c r="I748" t="str">
        <f>IF(PNL!A748="","",IF(_CALC_PNL!E748=1,H748-G748,""))</f>
        <v/>
      </c>
    </row>
    <row r="749" spans="8:9" x14ac:dyDescent="0.45">
      <c r="H749" t="str">
        <f>IF(PNL!A749="","",_CALC_PNL!P749)</f>
        <v/>
      </c>
      <c r="I749" t="str">
        <f>IF(PNL!A749="","",IF(_CALC_PNL!E749=1,H749-G749,""))</f>
        <v/>
      </c>
    </row>
    <row r="750" spans="8:9" x14ac:dyDescent="0.45">
      <c r="H750" t="str">
        <f>IF(PNL!A750="","",_CALC_PNL!P750)</f>
        <v/>
      </c>
      <c r="I750" t="str">
        <f>IF(PNL!A750="","",IF(_CALC_PNL!E750=1,H750-G750,""))</f>
        <v/>
      </c>
    </row>
    <row r="751" spans="8:9" x14ac:dyDescent="0.45">
      <c r="H751" t="str">
        <f>IF(PNL!A751="","",_CALC_PNL!P751)</f>
        <v/>
      </c>
      <c r="I751" t="str">
        <f>IF(PNL!A751="","",IF(_CALC_PNL!E751=1,H751-G751,""))</f>
        <v/>
      </c>
    </row>
    <row r="752" spans="8:9" x14ac:dyDescent="0.45">
      <c r="H752" t="str">
        <f>IF(PNL!A752="","",_CALC_PNL!P752)</f>
        <v/>
      </c>
      <c r="I752" t="str">
        <f>IF(PNL!A752="","",IF(_CALC_PNL!E752=1,H752-G752,""))</f>
        <v/>
      </c>
    </row>
    <row r="753" spans="8:9" x14ac:dyDescent="0.45">
      <c r="H753" t="str">
        <f>IF(PNL!A753="","",_CALC_PNL!P753)</f>
        <v/>
      </c>
      <c r="I753" t="str">
        <f>IF(PNL!A753="","",IF(_CALC_PNL!E753=1,H753-G753,""))</f>
        <v/>
      </c>
    </row>
    <row r="754" spans="8:9" x14ac:dyDescent="0.45">
      <c r="H754" t="str">
        <f>IF(PNL!A754="","",_CALC_PNL!P754)</f>
        <v/>
      </c>
      <c r="I754" t="str">
        <f>IF(PNL!A754="","",IF(_CALC_PNL!E754=1,H754-G754,""))</f>
        <v/>
      </c>
    </row>
    <row r="755" spans="8:9" x14ac:dyDescent="0.45">
      <c r="H755" t="str">
        <f>IF(PNL!A755="","",_CALC_PNL!P755)</f>
        <v/>
      </c>
      <c r="I755" t="str">
        <f>IF(PNL!A755="","",IF(_CALC_PNL!E755=1,H755-G755,""))</f>
        <v/>
      </c>
    </row>
    <row r="756" spans="8:9" x14ac:dyDescent="0.45">
      <c r="H756" t="str">
        <f>IF(PNL!A756="","",_CALC_PNL!P756)</f>
        <v/>
      </c>
      <c r="I756" t="str">
        <f>IF(PNL!A756="","",IF(_CALC_PNL!E756=1,H756-G756,""))</f>
        <v/>
      </c>
    </row>
    <row r="757" spans="8:9" x14ac:dyDescent="0.45">
      <c r="H757" t="str">
        <f>IF(PNL!A757="","",_CALC_PNL!P757)</f>
        <v/>
      </c>
      <c r="I757" t="str">
        <f>IF(PNL!A757="","",IF(_CALC_PNL!E757=1,H757-G757,""))</f>
        <v/>
      </c>
    </row>
    <row r="758" spans="8:9" x14ac:dyDescent="0.45">
      <c r="H758" t="str">
        <f>IF(PNL!A758="","",_CALC_PNL!P758)</f>
        <v/>
      </c>
      <c r="I758" t="str">
        <f>IF(PNL!A758="","",IF(_CALC_PNL!E758=1,H758-G758,""))</f>
        <v/>
      </c>
    </row>
    <row r="759" spans="8:9" x14ac:dyDescent="0.45">
      <c r="H759" t="str">
        <f>IF(PNL!A759="","",_CALC_PNL!P759)</f>
        <v/>
      </c>
      <c r="I759" t="str">
        <f>IF(PNL!A759="","",IF(_CALC_PNL!E759=1,H759-G759,""))</f>
        <v/>
      </c>
    </row>
    <row r="760" spans="8:9" x14ac:dyDescent="0.45">
      <c r="H760" t="str">
        <f>IF(PNL!A760="","",_CALC_PNL!P760)</f>
        <v/>
      </c>
      <c r="I760" t="str">
        <f>IF(PNL!A760="","",IF(_CALC_PNL!E760=1,H760-G760,""))</f>
        <v/>
      </c>
    </row>
    <row r="761" spans="8:9" x14ac:dyDescent="0.45">
      <c r="H761" t="str">
        <f>IF(PNL!A761="","",_CALC_PNL!P761)</f>
        <v/>
      </c>
      <c r="I761" t="str">
        <f>IF(PNL!A761="","",IF(_CALC_PNL!E761=1,H761-G761,""))</f>
        <v/>
      </c>
    </row>
    <row r="762" spans="8:9" x14ac:dyDescent="0.45">
      <c r="H762" t="str">
        <f>IF(PNL!A762="","",_CALC_PNL!P762)</f>
        <v/>
      </c>
      <c r="I762" t="str">
        <f>IF(PNL!A762="","",IF(_CALC_PNL!E762=1,H762-G762,""))</f>
        <v/>
      </c>
    </row>
    <row r="763" spans="8:9" x14ac:dyDescent="0.45">
      <c r="H763" t="str">
        <f>IF(PNL!A763="","",_CALC_PNL!P763)</f>
        <v/>
      </c>
      <c r="I763" t="str">
        <f>IF(PNL!A763="","",IF(_CALC_PNL!E763=1,H763-G763,""))</f>
        <v/>
      </c>
    </row>
    <row r="764" spans="8:9" x14ac:dyDescent="0.45">
      <c r="H764" t="str">
        <f>IF(PNL!A764="","",_CALC_PNL!P764)</f>
        <v/>
      </c>
      <c r="I764" t="str">
        <f>IF(PNL!A764="","",IF(_CALC_PNL!E764=1,H764-G764,""))</f>
        <v/>
      </c>
    </row>
    <row r="765" spans="8:9" x14ac:dyDescent="0.45">
      <c r="H765" t="str">
        <f>IF(PNL!A765="","",_CALC_PNL!P765)</f>
        <v/>
      </c>
      <c r="I765" t="str">
        <f>IF(PNL!A765="","",IF(_CALC_PNL!E765=1,H765-G765,""))</f>
        <v/>
      </c>
    </row>
    <row r="766" spans="8:9" x14ac:dyDescent="0.45">
      <c r="H766" t="str">
        <f>IF(PNL!A766="","",_CALC_PNL!P766)</f>
        <v/>
      </c>
      <c r="I766" t="str">
        <f>IF(PNL!A766="","",IF(_CALC_PNL!E766=1,H766-G766,""))</f>
        <v/>
      </c>
    </row>
    <row r="767" spans="8:9" x14ac:dyDescent="0.45">
      <c r="H767" t="str">
        <f>IF(PNL!A767="","",_CALC_PNL!P767)</f>
        <v/>
      </c>
      <c r="I767" t="str">
        <f>IF(PNL!A767="","",IF(_CALC_PNL!E767=1,H767-G767,""))</f>
        <v/>
      </c>
    </row>
    <row r="768" spans="8:9" x14ac:dyDescent="0.45">
      <c r="H768" t="str">
        <f>IF(PNL!A768="","",_CALC_PNL!P768)</f>
        <v/>
      </c>
      <c r="I768" t="str">
        <f>IF(PNL!A768="","",IF(_CALC_PNL!E768=1,H768-G768,""))</f>
        <v/>
      </c>
    </row>
    <row r="769" spans="8:9" x14ac:dyDescent="0.45">
      <c r="H769" t="str">
        <f>IF(PNL!A769="","",_CALC_PNL!P769)</f>
        <v/>
      </c>
      <c r="I769" t="str">
        <f>IF(PNL!A769="","",IF(_CALC_PNL!E769=1,H769-G769,""))</f>
        <v/>
      </c>
    </row>
    <row r="770" spans="8:9" x14ac:dyDescent="0.45">
      <c r="H770" t="str">
        <f>IF(PNL!A770="","",_CALC_PNL!P770)</f>
        <v/>
      </c>
      <c r="I770" t="str">
        <f>IF(PNL!A770="","",IF(_CALC_PNL!E770=1,H770-G770,""))</f>
        <v/>
      </c>
    </row>
    <row r="771" spans="8:9" x14ac:dyDescent="0.45">
      <c r="H771" t="str">
        <f>IF(PNL!A771="","",_CALC_PNL!P771)</f>
        <v/>
      </c>
      <c r="I771" t="str">
        <f>IF(PNL!A771="","",IF(_CALC_PNL!E771=1,H771-G771,""))</f>
        <v/>
      </c>
    </row>
    <row r="772" spans="8:9" x14ac:dyDescent="0.45">
      <c r="H772" t="str">
        <f>IF(PNL!A772="","",_CALC_PNL!P772)</f>
        <v/>
      </c>
      <c r="I772" t="str">
        <f>IF(PNL!A772="","",IF(_CALC_PNL!E772=1,H772-G772,""))</f>
        <v/>
      </c>
    </row>
    <row r="773" spans="8:9" x14ac:dyDescent="0.45">
      <c r="H773" t="str">
        <f>IF(PNL!A773="","",_CALC_PNL!P773)</f>
        <v/>
      </c>
      <c r="I773" t="str">
        <f>IF(PNL!A773="","",IF(_CALC_PNL!E773=1,H773-G773,""))</f>
        <v/>
      </c>
    </row>
    <row r="774" spans="8:9" x14ac:dyDescent="0.45">
      <c r="H774" t="str">
        <f>IF(PNL!A774="","",_CALC_PNL!P774)</f>
        <v/>
      </c>
      <c r="I774" t="str">
        <f>IF(PNL!A774="","",IF(_CALC_PNL!E774=1,H774-G774,""))</f>
        <v/>
      </c>
    </row>
    <row r="775" spans="8:9" x14ac:dyDescent="0.45">
      <c r="H775" t="str">
        <f>IF(PNL!A775="","",_CALC_PNL!P775)</f>
        <v/>
      </c>
      <c r="I775" t="str">
        <f>IF(PNL!A775="","",IF(_CALC_PNL!E775=1,H775-G775,""))</f>
        <v/>
      </c>
    </row>
    <row r="776" spans="8:9" x14ac:dyDescent="0.45">
      <c r="H776" t="str">
        <f>IF(PNL!A776="","",_CALC_PNL!P776)</f>
        <v/>
      </c>
      <c r="I776" t="str">
        <f>IF(PNL!A776="","",IF(_CALC_PNL!E776=1,H776-G776,""))</f>
        <v/>
      </c>
    </row>
    <row r="777" spans="8:9" x14ac:dyDescent="0.45">
      <c r="H777" t="str">
        <f>IF(PNL!A777="","",_CALC_PNL!P777)</f>
        <v/>
      </c>
      <c r="I777" t="str">
        <f>IF(PNL!A777="","",IF(_CALC_PNL!E777=1,H777-G777,""))</f>
        <v/>
      </c>
    </row>
    <row r="778" spans="8:9" x14ac:dyDescent="0.45">
      <c r="H778" t="str">
        <f>IF(PNL!A778="","",_CALC_PNL!P778)</f>
        <v/>
      </c>
      <c r="I778" t="str">
        <f>IF(PNL!A778="","",IF(_CALC_PNL!E778=1,H778-G778,""))</f>
        <v/>
      </c>
    </row>
    <row r="779" spans="8:9" x14ac:dyDescent="0.45">
      <c r="H779" t="str">
        <f>IF(PNL!A779="","",_CALC_PNL!P779)</f>
        <v/>
      </c>
      <c r="I779" t="str">
        <f>IF(PNL!A779="","",IF(_CALC_PNL!E779=1,H779-G779,""))</f>
        <v/>
      </c>
    </row>
    <row r="780" spans="8:9" x14ac:dyDescent="0.45">
      <c r="H780" t="str">
        <f>IF(PNL!A780="","",_CALC_PNL!P780)</f>
        <v/>
      </c>
      <c r="I780" t="str">
        <f>IF(PNL!A780="","",IF(_CALC_PNL!E780=1,H780-G780,""))</f>
        <v/>
      </c>
    </row>
    <row r="781" spans="8:9" x14ac:dyDescent="0.45">
      <c r="H781" t="str">
        <f>IF(PNL!A781="","",_CALC_PNL!P781)</f>
        <v/>
      </c>
      <c r="I781" t="str">
        <f>IF(PNL!A781="","",IF(_CALC_PNL!E781=1,H781-G781,""))</f>
        <v/>
      </c>
    </row>
    <row r="782" spans="8:9" x14ac:dyDescent="0.45">
      <c r="H782" t="str">
        <f>IF(PNL!A782="","",_CALC_PNL!P782)</f>
        <v/>
      </c>
      <c r="I782" t="str">
        <f>IF(PNL!A782="","",IF(_CALC_PNL!E782=1,H782-G782,""))</f>
        <v/>
      </c>
    </row>
    <row r="783" spans="8:9" x14ac:dyDescent="0.45">
      <c r="H783" t="str">
        <f>IF(PNL!A783="","",_CALC_PNL!P783)</f>
        <v/>
      </c>
      <c r="I783" t="str">
        <f>IF(PNL!A783="","",IF(_CALC_PNL!E783=1,H783-G783,""))</f>
        <v/>
      </c>
    </row>
    <row r="784" spans="8:9" x14ac:dyDescent="0.45">
      <c r="H784" t="str">
        <f>IF(PNL!A784="","",_CALC_PNL!P784)</f>
        <v/>
      </c>
      <c r="I784" t="str">
        <f>IF(PNL!A784="","",IF(_CALC_PNL!E784=1,H784-G784,""))</f>
        <v/>
      </c>
    </row>
    <row r="785" spans="8:9" x14ac:dyDescent="0.45">
      <c r="H785" t="str">
        <f>IF(PNL!A785="","",_CALC_PNL!P785)</f>
        <v/>
      </c>
      <c r="I785" t="str">
        <f>IF(PNL!A785="","",IF(_CALC_PNL!E785=1,H785-G785,""))</f>
        <v/>
      </c>
    </row>
    <row r="786" spans="8:9" x14ac:dyDescent="0.45">
      <c r="H786" t="str">
        <f>IF(PNL!A786="","",_CALC_PNL!P786)</f>
        <v/>
      </c>
      <c r="I786" t="str">
        <f>IF(PNL!A786="","",IF(_CALC_PNL!E786=1,H786-G786,""))</f>
        <v/>
      </c>
    </row>
    <row r="787" spans="8:9" x14ac:dyDescent="0.45">
      <c r="H787" t="str">
        <f>IF(PNL!A787="","",_CALC_PNL!P787)</f>
        <v/>
      </c>
      <c r="I787" t="str">
        <f>IF(PNL!A787="","",IF(_CALC_PNL!E787=1,H787-G787,""))</f>
        <v/>
      </c>
    </row>
    <row r="788" spans="8:9" x14ac:dyDescent="0.45">
      <c r="H788" t="str">
        <f>IF(PNL!A788="","",_CALC_PNL!P788)</f>
        <v/>
      </c>
      <c r="I788" t="str">
        <f>IF(PNL!A788="","",IF(_CALC_PNL!E788=1,H788-G788,""))</f>
        <v/>
      </c>
    </row>
    <row r="789" spans="8:9" x14ac:dyDescent="0.45">
      <c r="H789" t="str">
        <f>IF(PNL!A789="","",_CALC_PNL!P789)</f>
        <v/>
      </c>
      <c r="I789" t="str">
        <f>IF(PNL!A789="","",IF(_CALC_PNL!E789=1,H789-G789,""))</f>
        <v/>
      </c>
    </row>
    <row r="790" spans="8:9" x14ac:dyDescent="0.45">
      <c r="H790" t="str">
        <f>IF(PNL!A790="","",_CALC_PNL!P790)</f>
        <v/>
      </c>
      <c r="I790" t="str">
        <f>IF(PNL!A790="","",IF(_CALC_PNL!E790=1,H790-G790,""))</f>
        <v/>
      </c>
    </row>
    <row r="791" spans="8:9" x14ac:dyDescent="0.45">
      <c r="H791" t="str">
        <f>IF(PNL!A791="","",_CALC_PNL!P791)</f>
        <v/>
      </c>
      <c r="I791" t="str">
        <f>IF(PNL!A791="","",IF(_CALC_PNL!E791=1,H791-G791,""))</f>
        <v/>
      </c>
    </row>
    <row r="792" spans="8:9" x14ac:dyDescent="0.45">
      <c r="H792" t="str">
        <f>IF(PNL!A792="","",_CALC_PNL!P792)</f>
        <v/>
      </c>
      <c r="I792" t="str">
        <f>IF(PNL!A792="","",IF(_CALC_PNL!E792=1,H792-G792,""))</f>
        <v/>
      </c>
    </row>
    <row r="793" spans="8:9" x14ac:dyDescent="0.45">
      <c r="H793" t="str">
        <f>IF(PNL!A793="","",_CALC_PNL!P793)</f>
        <v/>
      </c>
      <c r="I793" t="str">
        <f>IF(PNL!A793="","",IF(_CALC_PNL!E793=1,H793-G793,""))</f>
        <v/>
      </c>
    </row>
    <row r="794" spans="8:9" x14ac:dyDescent="0.45">
      <c r="H794" t="str">
        <f>IF(PNL!A794="","",_CALC_PNL!P794)</f>
        <v/>
      </c>
      <c r="I794" t="str">
        <f>IF(PNL!A794="","",IF(_CALC_PNL!E794=1,H794-G794,""))</f>
        <v/>
      </c>
    </row>
    <row r="795" spans="8:9" x14ac:dyDescent="0.45">
      <c r="H795" t="str">
        <f>IF(PNL!A795="","",_CALC_PNL!P795)</f>
        <v/>
      </c>
      <c r="I795" t="str">
        <f>IF(PNL!A795="","",IF(_CALC_PNL!E795=1,H795-G795,""))</f>
        <v/>
      </c>
    </row>
    <row r="796" spans="8:9" x14ac:dyDescent="0.45">
      <c r="H796" t="str">
        <f>IF(PNL!A796="","",_CALC_PNL!P796)</f>
        <v/>
      </c>
      <c r="I796" t="str">
        <f>IF(PNL!A796="","",IF(_CALC_PNL!E796=1,H796-G796,""))</f>
        <v/>
      </c>
    </row>
    <row r="797" spans="8:9" x14ac:dyDescent="0.45">
      <c r="H797" t="str">
        <f>IF(PNL!A797="","",_CALC_PNL!P797)</f>
        <v/>
      </c>
      <c r="I797" t="str">
        <f>IF(PNL!A797="","",IF(_CALC_PNL!E797=1,H797-G797,""))</f>
        <v/>
      </c>
    </row>
    <row r="798" spans="8:9" x14ac:dyDescent="0.45">
      <c r="H798" t="str">
        <f>IF(PNL!A798="","",_CALC_PNL!P798)</f>
        <v/>
      </c>
      <c r="I798" t="str">
        <f>IF(PNL!A798="","",IF(_CALC_PNL!E798=1,H798-G798,""))</f>
        <v/>
      </c>
    </row>
    <row r="799" spans="8:9" x14ac:dyDescent="0.45">
      <c r="H799" t="str">
        <f>IF(PNL!A799="","",_CALC_PNL!P799)</f>
        <v/>
      </c>
      <c r="I799" t="str">
        <f>IF(PNL!A799="","",IF(_CALC_PNL!E799=1,H799-G799,""))</f>
        <v/>
      </c>
    </row>
    <row r="800" spans="8:9" x14ac:dyDescent="0.45">
      <c r="H800" t="str">
        <f>IF(PNL!A800="","",_CALC_PNL!P800)</f>
        <v/>
      </c>
      <c r="I800" t="str">
        <f>IF(PNL!A800="","",IF(_CALC_PNL!E800=1,H800-G800,""))</f>
        <v/>
      </c>
    </row>
    <row r="801" spans="8:9" x14ac:dyDescent="0.45">
      <c r="H801" t="str">
        <f>IF(PNL!A801="","",_CALC_PNL!P801)</f>
        <v/>
      </c>
      <c r="I801" t="str">
        <f>IF(PNL!A801="","",IF(_CALC_PNL!E801=1,H801-G801,""))</f>
        <v/>
      </c>
    </row>
    <row r="802" spans="8:9" x14ac:dyDescent="0.45">
      <c r="H802" t="str">
        <f>IF(PNL!A802="","",_CALC_PNL!P802)</f>
        <v/>
      </c>
      <c r="I802" t="str">
        <f>IF(PNL!A802="","",IF(_CALC_PNL!E802=1,H802-G802,""))</f>
        <v/>
      </c>
    </row>
    <row r="803" spans="8:9" x14ac:dyDescent="0.45">
      <c r="H803" t="str">
        <f>IF(PNL!A803="","",_CALC_PNL!P803)</f>
        <v/>
      </c>
      <c r="I803" t="str">
        <f>IF(PNL!A803="","",IF(_CALC_PNL!E803=1,H803-G803,""))</f>
        <v/>
      </c>
    </row>
    <row r="804" spans="8:9" x14ac:dyDescent="0.45">
      <c r="H804" t="str">
        <f>IF(PNL!A804="","",_CALC_PNL!P804)</f>
        <v/>
      </c>
      <c r="I804" t="str">
        <f>IF(PNL!A804="","",IF(_CALC_PNL!E804=1,H804-G804,""))</f>
        <v/>
      </c>
    </row>
    <row r="805" spans="8:9" x14ac:dyDescent="0.45">
      <c r="H805" t="str">
        <f>IF(PNL!A805="","",_CALC_PNL!P805)</f>
        <v/>
      </c>
      <c r="I805" t="str">
        <f>IF(PNL!A805="","",IF(_CALC_PNL!E805=1,H805-G805,""))</f>
        <v/>
      </c>
    </row>
    <row r="806" spans="8:9" x14ac:dyDescent="0.45">
      <c r="H806" t="str">
        <f>IF(PNL!A806="","",_CALC_PNL!P806)</f>
        <v/>
      </c>
      <c r="I806" t="str">
        <f>IF(PNL!A806="","",IF(_CALC_PNL!E806=1,H806-G806,""))</f>
        <v/>
      </c>
    </row>
    <row r="807" spans="8:9" x14ac:dyDescent="0.45">
      <c r="H807" t="str">
        <f>IF(PNL!A807="","",_CALC_PNL!P807)</f>
        <v/>
      </c>
      <c r="I807" t="str">
        <f>IF(PNL!A807="","",IF(_CALC_PNL!E807=1,H807-G807,""))</f>
        <v/>
      </c>
    </row>
    <row r="808" spans="8:9" x14ac:dyDescent="0.45">
      <c r="H808" t="str">
        <f>IF(PNL!A808="","",_CALC_PNL!P808)</f>
        <v/>
      </c>
      <c r="I808" t="str">
        <f>IF(PNL!A808="","",IF(_CALC_PNL!E808=1,H808-G808,""))</f>
        <v/>
      </c>
    </row>
    <row r="809" spans="8:9" x14ac:dyDescent="0.45">
      <c r="H809" t="str">
        <f>IF(PNL!A809="","",_CALC_PNL!P809)</f>
        <v/>
      </c>
      <c r="I809" t="str">
        <f>IF(PNL!A809="","",IF(_CALC_PNL!E809=1,H809-G809,""))</f>
        <v/>
      </c>
    </row>
    <row r="810" spans="8:9" x14ac:dyDescent="0.45">
      <c r="H810" t="str">
        <f>IF(PNL!A810="","",_CALC_PNL!P810)</f>
        <v/>
      </c>
      <c r="I810" t="str">
        <f>IF(PNL!A810="","",IF(_CALC_PNL!E810=1,H810-G810,""))</f>
        <v/>
      </c>
    </row>
    <row r="811" spans="8:9" x14ac:dyDescent="0.45">
      <c r="H811" t="str">
        <f>IF(PNL!A811="","",_CALC_PNL!P811)</f>
        <v/>
      </c>
      <c r="I811" t="str">
        <f>IF(PNL!A811="","",IF(_CALC_PNL!E811=1,H811-G811,""))</f>
        <v/>
      </c>
    </row>
    <row r="812" spans="8:9" x14ac:dyDescent="0.45">
      <c r="H812" t="str">
        <f>IF(PNL!A812="","",_CALC_PNL!P812)</f>
        <v/>
      </c>
      <c r="I812" t="str">
        <f>IF(PNL!A812="","",IF(_CALC_PNL!E812=1,H812-G812,""))</f>
        <v/>
      </c>
    </row>
    <row r="813" spans="8:9" x14ac:dyDescent="0.45">
      <c r="H813" t="str">
        <f>IF(PNL!A813="","",_CALC_PNL!P813)</f>
        <v/>
      </c>
      <c r="I813" t="str">
        <f>IF(PNL!A813="","",IF(_CALC_PNL!E813=1,H813-G813,""))</f>
        <v/>
      </c>
    </row>
    <row r="814" spans="8:9" x14ac:dyDescent="0.45">
      <c r="H814" t="str">
        <f>IF(PNL!A814="","",_CALC_PNL!P814)</f>
        <v/>
      </c>
      <c r="I814" t="str">
        <f>IF(PNL!A814="","",IF(_CALC_PNL!E814=1,H814-G814,""))</f>
        <v/>
      </c>
    </row>
    <row r="815" spans="8:9" x14ac:dyDescent="0.45">
      <c r="H815" t="str">
        <f>IF(PNL!A815="","",_CALC_PNL!P815)</f>
        <v/>
      </c>
      <c r="I815" t="str">
        <f>IF(PNL!A815="","",IF(_CALC_PNL!E815=1,H815-G815,""))</f>
        <v/>
      </c>
    </row>
    <row r="816" spans="8:9" x14ac:dyDescent="0.45">
      <c r="H816" t="str">
        <f>IF(PNL!A816="","",_CALC_PNL!P816)</f>
        <v/>
      </c>
      <c r="I816" t="str">
        <f>IF(PNL!A816="","",IF(_CALC_PNL!E816=1,H816-G816,""))</f>
        <v/>
      </c>
    </row>
    <row r="817" spans="8:9" x14ac:dyDescent="0.45">
      <c r="H817" t="str">
        <f>IF(PNL!A817="","",_CALC_PNL!P817)</f>
        <v/>
      </c>
      <c r="I817" t="str">
        <f>IF(PNL!A817="","",IF(_CALC_PNL!E817=1,H817-G817,""))</f>
        <v/>
      </c>
    </row>
    <row r="818" spans="8:9" x14ac:dyDescent="0.45">
      <c r="H818" t="str">
        <f>IF(PNL!A818="","",_CALC_PNL!P818)</f>
        <v/>
      </c>
      <c r="I818" t="str">
        <f>IF(PNL!A818="","",IF(_CALC_PNL!E818=1,H818-G818,""))</f>
        <v/>
      </c>
    </row>
    <row r="819" spans="8:9" x14ac:dyDescent="0.45">
      <c r="H819" t="str">
        <f>IF(PNL!A819="","",_CALC_PNL!P819)</f>
        <v/>
      </c>
      <c r="I819" t="str">
        <f>IF(PNL!A819="","",IF(_CALC_PNL!E819=1,H819-G819,""))</f>
        <v/>
      </c>
    </row>
    <row r="820" spans="8:9" x14ac:dyDescent="0.45">
      <c r="H820" t="str">
        <f>IF(PNL!A820="","",_CALC_PNL!P820)</f>
        <v/>
      </c>
      <c r="I820" t="str">
        <f>IF(PNL!A820="","",IF(_CALC_PNL!E820=1,H820-G820,""))</f>
        <v/>
      </c>
    </row>
    <row r="821" spans="8:9" x14ac:dyDescent="0.45">
      <c r="H821" t="str">
        <f>IF(PNL!A821="","",_CALC_PNL!P821)</f>
        <v/>
      </c>
      <c r="I821" t="str">
        <f>IF(PNL!A821="","",IF(_CALC_PNL!E821=1,H821-G821,""))</f>
        <v/>
      </c>
    </row>
    <row r="822" spans="8:9" x14ac:dyDescent="0.45">
      <c r="H822" t="str">
        <f>IF(PNL!A822="","",_CALC_PNL!P822)</f>
        <v/>
      </c>
      <c r="I822" t="str">
        <f>IF(PNL!A822="","",IF(_CALC_PNL!E822=1,H822-G822,""))</f>
        <v/>
      </c>
    </row>
    <row r="823" spans="8:9" x14ac:dyDescent="0.45">
      <c r="H823" t="str">
        <f>IF(PNL!A823="","",_CALC_PNL!P823)</f>
        <v/>
      </c>
      <c r="I823" t="str">
        <f>IF(PNL!A823="","",IF(_CALC_PNL!E823=1,H823-G823,""))</f>
        <v/>
      </c>
    </row>
    <row r="824" spans="8:9" x14ac:dyDescent="0.45">
      <c r="H824" t="str">
        <f>IF(PNL!A824="","",_CALC_PNL!P824)</f>
        <v/>
      </c>
      <c r="I824" t="str">
        <f>IF(PNL!A824="","",IF(_CALC_PNL!E824=1,H824-G824,""))</f>
        <v/>
      </c>
    </row>
    <row r="825" spans="8:9" x14ac:dyDescent="0.45">
      <c r="H825" t="str">
        <f>IF(PNL!A825="","",_CALC_PNL!P825)</f>
        <v/>
      </c>
      <c r="I825" t="str">
        <f>IF(PNL!A825="","",IF(_CALC_PNL!E825=1,H825-G825,""))</f>
        <v/>
      </c>
    </row>
    <row r="826" spans="8:9" x14ac:dyDescent="0.45">
      <c r="H826" t="str">
        <f>IF(PNL!A826="","",_CALC_PNL!P826)</f>
        <v/>
      </c>
      <c r="I826" t="str">
        <f>IF(PNL!A826="","",IF(_CALC_PNL!E826=1,H826-G826,""))</f>
        <v/>
      </c>
    </row>
    <row r="827" spans="8:9" x14ac:dyDescent="0.45">
      <c r="H827" t="str">
        <f>IF(PNL!A827="","",_CALC_PNL!P827)</f>
        <v/>
      </c>
      <c r="I827" t="str">
        <f>IF(PNL!A827="","",IF(_CALC_PNL!E827=1,H827-G827,""))</f>
        <v/>
      </c>
    </row>
    <row r="828" spans="8:9" x14ac:dyDescent="0.45">
      <c r="H828" t="str">
        <f>IF(PNL!A828="","",_CALC_PNL!P828)</f>
        <v/>
      </c>
      <c r="I828" t="str">
        <f>IF(PNL!A828="","",IF(_CALC_PNL!E828=1,H828-G828,""))</f>
        <v/>
      </c>
    </row>
    <row r="829" spans="8:9" x14ac:dyDescent="0.45">
      <c r="H829" t="str">
        <f>IF(PNL!A829="","",_CALC_PNL!P829)</f>
        <v/>
      </c>
      <c r="I829" t="str">
        <f>IF(PNL!A829="","",IF(_CALC_PNL!E829=1,H829-G829,""))</f>
        <v/>
      </c>
    </row>
    <row r="830" spans="8:9" x14ac:dyDescent="0.45">
      <c r="H830" t="str">
        <f>IF(PNL!A830="","",_CALC_PNL!P830)</f>
        <v/>
      </c>
      <c r="I830" t="str">
        <f>IF(PNL!A830="","",IF(_CALC_PNL!E830=1,H830-G830,""))</f>
        <v/>
      </c>
    </row>
    <row r="831" spans="8:9" x14ac:dyDescent="0.45">
      <c r="H831" t="str">
        <f>IF(PNL!A831="","",_CALC_PNL!P831)</f>
        <v/>
      </c>
      <c r="I831" t="str">
        <f>IF(PNL!A831="","",IF(_CALC_PNL!E831=1,H831-G831,""))</f>
        <v/>
      </c>
    </row>
    <row r="832" spans="8:9" x14ac:dyDescent="0.45">
      <c r="H832" t="str">
        <f>IF(PNL!A832="","",_CALC_PNL!P832)</f>
        <v/>
      </c>
      <c r="I832" t="str">
        <f>IF(PNL!A832="","",IF(_CALC_PNL!E832=1,H832-G832,""))</f>
        <v/>
      </c>
    </row>
    <row r="833" spans="8:9" x14ac:dyDescent="0.45">
      <c r="H833" t="str">
        <f>IF(PNL!A833="","",_CALC_PNL!P833)</f>
        <v/>
      </c>
      <c r="I833" t="str">
        <f>IF(PNL!A833="","",IF(_CALC_PNL!E833=1,H833-G833,""))</f>
        <v/>
      </c>
    </row>
    <row r="834" spans="8:9" x14ac:dyDescent="0.45">
      <c r="H834" t="str">
        <f>IF(PNL!A834="","",_CALC_PNL!P834)</f>
        <v/>
      </c>
      <c r="I834" t="str">
        <f>IF(PNL!A834="","",IF(_CALC_PNL!E834=1,H834-G834,""))</f>
        <v/>
      </c>
    </row>
    <row r="835" spans="8:9" x14ac:dyDescent="0.45">
      <c r="H835" t="str">
        <f>IF(PNL!A835="","",_CALC_PNL!P835)</f>
        <v/>
      </c>
      <c r="I835" t="str">
        <f>IF(PNL!A835="","",IF(_CALC_PNL!E835=1,H835-G835,""))</f>
        <v/>
      </c>
    </row>
    <row r="836" spans="8:9" x14ac:dyDescent="0.45">
      <c r="H836" t="str">
        <f>IF(PNL!A836="","",_CALC_PNL!P836)</f>
        <v/>
      </c>
      <c r="I836" t="str">
        <f>IF(PNL!A836="","",IF(_CALC_PNL!E836=1,H836-G836,""))</f>
        <v/>
      </c>
    </row>
    <row r="837" spans="8:9" x14ac:dyDescent="0.45">
      <c r="H837" t="str">
        <f>IF(PNL!A837="","",_CALC_PNL!P837)</f>
        <v/>
      </c>
      <c r="I837" t="str">
        <f>IF(PNL!A837="","",IF(_CALC_PNL!E837=1,H837-G837,""))</f>
        <v/>
      </c>
    </row>
    <row r="838" spans="8:9" x14ac:dyDescent="0.45">
      <c r="H838" t="str">
        <f>IF(PNL!A838="","",_CALC_PNL!P838)</f>
        <v/>
      </c>
      <c r="I838" t="str">
        <f>IF(PNL!A838="","",IF(_CALC_PNL!E838=1,H838-G838,""))</f>
        <v/>
      </c>
    </row>
    <row r="839" spans="8:9" x14ac:dyDescent="0.45">
      <c r="H839" t="str">
        <f>IF(PNL!A839="","",_CALC_PNL!P839)</f>
        <v/>
      </c>
      <c r="I839" t="str">
        <f>IF(PNL!A839="","",IF(_CALC_PNL!E839=1,H839-G839,""))</f>
        <v/>
      </c>
    </row>
    <row r="840" spans="8:9" x14ac:dyDescent="0.45">
      <c r="H840" t="str">
        <f>IF(PNL!A840="","",_CALC_PNL!P840)</f>
        <v/>
      </c>
      <c r="I840" t="str">
        <f>IF(PNL!A840="","",IF(_CALC_PNL!E840=1,H840-G840,""))</f>
        <v/>
      </c>
    </row>
    <row r="841" spans="8:9" x14ac:dyDescent="0.45">
      <c r="H841" t="str">
        <f>IF(PNL!A841="","",_CALC_PNL!P841)</f>
        <v/>
      </c>
      <c r="I841" t="str">
        <f>IF(PNL!A841="","",IF(_CALC_PNL!E841=1,H841-G841,""))</f>
        <v/>
      </c>
    </row>
    <row r="842" spans="8:9" x14ac:dyDescent="0.45">
      <c r="H842" t="str">
        <f>IF(PNL!A842="","",_CALC_PNL!P842)</f>
        <v/>
      </c>
      <c r="I842" t="str">
        <f>IF(PNL!A842="","",IF(_CALC_PNL!E842=1,H842-G842,""))</f>
        <v/>
      </c>
    </row>
    <row r="843" spans="8:9" x14ac:dyDescent="0.45">
      <c r="H843" t="str">
        <f>IF(PNL!A843="","",_CALC_PNL!P843)</f>
        <v/>
      </c>
      <c r="I843" t="str">
        <f>IF(PNL!A843="","",IF(_CALC_PNL!E843=1,H843-G843,""))</f>
        <v/>
      </c>
    </row>
    <row r="844" spans="8:9" x14ac:dyDescent="0.45">
      <c r="H844" t="str">
        <f>IF(PNL!A844="","",_CALC_PNL!P844)</f>
        <v/>
      </c>
      <c r="I844" t="str">
        <f>IF(PNL!A844="","",IF(_CALC_PNL!E844=1,H844-G844,""))</f>
        <v/>
      </c>
    </row>
    <row r="845" spans="8:9" x14ac:dyDescent="0.45">
      <c r="H845" t="str">
        <f>IF(PNL!A845="","",_CALC_PNL!P845)</f>
        <v/>
      </c>
      <c r="I845" t="str">
        <f>IF(PNL!A845="","",IF(_CALC_PNL!E845=1,H845-G845,""))</f>
        <v/>
      </c>
    </row>
    <row r="846" spans="8:9" x14ac:dyDescent="0.45">
      <c r="H846" t="str">
        <f>IF(PNL!A846="","",_CALC_PNL!P846)</f>
        <v/>
      </c>
      <c r="I846" t="str">
        <f>IF(PNL!A846="","",IF(_CALC_PNL!E846=1,H846-G846,""))</f>
        <v/>
      </c>
    </row>
    <row r="847" spans="8:9" x14ac:dyDescent="0.45">
      <c r="H847" t="str">
        <f>IF(PNL!A847="","",_CALC_PNL!P847)</f>
        <v/>
      </c>
      <c r="I847" t="str">
        <f>IF(PNL!A847="","",IF(_CALC_PNL!E847=1,H847-G847,""))</f>
        <v/>
      </c>
    </row>
    <row r="848" spans="8:9" x14ac:dyDescent="0.45">
      <c r="H848" t="str">
        <f>IF(PNL!A848="","",_CALC_PNL!P848)</f>
        <v/>
      </c>
      <c r="I848" t="str">
        <f>IF(PNL!A848="","",IF(_CALC_PNL!E848=1,H848-G848,""))</f>
        <v/>
      </c>
    </row>
    <row r="849" spans="8:9" x14ac:dyDescent="0.45">
      <c r="H849" t="str">
        <f>IF(PNL!A849="","",_CALC_PNL!P849)</f>
        <v/>
      </c>
      <c r="I849" t="str">
        <f>IF(PNL!A849="","",IF(_CALC_PNL!E849=1,H849-G849,""))</f>
        <v/>
      </c>
    </row>
    <row r="850" spans="8:9" x14ac:dyDescent="0.45">
      <c r="H850" t="str">
        <f>IF(PNL!A850="","",_CALC_PNL!P850)</f>
        <v/>
      </c>
      <c r="I850" t="str">
        <f>IF(PNL!A850="","",IF(_CALC_PNL!E850=1,H850-G850,""))</f>
        <v/>
      </c>
    </row>
    <row r="851" spans="8:9" x14ac:dyDescent="0.45">
      <c r="H851" t="str">
        <f>IF(PNL!A851="","",_CALC_PNL!P851)</f>
        <v/>
      </c>
      <c r="I851" t="str">
        <f>IF(PNL!A851="","",IF(_CALC_PNL!E851=1,H851-G851,""))</f>
        <v/>
      </c>
    </row>
    <row r="852" spans="8:9" x14ac:dyDescent="0.45">
      <c r="H852" t="str">
        <f>IF(PNL!A852="","",_CALC_PNL!P852)</f>
        <v/>
      </c>
      <c r="I852" t="str">
        <f>IF(PNL!A852="","",IF(_CALC_PNL!E852=1,H852-G852,""))</f>
        <v/>
      </c>
    </row>
    <row r="853" spans="8:9" x14ac:dyDescent="0.45">
      <c r="H853" t="str">
        <f>IF(PNL!A853="","",_CALC_PNL!P853)</f>
        <v/>
      </c>
      <c r="I853" t="str">
        <f>IF(PNL!A853="","",IF(_CALC_PNL!E853=1,H853-G853,""))</f>
        <v/>
      </c>
    </row>
    <row r="854" spans="8:9" x14ac:dyDescent="0.45">
      <c r="H854" t="str">
        <f>IF(PNL!A854="","",_CALC_PNL!P854)</f>
        <v/>
      </c>
      <c r="I854" t="str">
        <f>IF(PNL!A854="","",IF(_CALC_PNL!E854=1,H854-G854,""))</f>
        <v/>
      </c>
    </row>
    <row r="855" spans="8:9" x14ac:dyDescent="0.45">
      <c r="H855" t="str">
        <f>IF(PNL!A855="","",_CALC_PNL!P855)</f>
        <v/>
      </c>
      <c r="I855" t="str">
        <f>IF(PNL!A855="","",IF(_CALC_PNL!E855=1,H855-G855,""))</f>
        <v/>
      </c>
    </row>
    <row r="856" spans="8:9" x14ac:dyDescent="0.45">
      <c r="H856" t="str">
        <f>IF(PNL!A856="","",_CALC_PNL!P856)</f>
        <v/>
      </c>
      <c r="I856" t="str">
        <f>IF(PNL!A856="","",IF(_CALC_PNL!E856=1,H856-G856,""))</f>
        <v/>
      </c>
    </row>
    <row r="857" spans="8:9" x14ac:dyDescent="0.45">
      <c r="H857" t="str">
        <f>IF(PNL!A857="","",_CALC_PNL!P857)</f>
        <v/>
      </c>
      <c r="I857" t="str">
        <f>IF(PNL!A857="","",IF(_CALC_PNL!E857=1,H857-G857,""))</f>
        <v/>
      </c>
    </row>
    <row r="858" spans="8:9" x14ac:dyDescent="0.45">
      <c r="H858" t="str">
        <f>IF(PNL!A858="","",_CALC_PNL!P858)</f>
        <v/>
      </c>
      <c r="I858" t="str">
        <f>IF(PNL!A858="","",IF(_CALC_PNL!E858=1,H858-G858,""))</f>
        <v/>
      </c>
    </row>
    <row r="859" spans="8:9" x14ac:dyDescent="0.45">
      <c r="H859" t="str">
        <f>IF(PNL!A859="","",_CALC_PNL!P859)</f>
        <v/>
      </c>
      <c r="I859" t="str">
        <f>IF(PNL!A859="","",IF(_CALC_PNL!E859=1,H859-G859,""))</f>
        <v/>
      </c>
    </row>
    <row r="860" spans="8:9" x14ac:dyDescent="0.45">
      <c r="H860" t="str">
        <f>IF(PNL!A860="","",_CALC_PNL!P860)</f>
        <v/>
      </c>
      <c r="I860" t="str">
        <f>IF(PNL!A860="","",IF(_CALC_PNL!E860=1,H860-G860,""))</f>
        <v/>
      </c>
    </row>
    <row r="861" spans="8:9" x14ac:dyDescent="0.45">
      <c r="H861" t="str">
        <f>IF(PNL!A861="","",_CALC_PNL!P861)</f>
        <v/>
      </c>
      <c r="I861" t="str">
        <f>IF(PNL!A861="","",IF(_CALC_PNL!E861=1,H861-G861,""))</f>
        <v/>
      </c>
    </row>
    <row r="862" spans="8:9" x14ac:dyDescent="0.45">
      <c r="H862" t="str">
        <f>IF(PNL!A862="","",_CALC_PNL!P862)</f>
        <v/>
      </c>
      <c r="I862" t="str">
        <f>IF(PNL!A862="","",IF(_CALC_PNL!E862=1,H862-G862,""))</f>
        <v/>
      </c>
    </row>
    <row r="863" spans="8:9" x14ac:dyDescent="0.45">
      <c r="H863" t="str">
        <f>IF(PNL!A863="","",_CALC_PNL!P863)</f>
        <v/>
      </c>
      <c r="I863" t="str">
        <f>IF(PNL!A863="","",IF(_CALC_PNL!E863=1,H863-G863,""))</f>
        <v/>
      </c>
    </row>
    <row r="864" spans="8:9" x14ac:dyDescent="0.45">
      <c r="H864" t="str">
        <f>IF(PNL!A864="","",_CALC_PNL!P864)</f>
        <v/>
      </c>
      <c r="I864" t="str">
        <f>IF(PNL!A864="","",IF(_CALC_PNL!E864=1,H864-G864,""))</f>
        <v/>
      </c>
    </row>
    <row r="865" spans="8:9" x14ac:dyDescent="0.45">
      <c r="H865" t="str">
        <f>IF(PNL!A865="","",_CALC_PNL!P865)</f>
        <v/>
      </c>
      <c r="I865" t="str">
        <f>IF(PNL!A865="","",IF(_CALC_PNL!E865=1,H865-G865,""))</f>
        <v/>
      </c>
    </row>
    <row r="866" spans="8:9" x14ac:dyDescent="0.45">
      <c r="H866" t="str">
        <f>IF(PNL!A866="","",_CALC_PNL!P866)</f>
        <v/>
      </c>
      <c r="I866" t="str">
        <f>IF(PNL!A866="","",IF(_CALC_PNL!E866=1,H866-G866,""))</f>
        <v/>
      </c>
    </row>
    <row r="867" spans="8:9" x14ac:dyDescent="0.45">
      <c r="H867" t="str">
        <f>IF(PNL!A867="","",_CALC_PNL!P867)</f>
        <v/>
      </c>
      <c r="I867" t="str">
        <f>IF(PNL!A867="","",IF(_CALC_PNL!E867=1,H867-G867,""))</f>
        <v/>
      </c>
    </row>
    <row r="868" spans="8:9" x14ac:dyDescent="0.45">
      <c r="H868" t="str">
        <f>IF(PNL!A868="","",_CALC_PNL!P868)</f>
        <v/>
      </c>
      <c r="I868" t="str">
        <f>IF(PNL!A868="","",IF(_CALC_PNL!E868=1,H868-G868,""))</f>
        <v/>
      </c>
    </row>
    <row r="869" spans="8:9" x14ac:dyDescent="0.45">
      <c r="H869" t="str">
        <f>IF(PNL!A869="","",_CALC_PNL!P869)</f>
        <v/>
      </c>
      <c r="I869" t="str">
        <f>IF(PNL!A869="","",IF(_CALC_PNL!E869=1,H869-G869,""))</f>
        <v/>
      </c>
    </row>
    <row r="870" spans="8:9" x14ac:dyDescent="0.45">
      <c r="H870" t="str">
        <f>IF(PNL!A870="","",_CALC_PNL!P870)</f>
        <v/>
      </c>
      <c r="I870" t="str">
        <f>IF(PNL!A870="","",IF(_CALC_PNL!E870=1,H870-G870,""))</f>
        <v/>
      </c>
    </row>
    <row r="871" spans="8:9" x14ac:dyDescent="0.45">
      <c r="H871" t="str">
        <f>IF(PNL!A871="","",_CALC_PNL!P871)</f>
        <v/>
      </c>
      <c r="I871" t="str">
        <f>IF(PNL!A871="","",IF(_CALC_PNL!E871=1,H871-G871,""))</f>
        <v/>
      </c>
    </row>
    <row r="872" spans="8:9" x14ac:dyDescent="0.45">
      <c r="H872" t="str">
        <f>IF(PNL!A872="","",_CALC_PNL!P872)</f>
        <v/>
      </c>
      <c r="I872" t="str">
        <f>IF(PNL!A872="","",IF(_CALC_PNL!E872=1,H872-G872,""))</f>
        <v/>
      </c>
    </row>
    <row r="873" spans="8:9" x14ac:dyDescent="0.45">
      <c r="H873" t="str">
        <f>IF(PNL!A873="","",_CALC_PNL!P873)</f>
        <v/>
      </c>
      <c r="I873" t="str">
        <f>IF(PNL!A873="","",IF(_CALC_PNL!E873=1,H873-G873,""))</f>
        <v/>
      </c>
    </row>
    <row r="874" spans="8:9" x14ac:dyDescent="0.45">
      <c r="H874" t="str">
        <f>IF(PNL!A874="","",_CALC_PNL!P874)</f>
        <v/>
      </c>
      <c r="I874" t="str">
        <f>IF(PNL!A874="","",IF(_CALC_PNL!E874=1,H874-G874,""))</f>
        <v/>
      </c>
    </row>
    <row r="875" spans="8:9" x14ac:dyDescent="0.45">
      <c r="H875" t="str">
        <f>IF(PNL!A875="","",_CALC_PNL!P875)</f>
        <v/>
      </c>
      <c r="I875" t="str">
        <f>IF(PNL!A875="","",IF(_CALC_PNL!E875=1,H875-G875,""))</f>
        <v/>
      </c>
    </row>
    <row r="876" spans="8:9" x14ac:dyDescent="0.45">
      <c r="H876" t="str">
        <f>IF(PNL!A876="","",_CALC_PNL!P876)</f>
        <v/>
      </c>
      <c r="I876" t="str">
        <f>IF(PNL!A876="","",IF(_CALC_PNL!E876=1,H876-G876,""))</f>
        <v/>
      </c>
    </row>
    <row r="877" spans="8:9" x14ac:dyDescent="0.45">
      <c r="H877" t="str">
        <f>IF(PNL!A877="","",_CALC_PNL!P877)</f>
        <v/>
      </c>
      <c r="I877" t="str">
        <f>IF(PNL!A877="","",IF(_CALC_PNL!E877=1,H877-G877,""))</f>
        <v/>
      </c>
    </row>
    <row r="878" spans="8:9" x14ac:dyDescent="0.45">
      <c r="H878" t="str">
        <f>IF(PNL!A878="","",_CALC_PNL!P878)</f>
        <v/>
      </c>
      <c r="I878" t="str">
        <f>IF(PNL!A878="","",IF(_CALC_PNL!E878=1,H878-G878,""))</f>
        <v/>
      </c>
    </row>
    <row r="879" spans="8:9" x14ac:dyDescent="0.45">
      <c r="H879" t="str">
        <f>IF(PNL!A879="","",_CALC_PNL!P879)</f>
        <v/>
      </c>
      <c r="I879" t="str">
        <f>IF(PNL!A879="","",IF(_CALC_PNL!E879=1,H879-G879,""))</f>
        <v/>
      </c>
    </row>
    <row r="880" spans="8:9" x14ac:dyDescent="0.45">
      <c r="H880" t="str">
        <f>IF(PNL!A880="","",_CALC_PNL!P880)</f>
        <v/>
      </c>
      <c r="I880" t="str">
        <f>IF(PNL!A880="","",IF(_CALC_PNL!E880=1,H880-G880,""))</f>
        <v/>
      </c>
    </row>
    <row r="881" spans="8:9" x14ac:dyDescent="0.45">
      <c r="H881" t="str">
        <f>IF(PNL!A881="","",_CALC_PNL!P881)</f>
        <v/>
      </c>
      <c r="I881" t="str">
        <f>IF(PNL!A881="","",IF(_CALC_PNL!E881=1,H881-G881,""))</f>
        <v/>
      </c>
    </row>
    <row r="882" spans="8:9" x14ac:dyDescent="0.45">
      <c r="H882" t="str">
        <f>IF(PNL!A882="","",_CALC_PNL!P882)</f>
        <v/>
      </c>
      <c r="I882" t="str">
        <f>IF(PNL!A882="","",IF(_CALC_PNL!E882=1,H882-G882,""))</f>
        <v/>
      </c>
    </row>
    <row r="883" spans="8:9" x14ac:dyDescent="0.45">
      <c r="H883" t="str">
        <f>IF(PNL!A883="","",_CALC_PNL!P883)</f>
        <v/>
      </c>
      <c r="I883" t="str">
        <f>IF(PNL!A883="","",IF(_CALC_PNL!E883=1,H883-G883,""))</f>
        <v/>
      </c>
    </row>
    <row r="884" spans="8:9" x14ac:dyDescent="0.45">
      <c r="H884" t="str">
        <f>IF(PNL!A884="","",_CALC_PNL!P884)</f>
        <v/>
      </c>
      <c r="I884" t="str">
        <f>IF(PNL!A884="","",IF(_CALC_PNL!E884=1,H884-G884,""))</f>
        <v/>
      </c>
    </row>
    <row r="885" spans="8:9" x14ac:dyDescent="0.45">
      <c r="H885" t="str">
        <f>IF(PNL!A885="","",_CALC_PNL!P885)</f>
        <v/>
      </c>
      <c r="I885" t="str">
        <f>IF(PNL!A885="","",IF(_CALC_PNL!E885=1,H885-G885,""))</f>
        <v/>
      </c>
    </row>
    <row r="886" spans="8:9" x14ac:dyDescent="0.45">
      <c r="H886" t="str">
        <f>IF(PNL!A886="","",_CALC_PNL!P886)</f>
        <v/>
      </c>
      <c r="I886" t="str">
        <f>IF(PNL!A886="","",IF(_CALC_PNL!E886=1,H886-G886,""))</f>
        <v/>
      </c>
    </row>
    <row r="887" spans="8:9" x14ac:dyDescent="0.45">
      <c r="H887" t="str">
        <f>IF(PNL!A887="","",_CALC_PNL!P887)</f>
        <v/>
      </c>
      <c r="I887" t="str">
        <f>IF(PNL!A887="","",IF(_CALC_PNL!E887=1,H887-G887,""))</f>
        <v/>
      </c>
    </row>
    <row r="888" spans="8:9" x14ac:dyDescent="0.45">
      <c r="H888" t="str">
        <f>IF(PNL!A888="","",_CALC_PNL!P888)</f>
        <v/>
      </c>
      <c r="I888" t="str">
        <f>IF(PNL!A888="","",IF(_CALC_PNL!E888=1,H888-G888,""))</f>
        <v/>
      </c>
    </row>
    <row r="889" spans="8:9" x14ac:dyDescent="0.45">
      <c r="H889" t="str">
        <f>IF(PNL!A889="","",_CALC_PNL!P889)</f>
        <v/>
      </c>
      <c r="I889" t="str">
        <f>IF(PNL!A889="","",IF(_CALC_PNL!E889=1,H889-G889,""))</f>
        <v/>
      </c>
    </row>
    <row r="890" spans="8:9" x14ac:dyDescent="0.45">
      <c r="H890" t="str">
        <f>IF(PNL!A890="","",_CALC_PNL!P890)</f>
        <v/>
      </c>
      <c r="I890" t="str">
        <f>IF(PNL!A890="","",IF(_CALC_PNL!E890=1,H890-G890,""))</f>
        <v/>
      </c>
    </row>
    <row r="891" spans="8:9" x14ac:dyDescent="0.45">
      <c r="H891" t="str">
        <f>IF(PNL!A891="","",_CALC_PNL!P891)</f>
        <v/>
      </c>
      <c r="I891" t="str">
        <f>IF(PNL!A891="","",IF(_CALC_PNL!E891=1,H891-G891,""))</f>
        <v/>
      </c>
    </row>
    <row r="892" spans="8:9" x14ac:dyDescent="0.45">
      <c r="H892" t="str">
        <f>IF(PNL!A892="","",_CALC_PNL!P892)</f>
        <v/>
      </c>
      <c r="I892" t="str">
        <f>IF(PNL!A892="","",IF(_CALC_PNL!E892=1,H892-G892,""))</f>
        <v/>
      </c>
    </row>
    <row r="893" spans="8:9" x14ac:dyDescent="0.45">
      <c r="H893" t="str">
        <f>IF(PNL!A893="","",_CALC_PNL!P893)</f>
        <v/>
      </c>
      <c r="I893" t="str">
        <f>IF(PNL!A893="","",IF(_CALC_PNL!E893=1,H893-G893,""))</f>
        <v/>
      </c>
    </row>
    <row r="894" spans="8:9" x14ac:dyDescent="0.45">
      <c r="H894" t="str">
        <f>IF(PNL!A894="","",_CALC_PNL!P894)</f>
        <v/>
      </c>
      <c r="I894" t="str">
        <f>IF(PNL!A894="","",IF(_CALC_PNL!E894=1,H894-G894,""))</f>
        <v/>
      </c>
    </row>
    <row r="895" spans="8:9" x14ac:dyDescent="0.45">
      <c r="H895" t="str">
        <f>IF(PNL!A895="","",_CALC_PNL!P895)</f>
        <v/>
      </c>
      <c r="I895" t="str">
        <f>IF(PNL!A895="","",IF(_CALC_PNL!E895=1,H895-G895,""))</f>
        <v/>
      </c>
    </row>
    <row r="896" spans="8:9" x14ac:dyDescent="0.45">
      <c r="H896" t="str">
        <f>IF(PNL!A896="","",_CALC_PNL!P896)</f>
        <v/>
      </c>
      <c r="I896" t="str">
        <f>IF(PNL!A896="","",IF(_CALC_PNL!E896=1,H896-G896,""))</f>
        <v/>
      </c>
    </row>
    <row r="897" spans="8:9" x14ac:dyDescent="0.45">
      <c r="H897" t="str">
        <f>IF(PNL!A897="","",_CALC_PNL!P897)</f>
        <v/>
      </c>
      <c r="I897" t="str">
        <f>IF(PNL!A897="","",IF(_CALC_PNL!E897=1,H897-G897,""))</f>
        <v/>
      </c>
    </row>
    <row r="898" spans="8:9" x14ac:dyDescent="0.45">
      <c r="H898" t="str">
        <f>IF(PNL!A898="","",_CALC_PNL!P898)</f>
        <v/>
      </c>
      <c r="I898" t="str">
        <f>IF(PNL!A898="","",IF(_CALC_PNL!E898=1,H898-G898,""))</f>
        <v/>
      </c>
    </row>
    <row r="899" spans="8:9" x14ac:dyDescent="0.45">
      <c r="H899" t="str">
        <f>IF(PNL!A899="","",_CALC_PNL!P899)</f>
        <v/>
      </c>
      <c r="I899" t="str">
        <f>IF(PNL!A899="","",IF(_CALC_PNL!E899=1,H899-G899,""))</f>
        <v/>
      </c>
    </row>
    <row r="900" spans="8:9" x14ac:dyDescent="0.45">
      <c r="H900" t="str">
        <f>IF(PNL!A900="","",_CALC_PNL!P900)</f>
        <v/>
      </c>
      <c r="I900" t="str">
        <f>IF(PNL!A900="","",IF(_CALC_PNL!E900=1,H900-G900,""))</f>
        <v/>
      </c>
    </row>
    <row r="901" spans="8:9" x14ac:dyDescent="0.45">
      <c r="H901" t="str">
        <f>IF(PNL!A901="","",_CALC_PNL!P901)</f>
        <v/>
      </c>
      <c r="I901" t="str">
        <f>IF(PNL!A901="","",IF(_CALC_PNL!E901=1,H901-G901,""))</f>
        <v/>
      </c>
    </row>
    <row r="902" spans="8:9" x14ac:dyDescent="0.45">
      <c r="H902" t="str">
        <f>IF(PNL!A902="","",_CALC_PNL!P902)</f>
        <v/>
      </c>
      <c r="I902" t="str">
        <f>IF(PNL!A902="","",IF(_CALC_PNL!E902=1,H902-G902,""))</f>
        <v/>
      </c>
    </row>
    <row r="903" spans="8:9" x14ac:dyDescent="0.45">
      <c r="H903" t="str">
        <f>IF(PNL!A903="","",_CALC_PNL!P903)</f>
        <v/>
      </c>
      <c r="I903" t="str">
        <f>IF(PNL!A903="","",IF(_CALC_PNL!E903=1,H903-G903,""))</f>
        <v/>
      </c>
    </row>
    <row r="904" spans="8:9" x14ac:dyDescent="0.45">
      <c r="H904" t="str">
        <f>IF(PNL!A904="","",_CALC_PNL!P904)</f>
        <v/>
      </c>
      <c r="I904" t="str">
        <f>IF(PNL!A904="","",IF(_CALC_PNL!E904=1,H904-G904,""))</f>
        <v/>
      </c>
    </row>
    <row r="905" spans="8:9" x14ac:dyDescent="0.45">
      <c r="H905" t="str">
        <f>IF(PNL!A905="","",_CALC_PNL!P905)</f>
        <v/>
      </c>
      <c r="I905" t="str">
        <f>IF(PNL!A905="","",IF(_CALC_PNL!E905=1,H905-G905,""))</f>
        <v/>
      </c>
    </row>
    <row r="906" spans="8:9" x14ac:dyDescent="0.45">
      <c r="H906" t="str">
        <f>IF(PNL!A906="","",_CALC_PNL!P906)</f>
        <v/>
      </c>
      <c r="I906" t="str">
        <f>IF(PNL!A906="","",IF(_CALC_PNL!E906=1,H906-G906,""))</f>
        <v/>
      </c>
    </row>
    <row r="907" spans="8:9" x14ac:dyDescent="0.45">
      <c r="H907" t="str">
        <f>IF(PNL!A907="","",_CALC_PNL!P907)</f>
        <v/>
      </c>
      <c r="I907" t="str">
        <f>IF(PNL!A907="","",IF(_CALC_PNL!E907=1,H907-G907,""))</f>
        <v/>
      </c>
    </row>
    <row r="908" spans="8:9" x14ac:dyDescent="0.45">
      <c r="H908" t="str">
        <f>IF(PNL!A908="","",_CALC_PNL!P908)</f>
        <v/>
      </c>
      <c r="I908" t="str">
        <f>IF(PNL!A908="","",IF(_CALC_PNL!E908=1,H908-G908,""))</f>
        <v/>
      </c>
    </row>
    <row r="909" spans="8:9" x14ac:dyDescent="0.45">
      <c r="H909" t="str">
        <f>IF(PNL!A909="","",_CALC_PNL!P909)</f>
        <v/>
      </c>
      <c r="I909" t="str">
        <f>IF(PNL!A909="","",IF(_CALC_PNL!E909=1,H909-G909,""))</f>
        <v/>
      </c>
    </row>
    <row r="910" spans="8:9" x14ac:dyDescent="0.45">
      <c r="H910" t="str">
        <f>IF(PNL!A910="","",_CALC_PNL!P910)</f>
        <v/>
      </c>
      <c r="I910" t="str">
        <f>IF(PNL!A910="","",IF(_CALC_PNL!E910=1,H910-G910,""))</f>
        <v/>
      </c>
    </row>
    <row r="911" spans="8:9" x14ac:dyDescent="0.45">
      <c r="H911" t="str">
        <f>IF(PNL!A911="","",_CALC_PNL!P911)</f>
        <v/>
      </c>
      <c r="I911" t="str">
        <f>IF(PNL!A911="","",IF(_CALC_PNL!E911=1,H911-G911,""))</f>
        <v/>
      </c>
    </row>
    <row r="912" spans="8:9" x14ac:dyDescent="0.45">
      <c r="H912" t="str">
        <f>IF(PNL!A912="","",_CALC_PNL!P912)</f>
        <v/>
      </c>
      <c r="I912" t="str">
        <f>IF(PNL!A912="","",IF(_CALC_PNL!E912=1,H912-G912,""))</f>
        <v/>
      </c>
    </row>
    <row r="913" spans="8:9" x14ac:dyDescent="0.45">
      <c r="H913" t="str">
        <f>IF(PNL!A913="","",_CALC_PNL!P913)</f>
        <v/>
      </c>
      <c r="I913" t="str">
        <f>IF(PNL!A913="","",IF(_CALC_PNL!E913=1,H913-G913,""))</f>
        <v/>
      </c>
    </row>
    <row r="914" spans="8:9" x14ac:dyDescent="0.45">
      <c r="H914" t="str">
        <f>IF(PNL!A914="","",_CALC_PNL!P914)</f>
        <v/>
      </c>
      <c r="I914" t="str">
        <f>IF(PNL!A914="","",IF(_CALC_PNL!E914=1,H914-G914,""))</f>
        <v/>
      </c>
    </row>
    <row r="915" spans="8:9" x14ac:dyDescent="0.45">
      <c r="H915" t="str">
        <f>IF(PNL!A915="","",_CALC_PNL!P915)</f>
        <v/>
      </c>
      <c r="I915" t="str">
        <f>IF(PNL!A915="","",IF(_CALC_PNL!E915=1,H915-G915,""))</f>
        <v/>
      </c>
    </row>
    <row r="916" spans="8:9" x14ac:dyDescent="0.45">
      <c r="H916" t="str">
        <f>IF(PNL!A916="","",_CALC_PNL!P916)</f>
        <v/>
      </c>
      <c r="I916" t="str">
        <f>IF(PNL!A916="","",IF(_CALC_PNL!E916=1,H916-G916,""))</f>
        <v/>
      </c>
    </row>
    <row r="917" spans="8:9" x14ac:dyDescent="0.45">
      <c r="H917" t="str">
        <f>IF(PNL!A917="","",_CALC_PNL!P917)</f>
        <v/>
      </c>
      <c r="I917" t="str">
        <f>IF(PNL!A917="","",IF(_CALC_PNL!E917=1,H917-G917,""))</f>
        <v/>
      </c>
    </row>
    <row r="918" spans="8:9" x14ac:dyDescent="0.45">
      <c r="H918" t="str">
        <f>IF(PNL!A918="","",_CALC_PNL!P918)</f>
        <v/>
      </c>
      <c r="I918" t="str">
        <f>IF(PNL!A918="","",IF(_CALC_PNL!E918=1,H918-G918,""))</f>
        <v/>
      </c>
    </row>
    <row r="919" spans="8:9" x14ac:dyDescent="0.45">
      <c r="H919" t="str">
        <f>IF(PNL!A919="","",_CALC_PNL!P919)</f>
        <v/>
      </c>
      <c r="I919" t="str">
        <f>IF(PNL!A919="","",IF(_CALC_PNL!E919=1,H919-G919,""))</f>
        <v/>
      </c>
    </row>
    <row r="920" spans="8:9" x14ac:dyDescent="0.45">
      <c r="H920" t="str">
        <f>IF(PNL!A920="","",_CALC_PNL!P920)</f>
        <v/>
      </c>
      <c r="I920" t="str">
        <f>IF(PNL!A920="","",IF(_CALC_PNL!E920=1,H920-G920,""))</f>
        <v/>
      </c>
    </row>
    <row r="921" spans="8:9" x14ac:dyDescent="0.45">
      <c r="H921" t="str">
        <f>IF(PNL!A921="","",_CALC_PNL!P921)</f>
        <v/>
      </c>
      <c r="I921" t="str">
        <f>IF(PNL!A921="","",IF(_CALC_PNL!E921=1,H921-G921,""))</f>
        <v/>
      </c>
    </row>
    <row r="922" spans="8:9" x14ac:dyDescent="0.45">
      <c r="H922" t="str">
        <f>IF(PNL!A922="","",_CALC_PNL!P922)</f>
        <v/>
      </c>
      <c r="I922" t="str">
        <f>IF(PNL!A922="","",IF(_CALC_PNL!E922=1,H922-G922,""))</f>
        <v/>
      </c>
    </row>
    <row r="923" spans="8:9" x14ac:dyDescent="0.45">
      <c r="H923" t="str">
        <f>IF(PNL!A923="","",_CALC_PNL!P923)</f>
        <v/>
      </c>
      <c r="I923" t="str">
        <f>IF(PNL!A923="","",IF(_CALC_PNL!E923=1,H923-G923,""))</f>
        <v/>
      </c>
    </row>
    <row r="924" spans="8:9" x14ac:dyDescent="0.45">
      <c r="H924" t="str">
        <f>IF(PNL!A924="","",_CALC_PNL!P924)</f>
        <v/>
      </c>
      <c r="I924" t="str">
        <f>IF(PNL!A924="","",IF(_CALC_PNL!E924=1,H924-G924,""))</f>
        <v/>
      </c>
    </row>
    <row r="925" spans="8:9" x14ac:dyDescent="0.45">
      <c r="H925" t="str">
        <f>IF(PNL!A925="","",_CALC_PNL!P925)</f>
        <v/>
      </c>
      <c r="I925" t="str">
        <f>IF(PNL!A925="","",IF(_CALC_PNL!E925=1,H925-G925,""))</f>
        <v/>
      </c>
    </row>
    <row r="926" spans="8:9" x14ac:dyDescent="0.45">
      <c r="H926" t="str">
        <f>IF(PNL!A926="","",_CALC_PNL!P926)</f>
        <v/>
      </c>
      <c r="I926" t="str">
        <f>IF(PNL!A926="","",IF(_CALC_PNL!E926=1,H926-G926,""))</f>
        <v/>
      </c>
    </row>
    <row r="927" spans="8:9" x14ac:dyDescent="0.45">
      <c r="H927" t="str">
        <f>IF(PNL!A927="","",_CALC_PNL!P927)</f>
        <v/>
      </c>
      <c r="I927" t="str">
        <f>IF(PNL!A927="","",IF(_CALC_PNL!E927=1,H927-G927,""))</f>
        <v/>
      </c>
    </row>
    <row r="928" spans="8:9" x14ac:dyDescent="0.45">
      <c r="H928" t="str">
        <f>IF(PNL!A928="","",_CALC_PNL!P928)</f>
        <v/>
      </c>
      <c r="I928" t="str">
        <f>IF(PNL!A928="","",IF(_CALC_PNL!E928=1,H928-G928,""))</f>
        <v/>
      </c>
    </row>
    <row r="929" spans="8:9" x14ac:dyDescent="0.45">
      <c r="H929" t="str">
        <f>IF(PNL!A929="","",_CALC_PNL!P929)</f>
        <v/>
      </c>
      <c r="I929" t="str">
        <f>IF(PNL!A929="","",IF(_CALC_PNL!E929=1,H929-G929,""))</f>
        <v/>
      </c>
    </row>
    <row r="930" spans="8:9" x14ac:dyDescent="0.45">
      <c r="H930" t="str">
        <f>IF(PNL!A930="","",_CALC_PNL!P930)</f>
        <v/>
      </c>
      <c r="I930" t="str">
        <f>IF(PNL!A930="","",IF(_CALC_PNL!E930=1,H930-G930,""))</f>
        <v/>
      </c>
    </row>
    <row r="931" spans="8:9" x14ac:dyDescent="0.45">
      <c r="H931" t="str">
        <f>IF(PNL!A931="","",_CALC_PNL!P931)</f>
        <v/>
      </c>
      <c r="I931" t="str">
        <f>IF(PNL!A931="","",IF(_CALC_PNL!E931=1,H931-G931,""))</f>
        <v/>
      </c>
    </row>
    <row r="932" spans="8:9" x14ac:dyDescent="0.45">
      <c r="H932" t="str">
        <f>IF(PNL!A932="","",_CALC_PNL!P932)</f>
        <v/>
      </c>
      <c r="I932" t="str">
        <f>IF(PNL!A932="","",IF(_CALC_PNL!E932=1,H932-G932,""))</f>
        <v/>
      </c>
    </row>
    <row r="933" spans="8:9" x14ac:dyDescent="0.45">
      <c r="H933" t="str">
        <f>IF(PNL!A933="","",_CALC_PNL!P933)</f>
        <v/>
      </c>
      <c r="I933" t="str">
        <f>IF(PNL!A933="","",IF(_CALC_PNL!E933=1,H933-G933,""))</f>
        <v/>
      </c>
    </row>
    <row r="934" spans="8:9" x14ac:dyDescent="0.45">
      <c r="H934" t="str">
        <f>IF(PNL!A934="","",_CALC_PNL!P934)</f>
        <v/>
      </c>
      <c r="I934" t="str">
        <f>IF(PNL!A934="","",IF(_CALC_PNL!E934=1,H934-G934,""))</f>
        <v/>
      </c>
    </row>
    <row r="935" spans="8:9" x14ac:dyDescent="0.45">
      <c r="H935" t="str">
        <f>IF(PNL!A935="","",_CALC_PNL!P935)</f>
        <v/>
      </c>
      <c r="I935" t="str">
        <f>IF(PNL!A935="","",IF(_CALC_PNL!E935=1,H935-G935,""))</f>
        <v/>
      </c>
    </row>
    <row r="936" spans="8:9" x14ac:dyDescent="0.45">
      <c r="H936" t="str">
        <f>IF(PNL!A936="","",_CALC_PNL!P936)</f>
        <v/>
      </c>
      <c r="I936" t="str">
        <f>IF(PNL!A936="","",IF(_CALC_PNL!E936=1,H936-G936,""))</f>
        <v/>
      </c>
    </row>
    <row r="937" spans="8:9" x14ac:dyDescent="0.45">
      <c r="H937" t="str">
        <f>IF(PNL!A937="","",_CALC_PNL!P937)</f>
        <v/>
      </c>
      <c r="I937" t="str">
        <f>IF(PNL!A937="","",IF(_CALC_PNL!E937=1,H937-G937,""))</f>
        <v/>
      </c>
    </row>
    <row r="938" spans="8:9" x14ac:dyDescent="0.45">
      <c r="H938" t="str">
        <f>IF(PNL!A938="","",_CALC_PNL!P938)</f>
        <v/>
      </c>
      <c r="I938" t="str">
        <f>IF(PNL!A938="","",IF(_CALC_PNL!E938=1,H938-G938,""))</f>
        <v/>
      </c>
    </row>
    <row r="939" spans="8:9" x14ac:dyDescent="0.45">
      <c r="H939" t="str">
        <f>IF(PNL!A939="","",_CALC_PNL!P939)</f>
        <v/>
      </c>
      <c r="I939" t="str">
        <f>IF(PNL!A939="","",IF(_CALC_PNL!E939=1,H939-G939,""))</f>
        <v/>
      </c>
    </row>
    <row r="940" spans="8:9" x14ac:dyDescent="0.45">
      <c r="H940" t="str">
        <f>IF(PNL!A940="","",_CALC_PNL!P940)</f>
        <v/>
      </c>
      <c r="I940" t="str">
        <f>IF(PNL!A940="","",IF(_CALC_PNL!E940=1,H940-G940,""))</f>
        <v/>
      </c>
    </row>
    <row r="941" spans="8:9" x14ac:dyDescent="0.45">
      <c r="H941" t="str">
        <f>IF(PNL!A941="","",_CALC_PNL!P941)</f>
        <v/>
      </c>
      <c r="I941" t="str">
        <f>IF(PNL!A941="","",IF(_CALC_PNL!E941=1,H941-G941,""))</f>
        <v/>
      </c>
    </row>
    <row r="942" spans="8:9" x14ac:dyDescent="0.45">
      <c r="H942" t="str">
        <f>IF(PNL!A942="","",_CALC_PNL!P942)</f>
        <v/>
      </c>
      <c r="I942" t="str">
        <f>IF(PNL!A942="","",IF(_CALC_PNL!E942=1,H942-G942,""))</f>
        <v/>
      </c>
    </row>
    <row r="943" spans="8:9" x14ac:dyDescent="0.45">
      <c r="H943" t="str">
        <f>IF(PNL!A943="","",_CALC_PNL!P943)</f>
        <v/>
      </c>
      <c r="I943" t="str">
        <f>IF(PNL!A943="","",IF(_CALC_PNL!E943=1,H943-G943,""))</f>
        <v/>
      </c>
    </row>
    <row r="944" spans="8:9" x14ac:dyDescent="0.45">
      <c r="H944" t="str">
        <f>IF(PNL!A944="","",_CALC_PNL!P944)</f>
        <v/>
      </c>
      <c r="I944" t="str">
        <f>IF(PNL!A944="","",IF(_CALC_PNL!E944=1,H944-G944,""))</f>
        <v/>
      </c>
    </row>
    <row r="945" spans="8:9" x14ac:dyDescent="0.45">
      <c r="H945" t="str">
        <f>IF(PNL!A945="","",_CALC_PNL!P945)</f>
        <v/>
      </c>
      <c r="I945" t="str">
        <f>IF(PNL!A945="","",IF(_CALC_PNL!E945=1,H945-G945,""))</f>
        <v/>
      </c>
    </row>
    <row r="946" spans="8:9" x14ac:dyDescent="0.45">
      <c r="H946" t="str">
        <f>IF(PNL!A946="","",_CALC_PNL!P946)</f>
        <v/>
      </c>
      <c r="I946" t="str">
        <f>IF(PNL!A946="","",IF(_CALC_PNL!E946=1,H946-G946,""))</f>
        <v/>
      </c>
    </row>
    <row r="947" spans="8:9" x14ac:dyDescent="0.45">
      <c r="H947" t="str">
        <f>IF(PNL!A947="","",_CALC_PNL!P947)</f>
        <v/>
      </c>
      <c r="I947" t="str">
        <f>IF(PNL!A947="","",IF(_CALC_PNL!E947=1,H947-G947,""))</f>
        <v/>
      </c>
    </row>
    <row r="948" spans="8:9" x14ac:dyDescent="0.45">
      <c r="H948" t="str">
        <f>IF(PNL!A948="","",_CALC_PNL!P948)</f>
        <v/>
      </c>
      <c r="I948" t="str">
        <f>IF(PNL!A948="","",IF(_CALC_PNL!E948=1,H948-G948,""))</f>
        <v/>
      </c>
    </row>
    <row r="949" spans="8:9" x14ac:dyDescent="0.45">
      <c r="H949" t="str">
        <f>IF(PNL!A949="","",_CALC_PNL!P949)</f>
        <v/>
      </c>
      <c r="I949" t="str">
        <f>IF(PNL!A949="","",IF(_CALC_PNL!E949=1,H949-G949,""))</f>
        <v/>
      </c>
    </row>
    <row r="950" spans="8:9" x14ac:dyDescent="0.45">
      <c r="H950" t="str">
        <f>IF(PNL!A950="","",_CALC_PNL!P950)</f>
        <v/>
      </c>
      <c r="I950" t="str">
        <f>IF(PNL!A950="","",IF(_CALC_PNL!E950=1,H950-G950,""))</f>
        <v/>
      </c>
    </row>
    <row r="951" spans="8:9" x14ac:dyDescent="0.45">
      <c r="H951" t="str">
        <f>IF(PNL!A951="","",_CALC_PNL!P951)</f>
        <v/>
      </c>
      <c r="I951" t="str">
        <f>IF(PNL!A951="","",IF(_CALC_PNL!E951=1,H951-G951,""))</f>
        <v/>
      </c>
    </row>
    <row r="952" spans="8:9" x14ac:dyDescent="0.45">
      <c r="H952" t="str">
        <f>IF(PNL!A952="","",_CALC_PNL!P952)</f>
        <v/>
      </c>
      <c r="I952" t="str">
        <f>IF(PNL!A952="","",IF(_CALC_PNL!E952=1,H952-G952,""))</f>
        <v/>
      </c>
    </row>
    <row r="953" spans="8:9" x14ac:dyDescent="0.45">
      <c r="H953" t="str">
        <f>IF(PNL!A953="","",_CALC_PNL!P953)</f>
        <v/>
      </c>
      <c r="I953" t="str">
        <f>IF(PNL!A953="","",IF(_CALC_PNL!E953=1,H953-G953,""))</f>
        <v/>
      </c>
    </row>
    <row r="954" spans="8:9" x14ac:dyDescent="0.45">
      <c r="H954" t="str">
        <f>IF(PNL!A954="","",_CALC_PNL!P954)</f>
        <v/>
      </c>
      <c r="I954" t="str">
        <f>IF(PNL!A954="","",IF(_CALC_PNL!E954=1,H954-G954,""))</f>
        <v/>
      </c>
    </row>
    <row r="955" spans="8:9" x14ac:dyDescent="0.45">
      <c r="H955" t="str">
        <f>IF(PNL!A955="","",_CALC_PNL!P955)</f>
        <v/>
      </c>
      <c r="I955" t="str">
        <f>IF(PNL!A955="","",IF(_CALC_PNL!E955=1,H955-G955,""))</f>
        <v/>
      </c>
    </row>
    <row r="956" spans="8:9" x14ac:dyDescent="0.45">
      <c r="H956" t="str">
        <f>IF(PNL!A956="","",_CALC_PNL!P956)</f>
        <v/>
      </c>
      <c r="I956" t="str">
        <f>IF(PNL!A956="","",IF(_CALC_PNL!E956=1,H956-G956,""))</f>
        <v/>
      </c>
    </row>
    <row r="957" spans="8:9" x14ac:dyDescent="0.45">
      <c r="H957" t="str">
        <f>IF(PNL!A957="","",_CALC_PNL!P957)</f>
        <v/>
      </c>
      <c r="I957" t="str">
        <f>IF(PNL!A957="","",IF(_CALC_PNL!E957=1,H957-G957,""))</f>
        <v/>
      </c>
    </row>
    <row r="958" spans="8:9" x14ac:dyDescent="0.45">
      <c r="H958" t="str">
        <f>IF(PNL!A958="","",_CALC_PNL!P958)</f>
        <v/>
      </c>
      <c r="I958" t="str">
        <f>IF(PNL!A958="","",IF(_CALC_PNL!E958=1,H958-G958,""))</f>
        <v/>
      </c>
    </row>
    <row r="959" spans="8:9" x14ac:dyDescent="0.45">
      <c r="H959" t="str">
        <f>IF(PNL!A959="","",_CALC_PNL!P959)</f>
        <v/>
      </c>
      <c r="I959" t="str">
        <f>IF(PNL!A959="","",IF(_CALC_PNL!E959=1,H959-G959,""))</f>
        <v/>
      </c>
    </row>
    <row r="960" spans="8:9" x14ac:dyDescent="0.45">
      <c r="H960" t="str">
        <f>IF(PNL!A960="","",_CALC_PNL!P960)</f>
        <v/>
      </c>
      <c r="I960" t="str">
        <f>IF(PNL!A960="","",IF(_CALC_PNL!E960=1,H960-G960,""))</f>
        <v/>
      </c>
    </row>
    <row r="961" spans="8:9" x14ac:dyDescent="0.45">
      <c r="H961" t="str">
        <f>IF(PNL!A961="","",_CALC_PNL!P961)</f>
        <v/>
      </c>
      <c r="I961" t="str">
        <f>IF(PNL!A961="","",IF(_CALC_PNL!E961=1,H961-G961,""))</f>
        <v/>
      </c>
    </row>
    <row r="962" spans="8:9" x14ac:dyDescent="0.45">
      <c r="H962" t="str">
        <f>IF(PNL!A962="","",_CALC_PNL!P962)</f>
        <v/>
      </c>
      <c r="I962" t="str">
        <f>IF(PNL!A962="","",IF(_CALC_PNL!E962=1,H962-G962,""))</f>
        <v/>
      </c>
    </row>
    <row r="963" spans="8:9" x14ac:dyDescent="0.45">
      <c r="H963" t="str">
        <f>IF(PNL!A963="","",_CALC_PNL!P963)</f>
        <v/>
      </c>
      <c r="I963" t="str">
        <f>IF(PNL!A963="","",IF(_CALC_PNL!E963=1,H963-G963,""))</f>
        <v/>
      </c>
    </row>
    <row r="964" spans="8:9" x14ac:dyDescent="0.45">
      <c r="H964" t="str">
        <f>IF(PNL!A964="","",_CALC_PNL!P964)</f>
        <v/>
      </c>
      <c r="I964" t="str">
        <f>IF(PNL!A964="","",IF(_CALC_PNL!E964=1,H964-G964,""))</f>
        <v/>
      </c>
    </row>
    <row r="965" spans="8:9" x14ac:dyDescent="0.45">
      <c r="H965" t="str">
        <f>IF(PNL!A965="","",_CALC_PNL!P965)</f>
        <v/>
      </c>
      <c r="I965" t="str">
        <f>IF(PNL!A965="","",IF(_CALC_PNL!E965=1,H965-G965,""))</f>
        <v/>
      </c>
    </row>
    <row r="966" spans="8:9" x14ac:dyDescent="0.45">
      <c r="H966" t="str">
        <f>IF(PNL!A966="","",_CALC_PNL!P966)</f>
        <v/>
      </c>
      <c r="I966" t="str">
        <f>IF(PNL!A966="","",IF(_CALC_PNL!E966=1,H966-G966,""))</f>
        <v/>
      </c>
    </row>
    <row r="967" spans="8:9" x14ac:dyDescent="0.45">
      <c r="H967" t="str">
        <f>IF(PNL!A967="","",_CALC_PNL!P967)</f>
        <v/>
      </c>
      <c r="I967" t="str">
        <f>IF(PNL!A967="","",IF(_CALC_PNL!E967=1,H967-G967,""))</f>
        <v/>
      </c>
    </row>
    <row r="968" spans="8:9" x14ac:dyDescent="0.45">
      <c r="H968" t="str">
        <f>IF(PNL!A968="","",_CALC_PNL!P968)</f>
        <v/>
      </c>
      <c r="I968" t="str">
        <f>IF(PNL!A968="","",IF(_CALC_PNL!E968=1,H968-G968,""))</f>
        <v/>
      </c>
    </row>
    <row r="969" spans="8:9" x14ac:dyDescent="0.45">
      <c r="H969" t="str">
        <f>IF(PNL!A969="","",_CALC_PNL!P969)</f>
        <v/>
      </c>
      <c r="I969" t="str">
        <f>IF(PNL!A969="","",IF(_CALC_PNL!E969=1,H969-G969,""))</f>
        <v/>
      </c>
    </row>
    <row r="970" spans="8:9" x14ac:dyDescent="0.45">
      <c r="H970" t="str">
        <f>IF(PNL!A970="","",_CALC_PNL!P970)</f>
        <v/>
      </c>
      <c r="I970" t="str">
        <f>IF(PNL!A970="","",IF(_CALC_PNL!E970=1,H970-G970,""))</f>
        <v/>
      </c>
    </row>
    <row r="971" spans="8:9" x14ac:dyDescent="0.45">
      <c r="H971" t="str">
        <f>IF(PNL!A971="","",_CALC_PNL!P971)</f>
        <v/>
      </c>
      <c r="I971" t="str">
        <f>IF(PNL!A971="","",IF(_CALC_PNL!E971=1,H971-G971,""))</f>
        <v/>
      </c>
    </row>
    <row r="972" spans="8:9" x14ac:dyDescent="0.45">
      <c r="H972" t="str">
        <f>IF(PNL!A972="","",_CALC_PNL!P972)</f>
        <v/>
      </c>
      <c r="I972" t="str">
        <f>IF(PNL!A972="","",IF(_CALC_PNL!E972=1,H972-G972,""))</f>
        <v/>
      </c>
    </row>
    <row r="973" spans="8:9" x14ac:dyDescent="0.45">
      <c r="H973" t="str">
        <f>IF(PNL!A973="","",_CALC_PNL!P973)</f>
        <v/>
      </c>
      <c r="I973" t="str">
        <f>IF(PNL!A973="","",IF(_CALC_PNL!E973=1,H973-G973,""))</f>
        <v/>
      </c>
    </row>
    <row r="974" spans="8:9" x14ac:dyDescent="0.45">
      <c r="H974" t="str">
        <f>IF(PNL!A974="","",_CALC_PNL!P974)</f>
        <v/>
      </c>
      <c r="I974" t="str">
        <f>IF(PNL!A974="","",IF(_CALC_PNL!E974=1,H974-G974,""))</f>
        <v/>
      </c>
    </row>
    <row r="975" spans="8:9" x14ac:dyDescent="0.45">
      <c r="H975" t="str">
        <f>IF(PNL!A975="","",_CALC_PNL!P975)</f>
        <v/>
      </c>
      <c r="I975" t="str">
        <f>IF(PNL!A975="","",IF(_CALC_PNL!E975=1,H975-G975,""))</f>
        <v/>
      </c>
    </row>
    <row r="976" spans="8:9" x14ac:dyDescent="0.45">
      <c r="H976" t="str">
        <f>IF(PNL!A976="","",_CALC_PNL!P976)</f>
        <v/>
      </c>
      <c r="I976" t="str">
        <f>IF(PNL!A976="","",IF(_CALC_PNL!E976=1,H976-G976,""))</f>
        <v/>
      </c>
    </row>
    <row r="977" spans="8:9" x14ac:dyDescent="0.45">
      <c r="H977" t="str">
        <f>IF(PNL!A977="","",_CALC_PNL!P977)</f>
        <v/>
      </c>
      <c r="I977" t="str">
        <f>IF(PNL!A977="","",IF(_CALC_PNL!E977=1,H977-G977,""))</f>
        <v/>
      </c>
    </row>
    <row r="978" spans="8:9" x14ac:dyDescent="0.45">
      <c r="H978" t="str">
        <f>IF(PNL!A978="","",_CALC_PNL!P978)</f>
        <v/>
      </c>
      <c r="I978" t="str">
        <f>IF(PNL!A978="","",IF(_CALC_PNL!E978=1,H978-G978,""))</f>
        <v/>
      </c>
    </row>
    <row r="979" spans="8:9" x14ac:dyDescent="0.45">
      <c r="H979" t="str">
        <f>IF(PNL!A979="","",_CALC_PNL!P979)</f>
        <v/>
      </c>
      <c r="I979" t="str">
        <f>IF(PNL!A979="","",IF(_CALC_PNL!E979=1,H979-G979,""))</f>
        <v/>
      </c>
    </row>
    <row r="980" spans="8:9" x14ac:dyDescent="0.45">
      <c r="H980" t="str">
        <f>IF(PNL!A980="","",_CALC_PNL!P980)</f>
        <v/>
      </c>
      <c r="I980" t="str">
        <f>IF(PNL!A980="","",IF(_CALC_PNL!E980=1,H980-G980,""))</f>
        <v/>
      </c>
    </row>
    <row r="981" spans="8:9" x14ac:dyDescent="0.45">
      <c r="H981" t="str">
        <f>IF(PNL!A981="","",_CALC_PNL!P981)</f>
        <v/>
      </c>
      <c r="I981" t="str">
        <f>IF(PNL!A981="","",IF(_CALC_PNL!E981=1,H981-G981,""))</f>
        <v/>
      </c>
    </row>
    <row r="982" spans="8:9" x14ac:dyDescent="0.45">
      <c r="H982" t="str">
        <f>IF(PNL!A982="","",_CALC_PNL!P982)</f>
        <v/>
      </c>
      <c r="I982" t="str">
        <f>IF(PNL!A982="","",IF(_CALC_PNL!E982=1,H982-G982,""))</f>
        <v/>
      </c>
    </row>
    <row r="983" spans="8:9" x14ac:dyDescent="0.45">
      <c r="H983" t="str">
        <f>IF(PNL!A983="","",_CALC_PNL!P983)</f>
        <v/>
      </c>
      <c r="I983" t="str">
        <f>IF(PNL!A983="","",IF(_CALC_PNL!E983=1,H983-G983,""))</f>
        <v/>
      </c>
    </row>
    <row r="984" spans="8:9" x14ac:dyDescent="0.45">
      <c r="H984" t="str">
        <f>IF(PNL!A984="","",_CALC_PNL!P984)</f>
        <v/>
      </c>
      <c r="I984" t="str">
        <f>IF(PNL!A984="","",IF(_CALC_PNL!E984=1,H984-G984,""))</f>
        <v/>
      </c>
    </row>
    <row r="985" spans="8:9" x14ac:dyDescent="0.45">
      <c r="H985" t="str">
        <f>IF(PNL!A985="","",_CALC_PNL!P985)</f>
        <v/>
      </c>
      <c r="I985" t="str">
        <f>IF(PNL!A985="","",IF(_CALC_PNL!E985=1,H985-G985,""))</f>
        <v/>
      </c>
    </row>
    <row r="986" spans="8:9" x14ac:dyDescent="0.45">
      <c r="H986" t="str">
        <f>IF(PNL!A986="","",_CALC_PNL!P986)</f>
        <v/>
      </c>
      <c r="I986" t="str">
        <f>IF(PNL!A986="","",IF(_CALC_PNL!E986=1,H986-G986,""))</f>
        <v/>
      </c>
    </row>
    <row r="987" spans="8:9" x14ac:dyDescent="0.45">
      <c r="H987" t="str">
        <f>IF(PNL!A987="","",_CALC_PNL!P987)</f>
        <v/>
      </c>
      <c r="I987" t="str">
        <f>IF(PNL!A987="","",IF(_CALC_PNL!E987=1,H987-G987,""))</f>
        <v/>
      </c>
    </row>
    <row r="988" spans="8:9" x14ac:dyDescent="0.45">
      <c r="H988" t="str">
        <f>IF(PNL!A988="","",_CALC_PNL!P988)</f>
        <v/>
      </c>
      <c r="I988" t="str">
        <f>IF(PNL!A988="","",IF(_CALC_PNL!E988=1,H988-G988,""))</f>
        <v/>
      </c>
    </row>
    <row r="989" spans="8:9" x14ac:dyDescent="0.45">
      <c r="H989" t="str">
        <f>IF(PNL!A989="","",_CALC_PNL!P989)</f>
        <v/>
      </c>
      <c r="I989" t="str">
        <f>IF(PNL!A989="","",IF(_CALC_PNL!E989=1,H989-G989,""))</f>
        <v/>
      </c>
    </row>
    <row r="990" spans="8:9" x14ac:dyDescent="0.45">
      <c r="H990" t="str">
        <f>IF(PNL!A990="","",_CALC_PNL!P990)</f>
        <v/>
      </c>
      <c r="I990" t="str">
        <f>IF(PNL!A990="","",IF(_CALC_PNL!E990=1,H990-G990,""))</f>
        <v/>
      </c>
    </row>
    <row r="991" spans="8:9" x14ac:dyDescent="0.45">
      <c r="H991" t="str">
        <f>IF(PNL!A991="","",_CALC_PNL!P991)</f>
        <v/>
      </c>
      <c r="I991" t="str">
        <f>IF(PNL!A991="","",IF(_CALC_PNL!E991=1,H991-G991,""))</f>
        <v/>
      </c>
    </row>
    <row r="992" spans="8:9" x14ac:dyDescent="0.45">
      <c r="H992" t="str">
        <f>IF(PNL!A992="","",_CALC_PNL!P992)</f>
        <v/>
      </c>
      <c r="I992" t="str">
        <f>IF(PNL!A992="","",IF(_CALC_PNL!E992=1,H992-G992,""))</f>
        <v/>
      </c>
    </row>
    <row r="993" spans="8:9" x14ac:dyDescent="0.45">
      <c r="H993" t="str">
        <f>IF(PNL!A993="","",_CALC_PNL!P993)</f>
        <v/>
      </c>
      <c r="I993" t="str">
        <f>IF(PNL!A993="","",IF(_CALC_PNL!E993=1,H993-G993,""))</f>
        <v/>
      </c>
    </row>
    <row r="994" spans="8:9" x14ac:dyDescent="0.45">
      <c r="H994" t="str">
        <f>IF(PNL!A994="","",_CALC_PNL!P994)</f>
        <v/>
      </c>
      <c r="I994" t="str">
        <f>IF(PNL!A994="","",IF(_CALC_PNL!E994=1,H994-G994,""))</f>
        <v/>
      </c>
    </row>
    <row r="995" spans="8:9" x14ac:dyDescent="0.45">
      <c r="H995" t="str">
        <f>IF(PNL!A995="","",_CALC_PNL!P995)</f>
        <v/>
      </c>
      <c r="I995" t="str">
        <f>IF(PNL!A995="","",IF(_CALC_PNL!E995=1,H995-G995,""))</f>
        <v/>
      </c>
    </row>
    <row r="996" spans="8:9" x14ac:dyDescent="0.45">
      <c r="H996" t="str">
        <f>IF(PNL!A996="","",_CALC_PNL!P996)</f>
        <v/>
      </c>
      <c r="I996" t="str">
        <f>IF(PNL!A996="","",IF(_CALC_PNL!E996=1,H996-G996,""))</f>
        <v/>
      </c>
    </row>
    <row r="997" spans="8:9" x14ac:dyDescent="0.45">
      <c r="H997" t="str">
        <f>IF(PNL!A997="","",_CALC_PNL!P997)</f>
        <v/>
      </c>
      <c r="I997" t="str">
        <f>IF(PNL!A997="","",IF(_CALC_PNL!E997=1,H997-G997,""))</f>
        <v/>
      </c>
    </row>
    <row r="998" spans="8:9" x14ac:dyDescent="0.45">
      <c r="H998" t="str">
        <f>IF(PNL!A998="","",_CALC_PNL!P998)</f>
        <v/>
      </c>
      <c r="I998" t="str">
        <f>IF(PNL!A998="","",IF(_CALC_PNL!E998=1,H998-G998,""))</f>
        <v/>
      </c>
    </row>
    <row r="999" spans="8:9" x14ac:dyDescent="0.45">
      <c r="H999" t="str">
        <f>IF(PNL!A999="","",_CALC_PNL!P999)</f>
        <v/>
      </c>
      <c r="I999" t="str">
        <f>IF(PNL!A999="","",IF(_CALC_PNL!E999=1,H999-G999,""))</f>
        <v/>
      </c>
    </row>
    <row r="1000" spans="8:9" x14ac:dyDescent="0.45">
      <c r="H1000" t="str">
        <f>IF(PNL!A1000="","",_CALC_PNL!P1000)</f>
        <v/>
      </c>
      <c r="I1000" t="str">
        <f>IF(PNL!A1000="","",IF(_CALC_PNL!E1000=1,H1000-G1000,""))</f>
        <v/>
      </c>
    </row>
    <row r="1001" spans="8:9" x14ac:dyDescent="0.45">
      <c r="H1001" t="str">
        <f>IF(PNL!A1001="","",_CALC_PNL!P1001)</f>
        <v/>
      </c>
      <c r="I1001" t="str">
        <f>IF(PNL!A1001="","",IF(_CALC_PNL!E1001=1,H1001-G1001,""))</f>
        <v/>
      </c>
    </row>
    <row r="1002" spans="8:9" x14ac:dyDescent="0.45">
      <c r="H1002" t="str">
        <f>IF(PNL!A1002="","",_CALC_PNL!P1002)</f>
        <v/>
      </c>
      <c r="I1002" t="str">
        <f>IF(PNL!A1002="","",IF(_CALC_PNL!E1002=1,H1002-G1002,""))</f>
        <v/>
      </c>
    </row>
    <row r="1003" spans="8:9" x14ac:dyDescent="0.45">
      <c r="H1003" t="str">
        <f>IF(PNL!A1003="","",_CALC_PNL!P1003)</f>
        <v/>
      </c>
      <c r="I1003" t="str">
        <f>IF(PNL!A1003="","",IF(_CALC_PNL!E1003=1,H1003-G1003,""))</f>
        <v/>
      </c>
    </row>
    <row r="1004" spans="8:9" x14ac:dyDescent="0.45">
      <c r="H1004" t="str">
        <f>IF(PNL!A1004="","",_CALC_PNL!P1004)</f>
        <v/>
      </c>
      <c r="I1004" t="str">
        <f>IF(PNL!A1004="","",IF(_CALC_PNL!E1004=1,H1004-G1004,""))</f>
        <v/>
      </c>
    </row>
    <row r="1005" spans="8:9" x14ac:dyDescent="0.45">
      <c r="H1005" t="str">
        <f>IF(PNL!A1005="","",_CALC_PNL!P1005)</f>
        <v/>
      </c>
      <c r="I1005" t="str">
        <f>IF(PNL!A1005="","",IF(_CALC_PNL!E1005=1,H1005-G1005,""))</f>
        <v/>
      </c>
    </row>
    <row r="1006" spans="8:9" x14ac:dyDescent="0.45">
      <c r="H1006" t="str">
        <f>IF(PNL!A1006="","",_CALC_PNL!P1006)</f>
        <v/>
      </c>
      <c r="I1006" t="str">
        <f>IF(PNL!A1006="","",IF(_CALC_PNL!E1006=1,H1006-G1006,""))</f>
        <v/>
      </c>
    </row>
    <row r="1007" spans="8:9" x14ac:dyDescent="0.45">
      <c r="H1007" t="str">
        <f>IF(PNL!A1007="","",_CALC_PNL!P1007)</f>
        <v/>
      </c>
      <c r="I1007" t="str">
        <f>IF(PNL!A1007="","",IF(_CALC_PNL!E1007=1,H1007-G1007,""))</f>
        <v/>
      </c>
    </row>
    <row r="1008" spans="8:9" x14ac:dyDescent="0.45">
      <c r="H1008" t="str">
        <f>IF(PNL!A1008="","",_CALC_PNL!P1008)</f>
        <v/>
      </c>
      <c r="I1008" t="str">
        <f>IF(PNL!A1008="","",IF(_CALC_PNL!E1008=1,H1008-G1008,""))</f>
        <v/>
      </c>
    </row>
    <row r="1009" spans="8:9" x14ac:dyDescent="0.45">
      <c r="H1009" t="str">
        <f>IF(PNL!A1009="","",_CALC_PNL!P1009)</f>
        <v/>
      </c>
      <c r="I1009" t="str">
        <f>IF(PNL!A1009="","",IF(_CALC_PNL!E1009=1,H1009-G1009,""))</f>
        <v/>
      </c>
    </row>
    <row r="1010" spans="8:9" x14ac:dyDescent="0.45">
      <c r="H1010" t="str">
        <f>IF(PNL!A1010="","",_CALC_PNL!P1010)</f>
        <v/>
      </c>
      <c r="I1010" t="str">
        <f>IF(PNL!A1010="","",IF(_CALC_PNL!E1010=1,H1010-G1010,""))</f>
        <v/>
      </c>
    </row>
    <row r="1011" spans="8:9" x14ac:dyDescent="0.45">
      <c r="H1011" t="str">
        <f>IF(PNL!A1011="","",_CALC_PNL!P1011)</f>
        <v/>
      </c>
      <c r="I1011" t="str">
        <f>IF(PNL!A1011="","",IF(_CALC_PNL!E1011=1,H1011-G1011,""))</f>
        <v/>
      </c>
    </row>
    <row r="1012" spans="8:9" x14ac:dyDescent="0.45">
      <c r="H1012" t="str">
        <f>IF(PNL!A1012="","",_CALC_PNL!P1012)</f>
        <v/>
      </c>
      <c r="I1012" t="str">
        <f>IF(PNL!A1012="","",IF(_CALC_PNL!E1012=1,H1012-G1012,""))</f>
        <v/>
      </c>
    </row>
    <row r="1013" spans="8:9" x14ac:dyDescent="0.45">
      <c r="H1013" t="str">
        <f>IF(PNL!A1013="","",_CALC_PNL!P1013)</f>
        <v/>
      </c>
      <c r="I1013" t="str">
        <f>IF(PNL!A1013="","",IF(_CALC_PNL!E1013=1,H1013-G1013,""))</f>
        <v/>
      </c>
    </row>
    <row r="1014" spans="8:9" x14ac:dyDescent="0.45">
      <c r="H1014" t="str">
        <f>IF(PNL!A1014="","",_CALC_PNL!P1014)</f>
        <v/>
      </c>
      <c r="I1014" t="str">
        <f>IF(PNL!A1014="","",IF(_CALC_PNL!E1014=1,H1014-G1014,""))</f>
        <v/>
      </c>
    </row>
    <row r="1015" spans="8:9" x14ac:dyDescent="0.45">
      <c r="H1015" t="str">
        <f>IF(PNL!A1015="","",_CALC_PNL!P1015)</f>
        <v/>
      </c>
      <c r="I1015" t="str">
        <f>IF(PNL!A1015="","",IF(_CALC_PNL!E1015=1,H1015-G1015,""))</f>
        <v/>
      </c>
    </row>
    <row r="1016" spans="8:9" x14ac:dyDescent="0.45">
      <c r="H1016" t="str">
        <f>IF(PNL!A1016="","",_CALC_PNL!P1016)</f>
        <v/>
      </c>
      <c r="I1016" t="str">
        <f>IF(PNL!A1016="","",IF(_CALC_PNL!E1016=1,H1016-G1016,""))</f>
        <v/>
      </c>
    </row>
    <row r="1017" spans="8:9" x14ac:dyDescent="0.45">
      <c r="H1017" t="str">
        <f>IF(PNL!A1017="","",_CALC_PNL!P1017)</f>
        <v/>
      </c>
      <c r="I1017" t="str">
        <f>IF(PNL!A1017="","",IF(_CALC_PNL!E1017=1,H1017-G1017,""))</f>
        <v/>
      </c>
    </row>
    <row r="1018" spans="8:9" x14ac:dyDescent="0.45">
      <c r="H1018" t="str">
        <f>IF(PNL!A1018="","",_CALC_PNL!P1018)</f>
        <v/>
      </c>
      <c r="I1018" t="str">
        <f>IF(PNL!A1018="","",IF(_CALC_PNL!E1018=1,H1018-G1018,""))</f>
        <v/>
      </c>
    </row>
    <row r="1019" spans="8:9" x14ac:dyDescent="0.45">
      <c r="H1019" t="str">
        <f>IF(PNL!A1019="","",_CALC_PNL!P1019)</f>
        <v/>
      </c>
      <c r="I1019" t="str">
        <f>IF(PNL!A1019="","",IF(_CALC_PNL!E1019=1,H1019-G1019,""))</f>
        <v/>
      </c>
    </row>
    <row r="1020" spans="8:9" x14ac:dyDescent="0.45">
      <c r="H1020" t="str">
        <f>IF(PNL!A1020="","",_CALC_PNL!P1020)</f>
        <v/>
      </c>
      <c r="I1020" t="str">
        <f>IF(PNL!A1020="","",IF(_CALC_PNL!E1020=1,H1020-G1020,""))</f>
        <v/>
      </c>
    </row>
    <row r="1021" spans="8:9" x14ac:dyDescent="0.45">
      <c r="H1021" t="str">
        <f>IF(PNL!A1021="","",_CALC_PNL!P1021)</f>
        <v/>
      </c>
      <c r="I1021" t="str">
        <f>IF(PNL!A1021="","",IF(_CALC_PNL!E1021=1,H1021-G1021,""))</f>
        <v/>
      </c>
    </row>
    <row r="1022" spans="8:9" x14ac:dyDescent="0.45">
      <c r="H1022" t="str">
        <f>IF(PNL!A1022="","",_CALC_PNL!P1022)</f>
        <v/>
      </c>
      <c r="I1022" t="str">
        <f>IF(PNL!A1022="","",IF(_CALC_PNL!E1022=1,H1022-G1022,""))</f>
        <v/>
      </c>
    </row>
    <row r="1023" spans="8:9" x14ac:dyDescent="0.45">
      <c r="H1023" t="str">
        <f>IF(PNL!A1023="","",_CALC_PNL!P1023)</f>
        <v/>
      </c>
      <c r="I1023" t="str">
        <f>IF(PNL!A1023="","",IF(_CALC_PNL!E1023=1,H1023-G1023,""))</f>
        <v/>
      </c>
    </row>
    <row r="1024" spans="8:9" x14ac:dyDescent="0.45">
      <c r="H1024" t="str">
        <f>IF(PNL!A1024="","",_CALC_PNL!P1024)</f>
        <v/>
      </c>
      <c r="I1024" t="str">
        <f>IF(PNL!A1024="","",IF(_CALC_PNL!E1024=1,H1024-G1024,""))</f>
        <v/>
      </c>
    </row>
    <row r="1025" spans="8:9" x14ac:dyDescent="0.45">
      <c r="H1025" t="str">
        <f>IF(PNL!A1025="","",_CALC_PNL!P1025)</f>
        <v/>
      </c>
      <c r="I1025" t="str">
        <f>IF(PNL!A1025="","",IF(_CALC_PNL!E1025=1,H1025-G1025,""))</f>
        <v/>
      </c>
    </row>
    <row r="1026" spans="8:9" x14ac:dyDescent="0.45">
      <c r="H1026" t="str">
        <f>IF(PNL!A1026="","",_CALC_PNL!P1026)</f>
        <v/>
      </c>
      <c r="I1026" t="str">
        <f>IF(PNL!A1026="","",IF(_CALC_PNL!E1026=1,H1026-G1026,""))</f>
        <v/>
      </c>
    </row>
    <row r="1027" spans="8:9" x14ac:dyDescent="0.45">
      <c r="H1027" t="str">
        <f>IF(PNL!A1027="","",_CALC_PNL!P1027)</f>
        <v/>
      </c>
      <c r="I1027" t="str">
        <f>IF(PNL!A1027="","",IF(_CALC_PNL!E1027=1,H1027-G1027,""))</f>
        <v/>
      </c>
    </row>
    <row r="1028" spans="8:9" x14ac:dyDescent="0.45">
      <c r="H1028" t="str">
        <f>IF(PNL!A1028="","",_CALC_PNL!P1028)</f>
        <v/>
      </c>
      <c r="I1028" t="str">
        <f>IF(PNL!A1028="","",IF(_CALC_PNL!E1028=1,H1028-G1028,""))</f>
        <v/>
      </c>
    </row>
    <row r="1029" spans="8:9" x14ac:dyDescent="0.45">
      <c r="H1029" t="str">
        <f>IF(PNL!A1029="","",_CALC_PNL!P1029)</f>
        <v/>
      </c>
      <c r="I1029" t="str">
        <f>IF(PNL!A1029="","",IF(_CALC_PNL!E1029=1,H1029-G1029,""))</f>
        <v/>
      </c>
    </row>
    <row r="1030" spans="8:9" x14ac:dyDescent="0.45">
      <c r="H1030" t="str">
        <f>IF(PNL!A1030="","",_CALC_PNL!P1030)</f>
        <v/>
      </c>
      <c r="I1030" t="str">
        <f>IF(PNL!A1030="","",IF(_CALC_PNL!E1030=1,H1030-G1030,""))</f>
        <v/>
      </c>
    </row>
    <row r="1031" spans="8:9" x14ac:dyDescent="0.45">
      <c r="H1031" t="str">
        <f>IF(PNL!A1031="","",_CALC_PNL!P1031)</f>
        <v/>
      </c>
      <c r="I1031" t="str">
        <f>IF(PNL!A1031="","",IF(_CALC_PNL!E1031=1,H1031-G1031,""))</f>
        <v/>
      </c>
    </row>
    <row r="1032" spans="8:9" x14ac:dyDescent="0.45">
      <c r="H1032" t="str">
        <f>IF(PNL!A1032="","",_CALC_PNL!P1032)</f>
        <v/>
      </c>
      <c r="I1032" t="str">
        <f>IF(PNL!A1032="","",IF(_CALC_PNL!E1032=1,H1032-G1032,""))</f>
        <v/>
      </c>
    </row>
    <row r="1033" spans="8:9" x14ac:dyDescent="0.45">
      <c r="H1033" t="str">
        <f>IF(PNL!A1033="","",_CALC_PNL!P1033)</f>
        <v/>
      </c>
      <c r="I1033" t="str">
        <f>IF(PNL!A1033="","",IF(_CALC_PNL!E1033=1,H1033-G1033,""))</f>
        <v/>
      </c>
    </row>
    <row r="1034" spans="8:9" x14ac:dyDescent="0.45">
      <c r="H1034" t="str">
        <f>IF(PNL!A1034="","",_CALC_PNL!P1034)</f>
        <v/>
      </c>
      <c r="I1034" t="str">
        <f>IF(PNL!A1034="","",IF(_CALC_PNL!E1034=1,H1034-G1034,""))</f>
        <v/>
      </c>
    </row>
    <row r="1035" spans="8:9" x14ac:dyDescent="0.45">
      <c r="H1035" t="str">
        <f>IF(PNL!A1035="","",_CALC_PNL!P1035)</f>
        <v/>
      </c>
      <c r="I1035" t="str">
        <f>IF(PNL!A1035="","",IF(_CALC_PNL!E1035=1,H1035-G1035,""))</f>
        <v/>
      </c>
    </row>
    <row r="1036" spans="8:9" x14ac:dyDescent="0.45">
      <c r="H1036" t="str">
        <f>IF(PNL!A1036="","",_CALC_PNL!P1036)</f>
        <v/>
      </c>
      <c r="I1036" t="str">
        <f>IF(PNL!A1036="","",IF(_CALC_PNL!E1036=1,H1036-G1036,""))</f>
        <v/>
      </c>
    </row>
    <row r="1037" spans="8:9" x14ac:dyDescent="0.45">
      <c r="H1037" t="str">
        <f>IF(PNL!A1037="","",_CALC_PNL!P1037)</f>
        <v/>
      </c>
      <c r="I1037" t="str">
        <f>IF(PNL!A1037="","",IF(_CALC_PNL!E1037=1,H1037-G1037,""))</f>
        <v/>
      </c>
    </row>
    <row r="1038" spans="8:9" x14ac:dyDescent="0.45">
      <c r="H1038" t="str">
        <f>IF(PNL!A1038="","",_CALC_PNL!P1038)</f>
        <v/>
      </c>
      <c r="I1038" t="str">
        <f>IF(PNL!A1038="","",IF(_CALC_PNL!E1038=1,H1038-G1038,""))</f>
        <v/>
      </c>
    </row>
    <row r="1039" spans="8:9" x14ac:dyDescent="0.45">
      <c r="H1039" t="str">
        <f>IF(PNL!A1039="","",_CALC_PNL!P1039)</f>
        <v/>
      </c>
      <c r="I1039" t="str">
        <f>IF(PNL!A1039="","",IF(_CALC_PNL!E1039=1,H1039-G1039,""))</f>
        <v/>
      </c>
    </row>
    <row r="1040" spans="8:9" x14ac:dyDescent="0.45">
      <c r="H1040" t="str">
        <f>IF(PNL!A1040="","",_CALC_PNL!P1040)</f>
        <v/>
      </c>
      <c r="I1040" t="str">
        <f>IF(PNL!A1040="","",IF(_CALC_PNL!E1040=1,H1040-G1040,""))</f>
        <v/>
      </c>
    </row>
    <row r="1041" spans="8:9" x14ac:dyDescent="0.45">
      <c r="H1041" t="str">
        <f>IF(PNL!A1041="","",_CALC_PNL!P1041)</f>
        <v/>
      </c>
      <c r="I1041" t="str">
        <f>IF(PNL!A1041="","",IF(_CALC_PNL!E1041=1,H1041-G1041,""))</f>
        <v/>
      </c>
    </row>
    <row r="1042" spans="8:9" x14ac:dyDescent="0.45">
      <c r="H1042" t="str">
        <f>IF(PNL!A1042="","",_CALC_PNL!P1042)</f>
        <v/>
      </c>
      <c r="I1042" t="str">
        <f>IF(PNL!A1042="","",IF(_CALC_PNL!E1042=1,H1042-G1042,""))</f>
        <v/>
      </c>
    </row>
    <row r="1043" spans="8:9" x14ac:dyDescent="0.45">
      <c r="H1043" t="str">
        <f>IF(PNL!A1043="","",_CALC_PNL!P1043)</f>
        <v/>
      </c>
      <c r="I1043" t="str">
        <f>IF(PNL!A1043="","",IF(_CALC_PNL!E1043=1,H1043-G1043,""))</f>
        <v/>
      </c>
    </row>
    <row r="1044" spans="8:9" x14ac:dyDescent="0.45">
      <c r="H1044" t="str">
        <f>IF(PNL!A1044="","",_CALC_PNL!P1044)</f>
        <v/>
      </c>
      <c r="I1044" t="str">
        <f>IF(PNL!A1044="","",IF(_CALC_PNL!E1044=1,H1044-G1044,""))</f>
        <v/>
      </c>
    </row>
    <row r="1045" spans="8:9" x14ac:dyDescent="0.45">
      <c r="H1045" t="str">
        <f>IF(PNL!A1045="","",_CALC_PNL!P1045)</f>
        <v/>
      </c>
      <c r="I1045" t="str">
        <f>IF(PNL!A1045="","",IF(_CALC_PNL!E1045=1,H1045-G1045,""))</f>
        <v/>
      </c>
    </row>
    <row r="1046" spans="8:9" x14ac:dyDescent="0.45">
      <c r="H1046" t="str">
        <f>IF(PNL!A1046="","",_CALC_PNL!P1046)</f>
        <v/>
      </c>
      <c r="I1046" t="str">
        <f>IF(PNL!A1046="","",IF(_CALC_PNL!E1046=1,H1046-G1046,""))</f>
        <v/>
      </c>
    </row>
    <row r="1047" spans="8:9" x14ac:dyDescent="0.45">
      <c r="H1047" t="str">
        <f>IF(PNL!A1047="","",_CALC_PNL!P1047)</f>
        <v/>
      </c>
      <c r="I1047" t="str">
        <f>IF(PNL!A1047="","",IF(_CALC_PNL!E1047=1,H1047-G1047,""))</f>
        <v/>
      </c>
    </row>
    <row r="1048" spans="8:9" x14ac:dyDescent="0.45">
      <c r="H1048" t="str">
        <f>IF(PNL!A1048="","",_CALC_PNL!P1048)</f>
        <v/>
      </c>
      <c r="I1048" t="str">
        <f>IF(PNL!A1048="","",IF(_CALC_PNL!E1048=1,H1048-G1048,""))</f>
        <v/>
      </c>
    </row>
    <row r="1049" spans="8:9" x14ac:dyDescent="0.45">
      <c r="H1049" t="str">
        <f>IF(PNL!A1049="","",_CALC_PNL!P1049)</f>
        <v/>
      </c>
      <c r="I1049" t="str">
        <f>IF(PNL!A1049="","",IF(_CALC_PNL!E1049=1,H1049-G1049,""))</f>
        <v/>
      </c>
    </row>
    <row r="1050" spans="8:9" x14ac:dyDescent="0.45">
      <c r="H1050" t="str">
        <f>IF(PNL!A1050="","",_CALC_PNL!P1050)</f>
        <v/>
      </c>
      <c r="I1050" t="str">
        <f>IF(PNL!A1050="","",IF(_CALC_PNL!E1050=1,H1050-G1050,""))</f>
        <v/>
      </c>
    </row>
    <row r="1051" spans="8:9" x14ac:dyDescent="0.45">
      <c r="H1051" t="str">
        <f>IF(PNL!A1051="","",_CALC_PNL!P1051)</f>
        <v/>
      </c>
      <c r="I1051" t="str">
        <f>IF(PNL!A1051="","",IF(_CALC_PNL!E1051=1,H1051-G1051,""))</f>
        <v/>
      </c>
    </row>
    <row r="1052" spans="8:9" x14ac:dyDescent="0.45">
      <c r="H1052" t="str">
        <f>IF(PNL!A1052="","",_CALC_PNL!P1052)</f>
        <v/>
      </c>
      <c r="I1052" t="str">
        <f>IF(PNL!A1052="","",IF(_CALC_PNL!E1052=1,H1052-G1052,""))</f>
        <v/>
      </c>
    </row>
    <row r="1053" spans="8:9" x14ac:dyDescent="0.45">
      <c r="H1053" t="str">
        <f>IF(PNL!A1053="","",_CALC_PNL!P1053)</f>
        <v/>
      </c>
      <c r="I1053" t="str">
        <f>IF(PNL!A1053="","",IF(_CALC_PNL!E1053=1,H1053-G1053,""))</f>
        <v/>
      </c>
    </row>
    <row r="1054" spans="8:9" x14ac:dyDescent="0.45">
      <c r="H1054" t="str">
        <f>IF(PNL!A1054="","",_CALC_PNL!P1054)</f>
        <v/>
      </c>
      <c r="I1054" t="str">
        <f>IF(PNL!A1054="","",IF(_CALC_PNL!E1054=1,H1054-G1054,""))</f>
        <v/>
      </c>
    </row>
    <row r="1055" spans="8:9" x14ac:dyDescent="0.45">
      <c r="H1055" t="str">
        <f>IF(PNL!A1055="","",_CALC_PNL!P1055)</f>
        <v/>
      </c>
      <c r="I1055" t="str">
        <f>IF(PNL!A1055="","",IF(_CALC_PNL!E1055=1,H1055-G1055,""))</f>
        <v/>
      </c>
    </row>
    <row r="1056" spans="8:9" x14ac:dyDescent="0.45">
      <c r="H1056" t="str">
        <f>IF(PNL!A1056="","",_CALC_PNL!P1056)</f>
        <v/>
      </c>
      <c r="I1056" t="str">
        <f>IF(PNL!A1056="","",IF(_CALC_PNL!E1056=1,H1056-G1056,""))</f>
        <v/>
      </c>
    </row>
    <row r="1057" spans="8:9" x14ac:dyDescent="0.45">
      <c r="H1057" t="str">
        <f>IF(PNL!A1057="","",_CALC_PNL!P1057)</f>
        <v/>
      </c>
      <c r="I1057" t="str">
        <f>IF(PNL!A1057="","",IF(_CALC_PNL!E1057=1,H1057-G1057,""))</f>
        <v/>
      </c>
    </row>
    <row r="1058" spans="8:9" x14ac:dyDescent="0.45">
      <c r="H1058" t="str">
        <f>IF(PNL!A1058="","",_CALC_PNL!P1058)</f>
        <v/>
      </c>
      <c r="I1058" t="str">
        <f>IF(PNL!A1058="","",IF(_CALC_PNL!E1058=1,H1058-G1058,""))</f>
        <v/>
      </c>
    </row>
    <row r="1059" spans="8:9" x14ac:dyDescent="0.45">
      <c r="H1059" t="str">
        <f>IF(PNL!A1059="","",_CALC_PNL!P1059)</f>
        <v/>
      </c>
      <c r="I1059" t="str">
        <f>IF(PNL!A1059="","",IF(_CALC_PNL!E1059=1,H1059-G1059,""))</f>
        <v/>
      </c>
    </row>
    <row r="1060" spans="8:9" x14ac:dyDescent="0.45">
      <c r="H1060" t="str">
        <f>IF(PNL!A1060="","",_CALC_PNL!P1060)</f>
        <v/>
      </c>
      <c r="I1060" t="str">
        <f>IF(PNL!A1060="","",IF(_CALC_PNL!E1060=1,H1060-G1060,""))</f>
        <v/>
      </c>
    </row>
    <row r="1061" spans="8:9" x14ac:dyDescent="0.45">
      <c r="H1061" t="str">
        <f>IF(PNL!A1061="","",_CALC_PNL!P1061)</f>
        <v/>
      </c>
      <c r="I1061" t="str">
        <f>IF(PNL!A1061="","",IF(_CALC_PNL!E1061=1,H1061-G1061,""))</f>
        <v/>
      </c>
    </row>
    <row r="1062" spans="8:9" x14ac:dyDescent="0.45">
      <c r="H1062" t="str">
        <f>IF(PNL!A1062="","",_CALC_PNL!P1062)</f>
        <v/>
      </c>
      <c r="I1062" t="str">
        <f>IF(PNL!A1062="","",IF(_CALC_PNL!E1062=1,H1062-G1062,""))</f>
        <v/>
      </c>
    </row>
    <row r="1063" spans="8:9" x14ac:dyDescent="0.45">
      <c r="H1063" t="str">
        <f>IF(PNL!A1063="","",_CALC_PNL!P1063)</f>
        <v/>
      </c>
      <c r="I1063" t="str">
        <f>IF(PNL!A1063="","",IF(_CALC_PNL!E1063=1,H1063-G1063,""))</f>
        <v/>
      </c>
    </row>
    <row r="1064" spans="8:9" x14ac:dyDescent="0.45">
      <c r="H1064" t="str">
        <f>IF(PNL!A1064="","",_CALC_PNL!P1064)</f>
        <v/>
      </c>
      <c r="I1064" t="str">
        <f>IF(PNL!A1064="","",IF(_CALC_PNL!E1064=1,H1064-G1064,""))</f>
        <v/>
      </c>
    </row>
    <row r="1065" spans="8:9" x14ac:dyDescent="0.45">
      <c r="H1065" t="str">
        <f>IF(PNL!A1065="","",_CALC_PNL!P1065)</f>
        <v/>
      </c>
      <c r="I1065" t="str">
        <f>IF(PNL!A1065="","",IF(_CALC_PNL!E1065=1,H1065-G1065,""))</f>
        <v/>
      </c>
    </row>
    <row r="1066" spans="8:9" x14ac:dyDescent="0.45">
      <c r="H1066" t="str">
        <f>IF(PNL!A1066="","",_CALC_PNL!P1066)</f>
        <v/>
      </c>
      <c r="I1066" t="str">
        <f>IF(PNL!A1066="","",IF(_CALC_PNL!E1066=1,H1066-G1066,""))</f>
        <v/>
      </c>
    </row>
    <row r="1067" spans="8:9" x14ac:dyDescent="0.45">
      <c r="H1067" t="str">
        <f>IF(PNL!A1067="","",_CALC_PNL!P1067)</f>
        <v/>
      </c>
      <c r="I1067" t="str">
        <f>IF(PNL!A1067="","",IF(_CALC_PNL!E1067=1,H1067-G1067,""))</f>
        <v/>
      </c>
    </row>
    <row r="1068" spans="8:9" x14ac:dyDescent="0.45">
      <c r="H1068" t="str">
        <f>IF(PNL!A1068="","",_CALC_PNL!P1068)</f>
        <v/>
      </c>
      <c r="I1068" t="str">
        <f>IF(PNL!A1068="","",IF(_CALC_PNL!E1068=1,H1068-G1068,""))</f>
        <v/>
      </c>
    </row>
    <row r="1069" spans="8:9" x14ac:dyDescent="0.45">
      <c r="H1069" t="str">
        <f>IF(PNL!A1069="","",_CALC_PNL!P1069)</f>
        <v/>
      </c>
      <c r="I1069" t="str">
        <f>IF(PNL!A1069="","",IF(_CALC_PNL!E1069=1,H1069-G1069,""))</f>
        <v/>
      </c>
    </row>
    <row r="1070" spans="8:9" x14ac:dyDescent="0.45">
      <c r="H1070" t="str">
        <f>IF(PNL!A1070="","",_CALC_PNL!P1070)</f>
        <v/>
      </c>
      <c r="I1070" t="str">
        <f>IF(PNL!A1070="","",IF(_CALC_PNL!E1070=1,H1070-G1070,""))</f>
        <v/>
      </c>
    </row>
    <row r="1071" spans="8:9" x14ac:dyDescent="0.45">
      <c r="H1071" t="str">
        <f>IF(PNL!A1071="","",_CALC_PNL!P1071)</f>
        <v/>
      </c>
      <c r="I1071" t="str">
        <f>IF(PNL!A1071="","",IF(_CALC_PNL!E1071=1,H1071-G1071,""))</f>
        <v/>
      </c>
    </row>
    <row r="1072" spans="8:9" x14ac:dyDescent="0.45">
      <c r="H1072" t="str">
        <f>IF(PNL!A1072="","",_CALC_PNL!P1072)</f>
        <v/>
      </c>
      <c r="I1072" t="str">
        <f>IF(PNL!A1072="","",IF(_CALC_PNL!E1072=1,H1072-G1072,""))</f>
        <v/>
      </c>
    </row>
    <row r="1073" spans="8:9" x14ac:dyDescent="0.45">
      <c r="H1073" t="str">
        <f>IF(PNL!A1073="","",_CALC_PNL!P1073)</f>
        <v/>
      </c>
      <c r="I1073" t="str">
        <f>IF(PNL!A1073="","",IF(_CALC_PNL!E1073=1,H1073-G1073,""))</f>
        <v/>
      </c>
    </row>
    <row r="1074" spans="8:9" x14ac:dyDescent="0.45">
      <c r="H1074" t="str">
        <f>IF(PNL!A1074="","",_CALC_PNL!P1074)</f>
        <v/>
      </c>
      <c r="I1074" t="str">
        <f>IF(PNL!A1074="","",IF(_CALC_PNL!E1074=1,H1074-G1074,""))</f>
        <v/>
      </c>
    </row>
    <row r="1075" spans="8:9" x14ac:dyDescent="0.45">
      <c r="H1075" t="str">
        <f>IF(PNL!A1075="","",_CALC_PNL!P1075)</f>
        <v/>
      </c>
      <c r="I1075" t="str">
        <f>IF(PNL!A1075="","",IF(_CALC_PNL!E1075=1,H1075-G1075,""))</f>
        <v/>
      </c>
    </row>
    <row r="1076" spans="8:9" x14ac:dyDescent="0.45">
      <c r="H1076" t="str">
        <f>IF(PNL!A1076="","",_CALC_PNL!P1076)</f>
        <v/>
      </c>
      <c r="I1076" t="str">
        <f>IF(PNL!A1076="","",IF(_CALC_PNL!E1076=1,H1076-G1076,""))</f>
        <v/>
      </c>
    </row>
    <row r="1077" spans="8:9" x14ac:dyDescent="0.45">
      <c r="H1077" t="str">
        <f>IF(PNL!A1077="","",_CALC_PNL!P1077)</f>
        <v/>
      </c>
      <c r="I1077" t="str">
        <f>IF(PNL!A1077="","",IF(_CALC_PNL!E1077=1,H1077-G1077,""))</f>
        <v/>
      </c>
    </row>
    <row r="1078" spans="8:9" x14ac:dyDescent="0.45">
      <c r="H1078" t="str">
        <f>IF(PNL!A1078="","",_CALC_PNL!P1078)</f>
        <v/>
      </c>
      <c r="I1078" t="str">
        <f>IF(PNL!A1078="","",IF(_CALC_PNL!E1078=1,H1078-G1078,""))</f>
        <v/>
      </c>
    </row>
    <row r="1079" spans="8:9" x14ac:dyDescent="0.45">
      <c r="H1079" t="str">
        <f>IF(PNL!A1079="","",_CALC_PNL!P1079)</f>
        <v/>
      </c>
      <c r="I1079" t="str">
        <f>IF(PNL!A1079="","",IF(_CALC_PNL!E1079=1,H1079-G1079,""))</f>
        <v/>
      </c>
    </row>
    <row r="1080" spans="8:9" x14ac:dyDescent="0.45">
      <c r="H1080" t="str">
        <f>IF(PNL!A1080="","",_CALC_PNL!P1080)</f>
        <v/>
      </c>
      <c r="I1080" t="str">
        <f>IF(PNL!A1080="","",IF(_CALC_PNL!E1080=1,H1080-G1080,""))</f>
        <v/>
      </c>
    </row>
    <row r="1081" spans="8:9" x14ac:dyDescent="0.45">
      <c r="H1081" t="str">
        <f>IF(PNL!A1081="","",_CALC_PNL!P1081)</f>
        <v/>
      </c>
      <c r="I1081" t="str">
        <f>IF(PNL!A1081="","",IF(_CALC_PNL!E1081=1,H1081-G1081,""))</f>
        <v/>
      </c>
    </row>
    <row r="1082" spans="8:9" x14ac:dyDescent="0.45">
      <c r="H1082" t="str">
        <f>IF(PNL!A1082="","",_CALC_PNL!P1082)</f>
        <v/>
      </c>
      <c r="I1082" t="str">
        <f>IF(PNL!A1082="","",IF(_CALC_PNL!E1082=1,H1082-G1082,""))</f>
        <v/>
      </c>
    </row>
    <row r="1083" spans="8:9" x14ac:dyDescent="0.45">
      <c r="H1083" t="str">
        <f>IF(PNL!A1083="","",_CALC_PNL!P1083)</f>
        <v/>
      </c>
      <c r="I1083" t="str">
        <f>IF(PNL!A1083="","",IF(_CALC_PNL!E1083=1,H1083-G1083,""))</f>
        <v/>
      </c>
    </row>
    <row r="1084" spans="8:9" x14ac:dyDescent="0.45">
      <c r="H1084" t="str">
        <f>IF(PNL!A1084="","",_CALC_PNL!P1084)</f>
        <v/>
      </c>
      <c r="I1084" t="str">
        <f>IF(PNL!A1084="","",IF(_CALC_PNL!E1084=1,H1084-G1084,""))</f>
        <v/>
      </c>
    </row>
    <row r="1085" spans="8:9" x14ac:dyDescent="0.45">
      <c r="H1085" t="str">
        <f>IF(PNL!A1085="","",_CALC_PNL!P1085)</f>
        <v/>
      </c>
      <c r="I1085" t="str">
        <f>IF(PNL!A1085="","",IF(_CALC_PNL!E1085=1,H1085-G1085,""))</f>
        <v/>
      </c>
    </row>
    <row r="1086" spans="8:9" x14ac:dyDescent="0.45">
      <c r="H1086" t="str">
        <f>IF(PNL!A1086="","",_CALC_PNL!P1086)</f>
        <v/>
      </c>
      <c r="I1086" t="str">
        <f>IF(PNL!A1086="","",IF(_CALC_PNL!E1086=1,H1086-G1086,""))</f>
        <v/>
      </c>
    </row>
    <row r="1087" spans="8:9" x14ac:dyDescent="0.45">
      <c r="H1087" t="str">
        <f>IF(PNL!A1087="","",_CALC_PNL!P1087)</f>
        <v/>
      </c>
      <c r="I1087" t="str">
        <f>IF(PNL!A1087="","",IF(_CALC_PNL!E1087=1,H1087-G1087,""))</f>
        <v/>
      </c>
    </row>
    <row r="1088" spans="8:9" x14ac:dyDescent="0.45">
      <c r="H1088" t="str">
        <f>IF(PNL!A1088="","",_CALC_PNL!P1088)</f>
        <v/>
      </c>
      <c r="I1088" t="str">
        <f>IF(PNL!A1088="","",IF(_CALC_PNL!E1088=1,H1088-G1088,""))</f>
        <v/>
      </c>
    </row>
    <row r="1089" spans="8:9" x14ac:dyDescent="0.45">
      <c r="H1089" t="str">
        <f>IF(PNL!A1089="","",_CALC_PNL!P1089)</f>
        <v/>
      </c>
      <c r="I1089" t="str">
        <f>IF(PNL!A1089="","",IF(_CALC_PNL!E1089=1,H1089-G1089,""))</f>
        <v/>
      </c>
    </row>
    <row r="1090" spans="8:9" x14ac:dyDescent="0.45">
      <c r="H1090" t="str">
        <f>IF(PNL!A1090="","",_CALC_PNL!P1090)</f>
        <v/>
      </c>
      <c r="I1090" t="str">
        <f>IF(PNL!A1090="","",IF(_CALC_PNL!E1090=1,H1090-G1090,""))</f>
        <v/>
      </c>
    </row>
    <row r="1091" spans="8:9" x14ac:dyDescent="0.45">
      <c r="H1091" t="str">
        <f>IF(PNL!A1091="","",_CALC_PNL!P1091)</f>
        <v/>
      </c>
      <c r="I1091" t="str">
        <f>IF(PNL!A1091="","",IF(_CALC_PNL!E1091=1,H1091-G1091,""))</f>
        <v/>
      </c>
    </row>
    <row r="1092" spans="8:9" x14ac:dyDescent="0.45">
      <c r="H1092" t="str">
        <f>IF(PNL!A1092="","",_CALC_PNL!P1092)</f>
        <v/>
      </c>
      <c r="I1092" t="str">
        <f>IF(PNL!A1092="","",IF(_CALC_PNL!E1092=1,H1092-G1092,""))</f>
        <v/>
      </c>
    </row>
    <row r="1093" spans="8:9" x14ac:dyDescent="0.45">
      <c r="H1093" t="str">
        <f>IF(PNL!A1093="","",_CALC_PNL!P1093)</f>
        <v/>
      </c>
      <c r="I1093" t="str">
        <f>IF(PNL!A1093="","",IF(_CALC_PNL!E1093=1,H1093-G1093,""))</f>
        <v/>
      </c>
    </row>
    <row r="1094" spans="8:9" x14ac:dyDescent="0.45">
      <c r="H1094" t="str">
        <f>IF(PNL!A1094="","",_CALC_PNL!P1094)</f>
        <v/>
      </c>
      <c r="I1094" t="str">
        <f>IF(PNL!A1094="","",IF(_CALC_PNL!E1094=1,H1094-G1094,""))</f>
        <v/>
      </c>
    </row>
    <row r="1095" spans="8:9" x14ac:dyDescent="0.45">
      <c r="H1095" t="str">
        <f>IF(PNL!A1095="","",_CALC_PNL!P1095)</f>
        <v/>
      </c>
      <c r="I1095" t="str">
        <f>IF(PNL!A1095="","",IF(_CALC_PNL!E1095=1,H1095-G1095,""))</f>
        <v/>
      </c>
    </row>
    <row r="1096" spans="8:9" x14ac:dyDescent="0.45">
      <c r="H1096" t="str">
        <f>IF(PNL!A1096="","",_CALC_PNL!P1096)</f>
        <v/>
      </c>
      <c r="I1096" t="str">
        <f>IF(PNL!A1096="","",IF(_CALC_PNL!E1096=1,H1096-G1096,""))</f>
        <v/>
      </c>
    </row>
    <row r="1097" spans="8:9" x14ac:dyDescent="0.45">
      <c r="H1097" t="str">
        <f>IF(PNL!A1097="","",_CALC_PNL!P1097)</f>
        <v/>
      </c>
      <c r="I1097" t="str">
        <f>IF(PNL!A1097="","",IF(_CALC_PNL!E1097=1,H1097-G1097,""))</f>
        <v/>
      </c>
    </row>
    <row r="1098" spans="8:9" x14ac:dyDescent="0.45">
      <c r="H1098" t="str">
        <f>IF(PNL!A1098="","",_CALC_PNL!P1098)</f>
        <v/>
      </c>
      <c r="I1098" t="str">
        <f>IF(PNL!A1098="","",IF(_CALC_PNL!E1098=1,H1098-G1098,""))</f>
        <v/>
      </c>
    </row>
    <row r="1099" spans="8:9" x14ac:dyDescent="0.45">
      <c r="H1099" t="str">
        <f>IF(PNL!A1099="","",_CALC_PNL!P1099)</f>
        <v/>
      </c>
      <c r="I1099" t="str">
        <f>IF(PNL!A1099="","",IF(_CALC_PNL!E1099=1,H1099-G1099,""))</f>
        <v/>
      </c>
    </row>
    <row r="1100" spans="8:9" x14ac:dyDescent="0.45">
      <c r="H1100" t="str">
        <f>IF(PNL!A1100="","",_CALC_PNL!P1100)</f>
        <v/>
      </c>
      <c r="I1100" t="str">
        <f>IF(PNL!A1100="","",IF(_CALC_PNL!E1100=1,H1100-G1100,""))</f>
        <v/>
      </c>
    </row>
    <row r="1101" spans="8:9" x14ac:dyDescent="0.45">
      <c r="H1101" t="str">
        <f>IF(PNL!A1101="","",_CALC_PNL!P1101)</f>
        <v/>
      </c>
      <c r="I1101" t="str">
        <f>IF(PNL!A1101="","",IF(_CALC_PNL!E1101=1,H1101-G1101,""))</f>
        <v/>
      </c>
    </row>
    <row r="1102" spans="8:9" x14ac:dyDescent="0.45">
      <c r="H1102" t="str">
        <f>IF(PNL!A1102="","",_CALC_PNL!P1102)</f>
        <v/>
      </c>
      <c r="I1102" t="str">
        <f>IF(PNL!A1102="","",IF(_CALC_PNL!E1102=1,H1102-G1102,""))</f>
        <v/>
      </c>
    </row>
    <row r="1103" spans="8:9" x14ac:dyDescent="0.45">
      <c r="H1103" t="str">
        <f>IF(PNL!A1103="","",_CALC_PNL!P1103)</f>
        <v/>
      </c>
      <c r="I1103" t="str">
        <f>IF(PNL!A1103="","",IF(_CALC_PNL!E1103=1,H1103-G1103,""))</f>
        <v/>
      </c>
    </row>
    <row r="1104" spans="8:9" x14ac:dyDescent="0.45">
      <c r="H1104" t="str">
        <f>IF(PNL!A1104="","",_CALC_PNL!P1104)</f>
        <v/>
      </c>
      <c r="I1104" t="str">
        <f>IF(PNL!A1104="","",IF(_CALC_PNL!E1104=1,H1104-G1104,""))</f>
        <v/>
      </c>
    </row>
    <row r="1105" spans="8:9" x14ac:dyDescent="0.45">
      <c r="H1105" t="str">
        <f>IF(PNL!A1105="","",_CALC_PNL!P1105)</f>
        <v/>
      </c>
      <c r="I1105" t="str">
        <f>IF(PNL!A1105="","",IF(_CALC_PNL!E1105=1,H1105-G1105,""))</f>
        <v/>
      </c>
    </row>
    <row r="1106" spans="8:9" x14ac:dyDescent="0.45">
      <c r="H1106" t="str">
        <f>IF(PNL!A1106="","",_CALC_PNL!P1106)</f>
        <v/>
      </c>
      <c r="I1106" t="str">
        <f>IF(PNL!A1106="","",IF(_CALC_PNL!E1106=1,H1106-G1106,""))</f>
        <v/>
      </c>
    </row>
    <row r="1107" spans="8:9" x14ac:dyDescent="0.45">
      <c r="H1107" t="str">
        <f>IF(PNL!A1107="","",_CALC_PNL!P1107)</f>
        <v/>
      </c>
      <c r="I1107" t="str">
        <f>IF(PNL!A1107="","",IF(_CALC_PNL!E1107=1,H1107-G1107,""))</f>
        <v/>
      </c>
    </row>
    <row r="1108" spans="8:9" x14ac:dyDescent="0.45">
      <c r="H1108" t="str">
        <f>IF(PNL!A1108="","",_CALC_PNL!P1108)</f>
        <v/>
      </c>
      <c r="I1108" t="str">
        <f>IF(PNL!A1108="","",IF(_CALC_PNL!E1108=1,H1108-G1108,""))</f>
        <v/>
      </c>
    </row>
    <row r="1109" spans="8:9" x14ac:dyDescent="0.45">
      <c r="H1109" t="str">
        <f>IF(PNL!A1109="","",_CALC_PNL!P1109)</f>
        <v/>
      </c>
      <c r="I1109" t="str">
        <f>IF(PNL!A1109="","",IF(_CALC_PNL!E1109=1,H1109-G1109,""))</f>
        <v/>
      </c>
    </row>
    <row r="1110" spans="8:9" x14ac:dyDescent="0.45">
      <c r="H1110" t="str">
        <f>IF(PNL!A1110="","",_CALC_PNL!P1110)</f>
        <v/>
      </c>
      <c r="I1110" t="str">
        <f>IF(PNL!A1110="","",IF(_CALC_PNL!E1110=1,H1110-G1110,""))</f>
        <v/>
      </c>
    </row>
    <row r="1111" spans="8:9" x14ac:dyDescent="0.45">
      <c r="H1111" t="str">
        <f>IF(PNL!A1111="","",_CALC_PNL!P1111)</f>
        <v/>
      </c>
      <c r="I1111" t="str">
        <f>IF(PNL!A1111="","",IF(_CALC_PNL!E1111=1,H1111-G1111,""))</f>
        <v/>
      </c>
    </row>
    <row r="1112" spans="8:9" x14ac:dyDescent="0.45">
      <c r="H1112" t="str">
        <f>IF(PNL!A1112="","",_CALC_PNL!P1112)</f>
        <v/>
      </c>
      <c r="I1112" t="str">
        <f>IF(PNL!A1112="","",IF(_CALC_PNL!E1112=1,H1112-G1112,""))</f>
        <v/>
      </c>
    </row>
    <row r="1113" spans="8:9" x14ac:dyDescent="0.45">
      <c r="H1113" t="str">
        <f>IF(PNL!A1113="","",_CALC_PNL!P1113)</f>
        <v/>
      </c>
      <c r="I1113" t="str">
        <f>IF(PNL!A1113="","",IF(_CALC_PNL!E1113=1,H1113-G1113,""))</f>
        <v/>
      </c>
    </row>
    <row r="1114" spans="8:9" x14ac:dyDescent="0.45">
      <c r="H1114" t="str">
        <f>IF(PNL!A1114="","",_CALC_PNL!P1114)</f>
        <v/>
      </c>
      <c r="I1114" t="str">
        <f>IF(PNL!A1114="","",IF(_CALC_PNL!E1114=1,H1114-G1114,""))</f>
        <v/>
      </c>
    </row>
    <row r="1115" spans="8:9" x14ac:dyDescent="0.45">
      <c r="H1115" t="str">
        <f>IF(PNL!A1115="","",_CALC_PNL!P1115)</f>
        <v/>
      </c>
      <c r="I1115" t="str">
        <f>IF(PNL!A1115="","",IF(_CALC_PNL!E1115=1,H1115-G1115,""))</f>
        <v/>
      </c>
    </row>
    <row r="1116" spans="8:9" x14ac:dyDescent="0.45">
      <c r="H1116" t="str">
        <f>IF(PNL!A1116="","",_CALC_PNL!P1116)</f>
        <v/>
      </c>
      <c r="I1116" t="str">
        <f>IF(PNL!A1116="","",IF(_CALC_PNL!E1116=1,H1116-G1116,""))</f>
        <v/>
      </c>
    </row>
    <row r="1117" spans="8:9" x14ac:dyDescent="0.45">
      <c r="H1117" t="str">
        <f>IF(PNL!A1117="","",_CALC_PNL!P1117)</f>
        <v/>
      </c>
      <c r="I1117" t="str">
        <f>IF(PNL!A1117="","",IF(_CALC_PNL!E1117=1,H1117-G1117,""))</f>
        <v/>
      </c>
    </row>
    <row r="1118" spans="8:9" x14ac:dyDescent="0.45">
      <c r="H1118" t="str">
        <f>IF(PNL!A1118="","",_CALC_PNL!P1118)</f>
        <v/>
      </c>
      <c r="I1118" t="str">
        <f>IF(PNL!A1118="","",IF(_CALC_PNL!E1118=1,H1118-G1118,""))</f>
        <v/>
      </c>
    </row>
    <row r="1119" spans="8:9" x14ac:dyDescent="0.45">
      <c r="H1119" t="str">
        <f>IF(PNL!A1119="","",_CALC_PNL!P1119)</f>
        <v/>
      </c>
      <c r="I1119" t="str">
        <f>IF(PNL!A1119="","",IF(_CALC_PNL!E1119=1,H1119-G1119,""))</f>
        <v/>
      </c>
    </row>
    <row r="1120" spans="8:9" x14ac:dyDescent="0.45">
      <c r="H1120" t="str">
        <f>IF(PNL!A1120="","",_CALC_PNL!P1120)</f>
        <v/>
      </c>
      <c r="I1120" t="str">
        <f>IF(PNL!A1120="","",IF(_CALC_PNL!E1120=1,H1120-G1120,""))</f>
        <v/>
      </c>
    </row>
    <row r="1121" spans="8:9" x14ac:dyDescent="0.45">
      <c r="H1121" t="str">
        <f>IF(PNL!A1121="","",_CALC_PNL!P1121)</f>
        <v/>
      </c>
      <c r="I1121" t="str">
        <f>IF(PNL!A1121="","",IF(_CALC_PNL!E1121=1,H1121-G1121,""))</f>
        <v/>
      </c>
    </row>
    <row r="1122" spans="8:9" x14ac:dyDescent="0.45">
      <c r="H1122" t="str">
        <f>IF(PNL!A1122="","",_CALC_PNL!P1122)</f>
        <v/>
      </c>
      <c r="I1122" t="str">
        <f>IF(PNL!A1122="","",IF(_CALC_PNL!E1122=1,H1122-G1122,""))</f>
        <v/>
      </c>
    </row>
    <row r="1123" spans="8:9" x14ac:dyDescent="0.45">
      <c r="H1123" t="str">
        <f>IF(PNL!A1123="","",_CALC_PNL!P1123)</f>
        <v/>
      </c>
      <c r="I1123" t="str">
        <f>IF(PNL!A1123="","",IF(_CALC_PNL!E1123=1,H1123-G1123,""))</f>
        <v/>
      </c>
    </row>
    <row r="1124" spans="8:9" x14ac:dyDescent="0.45">
      <c r="H1124" t="str">
        <f>IF(PNL!A1124="","",_CALC_PNL!P1124)</f>
        <v/>
      </c>
      <c r="I1124" t="str">
        <f>IF(PNL!A1124="","",IF(_CALC_PNL!E1124=1,H1124-G1124,""))</f>
        <v/>
      </c>
    </row>
    <row r="1125" spans="8:9" x14ac:dyDescent="0.45">
      <c r="H1125" t="str">
        <f>IF(PNL!A1125="","",_CALC_PNL!P1125)</f>
        <v/>
      </c>
      <c r="I1125" t="str">
        <f>IF(PNL!A1125="","",IF(_CALC_PNL!E1125=1,H1125-G1125,""))</f>
        <v/>
      </c>
    </row>
    <row r="1126" spans="8:9" x14ac:dyDescent="0.45">
      <c r="H1126" t="str">
        <f>IF(PNL!A1126="","",_CALC_PNL!P1126)</f>
        <v/>
      </c>
      <c r="I1126" t="str">
        <f>IF(PNL!A1126="","",IF(_CALC_PNL!E1126=1,H1126-G1126,""))</f>
        <v/>
      </c>
    </row>
    <row r="1127" spans="8:9" x14ac:dyDescent="0.45">
      <c r="H1127" t="str">
        <f>IF(PNL!A1127="","",_CALC_PNL!P1127)</f>
        <v/>
      </c>
      <c r="I1127" t="str">
        <f>IF(PNL!A1127="","",IF(_CALC_PNL!E1127=1,H1127-G1127,""))</f>
        <v/>
      </c>
    </row>
    <row r="1128" spans="8:9" x14ac:dyDescent="0.45">
      <c r="H1128" t="str">
        <f>IF(PNL!A1128="","",_CALC_PNL!P1128)</f>
        <v/>
      </c>
      <c r="I1128" t="str">
        <f>IF(PNL!A1128="","",IF(_CALC_PNL!E1128=1,H1128-G1128,""))</f>
        <v/>
      </c>
    </row>
    <row r="1129" spans="8:9" x14ac:dyDescent="0.45">
      <c r="H1129" t="str">
        <f>IF(PNL!A1129="","",_CALC_PNL!P1129)</f>
        <v/>
      </c>
      <c r="I1129" t="str">
        <f>IF(PNL!A1129="","",IF(_CALC_PNL!E1129=1,H1129-G1129,""))</f>
        <v/>
      </c>
    </row>
    <row r="1130" spans="8:9" x14ac:dyDescent="0.45">
      <c r="H1130" t="str">
        <f>IF(PNL!A1130="","",_CALC_PNL!P1130)</f>
        <v/>
      </c>
      <c r="I1130" t="str">
        <f>IF(PNL!A1130="","",IF(_CALC_PNL!E1130=1,H1130-G1130,""))</f>
        <v/>
      </c>
    </row>
    <row r="1131" spans="8:9" x14ac:dyDescent="0.45">
      <c r="H1131" t="str">
        <f>IF(PNL!A1131="","",_CALC_PNL!P1131)</f>
        <v/>
      </c>
      <c r="I1131" t="str">
        <f>IF(PNL!A1131="","",IF(_CALC_PNL!E1131=1,H1131-G1131,""))</f>
        <v/>
      </c>
    </row>
    <row r="1132" spans="8:9" x14ac:dyDescent="0.45">
      <c r="H1132" t="str">
        <f>IF(PNL!A1132="","",_CALC_PNL!P1132)</f>
        <v/>
      </c>
      <c r="I1132" t="str">
        <f>IF(PNL!A1132="","",IF(_CALC_PNL!E1132=1,H1132-G1132,""))</f>
        <v/>
      </c>
    </row>
    <row r="1133" spans="8:9" x14ac:dyDescent="0.45">
      <c r="H1133" t="str">
        <f>IF(PNL!A1133="","",_CALC_PNL!P1133)</f>
        <v/>
      </c>
      <c r="I1133" t="str">
        <f>IF(PNL!A1133="","",IF(_CALC_PNL!E1133=1,H1133-G1133,""))</f>
        <v/>
      </c>
    </row>
    <row r="1134" spans="8:9" x14ac:dyDescent="0.45">
      <c r="H1134" t="str">
        <f>IF(PNL!A1134="","",_CALC_PNL!P1134)</f>
        <v/>
      </c>
      <c r="I1134" t="str">
        <f>IF(PNL!A1134="","",IF(_CALC_PNL!E1134=1,H1134-G1134,""))</f>
        <v/>
      </c>
    </row>
    <row r="1135" spans="8:9" x14ac:dyDescent="0.45">
      <c r="H1135" t="str">
        <f>IF(PNL!A1135="","",_CALC_PNL!P1135)</f>
        <v/>
      </c>
      <c r="I1135" t="str">
        <f>IF(PNL!A1135="","",IF(_CALC_PNL!E1135=1,H1135-G1135,""))</f>
        <v/>
      </c>
    </row>
    <row r="1136" spans="8:9" x14ac:dyDescent="0.45">
      <c r="H1136" t="str">
        <f>IF(PNL!A1136="","",_CALC_PNL!P1136)</f>
        <v/>
      </c>
      <c r="I1136" t="str">
        <f>IF(PNL!A1136="","",IF(_CALC_PNL!E1136=1,H1136-G1136,""))</f>
        <v/>
      </c>
    </row>
    <row r="1137" spans="8:9" x14ac:dyDescent="0.45">
      <c r="H1137" t="str">
        <f>IF(PNL!A1137="","",_CALC_PNL!P1137)</f>
        <v/>
      </c>
      <c r="I1137" t="str">
        <f>IF(PNL!A1137="","",IF(_CALC_PNL!E1137=1,H1137-G1137,""))</f>
        <v/>
      </c>
    </row>
    <row r="1138" spans="8:9" x14ac:dyDescent="0.45">
      <c r="H1138" t="str">
        <f>IF(PNL!A1138="","",_CALC_PNL!P1138)</f>
        <v/>
      </c>
      <c r="I1138" t="str">
        <f>IF(PNL!A1138="","",IF(_CALC_PNL!E1138=1,H1138-G1138,""))</f>
        <v/>
      </c>
    </row>
    <row r="1139" spans="8:9" x14ac:dyDescent="0.45">
      <c r="H1139" t="str">
        <f>IF(PNL!A1139="","",_CALC_PNL!P1139)</f>
        <v/>
      </c>
      <c r="I1139" t="str">
        <f>IF(PNL!A1139="","",IF(_CALC_PNL!E1139=1,H1139-G1139,""))</f>
        <v/>
      </c>
    </row>
    <row r="1140" spans="8:9" x14ac:dyDescent="0.45">
      <c r="H1140" t="str">
        <f>IF(PNL!A1140="","",_CALC_PNL!P1140)</f>
        <v/>
      </c>
      <c r="I1140" t="str">
        <f>IF(PNL!A1140="","",IF(_CALC_PNL!E1140=1,H1140-G1140,""))</f>
        <v/>
      </c>
    </row>
    <row r="1141" spans="8:9" x14ac:dyDescent="0.45">
      <c r="H1141" t="str">
        <f>IF(PNL!A1141="","",_CALC_PNL!P1141)</f>
        <v/>
      </c>
      <c r="I1141" t="str">
        <f>IF(PNL!A1141="","",IF(_CALC_PNL!E1141=1,H1141-G1141,""))</f>
        <v/>
      </c>
    </row>
    <row r="1142" spans="8:9" x14ac:dyDescent="0.45">
      <c r="H1142" t="str">
        <f>IF(PNL!A1142="","",_CALC_PNL!P1142)</f>
        <v/>
      </c>
      <c r="I1142" t="str">
        <f>IF(PNL!A1142="","",IF(_CALC_PNL!E1142=1,H1142-G1142,""))</f>
        <v/>
      </c>
    </row>
    <row r="1143" spans="8:9" x14ac:dyDescent="0.45">
      <c r="H1143" t="str">
        <f>IF(PNL!A1143="","",_CALC_PNL!P1143)</f>
        <v/>
      </c>
      <c r="I1143" t="str">
        <f>IF(PNL!A1143="","",IF(_CALC_PNL!E1143=1,H1143-G1143,""))</f>
        <v/>
      </c>
    </row>
    <row r="1144" spans="8:9" x14ac:dyDescent="0.45">
      <c r="H1144" t="str">
        <f>IF(PNL!A1144="","",_CALC_PNL!P1144)</f>
        <v/>
      </c>
      <c r="I1144" t="str">
        <f>IF(PNL!A1144="","",IF(_CALC_PNL!E1144=1,H1144-G1144,""))</f>
        <v/>
      </c>
    </row>
    <row r="1145" spans="8:9" x14ac:dyDescent="0.45">
      <c r="H1145" t="str">
        <f>IF(PNL!A1145="","",_CALC_PNL!P1145)</f>
        <v/>
      </c>
      <c r="I1145" t="str">
        <f>IF(PNL!A1145="","",IF(_CALC_PNL!E1145=1,H1145-G1145,""))</f>
        <v/>
      </c>
    </row>
    <row r="1146" spans="8:9" x14ac:dyDescent="0.45">
      <c r="H1146" t="str">
        <f>IF(PNL!A1146="","",_CALC_PNL!P1146)</f>
        <v/>
      </c>
      <c r="I1146" t="str">
        <f>IF(PNL!A1146="","",IF(_CALC_PNL!E1146=1,H1146-G1146,""))</f>
        <v/>
      </c>
    </row>
    <row r="1147" spans="8:9" x14ac:dyDescent="0.45">
      <c r="H1147" t="str">
        <f>IF(PNL!A1147="","",_CALC_PNL!P1147)</f>
        <v/>
      </c>
      <c r="I1147" t="str">
        <f>IF(PNL!A1147="","",IF(_CALC_PNL!E1147=1,H1147-G1147,""))</f>
        <v/>
      </c>
    </row>
    <row r="1148" spans="8:9" x14ac:dyDescent="0.45">
      <c r="H1148" t="str">
        <f>IF(PNL!A1148="","",_CALC_PNL!P1148)</f>
        <v/>
      </c>
      <c r="I1148" t="str">
        <f>IF(PNL!A1148="","",IF(_CALC_PNL!E1148=1,H1148-G1148,""))</f>
        <v/>
      </c>
    </row>
    <row r="1149" spans="8:9" x14ac:dyDescent="0.45">
      <c r="H1149" t="str">
        <f>IF(PNL!A1149="","",_CALC_PNL!P1149)</f>
        <v/>
      </c>
      <c r="I1149" t="str">
        <f>IF(PNL!A1149="","",IF(_CALC_PNL!E1149=1,H1149-G1149,""))</f>
        <v/>
      </c>
    </row>
    <row r="1150" spans="8:9" x14ac:dyDescent="0.45">
      <c r="H1150" t="str">
        <f>IF(PNL!A1150="","",_CALC_PNL!P1150)</f>
        <v/>
      </c>
      <c r="I1150" t="str">
        <f>IF(PNL!A1150="","",IF(_CALC_PNL!E1150=1,H1150-G1150,""))</f>
        <v/>
      </c>
    </row>
    <row r="1151" spans="8:9" x14ac:dyDescent="0.45">
      <c r="H1151" t="str">
        <f>IF(PNL!A1151="","",_CALC_PNL!P1151)</f>
        <v/>
      </c>
      <c r="I1151" t="str">
        <f>IF(PNL!A1151="","",IF(_CALC_PNL!E1151=1,H1151-G1151,""))</f>
        <v/>
      </c>
    </row>
    <row r="1152" spans="8:9" x14ac:dyDescent="0.45">
      <c r="H1152" t="str">
        <f>IF(PNL!A1152="","",_CALC_PNL!P1152)</f>
        <v/>
      </c>
      <c r="I1152" t="str">
        <f>IF(PNL!A1152="","",IF(_CALC_PNL!E1152=1,H1152-G1152,""))</f>
        <v/>
      </c>
    </row>
    <row r="1153" spans="8:9" x14ac:dyDescent="0.45">
      <c r="H1153" t="str">
        <f>IF(PNL!A1153="","",_CALC_PNL!P1153)</f>
        <v/>
      </c>
      <c r="I1153" t="str">
        <f>IF(PNL!A1153="","",IF(_CALC_PNL!E1153=1,H1153-G1153,""))</f>
        <v/>
      </c>
    </row>
    <row r="1154" spans="8:9" x14ac:dyDescent="0.45">
      <c r="H1154" t="str">
        <f>IF(PNL!A1154="","",_CALC_PNL!P1154)</f>
        <v/>
      </c>
      <c r="I1154" t="str">
        <f>IF(PNL!A1154="","",IF(_CALC_PNL!E1154=1,H1154-G1154,""))</f>
        <v/>
      </c>
    </row>
    <row r="1155" spans="8:9" x14ac:dyDescent="0.45">
      <c r="H1155" t="str">
        <f>IF(PNL!A1155="","",_CALC_PNL!P1155)</f>
        <v/>
      </c>
      <c r="I1155" t="str">
        <f>IF(PNL!A1155="","",IF(_CALC_PNL!E1155=1,H1155-G1155,""))</f>
        <v/>
      </c>
    </row>
    <row r="1156" spans="8:9" x14ac:dyDescent="0.45">
      <c r="H1156" t="str">
        <f>IF(PNL!A1156="","",_CALC_PNL!P1156)</f>
        <v/>
      </c>
      <c r="I1156" t="str">
        <f>IF(PNL!A1156="","",IF(_CALC_PNL!E1156=1,H1156-G1156,""))</f>
        <v/>
      </c>
    </row>
    <row r="1157" spans="8:9" x14ac:dyDescent="0.45">
      <c r="H1157" t="str">
        <f>IF(PNL!A1157="","",_CALC_PNL!P1157)</f>
        <v/>
      </c>
      <c r="I1157" t="str">
        <f>IF(PNL!A1157="","",IF(_CALC_PNL!E1157=1,H1157-G1157,""))</f>
        <v/>
      </c>
    </row>
    <row r="1158" spans="8:9" x14ac:dyDescent="0.45">
      <c r="H1158" t="str">
        <f>IF(PNL!A1158="","",_CALC_PNL!P1158)</f>
        <v/>
      </c>
      <c r="I1158" t="str">
        <f>IF(PNL!A1158="","",IF(_CALC_PNL!E1158=1,H1158-G1158,""))</f>
        <v/>
      </c>
    </row>
    <row r="1159" spans="8:9" x14ac:dyDescent="0.45">
      <c r="H1159" t="str">
        <f>IF(PNL!A1159="","",_CALC_PNL!P1159)</f>
        <v/>
      </c>
      <c r="I1159" t="str">
        <f>IF(PNL!A1159="","",IF(_CALC_PNL!E1159=1,H1159-G1159,""))</f>
        <v/>
      </c>
    </row>
    <row r="1160" spans="8:9" x14ac:dyDescent="0.45">
      <c r="H1160" t="str">
        <f>IF(PNL!A1160="","",_CALC_PNL!P1160)</f>
        <v/>
      </c>
      <c r="I1160" t="str">
        <f>IF(PNL!A1160="","",IF(_CALC_PNL!E1160=1,H1160-G1160,""))</f>
        <v/>
      </c>
    </row>
    <row r="1161" spans="8:9" x14ac:dyDescent="0.45">
      <c r="H1161" t="str">
        <f>IF(PNL!A1161="","",_CALC_PNL!P1161)</f>
        <v/>
      </c>
      <c r="I1161" t="str">
        <f>IF(PNL!A1161="","",IF(_CALC_PNL!E1161=1,H1161-G1161,""))</f>
        <v/>
      </c>
    </row>
    <row r="1162" spans="8:9" x14ac:dyDescent="0.45">
      <c r="H1162" t="str">
        <f>IF(PNL!A1162="","",_CALC_PNL!P1162)</f>
        <v/>
      </c>
      <c r="I1162" t="str">
        <f>IF(PNL!A1162="","",IF(_CALC_PNL!E1162=1,H1162-G1162,""))</f>
        <v/>
      </c>
    </row>
    <row r="1163" spans="8:9" x14ac:dyDescent="0.45">
      <c r="H1163" t="str">
        <f>IF(PNL!A1163="","",_CALC_PNL!P1163)</f>
        <v/>
      </c>
      <c r="I1163" t="str">
        <f>IF(PNL!A1163="","",IF(_CALC_PNL!E1163=1,H1163-G1163,""))</f>
        <v/>
      </c>
    </row>
    <row r="1164" spans="8:9" x14ac:dyDescent="0.45">
      <c r="H1164" t="str">
        <f>IF(PNL!A1164="","",_CALC_PNL!P1164)</f>
        <v/>
      </c>
      <c r="I1164" t="str">
        <f>IF(PNL!A1164="","",IF(_CALC_PNL!E1164=1,H1164-G1164,""))</f>
        <v/>
      </c>
    </row>
    <row r="1165" spans="8:9" x14ac:dyDescent="0.45">
      <c r="H1165" t="str">
        <f>IF(PNL!A1165="","",_CALC_PNL!P1165)</f>
        <v/>
      </c>
      <c r="I1165" t="str">
        <f>IF(PNL!A1165="","",IF(_CALC_PNL!E1165=1,H1165-G1165,""))</f>
        <v/>
      </c>
    </row>
    <row r="1166" spans="8:9" x14ac:dyDescent="0.45">
      <c r="H1166" t="str">
        <f>IF(PNL!A1166="","",_CALC_PNL!P1166)</f>
        <v/>
      </c>
      <c r="I1166" t="str">
        <f>IF(PNL!A1166="","",IF(_CALC_PNL!E1166=1,H1166-G1166,""))</f>
        <v/>
      </c>
    </row>
    <row r="1167" spans="8:9" x14ac:dyDescent="0.45">
      <c r="H1167" t="str">
        <f>IF(PNL!A1167="","",_CALC_PNL!P1167)</f>
        <v/>
      </c>
      <c r="I1167" t="str">
        <f>IF(PNL!A1167="","",IF(_CALC_PNL!E1167=1,H1167-G1167,""))</f>
        <v/>
      </c>
    </row>
    <row r="1168" spans="8:9" x14ac:dyDescent="0.45">
      <c r="H1168" t="str">
        <f>IF(PNL!A1168="","",_CALC_PNL!P1168)</f>
        <v/>
      </c>
      <c r="I1168" t="str">
        <f>IF(PNL!A1168="","",IF(_CALC_PNL!E1168=1,H1168-G1168,""))</f>
        <v/>
      </c>
    </row>
    <row r="1169" spans="8:9" x14ac:dyDescent="0.45">
      <c r="H1169" t="str">
        <f>IF(PNL!A1169="","",_CALC_PNL!P1169)</f>
        <v/>
      </c>
      <c r="I1169" t="str">
        <f>IF(PNL!A1169="","",IF(_CALC_PNL!E1169=1,H1169-G1169,""))</f>
        <v/>
      </c>
    </row>
    <row r="1170" spans="8:9" x14ac:dyDescent="0.45">
      <c r="H1170" t="str">
        <f>IF(PNL!A1170="","",_CALC_PNL!P1170)</f>
        <v/>
      </c>
      <c r="I1170" t="str">
        <f>IF(PNL!A1170="","",IF(_CALC_PNL!E1170=1,H1170-G1170,""))</f>
        <v/>
      </c>
    </row>
    <row r="1171" spans="8:9" x14ac:dyDescent="0.45">
      <c r="H1171" t="str">
        <f>IF(PNL!A1171="","",_CALC_PNL!P1171)</f>
        <v/>
      </c>
      <c r="I1171" t="str">
        <f>IF(PNL!A1171="","",IF(_CALC_PNL!E1171=1,H1171-G1171,""))</f>
        <v/>
      </c>
    </row>
    <row r="1172" spans="8:9" x14ac:dyDescent="0.45">
      <c r="H1172" t="str">
        <f>IF(PNL!A1172="","",_CALC_PNL!P1172)</f>
        <v/>
      </c>
      <c r="I1172" t="str">
        <f>IF(PNL!A1172="","",IF(_CALC_PNL!E1172=1,H1172-G1172,""))</f>
        <v/>
      </c>
    </row>
    <row r="1173" spans="8:9" x14ac:dyDescent="0.45">
      <c r="H1173" t="str">
        <f>IF(PNL!A1173="","",_CALC_PNL!P1173)</f>
        <v/>
      </c>
      <c r="I1173" t="str">
        <f>IF(PNL!A1173="","",IF(_CALC_PNL!E1173=1,H1173-G1173,""))</f>
        <v/>
      </c>
    </row>
    <row r="1174" spans="8:9" x14ac:dyDescent="0.45">
      <c r="H1174" t="str">
        <f>IF(PNL!A1174="","",_CALC_PNL!P1174)</f>
        <v/>
      </c>
      <c r="I1174" t="str">
        <f>IF(PNL!A1174="","",IF(_CALC_PNL!E1174=1,H1174-G1174,""))</f>
        <v/>
      </c>
    </row>
    <row r="1175" spans="8:9" x14ac:dyDescent="0.45">
      <c r="H1175" t="str">
        <f>IF(PNL!A1175="","",_CALC_PNL!P1175)</f>
        <v/>
      </c>
      <c r="I1175" t="str">
        <f>IF(PNL!A1175="","",IF(_CALC_PNL!E1175=1,H1175-G1175,""))</f>
        <v/>
      </c>
    </row>
    <row r="1176" spans="8:9" x14ac:dyDescent="0.45">
      <c r="H1176" t="str">
        <f>IF(PNL!A1176="","",_CALC_PNL!P1176)</f>
        <v/>
      </c>
      <c r="I1176" t="str">
        <f>IF(PNL!A1176="","",IF(_CALC_PNL!E1176=1,H1176-G1176,""))</f>
        <v/>
      </c>
    </row>
    <row r="1177" spans="8:9" x14ac:dyDescent="0.45">
      <c r="H1177" t="str">
        <f>IF(PNL!A1177="","",_CALC_PNL!P1177)</f>
        <v/>
      </c>
      <c r="I1177" t="str">
        <f>IF(PNL!A1177="","",IF(_CALC_PNL!E1177=1,H1177-G1177,""))</f>
        <v/>
      </c>
    </row>
    <row r="1178" spans="8:9" x14ac:dyDescent="0.45">
      <c r="H1178" t="str">
        <f>IF(PNL!A1178="","",_CALC_PNL!P1178)</f>
        <v/>
      </c>
      <c r="I1178" t="str">
        <f>IF(PNL!A1178="","",IF(_CALC_PNL!E1178=1,H1178-G1178,""))</f>
        <v/>
      </c>
    </row>
    <row r="1179" spans="8:9" x14ac:dyDescent="0.45">
      <c r="H1179" t="str">
        <f>IF(PNL!A1179="","",_CALC_PNL!P1179)</f>
        <v/>
      </c>
      <c r="I1179" t="str">
        <f>IF(PNL!A1179="","",IF(_CALC_PNL!E1179=1,H1179-G1179,""))</f>
        <v/>
      </c>
    </row>
    <row r="1180" spans="8:9" x14ac:dyDescent="0.45">
      <c r="H1180" t="str">
        <f>IF(PNL!A1180="","",_CALC_PNL!P1180)</f>
        <v/>
      </c>
      <c r="I1180" t="str">
        <f>IF(PNL!A1180="","",IF(_CALC_PNL!E1180=1,H1180-G1180,""))</f>
        <v/>
      </c>
    </row>
    <row r="1181" spans="8:9" x14ac:dyDescent="0.45">
      <c r="H1181" t="str">
        <f>IF(PNL!A1181="","",_CALC_PNL!P1181)</f>
        <v/>
      </c>
      <c r="I1181" t="str">
        <f>IF(PNL!A1181="","",IF(_CALC_PNL!E1181=1,H1181-G1181,""))</f>
        <v/>
      </c>
    </row>
    <row r="1182" spans="8:9" x14ac:dyDescent="0.45">
      <c r="H1182" t="str">
        <f>IF(PNL!A1182="","",_CALC_PNL!P1182)</f>
        <v/>
      </c>
      <c r="I1182" t="str">
        <f>IF(PNL!A1182="","",IF(_CALC_PNL!E1182=1,H1182-G1182,""))</f>
        <v/>
      </c>
    </row>
    <row r="1183" spans="8:9" x14ac:dyDescent="0.45">
      <c r="H1183" t="str">
        <f>IF(PNL!A1183="","",_CALC_PNL!P1183)</f>
        <v/>
      </c>
      <c r="I1183" t="str">
        <f>IF(PNL!A1183="","",IF(_CALC_PNL!E1183=1,H1183-G1183,""))</f>
        <v/>
      </c>
    </row>
    <row r="1184" spans="8:9" x14ac:dyDescent="0.45">
      <c r="H1184" t="str">
        <f>IF(PNL!A1184="","",_CALC_PNL!P1184)</f>
        <v/>
      </c>
      <c r="I1184" t="str">
        <f>IF(PNL!A1184="","",IF(_CALC_PNL!E1184=1,H1184-G1184,""))</f>
        <v/>
      </c>
    </row>
    <row r="1185" spans="8:9" x14ac:dyDescent="0.45">
      <c r="H1185" t="str">
        <f>IF(PNL!A1185="","",_CALC_PNL!P1185)</f>
        <v/>
      </c>
      <c r="I1185" t="str">
        <f>IF(PNL!A1185="","",IF(_CALC_PNL!E1185=1,H1185-G1185,""))</f>
        <v/>
      </c>
    </row>
    <row r="1186" spans="8:9" x14ac:dyDescent="0.45">
      <c r="H1186" t="str">
        <f>IF(PNL!A1186="","",_CALC_PNL!P1186)</f>
        <v/>
      </c>
      <c r="I1186" t="str">
        <f>IF(PNL!A1186="","",IF(_CALC_PNL!E1186=1,H1186-G1186,""))</f>
        <v/>
      </c>
    </row>
    <row r="1187" spans="8:9" x14ac:dyDescent="0.45">
      <c r="H1187" t="str">
        <f>IF(PNL!A1187="","",_CALC_PNL!P1187)</f>
        <v/>
      </c>
      <c r="I1187" t="str">
        <f>IF(PNL!A1187="","",IF(_CALC_PNL!E1187=1,H1187-G1187,""))</f>
        <v/>
      </c>
    </row>
    <row r="1188" spans="8:9" x14ac:dyDescent="0.45">
      <c r="H1188" t="str">
        <f>IF(PNL!A1188="","",_CALC_PNL!P1188)</f>
        <v/>
      </c>
      <c r="I1188" t="str">
        <f>IF(PNL!A1188="","",IF(_CALC_PNL!E1188=1,H1188-G1188,""))</f>
        <v/>
      </c>
    </row>
    <row r="1189" spans="8:9" x14ac:dyDescent="0.45">
      <c r="H1189" t="str">
        <f>IF(PNL!A1189="","",_CALC_PNL!P1189)</f>
        <v/>
      </c>
      <c r="I1189" t="str">
        <f>IF(PNL!A1189="","",IF(_CALC_PNL!E1189=1,H1189-G1189,""))</f>
        <v/>
      </c>
    </row>
    <row r="1190" spans="8:9" x14ac:dyDescent="0.45">
      <c r="H1190" t="str">
        <f>IF(PNL!A1190="","",_CALC_PNL!P1190)</f>
        <v/>
      </c>
      <c r="I1190" t="str">
        <f>IF(PNL!A1190="","",IF(_CALC_PNL!E1190=1,H1190-G1190,""))</f>
        <v/>
      </c>
    </row>
    <row r="1191" spans="8:9" x14ac:dyDescent="0.45">
      <c r="H1191" t="str">
        <f>IF(PNL!A1191="","",_CALC_PNL!P1191)</f>
        <v/>
      </c>
      <c r="I1191" t="str">
        <f>IF(PNL!A1191="","",IF(_CALC_PNL!E1191=1,H1191-G1191,""))</f>
        <v/>
      </c>
    </row>
    <row r="1192" spans="8:9" x14ac:dyDescent="0.45">
      <c r="H1192" t="str">
        <f>IF(PNL!A1192="","",_CALC_PNL!P1192)</f>
        <v/>
      </c>
      <c r="I1192" t="str">
        <f>IF(PNL!A1192="","",IF(_CALC_PNL!E1192=1,H1192-G1192,""))</f>
        <v/>
      </c>
    </row>
    <row r="1193" spans="8:9" x14ac:dyDescent="0.45">
      <c r="H1193" t="str">
        <f>IF(PNL!A1193="","",_CALC_PNL!P1193)</f>
        <v/>
      </c>
      <c r="I1193" t="str">
        <f>IF(PNL!A1193="","",IF(_CALC_PNL!E1193=1,H1193-G1193,""))</f>
        <v/>
      </c>
    </row>
    <row r="1194" spans="8:9" x14ac:dyDescent="0.45">
      <c r="H1194" t="str">
        <f>IF(PNL!A1194="","",_CALC_PNL!P1194)</f>
        <v/>
      </c>
      <c r="I1194" t="str">
        <f>IF(PNL!A1194="","",IF(_CALC_PNL!E1194=1,H1194-G1194,""))</f>
        <v/>
      </c>
    </row>
    <row r="1195" spans="8:9" x14ac:dyDescent="0.45">
      <c r="H1195" t="str">
        <f>IF(PNL!A1195="","",_CALC_PNL!P1195)</f>
        <v/>
      </c>
      <c r="I1195" t="str">
        <f>IF(PNL!A1195="","",IF(_CALC_PNL!E1195=1,H1195-G1195,""))</f>
        <v/>
      </c>
    </row>
    <row r="1196" spans="8:9" x14ac:dyDescent="0.45">
      <c r="H1196" t="str">
        <f>IF(PNL!A1196="","",_CALC_PNL!P1196)</f>
        <v/>
      </c>
      <c r="I1196" t="str">
        <f>IF(PNL!A1196="","",IF(_CALC_PNL!E1196=1,H1196-G1196,""))</f>
        <v/>
      </c>
    </row>
    <row r="1197" spans="8:9" x14ac:dyDescent="0.45">
      <c r="H1197" t="str">
        <f>IF(PNL!A1197="","",_CALC_PNL!P1197)</f>
        <v/>
      </c>
      <c r="I1197" t="str">
        <f>IF(PNL!A1197="","",IF(_CALC_PNL!E1197=1,H1197-G1197,""))</f>
        <v/>
      </c>
    </row>
    <row r="1198" spans="8:9" x14ac:dyDescent="0.45">
      <c r="H1198" t="str">
        <f>IF(PNL!A1198="","",_CALC_PNL!P1198)</f>
        <v/>
      </c>
      <c r="I1198" t="str">
        <f>IF(PNL!A1198="","",IF(_CALC_PNL!E1198=1,H1198-G1198,""))</f>
        <v/>
      </c>
    </row>
    <row r="1199" spans="8:9" x14ac:dyDescent="0.45">
      <c r="H1199" t="str">
        <f>IF(PNL!A1199="","",_CALC_PNL!P1199)</f>
        <v/>
      </c>
      <c r="I1199" t="str">
        <f>IF(PNL!A1199="","",IF(_CALC_PNL!E1199=1,H1199-G1199,""))</f>
        <v/>
      </c>
    </row>
    <row r="1200" spans="8:9" x14ac:dyDescent="0.45">
      <c r="H1200" t="str">
        <f>IF(PNL!A1200="","",_CALC_PNL!P1200)</f>
        <v/>
      </c>
      <c r="I1200" t="str">
        <f>IF(PNL!A1200="","",IF(_CALC_PNL!E1200=1,H1200-G1200,""))</f>
        <v/>
      </c>
    </row>
    <row r="1201" spans="8:9" x14ac:dyDescent="0.45">
      <c r="H1201" t="str">
        <f>IF(PNL!A1201="","",_CALC_PNL!P1201)</f>
        <v/>
      </c>
      <c r="I1201" t="str">
        <f>IF(PNL!A1201="","",IF(_CALC_PNL!E1201=1,H1201-G1201,""))</f>
        <v/>
      </c>
    </row>
    <row r="1202" spans="8:9" x14ac:dyDescent="0.45">
      <c r="H1202" t="str">
        <f>IF(PNL!A1202="","",_CALC_PNL!P1202)</f>
        <v/>
      </c>
      <c r="I1202" t="str">
        <f>IF(PNL!A1202="","",IF(_CALC_PNL!E1202=1,H1202-G1202,""))</f>
        <v/>
      </c>
    </row>
    <row r="1203" spans="8:9" x14ac:dyDescent="0.45">
      <c r="H1203" t="str">
        <f>IF(PNL!A1203="","",_CALC_PNL!P1203)</f>
        <v/>
      </c>
      <c r="I1203" t="str">
        <f>IF(PNL!A1203="","",IF(_CALC_PNL!E1203=1,H1203-G1203,""))</f>
        <v/>
      </c>
    </row>
    <row r="1204" spans="8:9" x14ac:dyDescent="0.45">
      <c r="H1204" t="str">
        <f>IF(PNL!A1204="","",_CALC_PNL!P1204)</f>
        <v/>
      </c>
      <c r="I1204" t="str">
        <f>IF(PNL!A1204="","",IF(_CALC_PNL!E1204=1,H1204-G1204,""))</f>
        <v/>
      </c>
    </row>
    <row r="1205" spans="8:9" x14ac:dyDescent="0.45">
      <c r="H1205" t="str">
        <f>IF(PNL!A1205="","",_CALC_PNL!P1205)</f>
        <v/>
      </c>
      <c r="I1205" t="str">
        <f>IF(PNL!A1205="","",IF(_CALC_PNL!E1205=1,H1205-G1205,""))</f>
        <v/>
      </c>
    </row>
    <row r="1206" spans="8:9" x14ac:dyDescent="0.45">
      <c r="H1206" t="str">
        <f>IF(PNL!A1206="","",_CALC_PNL!P1206)</f>
        <v/>
      </c>
      <c r="I1206" t="str">
        <f>IF(PNL!A1206="","",IF(_CALC_PNL!E1206=1,H1206-G1206,""))</f>
        <v/>
      </c>
    </row>
    <row r="1207" spans="8:9" x14ac:dyDescent="0.45">
      <c r="H1207" t="str">
        <f>IF(PNL!A1207="","",_CALC_PNL!P1207)</f>
        <v/>
      </c>
      <c r="I1207" t="str">
        <f>IF(PNL!A1207="","",IF(_CALC_PNL!E1207=1,H1207-G1207,""))</f>
        <v/>
      </c>
    </row>
    <row r="1208" spans="8:9" x14ac:dyDescent="0.45">
      <c r="H1208" t="str">
        <f>IF(PNL!A1208="","",_CALC_PNL!P1208)</f>
        <v/>
      </c>
      <c r="I1208" t="str">
        <f>IF(PNL!A1208="","",IF(_CALC_PNL!E1208=1,H1208-G1208,""))</f>
        <v/>
      </c>
    </row>
    <row r="1209" spans="8:9" x14ac:dyDescent="0.45">
      <c r="H1209" t="str">
        <f>IF(PNL!A1209="","",_CALC_PNL!P1209)</f>
        <v/>
      </c>
      <c r="I1209" t="str">
        <f>IF(PNL!A1209="","",IF(_CALC_PNL!E1209=1,H1209-G1209,""))</f>
        <v/>
      </c>
    </row>
    <row r="1210" spans="8:9" x14ac:dyDescent="0.45">
      <c r="H1210" t="str">
        <f>IF(PNL!A1210="","",_CALC_PNL!P1210)</f>
        <v/>
      </c>
      <c r="I1210" t="str">
        <f>IF(PNL!A1210="","",IF(_CALC_PNL!E1210=1,H1210-G1210,""))</f>
        <v/>
      </c>
    </row>
    <row r="1211" spans="8:9" x14ac:dyDescent="0.45">
      <c r="H1211" t="str">
        <f>IF(PNL!A1211="","",_CALC_PNL!P1211)</f>
        <v/>
      </c>
      <c r="I1211" t="str">
        <f>IF(PNL!A1211="","",IF(_CALC_PNL!E1211=1,H1211-G1211,""))</f>
        <v/>
      </c>
    </row>
    <row r="1212" spans="8:9" x14ac:dyDescent="0.45">
      <c r="H1212" t="str">
        <f>IF(PNL!A1212="","",_CALC_PNL!P1212)</f>
        <v/>
      </c>
      <c r="I1212" t="str">
        <f>IF(PNL!A1212="","",IF(_CALC_PNL!E1212=1,H1212-G1212,""))</f>
        <v/>
      </c>
    </row>
    <row r="1213" spans="8:9" x14ac:dyDescent="0.45">
      <c r="H1213" t="str">
        <f>IF(PNL!A1213="","",_CALC_PNL!P1213)</f>
        <v/>
      </c>
      <c r="I1213" t="str">
        <f>IF(PNL!A1213="","",IF(_CALC_PNL!E1213=1,H1213-G1213,""))</f>
        <v/>
      </c>
    </row>
    <row r="1214" spans="8:9" x14ac:dyDescent="0.45">
      <c r="H1214" t="str">
        <f>IF(PNL!A1214="","",_CALC_PNL!P1214)</f>
        <v/>
      </c>
      <c r="I1214" t="str">
        <f>IF(PNL!A1214="","",IF(_CALC_PNL!E1214=1,H1214-G1214,""))</f>
        <v/>
      </c>
    </row>
    <row r="1215" spans="8:9" x14ac:dyDescent="0.45">
      <c r="H1215" t="str">
        <f>IF(PNL!A1215="","",_CALC_PNL!P1215)</f>
        <v/>
      </c>
      <c r="I1215" t="str">
        <f>IF(PNL!A1215="","",IF(_CALC_PNL!E1215=1,H1215-G1215,""))</f>
        <v/>
      </c>
    </row>
    <row r="1216" spans="8:9" x14ac:dyDescent="0.45">
      <c r="H1216" t="str">
        <f>IF(PNL!A1216="","",_CALC_PNL!P1216)</f>
        <v/>
      </c>
      <c r="I1216" t="str">
        <f>IF(PNL!A1216="","",IF(_CALC_PNL!E1216=1,H1216-G1216,""))</f>
        <v/>
      </c>
    </row>
    <row r="1217" spans="8:9" x14ac:dyDescent="0.45">
      <c r="H1217" t="str">
        <f>IF(PNL!A1217="","",_CALC_PNL!P1217)</f>
        <v/>
      </c>
      <c r="I1217" t="str">
        <f>IF(PNL!A1217="","",IF(_CALC_PNL!E1217=1,H1217-G1217,""))</f>
        <v/>
      </c>
    </row>
    <row r="1218" spans="8:9" x14ac:dyDescent="0.45">
      <c r="H1218" t="str">
        <f>IF(PNL!A1218="","",_CALC_PNL!P1218)</f>
        <v/>
      </c>
      <c r="I1218" t="str">
        <f>IF(PNL!A1218="","",IF(_CALC_PNL!E1218=1,H1218-G1218,""))</f>
        <v/>
      </c>
    </row>
    <row r="1219" spans="8:9" x14ac:dyDescent="0.45">
      <c r="H1219" t="str">
        <f>IF(PNL!A1219="","",_CALC_PNL!P1219)</f>
        <v/>
      </c>
      <c r="I1219" t="str">
        <f>IF(PNL!A1219="","",IF(_CALC_PNL!E1219=1,H1219-G1219,""))</f>
        <v/>
      </c>
    </row>
    <row r="1220" spans="8:9" x14ac:dyDescent="0.45">
      <c r="H1220" t="str">
        <f>IF(PNL!A1220="","",_CALC_PNL!P1220)</f>
        <v/>
      </c>
      <c r="I1220" t="str">
        <f>IF(PNL!A1220="","",IF(_CALC_PNL!E1220=1,H1220-G1220,""))</f>
        <v/>
      </c>
    </row>
    <row r="1221" spans="8:9" x14ac:dyDescent="0.45">
      <c r="H1221" t="str">
        <f>IF(PNL!A1221="","",_CALC_PNL!P1221)</f>
        <v/>
      </c>
      <c r="I1221" t="str">
        <f>IF(PNL!A1221="","",IF(_CALC_PNL!E1221=1,H1221-G1221,""))</f>
        <v/>
      </c>
    </row>
    <row r="1222" spans="8:9" x14ac:dyDescent="0.45">
      <c r="H1222" t="str">
        <f>IF(PNL!A1222="","",_CALC_PNL!P1222)</f>
        <v/>
      </c>
      <c r="I1222" t="str">
        <f>IF(PNL!A1222="","",IF(_CALC_PNL!E1222=1,H1222-G1222,""))</f>
        <v/>
      </c>
    </row>
    <row r="1223" spans="8:9" x14ac:dyDescent="0.45">
      <c r="H1223" t="str">
        <f>IF(PNL!A1223="","",_CALC_PNL!P1223)</f>
        <v/>
      </c>
      <c r="I1223" t="str">
        <f>IF(PNL!A1223="","",IF(_CALC_PNL!E1223=1,H1223-G1223,""))</f>
        <v/>
      </c>
    </row>
    <row r="1224" spans="8:9" x14ac:dyDescent="0.45">
      <c r="H1224" t="str">
        <f>IF(PNL!A1224="","",_CALC_PNL!P1224)</f>
        <v/>
      </c>
      <c r="I1224" t="str">
        <f>IF(PNL!A1224="","",IF(_CALC_PNL!E1224=1,H1224-G1224,""))</f>
        <v/>
      </c>
    </row>
    <row r="1225" spans="8:9" x14ac:dyDescent="0.45">
      <c r="H1225" t="str">
        <f>IF(PNL!A1225="","",_CALC_PNL!P1225)</f>
        <v/>
      </c>
      <c r="I1225" t="str">
        <f>IF(PNL!A1225="","",IF(_CALC_PNL!E1225=1,H1225-G1225,""))</f>
        <v/>
      </c>
    </row>
    <row r="1226" spans="8:9" x14ac:dyDescent="0.45">
      <c r="H1226" t="str">
        <f>IF(PNL!A1226="","",_CALC_PNL!P1226)</f>
        <v/>
      </c>
      <c r="I1226" t="str">
        <f>IF(PNL!A1226="","",IF(_CALC_PNL!E1226=1,H1226-G1226,""))</f>
        <v/>
      </c>
    </row>
    <row r="1227" spans="8:9" x14ac:dyDescent="0.45">
      <c r="H1227" t="str">
        <f>IF(PNL!A1227="","",_CALC_PNL!P1227)</f>
        <v/>
      </c>
      <c r="I1227" t="str">
        <f>IF(PNL!A1227="","",IF(_CALC_PNL!E1227=1,H1227-G1227,""))</f>
        <v/>
      </c>
    </row>
    <row r="1228" spans="8:9" x14ac:dyDescent="0.45">
      <c r="H1228" t="str">
        <f>IF(PNL!A1228="","",_CALC_PNL!P1228)</f>
        <v/>
      </c>
      <c r="I1228" t="str">
        <f>IF(PNL!A1228="","",IF(_CALC_PNL!E1228=1,H1228-G1228,""))</f>
        <v/>
      </c>
    </row>
    <row r="1229" spans="8:9" x14ac:dyDescent="0.45">
      <c r="H1229" t="str">
        <f>IF(PNL!A1229="","",_CALC_PNL!P1229)</f>
        <v/>
      </c>
      <c r="I1229" t="str">
        <f>IF(PNL!A1229="","",IF(_CALC_PNL!E1229=1,H1229-G1229,""))</f>
        <v/>
      </c>
    </row>
    <row r="1230" spans="8:9" x14ac:dyDescent="0.45">
      <c r="H1230" t="str">
        <f>IF(PNL!A1230="","",_CALC_PNL!P1230)</f>
        <v/>
      </c>
      <c r="I1230" t="str">
        <f>IF(PNL!A1230="","",IF(_CALC_PNL!E1230=1,H1230-G1230,""))</f>
        <v/>
      </c>
    </row>
    <row r="1231" spans="8:9" x14ac:dyDescent="0.45">
      <c r="H1231" t="str">
        <f>IF(PNL!A1231="","",_CALC_PNL!P1231)</f>
        <v/>
      </c>
      <c r="I1231" t="str">
        <f>IF(PNL!A1231="","",IF(_CALC_PNL!E1231=1,H1231-G1231,""))</f>
        <v/>
      </c>
    </row>
    <row r="1232" spans="8:9" x14ac:dyDescent="0.45">
      <c r="H1232" t="str">
        <f>IF(PNL!A1232="","",_CALC_PNL!P1232)</f>
        <v/>
      </c>
      <c r="I1232" t="str">
        <f>IF(PNL!A1232="","",IF(_CALC_PNL!E1232=1,H1232-G1232,""))</f>
        <v/>
      </c>
    </row>
    <row r="1233" spans="8:9" x14ac:dyDescent="0.45">
      <c r="H1233" t="str">
        <f>IF(PNL!A1233="","",_CALC_PNL!P1233)</f>
        <v/>
      </c>
      <c r="I1233" t="str">
        <f>IF(PNL!A1233="","",IF(_CALC_PNL!E1233=1,H1233-G1233,""))</f>
        <v/>
      </c>
    </row>
    <row r="1234" spans="8:9" x14ac:dyDescent="0.45">
      <c r="H1234" t="str">
        <f>IF(PNL!A1234="","",_CALC_PNL!P1234)</f>
        <v/>
      </c>
      <c r="I1234" t="str">
        <f>IF(PNL!A1234="","",IF(_CALC_PNL!E1234=1,H1234-G1234,""))</f>
        <v/>
      </c>
    </row>
    <row r="1235" spans="8:9" x14ac:dyDescent="0.45">
      <c r="H1235" t="str">
        <f>IF(PNL!A1235="","",_CALC_PNL!P1235)</f>
        <v/>
      </c>
      <c r="I1235" t="str">
        <f>IF(PNL!A1235="","",IF(_CALC_PNL!E1235=1,H1235-G1235,""))</f>
        <v/>
      </c>
    </row>
    <row r="1236" spans="8:9" x14ac:dyDescent="0.45">
      <c r="H1236" t="str">
        <f>IF(PNL!A1236="","",_CALC_PNL!P1236)</f>
        <v/>
      </c>
      <c r="I1236" t="str">
        <f>IF(PNL!A1236="","",IF(_CALC_PNL!E1236=1,H1236-G1236,""))</f>
        <v/>
      </c>
    </row>
    <row r="1237" spans="8:9" x14ac:dyDescent="0.45">
      <c r="H1237" t="str">
        <f>IF(PNL!A1237="","",_CALC_PNL!P1237)</f>
        <v/>
      </c>
      <c r="I1237" t="str">
        <f>IF(PNL!A1237="","",IF(_CALC_PNL!E1237=1,H1237-G1237,""))</f>
        <v/>
      </c>
    </row>
    <row r="1238" spans="8:9" x14ac:dyDescent="0.45">
      <c r="H1238" t="str">
        <f>IF(PNL!A1238="","",_CALC_PNL!P1238)</f>
        <v/>
      </c>
      <c r="I1238" t="str">
        <f>IF(PNL!A1238="","",IF(_CALC_PNL!E1238=1,H1238-G1238,""))</f>
        <v/>
      </c>
    </row>
    <row r="1239" spans="8:9" x14ac:dyDescent="0.45">
      <c r="H1239" t="str">
        <f>IF(PNL!A1239="","",_CALC_PNL!P1239)</f>
        <v/>
      </c>
      <c r="I1239" t="str">
        <f>IF(PNL!A1239="","",IF(_CALC_PNL!E1239=1,H1239-G1239,""))</f>
        <v/>
      </c>
    </row>
    <row r="1240" spans="8:9" x14ac:dyDescent="0.45">
      <c r="H1240" t="str">
        <f>IF(PNL!A1240="","",_CALC_PNL!P1240)</f>
        <v/>
      </c>
      <c r="I1240" t="str">
        <f>IF(PNL!A1240="","",IF(_CALC_PNL!E1240=1,H1240-G1240,""))</f>
        <v/>
      </c>
    </row>
    <row r="1241" spans="8:9" x14ac:dyDescent="0.45">
      <c r="H1241" t="str">
        <f>IF(PNL!A1241="","",_CALC_PNL!P1241)</f>
        <v/>
      </c>
      <c r="I1241" t="str">
        <f>IF(PNL!A1241="","",IF(_CALC_PNL!E1241=1,H1241-G1241,""))</f>
        <v/>
      </c>
    </row>
    <row r="1242" spans="8:9" x14ac:dyDescent="0.45">
      <c r="H1242" t="str">
        <f>IF(PNL!A1242="","",_CALC_PNL!P1242)</f>
        <v/>
      </c>
      <c r="I1242" t="str">
        <f>IF(PNL!A1242="","",IF(_CALC_PNL!E1242=1,H1242-G1242,""))</f>
        <v/>
      </c>
    </row>
    <row r="1243" spans="8:9" x14ac:dyDescent="0.45">
      <c r="H1243" t="str">
        <f>IF(PNL!A1243="","",_CALC_PNL!P1243)</f>
        <v/>
      </c>
      <c r="I1243" t="str">
        <f>IF(PNL!A1243="","",IF(_CALC_PNL!E1243=1,H1243-G1243,""))</f>
        <v/>
      </c>
    </row>
    <row r="1244" spans="8:9" x14ac:dyDescent="0.45">
      <c r="H1244" t="str">
        <f>IF(PNL!A1244="","",_CALC_PNL!P1244)</f>
        <v/>
      </c>
      <c r="I1244" t="str">
        <f>IF(PNL!A1244="","",IF(_CALC_PNL!E1244=1,H1244-G1244,""))</f>
        <v/>
      </c>
    </row>
    <row r="1245" spans="8:9" x14ac:dyDescent="0.45">
      <c r="H1245" t="str">
        <f>IF(PNL!A1245="","",_CALC_PNL!P1245)</f>
        <v/>
      </c>
      <c r="I1245" t="str">
        <f>IF(PNL!A1245="","",IF(_CALC_PNL!E1245=1,H1245-G1245,""))</f>
        <v/>
      </c>
    </row>
    <row r="1246" spans="8:9" x14ac:dyDescent="0.45">
      <c r="H1246" t="str">
        <f>IF(PNL!A1246="","",_CALC_PNL!P1246)</f>
        <v/>
      </c>
      <c r="I1246" t="str">
        <f>IF(PNL!A1246="","",IF(_CALC_PNL!E1246=1,H1246-G1246,""))</f>
        <v/>
      </c>
    </row>
    <row r="1247" spans="8:9" x14ac:dyDescent="0.45">
      <c r="H1247" t="str">
        <f>IF(PNL!A1247="","",_CALC_PNL!P1247)</f>
        <v/>
      </c>
      <c r="I1247" t="str">
        <f>IF(PNL!A1247="","",IF(_CALC_PNL!E1247=1,H1247-G1247,""))</f>
        <v/>
      </c>
    </row>
    <row r="1248" spans="8:9" x14ac:dyDescent="0.45">
      <c r="H1248" t="str">
        <f>IF(PNL!A1248="","",_CALC_PNL!P1248)</f>
        <v/>
      </c>
      <c r="I1248" t="str">
        <f>IF(PNL!A1248="","",IF(_CALC_PNL!E1248=1,H1248-G1248,""))</f>
        <v/>
      </c>
    </row>
    <row r="1249" spans="8:9" x14ac:dyDescent="0.45">
      <c r="H1249" t="str">
        <f>IF(PNL!A1249="","",_CALC_PNL!P1249)</f>
        <v/>
      </c>
      <c r="I1249" t="str">
        <f>IF(PNL!A1249="","",IF(_CALC_PNL!E1249=1,H1249-G1249,""))</f>
        <v/>
      </c>
    </row>
    <row r="1250" spans="8:9" x14ac:dyDescent="0.45">
      <c r="H1250" t="str">
        <f>IF(PNL!A1250="","",_CALC_PNL!P1250)</f>
        <v/>
      </c>
      <c r="I1250" t="str">
        <f>IF(PNL!A1250="","",IF(_CALC_PNL!E1250=1,H1250-G1250,""))</f>
        <v/>
      </c>
    </row>
    <row r="1251" spans="8:9" x14ac:dyDescent="0.45">
      <c r="H1251" t="str">
        <f>IF(PNL!A1251="","",_CALC_PNL!P1251)</f>
        <v/>
      </c>
      <c r="I1251" t="str">
        <f>IF(PNL!A1251="","",IF(_CALC_PNL!E1251=1,H1251-G1251,""))</f>
        <v/>
      </c>
    </row>
    <row r="1252" spans="8:9" x14ac:dyDescent="0.45">
      <c r="H1252" t="str">
        <f>IF(PNL!A1252="","",_CALC_PNL!P1252)</f>
        <v/>
      </c>
      <c r="I1252" t="str">
        <f>IF(PNL!A1252="","",IF(_CALC_PNL!E1252=1,H1252-G1252,""))</f>
        <v/>
      </c>
    </row>
    <row r="1253" spans="8:9" x14ac:dyDescent="0.45">
      <c r="H1253" t="str">
        <f>IF(PNL!A1253="","",_CALC_PNL!P1253)</f>
        <v/>
      </c>
      <c r="I1253" t="str">
        <f>IF(PNL!A1253="","",IF(_CALC_PNL!E1253=1,H1253-G1253,""))</f>
        <v/>
      </c>
    </row>
    <row r="1254" spans="8:9" x14ac:dyDescent="0.45">
      <c r="H1254" t="str">
        <f>IF(PNL!A1254="","",_CALC_PNL!P1254)</f>
        <v/>
      </c>
      <c r="I1254" t="str">
        <f>IF(PNL!A1254="","",IF(_CALC_PNL!E1254=1,H1254-G1254,""))</f>
        <v/>
      </c>
    </row>
    <row r="1255" spans="8:9" x14ac:dyDescent="0.45">
      <c r="H1255" t="str">
        <f>IF(PNL!A1255="","",_CALC_PNL!P1255)</f>
        <v/>
      </c>
      <c r="I1255" t="str">
        <f>IF(PNL!A1255="","",IF(_CALC_PNL!E1255=1,H1255-G1255,""))</f>
        <v/>
      </c>
    </row>
    <row r="1256" spans="8:9" x14ac:dyDescent="0.45">
      <c r="H1256" t="str">
        <f>IF(PNL!A1256="","",_CALC_PNL!P1256)</f>
        <v/>
      </c>
      <c r="I1256" t="str">
        <f>IF(PNL!A1256="","",IF(_CALC_PNL!E1256=1,H1256-G1256,""))</f>
        <v/>
      </c>
    </row>
    <row r="1257" spans="8:9" x14ac:dyDescent="0.45">
      <c r="H1257" t="str">
        <f>IF(PNL!A1257="","",_CALC_PNL!P1257)</f>
        <v/>
      </c>
      <c r="I1257" t="str">
        <f>IF(PNL!A1257="","",IF(_CALC_PNL!E1257=1,H1257-G1257,""))</f>
        <v/>
      </c>
    </row>
    <row r="1258" spans="8:9" x14ac:dyDescent="0.45">
      <c r="H1258" t="str">
        <f>IF(PNL!A1258="","",_CALC_PNL!P1258)</f>
        <v/>
      </c>
      <c r="I1258" t="str">
        <f>IF(PNL!A1258="","",IF(_CALC_PNL!E1258=1,H1258-G1258,""))</f>
        <v/>
      </c>
    </row>
    <row r="1259" spans="8:9" x14ac:dyDescent="0.45">
      <c r="H1259" t="str">
        <f>IF(PNL!A1259="","",_CALC_PNL!P1259)</f>
        <v/>
      </c>
      <c r="I1259" t="str">
        <f>IF(PNL!A1259="","",IF(_CALC_PNL!E1259=1,H1259-G1259,""))</f>
        <v/>
      </c>
    </row>
    <row r="1260" spans="8:9" x14ac:dyDescent="0.45">
      <c r="H1260" t="str">
        <f>IF(PNL!A1260="","",_CALC_PNL!P1260)</f>
        <v/>
      </c>
      <c r="I1260" t="str">
        <f>IF(PNL!A1260="","",IF(_CALC_PNL!E1260=1,H1260-G1260,""))</f>
        <v/>
      </c>
    </row>
    <row r="1261" spans="8:9" x14ac:dyDescent="0.45">
      <c r="H1261" t="str">
        <f>IF(PNL!A1261="","",_CALC_PNL!P1261)</f>
        <v/>
      </c>
      <c r="I1261" t="str">
        <f>IF(PNL!A1261="","",IF(_CALC_PNL!E1261=1,H1261-G1261,""))</f>
        <v/>
      </c>
    </row>
    <row r="1262" spans="8:9" x14ac:dyDescent="0.45">
      <c r="H1262" t="str">
        <f>IF(PNL!A1262="","",_CALC_PNL!P1262)</f>
        <v/>
      </c>
      <c r="I1262" t="str">
        <f>IF(PNL!A1262="","",IF(_CALC_PNL!E1262=1,H1262-G1262,""))</f>
        <v/>
      </c>
    </row>
    <row r="1263" spans="8:9" x14ac:dyDescent="0.45">
      <c r="H1263" t="str">
        <f>IF(PNL!A1263="","",_CALC_PNL!P1263)</f>
        <v/>
      </c>
      <c r="I1263" t="str">
        <f>IF(PNL!A1263="","",IF(_CALC_PNL!E1263=1,H1263-G1263,""))</f>
        <v/>
      </c>
    </row>
    <row r="1264" spans="8:9" x14ac:dyDescent="0.45">
      <c r="H1264" t="str">
        <f>IF(PNL!A1264="","",_CALC_PNL!P1264)</f>
        <v/>
      </c>
      <c r="I1264" t="str">
        <f>IF(PNL!A1264="","",IF(_CALC_PNL!E1264=1,H1264-G1264,""))</f>
        <v/>
      </c>
    </row>
    <row r="1265" spans="8:9" x14ac:dyDescent="0.45">
      <c r="H1265" t="str">
        <f>IF(PNL!A1265="","",_CALC_PNL!P1265)</f>
        <v/>
      </c>
      <c r="I1265" t="str">
        <f>IF(PNL!A1265="","",IF(_CALC_PNL!E1265=1,H1265-G1265,""))</f>
        <v/>
      </c>
    </row>
    <row r="1266" spans="8:9" x14ac:dyDescent="0.45">
      <c r="H1266" t="str">
        <f>IF(PNL!A1266="","",_CALC_PNL!P1266)</f>
        <v/>
      </c>
      <c r="I1266" t="str">
        <f>IF(PNL!A1266="","",IF(_CALC_PNL!E1266=1,H1266-G1266,""))</f>
        <v/>
      </c>
    </row>
    <row r="1267" spans="8:9" x14ac:dyDescent="0.45">
      <c r="H1267" t="str">
        <f>IF(PNL!A1267="","",_CALC_PNL!P1267)</f>
        <v/>
      </c>
      <c r="I1267" t="str">
        <f>IF(PNL!A1267="","",IF(_CALC_PNL!E1267=1,H1267-G1267,""))</f>
        <v/>
      </c>
    </row>
    <row r="1268" spans="8:9" x14ac:dyDescent="0.45">
      <c r="H1268" t="str">
        <f>IF(PNL!A1268="","",_CALC_PNL!P1268)</f>
        <v/>
      </c>
      <c r="I1268" t="str">
        <f>IF(PNL!A1268="","",IF(_CALC_PNL!E1268=1,H1268-G1268,""))</f>
        <v/>
      </c>
    </row>
    <row r="1269" spans="8:9" x14ac:dyDescent="0.45">
      <c r="H1269" t="str">
        <f>IF(PNL!A1269="","",_CALC_PNL!P1269)</f>
        <v/>
      </c>
      <c r="I1269" t="str">
        <f>IF(PNL!A1269="","",IF(_CALC_PNL!E1269=1,H1269-G1269,""))</f>
        <v/>
      </c>
    </row>
    <row r="1270" spans="8:9" x14ac:dyDescent="0.45">
      <c r="H1270" t="str">
        <f>IF(PNL!A1270="","",_CALC_PNL!P1270)</f>
        <v/>
      </c>
      <c r="I1270" t="str">
        <f>IF(PNL!A1270="","",IF(_CALC_PNL!E1270=1,H1270-G1270,""))</f>
        <v/>
      </c>
    </row>
    <row r="1271" spans="8:9" x14ac:dyDescent="0.45">
      <c r="H1271" t="str">
        <f>IF(PNL!A1271="","",_CALC_PNL!P1271)</f>
        <v/>
      </c>
      <c r="I1271" t="str">
        <f>IF(PNL!A1271="","",IF(_CALC_PNL!E1271=1,H1271-G1271,""))</f>
        <v/>
      </c>
    </row>
    <row r="1272" spans="8:9" x14ac:dyDescent="0.45">
      <c r="H1272" t="str">
        <f>IF(PNL!A1272="","",_CALC_PNL!P1272)</f>
        <v/>
      </c>
      <c r="I1272" t="str">
        <f>IF(PNL!A1272="","",IF(_CALC_PNL!E1272=1,H1272-G1272,""))</f>
        <v/>
      </c>
    </row>
    <row r="1273" spans="8:9" x14ac:dyDescent="0.45">
      <c r="H1273" t="str">
        <f>IF(PNL!A1273="","",_CALC_PNL!P1273)</f>
        <v/>
      </c>
      <c r="I1273" t="str">
        <f>IF(PNL!A1273="","",IF(_CALC_PNL!E1273=1,H1273-G1273,""))</f>
        <v/>
      </c>
    </row>
    <row r="1274" spans="8:9" x14ac:dyDescent="0.45">
      <c r="H1274" t="str">
        <f>IF(PNL!A1274="","",_CALC_PNL!P1274)</f>
        <v/>
      </c>
      <c r="I1274" t="str">
        <f>IF(PNL!A1274="","",IF(_CALC_PNL!E1274=1,H1274-G1274,""))</f>
        <v/>
      </c>
    </row>
    <row r="1275" spans="8:9" x14ac:dyDescent="0.45">
      <c r="H1275" t="str">
        <f>IF(PNL!A1275="","",_CALC_PNL!P1275)</f>
        <v/>
      </c>
      <c r="I1275" t="str">
        <f>IF(PNL!A1275="","",IF(_CALC_PNL!E1275=1,H1275-G1275,""))</f>
        <v/>
      </c>
    </row>
    <row r="1276" spans="8:9" x14ac:dyDescent="0.45">
      <c r="H1276" t="str">
        <f>IF(PNL!A1276="","",_CALC_PNL!P1276)</f>
        <v/>
      </c>
      <c r="I1276" t="str">
        <f>IF(PNL!A1276="","",IF(_CALC_PNL!E1276=1,H1276-G1276,""))</f>
        <v/>
      </c>
    </row>
    <row r="1277" spans="8:9" x14ac:dyDescent="0.45">
      <c r="H1277" t="str">
        <f>IF(PNL!A1277="","",_CALC_PNL!P1277)</f>
        <v/>
      </c>
      <c r="I1277" t="str">
        <f>IF(PNL!A1277="","",IF(_CALC_PNL!E1277=1,H1277-G1277,""))</f>
        <v/>
      </c>
    </row>
    <row r="1278" spans="8:9" x14ac:dyDescent="0.45">
      <c r="H1278" t="str">
        <f>IF(PNL!A1278="","",_CALC_PNL!P1278)</f>
        <v/>
      </c>
      <c r="I1278" t="str">
        <f>IF(PNL!A1278="","",IF(_CALC_PNL!E1278=1,H1278-G1278,""))</f>
        <v/>
      </c>
    </row>
    <row r="1279" spans="8:9" x14ac:dyDescent="0.45">
      <c r="H1279" t="str">
        <f>IF(PNL!A1279="","",_CALC_PNL!P1279)</f>
        <v/>
      </c>
      <c r="I1279" t="str">
        <f>IF(PNL!A1279="","",IF(_CALC_PNL!E1279=1,H1279-G1279,""))</f>
        <v/>
      </c>
    </row>
    <row r="1280" spans="8:9" x14ac:dyDescent="0.45">
      <c r="H1280" t="str">
        <f>IF(PNL!A1280="","",_CALC_PNL!P1280)</f>
        <v/>
      </c>
      <c r="I1280" t="str">
        <f>IF(PNL!A1280="","",IF(_CALC_PNL!E1280=1,H1280-G1280,""))</f>
        <v/>
      </c>
    </row>
    <row r="1281" spans="8:9" x14ac:dyDescent="0.45">
      <c r="H1281" t="str">
        <f>IF(PNL!A1281="","",_CALC_PNL!P1281)</f>
        <v/>
      </c>
      <c r="I1281" t="str">
        <f>IF(PNL!A1281="","",IF(_CALC_PNL!E1281=1,H1281-G1281,""))</f>
        <v/>
      </c>
    </row>
    <row r="1282" spans="8:9" x14ac:dyDescent="0.45">
      <c r="H1282" t="str">
        <f>IF(PNL!A1282="","",_CALC_PNL!P1282)</f>
        <v/>
      </c>
      <c r="I1282" t="str">
        <f>IF(PNL!A1282="","",IF(_CALC_PNL!E1282=1,H1282-G1282,""))</f>
        <v/>
      </c>
    </row>
    <row r="1283" spans="8:9" x14ac:dyDescent="0.45">
      <c r="H1283" t="str">
        <f>IF(PNL!A1283="","",_CALC_PNL!P1283)</f>
        <v/>
      </c>
      <c r="I1283" t="str">
        <f>IF(PNL!A1283="","",IF(_CALC_PNL!E1283=1,H1283-G1283,""))</f>
        <v/>
      </c>
    </row>
    <row r="1284" spans="8:9" x14ac:dyDescent="0.45">
      <c r="H1284" t="str">
        <f>IF(PNL!A1284="","",_CALC_PNL!P1284)</f>
        <v/>
      </c>
      <c r="I1284" t="str">
        <f>IF(PNL!A1284="","",IF(_CALC_PNL!E1284=1,H1284-G1284,""))</f>
        <v/>
      </c>
    </row>
    <row r="1285" spans="8:9" x14ac:dyDescent="0.45">
      <c r="H1285" t="str">
        <f>IF(PNL!A1285="","",_CALC_PNL!P1285)</f>
        <v/>
      </c>
      <c r="I1285" t="str">
        <f>IF(PNL!A1285="","",IF(_CALC_PNL!E1285=1,H1285-G1285,""))</f>
        <v/>
      </c>
    </row>
    <row r="1286" spans="8:9" x14ac:dyDescent="0.45">
      <c r="H1286" t="str">
        <f>IF(PNL!A1286="","",_CALC_PNL!P1286)</f>
        <v/>
      </c>
      <c r="I1286" t="str">
        <f>IF(PNL!A1286="","",IF(_CALC_PNL!E1286=1,H1286-G1286,""))</f>
        <v/>
      </c>
    </row>
    <row r="1287" spans="8:9" x14ac:dyDescent="0.45">
      <c r="H1287" t="str">
        <f>IF(PNL!A1287="","",_CALC_PNL!P1287)</f>
        <v/>
      </c>
      <c r="I1287" t="str">
        <f>IF(PNL!A1287="","",IF(_CALC_PNL!E1287=1,H1287-G1287,""))</f>
        <v/>
      </c>
    </row>
    <row r="1288" spans="8:9" x14ac:dyDescent="0.45">
      <c r="H1288" t="str">
        <f>IF(PNL!A1288="","",_CALC_PNL!P1288)</f>
        <v/>
      </c>
      <c r="I1288" t="str">
        <f>IF(PNL!A1288="","",IF(_CALC_PNL!E1288=1,H1288-G1288,""))</f>
        <v/>
      </c>
    </row>
    <row r="1289" spans="8:9" x14ac:dyDescent="0.45">
      <c r="H1289" t="str">
        <f>IF(PNL!A1289="","",_CALC_PNL!P1289)</f>
        <v/>
      </c>
      <c r="I1289" t="str">
        <f>IF(PNL!A1289="","",IF(_CALC_PNL!E1289=1,H1289-G1289,""))</f>
        <v/>
      </c>
    </row>
    <row r="1290" spans="8:9" x14ac:dyDescent="0.45">
      <c r="H1290" t="str">
        <f>IF(PNL!A1290="","",_CALC_PNL!P1290)</f>
        <v/>
      </c>
      <c r="I1290" t="str">
        <f>IF(PNL!A1290="","",IF(_CALC_PNL!E1290=1,H1290-G1290,""))</f>
        <v/>
      </c>
    </row>
    <row r="1291" spans="8:9" x14ac:dyDescent="0.45">
      <c r="H1291" t="str">
        <f>IF(PNL!A1291="","",_CALC_PNL!P1291)</f>
        <v/>
      </c>
      <c r="I1291" t="str">
        <f>IF(PNL!A1291="","",IF(_CALC_PNL!E1291=1,H1291-G1291,""))</f>
        <v/>
      </c>
    </row>
    <row r="1292" spans="8:9" x14ac:dyDescent="0.45">
      <c r="H1292" t="str">
        <f>IF(PNL!A1292="","",_CALC_PNL!P1292)</f>
        <v/>
      </c>
      <c r="I1292" t="str">
        <f>IF(PNL!A1292="","",IF(_CALC_PNL!E1292=1,H1292-G1292,""))</f>
        <v/>
      </c>
    </row>
    <row r="1293" spans="8:9" x14ac:dyDescent="0.45">
      <c r="H1293" t="str">
        <f>IF(PNL!A1293="","",_CALC_PNL!P1293)</f>
        <v/>
      </c>
      <c r="I1293" t="str">
        <f>IF(PNL!A1293="","",IF(_CALC_PNL!E1293=1,H1293-G1293,""))</f>
        <v/>
      </c>
    </row>
    <row r="1294" spans="8:9" x14ac:dyDescent="0.45">
      <c r="H1294" t="str">
        <f>IF(PNL!A1294="","",_CALC_PNL!P1294)</f>
        <v/>
      </c>
      <c r="I1294" t="str">
        <f>IF(PNL!A1294="","",IF(_CALC_PNL!E1294=1,H1294-G1294,""))</f>
        <v/>
      </c>
    </row>
    <row r="1295" spans="8:9" x14ac:dyDescent="0.45">
      <c r="H1295" t="str">
        <f>IF(PNL!A1295="","",_CALC_PNL!P1295)</f>
        <v/>
      </c>
      <c r="I1295" t="str">
        <f>IF(PNL!A1295="","",IF(_CALC_PNL!E1295=1,H1295-G1295,""))</f>
        <v/>
      </c>
    </row>
    <row r="1296" spans="8:9" x14ac:dyDescent="0.45">
      <c r="H1296" t="str">
        <f>IF(PNL!A1296="","",_CALC_PNL!P1296)</f>
        <v/>
      </c>
      <c r="I1296" t="str">
        <f>IF(PNL!A1296="","",IF(_CALC_PNL!E1296=1,H1296-G1296,""))</f>
        <v/>
      </c>
    </row>
    <row r="1297" spans="8:9" x14ac:dyDescent="0.45">
      <c r="H1297" t="str">
        <f>IF(PNL!A1297="","",_CALC_PNL!P1297)</f>
        <v/>
      </c>
      <c r="I1297" t="str">
        <f>IF(PNL!A1297="","",IF(_CALC_PNL!E1297=1,H1297-G1297,""))</f>
        <v/>
      </c>
    </row>
    <row r="1298" spans="8:9" x14ac:dyDescent="0.45">
      <c r="H1298" t="str">
        <f>IF(PNL!A1298="","",_CALC_PNL!P1298)</f>
        <v/>
      </c>
      <c r="I1298" t="str">
        <f>IF(PNL!A1298="","",IF(_CALC_PNL!E1298=1,H1298-G1298,""))</f>
        <v/>
      </c>
    </row>
    <row r="1299" spans="8:9" x14ac:dyDescent="0.45">
      <c r="H1299" t="str">
        <f>IF(PNL!A1299="","",_CALC_PNL!P1299)</f>
        <v/>
      </c>
      <c r="I1299" t="str">
        <f>IF(PNL!A1299="","",IF(_CALC_PNL!E1299=1,H1299-G1299,""))</f>
        <v/>
      </c>
    </row>
    <row r="1300" spans="8:9" x14ac:dyDescent="0.45">
      <c r="H1300" t="str">
        <f>IF(PNL!A1300="","",_CALC_PNL!P1300)</f>
        <v/>
      </c>
      <c r="I1300" t="str">
        <f>IF(PNL!A1300="","",IF(_CALC_PNL!E1300=1,H1300-G1300,""))</f>
        <v/>
      </c>
    </row>
    <row r="1301" spans="8:9" x14ac:dyDescent="0.45">
      <c r="H1301" t="str">
        <f>IF(PNL!A1301="","",_CALC_PNL!P1301)</f>
        <v/>
      </c>
      <c r="I1301" t="str">
        <f>IF(PNL!A1301="","",IF(_CALC_PNL!E1301=1,H1301-G1301,""))</f>
        <v/>
      </c>
    </row>
    <row r="1302" spans="8:9" x14ac:dyDescent="0.45">
      <c r="H1302" t="str">
        <f>IF(PNL!A1302="","",_CALC_PNL!P1302)</f>
        <v/>
      </c>
      <c r="I1302" t="str">
        <f>IF(PNL!A1302="","",IF(_CALC_PNL!E1302=1,H1302-G1302,""))</f>
        <v/>
      </c>
    </row>
    <row r="1303" spans="8:9" x14ac:dyDescent="0.45">
      <c r="H1303" t="str">
        <f>IF(PNL!A1303="","",_CALC_PNL!P1303)</f>
        <v/>
      </c>
      <c r="I1303" t="str">
        <f>IF(PNL!A1303="","",IF(_CALC_PNL!E1303=1,H1303-G1303,""))</f>
        <v/>
      </c>
    </row>
    <row r="1304" spans="8:9" x14ac:dyDescent="0.45">
      <c r="H1304" t="str">
        <f>IF(PNL!A1304="","",_CALC_PNL!P1304)</f>
        <v/>
      </c>
      <c r="I1304" t="str">
        <f>IF(PNL!A1304="","",IF(_CALC_PNL!E1304=1,H1304-G1304,""))</f>
        <v/>
      </c>
    </row>
    <row r="1305" spans="8:9" x14ac:dyDescent="0.45">
      <c r="H1305" t="str">
        <f>IF(PNL!A1305="","",_CALC_PNL!P1305)</f>
        <v/>
      </c>
      <c r="I1305" t="str">
        <f>IF(PNL!A1305="","",IF(_CALC_PNL!E1305=1,H1305-G1305,""))</f>
        <v/>
      </c>
    </row>
    <row r="1306" spans="8:9" x14ac:dyDescent="0.45">
      <c r="H1306" t="str">
        <f>IF(PNL!A1306="","",_CALC_PNL!P1306)</f>
        <v/>
      </c>
      <c r="I1306" t="str">
        <f>IF(PNL!A1306="","",IF(_CALC_PNL!E1306=1,H1306-G1306,""))</f>
        <v/>
      </c>
    </row>
    <row r="1307" spans="8:9" x14ac:dyDescent="0.45">
      <c r="H1307" t="str">
        <f>IF(PNL!A1307="","",_CALC_PNL!P1307)</f>
        <v/>
      </c>
      <c r="I1307" t="str">
        <f>IF(PNL!A1307="","",IF(_CALC_PNL!E1307=1,H1307-G1307,""))</f>
        <v/>
      </c>
    </row>
    <row r="1308" spans="8:9" x14ac:dyDescent="0.45">
      <c r="H1308" t="str">
        <f>IF(PNL!A1308="","",_CALC_PNL!P1308)</f>
        <v/>
      </c>
      <c r="I1308" t="str">
        <f>IF(PNL!A1308="","",IF(_CALC_PNL!E1308=1,H1308-G1308,""))</f>
        <v/>
      </c>
    </row>
    <row r="1309" spans="8:9" x14ac:dyDescent="0.45">
      <c r="H1309" t="str">
        <f>IF(PNL!A1309="","",_CALC_PNL!P1309)</f>
        <v/>
      </c>
      <c r="I1309" t="str">
        <f>IF(PNL!A1309="","",IF(_CALC_PNL!E1309=1,H1309-G1309,""))</f>
        <v/>
      </c>
    </row>
    <row r="1310" spans="8:9" x14ac:dyDescent="0.45">
      <c r="H1310" t="str">
        <f>IF(PNL!A1310="","",_CALC_PNL!P1310)</f>
        <v/>
      </c>
      <c r="I1310" t="str">
        <f>IF(PNL!A1310="","",IF(_CALC_PNL!E1310=1,H1310-G1310,""))</f>
        <v/>
      </c>
    </row>
    <row r="1311" spans="8:9" x14ac:dyDescent="0.45">
      <c r="H1311" t="str">
        <f>IF(PNL!A1311="","",_CALC_PNL!P1311)</f>
        <v/>
      </c>
      <c r="I1311" t="str">
        <f>IF(PNL!A1311="","",IF(_CALC_PNL!E1311=1,H1311-G1311,""))</f>
        <v/>
      </c>
    </row>
    <row r="1312" spans="8:9" x14ac:dyDescent="0.45">
      <c r="H1312" t="str">
        <f>IF(PNL!A1312="","",_CALC_PNL!P1312)</f>
        <v/>
      </c>
      <c r="I1312" t="str">
        <f>IF(PNL!A1312="","",IF(_CALC_PNL!E1312=1,H1312-G1312,""))</f>
        <v/>
      </c>
    </row>
    <row r="1313" spans="8:9" x14ac:dyDescent="0.45">
      <c r="H1313" t="str">
        <f>IF(PNL!A1313="","",_CALC_PNL!P1313)</f>
        <v/>
      </c>
      <c r="I1313" t="str">
        <f>IF(PNL!A1313="","",IF(_CALC_PNL!E1313=1,H1313-G1313,""))</f>
        <v/>
      </c>
    </row>
    <row r="1314" spans="8:9" x14ac:dyDescent="0.45">
      <c r="H1314" t="str">
        <f>IF(PNL!A1314="","",_CALC_PNL!P1314)</f>
        <v/>
      </c>
      <c r="I1314" t="str">
        <f>IF(PNL!A1314="","",IF(_CALC_PNL!E1314=1,H1314-G1314,""))</f>
        <v/>
      </c>
    </row>
    <row r="1315" spans="8:9" x14ac:dyDescent="0.45">
      <c r="H1315" t="str">
        <f>IF(PNL!A1315="","",_CALC_PNL!P1315)</f>
        <v/>
      </c>
      <c r="I1315" t="str">
        <f>IF(PNL!A1315="","",IF(_CALC_PNL!E1315=1,H1315-G1315,""))</f>
        <v/>
      </c>
    </row>
    <row r="1316" spans="8:9" x14ac:dyDescent="0.45">
      <c r="H1316" t="str">
        <f>IF(PNL!A1316="","",_CALC_PNL!P1316)</f>
        <v/>
      </c>
      <c r="I1316" t="str">
        <f>IF(PNL!A1316="","",IF(_CALC_PNL!E1316=1,H1316-G1316,""))</f>
        <v/>
      </c>
    </row>
    <row r="1317" spans="8:9" x14ac:dyDescent="0.45">
      <c r="H1317" t="str">
        <f>IF(PNL!A1317="","",_CALC_PNL!P1317)</f>
        <v/>
      </c>
      <c r="I1317" t="str">
        <f>IF(PNL!A1317="","",IF(_CALC_PNL!E1317=1,H1317-G1317,""))</f>
        <v/>
      </c>
    </row>
    <row r="1318" spans="8:9" x14ac:dyDescent="0.45">
      <c r="H1318" t="str">
        <f>IF(PNL!A1318="","",_CALC_PNL!P1318)</f>
        <v/>
      </c>
      <c r="I1318" t="str">
        <f>IF(PNL!A1318="","",IF(_CALC_PNL!E1318=1,H1318-G1318,""))</f>
        <v/>
      </c>
    </row>
    <row r="1319" spans="8:9" x14ac:dyDescent="0.45">
      <c r="H1319" t="str">
        <f>IF(PNL!A1319="","",_CALC_PNL!P1319)</f>
        <v/>
      </c>
      <c r="I1319" t="str">
        <f>IF(PNL!A1319="","",IF(_CALC_PNL!E1319=1,H1319-G1319,""))</f>
        <v/>
      </c>
    </row>
    <row r="1320" spans="8:9" x14ac:dyDescent="0.45">
      <c r="H1320" t="str">
        <f>IF(PNL!A1320="","",_CALC_PNL!P1320)</f>
        <v/>
      </c>
      <c r="I1320" t="str">
        <f>IF(PNL!A1320="","",IF(_CALC_PNL!E1320=1,H1320-G1320,""))</f>
        <v/>
      </c>
    </row>
    <row r="1321" spans="8:9" x14ac:dyDescent="0.45">
      <c r="H1321" t="str">
        <f>IF(PNL!A1321="","",_CALC_PNL!P1321)</f>
        <v/>
      </c>
      <c r="I1321" t="str">
        <f>IF(PNL!A1321="","",IF(_CALC_PNL!E1321=1,H1321-G1321,""))</f>
        <v/>
      </c>
    </row>
    <row r="1322" spans="8:9" x14ac:dyDescent="0.45">
      <c r="H1322" t="str">
        <f>IF(PNL!A1322="","",_CALC_PNL!P1322)</f>
        <v/>
      </c>
      <c r="I1322" t="str">
        <f>IF(PNL!A1322="","",IF(_CALC_PNL!E1322=1,H1322-G1322,""))</f>
        <v/>
      </c>
    </row>
    <row r="1323" spans="8:9" x14ac:dyDescent="0.45">
      <c r="H1323" t="str">
        <f>IF(PNL!A1323="","",_CALC_PNL!P1323)</f>
        <v/>
      </c>
      <c r="I1323" t="str">
        <f>IF(PNL!A1323="","",IF(_CALC_PNL!E1323=1,H1323-G1323,""))</f>
        <v/>
      </c>
    </row>
    <row r="1324" spans="8:9" x14ac:dyDescent="0.45">
      <c r="H1324" t="str">
        <f>IF(PNL!A1324="","",_CALC_PNL!P1324)</f>
        <v/>
      </c>
      <c r="I1324" t="str">
        <f>IF(PNL!A1324="","",IF(_CALC_PNL!E1324=1,H1324-G1324,""))</f>
        <v/>
      </c>
    </row>
    <row r="1325" spans="8:9" x14ac:dyDescent="0.45">
      <c r="H1325" t="str">
        <f>IF(PNL!A1325="","",_CALC_PNL!P1325)</f>
        <v/>
      </c>
      <c r="I1325" t="str">
        <f>IF(PNL!A1325="","",IF(_CALC_PNL!E1325=1,H1325-G1325,""))</f>
        <v/>
      </c>
    </row>
    <row r="1326" spans="8:9" x14ac:dyDescent="0.45">
      <c r="H1326" t="str">
        <f>IF(PNL!A1326="","",_CALC_PNL!P1326)</f>
        <v/>
      </c>
      <c r="I1326" t="str">
        <f>IF(PNL!A1326="","",IF(_CALC_PNL!E1326=1,H1326-G1326,""))</f>
        <v/>
      </c>
    </row>
    <row r="1327" spans="8:9" x14ac:dyDescent="0.45">
      <c r="H1327" t="str">
        <f>IF(PNL!A1327="","",_CALC_PNL!P1327)</f>
        <v/>
      </c>
      <c r="I1327" t="str">
        <f>IF(PNL!A1327="","",IF(_CALC_PNL!E1327=1,H1327-G1327,""))</f>
        <v/>
      </c>
    </row>
    <row r="1328" spans="8:9" x14ac:dyDescent="0.45">
      <c r="H1328" t="str">
        <f>IF(PNL!A1328="","",_CALC_PNL!P1328)</f>
        <v/>
      </c>
      <c r="I1328" t="str">
        <f>IF(PNL!A1328="","",IF(_CALC_PNL!E1328=1,H1328-G1328,""))</f>
        <v/>
      </c>
    </row>
    <row r="1329" spans="8:9" x14ac:dyDescent="0.45">
      <c r="H1329" t="str">
        <f>IF(PNL!A1329="","",_CALC_PNL!P1329)</f>
        <v/>
      </c>
      <c r="I1329" t="str">
        <f>IF(PNL!A1329="","",IF(_CALC_PNL!E1329=1,H1329-G1329,""))</f>
        <v/>
      </c>
    </row>
    <row r="1330" spans="8:9" x14ac:dyDescent="0.45">
      <c r="H1330" t="str">
        <f>IF(PNL!A1330="","",_CALC_PNL!P1330)</f>
        <v/>
      </c>
      <c r="I1330" t="str">
        <f>IF(PNL!A1330="","",IF(_CALC_PNL!E1330=1,H1330-G1330,""))</f>
        <v/>
      </c>
    </row>
    <row r="1331" spans="8:9" x14ac:dyDescent="0.45">
      <c r="H1331" t="str">
        <f>IF(PNL!A1331="","",_CALC_PNL!P1331)</f>
        <v/>
      </c>
      <c r="I1331" t="str">
        <f>IF(PNL!A1331="","",IF(_CALC_PNL!E1331=1,H1331-G1331,""))</f>
        <v/>
      </c>
    </row>
    <row r="1332" spans="8:9" x14ac:dyDescent="0.45">
      <c r="H1332" t="str">
        <f>IF(PNL!A1332="","",_CALC_PNL!P1332)</f>
        <v/>
      </c>
      <c r="I1332" t="str">
        <f>IF(PNL!A1332="","",IF(_CALC_PNL!E1332=1,H1332-G1332,""))</f>
        <v/>
      </c>
    </row>
    <row r="1333" spans="8:9" x14ac:dyDescent="0.45">
      <c r="H1333" t="str">
        <f>IF(PNL!A1333="","",_CALC_PNL!P1333)</f>
        <v/>
      </c>
      <c r="I1333" t="str">
        <f>IF(PNL!A1333="","",IF(_CALC_PNL!E1333=1,H1333-G1333,""))</f>
        <v/>
      </c>
    </row>
    <row r="1334" spans="8:9" x14ac:dyDescent="0.45">
      <c r="H1334" t="str">
        <f>IF(PNL!A1334="","",_CALC_PNL!P1334)</f>
        <v/>
      </c>
      <c r="I1334" t="str">
        <f>IF(PNL!A1334="","",IF(_CALC_PNL!E1334=1,H1334-G1334,""))</f>
        <v/>
      </c>
    </row>
    <row r="1335" spans="8:9" x14ac:dyDescent="0.45">
      <c r="H1335" t="str">
        <f>IF(PNL!A1335="","",_CALC_PNL!P1335)</f>
        <v/>
      </c>
      <c r="I1335" t="str">
        <f>IF(PNL!A1335="","",IF(_CALC_PNL!E1335=1,H1335-G1335,""))</f>
        <v/>
      </c>
    </row>
    <row r="1336" spans="8:9" x14ac:dyDescent="0.45">
      <c r="H1336" t="str">
        <f>IF(PNL!A1336="","",_CALC_PNL!P1336)</f>
        <v/>
      </c>
      <c r="I1336" t="str">
        <f>IF(PNL!A1336="","",IF(_CALC_PNL!E1336=1,H1336-G1336,""))</f>
        <v/>
      </c>
    </row>
    <row r="1337" spans="8:9" x14ac:dyDescent="0.45">
      <c r="H1337" t="str">
        <f>IF(PNL!A1337="","",_CALC_PNL!P1337)</f>
        <v/>
      </c>
      <c r="I1337" t="str">
        <f>IF(PNL!A1337="","",IF(_CALC_PNL!E1337=1,H1337-G1337,""))</f>
        <v/>
      </c>
    </row>
    <row r="1338" spans="8:9" x14ac:dyDescent="0.45">
      <c r="H1338" t="str">
        <f>IF(PNL!A1338="","",_CALC_PNL!P1338)</f>
        <v/>
      </c>
      <c r="I1338" t="str">
        <f>IF(PNL!A1338="","",IF(_CALC_PNL!E1338=1,H1338-G1338,""))</f>
        <v/>
      </c>
    </row>
    <row r="1339" spans="8:9" x14ac:dyDescent="0.45">
      <c r="H1339" t="str">
        <f>IF(PNL!A1339="","",_CALC_PNL!P1339)</f>
        <v/>
      </c>
      <c r="I1339" t="str">
        <f>IF(PNL!A1339="","",IF(_CALC_PNL!E1339=1,H1339-G1339,""))</f>
        <v/>
      </c>
    </row>
    <row r="1340" spans="8:9" x14ac:dyDescent="0.45">
      <c r="H1340" t="str">
        <f>IF(PNL!A1340="","",_CALC_PNL!P1340)</f>
        <v/>
      </c>
      <c r="I1340" t="str">
        <f>IF(PNL!A1340="","",IF(_CALC_PNL!E1340=1,H1340-G1340,""))</f>
        <v/>
      </c>
    </row>
    <row r="1341" spans="8:9" x14ac:dyDescent="0.45">
      <c r="H1341" t="str">
        <f>IF(PNL!A1341="","",_CALC_PNL!P1341)</f>
        <v/>
      </c>
      <c r="I1341" t="str">
        <f>IF(PNL!A1341="","",IF(_CALC_PNL!E1341=1,H1341-G1341,""))</f>
        <v/>
      </c>
    </row>
    <row r="1342" spans="8:9" x14ac:dyDescent="0.45">
      <c r="H1342" t="str">
        <f>IF(PNL!A1342="","",_CALC_PNL!P1342)</f>
        <v/>
      </c>
      <c r="I1342" t="str">
        <f>IF(PNL!A1342="","",IF(_CALC_PNL!E1342=1,H1342-G1342,""))</f>
        <v/>
      </c>
    </row>
    <row r="1343" spans="8:9" x14ac:dyDescent="0.45">
      <c r="H1343" t="str">
        <f>IF(PNL!A1343="","",_CALC_PNL!P1343)</f>
        <v/>
      </c>
      <c r="I1343" t="str">
        <f>IF(PNL!A1343="","",IF(_CALC_PNL!E1343=1,H1343-G1343,""))</f>
        <v/>
      </c>
    </row>
    <row r="1344" spans="8:9" x14ac:dyDescent="0.45">
      <c r="H1344" t="str">
        <f>IF(PNL!A1344="","",_CALC_PNL!P1344)</f>
        <v/>
      </c>
      <c r="I1344" t="str">
        <f>IF(PNL!A1344="","",IF(_CALC_PNL!E1344=1,H1344-G1344,""))</f>
        <v/>
      </c>
    </row>
    <row r="1345" spans="8:9" x14ac:dyDescent="0.45">
      <c r="H1345" t="str">
        <f>IF(PNL!A1345="","",_CALC_PNL!P1345)</f>
        <v/>
      </c>
      <c r="I1345" t="str">
        <f>IF(PNL!A1345="","",IF(_CALC_PNL!E1345=1,H1345-G1345,""))</f>
        <v/>
      </c>
    </row>
    <row r="1346" spans="8:9" x14ac:dyDescent="0.45">
      <c r="H1346" t="str">
        <f>IF(PNL!A1346="","",_CALC_PNL!P1346)</f>
        <v/>
      </c>
      <c r="I1346" t="str">
        <f>IF(PNL!A1346="","",IF(_CALC_PNL!E1346=1,H1346-G1346,""))</f>
        <v/>
      </c>
    </row>
    <row r="1347" spans="8:9" x14ac:dyDescent="0.4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topLeftCell="J1" workbookViewId="0">
      <selection activeCell="V2" sqref="V2"/>
    </sheetView>
  </sheetViews>
  <sheetFormatPr baseColWidth="10" defaultColWidth="9.06640625" defaultRowHeight="14.25" x14ac:dyDescent="0.45"/>
  <sheetData>
    <row r="1" spans="1:36" x14ac:dyDescent="0.4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34</v>
      </c>
      <c r="H1" t="s">
        <v>37</v>
      </c>
      <c r="I1" t="s">
        <v>39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44</v>
      </c>
      <c r="P1" t="s">
        <v>45</v>
      </c>
      <c r="Q1" t="s">
        <v>46</v>
      </c>
      <c r="R1" t="s">
        <v>49</v>
      </c>
      <c r="S1" t="s">
        <v>51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56</v>
      </c>
      <c r="AF1" t="s">
        <v>57</v>
      </c>
      <c r="AG1" t="s">
        <v>58</v>
      </c>
      <c r="AH1" t="s">
        <v>42</v>
      </c>
      <c r="AJ1" t="s">
        <v>277</v>
      </c>
    </row>
    <row r="2" spans="1:36" x14ac:dyDescent="0.45">
      <c r="A2">
        <f>IF(Moteur!D2="","",Moteur!D2)</f>
        <v>1000</v>
      </c>
      <c r="B2">
        <f>IF(Moteur!B2="","",Moteur!B2)</f>
        <v>1000</v>
      </c>
      <c r="C2">
        <f>IF(Moteur!F2="","",Moteur!F2)</f>
        <v>1000</v>
      </c>
      <c r="D2">
        <f>IF(Moteur!G2="","",Moteur!G2)</f>
        <v>1000</v>
      </c>
      <c r="E2">
        <f>IF(Moteur!H2="","",Moteur!H2)</f>
        <v>1000</v>
      </c>
      <c r="F2">
        <f>IF(Moteur!E2="","",Moteur!E2)</f>
        <v>1000</v>
      </c>
      <c r="G2" t="e">
        <f>IF($A2="","",SUMIFS([1]Allocation22!$H$1:$H$175,[1]Allocation22!$C$1:$C$175,$A2,[1]Allocation22!$D$1:$D$175,$C2,[1]Allocation22!$E$1:$E$175,$D2,[1]Allocation22!$F$1:$F$175,$E2,[1]Allocation22!$G$1:$G$175,"2026"))</f>
        <v>#VALUE!</v>
      </c>
      <c r="H2">
        <f>IF($A2="","",SUMIFS(Allocation2!$N$1:$N$175,Allocation2!$C$1:$C$175,$A2,Allocation2!$D$1:$D$175,$C2,Allocation2!$E$1:$E$175,$D2,Allocation2!$F$1:$F$175,$E2,Allocation2!$G$1:$G$175,"2026"))</f>
        <v>0</v>
      </c>
      <c r="I2">
        <f>IF($A2="","",SUMIFS(Allocation2!$P$1:$P$175,Allocation2!$C$1:$C$175,$A2,Allocation2!$D$1:$D$175,$C2,Allocation2!$E$1:$E$175,$D2,Allocation2!$F$1:$F$175,$E2,Allocation2!$G$1:$G$175,"2026"))</f>
        <v>0</v>
      </c>
      <c r="J2">
        <f>IF($A2="","",SUMIFS(Allocation2!$W$1:$W$175,Allocation2!$C$1:$C$175,$A2,Allocation2!$D$1:$D$175,$C2,Allocation2!$E$1:$E$175,$D2,Allocation2!$F$1:$F$175,$E2,Allocation2!$G$1:$G$175,"2026"))</f>
        <v>0</v>
      </c>
      <c r="K2">
        <f>IF($A2="","",SUMIFS(Allocation2!$X$1:$X$175,Allocation2!$C$1:$C$175,$A2,Allocation2!$D$1:$D$175,$C2,Allocation2!$E$1:$E$175,$D2,Allocation2!$F$1:$F$175,$E2,Allocation2!$G$1:$G$175,"2026"))</f>
        <v>0</v>
      </c>
      <c r="L2">
        <f>IF($A2="","",SUMIFS(Allocation2!$Y$1:$Y$175,Allocation2!$C$1:$C$175,$A2,Allocation2!$D$1:$D$175,$C2,Allocation2!$E$1:$E$175,$D2,Allocation2!$F$1:$F$175,$E2,Allocation2!$G$1:$G$175,"2026"))</f>
        <v>0</v>
      </c>
      <c r="M2">
        <f>IF($A2="","",SUMIFS(Allocation2!$V$1:$V$175,Allocation2!$C$1:$C$175,$A2,Allocation2!$D$1:$D$175,$C2,Allocation2!$E$1:$E$175,$D2,Allocation2!$F$1:$F$175,$E2,Allocation2!$G$1:$G$175,"2026"))</f>
        <v>0</v>
      </c>
      <c r="N2">
        <f t="shared" ref="N2:N65" si="0">IF($A2="","",IF(OR($D2="B1",$D2="M1",$D2="BTS1"),1,0))</f>
        <v>0</v>
      </c>
      <c r="O2">
        <f>IF($A2="","",SUMIFS(Campagne!$D$1:$D$15,Campagne!$C$1:$C$15,$A2))</f>
        <v>1000</v>
      </c>
      <c r="P2">
        <f>IF($A2="","",SUMIFS(Campagne!$E$1:$E$15,Campagne!$C$1:$C$15,$A2))</f>
        <v>1000</v>
      </c>
      <c r="Q2">
        <f>IF($A2="","",SUMIFS(Campagne!$F$1:$F$15,Campagne!$C$1:$C$15,$A2))</f>
        <v>1000</v>
      </c>
      <c r="R2">
        <f>IF($A2="","",SUMIFS(Campagne!$K$1:$K$15,Campagne!$C$1:$C$15,$A2))</f>
        <v>1000</v>
      </c>
      <c r="S2">
        <f>IF($A2="","",SUMIFS(Campagne!$M$1:$M$15,Campagne!$C$1:$C$15,$A2))</f>
        <v>1000</v>
      </c>
      <c r="T2">
        <f>IF($A2="","",SUMIFS(PIL!$K$15:$K$28,PIL!$A$15:$A$28,$A2)*SUMIFS(PIL!$J$15:$J$28,PIL!$A$15:$A$28,$A2)*(SUM(PIL!$K$15:$K$28)/SUMPRODUCT(PIL!$K$15:$K$28,PIL!$J$15:$J$28)))</f>
        <v>0</v>
      </c>
      <c r="U2">
        <f>IF($A2="","",SUMIFS(PIL!$K$15:$K$28,PIL!$A$15:$A$28,$A2))</f>
        <v>0</v>
      </c>
      <c r="V2">
        <f>IF($A2="","",IF($B2="V01",cad!$C$23,IF($B2="V02",cad!$D$23,cad!$E$23)))</f>
        <v>-0.05</v>
      </c>
      <c r="W2">
        <f>IF($A2="","",IF($B2="V01",cad!$C$24,IF($B2="V02",cad!$D$24,cad!$E$24)))</f>
        <v>-0.05</v>
      </c>
      <c r="X2">
        <f>IF($A2="","",IF($B2="V01",cad!$C$25,IF($B2="V02",cad!$D$25,cad!$E$25)))</f>
        <v>0.02</v>
      </c>
      <c r="Y2">
        <f>IF($A2="","",IF($B2="V01",cad!$C$26,IF($B2="V02",cad!$D$26,cad!$E$26)))</f>
        <v>0</v>
      </c>
      <c r="Z2">
        <f>IF($A2="","",IF($B2="V01",cad!$C$27,IF($B2="V02",cad!$D$27,cad!$E$27)))</f>
        <v>0</v>
      </c>
      <c r="AA2">
        <f>IF($A2="","",IF($B2="V01",cad!$C$28,IF($B2="V02",cad!$D$28,cad!$E$28)))</f>
        <v>-0.01</v>
      </c>
      <c r="AB2">
        <f>IF($A2="","",IF($B2="V01",cad!$C$39,IF($B2="V02",cad!$D$39,cad!$E$39)))</f>
        <v>90</v>
      </c>
      <c r="AC2">
        <f>IF($A2="","",IF($F2="MBWAY",cad!$J$12,IF($F2="ISCOM",cad!$J$13,IF($F2="IPAC",cad!$J$14,IF($F2="PIGIER",cad!$J$15,cad!$J$16)))))</f>
        <v>1.05</v>
      </c>
      <c r="AD2">
        <f t="shared" ref="AD2:AD65" si="1">IF($A2="","",($O2*(1+$W2)^$S2+$P2*IFERROR((($T2/$U2)*(1+$V2))^$R2,0))*IFERROR($G2/$Q2,0)*($J2+$Y2)*$K2*($L2+$Z2))</f>
        <v>0</v>
      </c>
      <c r="AE2">
        <f t="shared" ref="AE2:AE65" si="2">IF($A2="","",IF($N2=1,$AD2,0))</f>
        <v>0</v>
      </c>
      <c r="AF2">
        <f t="shared" ref="AF2:AF65" si="3">IF($A2="","",IF($N2=1,$AD2,$H2*($M2+$AA2)))</f>
        <v>0</v>
      </c>
      <c r="AG2">
        <f t="shared" ref="AG2:AG65" si="4">IF($A2="","",$I2*(1+$X2*$AC2))</f>
        <v>0</v>
      </c>
      <c r="AH2">
        <f t="shared" ref="AH2:AH65" si="5">IF($A2="","",$AF2*$AG2+$AE2*$AB2)</f>
        <v>0</v>
      </c>
    </row>
    <row r="3" spans="1:36" x14ac:dyDescent="0.45">
      <c r="A3" t="str">
        <f>IF(Moteur!D3="","",Moteur!D3)</f>
        <v/>
      </c>
      <c r="B3" t="str">
        <f>IF(Moteur!B3="","",Moteur!B3)</f>
        <v/>
      </c>
      <c r="C3" t="str">
        <f>IF(Moteur!F3="","",Moteur!F3)</f>
        <v/>
      </c>
      <c r="D3" t="str">
        <f>IF(Moteur!G3="","",Moteur!G3)</f>
        <v/>
      </c>
      <c r="E3" t="str">
        <f>IF(Moteur!H3="","",Moteur!H3)</f>
        <v/>
      </c>
      <c r="F3" t="str">
        <f>IF(Moteur!E3="","",Moteur!E3)</f>
        <v/>
      </c>
      <c r="G3" t="str">
        <f>IF($A3="","",SUMIFS(Allocation2!$H$1:$H$175,Allocation2!$C$1:$C$175,$A3,Allocation2!$D$1:$D$175,$C3,Allocation2!$E$1:$E$175,$D3,Allocation2!$F$1:$F$175,$E3,Allocation2!$G$1:$G$175,"2026"))</f>
        <v/>
      </c>
      <c r="H3" t="str">
        <f>IF($A3="","",SUMIFS(Allocation2!$N$1:$N$175,Allocation2!$C$1:$C$175,$A3,Allocation2!$D$1:$D$175,$C3,Allocation2!$E$1:$E$175,$D3,Allocation2!$F$1:$F$175,$E3,Allocation2!$G$1:$G$175,"2026"))</f>
        <v/>
      </c>
      <c r="I3" t="str">
        <f>IF($A3="","",SUMIFS(Allocation2!$P$1:$P$175,Allocation2!$C$1:$C$175,$A3,Allocation2!$D$1:$D$175,$C3,Allocation2!$E$1:$E$175,$D3,Allocation2!$F$1:$F$175,$E3,Allocation2!$G$1:$G$175,"2026"))</f>
        <v/>
      </c>
      <c r="J3" t="str">
        <f>IF($A3="","",SUMIFS(Allocation2!$W$1:$W$175,Allocation2!$C$1:$C$175,$A3,Allocation2!$D$1:$D$175,$C3,Allocation2!$E$1:$E$175,$D3,Allocation2!$F$1:$F$175,$E3,Allocation2!$G$1:$G$175,"2026"))</f>
        <v/>
      </c>
      <c r="K3" t="str">
        <f>IF($A3="","",SUMIFS(Allocation2!$X$1:$X$175,Allocation2!$C$1:$C$175,$A3,Allocation2!$D$1:$D$175,$C3,Allocation2!$E$1:$E$175,$D3,Allocation2!$F$1:$F$175,$E3,Allocation2!$G$1:$G$175,"2026"))</f>
        <v/>
      </c>
      <c r="L3" t="str">
        <f>IF($A3="","",SUMIFS(Allocation2!$Y$1:$Y$175,Allocation2!$C$1:$C$175,$A3,Allocation2!$D$1:$D$175,$C3,Allocation2!$E$1:$E$175,$D3,Allocation2!$F$1:$F$175,$E3,Allocation2!$G$1:$G$175,"2026"))</f>
        <v/>
      </c>
      <c r="M3" t="str">
        <f>IF($A3="","",SUMIFS(Allocation2!$V$1:$V$175,Allocation2!$C$1:$C$175,$A3,Allocation2!$D$1:$D$175,$C3,Allocation2!$E$1:$E$175,$D3,Allocation2!$F$1:$F$175,$E3,Allocation2!$G$1:$G$175,"2026"))</f>
        <v/>
      </c>
      <c r="N3" t="str">
        <f t="shared" si="0"/>
        <v/>
      </c>
      <c r="O3" t="str">
        <f>IF($A3="","",SUMIFS(Campagne!$D$1:$D$15,Campagne!$C$1:$C$15,$A3))</f>
        <v/>
      </c>
      <c r="P3" t="str">
        <f>IF($A3="","",SUMIFS(Campagne!$E$1:$E$15,Campagne!$C$1:$C$15,$A3))</f>
        <v/>
      </c>
      <c r="Q3" t="str">
        <f>IF($A3="","",SUMIFS(Campagne!$F$1:$F$15,Campagne!$C$1:$C$15,$A3))</f>
        <v/>
      </c>
      <c r="R3" t="str">
        <f>IF($A3="","",SUMIFS(Campagne!$K$1:$K$15,Campagne!$C$1:$C$15,$A3))</f>
        <v/>
      </c>
      <c r="S3" t="str">
        <f>IF($A3="","",SUMIFS(Campagne!$M$1:$M$15,Campagne!$C$1:$C$15,$A3))</f>
        <v/>
      </c>
      <c r="T3" t="str">
        <f>IF($A3="","",SUMIFS(PIL!$K$15:$K$28,PIL!$A$15:$A$28,$A3)*SUMIFS(PIL!$J$15:$J$28,PIL!$A$15:$A$28,$A3)*(SUM(PIL!$K$15:$K$28)/SUMPRODUCT(PIL!$K$15:$K$28,PIL!$J$15:$J$28)))</f>
        <v/>
      </c>
      <c r="U3" t="str">
        <f>IF($A3="","",SUMIFS(PIL!$K$15:$K$28,PIL!$A$15:$A$28,$A3))</f>
        <v/>
      </c>
      <c r="V3" t="str">
        <f>IF($A3="","",IF($B3="V01",cad!$C$23,IF($B3="V02",cad!$D$23,cad!$E$23)))</f>
        <v/>
      </c>
      <c r="W3" t="str">
        <f>IF($A3="","",IF($B3="V01",cad!$C$24,IF($B3="V02",cad!$D$24,cad!$E$24)))</f>
        <v/>
      </c>
      <c r="X3" t="str">
        <f>IF($A3="","",IF($B3="V01",cad!$C$25,IF($B3="V02",cad!$D$25,cad!$E$25)))</f>
        <v/>
      </c>
      <c r="Y3" t="str">
        <f>IF($A3="","",IF($B3="V01",cad!$C$26,IF($B3="V02",cad!$D$26,cad!$E$26)))</f>
        <v/>
      </c>
      <c r="Z3" t="str">
        <f>IF($A3="","",IF($B3="V01",cad!$C$27,IF($B3="V02",cad!$D$27,cad!$E$27)))</f>
        <v/>
      </c>
      <c r="AA3" t="str">
        <f>IF($A3="","",IF($B3="V01",cad!$C$28,IF($B3="V02",cad!$D$28,cad!$E$28)))</f>
        <v/>
      </c>
      <c r="AB3" t="str">
        <f>IF($A3="","",IF($B3="V01",cad!$C$39,IF($B3="V02",cad!$D$39,cad!$E$39)))</f>
        <v/>
      </c>
      <c r="AC3" t="str">
        <f>IF($A3="","",IF($F3="MBWAY",cad!$J$12,IF($F3="ISCOM",cad!$J$13,IF($F3="IPAC",cad!$J$14,IF($F3="PIGIER",cad!$J$15,cad!$J$16)))))</f>
        <v/>
      </c>
      <c r="AD3" t="str">
        <f t="shared" si="1"/>
        <v/>
      </c>
      <c r="AE3" t="str">
        <f t="shared" si="2"/>
        <v/>
      </c>
      <c r="AF3" t="str">
        <f t="shared" si="3"/>
        <v/>
      </c>
      <c r="AG3" t="str">
        <f t="shared" si="4"/>
        <v/>
      </c>
      <c r="AH3" t="str">
        <f t="shared" si="5"/>
        <v/>
      </c>
    </row>
    <row r="4" spans="1:36" x14ac:dyDescent="0.45">
      <c r="A4" t="str">
        <f>IF(Moteur!D4="","",Moteur!D4)</f>
        <v/>
      </c>
      <c r="B4" t="str">
        <f>IF(Moteur!B4="","",Moteur!B4)</f>
        <v/>
      </c>
      <c r="C4" t="str">
        <f>IF(Moteur!F4="","",Moteur!F4)</f>
        <v/>
      </c>
      <c r="D4" t="str">
        <f>IF(Moteur!G4="","",Moteur!G4)</f>
        <v/>
      </c>
      <c r="E4" t="str">
        <f>IF(Moteur!H4="","",Moteur!H4)</f>
        <v/>
      </c>
      <c r="F4" t="str">
        <f>IF(Moteur!E4="","",Moteur!E4)</f>
        <v/>
      </c>
      <c r="G4" t="str">
        <f>IF($A4="","",SUMIFS(Allocation2!$H$1:$H$175,Allocation2!$C$1:$C$175,$A4,Allocation2!$D$1:$D$175,$C4,Allocation2!$E$1:$E$175,$D4,Allocation2!$F$1:$F$175,$E4,Allocation2!$G$1:$G$175,"2026"))</f>
        <v/>
      </c>
      <c r="H4" t="str">
        <f>IF($A4="","",SUMIFS(Allocation2!$N$1:$N$175,Allocation2!$C$1:$C$175,$A4,Allocation2!$D$1:$D$175,$C4,Allocation2!$E$1:$E$175,$D4,Allocation2!$F$1:$F$175,$E4,Allocation2!$G$1:$G$175,"2026"))</f>
        <v/>
      </c>
      <c r="I4" t="str">
        <f>IF($A4="","",SUMIFS(Allocation2!$P$1:$P$175,Allocation2!$C$1:$C$175,$A4,Allocation2!$D$1:$D$175,$C4,Allocation2!$E$1:$E$175,$D4,Allocation2!$F$1:$F$175,$E4,Allocation2!$G$1:$G$175,"2026"))</f>
        <v/>
      </c>
      <c r="J4" t="str">
        <f>IF($A4="","",SUMIFS(Allocation2!$W$1:$W$175,Allocation2!$C$1:$C$175,$A4,Allocation2!$D$1:$D$175,$C4,Allocation2!$E$1:$E$175,$D4,Allocation2!$F$1:$F$175,$E4,Allocation2!$G$1:$G$175,"2026"))</f>
        <v/>
      </c>
      <c r="K4" t="str">
        <f>IF($A4="","",SUMIFS(Allocation2!$X$1:$X$175,Allocation2!$C$1:$C$175,$A4,Allocation2!$D$1:$D$175,$C4,Allocation2!$E$1:$E$175,$D4,Allocation2!$F$1:$F$175,$E4,Allocation2!$G$1:$G$175,"2026"))</f>
        <v/>
      </c>
      <c r="L4" t="str">
        <f>IF($A4="","",SUMIFS(Allocation2!$Y$1:$Y$175,Allocation2!$C$1:$C$175,$A4,Allocation2!$D$1:$D$175,$C4,Allocation2!$E$1:$E$175,$D4,Allocation2!$F$1:$F$175,$E4,Allocation2!$G$1:$G$175,"2026"))</f>
        <v/>
      </c>
      <c r="M4" t="str">
        <f>IF($A4="","",SUMIFS(Allocation2!$V$1:$V$175,Allocation2!$C$1:$C$175,$A4,Allocation2!$D$1:$D$175,$C4,Allocation2!$E$1:$E$175,$D4,Allocation2!$F$1:$F$175,$E4,Allocation2!$G$1:$G$175,"2026"))</f>
        <v/>
      </c>
      <c r="N4" t="str">
        <f t="shared" si="0"/>
        <v/>
      </c>
      <c r="O4" t="str">
        <f>IF($A4="","",SUMIFS(Campagne!$D$1:$D$15,Campagne!$C$1:$C$15,$A4))</f>
        <v/>
      </c>
      <c r="P4" t="str">
        <f>IF($A4="","",SUMIFS(Campagne!$E$1:$E$15,Campagne!$C$1:$C$15,$A4))</f>
        <v/>
      </c>
      <c r="Q4" t="str">
        <f>IF($A4="","",SUMIFS(Campagne!$F$1:$F$15,Campagne!$C$1:$C$15,$A4))</f>
        <v/>
      </c>
      <c r="R4" t="str">
        <f>IF($A4="","",SUMIFS(Campagne!$K$1:$K$15,Campagne!$C$1:$C$15,$A4))</f>
        <v/>
      </c>
      <c r="S4" t="str">
        <f>IF($A4="","",SUMIFS(Campagne!$M$1:$M$15,Campagne!$C$1:$C$15,$A4))</f>
        <v/>
      </c>
      <c r="T4" t="str">
        <f>IF($A4="","",SUMIFS(PIL!$K$15:$K$28,PIL!$A$15:$A$28,$A4)*SUMIFS(PIL!$J$15:$J$28,PIL!$A$15:$A$28,$A4)*(SUM(PIL!$K$15:$K$28)/SUMPRODUCT(PIL!$K$15:$K$28,PIL!$J$15:$J$28)))</f>
        <v/>
      </c>
      <c r="U4" t="str">
        <f>IF($A4="","",SUMIFS(PIL!$K$15:$K$28,PIL!$A$15:$A$28,$A4))</f>
        <v/>
      </c>
      <c r="V4" t="str">
        <f>IF($A4="","",IF($B4="V01",cad!$C$23,IF($B4="V02",cad!$D$23,cad!$E$23)))</f>
        <v/>
      </c>
      <c r="W4" t="str">
        <f>IF($A4="","",IF($B4="V01",cad!$C$24,IF($B4="V02",cad!$D$24,cad!$E$24)))</f>
        <v/>
      </c>
      <c r="X4" t="str">
        <f>IF($A4="","",IF($B4="V01",cad!$C$25,IF($B4="V02",cad!$D$25,cad!$E$25)))</f>
        <v/>
      </c>
      <c r="Y4" t="str">
        <f>IF($A4="","",IF($B4="V01",cad!$C$26,IF($B4="V02",cad!$D$26,cad!$E$26)))</f>
        <v/>
      </c>
      <c r="Z4" t="str">
        <f>IF($A4="","",IF($B4="V01",cad!$C$27,IF($B4="V02",cad!$D$27,cad!$E$27)))</f>
        <v/>
      </c>
      <c r="AA4" t="str">
        <f>IF($A4="","",IF($B4="V01",cad!$C$28,IF($B4="V02",cad!$D$28,cad!$E$28)))</f>
        <v/>
      </c>
      <c r="AB4" t="str">
        <f>IF($A4="","",IF($B4="V01",cad!$C$39,IF($B4="V02",cad!$D$39,cad!$E$39)))</f>
        <v/>
      </c>
      <c r="AC4" t="str">
        <f>IF($A4="","",IF($F4="MBWAY",cad!$J$12,IF($F4="ISCOM",cad!$J$13,IF($F4="IPAC",cad!$J$14,IF($F4="PIGIER",cad!$J$15,cad!$J$16)))))</f>
        <v/>
      </c>
      <c r="AD4" t="str">
        <f t="shared" si="1"/>
        <v/>
      </c>
      <c r="AE4" t="str">
        <f t="shared" si="2"/>
        <v/>
      </c>
      <c r="AF4" t="str">
        <f t="shared" si="3"/>
        <v/>
      </c>
      <c r="AG4" t="str">
        <f t="shared" si="4"/>
        <v/>
      </c>
      <c r="AH4" t="str">
        <f t="shared" si="5"/>
        <v/>
      </c>
    </row>
    <row r="5" spans="1:36" x14ac:dyDescent="0.45">
      <c r="A5" t="str">
        <f>IF(Moteur!D5="","",Moteur!D5)</f>
        <v/>
      </c>
      <c r="B5" t="str">
        <f>IF(Moteur!B5="","",Moteur!B5)</f>
        <v/>
      </c>
      <c r="C5" t="str">
        <f>IF(Moteur!F5="","",Moteur!F5)</f>
        <v/>
      </c>
      <c r="D5" t="str">
        <f>IF(Moteur!G5="","",Moteur!G5)</f>
        <v/>
      </c>
      <c r="E5" t="str">
        <f>IF(Moteur!H5="","",Moteur!H5)</f>
        <v/>
      </c>
      <c r="F5" t="str">
        <f>IF(Moteur!E5="","",Moteur!E5)</f>
        <v/>
      </c>
      <c r="G5" t="str">
        <f>IF($A5="","",SUMIFS(Allocation2!$H$1:$H$175,Allocation2!$C$1:$C$175,$A5,Allocation2!$D$1:$D$175,$C5,Allocation2!$E$1:$E$175,$D5,Allocation2!$F$1:$F$175,$E5,Allocation2!$G$1:$G$175,"2026"))</f>
        <v/>
      </c>
      <c r="H5" t="str">
        <f>IF($A5="","",SUMIFS(Allocation2!$N$1:$N$175,Allocation2!$C$1:$C$175,$A5,Allocation2!$D$1:$D$175,$C5,Allocation2!$E$1:$E$175,$D5,Allocation2!$F$1:$F$175,$E5,Allocation2!$G$1:$G$175,"2026"))</f>
        <v/>
      </c>
      <c r="I5" t="str">
        <f>IF($A5="","",SUMIFS(Allocation2!$P$1:$P$175,Allocation2!$C$1:$C$175,$A5,Allocation2!$D$1:$D$175,$C5,Allocation2!$E$1:$E$175,$D5,Allocation2!$F$1:$F$175,$E5,Allocation2!$G$1:$G$175,"2026"))</f>
        <v/>
      </c>
      <c r="J5" t="str">
        <f>IF($A5="","",SUMIFS(Allocation2!$W$1:$W$175,Allocation2!$C$1:$C$175,$A5,Allocation2!$D$1:$D$175,$C5,Allocation2!$E$1:$E$175,$D5,Allocation2!$F$1:$F$175,$E5,Allocation2!$G$1:$G$175,"2026"))</f>
        <v/>
      </c>
      <c r="K5" t="str">
        <f>IF($A5="","",SUMIFS(Allocation2!$X$1:$X$175,Allocation2!$C$1:$C$175,$A5,Allocation2!$D$1:$D$175,$C5,Allocation2!$E$1:$E$175,$D5,Allocation2!$F$1:$F$175,$E5,Allocation2!$G$1:$G$175,"2026"))</f>
        <v/>
      </c>
      <c r="L5" t="str">
        <f>IF($A5="","",SUMIFS(Allocation2!$Y$1:$Y$175,Allocation2!$C$1:$C$175,$A5,Allocation2!$D$1:$D$175,$C5,Allocation2!$E$1:$E$175,$D5,Allocation2!$F$1:$F$175,$E5,Allocation2!$G$1:$G$175,"2026"))</f>
        <v/>
      </c>
      <c r="M5" t="str">
        <f>IF($A5="","",SUMIFS(Allocation2!$V$1:$V$175,Allocation2!$C$1:$C$175,$A5,Allocation2!$D$1:$D$175,$C5,Allocation2!$E$1:$E$175,$D5,Allocation2!$F$1:$F$175,$E5,Allocation2!$G$1:$G$175,"2026"))</f>
        <v/>
      </c>
      <c r="N5" t="str">
        <f t="shared" si="0"/>
        <v/>
      </c>
      <c r="O5" t="str">
        <f>IF($A5="","",SUMIFS(Campagne!$D$1:$D$15,Campagne!$C$1:$C$15,$A5))</f>
        <v/>
      </c>
      <c r="P5" t="str">
        <f>IF($A5="","",SUMIFS(Campagne!$E$1:$E$15,Campagne!$C$1:$C$15,$A5))</f>
        <v/>
      </c>
      <c r="Q5" t="str">
        <f>IF($A5="","",SUMIFS(Campagne!$F$1:$F$15,Campagne!$C$1:$C$15,$A5))</f>
        <v/>
      </c>
      <c r="R5" t="str">
        <f>IF($A5="","",SUMIFS(Campagne!$K$1:$K$15,Campagne!$C$1:$C$15,$A5))</f>
        <v/>
      </c>
      <c r="S5" t="str">
        <f>IF($A5="","",SUMIFS(Campagne!$M$1:$M$15,Campagne!$C$1:$C$15,$A5))</f>
        <v/>
      </c>
      <c r="T5" t="str">
        <f>IF($A5="","",SUMIFS(PIL!$K$15:$K$28,PIL!$A$15:$A$28,$A5)*SUMIFS(PIL!$J$15:$J$28,PIL!$A$15:$A$28,$A5)*(SUM(PIL!$K$15:$K$28)/SUMPRODUCT(PIL!$K$15:$K$28,PIL!$J$15:$J$28)))</f>
        <v/>
      </c>
      <c r="U5" t="str">
        <f>IF($A5="","",SUMIFS(PIL!$K$15:$K$28,PIL!$A$15:$A$28,$A5))</f>
        <v/>
      </c>
      <c r="V5" t="str">
        <f>IF($A5="","",IF($B5="V01",cad!$C$23,IF($B5="V02",cad!$D$23,cad!$E$23)))</f>
        <v/>
      </c>
      <c r="W5" t="str">
        <f>IF($A5="","",IF($B5="V01",cad!$C$24,IF($B5="V02",cad!$D$24,cad!$E$24)))</f>
        <v/>
      </c>
      <c r="X5" t="str">
        <f>IF($A5="","",IF($B5="V01",cad!$C$25,IF($B5="V02",cad!$D$25,cad!$E$25)))</f>
        <v/>
      </c>
      <c r="Y5" t="str">
        <f>IF($A5="","",IF($B5="V01",cad!$C$26,IF($B5="V02",cad!$D$26,cad!$E$26)))</f>
        <v/>
      </c>
      <c r="Z5" t="str">
        <f>IF($A5="","",IF($B5="V01",cad!$C$27,IF($B5="V02",cad!$D$27,cad!$E$27)))</f>
        <v/>
      </c>
      <c r="AA5" t="str">
        <f>IF($A5="","",IF($B5="V01",cad!$C$28,IF($B5="V02",cad!$D$28,cad!$E$28)))</f>
        <v/>
      </c>
      <c r="AB5" t="str">
        <f>IF($A5="","",IF($B5="V01",cad!$C$39,IF($B5="V02",cad!$D$39,cad!$E$39)))</f>
        <v/>
      </c>
      <c r="AC5" t="str">
        <f>IF($A5="","",IF($F5="MBWAY",cad!$J$12,IF($F5="ISCOM",cad!$J$13,IF($F5="IPAC",cad!$J$14,IF($F5="PIGIER",cad!$J$15,cad!$J$16)))))</f>
        <v/>
      </c>
      <c r="AD5" t="str">
        <f t="shared" si="1"/>
        <v/>
      </c>
      <c r="AE5" t="str">
        <f t="shared" si="2"/>
        <v/>
      </c>
      <c r="AF5" t="str">
        <f t="shared" si="3"/>
        <v/>
      </c>
      <c r="AG5" t="str">
        <f t="shared" si="4"/>
        <v/>
      </c>
      <c r="AH5" t="str">
        <f t="shared" si="5"/>
        <v/>
      </c>
    </row>
    <row r="6" spans="1:36" x14ac:dyDescent="0.45">
      <c r="A6" t="str">
        <f>IF(Moteur!D6="","",Moteur!D6)</f>
        <v/>
      </c>
      <c r="B6" t="str">
        <f>IF(Moteur!B6="","",Moteur!B6)</f>
        <v/>
      </c>
      <c r="C6" t="str">
        <f>IF(Moteur!F6="","",Moteur!F6)</f>
        <v/>
      </c>
      <c r="D6" t="str">
        <f>IF(Moteur!G6="","",Moteur!G6)</f>
        <v/>
      </c>
      <c r="E6" t="str">
        <f>IF(Moteur!H6="","",Moteur!H6)</f>
        <v/>
      </c>
      <c r="F6" t="str">
        <f>IF(Moteur!E6="","",Moteur!E6)</f>
        <v/>
      </c>
      <c r="G6" t="str">
        <f>IF($A6="","",SUMIFS(Allocation2!$H$1:$H$175,Allocation2!$C$1:$C$175,$A6,Allocation2!$D$1:$D$175,$C6,Allocation2!$E$1:$E$175,$D6,Allocation2!$F$1:$F$175,$E6,Allocation2!$G$1:$G$175,"2026"))</f>
        <v/>
      </c>
      <c r="H6" t="str">
        <f>IF($A6="","",SUMIFS(Allocation2!$N$1:$N$175,Allocation2!$C$1:$C$175,$A6,Allocation2!$D$1:$D$175,$C6,Allocation2!$E$1:$E$175,$D6,Allocation2!$F$1:$F$175,$E6,Allocation2!$G$1:$G$175,"2026"))</f>
        <v/>
      </c>
      <c r="I6" t="str">
        <f>IF($A6="","",SUMIFS(Allocation2!$P$1:$P$175,Allocation2!$C$1:$C$175,$A6,Allocation2!$D$1:$D$175,$C6,Allocation2!$E$1:$E$175,$D6,Allocation2!$F$1:$F$175,$E6,Allocation2!$G$1:$G$175,"2026"))</f>
        <v/>
      </c>
      <c r="J6" t="str">
        <f>IF($A6="","",SUMIFS(Allocation2!$W$1:$W$175,Allocation2!$C$1:$C$175,$A6,Allocation2!$D$1:$D$175,$C6,Allocation2!$E$1:$E$175,$D6,Allocation2!$F$1:$F$175,$E6,Allocation2!$G$1:$G$175,"2026"))</f>
        <v/>
      </c>
      <c r="K6" t="str">
        <f>IF($A6="","",SUMIFS(Allocation2!$X$1:$X$175,Allocation2!$C$1:$C$175,$A6,Allocation2!$D$1:$D$175,$C6,Allocation2!$E$1:$E$175,$D6,Allocation2!$F$1:$F$175,$E6,Allocation2!$G$1:$G$175,"2026"))</f>
        <v/>
      </c>
      <c r="L6" t="str">
        <f>IF($A6="","",SUMIFS(Allocation2!$Y$1:$Y$175,Allocation2!$C$1:$C$175,$A6,Allocation2!$D$1:$D$175,$C6,Allocation2!$E$1:$E$175,$D6,Allocation2!$F$1:$F$175,$E6,Allocation2!$G$1:$G$175,"2026"))</f>
        <v/>
      </c>
      <c r="M6" t="str">
        <f>IF($A6="","",SUMIFS(Allocation2!$V$1:$V$175,Allocation2!$C$1:$C$175,$A6,Allocation2!$D$1:$D$175,$C6,Allocation2!$E$1:$E$175,$D6,Allocation2!$F$1:$F$175,$E6,Allocation2!$G$1:$G$175,"2026"))</f>
        <v/>
      </c>
      <c r="N6" t="str">
        <f t="shared" si="0"/>
        <v/>
      </c>
      <c r="O6" t="str">
        <f>IF($A6="","",SUMIFS(Campagne!$D$1:$D$15,Campagne!$C$1:$C$15,$A6))</f>
        <v/>
      </c>
      <c r="P6" t="str">
        <f>IF($A6="","",SUMIFS(Campagne!$E$1:$E$15,Campagne!$C$1:$C$15,$A6))</f>
        <v/>
      </c>
      <c r="Q6" t="str">
        <f>IF($A6="","",SUMIFS(Campagne!$F$1:$F$15,Campagne!$C$1:$C$15,$A6))</f>
        <v/>
      </c>
      <c r="R6" t="str">
        <f>IF($A6="","",SUMIFS(Campagne!$K$1:$K$15,Campagne!$C$1:$C$15,$A6))</f>
        <v/>
      </c>
      <c r="S6" t="str">
        <f>IF($A6="","",SUMIFS(Campagne!$M$1:$M$15,Campagne!$C$1:$C$15,$A6))</f>
        <v/>
      </c>
      <c r="T6" t="str">
        <f>IF($A6="","",SUMIFS(PIL!$K$15:$K$28,PIL!$A$15:$A$28,$A6)*SUMIFS(PIL!$J$15:$J$28,PIL!$A$15:$A$28,$A6)*(SUM(PIL!$K$15:$K$28)/SUMPRODUCT(PIL!$K$15:$K$28,PIL!$J$15:$J$28)))</f>
        <v/>
      </c>
      <c r="U6" t="str">
        <f>IF($A6="","",SUMIFS(PIL!$K$15:$K$28,PIL!$A$15:$A$28,$A6))</f>
        <v/>
      </c>
      <c r="V6" t="str">
        <f>IF($A6="","",IF($B6="V01",cad!$C$23,IF($B6="V02",cad!$D$23,cad!$E$23)))</f>
        <v/>
      </c>
      <c r="W6" t="str">
        <f>IF($A6="","",IF($B6="V01",cad!$C$24,IF($B6="V02",cad!$D$24,cad!$E$24)))</f>
        <v/>
      </c>
      <c r="X6" t="str">
        <f>IF($A6="","",IF($B6="V01",cad!$C$25,IF($B6="V02",cad!$D$25,cad!$E$25)))</f>
        <v/>
      </c>
      <c r="Y6" t="str">
        <f>IF($A6="","",IF($B6="V01",cad!$C$26,IF($B6="V02",cad!$D$26,cad!$E$26)))</f>
        <v/>
      </c>
      <c r="Z6" t="str">
        <f>IF($A6="","",IF($B6="V01",cad!$C$27,IF($B6="V02",cad!$D$27,cad!$E$27)))</f>
        <v/>
      </c>
      <c r="AA6" t="str">
        <f>IF($A6="","",IF($B6="V01",cad!$C$28,IF($B6="V02",cad!$D$28,cad!$E$28)))</f>
        <v/>
      </c>
      <c r="AB6" t="str">
        <f>IF($A6="","",IF($B6="V01",cad!$C$39,IF($B6="V02",cad!$D$39,cad!$E$39)))</f>
        <v/>
      </c>
      <c r="AC6" t="str">
        <f>IF($A6="","",IF($F6="MBWAY",cad!$J$12,IF($F6="ISCOM",cad!$J$13,IF($F6="IPAC",cad!$J$14,IF($F6="PIGIER",cad!$J$15,cad!$J$16)))))</f>
        <v/>
      </c>
      <c r="AD6" t="str">
        <f t="shared" si="1"/>
        <v/>
      </c>
      <c r="AE6" t="str">
        <f t="shared" si="2"/>
        <v/>
      </c>
      <c r="AF6" t="str">
        <f t="shared" si="3"/>
        <v/>
      </c>
      <c r="AG6" t="str">
        <f t="shared" si="4"/>
        <v/>
      </c>
      <c r="AH6" t="str">
        <f t="shared" si="5"/>
        <v/>
      </c>
    </row>
    <row r="7" spans="1:36" x14ac:dyDescent="0.45">
      <c r="A7" t="str">
        <f>IF(Moteur!D7="","",Moteur!D7)</f>
        <v/>
      </c>
      <c r="B7" t="str">
        <f>IF(Moteur!B7="","",Moteur!B7)</f>
        <v/>
      </c>
      <c r="C7" t="str">
        <f>IF(Moteur!F7="","",Moteur!F7)</f>
        <v/>
      </c>
      <c r="D7" t="str">
        <f>IF(Moteur!G7="","",Moteur!G7)</f>
        <v/>
      </c>
      <c r="E7" t="str">
        <f>IF(Moteur!H7="","",Moteur!H7)</f>
        <v/>
      </c>
      <c r="F7" t="str">
        <f>IF(Moteur!E7="","",Moteur!E7)</f>
        <v/>
      </c>
      <c r="G7" t="str">
        <f>IF($A7="","",SUMIFS(Allocation2!$H$1:$H$175,Allocation2!$C$1:$C$175,$A7,Allocation2!$D$1:$D$175,$C7,Allocation2!$E$1:$E$175,$D7,Allocation2!$F$1:$F$175,$E7,Allocation2!$G$1:$G$175,"2026"))</f>
        <v/>
      </c>
      <c r="H7" t="str">
        <f>IF($A7="","",SUMIFS(Allocation2!$N$1:$N$175,Allocation2!$C$1:$C$175,$A7,Allocation2!$D$1:$D$175,$C7,Allocation2!$E$1:$E$175,$D7,Allocation2!$F$1:$F$175,$E7,Allocation2!$G$1:$G$175,"2026"))</f>
        <v/>
      </c>
      <c r="I7" t="str">
        <f>IF($A7="","",SUMIFS(Allocation2!$P$1:$P$175,Allocation2!$C$1:$C$175,$A7,Allocation2!$D$1:$D$175,$C7,Allocation2!$E$1:$E$175,$D7,Allocation2!$F$1:$F$175,$E7,Allocation2!$G$1:$G$175,"2026"))</f>
        <v/>
      </c>
      <c r="J7" t="str">
        <f>IF($A7="","",SUMIFS(Allocation2!$W$1:$W$175,Allocation2!$C$1:$C$175,$A7,Allocation2!$D$1:$D$175,$C7,Allocation2!$E$1:$E$175,$D7,Allocation2!$F$1:$F$175,$E7,Allocation2!$G$1:$G$175,"2026"))</f>
        <v/>
      </c>
      <c r="K7" t="str">
        <f>IF($A7="","",SUMIFS(Allocation2!$X$1:$X$175,Allocation2!$C$1:$C$175,$A7,Allocation2!$D$1:$D$175,$C7,Allocation2!$E$1:$E$175,$D7,Allocation2!$F$1:$F$175,$E7,Allocation2!$G$1:$G$175,"2026"))</f>
        <v/>
      </c>
      <c r="L7" t="str">
        <f>IF($A7="","",SUMIFS(Allocation2!$Y$1:$Y$175,Allocation2!$C$1:$C$175,$A7,Allocation2!$D$1:$D$175,$C7,Allocation2!$E$1:$E$175,$D7,Allocation2!$F$1:$F$175,$E7,Allocation2!$G$1:$G$175,"2026"))</f>
        <v/>
      </c>
      <c r="M7" t="str">
        <f>IF($A7="","",SUMIFS(Allocation2!$V$1:$V$175,Allocation2!$C$1:$C$175,$A7,Allocation2!$D$1:$D$175,$C7,Allocation2!$E$1:$E$175,$D7,Allocation2!$F$1:$F$175,$E7,Allocation2!$G$1:$G$175,"2026"))</f>
        <v/>
      </c>
      <c r="N7" t="str">
        <f t="shared" si="0"/>
        <v/>
      </c>
      <c r="O7" t="str">
        <f>IF($A7="","",SUMIFS(Campagne!$D$1:$D$15,Campagne!$C$1:$C$15,$A7))</f>
        <v/>
      </c>
      <c r="P7" t="str">
        <f>IF($A7="","",SUMIFS(Campagne!$E$1:$E$15,Campagne!$C$1:$C$15,$A7))</f>
        <v/>
      </c>
      <c r="Q7" t="str">
        <f>IF($A7="","",SUMIFS(Campagne!$F$1:$F$15,Campagne!$C$1:$C$15,$A7))</f>
        <v/>
      </c>
      <c r="R7" t="str">
        <f>IF($A7="","",SUMIFS(Campagne!$K$1:$K$15,Campagne!$C$1:$C$15,$A7))</f>
        <v/>
      </c>
      <c r="S7" t="str">
        <f>IF($A7="","",SUMIFS(Campagne!$M$1:$M$15,Campagne!$C$1:$C$15,$A7))</f>
        <v/>
      </c>
      <c r="T7" t="str">
        <f>IF($A7="","",SUMIFS(PIL!$K$15:$K$28,PIL!$A$15:$A$28,$A7)*SUMIFS(PIL!$J$15:$J$28,PIL!$A$15:$A$28,$A7)*(SUM(PIL!$K$15:$K$28)/SUMPRODUCT(PIL!$K$15:$K$28,PIL!$J$15:$J$28)))</f>
        <v/>
      </c>
      <c r="U7" t="str">
        <f>IF($A7="","",SUMIFS(PIL!$K$15:$K$28,PIL!$A$15:$A$28,$A7))</f>
        <v/>
      </c>
      <c r="V7" t="str">
        <f>IF($A7="","",IF($B7="V01",cad!$C$23,IF($B7="V02",cad!$D$23,cad!$E$23)))</f>
        <v/>
      </c>
      <c r="W7" t="str">
        <f>IF($A7="","",IF($B7="V01",cad!$C$24,IF($B7="V02",cad!$D$24,cad!$E$24)))</f>
        <v/>
      </c>
      <c r="X7" t="str">
        <f>IF($A7="","",IF($B7="V01",cad!$C$25,IF($B7="V02",cad!$D$25,cad!$E$25)))</f>
        <v/>
      </c>
      <c r="Y7" t="str">
        <f>IF($A7="","",IF($B7="V01",cad!$C$26,IF($B7="V02",cad!$D$26,cad!$E$26)))</f>
        <v/>
      </c>
      <c r="Z7" t="str">
        <f>IF($A7="","",IF($B7="V01",cad!$C$27,IF($B7="V02",cad!$D$27,cad!$E$27)))</f>
        <v/>
      </c>
      <c r="AA7" t="str">
        <f>IF($A7="","",IF($B7="V01",cad!$C$28,IF($B7="V02",cad!$D$28,cad!$E$28)))</f>
        <v/>
      </c>
      <c r="AB7" t="str">
        <f>IF($A7="","",IF($B7="V01",cad!$C$39,IF($B7="V02",cad!$D$39,cad!$E$39)))</f>
        <v/>
      </c>
      <c r="AC7" t="str">
        <f>IF($A7="","",IF($F7="MBWAY",cad!$J$12,IF($F7="ISCOM",cad!$J$13,IF($F7="IPAC",cad!$J$14,IF($F7="PIGIER",cad!$J$15,cad!$J$16)))))</f>
        <v/>
      </c>
      <c r="AD7" t="str">
        <f t="shared" si="1"/>
        <v/>
      </c>
      <c r="AE7" t="str">
        <f t="shared" si="2"/>
        <v/>
      </c>
      <c r="AF7" t="str">
        <f t="shared" si="3"/>
        <v/>
      </c>
      <c r="AG7" t="str">
        <f t="shared" si="4"/>
        <v/>
      </c>
      <c r="AH7" t="str">
        <f t="shared" si="5"/>
        <v/>
      </c>
    </row>
    <row r="8" spans="1:36" x14ac:dyDescent="0.45">
      <c r="A8" t="str">
        <f>IF(Moteur!D8="","",Moteur!D8)</f>
        <v/>
      </c>
      <c r="B8" t="str">
        <f>IF(Moteur!B8="","",Moteur!B8)</f>
        <v/>
      </c>
      <c r="C8" t="str">
        <f>IF(Moteur!F8="","",Moteur!F8)</f>
        <v/>
      </c>
      <c r="D8" t="str">
        <f>IF(Moteur!G8="","",Moteur!G8)</f>
        <v/>
      </c>
      <c r="E8" t="str">
        <f>IF(Moteur!H8="","",Moteur!H8)</f>
        <v/>
      </c>
      <c r="F8" t="str">
        <f>IF(Moteur!E8="","",Moteur!E8)</f>
        <v/>
      </c>
      <c r="G8" t="str">
        <f>IF($A8="","",SUMIFS(Allocation2!$H$1:$H$175,Allocation2!$C$1:$C$175,$A8,Allocation2!$D$1:$D$175,$C8,Allocation2!$E$1:$E$175,$D8,Allocation2!$F$1:$F$175,$E8,Allocation2!$G$1:$G$175,"2026"))</f>
        <v/>
      </c>
      <c r="H8" t="str">
        <f>IF($A8="","",SUMIFS(Allocation2!$N$1:$N$175,Allocation2!$C$1:$C$175,$A8,Allocation2!$D$1:$D$175,$C8,Allocation2!$E$1:$E$175,$D8,Allocation2!$F$1:$F$175,$E8,Allocation2!$G$1:$G$175,"2026"))</f>
        <v/>
      </c>
      <c r="I8" t="str">
        <f>IF($A8="","",SUMIFS(Allocation2!$P$1:$P$175,Allocation2!$C$1:$C$175,$A8,Allocation2!$D$1:$D$175,$C8,Allocation2!$E$1:$E$175,$D8,Allocation2!$F$1:$F$175,$E8,Allocation2!$G$1:$G$175,"2026"))</f>
        <v/>
      </c>
      <c r="J8" t="str">
        <f>IF($A8="","",SUMIFS(Allocation2!$W$1:$W$175,Allocation2!$C$1:$C$175,$A8,Allocation2!$D$1:$D$175,$C8,Allocation2!$E$1:$E$175,$D8,Allocation2!$F$1:$F$175,$E8,Allocation2!$G$1:$G$175,"2026"))</f>
        <v/>
      </c>
      <c r="K8" t="str">
        <f>IF($A8="","",SUMIFS(Allocation2!$X$1:$X$175,Allocation2!$C$1:$C$175,$A8,Allocation2!$D$1:$D$175,$C8,Allocation2!$E$1:$E$175,$D8,Allocation2!$F$1:$F$175,$E8,Allocation2!$G$1:$G$175,"2026"))</f>
        <v/>
      </c>
      <c r="L8" t="str">
        <f>IF($A8="","",SUMIFS(Allocation2!$Y$1:$Y$175,Allocation2!$C$1:$C$175,$A8,Allocation2!$D$1:$D$175,$C8,Allocation2!$E$1:$E$175,$D8,Allocation2!$F$1:$F$175,$E8,Allocation2!$G$1:$G$175,"2026"))</f>
        <v/>
      </c>
      <c r="M8" t="str">
        <f>IF($A8="","",SUMIFS(Allocation2!$V$1:$V$175,Allocation2!$C$1:$C$175,$A8,Allocation2!$D$1:$D$175,$C8,Allocation2!$E$1:$E$175,$D8,Allocation2!$F$1:$F$175,$E8,Allocation2!$G$1:$G$175,"2026"))</f>
        <v/>
      </c>
      <c r="N8" t="str">
        <f t="shared" si="0"/>
        <v/>
      </c>
      <c r="O8" t="str">
        <f>IF($A8="","",SUMIFS(Campagne!$D$1:$D$15,Campagne!$C$1:$C$15,$A8))</f>
        <v/>
      </c>
      <c r="P8" t="str">
        <f>IF($A8="","",SUMIFS(Campagne!$E$1:$E$15,Campagne!$C$1:$C$15,$A8))</f>
        <v/>
      </c>
      <c r="Q8" t="str">
        <f>IF($A8="","",SUMIFS(Campagne!$F$1:$F$15,Campagne!$C$1:$C$15,$A8))</f>
        <v/>
      </c>
      <c r="R8" t="str">
        <f>IF($A8="","",SUMIFS(Campagne!$K$1:$K$15,Campagne!$C$1:$C$15,$A8))</f>
        <v/>
      </c>
      <c r="S8" t="str">
        <f>IF($A8="","",SUMIFS(Campagne!$M$1:$M$15,Campagne!$C$1:$C$15,$A8))</f>
        <v/>
      </c>
      <c r="T8" t="str">
        <f>IF($A8="","",SUMIFS(PIL!$K$15:$K$28,PIL!$A$15:$A$28,$A8)*SUMIFS(PIL!$J$15:$J$28,PIL!$A$15:$A$28,$A8)*(SUM(PIL!$K$15:$K$28)/SUMPRODUCT(PIL!$K$15:$K$28,PIL!$J$15:$J$28)))</f>
        <v/>
      </c>
      <c r="U8" t="str">
        <f>IF($A8="","",SUMIFS(PIL!$K$15:$K$28,PIL!$A$15:$A$28,$A8))</f>
        <v/>
      </c>
      <c r="V8" t="str">
        <f>IF($A8="","",IF($B8="V01",cad!$C$23,IF($B8="V02",cad!$D$23,cad!$E$23)))</f>
        <v/>
      </c>
      <c r="W8" t="str">
        <f>IF($A8="","",IF($B8="V01",cad!$C$24,IF($B8="V02",cad!$D$24,cad!$E$24)))</f>
        <v/>
      </c>
      <c r="X8" t="str">
        <f>IF($A8="","",IF($B8="V01",cad!$C$25,IF($B8="V02",cad!$D$25,cad!$E$25)))</f>
        <v/>
      </c>
      <c r="Y8" t="str">
        <f>IF($A8="","",IF($B8="V01",cad!$C$26,IF($B8="V02",cad!$D$26,cad!$E$26)))</f>
        <v/>
      </c>
      <c r="Z8" t="str">
        <f>IF($A8="","",IF($B8="V01",cad!$C$27,IF($B8="V02",cad!$D$27,cad!$E$27)))</f>
        <v/>
      </c>
      <c r="AA8" t="str">
        <f>IF($A8="","",IF($B8="V01",cad!$C$28,IF($B8="V02",cad!$D$28,cad!$E$28)))</f>
        <v/>
      </c>
      <c r="AB8" t="str">
        <f>IF($A8="","",IF($B8="V01",cad!$C$39,IF($B8="V02",cad!$D$39,cad!$E$39)))</f>
        <v/>
      </c>
      <c r="AC8" t="str">
        <f>IF($A8="","",IF($F8="MBWAY",cad!$J$12,IF($F8="ISCOM",cad!$J$13,IF($F8="IPAC",cad!$J$14,IF($F8="PIGIER",cad!$J$15,cad!$J$16)))))</f>
        <v/>
      </c>
      <c r="AD8" t="str">
        <f t="shared" si="1"/>
        <v/>
      </c>
      <c r="AE8" t="str">
        <f t="shared" si="2"/>
        <v/>
      </c>
      <c r="AF8" t="str">
        <f t="shared" si="3"/>
        <v/>
      </c>
      <c r="AG8" t="str">
        <f t="shared" si="4"/>
        <v/>
      </c>
      <c r="AH8" t="str">
        <f t="shared" si="5"/>
        <v/>
      </c>
    </row>
    <row r="9" spans="1:36" x14ac:dyDescent="0.45">
      <c r="A9" t="str">
        <f>IF(Moteur!D9="","",Moteur!D9)</f>
        <v/>
      </c>
      <c r="B9" t="str">
        <f>IF(Moteur!B9="","",Moteur!B9)</f>
        <v/>
      </c>
      <c r="C9" t="str">
        <f>IF(Moteur!F9="","",Moteur!F9)</f>
        <v/>
      </c>
      <c r="D9" t="str">
        <f>IF(Moteur!G9="","",Moteur!G9)</f>
        <v/>
      </c>
      <c r="E9" t="str">
        <f>IF(Moteur!H9="","",Moteur!H9)</f>
        <v/>
      </c>
      <c r="F9" t="str">
        <f>IF(Moteur!E9="","",Moteur!E9)</f>
        <v/>
      </c>
      <c r="G9" t="str">
        <f>IF($A9="","",SUMIFS(Allocation2!$H$1:$H$175,Allocation2!$C$1:$C$175,$A9,Allocation2!$D$1:$D$175,$C9,Allocation2!$E$1:$E$175,$D9,Allocation2!$F$1:$F$175,$E9,Allocation2!$G$1:$G$175,"2026"))</f>
        <v/>
      </c>
      <c r="H9" t="str">
        <f>IF($A9="","",SUMIFS(Allocation2!$N$1:$N$175,Allocation2!$C$1:$C$175,$A9,Allocation2!$D$1:$D$175,$C9,Allocation2!$E$1:$E$175,$D9,Allocation2!$F$1:$F$175,$E9,Allocation2!$G$1:$G$175,"2026"))</f>
        <v/>
      </c>
      <c r="I9" t="str">
        <f>IF($A9="","",SUMIFS(Allocation2!$P$1:$P$175,Allocation2!$C$1:$C$175,$A9,Allocation2!$D$1:$D$175,$C9,Allocation2!$E$1:$E$175,$D9,Allocation2!$F$1:$F$175,$E9,Allocation2!$G$1:$G$175,"2026"))</f>
        <v/>
      </c>
      <c r="J9" t="str">
        <f>IF($A9="","",SUMIFS(Allocation2!$W$1:$W$175,Allocation2!$C$1:$C$175,$A9,Allocation2!$D$1:$D$175,$C9,Allocation2!$E$1:$E$175,$D9,Allocation2!$F$1:$F$175,$E9,Allocation2!$G$1:$G$175,"2026"))</f>
        <v/>
      </c>
      <c r="K9" t="str">
        <f>IF($A9="","",SUMIFS(Allocation2!$X$1:$X$175,Allocation2!$C$1:$C$175,$A9,Allocation2!$D$1:$D$175,$C9,Allocation2!$E$1:$E$175,$D9,Allocation2!$F$1:$F$175,$E9,Allocation2!$G$1:$G$175,"2026"))</f>
        <v/>
      </c>
      <c r="L9" t="str">
        <f>IF($A9="","",SUMIFS(Allocation2!$Y$1:$Y$175,Allocation2!$C$1:$C$175,$A9,Allocation2!$D$1:$D$175,$C9,Allocation2!$E$1:$E$175,$D9,Allocation2!$F$1:$F$175,$E9,Allocation2!$G$1:$G$175,"2026"))</f>
        <v/>
      </c>
      <c r="M9" t="str">
        <f>IF($A9="","",SUMIFS(Allocation2!$V$1:$V$175,Allocation2!$C$1:$C$175,$A9,Allocation2!$D$1:$D$175,$C9,Allocation2!$E$1:$E$175,$D9,Allocation2!$F$1:$F$175,$E9,Allocation2!$G$1:$G$175,"2026"))</f>
        <v/>
      </c>
      <c r="N9" t="str">
        <f t="shared" si="0"/>
        <v/>
      </c>
      <c r="O9" t="str">
        <f>IF($A9="","",SUMIFS(Campagne!$D$1:$D$15,Campagne!$C$1:$C$15,$A9))</f>
        <v/>
      </c>
      <c r="P9" t="str">
        <f>IF($A9="","",SUMIFS(Campagne!$E$1:$E$15,Campagne!$C$1:$C$15,$A9))</f>
        <v/>
      </c>
      <c r="Q9" t="str">
        <f>IF($A9="","",SUMIFS(Campagne!$F$1:$F$15,Campagne!$C$1:$C$15,$A9))</f>
        <v/>
      </c>
      <c r="R9" t="str">
        <f>IF($A9="","",SUMIFS(Campagne!$K$1:$K$15,Campagne!$C$1:$C$15,$A9))</f>
        <v/>
      </c>
      <c r="S9" t="str">
        <f>IF($A9="","",SUMIFS(Campagne!$M$1:$M$15,Campagne!$C$1:$C$15,$A9))</f>
        <v/>
      </c>
      <c r="T9" t="str">
        <f>IF($A9="","",SUMIFS(PIL!$K$15:$K$28,PIL!$A$15:$A$28,$A9)*SUMIFS(PIL!$J$15:$J$28,PIL!$A$15:$A$28,$A9)*(SUM(PIL!$K$15:$K$28)/SUMPRODUCT(PIL!$K$15:$K$28,PIL!$J$15:$J$28)))</f>
        <v/>
      </c>
      <c r="U9" t="str">
        <f>IF($A9="","",SUMIFS(PIL!$K$15:$K$28,PIL!$A$15:$A$28,$A9))</f>
        <v/>
      </c>
      <c r="V9" t="str">
        <f>IF($A9="","",IF($B9="V01",cad!$C$23,IF($B9="V02",cad!$D$23,cad!$E$23)))</f>
        <v/>
      </c>
      <c r="W9" t="str">
        <f>IF($A9="","",IF($B9="V01",cad!$C$24,IF($B9="V02",cad!$D$24,cad!$E$24)))</f>
        <v/>
      </c>
      <c r="X9" t="str">
        <f>IF($A9="","",IF($B9="V01",cad!$C$25,IF($B9="V02",cad!$D$25,cad!$E$25)))</f>
        <v/>
      </c>
      <c r="Y9" t="str">
        <f>IF($A9="","",IF($B9="V01",cad!$C$26,IF($B9="V02",cad!$D$26,cad!$E$26)))</f>
        <v/>
      </c>
      <c r="Z9" t="str">
        <f>IF($A9="","",IF($B9="V01",cad!$C$27,IF($B9="V02",cad!$D$27,cad!$E$27)))</f>
        <v/>
      </c>
      <c r="AA9" t="str">
        <f>IF($A9="","",IF($B9="V01",cad!$C$28,IF($B9="V02",cad!$D$28,cad!$E$28)))</f>
        <v/>
      </c>
      <c r="AB9" t="str">
        <f>IF($A9="","",IF($B9="V01",cad!$C$39,IF($B9="V02",cad!$D$39,cad!$E$39)))</f>
        <v/>
      </c>
      <c r="AC9" t="str">
        <f>IF($A9="","",IF($F9="MBWAY",cad!$J$12,IF($F9="ISCOM",cad!$J$13,IF($F9="IPAC",cad!$J$14,IF($F9="PIGIER",cad!$J$15,cad!$J$16)))))</f>
        <v/>
      </c>
      <c r="AD9" t="str">
        <f t="shared" si="1"/>
        <v/>
      </c>
      <c r="AE9" t="str">
        <f t="shared" si="2"/>
        <v/>
      </c>
      <c r="AF9" t="str">
        <f t="shared" si="3"/>
        <v/>
      </c>
      <c r="AG9" t="str">
        <f t="shared" si="4"/>
        <v/>
      </c>
      <c r="AH9" t="str">
        <f t="shared" si="5"/>
        <v/>
      </c>
    </row>
    <row r="10" spans="1:36" x14ac:dyDescent="0.45">
      <c r="A10" t="str">
        <f>IF(Moteur!D10="","",Moteur!D10)</f>
        <v/>
      </c>
      <c r="B10" t="str">
        <f>IF(Moteur!B10="","",Moteur!B10)</f>
        <v/>
      </c>
      <c r="C10" t="str">
        <f>IF(Moteur!F10="","",Moteur!F10)</f>
        <v/>
      </c>
      <c r="D10" t="str">
        <f>IF(Moteur!G10="","",Moteur!G10)</f>
        <v/>
      </c>
      <c r="E10" t="str">
        <f>IF(Moteur!H10="","",Moteur!H10)</f>
        <v/>
      </c>
      <c r="F10" t="str">
        <f>IF(Moteur!E10="","",Moteur!E10)</f>
        <v/>
      </c>
      <c r="G10" t="str">
        <f>IF($A10="","",SUMIFS(Allocation2!$H$1:$H$175,Allocation2!$C$1:$C$175,$A10,Allocation2!$D$1:$D$175,$C10,Allocation2!$E$1:$E$175,$D10,Allocation2!$F$1:$F$175,$E10,Allocation2!$G$1:$G$175,"2026"))</f>
        <v/>
      </c>
      <c r="H10" t="str">
        <f>IF($A10="","",SUMIFS(Allocation2!$N$1:$N$175,Allocation2!$C$1:$C$175,$A10,Allocation2!$D$1:$D$175,$C10,Allocation2!$E$1:$E$175,$D10,Allocation2!$F$1:$F$175,$E10,Allocation2!$G$1:$G$175,"2026"))</f>
        <v/>
      </c>
      <c r="I10" t="str">
        <f>IF($A10="","",SUMIFS(Allocation2!$P$1:$P$175,Allocation2!$C$1:$C$175,$A10,Allocation2!$D$1:$D$175,$C10,Allocation2!$E$1:$E$175,$D10,Allocation2!$F$1:$F$175,$E10,Allocation2!$G$1:$G$175,"2026"))</f>
        <v/>
      </c>
      <c r="J10" t="str">
        <f>IF($A10="","",SUMIFS(Allocation2!$W$1:$W$175,Allocation2!$C$1:$C$175,$A10,Allocation2!$D$1:$D$175,$C10,Allocation2!$E$1:$E$175,$D10,Allocation2!$F$1:$F$175,$E10,Allocation2!$G$1:$G$175,"2026"))</f>
        <v/>
      </c>
      <c r="K10" t="str">
        <f>IF($A10="","",SUMIFS(Allocation2!$X$1:$X$175,Allocation2!$C$1:$C$175,$A10,Allocation2!$D$1:$D$175,$C10,Allocation2!$E$1:$E$175,$D10,Allocation2!$F$1:$F$175,$E10,Allocation2!$G$1:$G$175,"2026"))</f>
        <v/>
      </c>
      <c r="L10" t="str">
        <f>IF($A10="","",SUMIFS(Allocation2!$Y$1:$Y$175,Allocation2!$C$1:$C$175,$A10,Allocation2!$D$1:$D$175,$C10,Allocation2!$E$1:$E$175,$D10,Allocation2!$F$1:$F$175,$E10,Allocation2!$G$1:$G$175,"2026"))</f>
        <v/>
      </c>
      <c r="M10" t="str">
        <f>IF($A10="","",SUMIFS(Allocation2!$V$1:$V$175,Allocation2!$C$1:$C$175,$A10,Allocation2!$D$1:$D$175,$C10,Allocation2!$E$1:$E$175,$D10,Allocation2!$F$1:$F$175,$E10,Allocation2!$G$1:$G$175,"2026"))</f>
        <v/>
      </c>
      <c r="N10" t="str">
        <f t="shared" si="0"/>
        <v/>
      </c>
      <c r="O10" t="str">
        <f>IF($A10="","",SUMIFS(Campagne!$D$1:$D$15,Campagne!$C$1:$C$15,$A10))</f>
        <v/>
      </c>
      <c r="P10" t="str">
        <f>IF($A10="","",SUMIFS(Campagne!$E$1:$E$15,Campagne!$C$1:$C$15,$A10))</f>
        <v/>
      </c>
      <c r="Q10" t="str">
        <f>IF($A10="","",SUMIFS(Campagne!$F$1:$F$15,Campagne!$C$1:$C$15,$A10))</f>
        <v/>
      </c>
      <c r="R10" t="str">
        <f>IF($A10="","",SUMIFS(Campagne!$K$1:$K$15,Campagne!$C$1:$C$15,$A10))</f>
        <v/>
      </c>
      <c r="S10" t="str">
        <f>IF($A10="","",SUMIFS(Campagne!$M$1:$M$15,Campagne!$C$1:$C$15,$A10))</f>
        <v/>
      </c>
      <c r="T10" t="str">
        <f>IF($A10="","",SUMIFS(PIL!$K$15:$K$28,PIL!$A$15:$A$28,$A10)*SUMIFS(PIL!$J$15:$J$28,PIL!$A$15:$A$28,$A10)*(SUM(PIL!$K$15:$K$28)/SUMPRODUCT(PIL!$K$15:$K$28,PIL!$J$15:$J$28)))</f>
        <v/>
      </c>
      <c r="U10" t="str">
        <f>IF($A10="","",SUMIFS(PIL!$K$15:$K$28,PIL!$A$15:$A$28,$A10))</f>
        <v/>
      </c>
      <c r="V10" t="str">
        <f>IF($A10="","",IF($B10="V01",cad!$C$23,IF($B10="V02",cad!$D$23,cad!$E$23)))</f>
        <v/>
      </c>
      <c r="W10" t="str">
        <f>IF($A10="","",IF($B10="V01",cad!$C$24,IF($B10="V02",cad!$D$24,cad!$E$24)))</f>
        <v/>
      </c>
      <c r="X10" t="str">
        <f>IF($A10="","",IF($B10="V01",cad!$C$25,IF($B10="V02",cad!$D$25,cad!$E$25)))</f>
        <v/>
      </c>
      <c r="Y10" t="str">
        <f>IF($A10="","",IF($B10="V01",cad!$C$26,IF($B10="V02",cad!$D$26,cad!$E$26)))</f>
        <v/>
      </c>
      <c r="Z10" t="str">
        <f>IF($A10="","",IF($B10="V01",cad!$C$27,IF($B10="V02",cad!$D$27,cad!$E$27)))</f>
        <v/>
      </c>
      <c r="AA10" t="str">
        <f>IF($A10="","",IF($B10="V01",cad!$C$28,IF($B10="V02",cad!$D$28,cad!$E$28)))</f>
        <v/>
      </c>
      <c r="AB10" t="str">
        <f>IF($A10="","",IF($B10="V01",cad!$C$39,IF($B10="V02",cad!$D$39,cad!$E$39)))</f>
        <v/>
      </c>
      <c r="AC10" t="str">
        <f>IF($A10="","",IF($F10="MBWAY",cad!$J$12,IF($F10="ISCOM",cad!$J$13,IF($F10="IPAC",cad!$J$14,IF($F10="PIGIER",cad!$J$15,cad!$J$16)))))</f>
        <v/>
      </c>
      <c r="AD10" t="str">
        <f t="shared" si="1"/>
        <v/>
      </c>
      <c r="AE10" t="str">
        <f t="shared" si="2"/>
        <v/>
      </c>
      <c r="AF10" t="str">
        <f t="shared" si="3"/>
        <v/>
      </c>
      <c r="AG10" t="str">
        <f t="shared" si="4"/>
        <v/>
      </c>
      <c r="AH10" t="str">
        <f t="shared" si="5"/>
        <v/>
      </c>
    </row>
    <row r="11" spans="1:36" x14ac:dyDescent="0.45">
      <c r="A11" t="str">
        <f>IF(Moteur!D11="","",Moteur!D11)</f>
        <v/>
      </c>
      <c r="B11" t="str">
        <f>IF(Moteur!B11="","",Moteur!B11)</f>
        <v/>
      </c>
      <c r="C11" t="str">
        <f>IF(Moteur!F11="","",Moteur!F11)</f>
        <v/>
      </c>
      <c r="D11" t="str">
        <f>IF(Moteur!G11="","",Moteur!G11)</f>
        <v/>
      </c>
      <c r="E11" t="str">
        <f>IF(Moteur!H11="","",Moteur!H11)</f>
        <v/>
      </c>
      <c r="F11" t="str">
        <f>IF(Moteur!E11="","",Moteur!E11)</f>
        <v/>
      </c>
      <c r="G11" t="str">
        <f>IF($A11="","",SUMIFS(Allocation2!$H$1:$H$175,Allocation2!$C$1:$C$175,$A11,Allocation2!$D$1:$D$175,$C11,Allocation2!$E$1:$E$175,$D11,Allocation2!$F$1:$F$175,$E11,Allocation2!$G$1:$G$175,"2026"))</f>
        <v/>
      </c>
      <c r="H11" t="str">
        <f>IF($A11="","",SUMIFS(Allocation2!$N$1:$N$175,Allocation2!$C$1:$C$175,$A11,Allocation2!$D$1:$D$175,$C11,Allocation2!$E$1:$E$175,$D11,Allocation2!$F$1:$F$175,$E11,Allocation2!$G$1:$G$175,"2026"))</f>
        <v/>
      </c>
      <c r="I11" t="str">
        <f>IF($A11="","",SUMIFS(Allocation2!$P$1:$P$175,Allocation2!$C$1:$C$175,$A11,Allocation2!$D$1:$D$175,$C11,Allocation2!$E$1:$E$175,$D11,Allocation2!$F$1:$F$175,$E11,Allocation2!$G$1:$G$175,"2026"))</f>
        <v/>
      </c>
      <c r="J11" t="str">
        <f>IF($A11="","",SUMIFS(Allocation2!$W$1:$W$175,Allocation2!$C$1:$C$175,$A11,Allocation2!$D$1:$D$175,$C11,Allocation2!$E$1:$E$175,$D11,Allocation2!$F$1:$F$175,$E11,Allocation2!$G$1:$G$175,"2026"))</f>
        <v/>
      </c>
      <c r="K11" t="str">
        <f>IF($A11="","",SUMIFS(Allocation2!$X$1:$X$175,Allocation2!$C$1:$C$175,$A11,Allocation2!$D$1:$D$175,$C11,Allocation2!$E$1:$E$175,$D11,Allocation2!$F$1:$F$175,$E11,Allocation2!$G$1:$G$175,"2026"))</f>
        <v/>
      </c>
      <c r="L11" t="str">
        <f>IF($A11="","",SUMIFS(Allocation2!$Y$1:$Y$175,Allocation2!$C$1:$C$175,$A11,Allocation2!$D$1:$D$175,$C11,Allocation2!$E$1:$E$175,$D11,Allocation2!$F$1:$F$175,$E11,Allocation2!$G$1:$G$175,"2026"))</f>
        <v/>
      </c>
      <c r="M11" t="str">
        <f>IF($A11="","",SUMIFS(Allocation2!$V$1:$V$175,Allocation2!$C$1:$C$175,$A11,Allocation2!$D$1:$D$175,$C11,Allocation2!$E$1:$E$175,$D11,Allocation2!$F$1:$F$175,$E11,Allocation2!$G$1:$G$175,"2026"))</f>
        <v/>
      </c>
      <c r="N11" t="str">
        <f t="shared" si="0"/>
        <v/>
      </c>
      <c r="O11" t="str">
        <f>IF($A11="","",SUMIFS(Campagne!$D$1:$D$15,Campagne!$C$1:$C$15,$A11))</f>
        <v/>
      </c>
      <c r="P11" t="str">
        <f>IF($A11="","",SUMIFS(Campagne!$E$1:$E$15,Campagne!$C$1:$C$15,$A11))</f>
        <v/>
      </c>
      <c r="Q11" t="str">
        <f>IF($A11="","",SUMIFS(Campagne!$F$1:$F$15,Campagne!$C$1:$C$15,$A11))</f>
        <v/>
      </c>
      <c r="R11" t="str">
        <f>IF($A11="","",SUMIFS(Campagne!$K$1:$K$15,Campagne!$C$1:$C$15,$A11))</f>
        <v/>
      </c>
      <c r="S11" t="str">
        <f>IF($A11="","",SUMIFS(Campagne!$M$1:$M$15,Campagne!$C$1:$C$15,$A11))</f>
        <v/>
      </c>
      <c r="T11" t="str">
        <f>IF($A11="","",SUMIFS(PIL!$K$15:$K$28,PIL!$A$15:$A$28,$A11)*SUMIFS(PIL!$J$15:$J$28,PIL!$A$15:$A$28,$A11)*(SUM(PIL!$K$15:$K$28)/SUMPRODUCT(PIL!$K$15:$K$28,PIL!$J$15:$J$28)))</f>
        <v/>
      </c>
      <c r="U11" t="str">
        <f>IF($A11="","",SUMIFS(PIL!$K$15:$K$28,PIL!$A$15:$A$28,$A11))</f>
        <v/>
      </c>
      <c r="V11" t="str">
        <f>IF($A11="","",IF($B11="V01",cad!$C$23,IF($B11="V02",cad!$D$23,cad!$E$23)))</f>
        <v/>
      </c>
      <c r="W11" t="str">
        <f>IF($A11="","",IF($B11="V01",cad!$C$24,IF($B11="V02",cad!$D$24,cad!$E$24)))</f>
        <v/>
      </c>
      <c r="X11" t="str">
        <f>IF($A11="","",IF($B11="V01",cad!$C$25,IF($B11="V02",cad!$D$25,cad!$E$25)))</f>
        <v/>
      </c>
      <c r="Y11" t="str">
        <f>IF($A11="","",IF($B11="V01",cad!$C$26,IF($B11="V02",cad!$D$26,cad!$E$26)))</f>
        <v/>
      </c>
      <c r="Z11" t="str">
        <f>IF($A11="","",IF($B11="V01",cad!$C$27,IF($B11="V02",cad!$D$27,cad!$E$27)))</f>
        <v/>
      </c>
      <c r="AA11" t="str">
        <f>IF($A11="","",IF($B11="V01",cad!$C$28,IF($B11="V02",cad!$D$28,cad!$E$28)))</f>
        <v/>
      </c>
      <c r="AB11" t="str">
        <f>IF($A11="","",IF($B11="V01",cad!$C$39,IF($B11="V02",cad!$D$39,cad!$E$39)))</f>
        <v/>
      </c>
      <c r="AC11" t="str">
        <f>IF($A11="","",IF($F11="MBWAY",cad!$J$12,IF($F11="ISCOM",cad!$J$13,IF($F11="IPAC",cad!$J$14,IF($F11="PIGIER",cad!$J$15,cad!$J$16)))))</f>
        <v/>
      </c>
      <c r="AD11" t="str">
        <f t="shared" si="1"/>
        <v/>
      </c>
      <c r="AE11" t="str">
        <f t="shared" si="2"/>
        <v/>
      </c>
      <c r="AF11" t="str">
        <f t="shared" si="3"/>
        <v/>
      </c>
      <c r="AG11" t="str">
        <f t="shared" si="4"/>
        <v/>
      </c>
      <c r="AH11" t="str">
        <f t="shared" si="5"/>
        <v/>
      </c>
    </row>
    <row r="12" spans="1:36" x14ac:dyDescent="0.45">
      <c r="A12" t="str">
        <f>IF(Moteur!D12="","",Moteur!D12)</f>
        <v/>
      </c>
      <c r="B12" t="str">
        <f>IF(Moteur!B12="","",Moteur!B12)</f>
        <v/>
      </c>
      <c r="C12" t="str">
        <f>IF(Moteur!F12="","",Moteur!F12)</f>
        <v/>
      </c>
      <c r="D12" t="str">
        <f>IF(Moteur!G12="","",Moteur!G12)</f>
        <v/>
      </c>
      <c r="E12" t="str">
        <f>IF(Moteur!H12="","",Moteur!H12)</f>
        <v/>
      </c>
      <c r="F12" t="str">
        <f>IF(Moteur!E12="","",Moteur!E12)</f>
        <v/>
      </c>
      <c r="G12" t="str">
        <f>IF($A12="","",SUMIFS(Allocation2!$H$1:$H$175,Allocation2!$C$1:$C$175,$A12,Allocation2!$D$1:$D$175,$C12,Allocation2!$E$1:$E$175,$D12,Allocation2!$F$1:$F$175,$E12,Allocation2!$G$1:$G$175,"2026"))</f>
        <v/>
      </c>
      <c r="H12" t="str">
        <f>IF($A12="","",SUMIFS(Allocation2!$N$1:$N$175,Allocation2!$C$1:$C$175,$A12,Allocation2!$D$1:$D$175,$C12,Allocation2!$E$1:$E$175,$D12,Allocation2!$F$1:$F$175,$E12,Allocation2!$G$1:$G$175,"2026"))</f>
        <v/>
      </c>
      <c r="I12" t="str">
        <f>IF($A12="","",SUMIFS(Allocation2!$P$1:$P$175,Allocation2!$C$1:$C$175,$A12,Allocation2!$D$1:$D$175,$C12,Allocation2!$E$1:$E$175,$D12,Allocation2!$F$1:$F$175,$E12,Allocation2!$G$1:$G$175,"2026"))</f>
        <v/>
      </c>
      <c r="J12" t="str">
        <f>IF($A12="","",SUMIFS(Allocation2!$W$1:$W$175,Allocation2!$C$1:$C$175,$A12,Allocation2!$D$1:$D$175,$C12,Allocation2!$E$1:$E$175,$D12,Allocation2!$F$1:$F$175,$E12,Allocation2!$G$1:$G$175,"2026"))</f>
        <v/>
      </c>
      <c r="K12" t="str">
        <f>IF($A12="","",SUMIFS(Allocation2!$X$1:$X$175,Allocation2!$C$1:$C$175,$A12,Allocation2!$D$1:$D$175,$C12,Allocation2!$E$1:$E$175,$D12,Allocation2!$F$1:$F$175,$E12,Allocation2!$G$1:$G$175,"2026"))</f>
        <v/>
      </c>
      <c r="L12" t="str">
        <f>IF($A12="","",SUMIFS(Allocation2!$Y$1:$Y$175,Allocation2!$C$1:$C$175,$A12,Allocation2!$D$1:$D$175,$C12,Allocation2!$E$1:$E$175,$D12,Allocation2!$F$1:$F$175,$E12,Allocation2!$G$1:$G$175,"2026"))</f>
        <v/>
      </c>
      <c r="M12" t="str">
        <f>IF($A12="","",SUMIFS(Allocation2!$V$1:$V$175,Allocation2!$C$1:$C$175,$A12,Allocation2!$D$1:$D$175,$C12,Allocation2!$E$1:$E$175,$D12,Allocation2!$F$1:$F$175,$E12,Allocation2!$G$1:$G$175,"2026"))</f>
        <v/>
      </c>
      <c r="N12" t="str">
        <f t="shared" si="0"/>
        <v/>
      </c>
      <c r="O12" t="str">
        <f>IF($A12="","",SUMIFS(Campagne!$D$1:$D$15,Campagne!$C$1:$C$15,$A12))</f>
        <v/>
      </c>
      <c r="P12" t="str">
        <f>IF($A12="","",SUMIFS(Campagne!$E$1:$E$15,Campagne!$C$1:$C$15,$A12))</f>
        <v/>
      </c>
      <c r="Q12" t="str">
        <f>IF($A12="","",SUMIFS(Campagne!$F$1:$F$15,Campagne!$C$1:$C$15,$A12))</f>
        <v/>
      </c>
      <c r="R12" t="str">
        <f>IF($A12="","",SUMIFS(Campagne!$K$1:$K$15,Campagne!$C$1:$C$15,$A12))</f>
        <v/>
      </c>
      <c r="S12" t="str">
        <f>IF($A12="","",SUMIFS(Campagne!$M$1:$M$15,Campagne!$C$1:$C$15,$A12))</f>
        <v/>
      </c>
      <c r="T12" t="str">
        <f>IF($A12="","",SUMIFS(PIL!$K$15:$K$28,PIL!$A$15:$A$28,$A12)*SUMIFS(PIL!$J$15:$J$28,PIL!$A$15:$A$28,$A12)*(SUM(PIL!$K$15:$K$28)/SUMPRODUCT(PIL!$K$15:$K$28,PIL!$J$15:$J$28)))</f>
        <v/>
      </c>
      <c r="U12" t="str">
        <f>IF($A12="","",SUMIFS(PIL!$K$15:$K$28,PIL!$A$15:$A$28,$A12))</f>
        <v/>
      </c>
      <c r="V12" t="str">
        <f>IF($A12="","",IF($B12="V01",cad!$C$23,IF($B12="V02",cad!$D$23,cad!$E$23)))</f>
        <v/>
      </c>
      <c r="W12" t="str">
        <f>IF($A12="","",IF($B12="V01",cad!$C$24,IF($B12="V02",cad!$D$24,cad!$E$24)))</f>
        <v/>
      </c>
      <c r="X12" t="str">
        <f>IF($A12="","",IF($B12="V01",cad!$C$25,IF($B12="V02",cad!$D$25,cad!$E$25)))</f>
        <v/>
      </c>
      <c r="Y12" t="str">
        <f>IF($A12="","",IF($B12="V01",cad!$C$26,IF($B12="V02",cad!$D$26,cad!$E$26)))</f>
        <v/>
      </c>
      <c r="Z12" t="str">
        <f>IF($A12="","",IF($B12="V01",cad!$C$27,IF($B12="V02",cad!$D$27,cad!$E$27)))</f>
        <v/>
      </c>
      <c r="AA12" t="str">
        <f>IF($A12="","",IF($B12="V01",cad!$C$28,IF($B12="V02",cad!$D$28,cad!$E$28)))</f>
        <v/>
      </c>
      <c r="AB12" t="str">
        <f>IF($A12="","",IF($B12="V01",cad!$C$39,IF($B12="V02",cad!$D$39,cad!$E$39)))</f>
        <v/>
      </c>
      <c r="AC12" t="str">
        <f>IF($A12="","",IF($F12="MBWAY",cad!$J$12,IF($F12="ISCOM",cad!$J$13,IF($F12="IPAC",cad!$J$14,IF($F12="PIGIER",cad!$J$15,cad!$J$16)))))</f>
        <v/>
      </c>
      <c r="AD12" t="str">
        <f t="shared" si="1"/>
        <v/>
      </c>
      <c r="AE12" t="str">
        <f t="shared" si="2"/>
        <v/>
      </c>
      <c r="AF12" t="str">
        <f t="shared" si="3"/>
        <v/>
      </c>
      <c r="AG12" t="str">
        <f t="shared" si="4"/>
        <v/>
      </c>
      <c r="AH12" t="str">
        <f t="shared" si="5"/>
        <v/>
      </c>
    </row>
    <row r="13" spans="1:36" x14ac:dyDescent="0.45">
      <c r="A13" t="str">
        <f>IF(Moteur!D13="","",Moteur!D13)</f>
        <v/>
      </c>
      <c r="B13" t="str">
        <f>IF(Moteur!B13="","",Moteur!B13)</f>
        <v/>
      </c>
      <c r="C13" t="str">
        <f>IF(Moteur!F13="","",Moteur!F13)</f>
        <v/>
      </c>
      <c r="D13" t="str">
        <f>IF(Moteur!G13="","",Moteur!G13)</f>
        <v/>
      </c>
      <c r="E13" t="str">
        <f>IF(Moteur!H13="","",Moteur!H13)</f>
        <v/>
      </c>
      <c r="F13" t="str">
        <f>IF(Moteur!E13="","",Moteur!E13)</f>
        <v/>
      </c>
      <c r="G13" t="str">
        <f>IF($A13="","",SUMIFS(Allocation2!$H$1:$H$175,Allocation2!$C$1:$C$175,$A13,Allocation2!$D$1:$D$175,$C13,Allocation2!$E$1:$E$175,$D13,Allocation2!$F$1:$F$175,$E13,Allocation2!$G$1:$G$175,"2026"))</f>
        <v/>
      </c>
      <c r="H13" t="str">
        <f>IF($A13="","",SUMIFS(Allocation2!$N$1:$N$175,Allocation2!$C$1:$C$175,$A13,Allocation2!$D$1:$D$175,$C13,Allocation2!$E$1:$E$175,$D13,Allocation2!$F$1:$F$175,$E13,Allocation2!$G$1:$G$175,"2026"))</f>
        <v/>
      </c>
      <c r="I13" t="str">
        <f>IF($A13="","",SUMIFS(Allocation2!$P$1:$P$175,Allocation2!$C$1:$C$175,$A13,Allocation2!$D$1:$D$175,$C13,Allocation2!$E$1:$E$175,$D13,Allocation2!$F$1:$F$175,$E13,Allocation2!$G$1:$G$175,"2026"))</f>
        <v/>
      </c>
      <c r="J13" t="str">
        <f>IF($A13="","",SUMIFS(Allocation2!$W$1:$W$175,Allocation2!$C$1:$C$175,$A13,Allocation2!$D$1:$D$175,$C13,Allocation2!$E$1:$E$175,$D13,Allocation2!$F$1:$F$175,$E13,Allocation2!$G$1:$G$175,"2026"))</f>
        <v/>
      </c>
      <c r="K13" t="str">
        <f>IF($A13="","",SUMIFS(Allocation2!$X$1:$X$175,Allocation2!$C$1:$C$175,$A13,Allocation2!$D$1:$D$175,$C13,Allocation2!$E$1:$E$175,$D13,Allocation2!$F$1:$F$175,$E13,Allocation2!$G$1:$G$175,"2026"))</f>
        <v/>
      </c>
      <c r="L13" t="str">
        <f>IF($A13="","",SUMIFS(Allocation2!$Y$1:$Y$175,Allocation2!$C$1:$C$175,$A13,Allocation2!$D$1:$D$175,$C13,Allocation2!$E$1:$E$175,$D13,Allocation2!$F$1:$F$175,$E13,Allocation2!$G$1:$G$175,"2026"))</f>
        <v/>
      </c>
      <c r="M13" t="str">
        <f>IF($A13="","",SUMIFS(Allocation2!$V$1:$V$175,Allocation2!$C$1:$C$175,$A13,Allocation2!$D$1:$D$175,$C13,Allocation2!$E$1:$E$175,$D13,Allocation2!$F$1:$F$175,$E13,Allocation2!$G$1:$G$175,"2026"))</f>
        <v/>
      </c>
      <c r="N13" t="str">
        <f t="shared" si="0"/>
        <v/>
      </c>
      <c r="O13" t="str">
        <f>IF($A13="","",SUMIFS(Campagne!$D$1:$D$15,Campagne!$C$1:$C$15,$A13))</f>
        <v/>
      </c>
      <c r="P13" t="str">
        <f>IF($A13="","",SUMIFS(Campagne!$E$1:$E$15,Campagne!$C$1:$C$15,$A13))</f>
        <v/>
      </c>
      <c r="Q13" t="str">
        <f>IF($A13="","",SUMIFS(Campagne!$F$1:$F$15,Campagne!$C$1:$C$15,$A13))</f>
        <v/>
      </c>
      <c r="R13" t="str">
        <f>IF($A13="","",SUMIFS(Campagne!$K$1:$K$15,Campagne!$C$1:$C$15,$A13))</f>
        <v/>
      </c>
      <c r="S13" t="str">
        <f>IF($A13="","",SUMIFS(Campagne!$M$1:$M$15,Campagne!$C$1:$C$15,$A13))</f>
        <v/>
      </c>
      <c r="T13" t="str">
        <f>IF($A13="","",SUMIFS(PIL!$K$15:$K$28,PIL!$A$15:$A$28,$A13)*SUMIFS(PIL!$J$15:$J$28,PIL!$A$15:$A$28,$A13)*(SUM(PIL!$K$15:$K$28)/SUMPRODUCT(PIL!$K$15:$K$28,PIL!$J$15:$J$28)))</f>
        <v/>
      </c>
      <c r="U13" t="str">
        <f>IF($A13="","",SUMIFS(PIL!$K$15:$K$28,PIL!$A$15:$A$28,$A13))</f>
        <v/>
      </c>
      <c r="V13" t="str">
        <f>IF($A13="","",IF($B13="V01",cad!$C$23,IF($B13="V02",cad!$D$23,cad!$E$23)))</f>
        <v/>
      </c>
      <c r="W13" t="str">
        <f>IF($A13="","",IF($B13="V01",cad!$C$24,IF($B13="V02",cad!$D$24,cad!$E$24)))</f>
        <v/>
      </c>
      <c r="X13" t="str">
        <f>IF($A13="","",IF($B13="V01",cad!$C$25,IF($B13="V02",cad!$D$25,cad!$E$25)))</f>
        <v/>
      </c>
      <c r="Y13" t="str">
        <f>IF($A13="","",IF($B13="V01",cad!$C$26,IF($B13="V02",cad!$D$26,cad!$E$26)))</f>
        <v/>
      </c>
      <c r="Z13" t="str">
        <f>IF($A13="","",IF($B13="V01",cad!$C$27,IF($B13="V02",cad!$D$27,cad!$E$27)))</f>
        <v/>
      </c>
      <c r="AA13" t="str">
        <f>IF($A13="","",IF($B13="V01",cad!$C$28,IF($B13="V02",cad!$D$28,cad!$E$28)))</f>
        <v/>
      </c>
      <c r="AB13" t="str">
        <f>IF($A13="","",IF($B13="V01",cad!$C$39,IF($B13="V02",cad!$D$39,cad!$E$39)))</f>
        <v/>
      </c>
      <c r="AC13" t="str">
        <f>IF($A13="","",IF($F13="MBWAY",cad!$J$12,IF($F13="ISCOM",cad!$J$13,IF($F13="IPAC",cad!$J$14,IF($F13="PIGIER",cad!$J$15,cad!$J$16)))))</f>
        <v/>
      </c>
      <c r="AD13" t="str">
        <f t="shared" si="1"/>
        <v/>
      </c>
      <c r="AE13" t="str">
        <f t="shared" si="2"/>
        <v/>
      </c>
      <c r="AF13" t="str">
        <f t="shared" si="3"/>
        <v/>
      </c>
      <c r="AG13" t="str">
        <f t="shared" si="4"/>
        <v/>
      </c>
      <c r="AH13" t="str">
        <f t="shared" si="5"/>
        <v/>
      </c>
    </row>
    <row r="14" spans="1:36" x14ac:dyDescent="0.45">
      <c r="A14" t="str">
        <f>IF(Moteur!D14="","",Moteur!D14)</f>
        <v/>
      </c>
      <c r="B14" t="str">
        <f>IF(Moteur!B14="","",Moteur!B14)</f>
        <v/>
      </c>
      <c r="C14" t="str">
        <f>IF(Moteur!F14="","",Moteur!F14)</f>
        <v/>
      </c>
      <c r="D14" t="str">
        <f>IF(Moteur!G14="","",Moteur!G14)</f>
        <v/>
      </c>
      <c r="E14" t="str">
        <f>IF(Moteur!H14="","",Moteur!H14)</f>
        <v/>
      </c>
      <c r="F14" t="str">
        <f>IF(Moteur!E14="","",Moteur!E14)</f>
        <v/>
      </c>
      <c r="G14" t="str">
        <f>IF($A14="","",SUMIFS(Allocation2!$H$1:$H$175,Allocation2!$C$1:$C$175,$A14,Allocation2!$D$1:$D$175,$C14,Allocation2!$E$1:$E$175,$D14,Allocation2!$F$1:$F$175,$E14,Allocation2!$G$1:$G$175,"2026"))</f>
        <v/>
      </c>
      <c r="H14" t="str">
        <f>IF($A14="","",SUMIFS(Allocation2!$N$1:$N$175,Allocation2!$C$1:$C$175,$A14,Allocation2!$D$1:$D$175,$C14,Allocation2!$E$1:$E$175,$D14,Allocation2!$F$1:$F$175,$E14,Allocation2!$G$1:$G$175,"2026"))</f>
        <v/>
      </c>
      <c r="I14" t="str">
        <f>IF($A14="","",SUMIFS(Allocation2!$P$1:$P$175,Allocation2!$C$1:$C$175,$A14,Allocation2!$D$1:$D$175,$C14,Allocation2!$E$1:$E$175,$D14,Allocation2!$F$1:$F$175,$E14,Allocation2!$G$1:$G$175,"2026"))</f>
        <v/>
      </c>
      <c r="J14" t="str">
        <f>IF($A14="","",SUMIFS(Allocation2!$W$1:$W$175,Allocation2!$C$1:$C$175,$A14,Allocation2!$D$1:$D$175,$C14,Allocation2!$E$1:$E$175,$D14,Allocation2!$F$1:$F$175,$E14,Allocation2!$G$1:$G$175,"2026"))</f>
        <v/>
      </c>
      <c r="K14" t="str">
        <f>IF($A14="","",SUMIFS(Allocation2!$X$1:$X$175,Allocation2!$C$1:$C$175,$A14,Allocation2!$D$1:$D$175,$C14,Allocation2!$E$1:$E$175,$D14,Allocation2!$F$1:$F$175,$E14,Allocation2!$G$1:$G$175,"2026"))</f>
        <v/>
      </c>
      <c r="L14" t="str">
        <f>IF($A14="","",SUMIFS(Allocation2!$Y$1:$Y$175,Allocation2!$C$1:$C$175,$A14,Allocation2!$D$1:$D$175,$C14,Allocation2!$E$1:$E$175,$D14,Allocation2!$F$1:$F$175,$E14,Allocation2!$G$1:$G$175,"2026"))</f>
        <v/>
      </c>
      <c r="M14" t="str">
        <f>IF($A14="","",SUMIFS(Allocation2!$V$1:$V$175,Allocation2!$C$1:$C$175,$A14,Allocation2!$D$1:$D$175,$C14,Allocation2!$E$1:$E$175,$D14,Allocation2!$F$1:$F$175,$E14,Allocation2!$G$1:$G$175,"2026"))</f>
        <v/>
      </c>
      <c r="N14" t="str">
        <f t="shared" si="0"/>
        <v/>
      </c>
      <c r="O14" t="str">
        <f>IF($A14="","",SUMIFS(Campagne!$D$1:$D$15,Campagne!$C$1:$C$15,$A14))</f>
        <v/>
      </c>
      <c r="P14" t="str">
        <f>IF($A14="","",SUMIFS(Campagne!$E$1:$E$15,Campagne!$C$1:$C$15,$A14))</f>
        <v/>
      </c>
      <c r="Q14" t="str">
        <f>IF($A14="","",SUMIFS(Campagne!$F$1:$F$15,Campagne!$C$1:$C$15,$A14))</f>
        <v/>
      </c>
      <c r="R14" t="str">
        <f>IF($A14="","",SUMIFS(Campagne!$K$1:$K$15,Campagne!$C$1:$C$15,$A14))</f>
        <v/>
      </c>
      <c r="S14" t="str">
        <f>IF($A14="","",SUMIFS(Campagne!$M$1:$M$15,Campagne!$C$1:$C$15,$A14))</f>
        <v/>
      </c>
      <c r="T14" t="str">
        <f>IF($A14="","",SUMIFS(PIL!$K$15:$K$28,PIL!$A$15:$A$28,$A14)*SUMIFS(PIL!$J$15:$J$28,PIL!$A$15:$A$28,$A14)*(SUM(PIL!$K$15:$K$28)/SUMPRODUCT(PIL!$K$15:$K$28,PIL!$J$15:$J$28)))</f>
        <v/>
      </c>
      <c r="U14" t="str">
        <f>IF($A14="","",SUMIFS(PIL!$K$15:$K$28,PIL!$A$15:$A$28,$A14))</f>
        <v/>
      </c>
      <c r="V14" t="str">
        <f>IF($A14="","",IF($B14="V01",cad!$C$23,IF($B14="V02",cad!$D$23,cad!$E$23)))</f>
        <v/>
      </c>
      <c r="W14" t="str">
        <f>IF($A14="","",IF($B14="V01",cad!$C$24,IF($B14="V02",cad!$D$24,cad!$E$24)))</f>
        <v/>
      </c>
      <c r="X14" t="str">
        <f>IF($A14="","",IF($B14="V01",cad!$C$25,IF($B14="V02",cad!$D$25,cad!$E$25)))</f>
        <v/>
      </c>
      <c r="Y14" t="str">
        <f>IF($A14="","",IF($B14="V01",cad!$C$26,IF($B14="V02",cad!$D$26,cad!$E$26)))</f>
        <v/>
      </c>
      <c r="Z14" t="str">
        <f>IF($A14="","",IF($B14="V01",cad!$C$27,IF($B14="V02",cad!$D$27,cad!$E$27)))</f>
        <v/>
      </c>
      <c r="AA14" t="str">
        <f>IF($A14="","",IF($B14="V01",cad!$C$28,IF($B14="V02",cad!$D$28,cad!$E$28)))</f>
        <v/>
      </c>
      <c r="AB14" t="str">
        <f>IF($A14="","",IF($B14="V01",cad!$C$39,IF($B14="V02",cad!$D$39,cad!$E$39)))</f>
        <v/>
      </c>
      <c r="AC14" t="str">
        <f>IF($A14="","",IF($F14="MBWAY",cad!$J$12,IF($F14="ISCOM",cad!$J$13,IF($F14="IPAC",cad!$J$14,IF($F14="PIGIER",cad!$J$15,cad!$J$16)))))</f>
        <v/>
      </c>
      <c r="AD14" t="str">
        <f t="shared" si="1"/>
        <v/>
      </c>
      <c r="AE14" t="str">
        <f t="shared" si="2"/>
        <v/>
      </c>
      <c r="AF14" t="str">
        <f t="shared" si="3"/>
        <v/>
      </c>
      <c r="AG14" t="str">
        <f t="shared" si="4"/>
        <v/>
      </c>
      <c r="AH14" t="str">
        <f t="shared" si="5"/>
        <v/>
      </c>
    </row>
    <row r="15" spans="1:36" x14ac:dyDescent="0.45">
      <c r="A15" t="str">
        <f>IF(Moteur!D15="","",Moteur!D15)</f>
        <v/>
      </c>
      <c r="B15" t="str">
        <f>IF(Moteur!B15="","",Moteur!B15)</f>
        <v/>
      </c>
      <c r="C15" t="str">
        <f>IF(Moteur!F15="","",Moteur!F15)</f>
        <v/>
      </c>
      <c r="D15" t="str">
        <f>IF(Moteur!G15="","",Moteur!G15)</f>
        <v/>
      </c>
      <c r="E15" t="str">
        <f>IF(Moteur!H15="","",Moteur!H15)</f>
        <v/>
      </c>
      <c r="F15" t="str">
        <f>IF(Moteur!E15="","",Moteur!E15)</f>
        <v/>
      </c>
      <c r="G15" t="str">
        <f>IF($A15="","",SUMIFS(Allocation2!$H$1:$H$175,Allocation2!$C$1:$C$175,$A15,Allocation2!$D$1:$D$175,$C15,Allocation2!$E$1:$E$175,$D15,Allocation2!$F$1:$F$175,$E15,Allocation2!$G$1:$G$175,"2026"))</f>
        <v/>
      </c>
      <c r="H15" t="str">
        <f>IF($A15="","",SUMIFS(Allocation2!$N$1:$N$175,Allocation2!$C$1:$C$175,$A15,Allocation2!$D$1:$D$175,$C15,Allocation2!$E$1:$E$175,$D15,Allocation2!$F$1:$F$175,$E15,Allocation2!$G$1:$G$175,"2026"))</f>
        <v/>
      </c>
      <c r="I15" t="str">
        <f>IF($A15="","",SUMIFS(Allocation2!$P$1:$P$175,Allocation2!$C$1:$C$175,$A15,Allocation2!$D$1:$D$175,$C15,Allocation2!$E$1:$E$175,$D15,Allocation2!$F$1:$F$175,$E15,Allocation2!$G$1:$G$175,"2026"))</f>
        <v/>
      </c>
      <c r="J15" t="str">
        <f>IF($A15="","",SUMIFS(Allocation2!$W$1:$W$175,Allocation2!$C$1:$C$175,$A15,Allocation2!$D$1:$D$175,$C15,Allocation2!$E$1:$E$175,$D15,Allocation2!$F$1:$F$175,$E15,Allocation2!$G$1:$G$175,"2026"))</f>
        <v/>
      </c>
      <c r="K15" t="str">
        <f>IF($A15="","",SUMIFS(Allocation2!$X$1:$X$175,Allocation2!$C$1:$C$175,$A15,Allocation2!$D$1:$D$175,$C15,Allocation2!$E$1:$E$175,$D15,Allocation2!$F$1:$F$175,$E15,Allocation2!$G$1:$G$175,"2026"))</f>
        <v/>
      </c>
      <c r="L15" t="str">
        <f>IF($A15="","",SUMIFS(Allocation2!$Y$1:$Y$175,Allocation2!$C$1:$C$175,$A15,Allocation2!$D$1:$D$175,$C15,Allocation2!$E$1:$E$175,$D15,Allocation2!$F$1:$F$175,$E15,Allocation2!$G$1:$G$175,"2026"))</f>
        <v/>
      </c>
      <c r="M15" t="str">
        <f>IF($A15="","",SUMIFS(Allocation2!$V$1:$V$175,Allocation2!$C$1:$C$175,$A15,Allocation2!$D$1:$D$175,$C15,Allocation2!$E$1:$E$175,$D15,Allocation2!$F$1:$F$175,$E15,Allocation2!$G$1:$G$175,"2026"))</f>
        <v/>
      </c>
      <c r="N15" t="str">
        <f t="shared" si="0"/>
        <v/>
      </c>
      <c r="O15" t="str">
        <f>IF($A15="","",SUMIFS(Campagne!$D$1:$D$15,Campagne!$C$1:$C$15,$A15))</f>
        <v/>
      </c>
      <c r="P15" t="str">
        <f>IF($A15="","",SUMIFS(Campagne!$E$1:$E$15,Campagne!$C$1:$C$15,$A15))</f>
        <v/>
      </c>
      <c r="Q15" t="str">
        <f>IF($A15="","",SUMIFS(Campagne!$F$1:$F$15,Campagne!$C$1:$C$15,$A15))</f>
        <v/>
      </c>
      <c r="R15" t="str">
        <f>IF($A15="","",SUMIFS(Campagne!$K$1:$K$15,Campagne!$C$1:$C$15,$A15))</f>
        <v/>
      </c>
      <c r="S15" t="str">
        <f>IF($A15="","",SUMIFS(Campagne!$M$1:$M$15,Campagne!$C$1:$C$15,$A15))</f>
        <v/>
      </c>
      <c r="T15" t="str">
        <f>IF($A15="","",SUMIFS(PIL!$K$15:$K$28,PIL!$A$15:$A$28,$A15)*SUMIFS(PIL!$J$15:$J$28,PIL!$A$15:$A$28,$A15)*(SUM(PIL!$K$15:$K$28)/SUMPRODUCT(PIL!$K$15:$K$28,PIL!$J$15:$J$28)))</f>
        <v/>
      </c>
      <c r="U15" t="str">
        <f>IF($A15="","",SUMIFS(PIL!$K$15:$K$28,PIL!$A$15:$A$28,$A15))</f>
        <v/>
      </c>
      <c r="V15" t="str">
        <f>IF($A15="","",IF($B15="V01",cad!$C$23,IF($B15="V02",cad!$D$23,cad!$E$23)))</f>
        <v/>
      </c>
      <c r="W15" t="str">
        <f>IF($A15="","",IF($B15="V01",cad!$C$24,IF($B15="V02",cad!$D$24,cad!$E$24)))</f>
        <v/>
      </c>
      <c r="X15" t="str">
        <f>IF($A15="","",IF($B15="V01",cad!$C$25,IF($B15="V02",cad!$D$25,cad!$E$25)))</f>
        <v/>
      </c>
      <c r="Y15" t="str">
        <f>IF($A15="","",IF($B15="V01",cad!$C$26,IF($B15="V02",cad!$D$26,cad!$E$26)))</f>
        <v/>
      </c>
      <c r="Z15" t="str">
        <f>IF($A15="","",IF($B15="V01",cad!$C$27,IF($B15="V02",cad!$D$27,cad!$E$27)))</f>
        <v/>
      </c>
      <c r="AA15" t="str">
        <f>IF($A15="","",IF($B15="V01",cad!$C$28,IF($B15="V02",cad!$D$28,cad!$E$28)))</f>
        <v/>
      </c>
      <c r="AB15" t="str">
        <f>IF($A15="","",IF($B15="V01",cad!$C$39,IF($B15="V02",cad!$D$39,cad!$E$39)))</f>
        <v/>
      </c>
      <c r="AC15" t="str">
        <f>IF($A15="","",IF($F15="MBWAY",cad!$J$12,IF($F15="ISCOM",cad!$J$13,IF($F15="IPAC",cad!$J$14,IF($F15="PIGIER",cad!$J$15,cad!$J$16)))))</f>
        <v/>
      </c>
      <c r="AD15" t="str">
        <f t="shared" si="1"/>
        <v/>
      </c>
      <c r="AE15" t="str">
        <f t="shared" si="2"/>
        <v/>
      </c>
      <c r="AF15" t="str">
        <f t="shared" si="3"/>
        <v/>
      </c>
      <c r="AG15" t="str">
        <f t="shared" si="4"/>
        <v/>
      </c>
      <c r="AH15" t="str">
        <f t="shared" si="5"/>
        <v/>
      </c>
    </row>
    <row r="16" spans="1:36" x14ac:dyDescent="0.45">
      <c r="A16" t="str">
        <f>IF(Moteur!D16="","",Moteur!D16)</f>
        <v/>
      </c>
      <c r="B16" t="str">
        <f>IF(Moteur!B16="","",Moteur!B16)</f>
        <v/>
      </c>
      <c r="C16" t="str">
        <f>IF(Moteur!F16="","",Moteur!F16)</f>
        <v/>
      </c>
      <c r="D16" t="str">
        <f>IF(Moteur!G16="","",Moteur!G16)</f>
        <v/>
      </c>
      <c r="E16" t="str">
        <f>IF(Moteur!H16="","",Moteur!H16)</f>
        <v/>
      </c>
      <c r="F16" t="str">
        <f>IF(Moteur!E16="","",Moteur!E16)</f>
        <v/>
      </c>
      <c r="G16" t="str">
        <f>IF($A16="","",SUMIFS(Allocation2!$H$1:$H$175,Allocation2!$C$1:$C$175,$A16,Allocation2!$D$1:$D$175,$C16,Allocation2!$E$1:$E$175,$D16,Allocation2!$F$1:$F$175,$E16,Allocation2!$G$1:$G$175,"2026"))</f>
        <v/>
      </c>
      <c r="H16" t="str">
        <f>IF($A16="","",SUMIFS(Allocation2!$N$1:$N$175,Allocation2!$C$1:$C$175,$A16,Allocation2!$D$1:$D$175,$C16,Allocation2!$E$1:$E$175,$D16,Allocation2!$F$1:$F$175,$E16,Allocation2!$G$1:$G$175,"2026"))</f>
        <v/>
      </c>
      <c r="I16" t="str">
        <f>IF($A16="","",SUMIFS(Allocation2!$P$1:$P$175,Allocation2!$C$1:$C$175,$A16,Allocation2!$D$1:$D$175,$C16,Allocation2!$E$1:$E$175,$D16,Allocation2!$F$1:$F$175,$E16,Allocation2!$G$1:$G$175,"2026"))</f>
        <v/>
      </c>
      <c r="J16" t="str">
        <f>IF($A16="","",SUMIFS(Allocation2!$W$1:$W$175,Allocation2!$C$1:$C$175,$A16,Allocation2!$D$1:$D$175,$C16,Allocation2!$E$1:$E$175,$D16,Allocation2!$F$1:$F$175,$E16,Allocation2!$G$1:$G$175,"2026"))</f>
        <v/>
      </c>
      <c r="K16" t="str">
        <f>IF($A16="","",SUMIFS(Allocation2!$X$1:$X$175,Allocation2!$C$1:$C$175,$A16,Allocation2!$D$1:$D$175,$C16,Allocation2!$E$1:$E$175,$D16,Allocation2!$F$1:$F$175,$E16,Allocation2!$G$1:$G$175,"2026"))</f>
        <v/>
      </c>
      <c r="L16" t="str">
        <f>IF($A16="","",SUMIFS(Allocation2!$Y$1:$Y$175,Allocation2!$C$1:$C$175,$A16,Allocation2!$D$1:$D$175,$C16,Allocation2!$E$1:$E$175,$D16,Allocation2!$F$1:$F$175,$E16,Allocation2!$G$1:$G$175,"2026"))</f>
        <v/>
      </c>
      <c r="M16" t="str">
        <f>IF($A16="","",SUMIFS(Allocation2!$V$1:$V$175,Allocation2!$C$1:$C$175,$A16,Allocation2!$D$1:$D$175,$C16,Allocation2!$E$1:$E$175,$D16,Allocation2!$F$1:$F$175,$E16,Allocation2!$G$1:$G$175,"2026"))</f>
        <v/>
      </c>
      <c r="N16" t="str">
        <f t="shared" si="0"/>
        <v/>
      </c>
      <c r="O16" t="str">
        <f>IF($A16="","",SUMIFS(Campagne!$D$1:$D$15,Campagne!$C$1:$C$15,$A16))</f>
        <v/>
      </c>
      <c r="P16" t="str">
        <f>IF($A16="","",SUMIFS(Campagne!$E$1:$E$15,Campagne!$C$1:$C$15,$A16))</f>
        <v/>
      </c>
      <c r="Q16" t="str">
        <f>IF($A16="","",SUMIFS(Campagne!$F$1:$F$15,Campagne!$C$1:$C$15,$A16))</f>
        <v/>
      </c>
      <c r="R16" t="str">
        <f>IF($A16="","",SUMIFS(Campagne!$K$1:$K$15,Campagne!$C$1:$C$15,$A16))</f>
        <v/>
      </c>
      <c r="S16" t="str">
        <f>IF($A16="","",SUMIFS(Campagne!$M$1:$M$15,Campagne!$C$1:$C$15,$A16))</f>
        <v/>
      </c>
      <c r="T16" t="str">
        <f>IF($A16="","",SUMIFS(PIL!$K$15:$K$28,PIL!$A$15:$A$28,$A16)*SUMIFS(PIL!$J$15:$J$28,PIL!$A$15:$A$28,$A16)*(SUM(PIL!$K$15:$K$28)/SUMPRODUCT(PIL!$K$15:$K$28,PIL!$J$15:$J$28)))</f>
        <v/>
      </c>
      <c r="U16" t="str">
        <f>IF($A16="","",SUMIFS(PIL!$K$15:$K$28,PIL!$A$15:$A$28,$A16))</f>
        <v/>
      </c>
      <c r="V16" t="str">
        <f>IF($A16="","",IF($B16="V01",cad!$C$23,IF($B16="V02",cad!$D$23,cad!$E$23)))</f>
        <v/>
      </c>
      <c r="W16" t="str">
        <f>IF($A16="","",IF($B16="V01",cad!$C$24,IF($B16="V02",cad!$D$24,cad!$E$24)))</f>
        <v/>
      </c>
      <c r="X16" t="str">
        <f>IF($A16="","",IF($B16="V01",cad!$C$25,IF($B16="V02",cad!$D$25,cad!$E$25)))</f>
        <v/>
      </c>
      <c r="Y16" t="str">
        <f>IF($A16="","",IF($B16="V01",cad!$C$26,IF($B16="V02",cad!$D$26,cad!$E$26)))</f>
        <v/>
      </c>
      <c r="Z16" t="str">
        <f>IF($A16="","",IF($B16="V01",cad!$C$27,IF($B16="V02",cad!$D$27,cad!$E$27)))</f>
        <v/>
      </c>
      <c r="AA16" t="str">
        <f>IF($A16="","",IF($B16="V01",cad!$C$28,IF($B16="V02",cad!$D$28,cad!$E$28)))</f>
        <v/>
      </c>
      <c r="AB16" t="str">
        <f>IF($A16="","",IF($B16="V01",cad!$C$39,IF($B16="V02",cad!$D$39,cad!$E$39)))</f>
        <v/>
      </c>
      <c r="AC16" t="str">
        <f>IF($A16="","",IF($F16="MBWAY",cad!$J$12,IF($F16="ISCOM",cad!$J$13,IF($F16="IPAC",cad!$J$14,IF($F16="PIGIER",cad!$J$15,cad!$J$16)))))</f>
        <v/>
      </c>
      <c r="AD16" t="str">
        <f t="shared" si="1"/>
        <v/>
      </c>
      <c r="AE16" t="str">
        <f t="shared" si="2"/>
        <v/>
      </c>
      <c r="AF16" t="str">
        <f t="shared" si="3"/>
        <v/>
      </c>
      <c r="AG16" t="str">
        <f t="shared" si="4"/>
        <v/>
      </c>
      <c r="AH16" t="str">
        <f t="shared" si="5"/>
        <v/>
      </c>
    </row>
    <row r="17" spans="1:34" x14ac:dyDescent="0.45">
      <c r="A17" t="str">
        <f>IF(Moteur!D17="","",Moteur!D17)</f>
        <v/>
      </c>
      <c r="B17" t="str">
        <f>IF(Moteur!B17="","",Moteur!B17)</f>
        <v/>
      </c>
      <c r="C17" t="str">
        <f>IF(Moteur!F17="","",Moteur!F17)</f>
        <v/>
      </c>
      <c r="D17" t="str">
        <f>IF(Moteur!G17="","",Moteur!G17)</f>
        <v/>
      </c>
      <c r="E17" t="str">
        <f>IF(Moteur!H17="","",Moteur!H17)</f>
        <v/>
      </c>
      <c r="F17" t="str">
        <f>IF(Moteur!E17="","",Moteur!E17)</f>
        <v/>
      </c>
      <c r="G17" t="str">
        <f>IF($A17="","",SUMIFS(Allocation2!$H$1:$H$175,Allocation2!$C$1:$C$175,$A17,Allocation2!$D$1:$D$175,$C17,Allocation2!$E$1:$E$175,$D17,Allocation2!$F$1:$F$175,$E17,Allocation2!$G$1:$G$175,"2026"))</f>
        <v/>
      </c>
      <c r="H17" t="str">
        <f>IF($A17="","",SUMIFS(Allocation2!$N$1:$N$175,Allocation2!$C$1:$C$175,$A17,Allocation2!$D$1:$D$175,$C17,Allocation2!$E$1:$E$175,$D17,Allocation2!$F$1:$F$175,$E17,Allocation2!$G$1:$G$175,"2026"))</f>
        <v/>
      </c>
      <c r="I17" t="str">
        <f>IF($A17="","",SUMIFS(Allocation2!$P$1:$P$175,Allocation2!$C$1:$C$175,$A17,Allocation2!$D$1:$D$175,$C17,Allocation2!$E$1:$E$175,$D17,Allocation2!$F$1:$F$175,$E17,Allocation2!$G$1:$G$175,"2026"))</f>
        <v/>
      </c>
      <c r="J17" t="str">
        <f>IF($A17="","",SUMIFS(Allocation2!$W$1:$W$175,Allocation2!$C$1:$C$175,$A17,Allocation2!$D$1:$D$175,$C17,Allocation2!$E$1:$E$175,$D17,Allocation2!$F$1:$F$175,$E17,Allocation2!$G$1:$G$175,"2026"))</f>
        <v/>
      </c>
      <c r="K17" t="str">
        <f>IF($A17="","",SUMIFS(Allocation2!$X$1:$X$175,Allocation2!$C$1:$C$175,$A17,Allocation2!$D$1:$D$175,$C17,Allocation2!$E$1:$E$175,$D17,Allocation2!$F$1:$F$175,$E17,Allocation2!$G$1:$G$175,"2026"))</f>
        <v/>
      </c>
      <c r="L17" t="str">
        <f>IF($A17="","",SUMIFS(Allocation2!$Y$1:$Y$175,Allocation2!$C$1:$C$175,$A17,Allocation2!$D$1:$D$175,$C17,Allocation2!$E$1:$E$175,$D17,Allocation2!$F$1:$F$175,$E17,Allocation2!$G$1:$G$175,"2026"))</f>
        <v/>
      </c>
      <c r="M17" t="str">
        <f>IF($A17="","",SUMIFS(Allocation2!$V$1:$V$175,Allocation2!$C$1:$C$175,$A17,Allocation2!$D$1:$D$175,$C17,Allocation2!$E$1:$E$175,$D17,Allocation2!$F$1:$F$175,$E17,Allocation2!$G$1:$G$175,"2026"))</f>
        <v/>
      </c>
      <c r="N17" t="str">
        <f t="shared" si="0"/>
        <v/>
      </c>
      <c r="O17" t="str">
        <f>IF($A17="","",SUMIFS(Campagne!$D$1:$D$15,Campagne!$C$1:$C$15,$A17))</f>
        <v/>
      </c>
      <c r="P17" t="str">
        <f>IF($A17="","",SUMIFS(Campagne!$E$1:$E$15,Campagne!$C$1:$C$15,$A17))</f>
        <v/>
      </c>
      <c r="Q17" t="str">
        <f>IF($A17="","",SUMIFS(Campagne!$F$1:$F$15,Campagne!$C$1:$C$15,$A17))</f>
        <v/>
      </c>
      <c r="R17" t="str">
        <f>IF($A17="","",SUMIFS(Campagne!$K$1:$K$15,Campagne!$C$1:$C$15,$A17))</f>
        <v/>
      </c>
      <c r="S17" t="str">
        <f>IF($A17="","",SUMIFS(Campagne!$M$1:$M$15,Campagne!$C$1:$C$15,$A17))</f>
        <v/>
      </c>
      <c r="T17" t="str">
        <f>IF($A17="","",SUMIFS(PIL!$K$15:$K$28,PIL!$A$15:$A$28,$A17)*SUMIFS(PIL!$J$15:$J$28,PIL!$A$15:$A$28,$A17)*(SUM(PIL!$K$15:$K$28)/SUMPRODUCT(PIL!$K$15:$K$28,PIL!$J$15:$J$28)))</f>
        <v/>
      </c>
      <c r="U17" t="str">
        <f>IF($A17="","",SUMIFS(PIL!$K$15:$K$28,PIL!$A$15:$A$28,$A17))</f>
        <v/>
      </c>
      <c r="V17" t="str">
        <f>IF($A17="","",IF($B17="V01",cad!$C$23,IF($B17="V02",cad!$D$23,cad!$E$23)))</f>
        <v/>
      </c>
      <c r="W17" t="str">
        <f>IF($A17="","",IF($B17="V01",cad!$C$24,IF($B17="V02",cad!$D$24,cad!$E$24)))</f>
        <v/>
      </c>
      <c r="X17" t="str">
        <f>IF($A17="","",IF($B17="V01",cad!$C$25,IF($B17="V02",cad!$D$25,cad!$E$25)))</f>
        <v/>
      </c>
      <c r="Y17" t="str">
        <f>IF($A17="","",IF($B17="V01",cad!$C$26,IF($B17="V02",cad!$D$26,cad!$E$26)))</f>
        <v/>
      </c>
      <c r="Z17" t="str">
        <f>IF($A17="","",IF($B17="V01",cad!$C$27,IF($B17="V02",cad!$D$27,cad!$E$27)))</f>
        <v/>
      </c>
      <c r="AA17" t="str">
        <f>IF($A17="","",IF($B17="V01",cad!$C$28,IF($B17="V02",cad!$D$28,cad!$E$28)))</f>
        <v/>
      </c>
      <c r="AB17" t="str">
        <f>IF($A17="","",IF($B17="V01",cad!$C$39,IF($B17="V02",cad!$D$39,cad!$E$39)))</f>
        <v/>
      </c>
      <c r="AC17" t="str">
        <f>IF($A17="","",IF($F17="MBWAY",cad!$J$12,IF($F17="ISCOM",cad!$J$13,IF($F17="IPAC",cad!$J$14,IF($F17="PIGIER",cad!$J$15,cad!$J$16)))))</f>
        <v/>
      </c>
      <c r="AD17" t="str">
        <f t="shared" si="1"/>
        <v/>
      </c>
      <c r="AE17" t="str">
        <f t="shared" si="2"/>
        <v/>
      </c>
      <c r="AF17" t="str">
        <f t="shared" si="3"/>
        <v/>
      </c>
      <c r="AG17" t="str">
        <f t="shared" si="4"/>
        <v/>
      </c>
      <c r="AH17" t="str">
        <f t="shared" si="5"/>
        <v/>
      </c>
    </row>
    <row r="18" spans="1:34" x14ac:dyDescent="0.45">
      <c r="A18" t="str">
        <f>IF(Moteur!D18="","",Moteur!D18)</f>
        <v/>
      </c>
      <c r="B18" t="str">
        <f>IF(Moteur!B18="","",Moteur!B18)</f>
        <v/>
      </c>
      <c r="C18" t="str">
        <f>IF(Moteur!F18="","",Moteur!F18)</f>
        <v/>
      </c>
      <c r="D18" t="str">
        <f>IF(Moteur!G18="","",Moteur!G18)</f>
        <v/>
      </c>
      <c r="E18" t="str">
        <f>IF(Moteur!H18="","",Moteur!H18)</f>
        <v/>
      </c>
      <c r="F18" t="str">
        <f>IF(Moteur!E18="","",Moteur!E18)</f>
        <v/>
      </c>
      <c r="G18" t="str">
        <f>IF($A18="","",SUMIFS(Allocation2!$H$1:$H$175,Allocation2!$C$1:$C$175,$A18,Allocation2!$D$1:$D$175,$C18,Allocation2!$E$1:$E$175,$D18,Allocation2!$F$1:$F$175,$E18,Allocation2!$G$1:$G$175,"2026"))</f>
        <v/>
      </c>
      <c r="H18" t="str">
        <f>IF($A18="","",SUMIFS(Allocation2!$N$1:$N$175,Allocation2!$C$1:$C$175,$A18,Allocation2!$D$1:$D$175,$C18,Allocation2!$E$1:$E$175,$D18,Allocation2!$F$1:$F$175,$E18,Allocation2!$G$1:$G$175,"2026"))</f>
        <v/>
      </c>
      <c r="I18" t="str">
        <f>IF($A18="","",SUMIFS(Allocation2!$P$1:$P$175,Allocation2!$C$1:$C$175,$A18,Allocation2!$D$1:$D$175,$C18,Allocation2!$E$1:$E$175,$D18,Allocation2!$F$1:$F$175,$E18,Allocation2!$G$1:$G$175,"2026"))</f>
        <v/>
      </c>
      <c r="J18" t="str">
        <f>IF($A18="","",SUMIFS(Allocation2!$W$1:$W$175,Allocation2!$C$1:$C$175,$A18,Allocation2!$D$1:$D$175,$C18,Allocation2!$E$1:$E$175,$D18,Allocation2!$F$1:$F$175,$E18,Allocation2!$G$1:$G$175,"2026"))</f>
        <v/>
      </c>
      <c r="K18" t="str">
        <f>IF($A18="","",SUMIFS(Allocation2!$X$1:$X$175,Allocation2!$C$1:$C$175,$A18,Allocation2!$D$1:$D$175,$C18,Allocation2!$E$1:$E$175,$D18,Allocation2!$F$1:$F$175,$E18,Allocation2!$G$1:$G$175,"2026"))</f>
        <v/>
      </c>
      <c r="L18" t="str">
        <f>IF($A18="","",SUMIFS(Allocation2!$Y$1:$Y$175,Allocation2!$C$1:$C$175,$A18,Allocation2!$D$1:$D$175,$C18,Allocation2!$E$1:$E$175,$D18,Allocation2!$F$1:$F$175,$E18,Allocation2!$G$1:$G$175,"2026"))</f>
        <v/>
      </c>
      <c r="M18" t="str">
        <f>IF($A18="","",SUMIFS(Allocation2!$V$1:$V$175,Allocation2!$C$1:$C$175,$A18,Allocation2!$D$1:$D$175,$C18,Allocation2!$E$1:$E$175,$D18,Allocation2!$F$1:$F$175,$E18,Allocation2!$G$1:$G$175,"2026"))</f>
        <v/>
      </c>
      <c r="N18" t="str">
        <f t="shared" si="0"/>
        <v/>
      </c>
      <c r="O18" t="str">
        <f>IF($A18="","",SUMIFS(Campagne!$D$1:$D$15,Campagne!$C$1:$C$15,$A18))</f>
        <v/>
      </c>
      <c r="P18" t="str">
        <f>IF($A18="","",SUMIFS(Campagne!$E$1:$E$15,Campagne!$C$1:$C$15,$A18))</f>
        <v/>
      </c>
      <c r="Q18" t="str">
        <f>IF($A18="","",SUMIFS(Campagne!$F$1:$F$15,Campagne!$C$1:$C$15,$A18))</f>
        <v/>
      </c>
      <c r="R18" t="str">
        <f>IF($A18="","",SUMIFS(Campagne!$K$1:$K$15,Campagne!$C$1:$C$15,$A18))</f>
        <v/>
      </c>
      <c r="S18" t="str">
        <f>IF($A18="","",SUMIFS(Campagne!$M$1:$M$15,Campagne!$C$1:$C$15,$A18))</f>
        <v/>
      </c>
      <c r="T18" t="str">
        <f>IF($A18="","",SUMIFS(PIL!$K$15:$K$28,PIL!$A$15:$A$28,$A18)*SUMIFS(PIL!$J$15:$J$28,PIL!$A$15:$A$28,$A18)*(SUM(PIL!$K$15:$K$28)/SUMPRODUCT(PIL!$K$15:$K$28,PIL!$J$15:$J$28)))</f>
        <v/>
      </c>
      <c r="U18" t="str">
        <f>IF($A18="","",SUMIFS(PIL!$K$15:$K$28,PIL!$A$15:$A$28,$A18))</f>
        <v/>
      </c>
      <c r="V18" t="str">
        <f>IF($A18="","",IF($B18="V01",cad!$C$23,IF($B18="V02",cad!$D$23,cad!$E$23)))</f>
        <v/>
      </c>
      <c r="W18" t="str">
        <f>IF($A18="","",IF($B18="V01",cad!$C$24,IF($B18="V02",cad!$D$24,cad!$E$24)))</f>
        <v/>
      </c>
      <c r="X18" t="str">
        <f>IF($A18="","",IF($B18="V01",cad!$C$25,IF($B18="V02",cad!$D$25,cad!$E$25)))</f>
        <v/>
      </c>
      <c r="Y18" t="str">
        <f>IF($A18="","",IF($B18="V01",cad!$C$26,IF($B18="V02",cad!$D$26,cad!$E$26)))</f>
        <v/>
      </c>
      <c r="Z18" t="str">
        <f>IF($A18="","",IF($B18="V01",cad!$C$27,IF($B18="V02",cad!$D$27,cad!$E$27)))</f>
        <v/>
      </c>
      <c r="AA18" t="str">
        <f>IF($A18="","",IF($B18="V01",cad!$C$28,IF($B18="V02",cad!$D$28,cad!$E$28)))</f>
        <v/>
      </c>
      <c r="AB18" t="str">
        <f>IF($A18="","",IF($B18="V01",cad!$C$39,IF($B18="V02",cad!$D$39,cad!$E$39)))</f>
        <v/>
      </c>
      <c r="AC18" t="str">
        <f>IF($A18="","",IF($F18="MBWAY",cad!$J$12,IF($F18="ISCOM",cad!$J$13,IF($F18="IPAC",cad!$J$14,IF($F18="PIGIER",cad!$J$15,cad!$J$16)))))</f>
        <v/>
      </c>
      <c r="AD18" t="str">
        <f t="shared" si="1"/>
        <v/>
      </c>
      <c r="AE18" t="str">
        <f t="shared" si="2"/>
        <v/>
      </c>
      <c r="AF18" t="str">
        <f t="shared" si="3"/>
        <v/>
      </c>
      <c r="AG18" t="str">
        <f t="shared" si="4"/>
        <v/>
      </c>
      <c r="AH18" t="str">
        <f t="shared" si="5"/>
        <v/>
      </c>
    </row>
    <row r="19" spans="1:34" x14ac:dyDescent="0.45">
      <c r="A19" t="str">
        <f>IF(Moteur!D19="","",Moteur!D19)</f>
        <v/>
      </c>
      <c r="B19" t="str">
        <f>IF(Moteur!B19="","",Moteur!B19)</f>
        <v/>
      </c>
      <c r="C19" t="str">
        <f>IF(Moteur!F19="","",Moteur!F19)</f>
        <v/>
      </c>
      <c r="D19" t="str">
        <f>IF(Moteur!G19="","",Moteur!G19)</f>
        <v/>
      </c>
      <c r="E19" t="str">
        <f>IF(Moteur!H19="","",Moteur!H19)</f>
        <v/>
      </c>
      <c r="F19" t="str">
        <f>IF(Moteur!E19="","",Moteur!E19)</f>
        <v/>
      </c>
      <c r="G19" t="str">
        <f>IF($A19="","",SUMIFS(Allocation2!$H$1:$H$175,Allocation2!$C$1:$C$175,$A19,Allocation2!$D$1:$D$175,$C19,Allocation2!$E$1:$E$175,$D19,Allocation2!$F$1:$F$175,$E19,Allocation2!$G$1:$G$175,"2026"))</f>
        <v/>
      </c>
      <c r="H19" t="str">
        <f>IF($A19="","",SUMIFS(Allocation2!$N$1:$N$175,Allocation2!$C$1:$C$175,$A19,Allocation2!$D$1:$D$175,$C19,Allocation2!$E$1:$E$175,$D19,Allocation2!$F$1:$F$175,$E19,Allocation2!$G$1:$G$175,"2026"))</f>
        <v/>
      </c>
      <c r="I19" t="str">
        <f>IF($A19="","",SUMIFS(Allocation2!$P$1:$P$175,Allocation2!$C$1:$C$175,$A19,Allocation2!$D$1:$D$175,$C19,Allocation2!$E$1:$E$175,$D19,Allocation2!$F$1:$F$175,$E19,Allocation2!$G$1:$G$175,"2026"))</f>
        <v/>
      </c>
      <c r="J19" t="str">
        <f>IF($A19="","",SUMIFS(Allocation2!$W$1:$W$175,Allocation2!$C$1:$C$175,$A19,Allocation2!$D$1:$D$175,$C19,Allocation2!$E$1:$E$175,$D19,Allocation2!$F$1:$F$175,$E19,Allocation2!$G$1:$G$175,"2026"))</f>
        <v/>
      </c>
      <c r="K19" t="str">
        <f>IF($A19="","",SUMIFS(Allocation2!$X$1:$X$175,Allocation2!$C$1:$C$175,$A19,Allocation2!$D$1:$D$175,$C19,Allocation2!$E$1:$E$175,$D19,Allocation2!$F$1:$F$175,$E19,Allocation2!$G$1:$G$175,"2026"))</f>
        <v/>
      </c>
      <c r="L19" t="str">
        <f>IF($A19="","",SUMIFS(Allocation2!$Y$1:$Y$175,Allocation2!$C$1:$C$175,$A19,Allocation2!$D$1:$D$175,$C19,Allocation2!$E$1:$E$175,$D19,Allocation2!$F$1:$F$175,$E19,Allocation2!$G$1:$G$175,"2026"))</f>
        <v/>
      </c>
      <c r="M19" t="str">
        <f>IF($A19="","",SUMIFS(Allocation2!$V$1:$V$175,Allocation2!$C$1:$C$175,$A19,Allocation2!$D$1:$D$175,$C19,Allocation2!$E$1:$E$175,$D19,Allocation2!$F$1:$F$175,$E19,Allocation2!$G$1:$G$175,"2026"))</f>
        <v/>
      </c>
      <c r="N19" t="str">
        <f t="shared" si="0"/>
        <v/>
      </c>
      <c r="O19" t="str">
        <f>IF($A19="","",SUMIFS(Campagne!$D$1:$D$15,Campagne!$C$1:$C$15,$A19))</f>
        <v/>
      </c>
      <c r="P19" t="str">
        <f>IF($A19="","",SUMIFS(Campagne!$E$1:$E$15,Campagne!$C$1:$C$15,$A19))</f>
        <v/>
      </c>
      <c r="Q19" t="str">
        <f>IF($A19="","",SUMIFS(Campagne!$F$1:$F$15,Campagne!$C$1:$C$15,$A19))</f>
        <v/>
      </c>
      <c r="R19" t="str">
        <f>IF($A19="","",SUMIFS(Campagne!$K$1:$K$15,Campagne!$C$1:$C$15,$A19))</f>
        <v/>
      </c>
      <c r="S19" t="str">
        <f>IF($A19="","",SUMIFS(Campagne!$M$1:$M$15,Campagne!$C$1:$C$15,$A19))</f>
        <v/>
      </c>
      <c r="T19" t="str">
        <f>IF($A19="","",SUMIFS(PIL!$K$15:$K$28,PIL!$A$15:$A$28,$A19)*SUMIFS(PIL!$J$15:$J$28,PIL!$A$15:$A$28,$A19)*(SUM(PIL!$K$15:$K$28)/SUMPRODUCT(PIL!$K$15:$K$28,PIL!$J$15:$J$28)))</f>
        <v/>
      </c>
      <c r="U19" t="str">
        <f>IF($A19="","",SUMIFS(PIL!$K$15:$K$28,PIL!$A$15:$A$28,$A19))</f>
        <v/>
      </c>
      <c r="V19" t="str">
        <f>IF($A19="","",IF($B19="V01",cad!$C$23,IF($B19="V02",cad!$D$23,cad!$E$23)))</f>
        <v/>
      </c>
      <c r="W19" t="str">
        <f>IF($A19="","",IF($B19="V01",cad!$C$24,IF($B19="V02",cad!$D$24,cad!$E$24)))</f>
        <v/>
      </c>
      <c r="X19" t="str">
        <f>IF($A19="","",IF($B19="V01",cad!$C$25,IF($B19="V02",cad!$D$25,cad!$E$25)))</f>
        <v/>
      </c>
      <c r="Y19" t="str">
        <f>IF($A19="","",IF($B19="V01",cad!$C$26,IF($B19="V02",cad!$D$26,cad!$E$26)))</f>
        <v/>
      </c>
      <c r="Z19" t="str">
        <f>IF($A19="","",IF($B19="V01",cad!$C$27,IF($B19="V02",cad!$D$27,cad!$E$27)))</f>
        <v/>
      </c>
      <c r="AA19" t="str">
        <f>IF($A19="","",IF($B19="V01",cad!$C$28,IF($B19="V02",cad!$D$28,cad!$E$28)))</f>
        <v/>
      </c>
      <c r="AB19" t="str">
        <f>IF($A19="","",IF($B19="V01",cad!$C$39,IF($B19="V02",cad!$D$39,cad!$E$39)))</f>
        <v/>
      </c>
      <c r="AC19" t="str">
        <f>IF($A19="","",IF($F19="MBWAY",cad!$J$12,IF($F19="ISCOM",cad!$J$13,IF($F19="IPAC",cad!$J$14,IF($F19="PIGIER",cad!$J$15,cad!$J$16)))))</f>
        <v/>
      </c>
      <c r="AD19" t="str">
        <f t="shared" si="1"/>
        <v/>
      </c>
      <c r="AE19" t="str">
        <f t="shared" si="2"/>
        <v/>
      </c>
      <c r="AF19" t="str">
        <f t="shared" si="3"/>
        <v/>
      </c>
      <c r="AG19" t="str">
        <f t="shared" si="4"/>
        <v/>
      </c>
      <c r="AH19" t="str">
        <f t="shared" si="5"/>
        <v/>
      </c>
    </row>
    <row r="20" spans="1:34" x14ac:dyDescent="0.45">
      <c r="A20" t="str">
        <f>IF(Moteur!D20="","",Moteur!D20)</f>
        <v/>
      </c>
      <c r="B20" t="str">
        <f>IF(Moteur!B20="","",Moteur!B20)</f>
        <v/>
      </c>
      <c r="C20" t="str">
        <f>IF(Moteur!F20="","",Moteur!F20)</f>
        <v/>
      </c>
      <c r="D20" t="str">
        <f>IF(Moteur!G20="","",Moteur!G20)</f>
        <v/>
      </c>
      <c r="E20" t="str">
        <f>IF(Moteur!H20="","",Moteur!H20)</f>
        <v/>
      </c>
      <c r="F20" t="str">
        <f>IF(Moteur!E20="","",Moteur!E20)</f>
        <v/>
      </c>
      <c r="G20" t="str">
        <f>IF($A20="","",SUMIFS(Allocation2!$H$1:$H$175,Allocation2!$C$1:$C$175,$A20,Allocation2!$D$1:$D$175,$C20,Allocation2!$E$1:$E$175,$D20,Allocation2!$F$1:$F$175,$E20,Allocation2!$G$1:$G$175,"2026"))</f>
        <v/>
      </c>
      <c r="H20" t="str">
        <f>IF($A20="","",SUMIFS(Allocation2!$N$1:$N$175,Allocation2!$C$1:$C$175,$A20,Allocation2!$D$1:$D$175,$C20,Allocation2!$E$1:$E$175,$D20,Allocation2!$F$1:$F$175,$E20,Allocation2!$G$1:$G$175,"2026"))</f>
        <v/>
      </c>
      <c r="I20" t="str">
        <f>IF($A20="","",SUMIFS(Allocation2!$P$1:$P$175,Allocation2!$C$1:$C$175,$A20,Allocation2!$D$1:$D$175,$C20,Allocation2!$E$1:$E$175,$D20,Allocation2!$F$1:$F$175,$E20,Allocation2!$G$1:$G$175,"2026"))</f>
        <v/>
      </c>
      <c r="J20" t="str">
        <f>IF($A20="","",SUMIFS(Allocation2!$W$1:$W$175,Allocation2!$C$1:$C$175,$A20,Allocation2!$D$1:$D$175,$C20,Allocation2!$E$1:$E$175,$D20,Allocation2!$F$1:$F$175,$E20,Allocation2!$G$1:$G$175,"2026"))</f>
        <v/>
      </c>
      <c r="K20" t="str">
        <f>IF($A20="","",SUMIFS(Allocation2!$X$1:$X$175,Allocation2!$C$1:$C$175,$A20,Allocation2!$D$1:$D$175,$C20,Allocation2!$E$1:$E$175,$D20,Allocation2!$F$1:$F$175,$E20,Allocation2!$G$1:$G$175,"2026"))</f>
        <v/>
      </c>
      <c r="L20" t="str">
        <f>IF($A20="","",SUMIFS(Allocation2!$Y$1:$Y$175,Allocation2!$C$1:$C$175,$A20,Allocation2!$D$1:$D$175,$C20,Allocation2!$E$1:$E$175,$D20,Allocation2!$F$1:$F$175,$E20,Allocation2!$G$1:$G$175,"2026"))</f>
        <v/>
      </c>
      <c r="M20" t="str">
        <f>IF($A20="","",SUMIFS(Allocation2!$V$1:$V$175,Allocation2!$C$1:$C$175,$A20,Allocation2!$D$1:$D$175,$C20,Allocation2!$E$1:$E$175,$D20,Allocation2!$F$1:$F$175,$E20,Allocation2!$G$1:$G$175,"2026"))</f>
        <v/>
      </c>
      <c r="N20" t="str">
        <f t="shared" si="0"/>
        <v/>
      </c>
      <c r="O20" t="str">
        <f>IF($A20="","",SUMIFS(Campagne!$D$1:$D$15,Campagne!$C$1:$C$15,$A20))</f>
        <v/>
      </c>
      <c r="P20" t="str">
        <f>IF($A20="","",SUMIFS(Campagne!$E$1:$E$15,Campagne!$C$1:$C$15,$A20))</f>
        <v/>
      </c>
      <c r="Q20" t="str">
        <f>IF($A20="","",SUMIFS(Campagne!$F$1:$F$15,Campagne!$C$1:$C$15,$A20))</f>
        <v/>
      </c>
      <c r="R20" t="str">
        <f>IF($A20="","",SUMIFS(Campagne!$K$1:$K$15,Campagne!$C$1:$C$15,$A20))</f>
        <v/>
      </c>
      <c r="S20" t="str">
        <f>IF($A20="","",SUMIFS(Campagne!$M$1:$M$15,Campagne!$C$1:$C$15,$A20))</f>
        <v/>
      </c>
      <c r="T20" t="str">
        <f>IF($A20="","",SUMIFS(PIL!$K$15:$K$28,PIL!$A$15:$A$28,$A20)*SUMIFS(PIL!$J$15:$J$28,PIL!$A$15:$A$28,$A20)*(SUM(PIL!$K$15:$K$28)/SUMPRODUCT(PIL!$K$15:$K$28,PIL!$J$15:$J$28)))</f>
        <v/>
      </c>
      <c r="U20" t="str">
        <f>IF($A20="","",SUMIFS(PIL!$K$15:$K$28,PIL!$A$15:$A$28,$A20))</f>
        <v/>
      </c>
      <c r="V20" t="str">
        <f>IF($A20="","",IF($B20="V01",cad!$C$23,IF($B20="V02",cad!$D$23,cad!$E$23)))</f>
        <v/>
      </c>
      <c r="W20" t="str">
        <f>IF($A20="","",IF($B20="V01",cad!$C$24,IF($B20="V02",cad!$D$24,cad!$E$24)))</f>
        <v/>
      </c>
      <c r="X20" t="str">
        <f>IF($A20="","",IF($B20="V01",cad!$C$25,IF($B20="V02",cad!$D$25,cad!$E$25)))</f>
        <v/>
      </c>
      <c r="Y20" t="str">
        <f>IF($A20="","",IF($B20="V01",cad!$C$26,IF($B20="V02",cad!$D$26,cad!$E$26)))</f>
        <v/>
      </c>
      <c r="Z20" t="str">
        <f>IF($A20="","",IF($B20="V01",cad!$C$27,IF($B20="V02",cad!$D$27,cad!$E$27)))</f>
        <v/>
      </c>
      <c r="AA20" t="str">
        <f>IF($A20="","",IF($B20="V01",cad!$C$28,IF($B20="V02",cad!$D$28,cad!$E$28)))</f>
        <v/>
      </c>
      <c r="AB20" t="str">
        <f>IF($A20="","",IF($B20="V01",cad!$C$39,IF($B20="V02",cad!$D$39,cad!$E$39)))</f>
        <v/>
      </c>
      <c r="AC20" t="str">
        <f>IF($A20="","",IF($F20="MBWAY",cad!$J$12,IF($F20="ISCOM",cad!$J$13,IF($F20="IPAC",cad!$J$14,IF($F20="PIGIER",cad!$J$15,cad!$J$16)))))</f>
        <v/>
      </c>
      <c r="AD20" t="str">
        <f t="shared" si="1"/>
        <v/>
      </c>
      <c r="AE20" t="str">
        <f t="shared" si="2"/>
        <v/>
      </c>
      <c r="AF20" t="str">
        <f t="shared" si="3"/>
        <v/>
      </c>
      <c r="AG20" t="str">
        <f t="shared" si="4"/>
        <v/>
      </c>
      <c r="AH20" t="str">
        <f t="shared" si="5"/>
        <v/>
      </c>
    </row>
    <row r="21" spans="1:34" x14ac:dyDescent="0.45">
      <c r="A21" t="str">
        <f>IF(Moteur!D21="","",Moteur!D21)</f>
        <v/>
      </c>
      <c r="B21" t="str">
        <f>IF(Moteur!B21="","",Moteur!B21)</f>
        <v/>
      </c>
      <c r="C21" t="str">
        <f>IF(Moteur!F21="","",Moteur!F21)</f>
        <v/>
      </c>
      <c r="D21" t="str">
        <f>IF(Moteur!G21="","",Moteur!G21)</f>
        <v/>
      </c>
      <c r="E21" t="str">
        <f>IF(Moteur!H21="","",Moteur!H21)</f>
        <v/>
      </c>
      <c r="F21" t="str">
        <f>IF(Moteur!E21="","",Moteur!E21)</f>
        <v/>
      </c>
      <c r="G21" t="str">
        <f>IF($A21="","",SUMIFS(Allocation2!$H$1:$H$175,Allocation2!$C$1:$C$175,$A21,Allocation2!$D$1:$D$175,$C21,Allocation2!$E$1:$E$175,$D21,Allocation2!$F$1:$F$175,$E21,Allocation2!$G$1:$G$175,"2026"))</f>
        <v/>
      </c>
      <c r="H21" t="str">
        <f>IF($A21="","",SUMIFS(Allocation2!$N$1:$N$175,Allocation2!$C$1:$C$175,$A21,Allocation2!$D$1:$D$175,$C21,Allocation2!$E$1:$E$175,$D21,Allocation2!$F$1:$F$175,$E21,Allocation2!$G$1:$G$175,"2026"))</f>
        <v/>
      </c>
      <c r="I21" t="str">
        <f>IF($A21="","",SUMIFS(Allocation2!$P$1:$P$175,Allocation2!$C$1:$C$175,$A21,Allocation2!$D$1:$D$175,$C21,Allocation2!$E$1:$E$175,$D21,Allocation2!$F$1:$F$175,$E21,Allocation2!$G$1:$G$175,"2026"))</f>
        <v/>
      </c>
      <c r="J21" t="str">
        <f>IF($A21="","",SUMIFS(Allocation2!$W$1:$W$175,Allocation2!$C$1:$C$175,$A21,Allocation2!$D$1:$D$175,$C21,Allocation2!$E$1:$E$175,$D21,Allocation2!$F$1:$F$175,$E21,Allocation2!$G$1:$G$175,"2026"))</f>
        <v/>
      </c>
      <c r="K21" t="str">
        <f>IF($A21="","",SUMIFS(Allocation2!$X$1:$X$175,Allocation2!$C$1:$C$175,$A21,Allocation2!$D$1:$D$175,$C21,Allocation2!$E$1:$E$175,$D21,Allocation2!$F$1:$F$175,$E21,Allocation2!$G$1:$G$175,"2026"))</f>
        <v/>
      </c>
      <c r="L21" t="str">
        <f>IF($A21="","",SUMIFS(Allocation2!$Y$1:$Y$175,Allocation2!$C$1:$C$175,$A21,Allocation2!$D$1:$D$175,$C21,Allocation2!$E$1:$E$175,$D21,Allocation2!$F$1:$F$175,$E21,Allocation2!$G$1:$G$175,"2026"))</f>
        <v/>
      </c>
      <c r="M21" t="str">
        <f>IF($A21="","",SUMIFS(Allocation2!$V$1:$V$175,Allocation2!$C$1:$C$175,$A21,Allocation2!$D$1:$D$175,$C21,Allocation2!$E$1:$E$175,$D21,Allocation2!$F$1:$F$175,$E21,Allocation2!$G$1:$G$175,"2026"))</f>
        <v/>
      </c>
      <c r="N21" t="str">
        <f t="shared" si="0"/>
        <v/>
      </c>
      <c r="O21" t="str">
        <f>IF($A21="","",SUMIFS(Campagne!$D$1:$D$15,Campagne!$C$1:$C$15,$A21))</f>
        <v/>
      </c>
      <c r="P21" t="str">
        <f>IF($A21="","",SUMIFS(Campagne!$E$1:$E$15,Campagne!$C$1:$C$15,$A21))</f>
        <v/>
      </c>
      <c r="Q21" t="str">
        <f>IF($A21="","",SUMIFS(Campagne!$F$1:$F$15,Campagne!$C$1:$C$15,$A21))</f>
        <v/>
      </c>
      <c r="R21" t="str">
        <f>IF($A21="","",SUMIFS(Campagne!$K$1:$K$15,Campagne!$C$1:$C$15,$A21))</f>
        <v/>
      </c>
      <c r="S21" t="str">
        <f>IF($A21="","",SUMIFS(Campagne!$M$1:$M$15,Campagne!$C$1:$C$15,$A21))</f>
        <v/>
      </c>
      <c r="T21" t="str">
        <f>IF($A21="","",SUMIFS(PIL!$K$15:$K$28,PIL!$A$15:$A$28,$A21)*SUMIFS(PIL!$J$15:$J$28,PIL!$A$15:$A$28,$A21)*(SUM(PIL!$K$15:$K$28)/SUMPRODUCT(PIL!$K$15:$K$28,PIL!$J$15:$J$28)))</f>
        <v/>
      </c>
      <c r="U21" t="str">
        <f>IF($A21="","",SUMIFS(PIL!$K$15:$K$28,PIL!$A$15:$A$28,$A21))</f>
        <v/>
      </c>
      <c r="V21" t="str">
        <f>IF($A21="","",IF($B21="V01",cad!$C$23,IF($B21="V02",cad!$D$23,cad!$E$23)))</f>
        <v/>
      </c>
      <c r="W21" t="str">
        <f>IF($A21="","",IF($B21="V01",cad!$C$24,IF($B21="V02",cad!$D$24,cad!$E$24)))</f>
        <v/>
      </c>
      <c r="X21" t="str">
        <f>IF($A21="","",IF($B21="V01",cad!$C$25,IF($B21="V02",cad!$D$25,cad!$E$25)))</f>
        <v/>
      </c>
      <c r="Y21" t="str">
        <f>IF($A21="","",IF($B21="V01",cad!$C$26,IF($B21="V02",cad!$D$26,cad!$E$26)))</f>
        <v/>
      </c>
      <c r="Z21" t="str">
        <f>IF($A21="","",IF($B21="V01",cad!$C$27,IF($B21="V02",cad!$D$27,cad!$E$27)))</f>
        <v/>
      </c>
      <c r="AA21" t="str">
        <f>IF($A21="","",IF($B21="V01",cad!$C$28,IF($B21="V02",cad!$D$28,cad!$E$28)))</f>
        <v/>
      </c>
      <c r="AB21" t="str">
        <f>IF($A21="","",IF($B21="V01",cad!$C$39,IF($B21="V02",cad!$D$39,cad!$E$39)))</f>
        <v/>
      </c>
      <c r="AC21" t="str">
        <f>IF($A21="","",IF($F21="MBWAY",cad!$J$12,IF($F21="ISCOM",cad!$J$13,IF($F21="IPAC",cad!$J$14,IF($F21="PIGIER",cad!$J$15,cad!$J$16)))))</f>
        <v/>
      </c>
      <c r="AD21" t="str">
        <f t="shared" si="1"/>
        <v/>
      </c>
      <c r="AE21" t="str">
        <f t="shared" si="2"/>
        <v/>
      </c>
      <c r="AF21" t="str">
        <f t="shared" si="3"/>
        <v/>
      </c>
      <c r="AG21" t="str">
        <f t="shared" si="4"/>
        <v/>
      </c>
      <c r="AH21" t="str">
        <f t="shared" si="5"/>
        <v/>
      </c>
    </row>
    <row r="22" spans="1:34" x14ac:dyDescent="0.45">
      <c r="A22" t="str">
        <f>IF(Moteur!D22="","",Moteur!D22)</f>
        <v/>
      </c>
      <c r="B22" t="str">
        <f>IF(Moteur!B22="","",Moteur!B22)</f>
        <v/>
      </c>
      <c r="C22" t="str">
        <f>IF(Moteur!F22="","",Moteur!F22)</f>
        <v/>
      </c>
      <c r="D22" t="str">
        <f>IF(Moteur!G22="","",Moteur!G22)</f>
        <v/>
      </c>
      <c r="E22" t="str">
        <f>IF(Moteur!H22="","",Moteur!H22)</f>
        <v/>
      </c>
      <c r="F22" t="str">
        <f>IF(Moteur!E22="","",Moteur!E22)</f>
        <v/>
      </c>
      <c r="G22" t="str">
        <f>IF($A22="","",SUMIFS(Allocation2!$H$1:$H$175,Allocation2!$C$1:$C$175,$A22,Allocation2!$D$1:$D$175,$C22,Allocation2!$E$1:$E$175,$D22,Allocation2!$F$1:$F$175,$E22,Allocation2!$G$1:$G$175,"2026"))</f>
        <v/>
      </c>
      <c r="H22" t="str">
        <f>IF($A22="","",SUMIFS(Allocation2!$N$1:$N$175,Allocation2!$C$1:$C$175,$A22,Allocation2!$D$1:$D$175,$C22,Allocation2!$E$1:$E$175,$D22,Allocation2!$F$1:$F$175,$E22,Allocation2!$G$1:$G$175,"2026"))</f>
        <v/>
      </c>
      <c r="I22" t="str">
        <f>IF($A22="","",SUMIFS(Allocation2!$P$1:$P$175,Allocation2!$C$1:$C$175,$A22,Allocation2!$D$1:$D$175,$C22,Allocation2!$E$1:$E$175,$D22,Allocation2!$F$1:$F$175,$E22,Allocation2!$G$1:$G$175,"2026"))</f>
        <v/>
      </c>
      <c r="J22" t="str">
        <f>IF($A22="","",SUMIFS(Allocation2!$W$1:$W$175,Allocation2!$C$1:$C$175,$A22,Allocation2!$D$1:$D$175,$C22,Allocation2!$E$1:$E$175,$D22,Allocation2!$F$1:$F$175,$E22,Allocation2!$G$1:$G$175,"2026"))</f>
        <v/>
      </c>
      <c r="K22" t="str">
        <f>IF($A22="","",SUMIFS(Allocation2!$X$1:$X$175,Allocation2!$C$1:$C$175,$A22,Allocation2!$D$1:$D$175,$C22,Allocation2!$E$1:$E$175,$D22,Allocation2!$F$1:$F$175,$E22,Allocation2!$G$1:$G$175,"2026"))</f>
        <v/>
      </c>
      <c r="L22" t="str">
        <f>IF($A22="","",SUMIFS(Allocation2!$Y$1:$Y$175,Allocation2!$C$1:$C$175,$A22,Allocation2!$D$1:$D$175,$C22,Allocation2!$E$1:$E$175,$D22,Allocation2!$F$1:$F$175,$E22,Allocation2!$G$1:$G$175,"2026"))</f>
        <v/>
      </c>
      <c r="M22" t="str">
        <f>IF($A22="","",SUMIFS(Allocation2!$V$1:$V$175,Allocation2!$C$1:$C$175,$A22,Allocation2!$D$1:$D$175,$C22,Allocation2!$E$1:$E$175,$D22,Allocation2!$F$1:$F$175,$E22,Allocation2!$G$1:$G$175,"2026"))</f>
        <v/>
      </c>
      <c r="N22" t="str">
        <f t="shared" si="0"/>
        <v/>
      </c>
      <c r="O22" t="str">
        <f>IF($A22="","",SUMIFS(Campagne!$D$1:$D$15,Campagne!$C$1:$C$15,$A22))</f>
        <v/>
      </c>
      <c r="P22" t="str">
        <f>IF($A22="","",SUMIFS(Campagne!$E$1:$E$15,Campagne!$C$1:$C$15,$A22))</f>
        <v/>
      </c>
      <c r="Q22" t="str">
        <f>IF($A22="","",SUMIFS(Campagne!$F$1:$F$15,Campagne!$C$1:$C$15,$A22))</f>
        <v/>
      </c>
      <c r="R22" t="str">
        <f>IF($A22="","",SUMIFS(Campagne!$K$1:$K$15,Campagne!$C$1:$C$15,$A22))</f>
        <v/>
      </c>
      <c r="S22" t="str">
        <f>IF($A22="","",SUMIFS(Campagne!$M$1:$M$15,Campagne!$C$1:$C$15,$A22))</f>
        <v/>
      </c>
      <c r="T22" t="str">
        <f>IF($A22="","",SUMIFS(PIL!$K$15:$K$28,PIL!$A$15:$A$28,$A22)*SUMIFS(PIL!$J$15:$J$28,PIL!$A$15:$A$28,$A22)*(SUM(PIL!$K$15:$K$28)/SUMPRODUCT(PIL!$K$15:$K$28,PIL!$J$15:$J$28)))</f>
        <v/>
      </c>
      <c r="U22" t="str">
        <f>IF($A22="","",SUMIFS(PIL!$K$15:$K$28,PIL!$A$15:$A$28,$A22))</f>
        <v/>
      </c>
      <c r="V22" t="str">
        <f>IF($A22="","",IF($B22="V01",cad!$C$23,IF($B22="V02",cad!$D$23,cad!$E$23)))</f>
        <v/>
      </c>
      <c r="W22" t="str">
        <f>IF($A22="","",IF($B22="V01",cad!$C$24,IF($B22="V02",cad!$D$24,cad!$E$24)))</f>
        <v/>
      </c>
      <c r="X22" t="str">
        <f>IF($A22="","",IF($B22="V01",cad!$C$25,IF($B22="V02",cad!$D$25,cad!$E$25)))</f>
        <v/>
      </c>
      <c r="Y22" t="str">
        <f>IF($A22="","",IF($B22="V01",cad!$C$26,IF($B22="V02",cad!$D$26,cad!$E$26)))</f>
        <v/>
      </c>
      <c r="Z22" t="str">
        <f>IF($A22="","",IF($B22="V01",cad!$C$27,IF($B22="V02",cad!$D$27,cad!$E$27)))</f>
        <v/>
      </c>
      <c r="AA22" t="str">
        <f>IF($A22="","",IF($B22="V01",cad!$C$28,IF($B22="V02",cad!$D$28,cad!$E$28)))</f>
        <v/>
      </c>
      <c r="AB22" t="str">
        <f>IF($A22="","",IF($B22="V01",cad!$C$39,IF($B22="V02",cad!$D$39,cad!$E$39)))</f>
        <v/>
      </c>
      <c r="AC22" t="str">
        <f>IF($A22="","",IF($F22="MBWAY",cad!$J$12,IF($F22="ISCOM",cad!$J$13,IF($F22="IPAC",cad!$J$14,IF($F22="PIGIER",cad!$J$15,cad!$J$16)))))</f>
        <v/>
      </c>
      <c r="AD22" t="str">
        <f t="shared" si="1"/>
        <v/>
      </c>
      <c r="AE22" t="str">
        <f t="shared" si="2"/>
        <v/>
      </c>
      <c r="AF22" t="str">
        <f t="shared" si="3"/>
        <v/>
      </c>
      <c r="AG22" t="str">
        <f t="shared" si="4"/>
        <v/>
      </c>
      <c r="AH22" t="str">
        <f t="shared" si="5"/>
        <v/>
      </c>
    </row>
    <row r="23" spans="1:34" x14ac:dyDescent="0.45">
      <c r="A23" t="str">
        <f>IF(Moteur!D23="","",Moteur!D23)</f>
        <v/>
      </c>
      <c r="B23" t="str">
        <f>IF(Moteur!B23="","",Moteur!B23)</f>
        <v/>
      </c>
      <c r="C23" t="str">
        <f>IF(Moteur!F23="","",Moteur!F23)</f>
        <v/>
      </c>
      <c r="D23" t="str">
        <f>IF(Moteur!G23="","",Moteur!G23)</f>
        <v/>
      </c>
      <c r="E23" t="str">
        <f>IF(Moteur!H23="","",Moteur!H23)</f>
        <v/>
      </c>
      <c r="F23" t="str">
        <f>IF(Moteur!E23="","",Moteur!E23)</f>
        <v/>
      </c>
      <c r="G23" t="str">
        <f>IF($A23="","",SUMIFS(Allocation2!$H$1:$H$175,Allocation2!$C$1:$C$175,$A23,Allocation2!$D$1:$D$175,$C23,Allocation2!$E$1:$E$175,$D23,Allocation2!$F$1:$F$175,$E23,Allocation2!$G$1:$G$175,"2026"))</f>
        <v/>
      </c>
      <c r="H23" t="str">
        <f>IF($A23="","",SUMIFS(Allocation2!$N$1:$N$175,Allocation2!$C$1:$C$175,$A23,Allocation2!$D$1:$D$175,$C23,Allocation2!$E$1:$E$175,$D23,Allocation2!$F$1:$F$175,$E23,Allocation2!$G$1:$G$175,"2026"))</f>
        <v/>
      </c>
      <c r="I23" t="str">
        <f>IF($A23="","",SUMIFS(Allocation2!$P$1:$P$175,Allocation2!$C$1:$C$175,$A23,Allocation2!$D$1:$D$175,$C23,Allocation2!$E$1:$E$175,$D23,Allocation2!$F$1:$F$175,$E23,Allocation2!$G$1:$G$175,"2026"))</f>
        <v/>
      </c>
      <c r="J23" t="str">
        <f>IF($A23="","",SUMIFS(Allocation2!$W$1:$W$175,Allocation2!$C$1:$C$175,$A23,Allocation2!$D$1:$D$175,$C23,Allocation2!$E$1:$E$175,$D23,Allocation2!$F$1:$F$175,$E23,Allocation2!$G$1:$G$175,"2026"))</f>
        <v/>
      </c>
      <c r="K23" t="str">
        <f>IF($A23="","",SUMIFS(Allocation2!$X$1:$X$175,Allocation2!$C$1:$C$175,$A23,Allocation2!$D$1:$D$175,$C23,Allocation2!$E$1:$E$175,$D23,Allocation2!$F$1:$F$175,$E23,Allocation2!$G$1:$G$175,"2026"))</f>
        <v/>
      </c>
      <c r="L23" t="str">
        <f>IF($A23="","",SUMIFS(Allocation2!$Y$1:$Y$175,Allocation2!$C$1:$C$175,$A23,Allocation2!$D$1:$D$175,$C23,Allocation2!$E$1:$E$175,$D23,Allocation2!$F$1:$F$175,$E23,Allocation2!$G$1:$G$175,"2026"))</f>
        <v/>
      </c>
      <c r="M23" t="str">
        <f>IF($A23="","",SUMIFS(Allocation2!$V$1:$V$175,Allocation2!$C$1:$C$175,$A23,Allocation2!$D$1:$D$175,$C23,Allocation2!$E$1:$E$175,$D23,Allocation2!$F$1:$F$175,$E23,Allocation2!$G$1:$G$175,"2026"))</f>
        <v/>
      </c>
      <c r="N23" t="str">
        <f t="shared" si="0"/>
        <v/>
      </c>
      <c r="O23" t="str">
        <f>IF($A23="","",SUMIFS(Campagne!$D$1:$D$15,Campagne!$C$1:$C$15,$A23))</f>
        <v/>
      </c>
      <c r="P23" t="str">
        <f>IF($A23="","",SUMIFS(Campagne!$E$1:$E$15,Campagne!$C$1:$C$15,$A23))</f>
        <v/>
      </c>
      <c r="Q23" t="str">
        <f>IF($A23="","",SUMIFS(Campagne!$F$1:$F$15,Campagne!$C$1:$C$15,$A23))</f>
        <v/>
      </c>
      <c r="R23" t="str">
        <f>IF($A23="","",SUMIFS(Campagne!$K$1:$K$15,Campagne!$C$1:$C$15,$A23))</f>
        <v/>
      </c>
      <c r="S23" t="str">
        <f>IF($A23="","",SUMIFS(Campagne!$M$1:$M$15,Campagne!$C$1:$C$15,$A23))</f>
        <v/>
      </c>
      <c r="T23" t="str">
        <f>IF($A23="","",SUMIFS(PIL!$K$15:$K$28,PIL!$A$15:$A$28,$A23)*SUMIFS(PIL!$J$15:$J$28,PIL!$A$15:$A$28,$A23)*(SUM(PIL!$K$15:$K$28)/SUMPRODUCT(PIL!$K$15:$K$28,PIL!$J$15:$J$28)))</f>
        <v/>
      </c>
      <c r="U23" t="str">
        <f>IF($A23="","",SUMIFS(PIL!$K$15:$K$28,PIL!$A$15:$A$28,$A23))</f>
        <v/>
      </c>
      <c r="V23" t="str">
        <f>IF($A23="","",IF($B23="V01",cad!$C$23,IF($B23="V02",cad!$D$23,cad!$E$23)))</f>
        <v/>
      </c>
      <c r="W23" t="str">
        <f>IF($A23="","",IF($B23="V01",cad!$C$24,IF($B23="V02",cad!$D$24,cad!$E$24)))</f>
        <v/>
      </c>
      <c r="X23" t="str">
        <f>IF($A23="","",IF($B23="V01",cad!$C$25,IF($B23="V02",cad!$D$25,cad!$E$25)))</f>
        <v/>
      </c>
      <c r="Y23" t="str">
        <f>IF($A23="","",IF($B23="V01",cad!$C$26,IF($B23="V02",cad!$D$26,cad!$E$26)))</f>
        <v/>
      </c>
      <c r="Z23" t="str">
        <f>IF($A23="","",IF($B23="V01",cad!$C$27,IF($B23="V02",cad!$D$27,cad!$E$27)))</f>
        <v/>
      </c>
      <c r="AA23" t="str">
        <f>IF($A23="","",IF($B23="V01",cad!$C$28,IF($B23="V02",cad!$D$28,cad!$E$28)))</f>
        <v/>
      </c>
      <c r="AB23" t="str">
        <f>IF($A23="","",IF($B23="V01",cad!$C$39,IF($B23="V02",cad!$D$39,cad!$E$39)))</f>
        <v/>
      </c>
      <c r="AC23" t="str">
        <f>IF($A23="","",IF($F23="MBWAY",cad!$J$12,IF($F23="ISCOM",cad!$J$13,IF($F23="IPAC",cad!$J$14,IF($F23="PIGIER",cad!$J$15,cad!$J$16)))))</f>
        <v/>
      </c>
      <c r="AD23" t="str">
        <f t="shared" si="1"/>
        <v/>
      </c>
      <c r="AE23" t="str">
        <f t="shared" si="2"/>
        <v/>
      </c>
      <c r="AF23" t="str">
        <f t="shared" si="3"/>
        <v/>
      </c>
      <c r="AG23" t="str">
        <f t="shared" si="4"/>
        <v/>
      </c>
      <c r="AH23" t="str">
        <f t="shared" si="5"/>
        <v/>
      </c>
    </row>
    <row r="24" spans="1:34" x14ac:dyDescent="0.45">
      <c r="A24" t="str">
        <f>IF(Moteur!D24="","",Moteur!D24)</f>
        <v/>
      </c>
      <c r="B24" t="str">
        <f>IF(Moteur!B24="","",Moteur!B24)</f>
        <v/>
      </c>
      <c r="C24" t="str">
        <f>IF(Moteur!F24="","",Moteur!F24)</f>
        <v/>
      </c>
      <c r="D24" t="str">
        <f>IF(Moteur!G24="","",Moteur!G24)</f>
        <v/>
      </c>
      <c r="E24" t="str">
        <f>IF(Moteur!H24="","",Moteur!H24)</f>
        <v/>
      </c>
      <c r="F24" t="str">
        <f>IF(Moteur!E24="","",Moteur!E24)</f>
        <v/>
      </c>
      <c r="G24" t="str">
        <f>IF($A24="","",SUMIFS(Allocation2!$H$1:$H$175,Allocation2!$C$1:$C$175,$A24,Allocation2!$D$1:$D$175,$C24,Allocation2!$E$1:$E$175,$D24,Allocation2!$F$1:$F$175,$E24,Allocation2!$G$1:$G$175,"2026"))</f>
        <v/>
      </c>
      <c r="H24" t="str">
        <f>IF($A24="","",SUMIFS(Allocation2!$N$1:$N$175,Allocation2!$C$1:$C$175,$A24,Allocation2!$D$1:$D$175,$C24,Allocation2!$E$1:$E$175,$D24,Allocation2!$F$1:$F$175,$E24,Allocation2!$G$1:$G$175,"2026"))</f>
        <v/>
      </c>
      <c r="I24" t="str">
        <f>IF($A24="","",SUMIFS(Allocation2!$P$1:$P$175,Allocation2!$C$1:$C$175,$A24,Allocation2!$D$1:$D$175,$C24,Allocation2!$E$1:$E$175,$D24,Allocation2!$F$1:$F$175,$E24,Allocation2!$G$1:$G$175,"2026"))</f>
        <v/>
      </c>
      <c r="J24" t="str">
        <f>IF($A24="","",SUMIFS(Allocation2!$W$1:$W$175,Allocation2!$C$1:$C$175,$A24,Allocation2!$D$1:$D$175,$C24,Allocation2!$E$1:$E$175,$D24,Allocation2!$F$1:$F$175,$E24,Allocation2!$G$1:$G$175,"2026"))</f>
        <v/>
      </c>
      <c r="K24" t="str">
        <f>IF($A24="","",SUMIFS(Allocation2!$X$1:$X$175,Allocation2!$C$1:$C$175,$A24,Allocation2!$D$1:$D$175,$C24,Allocation2!$E$1:$E$175,$D24,Allocation2!$F$1:$F$175,$E24,Allocation2!$G$1:$G$175,"2026"))</f>
        <v/>
      </c>
      <c r="L24" t="str">
        <f>IF($A24="","",SUMIFS(Allocation2!$Y$1:$Y$175,Allocation2!$C$1:$C$175,$A24,Allocation2!$D$1:$D$175,$C24,Allocation2!$E$1:$E$175,$D24,Allocation2!$F$1:$F$175,$E24,Allocation2!$G$1:$G$175,"2026"))</f>
        <v/>
      </c>
      <c r="M24" t="str">
        <f>IF($A24="","",SUMIFS(Allocation2!$V$1:$V$175,Allocation2!$C$1:$C$175,$A24,Allocation2!$D$1:$D$175,$C24,Allocation2!$E$1:$E$175,$D24,Allocation2!$F$1:$F$175,$E24,Allocation2!$G$1:$G$175,"2026"))</f>
        <v/>
      </c>
      <c r="N24" t="str">
        <f t="shared" si="0"/>
        <v/>
      </c>
      <c r="O24" t="str">
        <f>IF($A24="","",SUMIFS(Campagne!$D$1:$D$15,Campagne!$C$1:$C$15,$A24))</f>
        <v/>
      </c>
      <c r="P24" t="str">
        <f>IF($A24="","",SUMIFS(Campagne!$E$1:$E$15,Campagne!$C$1:$C$15,$A24))</f>
        <v/>
      </c>
      <c r="Q24" t="str">
        <f>IF($A24="","",SUMIFS(Campagne!$F$1:$F$15,Campagne!$C$1:$C$15,$A24))</f>
        <v/>
      </c>
      <c r="R24" t="str">
        <f>IF($A24="","",SUMIFS(Campagne!$K$1:$K$15,Campagne!$C$1:$C$15,$A24))</f>
        <v/>
      </c>
      <c r="S24" t="str">
        <f>IF($A24="","",SUMIFS(Campagne!$M$1:$M$15,Campagne!$C$1:$C$15,$A24))</f>
        <v/>
      </c>
      <c r="T24" t="str">
        <f>IF($A24="","",SUMIFS(PIL!$K$15:$K$28,PIL!$A$15:$A$28,$A24)*SUMIFS(PIL!$J$15:$J$28,PIL!$A$15:$A$28,$A24)*(SUM(PIL!$K$15:$K$28)/SUMPRODUCT(PIL!$K$15:$K$28,PIL!$J$15:$J$28)))</f>
        <v/>
      </c>
      <c r="U24" t="str">
        <f>IF($A24="","",SUMIFS(PIL!$K$15:$K$28,PIL!$A$15:$A$28,$A24))</f>
        <v/>
      </c>
      <c r="V24" t="str">
        <f>IF($A24="","",IF($B24="V01",cad!$C$23,IF($B24="V02",cad!$D$23,cad!$E$23)))</f>
        <v/>
      </c>
      <c r="W24" t="str">
        <f>IF($A24="","",IF($B24="V01",cad!$C$24,IF($B24="V02",cad!$D$24,cad!$E$24)))</f>
        <v/>
      </c>
      <c r="X24" t="str">
        <f>IF($A24="","",IF($B24="V01",cad!$C$25,IF($B24="V02",cad!$D$25,cad!$E$25)))</f>
        <v/>
      </c>
      <c r="Y24" t="str">
        <f>IF($A24="","",IF($B24="V01",cad!$C$26,IF($B24="V02",cad!$D$26,cad!$E$26)))</f>
        <v/>
      </c>
      <c r="Z24" t="str">
        <f>IF($A24="","",IF($B24="V01",cad!$C$27,IF($B24="V02",cad!$D$27,cad!$E$27)))</f>
        <v/>
      </c>
      <c r="AA24" t="str">
        <f>IF($A24="","",IF($B24="V01",cad!$C$28,IF($B24="V02",cad!$D$28,cad!$E$28)))</f>
        <v/>
      </c>
      <c r="AB24" t="str">
        <f>IF($A24="","",IF($B24="V01",cad!$C$39,IF($B24="V02",cad!$D$39,cad!$E$39)))</f>
        <v/>
      </c>
      <c r="AC24" t="str">
        <f>IF($A24="","",IF($F24="MBWAY",cad!$J$12,IF($F24="ISCOM",cad!$J$13,IF($F24="IPAC",cad!$J$14,IF($F24="PIGIER",cad!$J$15,cad!$J$16)))))</f>
        <v/>
      </c>
      <c r="AD24" t="str">
        <f t="shared" si="1"/>
        <v/>
      </c>
      <c r="AE24" t="str">
        <f t="shared" si="2"/>
        <v/>
      </c>
      <c r="AF24" t="str">
        <f t="shared" si="3"/>
        <v/>
      </c>
      <c r="AG24" t="str">
        <f t="shared" si="4"/>
        <v/>
      </c>
      <c r="AH24" t="str">
        <f t="shared" si="5"/>
        <v/>
      </c>
    </row>
    <row r="25" spans="1:34" x14ac:dyDescent="0.45">
      <c r="A25" t="str">
        <f>IF(Moteur!D25="","",Moteur!D25)</f>
        <v/>
      </c>
      <c r="B25" t="str">
        <f>IF(Moteur!B25="","",Moteur!B25)</f>
        <v/>
      </c>
      <c r="C25" t="str">
        <f>IF(Moteur!F25="","",Moteur!F25)</f>
        <v/>
      </c>
      <c r="D25" t="str">
        <f>IF(Moteur!G25="","",Moteur!G25)</f>
        <v/>
      </c>
      <c r="E25" t="str">
        <f>IF(Moteur!H25="","",Moteur!H25)</f>
        <v/>
      </c>
      <c r="F25" t="str">
        <f>IF(Moteur!E25="","",Moteur!E25)</f>
        <v/>
      </c>
      <c r="G25" t="str">
        <f>IF($A25="","",SUMIFS(Allocation2!$H$1:$H$175,Allocation2!$C$1:$C$175,$A25,Allocation2!$D$1:$D$175,$C25,Allocation2!$E$1:$E$175,$D25,Allocation2!$F$1:$F$175,$E25,Allocation2!$G$1:$G$175,"2026"))</f>
        <v/>
      </c>
      <c r="H25" t="str">
        <f>IF($A25="","",SUMIFS(Allocation2!$N$1:$N$175,Allocation2!$C$1:$C$175,$A25,Allocation2!$D$1:$D$175,$C25,Allocation2!$E$1:$E$175,$D25,Allocation2!$F$1:$F$175,$E25,Allocation2!$G$1:$G$175,"2026"))</f>
        <v/>
      </c>
      <c r="I25" t="str">
        <f>IF($A25="","",SUMIFS(Allocation2!$P$1:$P$175,Allocation2!$C$1:$C$175,$A25,Allocation2!$D$1:$D$175,$C25,Allocation2!$E$1:$E$175,$D25,Allocation2!$F$1:$F$175,$E25,Allocation2!$G$1:$G$175,"2026"))</f>
        <v/>
      </c>
      <c r="J25" t="str">
        <f>IF($A25="","",SUMIFS(Allocation2!$W$1:$W$175,Allocation2!$C$1:$C$175,$A25,Allocation2!$D$1:$D$175,$C25,Allocation2!$E$1:$E$175,$D25,Allocation2!$F$1:$F$175,$E25,Allocation2!$G$1:$G$175,"2026"))</f>
        <v/>
      </c>
      <c r="K25" t="str">
        <f>IF($A25="","",SUMIFS(Allocation2!$X$1:$X$175,Allocation2!$C$1:$C$175,$A25,Allocation2!$D$1:$D$175,$C25,Allocation2!$E$1:$E$175,$D25,Allocation2!$F$1:$F$175,$E25,Allocation2!$G$1:$G$175,"2026"))</f>
        <v/>
      </c>
      <c r="L25" t="str">
        <f>IF($A25="","",SUMIFS(Allocation2!$Y$1:$Y$175,Allocation2!$C$1:$C$175,$A25,Allocation2!$D$1:$D$175,$C25,Allocation2!$E$1:$E$175,$D25,Allocation2!$F$1:$F$175,$E25,Allocation2!$G$1:$G$175,"2026"))</f>
        <v/>
      </c>
      <c r="M25" t="str">
        <f>IF($A25="","",SUMIFS(Allocation2!$V$1:$V$175,Allocation2!$C$1:$C$175,$A25,Allocation2!$D$1:$D$175,$C25,Allocation2!$E$1:$E$175,$D25,Allocation2!$F$1:$F$175,$E25,Allocation2!$G$1:$G$175,"2026"))</f>
        <v/>
      </c>
      <c r="N25" t="str">
        <f t="shared" si="0"/>
        <v/>
      </c>
      <c r="O25" t="str">
        <f>IF($A25="","",SUMIFS(Campagne!$D$1:$D$15,Campagne!$C$1:$C$15,$A25))</f>
        <v/>
      </c>
      <c r="P25" t="str">
        <f>IF($A25="","",SUMIFS(Campagne!$E$1:$E$15,Campagne!$C$1:$C$15,$A25))</f>
        <v/>
      </c>
      <c r="Q25" t="str">
        <f>IF($A25="","",SUMIFS(Campagne!$F$1:$F$15,Campagne!$C$1:$C$15,$A25))</f>
        <v/>
      </c>
      <c r="R25" t="str">
        <f>IF($A25="","",SUMIFS(Campagne!$K$1:$K$15,Campagne!$C$1:$C$15,$A25))</f>
        <v/>
      </c>
      <c r="S25" t="str">
        <f>IF($A25="","",SUMIFS(Campagne!$M$1:$M$15,Campagne!$C$1:$C$15,$A25))</f>
        <v/>
      </c>
      <c r="T25" t="str">
        <f>IF($A25="","",SUMIFS(PIL!$K$15:$K$28,PIL!$A$15:$A$28,$A25)*SUMIFS(PIL!$J$15:$J$28,PIL!$A$15:$A$28,$A25)*(SUM(PIL!$K$15:$K$28)/SUMPRODUCT(PIL!$K$15:$K$28,PIL!$J$15:$J$28)))</f>
        <v/>
      </c>
      <c r="U25" t="str">
        <f>IF($A25="","",SUMIFS(PIL!$K$15:$K$28,PIL!$A$15:$A$28,$A25))</f>
        <v/>
      </c>
      <c r="V25" t="str">
        <f>IF($A25="","",IF($B25="V01",cad!$C$23,IF($B25="V02",cad!$D$23,cad!$E$23)))</f>
        <v/>
      </c>
      <c r="W25" t="str">
        <f>IF($A25="","",IF($B25="V01",cad!$C$24,IF($B25="V02",cad!$D$24,cad!$E$24)))</f>
        <v/>
      </c>
      <c r="X25" t="str">
        <f>IF($A25="","",IF($B25="V01",cad!$C$25,IF($B25="V02",cad!$D$25,cad!$E$25)))</f>
        <v/>
      </c>
      <c r="Y25" t="str">
        <f>IF($A25="","",IF($B25="V01",cad!$C$26,IF($B25="V02",cad!$D$26,cad!$E$26)))</f>
        <v/>
      </c>
      <c r="Z25" t="str">
        <f>IF($A25="","",IF($B25="V01",cad!$C$27,IF($B25="V02",cad!$D$27,cad!$E$27)))</f>
        <v/>
      </c>
      <c r="AA25" t="str">
        <f>IF($A25="","",IF($B25="V01",cad!$C$28,IF($B25="V02",cad!$D$28,cad!$E$28)))</f>
        <v/>
      </c>
      <c r="AB25" t="str">
        <f>IF($A25="","",IF($B25="V01",cad!$C$39,IF($B25="V02",cad!$D$39,cad!$E$39)))</f>
        <v/>
      </c>
      <c r="AC25" t="str">
        <f>IF($A25="","",IF($F25="MBWAY",cad!$J$12,IF($F25="ISCOM",cad!$J$13,IF($F25="IPAC",cad!$J$14,IF($F25="PIGIER",cad!$J$15,cad!$J$16)))))</f>
        <v/>
      </c>
      <c r="AD25" t="str">
        <f t="shared" si="1"/>
        <v/>
      </c>
      <c r="AE25" t="str">
        <f t="shared" si="2"/>
        <v/>
      </c>
      <c r="AF25" t="str">
        <f t="shared" si="3"/>
        <v/>
      </c>
      <c r="AG25" t="str">
        <f t="shared" si="4"/>
        <v/>
      </c>
      <c r="AH25" t="str">
        <f t="shared" si="5"/>
        <v/>
      </c>
    </row>
    <row r="26" spans="1:34" x14ac:dyDescent="0.45">
      <c r="A26" t="str">
        <f>IF(Moteur!D26="","",Moteur!D26)</f>
        <v/>
      </c>
      <c r="B26" t="str">
        <f>IF(Moteur!B26="","",Moteur!B26)</f>
        <v/>
      </c>
      <c r="C26" t="str">
        <f>IF(Moteur!F26="","",Moteur!F26)</f>
        <v/>
      </c>
      <c r="D26" t="str">
        <f>IF(Moteur!G26="","",Moteur!G26)</f>
        <v/>
      </c>
      <c r="E26" t="str">
        <f>IF(Moteur!H26="","",Moteur!H26)</f>
        <v/>
      </c>
      <c r="F26" t="str">
        <f>IF(Moteur!E26="","",Moteur!E26)</f>
        <v/>
      </c>
      <c r="G26" t="str">
        <f>IF($A26="","",SUMIFS(Allocation2!$H$1:$H$175,Allocation2!$C$1:$C$175,$A26,Allocation2!$D$1:$D$175,$C26,Allocation2!$E$1:$E$175,$D26,Allocation2!$F$1:$F$175,$E26,Allocation2!$G$1:$G$175,"2026"))</f>
        <v/>
      </c>
      <c r="H26" t="str">
        <f>IF($A26="","",SUMIFS(Allocation2!$N$1:$N$175,Allocation2!$C$1:$C$175,$A26,Allocation2!$D$1:$D$175,$C26,Allocation2!$E$1:$E$175,$D26,Allocation2!$F$1:$F$175,$E26,Allocation2!$G$1:$G$175,"2026"))</f>
        <v/>
      </c>
      <c r="I26" t="str">
        <f>IF($A26="","",SUMIFS(Allocation2!$P$1:$P$175,Allocation2!$C$1:$C$175,$A26,Allocation2!$D$1:$D$175,$C26,Allocation2!$E$1:$E$175,$D26,Allocation2!$F$1:$F$175,$E26,Allocation2!$G$1:$G$175,"2026"))</f>
        <v/>
      </c>
      <c r="J26" t="str">
        <f>IF($A26="","",SUMIFS(Allocation2!$W$1:$W$175,Allocation2!$C$1:$C$175,$A26,Allocation2!$D$1:$D$175,$C26,Allocation2!$E$1:$E$175,$D26,Allocation2!$F$1:$F$175,$E26,Allocation2!$G$1:$G$175,"2026"))</f>
        <v/>
      </c>
      <c r="K26" t="str">
        <f>IF($A26="","",SUMIFS(Allocation2!$X$1:$X$175,Allocation2!$C$1:$C$175,$A26,Allocation2!$D$1:$D$175,$C26,Allocation2!$E$1:$E$175,$D26,Allocation2!$F$1:$F$175,$E26,Allocation2!$G$1:$G$175,"2026"))</f>
        <v/>
      </c>
      <c r="L26" t="str">
        <f>IF($A26="","",SUMIFS(Allocation2!$Y$1:$Y$175,Allocation2!$C$1:$C$175,$A26,Allocation2!$D$1:$D$175,$C26,Allocation2!$E$1:$E$175,$D26,Allocation2!$F$1:$F$175,$E26,Allocation2!$G$1:$G$175,"2026"))</f>
        <v/>
      </c>
      <c r="M26" t="str">
        <f>IF($A26="","",SUMIFS(Allocation2!$V$1:$V$175,Allocation2!$C$1:$C$175,$A26,Allocation2!$D$1:$D$175,$C26,Allocation2!$E$1:$E$175,$D26,Allocation2!$F$1:$F$175,$E26,Allocation2!$G$1:$G$175,"2026"))</f>
        <v/>
      </c>
      <c r="N26" t="str">
        <f t="shared" si="0"/>
        <v/>
      </c>
      <c r="O26" t="str">
        <f>IF($A26="","",SUMIFS(Campagne!$D$1:$D$15,Campagne!$C$1:$C$15,$A26))</f>
        <v/>
      </c>
      <c r="P26" t="str">
        <f>IF($A26="","",SUMIFS(Campagne!$E$1:$E$15,Campagne!$C$1:$C$15,$A26))</f>
        <v/>
      </c>
      <c r="Q26" t="str">
        <f>IF($A26="","",SUMIFS(Campagne!$F$1:$F$15,Campagne!$C$1:$C$15,$A26))</f>
        <v/>
      </c>
      <c r="R26" t="str">
        <f>IF($A26="","",SUMIFS(Campagne!$K$1:$K$15,Campagne!$C$1:$C$15,$A26))</f>
        <v/>
      </c>
      <c r="S26" t="str">
        <f>IF($A26="","",SUMIFS(Campagne!$M$1:$M$15,Campagne!$C$1:$C$15,$A26))</f>
        <v/>
      </c>
      <c r="T26" t="str">
        <f>IF($A26="","",SUMIFS(PIL!$K$15:$K$28,PIL!$A$15:$A$28,$A26)*SUMIFS(PIL!$J$15:$J$28,PIL!$A$15:$A$28,$A26)*(SUM(PIL!$K$15:$K$28)/SUMPRODUCT(PIL!$K$15:$K$28,PIL!$J$15:$J$28)))</f>
        <v/>
      </c>
      <c r="U26" t="str">
        <f>IF($A26="","",SUMIFS(PIL!$K$15:$K$28,PIL!$A$15:$A$28,$A26))</f>
        <v/>
      </c>
      <c r="V26" t="str">
        <f>IF($A26="","",IF($B26="V01",cad!$C$23,IF($B26="V02",cad!$D$23,cad!$E$23)))</f>
        <v/>
      </c>
      <c r="W26" t="str">
        <f>IF($A26="","",IF($B26="V01",cad!$C$24,IF($B26="V02",cad!$D$24,cad!$E$24)))</f>
        <v/>
      </c>
      <c r="X26" t="str">
        <f>IF($A26="","",IF($B26="V01",cad!$C$25,IF($B26="V02",cad!$D$25,cad!$E$25)))</f>
        <v/>
      </c>
      <c r="Y26" t="str">
        <f>IF($A26="","",IF($B26="V01",cad!$C$26,IF($B26="V02",cad!$D$26,cad!$E$26)))</f>
        <v/>
      </c>
      <c r="Z26" t="str">
        <f>IF($A26="","",IF($B26="V01",cad!$C$27,IF($B26="V02",cad!$D$27,cad!$E$27)))</f>
        <v/>
      </c>
      <c r="AA26" t="str">
        <f>IF($A26="","",IF($B26="V01",cad!$C$28,IF($B26="V02",cad!$D$28,cad!$E$28)))</f>
        <v/>
      </c>
      <c r="AB26" t="str">
        <f>IF($A26="","",IF($B26="V01",cad!$C$39,IF($B26="V02",cad!$D$39,cad!$E$39)))</f>
        <v/>
      </c>
      <c r="AC26" t="str">
        <f>IF($A26="","",IF($F26="MBWAY",cad!$J$12,IF($F26="ISCOM",cad!$J$13,IF($F26="IPAC",cad!$J$14,IF($F26="PIGIER",cad!$J$15,cad!$J$16)))))</f>
        <v/>
      </c>
      <c r="AD26" t="str">
        <f t="shared" si="1"/>
        <v/>
      </c>
      <c r="AE26" t="str">
        <f t="shared" si="2"/>
        <v/>
      </c>
      <c r="AF26" t="str">
        <f t="shared" si="3"/>
        <v/>
      </c>
      <c r="AG26" t="str">
        <f t="shared" si="4"/>
        <v/>
      </c>
      <c r="AH26" t="str">
        <f t="shared" si="5"/>
        <v/>
      </c>
    </row>
    <row r="27" spans="1:34" x14ac:dyDescent="0.45">
      <c r="A27" t="str">
        <f>IF(Moteur!D27="","",Moteur!D27)</f>
        <v/>
      </c>
      <c r="B27" t="str">
        <f>IF(Moteur!B27="","",Moteur!B27)</f>
        <v/>
      </c>
      <c r="C27" t="str">
        <f>IF(Moteur!F27="","",Moteur!F27)</f>
        <v/>
      </c>
      <c r="D27" t="str">
        <f>IF(Moteur!G27="","",Moteur!G27)</f>
        <v/>
      </c>
      <c r="E27" t="str">
        <f>IF(Moteur!H27="","",Moteur!H27)</f>
        <v/>
      </c>
      <c r="F27" t="str">
        <f>IF(Moteur!E27="","",Moteur!E27)</f>
        <v/>
      </c>
      <c r="G27" t="str">
        <f>IF($A27="","",SUMIFS(Allocation2!$H$1:$H$175,Allocation2!$C$1:$C$175,$A27,Allocation2!$D$1:$D$175,$C27,Allocation2!$E$1:$E$175,$D27,Allocation2!$F$1:$F$175,$E27,Allocation2!$G$1:$G$175,"2026"))</f>
        <v/>
      </c>
      <c r="H27" t="str">
        <f>IF($A27="","",SUMIFS(Allocation2!$N$1:$N$175,Allocation2!$C$1:$C$175,$A27,Allocation2!$D$1:$D$175,$C27,Allocation2!$E$1:$E$175,$D27,Allocation2!$F$1:$F$175,$E27,Allocation2!$G$1:$G$175,"2026"))</f>
        <v/>
      </c>
      <c r="I27" t="str">
        <f>IF($A27="","",SUMIFS(Allocation2!$P$1:$P$175,Allocation2!$C$1:$C$175,$A27,Allocation2!$D$1:$D$175,$C27,Allocation2!$E$1:$E$175,$D27,Allocation2!$F$1:$F$175,$E27,Allocation2!$G$1:$G$175,"2026"))</f>
        <v/>
      </c>
      <c r="J27" t="str">
        <f>IF($A27="","",SUMIFS(Allocation2!$W$1:$W$175,Allocation2!$C$1:$C$175,$A27,Allocation2!$D$1:$D$175,$C27,Allocation2!$E$1:$E$175,$D27,Allocation2!$F$1:$F$175,$E27,Allocation2!$G$1:$G$175,"2026"))</f>
        <v/>
      </c>
      <c r="K27" t="str">
        <f>IF($A27="","",SUMIFS(Allocation2!$X$1:$X$175,Allocation2!$C$1:$C$175,$A27,Allocation2!$D$1:$D$175,$C27,Allocation2!$E$1:$E$175,$D27,Allocation2!$F$1:$F$175,$E27,Allocation2!$G$1:$G$175,"2026"))</f>
        <v/>
      </c>
      <c r="L27" t="str">
        <f>IF($A27="","",SUMIFS(Allocation2!$Y$1:$Y$175,Allocation2!$C$1:$C$175,$A27,Allocation2!$D$1:$D$175,$C27,Allocation2!$E$1:$E$175,$D27,Allocation2!$F$1:$F$175,$E27,Allocation2!$G$1:$G$175,"2026"))</f>
        <v/>
      </c>
      <c r="M27" t="str">
        <f>IF($A27="","",SUMIFS(Allocation2!$V$1:$V$175,Allocation2!$C$1:$C$175,$A27,Allocation2!$D$1:$D$175,$C27,Allocation2!$E$1:$E$175,$D27,Allocation2!$F$1:$F$175,$E27,Allocation2!$G$1:$G$175,"2026"))</f>
        <v/>
      </c>
      <c r="N27" t="str">
        <f t="shared" si="0"/>
        <v/>
      </c>
      <c r="O27" t="str">
        <f>IF($A27="","",SUMIFS(Campagne!$D$1:$D$15,Campagne!$C$1:$C$15,$A27))</f>
        <v/>
      </c>
      <c r="P27" t="str">
        <f>IF($A27="","",SUMIFS(Campagne!$E$1:$E$15,Campagne!$C$1:$C$15,$A27))</f>
        <v/>
      </c>
      <c r="Q27" t="str">
        <f>IF($A27="","",SUMIFS(Campagne!$F$1:$F$15,Campagne!$C$1:$C$15,$A27))</f>
        <v/>
      </c>
      <c r="R27" t="str">
        <f>IF($A27="","",SUMIFS(Campagne!$K$1:$K$15,Campagne!$C$1:$C$15,$A27))</f>
        <v/>
      </c>
      <c r="S27" t="str">
        <f>IF($A27="","",SUMIFS(Campagne!$M$1:$M$15,Campagne!$C$1:$C$15,$A27))</f>
        <v/>
      </c>
      <c r="T27" t="str">
        <f>IF($A27="","",SUMIFS(PIL!$K$15:$K$28,PIL!$A$15:$A$28,$A27)*SUMIFS(PIL!$J$15:$J$28,PIL!$A$15:$A$28,$A27)*(SUM(PIL!$K$15:$K$28)/SUMPRODUCT(PIL!$K$15:$K$28,PIL!$J$15:$J$28)))</f>
        <v/>
      </c>
      <c r="U27" t="str">
        <f>IF($A27="","",SUMIFS(PIL!$K$15:$K$28,PIL!$A$15:$A$28,$A27))</f>
        <v/>
      </c>
      <c r="V27" t="str">
        <f>IF($A27="","",IF($B27="V01",cad!$C$23,IF($B27="V02",cad!$D$23,cad!$E$23)))</f>
        <v/>
      </c>
      <c r="W27" t="str">
        <f>IF($A27="","",IF($B27="V01",cad!$C$24,IF($B27="V02",cad!$D$24,cad!$E$24)))</f>
        <v/>
      </c>
      <c r="X27" t="str">
        <f>IF($A27="","",IF($B27="V01",cad!$C$25,IF($B27="V02",cad!$D$25,cad!$E$25)))</f>
        <v/>
      </c>
      <c r="Y27" t="str">
        <f>IF($A27="","",IF($B27="V01",cad!$C$26,IF($B27="V02",cad!$D$26,cad!$E$26)))</f>
        <v/>
      </c>
      <c r="Z27" t="str">
        <f>IF($A27="","",IF($B27="V01",cad!$C$27,IF($B27="V02",cad!$D$27,cad!$E$27)))</f>
        <v/>
      </c>
      <c r="AA27" t="str">
        <f>IF($A27="","",IF($B27="V01",cad!$C$28,IF($B27="V02",cad!$D$28,cad!$E$28)))</f>
        <v/>
      </c>
      <c r="AB27" t="str">
        <f>IF($A27="","",IF($B27="V01",cad!$C$39,IF($B27="V02",cad!$D$39,cad!$E$39)))</f>
        <v/>
      </c>
      <c r="AC27" t="str">
        <f>IF($A27="","",IF($F27="MBWAY",cad!$J$12,IF($F27="ISCOM",cad!$J$13,IF($F27="IPAC",cad!$J$14,IF($F27="PIGIER",cad!$J$15,cad!$J$16)))))</f>
        <v/>
      </c>
      <c r="AD27" t="str">
        <f t="shared" si="1"/>
        <v/>
      </c>
      <c r="AE27" t="str">
        <f t="shared" si="2"/>
        <v/>
      </c>
      <c r="AF27" t="str">
        <f t="shared" si="3"/>
        <v/>
      </c>
      <c r="AG27" t="str">
        <f t="shared" si="4"/>
        <v/>
      </c>
      <c r="AH27" t="str">
        <f t="shared" si="5"/>
        <v/>
      </c>
    </row>
    <row r="28" spans="1:34" x14ac:dyDescent="0.45">
      <c r="A28" t="str">
        <f>IF(Moteur!D28="","",Moteur!D28)</f>
        <v/>
      </c>
      <c r="B28" t="str">
        <f>IF(Moteur!B28="","",Moteur!B28)</f>
        <v/>
      </c>
      <c r="C28" t="str">
        <f>IF(Moteur!F28="","",Moteur!F28)</f>
        <v/>
      </c>
      <c r="D28" t="str">
        <f>IF(Moteur!G28="","",Moteur!G28)</f>
        <v/>
      </c>
      <c r="E28" t="str">
        <f>IF(Moteur!H28="","",Moteur!H28)</f>
        <v/>
      </c>
      <c r="F28" t="str">
        <f>IF(Moteur!E28="","",Moteur!E28)</f>
        <v/>
      </c>
      <c r="G28" t="str">
        <f>IF($A28="","",SUMIFS(Allocation2!$H$1:$H$175,Allocation2!$C$1:$C$175,$A28,Allocation2!$D$1:$D$175,$C28,Allocation2!$E$1:$E$175,$D28,Allocation2!$F$1:$F$175,$E28,Allocation2!$G$1:$G$175,"2026"))</f>
        <v/>
      </c>
      <c r="H28" t="str">
        <f>IF($A28="","",SUMIFS(Allocation2!$N$1:$N$175,Allocation2!$C$1:$C$175,$A28,Allocation2!$D$1:$D$175,$C28,Allocation2!$E$1:$E$175,$D28,Allocation2!$F$1:$F$175,$E28,Allocation2!$G$1:$G$175,"2026"))</f>
        <v/>
      </c>
      <c r="I28" t="str">
        <f>IF($A28="","",SUMIFS(Allocation2!$P$1:$P$175,Allocation2!$C$1:$C$175,$A28,Allocation2!$D$1:$D$175,$C28,Allocation2!$E$1:$E$175,$D28,Allocation2!$F$1:$F$175,$E28,Allocation2!$G$1:$G$175,"2026"))</f>
        <v/>
      </c>
      <c r="J28" t="str">
        <f>IF($A28="","",SUMIFS(Allocation2!$W$1:$W$175,Allocation2!$C$1:$C$175,$A28,Allocation2!$D$1:$D$175,$C28,Allocation2!$E$1:$E$175,$D28,Allocation2!$F$1:$F$175,$E28,Allocation2!$G$1:$G$175,"2026"))</f>
        <v/>
      </c>
      <c r="K28" t="str">
        <f>IF($A28="","",SUMIFS(Allocation2!$X$1:$X$175,Allocation2!$C$1:$C$175,$A28,Allocation2!$D$1:$D$175,$C28,Allocation2!$E$1:$E$175,$D28,Allocation2!$F$1:$F$175,$E28,Allocation2!$G$1:$G$175,"2026"))</f>
        <v/>
      </c>
      <c r="L28" t="str">
        <f>IF($A28="","",SUMIFS(Allocation2!$Y$1:$Y$175,Allocation2!$C$1:$C$175,$A28,Allocation2!$D$1:$D$175,$C28,Allocation2!$E$1:$E$175,$D28,Allocation2!$F$1:$F$175,$E28,Allocation2!$G$1:$G$175,"2026"))</f>
        <v/>
      </c>
      <c r="M28" t="str">
        <f>IF($A28="","",SUMIFS(Allocation2!$V$1:$V$175,Allocation2!$C$1:$C$175,$A28,Allocation2!$D$1:$D$175,$C28,Allocation2!$E$1:$E$175,$D28,Allocation2!$F$1:$F$175,$E28,Allocation2!$G$1:$G$175,"2026"))</f>
        <v/>
      </c>
      <c r="N28" t="str">
        <f t="shared" si="0"/>
        <v/>
      </c>
      <c r="O28" t="str">
        <f>IF($A28="","",SUMIFS(Campagne!$D$1:$D$15,Campagne!$C$1:$C$15,$A28))</f>
        <v/>
      </c>
      <c r="P28" t="str">
        <f>IF($A28="","",SUMIFS(Campagne!$E$1:$E$15,Campagne!$C$1:$C$15,$A28))</f>
        <v/>
      </c>
      <c r="Q28" t="str">
        <f>IF($A28="","",SUMIFS(Campagne!$F$1:$F$15,Campagne!$C$1:$C$15,$A28))</f>
        <v/>
      </c>
      <c r="R28" t="str">
        <f>IF($A28="","",SUMIFS(Campagne!$K$1:$K$15,Campagne!$C$1:$C$15,$A28))</f>
        <v/>
      </c>
      <c r="S28" t="str">
        <f>IF($A28="","",SUMIFS(Campagne!$M$1:$M$15,Campagne!$C$1:$C$15,$A28))</f>
        <v/>
      </c>
      <c r="T28" t="str">
        <f>IF($A28="","",SUMIFS(PIL!$K$15:$K$28,PIL!$A$15:$A$28,$A28)*SUMIFS(PIL!$J$15:$J$28,PIL!$A$15:$A$28,$A28)*(SUM(PIL!$K$15:$K$28)/SUMPRODUCT(PIL!$K$15:$K$28,PIL!$J$15:$J$28)))</f>
        <v/>
      </c>
      <c r="U28" t="str">
        <f>IF($A28="","",SUMIFS(PIL!$K$15:$K$28,PIL!$A$15:$A$28,$A28))</f>
        <v/>
      </c>
      <c r="V28" t="str">
        <f>IF($A28="","",IF($B28="V01",cad!$C$23,IF($B28="V02",cad!$D$23,cad!$E$23)))</f>
        <v/>
      </c>
      <c r="W28" t="str">
        <f>IF($A28="","",IF($B28="V01",cad!$C$24,IF($B28="V02",cad!$D$24,cad!$E$24)))</f>
        <v/>
      </c>
      <c r="X28" t="str">
        <f>IF($A28="","",IF($B28="V01",cad!$C$25,IF($B28="V02",cad!$D$25,cad!$E$25)))</f>
        <v/>
      </c>
      <c r="Y28" t="str">
        <f>IF($A28="","",IF($B28="V01",cad!$C$26,IF($B28="V02",cad!$D$26,cad!$E$26)))</f>
        <v/>
      </c>
      <c r="Z28" t="str">
        <f>IF($A28="","",IF($B28="V01",cad!$C$27,IF($B28="V02",cad!$D$27,cad!$E$27)))</f>
        <v/>
      </c>
      <c r="AA28" t="str">
        <f>IF($A28="","",IF($B28="V01",cad!$C$28,IF($B28="V02",cad!$D$28,cad!$E$28)))</f>
        <v/>
      </c>
      <c r="AB28" t="str">
        <f>IF($A28="","",IF($B28="V01",cad!$C$39,IF($B28="V02",cad!$D$39,cad!$E$39)))</f>
        <v/>
      </c>
      <c r="AC28" t="str">
        <f>IF($A28="","",IF($F28="MBWAY",cad!$J$12,IF($F28="ISCOM",cad!$J$13,IF($F28="IPAC",cad!$J$14,IF($F28="PIGIER",cad!$J$15,cad!$J$16)))))</f>
        <v/>
      </c>
      <c r="AD28" t="str">
        <f t="shared" si="1"/>
        <v/>
      </c>
      <c r="AE28" t="str">
        <f t="shared" si="2"/>
        <v/>
      </c>
      <c r="AF28" t="str">
        <f t="shared" si="3"/>
        <v/>
      </c>
      <c r="AG28" t="str">
        <f t="shared" si="4"/>
        <v/>
      </c>
      <c r="AH28" t="str">
        <f t="shared" si="5"/>
        <v/>
      </c>
    </row>
    <row r="29" spans="1:34" x14ac:dyDescent="0.45">
      <c r="A29" t="str">
        <f>IF(Moteur!D29="","",Moteur!D29)</f>
        <v/>
      </c>
      <c r="B29" t="str">
        <f>IF(Moteur!B29="","",Moteur!B29)</f>
        <v/>
      </c>
      <c r="C29" t="str">
        <f>IF(Moteur!F29="","",Moteur!F29)</f>
        <v/>
      </c>
      <c r="D29" t="str">
        <f>IF(Moteur!G29="","",Moteur!G29)</f>
        <v/>
      </c>
      <c r="E29" t="str">
        <f>IF(Moteur!H29="","",Moteur!H29)</f>
        <v/>
      </c>
      <c r="F29" t="str">
        <f>IF(Moteur!E29="","",Moteur!E29)</f>
        <v/>
      </c>
      <c r="G29" t="str">
        <f>IF($A29="","",SUMIFS(Allocation2!$H$1:$H$175,Allocation2!$C$1:$C$175,$A29,Allocation2!$D$1:$D$175,$C29,Allocation2!$E$1:$E$175,$D29,Allocation2!$F$1:$F$175,$E29,Allocation2!$G$1:$G$175,"2026"))</f>
        <v/>
      </c>
      <c r="H29" t="str">
        <f>IF($A29="","",SUMIFS(Allocation2!$N$1:$N$175,Allocation2!$C$1:$C$175,$A29,Allocation2!$D$1:$D$175,$C29,Allocation2!$E$1:$E$175,$D29,Allocation2!$F$1:$F$175,$E29,Allocation2!$G$1:$G$175,"2026"))</f>
        <v/>
      </c>
      <c r="I29" t="str">
        <f>IF($A29="","",SUMIFS(Allocation2!$P$1:$P$175,Allocation2!$C$1:$C$175,$A29,Allocation2!$D$1:$D$175,$C29,Allocation2!$E$1:$E$175,$D29,Allocation2!$F$1:$F$175,$E29,Allocation2!$G$1:$G$175,"2026"))</f>
        <v/>
      </c>
      <c r="J29" t="str">
        <f>IF($A29="","",SUMIFS(Allocation2!$W$1:$W$175,Allocation2!$C$1:$C$175,$A29,Allocation2!$D$1:$D$175,$C29,Allocation2!$E$1:$E$175,$D29,Allocation2!$F$1:$F$175,$E29,Allocation2!$G$1:$G$175,"2026"))</f>
        <v/>
      </c>
      <c r="K29" t="str">
        <f>IF($A29="","",SUMIFS(Allocation2!$X$1:$X$175,Allocation2!$C$1:$C$175,$A29,Allocation2!$D$1:$D$175,$C29,Allocation2!$E$1:$E$175,$D29,Allocation2!$F$1:$F$175,$E29,Allocation2!$G$1:$G$175,"2026"))</f>
        <v/>
      </c>
      <c r="L29" t="str">
        <f>IF($A29="","",SUMIFS(Allocation2!$Y$1:$Y$175,Allocation2!$C$1:$C$175,$A29,Allocation2!$D$1:$D$175,$C29,Allocation2!$E$1:$E$175,$D29,Allocation2!$F$1:$F$175,$E29,Allocation2!$G$1:$G$175,"2026"))</f>
        <v/>
      </c>
      <c r="M29" t="str">
        <f>IF($A29="","",SUMIFS(Allocation2!$V$1:$V$175,Allocation2!$C$1:$C$175,$A29,Allocation2!$D$1:$D$175,$C29,Allocation2!$E$1:$E$175,$D29,Allocation2!$F$1:$F$175,$E29,Allocation2!$G$1:$G$175,"2026"))</f>
        <v/>
      </c>
      <c r="N29" t="str">
        <f t="shared" si="0"/>
        <v/>
      </c>
      <c r="O29" t="str">
        <f>IF($A29="","",SUMIFS(Campagne!$D$1:$D$15,Campagne!$C$1:$C$15,$A29))</f>
        <v/>
      </c>
      <c r="P29" t="str">
        <f>IF($A29="","",SUMIFS(Campagne!$E$1:$E$15,Campagne!$C$1:$C$15,$A29))</f>
        <v/>
      </c>
      <c r="Q29" t="str">
        <f>IF($A29="","",SUMIFS(Campagne!$F$1:$F$15,Campagne!$C$1:$C$15,$A29))</f>
        <v/>
      </c>
      <c r="R29" t="str">
        <f>IF($A29="","",SUMIFS(Campagne!$K$1:$K$15,Campagne!$C$1:$C$15,$A29))</f>
        <v/>
      </c>
      <c r="S29" t="str">
        <f>IF($A29="","",SUMIFS(Campagne!$M$1:$M$15,Campagne!$C$1:$C$15,$A29))</f>
        <v/>
      </c>
      <c r="T29" t="str">
        <f>IF($A29="","",SUMIFS(PIL!$K$15:$K$28,PIL!$A$15:$A$28,$A29)*SUMIFS(PIL!$J$15:$J$28,PIL!$A$15:$A$28,$A29)*(SUM(PIL!$K$15:$K$28)/SUMPRODUCT(PIL!$K$15:$K$28,PIL!$J$15:$J$28)))</f>
        <v/>
      </c>
      <c r="U29" t="str">
        <f>IF($A29="","",SUMIFS(PIL!$K$15:$K$28,PIL!$A$15:$A$28,$A29))</f>
        <v/>
      </c>
      <c r="V29" t="str">
        <f>IF($A29="","",IF($B29="V01",cad!$C$23,IF($B29="V02",cad!$D$23,cad!$E$23)))</f>
        <v/>
      </c>
      <c r="W29" t="str">
        <f>IF($A29="","",IF($B29="V01",cad!$C$24,IF($B29="V02",cad!$D$24,cad!$E$24)))</f>
        <v/>
      </c>
      <c r="X29" t="str">
        <f>IF($A29="","",IF($B29="V01",cad!$C$25,IF($B29="V02",cad!$D$25,cad!$E$25)))</f>
        <v/>
      </c>
      <c r="Y29" t="str">
        <f>IF($A29="","",IF($B29="V01",cad!$C$26,IF($B29="V02",cad!$D$26,cad!$E$26)))</f>
        <v/>
      </c>
      <c r="Z29" t="str">
        <f>IF($A29="","",IF($B29="V01",cad!$C$27,IF($B29="V02",cad!$D$27,cad!$E$27)))</f>
        <v/>
      </c>
      <c r="AA29" t="str">
        <f>IF($A29="","",IF($B29="V01",cad!$C$28,IF($B29="V02",cad!$D$28,cad!$E$28)))</f>
        <v/>
      </c>
      <c r="AB29" t="str">
        <f>IF($A29="","",IF($B29="V01",cad!$C$39,IF($B29="V02",cad!$D$39,cad!$E$39)))</f>
        <v/>
      </c>
      <c r="AC29" t="str">
        <f>IF($A29="","",IF($F29="MBWAY",cad!$J$12,IF($F29="ISCOM",cad!$J$13,IF($F29="IPAC",cad!$J$14,IF($F29="PIGIER",cad!$J$15,cad!$J$16)))))</f>
        <v/>
      </c>
      <c r="AD29" t="str">
        <f t="shared" si="1"/>
        <v/>
      </c>
      <c r="AE29" t="str">
        <f t="shared" si="2"/>
        <v/>
      </c>
      <c r="AF29" t="str">
        <f t="shared" si="3"/>
        <v/>
      </c>
      <c r="AG29" t="str">
        <f t="shared" si="4"/>
        <v/>
      </c>
      <c r="AH29" t="str">
        <f t="shared" si="5"/>
        <v/>
      </c>
    </row>
    <row r="30" spans="1:34" x14ac:dyDescent="0.45">
      <c r="A30" t="str">
        <f>IF(Moteur!D30="","",Moteur!D30)</f>
        <v/>
      </c>
      <c r="B30" t="str">
        <f>IF(Moteur!B30="","",Moteur!B30)</f>
        <v/>
      </c>
      <c r="C30" t="str">
        <f>IF(Moteur!F30="","",Moteur!F30)</f>
        <v/>
      </c>
      <c r="D30" t="str">
        <f>IF(Moteur!G30="","",Moteur!G30)</f>
        <v/>
      </c>
      <c r="E30" t="str">
        <f>IF(Moteur!H30="","",Moteur!H30)</f>
        <v/>
      </c>
      <c r="F30" t="str">
        <f>IF(Moteur!E30="","",Moteur!E30)</f>
        <v/>
      </c>
      <c r="G30" t="str">
        <f>IF($A30="","",SUMIFS(Allocation2!$H$1:$H$175,Allocation2!$C$1:$C$175,$A30,Allocation2!$D$1:$D$175,$C30,Allocation2!$E$1:$E$175,$D30,Allocation2!$F$1:$F$175,$E30,Allocation2!$G$1:$G$175,"2026"))</f>
        <v/>
      </c>
      <c r="H30" t="str">
        <f>IF($A30="","",SUMIFS(Allocation2!$N$1:$N$175,Allocation2!$C$1:$C$175,$A30,Allocation2!$D$1:$D$175,$C30,Allocation2!$E$1:$E$175,$D30,Allocation2!$F$1:$F$175,$E30,Allocation2!$G$1:$G$175,"2026"))</f>
        <v/>
      </c>
      <c r="I30" t="str">
        <f>IF($A30="","",SUMIFS(Allocation2!$P$1:$P$175,Allocation2!$C$1:$C$175,$A30,Allocation2!$D$1:$D$175,$C30,Allocation2!$E$1:$E$175,$D30,Allocation2!$F$1:$F$175,$E30,Allocation2!$G$1:$G$175,"2026"))</f>
        <v/>
      </c>
      <c r="J30" t="str">
        <f>IF($A30="","",SUMIFS(Allocation2!$W$1:$W$175,Allocation2!$C$1:$C$175,$A30,Allocation2!$D$1:$D$175,$C30,Allocation2!$E$1:$E$175,$D30,Allocation2!$F$1:$F$175,$E30,Allocation2!$G$1:$G$175,"2026"))</f>
        <v/>
      </c>
      <c r="K30" t="str">
        <f>IF($A30="","",SUMIFS(Allocation2!$X$1:$X$175,Allocation2!$C$1:$C$175,$A30,Allocation2!$D$1:$D$175,$C30,Allocation2!$E$1:$E$175,$D30,Allocation2!$F$1:$F$175,$E30,Allocation2!$G$1:$G$175,"2026"))</f>
        <v/>
      </c>
      <c r="L30" t="str">
        <f>IF($A30="","",SUMIFS(Allocation2!$Y$1:$Y$175,Allocation2!$C$1:$C$175,$A30,Allocation2!$D$1:$D$175,$C30,Allocation2!$E$1:$E$175,$D30,Allocation2!$F$1:$F$175,$E30,Allocation2!$G$1:$G$175,"2026"))</f>
        <v/>
      </c>
      <c r="M30" t="str">
        <f>IF($A30="","",SUMIFS(Allocation2!$V$1:$V$175,Allocation2!$C$1:$C$175,$A30,Allocation2!$D$1:$D$175,$C30,Allocation2!$E$1:$E$175,$D30,Allocation2!$F$1:$F$175,$E30,Allocation2!$G$1:$G$175,"2026"))</f>
        <v/>
      </c>
      <c r="N30" t="str">
        <f t="shared" si="0"/>
        <v/>
      </c>
      <c r="O30" t="str">
        <f>IF($A30="","",SUMIFS(Campagne!$D$1:$D$15,Campagne!$C$1:$C$15,$A30))</f>
        <v/>
      </c>
      <c r="P30" t="str">
        <f>IF($A30="","",SUMIFS(Campagne!$E$1:$E$15,Campagne!$C$1:$C$15,$A30))</f>
        <v/>
      </c>
      <c r="Q30" t="str">
        <f>IF($A30="","",SUMIFS(Campagne!$F$1:$F$15,Campagne!$C$1:$C$15,$A30))</f>
        <v/>
      </c>
      <c r="R30" t="str">
        <f>IF($A30="","",SUMIFS(Campagne!$K$1:$K$15,Campagne!$C$1:$C$15,$A30))</f>
        <v/>
      </c>
      <c r="S30" t="str">
        <f>IF($A30="","",SUMIFS(Campagne!$M$1:$M$15,Campagne!$C$1:$C$15,$A30))</f>
        <v/>
      </c>
      <c r="T30" t="str">
        <f>IF($A30="","",SUMIFS(PIL!$K$15:$K$28,PIL!$A$15:$A$28,$A30)*SUMIFS(PIL!$J$15:$J$28,PIL!$A$15:$A$28,$A30)*(SUM(PIL!$K$15:$K$28)/SUMPRODUCT(PIL!$K$15:$K$28,PIL!$J$15:$J$28)))</f>
        <v/>
      </c>
      <c r="U30" t="str">
        <f>IF($A30="","",SUMIFS(PIL!$K$15:$K$28,PIL!$A$15:$A$28,$A30))</f>
        <v/>
      </c>
      <c r="V30" t="str">
        <f>IF($A30="","",IF($B30="V01",cad!$C$23,IF($B30="V02",cad!$D$23,cad!$E$23)))</f>
        <v/>
      </c>
      <c r="W30" t="str">
        <f>IF($A30="","",IF($B30="V01",cad!$C$24,IF($B30="V02",cad!$D$24,cad!$E$24)))</f>
        <v/>
      </c>
      <c r="X30" t="str">
        <f>IF($A30="","",IF($B30="V01",cad!$C$25,IF($B30="V02",cad!$D$25,cad!$E$25)))</f>
        <v/>
      </c>
      <c r="Y30" t="str">
        <f>IF($A30="","",IF($B30="V01",cad!$C$26,IF($B30="V02",cad!$D$26,cad!$E$26)))</f>
        <v/>
      </c>
      <c r="Z30" t="str">
        <f>IF($A30="","",IF($B30="V01",cad!$C$27,IF($B30="V02",cad!$D$27,cad!$E$27)))</f>
        <v/>
      </c>
      <c r="AA30" t="str">
        <f>IF($A30="","",IF($B30="V01",cad!$C$28,IF($B30="V02",cad!$D$28,cad!$E$28)))</f>
        <v/>
      </c>
      <c r="AB30" t="str">
        <f>IF($A30="","",IF($B30="V01",cad!$C$39,IF($B30="V02",cad!$D$39,cad!$E$39)))</f>
        <v/>
      </c>
      <c r="AC30" t="str">
        <f>IF($A30="","",IF($F30="MBWAY",cad!$J$12,IF($F30="ISCOM",cad!$J$13,IF($F30="IPAC",cad!$J$14,IF($F30="PIGIER",cad!$J$15,cad!$J$16)))))</f>
        <v/>
      </c>
      <c r="AD30" t="str">
        <f t="shared" si="1"/>
        <v/>
      </c>
      <c r="AE30" t="str">
        <f t="shared" si="2"/>
        <v/>
      </c>
      <c r="AF30" t="str">
        <f t="shared" si="3"/>
        <v/>
      </c>
      <c r="AG30" t="str">
        <f t="shared" si="4"/>
        <v/>
      </c>
      <c r="AH30" t="str">
        <f t="shared" si="5"/>
        <v/>
      </c>
    </row>
    <row r="31" spans="1:34" x14ac:dyDescent="0.45">
      <c r="A31" t="str">
        <f>IF(Moteur!D31="","",Moteur!D31)</f>
        <v/>
      </c>
      <c r="B31" t="str">
        <f>IF(Moteur!B31="","",Moteur!B31)</f>
        <v/>
      </c>
      <c r="C31" t="str">
        <f>IF(Moteur!F31="","",Moteur!F31)</f>
        <v/>
      </c>
      <c r="D31" t="str">
        <f>IF(Moteur!G31="","",Moteur!G31)</f>
        <v/>
      </c>
      <c r="E31" t="str">
        <f>IF(Moteur!H31="","",Moteur!H31)</f>
        <v/>
      </c>
      <c r="F31" t="str">
        <f>IF(Moteur!E31="","",Moteur!E31)</f>
        <v/>
      </c>
      <c r="G31" t="str">
        <f>IF($A31="","",SUMIFS(Allocation2!$H$1:$H$175,Allocation2!$C$1:$C$175,$A31,Allocation2!$D$1:$D$175,$C31,Allocation2!$E$1:$E$175,$D31,Allocation2!$F$1:$F$175,$E31,Allocation2!$G$1:$G$175,"2026"))</f>
        <v/>
      </c>
      <c r="H31" t="str">
        <f>IF($A31="","",SUMIFS(Allocation2!$N$1:$N$175,Allocation2!$C$1:$C$175,$A31,Allocation2!$D$1:$D$175,$C31,Allocation2!$E$1:$E$175,$D31,Allocation2!$F$1:$F$175,$E31,Allocation2!$G$1:$G$175,"2026"))</f>
        <v/>
      </c>
      <c r="I31" t="str">
        <f>IF($A31="","",SUMIFS(Allocation2!$P$1:$P$175,Allocation2!$C$1:$C$175,$A31,Allocation2!$D$1:$D$175,$C31,Allocation2!$E$1:$E$175,$D31,Allocation2!$F$1:$F$175,$E31,Allocation2!$G$1:$G$175,"2026"))</f>
        <v/>
      </c>
      <c r="J31" t="str">
        <f>IF($A31="","",SUMIFS(Allocation2!$W$1:$W$175,Allocation2!$C$1:$C$175,$A31,Allocation2!$D$1:$D$175,$C31,Allocation2!$E$1:$E$175,$D31,Allocation2!$F$1:$F$175,$E31,Allocation2!$G$1:$G$175,"2026"))</f>
        <v/>
      </c>
      <c r="K31" t="str">
        <f>IF($A31="","",SUMIFS(Allocation2!$X$1:$X$175,Allocation2!$C$1:$C$175,$A31,Allocation2!$D$1:$D$175,$C31,Allocation2!$E$1:$E$175,$D31,Allocation2!$F$1:$F$175,$E31,Allocation2!$G$1:$G$175,"2026"))</f>
        <v/>
      </c>
      <c r="L31" t="str">
        <f>IF($A31="","",SUMIFS(Allocation2!$Y$1:$Y$175,Allocation2!$C$1:$C$175,$A31,Allocation2!$D$1:$D$175,$C31,Allocation2!$E$1:$E$175,$D31,Allocation2!$F$1:$F$175,$E31,Allocation2!$G$1:$G$175,"2026"))</f>
        <v/>
      </c>
      <c r="M31" t="str">
        <f>IF($A31="","",SUMIFS(Allocation2!$V$1:$V$175,Allocation2!$C$1:$C$175,$A31,Allocation2!$D$1:$D$175,$C31,Allocation2!$E$1:$E$175,$D31,Allocation2!$F$1:$F$175,$E31,Allocation2!$G$1:$G$175,"2026"))</f>
        <v/>
      </c>
      <c r="N31" t="str">
        <f t="shared" si="0"/>
        <v/>
      </c>
      <c r="O31" t="str">
        <f>IF($A31="","",SUMIFS(Campagne!$D$1:$D$15,Campagne!$C$1:$C$15,$A31))</f>
        <v/>
      </c>
      <c r="P31" t="str">
        <f>IF($A31="","",SUMIFS(Campagne!$E$1:$E$15,Campagne!$C$1:$C$15,$A31))</f>
        <v/>
      </c>
      <c r="Q31" t="str">
        <f>IF($A31="","",SUMIFS(Campagne!$F$1:$F$15,Campagne!$C$1:$C$15,$A31))</f>
        <v/>
      </c>
      <c r="R31" t="str">
        <f>IF($A31="","",SUMIFS(Campagne!$K$1:$K$15,Campagne!$C$1:$C$15,$A31))</f>
        <v/>
      </c>
      <c r="S31" t="str">
        <f>IF($A31="","",SUMIFS(Campagne!$M$1:$M$15,Campagne!$C$1:$C$15,$A31))</f>
        <v/>
      </c>
      <c r="T31" t="str">
        <f>IF($A31="","",SUMIFS(PIL!$K$15:$K$28,PIL!$A$15:$A$28,$A31)*SUMIFS(PIL!$J$15:$J$28,PIL!$A$15:$A$28,$A31)*(SUM(PIL!$K$15:$K$28)/SUMPRODUCT(PIL!$K$15:$K$28,PIL!$J$15:$J$28)))</f>
        <v/>
      </c>
      <c r="U31" t="str">
        <f>IF($A31="","",SUMIFS(PIL!$K$15:$K$28,PIL!$A$15:$A$28,$A31))</f>
        <v/>
      </c>
      <c r="V31" t="str">
        <f>IF($A31="","",IF($B31="V01",cad!$C$23,IF($B31="V02",cad!$D$23,cad!$E$23)))</f>
        <v/>
      </c>
      <c r="W31" t="str">
        <f>IF($A31="","",IF($B31="V01",cad!$C$24,IF($B31="V02",cad!$D$24,cad!$E$24)))</f>
        <v/>
      </c>
      <c r="X31" t="str">
        <f>IF($A31="","",IF($B31="V01",cad!$C$25,IF($B31="V02",cad!$D$25,cad!$E$25)))</f>
        <v/>
      </c>
      <c r="Y31" t="str">
        <f>IF($A31="","",IF($B31="V01",cad!$C$26,IF($B31="V02",cad!$D$26,cad!$E$26)))</f>
        <v/>
      </c>
      <c r="Z31" t="str">
        <f>IF($A31="","",IF($B31="V01",cad!$C$27,IF($B31="V02",cad!$D$27,cad!$E$27)))</f>
        <v/>
      </c>
      <c r="AA31" t="str">
        <f>IF($A31="","",IF($B31="V01",cad!$C$28,IF($B31="V02",cad!$D$28,cad!$E$28)))</f>
        <v/>
      </c>
      <c r="AB31" t="str">
        <f>IF($A31="","",IF($B31="V01",cad!$C$39,IF($B31="V02",cad!$D$39,cad!$E$39)))</f>
        <v/>
      </c>
      <c r="AC31" t="str">
        <f>IF($A31="","",IF($F31="MBWAY",cad!$J$12,IF($F31="ISCOM",cad!$J$13,IF($F31="IPAC",cad!$J$14,IF($F31="PIGIER",cad!$J$15,cad!$J$16)))))</f>
        <v/>
      </c>
      <c r="AD31" t="str">
        <f t="shared" si="1"/>
        <v/>
      </c>
      <c r="AE31" t="str">
        <f t="shared" si="2"/>
        <v/>
      </c>
      <c r="AF31" t="str">
        <f t="shared" si="3"/>
        <v/>
      </c>
      <c r="AG31" t="str">
        <f t="shared" si="4"/>
        <v/>
      </c>
      <c r="AH31" t="str">
        <f t="shared" si="5"/>
        <v/>
      </c>
    </row>
    <row r="32" spans="1:34" x14ac:dyDescent="0.45">
      <c r="A32" t="str">
        <f>IF(Moteur!D32="","",Moteur!D32)</f>
        <v/>
      </c>
      <c r="B32" t="str">
        <f>IF(Moteur!B32="","",Moteur!B32)</f>
        <v/>
      </c>
      <c r="C32" t="str">
        <f>IF(Moteur!F32="","",Moteur!F32)</f>
        <v/>
      </c>
      <c r="D32" t="str">
        <f>IF(Moteur!G32="","",Moteur!G32)</f>
        <v/>
      </c>
      <c r="E32" t="str">
        <f>IF(Moteur!H32="","",Moteur!H32)</f>
        <v/>
      </c>
      <c r="F32" t="str">
        <f>IF(Moteur!E32="","",Moteur!E32)</f>
        <v/>
      </c>
      <c r="G32" t="str">
        <f>IF($A32="","",SUMIFS(Allocation2!$H$1:$H$175,Allocation2!$C$1:$C$175,$A32,Allocation2!$D$1:$D$175,$C32,Allocation2!$E$1:$E$175,$D32,Allocation2!$F$1:$F$175,$E32,Allocation2!$G$1:$G$175,"2026"))</f>
        <v/>
      </c>
      <c r="H32" t="str">
        <f>IF($A32="","",SUMIFS(Allocation2!$N$1:$N$175,Allocation2!$C$1:$C$175,$A32,Allocation2!$D$1:$D$175,$C32,Allocation2!$E$1:$E$175,$D32,Allocation2!$F$1:$F$175,$E32,Allocation2!$G$1:$G$175,"2026"))</f>
        <v/>
      </c>
      <c r="I32" t="str">
        <f>IF($A32="","",SUMIFS(Allocation2!$P$1:$P$175,Allocation2!$C$1:$C$175,$A32,Allocation2!$D$1:$D$175,$C32,Allocation2!$E$1:$E$175,$D32,Allocation2!$F$1:$F$175,$E32,Allocation2!$G$1:$G$175,"2026"))</f>
        <v/>
      </c>
      <c r="J32" t="str">
        <f>IF($A32="","",SUMIFS(Allocation2!$W$1:$W$175,Allocation2!$C$1:$C$175,$A32,Allocation2!$D$1:$D$175,$C32,Allocation2!$E$1:$E$175,$D32,Allocation2!$F$1:$F$175,$E32,Allocation2!$G$1:$G$175,"2026"))</f>
        <v/>
      </c>
      <c r="K32" t="str">
        <f>IF($A32="","",SUMIFS(Allocation2!$X$1:$X$175,Allocation2!$C$1:$C$175,$A32,Allocation2!$D$1:$D$175,$C32,Allocation2!$E$1:$E$175,$D32,Allocation2!$F$1:$F$175,$E32,Allocation2!$G$1:$G$175,"2026"))</f>
        <v/>
      </c>
      <c r="L32" t="str">
        <f>IF($A32="","",SUMIFS(Allocation2!$Y$1:$Y$175,Allocation2!$C$1:$C$175,$A32,Allocation2!$D$1:$D$175,$C32,Allocation2!$E$1:$E$175,$D32,Allocation2!$F$1:$F$175,$E32,Allocation2!$G$1:$G$175,"2026"))</f>
        <v/>
      </c>
      <c r="M32" t="str">
        <f>IF($A32="","",SUMIFS(Allocation2!$V$1:$V$175,Allocation2!$C$1:$C$175,$A32,Allocation2!$D$1:$D$175,$C32,Allocation2!$E$1:$E$175,$D32,Allocation2!$F$1:$F$175,$E32,Allocation2!$G$1:$G$175,"2026"))</f>
        <v/>
      </c>
      <c r="N32" t="str">
        <f t="shared" si="0"/>
        <v/>
      </c>
      <c r="O32" t="str">
        <f>IF($A32="","",SUMIFS(Campagne!$D$1:$D$15,Campagne!$C$1:$C$15,$A32))</f>
        <v/>
      </c>
      <c r="P32" t="str">
        <f>IF($A32="","",SUMIFS(Campagne!$E$1:$E$15,Campagne!$C$1:$C$15,$A32))</f>
        <v/>
      </c>
      <c r="Q32" t="str">
        <f>IF($A32="","",SUMIFS(Campagne!$F$1:$F$15,Campagne!$C$1:$C$15,$A32))</f>
        <v/>
      </c>
      <c r="R32" t="str">
        <f>IF($A32="","",SUMIFS(Campagne!$K$1:$K$15,Campagne!$C$1:$C$15,$A32))</f>
        <v/>
      </c>
      <c r="S32" t="str">
        <f>IF($A32="","",SUMIFS(Campagne!$M$1:$M$15,Campagne!$C$1:$C$15,$A32))</f>
        <v/>
      </c>
      <c r="T32" t="str">
        <f>IF($A32="","",SUMIFS(PIL!$K$15:$K$28,PIL!$A$15:$A$28,$A32)*SUMIFS(PIL!$J$15:$J$28,PIL!$A$15:$A$28,$A32)*(SUM(PIL!$K$15:$K$28)/SUMPRODUCT(PIL!$K$15:$K$28,PIL!$J$15:$J$28)))</f>
        <v/>
      </c>
      <c r="U32" t="str">
        <f>IF($A32="","",SUMIFS(PIL!$K$15:$K$28,PIL!$A$15:$A$28,$A32))</f>
        <v/>
      </c>
      <c r="V32" t="str">
        <f>IF($A32="","",IF($B32="V01",cad!$C$23,IF($B32="V02",cad!$D$23,cad!$E$23)))</f>
        <v/>
      </c>
      <c r="W32" t="str">
        <f>IF($A32="","",IF($B32="V01",cad!$C$24,IF($B32="V02",cad!$D$24,cad!$E$24)))</f>
        <v/>
      </c>
      <c r="X32" t="str">
        <f>IF($A32="","",IF($B32="V01",cad!$C$25,IF($B32="V02",cad!$D$25,cad!$E$25)))</f>
        <v/>
      </c>
      <c r="Y32" t="str">
        <f>IF($A32="","",IF($B32="V01",cad!$C$26,IF($B32="V02",cad!$D$26,cad!$E$26)))</f>
        <v/>
      </c>
      <c r="Z32" t="str">
        <f>IF($A32="","",IF($B32="V01",cad!$C$27,IF($B32="V02",cad!$D$27,cad!$E$27)))</f>
        <v/>
      </c>
      <c r="AA32" t="str">
        <f>IF($A32="","",IF($B32="V01",cad!$C$28,IF($B32="V02",cad!$D$28,cad!$E$28)))</f>
        <v/>
      </c>
      <c r="AB32" t="str">
        <f>IF($A32="","",IF($B32="V01",cad!$C$39,IF($B32="V02",cad!$D$39,cad!$E$39)))</f>
        <v/>
      </c>
      <c r="AC32" t="str">
        <f>IF($A32="","",IF($F32="MBWAY",cad!$J$12,IF($F32="ISCOM",cad!$J$13,IF($F32="IPAC",cad!$J$14,IF($F32="PIGIER",cad!$J$15,cad!$J$16)))))</f>
        <v/>
      </c>
      <c r="AD32" t="str">
        <f t="shared" si="1"/>
        <v/>
      </c>
      <c r="AE32" t="str">
        <f t="shared" si="2"/>
        <v/>
      </c>
      <c r="AF32" t="str">
        <f t="shared" si="3"/>
        <v/>
      </c>
      <c r="AG32" t="str">
        <f t="shared" si="4"/>
        <v/>
      </c>
      <c r="AH32" t="str">
        <f t="shared" si="5"/>
        <v/>
      </c>
    </row>
    <row r="33" spans="1:34" x14ac:dyDescent="0.45">
      <c r="A33" t="str">
        <f>IF(Moteur!D33="","",Moteur!D33)</f>
        <v/>
      </c>
      <c r="B33" t="str">
        <f>IF(Moteur!B33="","",Moteur!B33)</f>
        <v/>
      </c>
      <c r="C33" t="str">
        <f>IF(Moteur!F33="","",Moteur!F33)</f>
        <v/>
      </c>
      <c r="D33" t="str">
        <f>IF(Moteur!G33="","",Moteur!G33)</f>
        <v/>
      </c>
      <c r="E33" t="str">
        <f>IF(Moteur!H33="","",Moteur!H33)</f>
        <v/>
      </c>
      <c r="F33" t="str">
        <f>IF(Moteur!E33="","",Moteur!E33)</f>
        <v/>
      </c>
      <c r="G33" t="str">
        <f>IF($A33="","",SUMIFS(Allocation2!$H$1:$H$175,Allocation2!$C$1:$C$175,$A33,Allocation2!$D$1:$D$175,$C33,Allocation2!$E$1:$E$175,$D33,Allocation2!$F$1:$F$175,$E33,Allocation2!$G$1:$G$175,"2026"))</f>
        <v/>
      </c>
      <c r="H33" t="str">
        <f>IF($A33="","",SUMIFS(Allocation2!$N$1:$N$175,Allocation2!$C$1:$C$175,$A33,Allocation2!$D$1:$D$175,$C33,Allocation2!$E$1:$E$175,$D33,Allocation2!$F$1:$F$175,$E33,Allocation2!$G$1:$G$175,"2026"))</f>
        <v/>
      </c>
      <c r="I33" t="str">
        <f>IF($A33="","",SUMIFS(Allocation2!$P$1:$P$175,Allocation2!$C$1:$C$175,$A33,Allocation2!$D$1:$D$175,$C33,Allocation2!$E$1:$E$175,$D33,Allocation2!$F$1:$F$175,$E33,Allocation2!$G$1:$G$175,"2026"))</f>
        <v/>
      </c>
      <c r="J33" t="str">
        <f>IF($A33="","",SUMIFS(Allocation2!$W$1:$W$175,Allocation2!$C$1:$C$175,$A33,Allocation2!$D$1:$D$175,$C33,Allocation2!$E$1:$E$175,$D33,Allocation2!$F$1:$F$175,$E33,Allocation2!$G$1:$G$175,"2026"))</f>
        <v/>
      </c>
      <c r="K33" t="str">
        <f>IF($A33="","",SUMIFS(Allocation2!$X$1:$X$175,Allocation2!$C$1:$C$175,$A33,Allocation2!$D$1:$D$175,$C33,Allocation2!$E$1:$E$175,$D33,Allocation2!$F$1:$F$175,$E33,Allocation2!$G$1:$G$175,"2026"))</f>
        <v/>
      </c>
      <c r="L33" t="str">
        <f>IF($A33="","",SUMIFS(Allocation2!$Y$1:$Y$175,Allocation2!$C$1:$C$175,$A33,Allocation2!$D$1:$D$175,$C33,Allocation2!$E$1:$E$175,$D33,Allocation2!$F$1:$F$175,$E33,Allocation2!$G$1:$G$175,"2026"))</f>
        <v/>
      </c>
      <c r="M33" t="str">
        <f>IF($A33="","",SUMIFS(Allocation2!$V$1:$V$175,Allocation2!$C$1:$C$175,$A33,Allocation2!$D$1:$D$175,$C33,Allocation2!$E$1:$E$175,$D33,Allocation2!$F$1:$F$175,$E33,Allocation2!$G$1:$G$175,"2026"))</f>
        <v/>
      </c>
      <c r="N33" t="str">
        <f t="shared" si="0"/>
        <v/>
      </c>
      <c r="O33" t="str">
        <f>IF($A33="","",SUMIFS(Campagne!$D$1:$D$15,Campagne!$C$1:$C$15,$A33))</f>
        <v/>
      </c>
      <c r="P33" t="str">
        <f>IF($A33="","",SUMIFS(Campagne!$E$1:$E$15,Campagne!$C$1:$C$15,$A33))</f>
        <v/>
      </c>
      <c r="Q33" t="str">
        <f>IF($A33="","",SUMIFS(Campagne!$F$1:$F$15,Campagne!$C$1:$C$15,$A33))</f>
        <v/>
      </c>
      <c r="R33" t="str">
        <f>IF($A33="","",SUMIFS(Campagne!$K$1:$K$15,Campagne!$C$1:$C$15,$A33))</f>
        <v/>
      </c>
      <c r="S33" t="str">
        <f>IF($A33="","",SUMIFS(Campagne!$M$1:$M$15,Campagne!$C$1:$C$15,$A33))</f>
        <v/>
      </c>
      <c r="T33" t="str">
        <f>IF($A33="","",SUMIFS(PIL!$K$15:$K$28,PIL!$A$15:$A$28,$A33)*SUMIFS(PIL!$J$15:$J$28,PIL!$A$15:$A$28,$A33)*(SUM(PIL!$K$15:$K$28)/SUMPRODUCT(PIL!$K$15:$K$28,PIL!$J$15:$J$28)))</f>
        <v/>
      </c>
      <c r="U33" t="str">
        <f>IF($A33="","",SUMIFS(PIL!$K$15:$K$28,PIL!$A$15:$A$28,$A33))</f>
        <v/>
      </c>
      <c r="V33" t="str">
        <f>IF($A33="","",IF($B33="V01",cad!$C$23,IF($B33="V02",cad!$D$23,cad!$E$23)))</f>
        <v/>
      </c>
      <c r="W33" t="str">
        <f>IF($A33="","",IF($B33="V01",cad!$C$24,IF($B33="V02",cad!$D$24,cad!$E$24)))</f>
        <v/>
      </c>
      <c r="X33" t="str">
        <f>IF($A33="","",IF($B33="V01",cad!$C$25,IF($B33="V02",cad!$D$25,cad!$E$25)))</f>
        <v/>
      </c>
      <c r="Y33" t="str">
        <f>IF($A33="","",IF($B33="V01",cad!$C$26,IF($B33="V02",cad!$D$26,cad!$E$26)))</f>
        <v/>
      </c>
      <c r="Z33" t="str">
        <f>IF($A33="","",IF($B33="V01",cad!$C$27,IF($B33="V02",cad!$D$27,cad!$E$27)))</f>
        <v/>
      </c>
      <c r="AA33" t="str">
        <f>IF($A33="","",IF($B33="V01",cad!$C$28,IF($B33="V02",cad!$D$28,cad!$E$28)))</f>
        <v/>
      </c>
      <c r="AB33" t="str">
        <f>IF($A33="","",IF($B33="V01",cad!$C$39,IF($B33="V02",cad!$D$39,cad!$E$39)))</f>
        <v/>
      </c>
      <c r="AC33" t="str">
        <f>IF($A33="","",IF($F33="MBWAY",cad!$J$12,IF($F33="ISCOM",cad!$J$13,IF($F33="IPAC",cad!$J$14,IF($F33="PIGIER",cad!$J$15,cad!$J$16)))))</f>
        <v/>
      </c>
      <c r="AD33" t="str">
        <f t="shared" si="1"/>
        <v/>
      </c>
      <c r="AE33" t="str">
        <f t="shared" si="2"/>
        <v/>
      </c>
      <c r="AF33" t="str">
        <f t="shared" si="3"/>
        <v/>
      </c>
      <c r="AG33" t="str">
        <f t="shared" si="4"/>
        <v/>
      </c>
      <c r="AH33" t="str">
        <f t="shared" si="5"/>
        <v/>
      </c>
    </row>
    <row r="34" spans="1:34" x14ac:dyDescent="0.45">
      <c r="A34" t="str">
        <f>IF(Moteur!D34="","",Moteur!D34)</f>
        <v/>
      </c>
      <c r="B34" t="str">
        <f>IF(Moteur!B34="","",Moteur!B34)</f>
        <v/>
      </c>
      <c r="C34" t="str">
        <f>IF(Moteur!F34="","",Moteur!F34)</f>
        <v/>
      </c>
      <c r="D34" t="str">
        <f>IF(Moteur!G34="","",Moteur!G34)</f>
        <v/>
      </c>
      <c r="E34" t="str">
        <f>IF(Moteur!H34="","",Moteur!H34)</f>
        <v/>
      </c>
      <c r="F34" t="str">
        <f>IF(Moteur!E34="","",Moteur!E34)</f>
        <v/>
      </c>
      <c r="G34" t="str">
        <f>IF($A34="","",SUMIFS(Allocation2!$H$1:$H$175,Allocation2!$C$1:$C$175,$A34,Allocation2!$D$1:$D$175,$C34,Allocation2!$E$1:$E$175,$D34,Allocation2!$F$1:$F$175,$E34,Allocation2!$G$1:$G$175,"2026"))</f>
        <v/>
      </c>
      <c r="H34" t="str">
        <f>IF($A34="","",SUMIFS(Allocation2!$N$1:$N$175,Allocation2!$C$1:$C$175,$A34,Allocation2!$D$1:$D$175,$C34,Allocation2!$E$1:$E$175,$D34,Allocation2!$F$1:$F$175,$E34,Allocation2!$G$1:$G$175,"2026"))</f>
        <v/>
      </c>
      <c r="I34" t="str">
        <f>IF($A34="","",SUMIFS(Allocation2!$P$1:$P$175,Allocation2!$C$1:$C$175,$A34,Allocation2!$D$1:$D$175,$C34,Allocation2!$E$1:$E$175,$D34,Allocation2!$F$1:$F$175,$E34,Allocation2!$G$1:$G$175,"2026"))</f>
        <v/>
      </c>
      <c r="J34" t="str">
        <f>IF($A34="","",SUMIFS(Allocation2!$W$1:$W$175,Allocation2!$C$1:$C$175,$A34,Allocation2!$D$1:$D$175,$C34,Allocation2!$E$1:$E$175,$D34,Allocation2!$F$1:$F$175,$E34,Allocation2!$G$1:$G$175,"2026"))</f>
        <v/>
      </c>
      <c r="K34" t="str">
        <f>IF($A34="","",SUMIFS(Allocation2!$X$1:$X$175,Allocation2!$C$1:$C$175,$A34,Allocation2!$D$1:$D$175,$C34,Allocation2!$E$1:$E$175,$D34,Allocation2!$F$1:$F$175,$E34,Allocation2!$G$1:$G$175,"2026"))</f>
        <v/>
      </c>
      <c r="L34" t="str">
        <f>IF($A34="","",SUMIFS(Allocation2!$Y$1:$Y$175,Allocation2!$C$1:$C$175,$A34,Allocation2!$D$1:$D$175,$C34,Allocation2!$E$1:$E$175,$D34,Allocation2!$F$1:$F$175,$E34,Allocation2!$G$1:$G$175,"2026"))</f>
        <v/>
      </c>
      <c r="M34" t="str">
        <f>IF($A34="","",SUMIFS(Allocation2!$V$1:$V$175,Allocation2!$C$1:$C$175,$A34,Allocation2!$D$1:$D$175,$C34,Allocation2!$E$1:$E$175,$D34,Allocation2!$F$1:$F$175,$E34,Allocation2!$G$1:$G$175,"2026"))</f>
        <v/>
      </c>
      <c r="N34" t="str">
        <f t="shared" si="0"/>
        <v/>
      </c>
      <c r="O34" t="str">
        <f>IF($A34="","",SUMIFS(Campagne!$D$1:$D$15,Campagne!$C$1:$C$15,$A34))</f>
        <v/>
      </c>
      <c r="P34" t="str">
        <f>IF($A34="","",SUMIFS(Campagne!$E$1:$E$15,Campagne!$C$1:$C$15,$A34))</f>
        <v/>
      </c>
      <c r="Q34" t="str">
        <f>IF($A34="","",SUMIFS(Campagne!$F$1:$F$15,Campagne!$C$1:$C$15,$A34))</f>
        <v/>
      </c>
      <c r="R34" t="str">
        <f>IF($A34="","",SUMIFS(Campagne!$K$1:$K$15,Campagne!$C$1:$C$15,$A34))</f>
        <v/>
      </c>
      <c r="S34" t="str">
        <f>IF($A34="","",SUMIFS(Campagne!$M$1:$M$15,Campagne!$C$1:$C$15,$A34))</f>
        <v/>
      </c>
      <c r="T34" t="str">
        <f>IF($A34="","",SUMIFS(PIL!$K$15:$K$28,PIL!$A$15:$A$28,$A34)*SUMIFS(PIL!$J$15:$J$28,PIL!$A$15:$A$28,$A34)*(SUM(PIL!$K$15:$K$28)/SUMPRODUCT(PIL!$K$15:$K$28,PIL!$J$15:$J$28)))</f>
        <v/>
      </c>
      <c r="U34" t="str">
        <f>IF($A34="","",SUMIFS(PIL!$K$15:$K$28,PIL!$A$15:$A$28,$A34))</f>
        <v/>
      </c>
      <c r="V34" t="str">
        <f>IF($A34="","",IF($B34="V01",cad!$C$23,IF($B34="V02",cad!$D$23,cad!$E$23)))</f>
        <v/>
      </c>
      <c r="W34" t="str">
        <f>IF($A34="","",IF($B34="V01",cad!$C$24,IF($B34="V02",cad!$D$24,cad!$E$24)))</f>
        <v/>
      </c>
      <c r="X34" t="str">
        <f>IF($A34="","",IF($B34="V01",cad!$C$25,IF($B34="V02",cad!$D$25,cad!$E$25)))</f>
        <v/>
      </c>
      <c r="Y34" t="str">
        <f>IF($A34="","",IF($B34="V01",cad!$C$26,IF($B34="V02",cad!$D$26,cad!$E$26)))</f>
        <v/>
      </c>
      <c r="Z34" t="str">
        <f>IF($A34="","",IF($B34="V01",cad!$C$27,IF($B34="V02",cad!$D$27,cad!$E$27)))</f>
        <v/>
      </c>
      <c r="AA34" t="str">
        <f>IF($A34="","",IF($B34="V01",cad!$C$28,IF($B34="V02",cad!$D$28,cad!$E$28)))</f>
        <v/>
      </c>
      <c r="AB34" t="str">
        <f>IF($A34="","",IF($B34="V01",cad!$C$39,IF($B34="V02",cad!$D$39,cad!$E$39)))</f>
        <v/>
      </c>
      <c r="AC34" t="str">
        <f>IF($A34="","",IF($F34="MBWAY",cad!$J$12,IF($F34="ISCOM",cad!$J$13,IF($F34="IPAC",cad!$J$14,IF($F34="PIGIER",cad!$J$15,cad!$J$16)))))</f>
        <v/>
      </c>
      <c r="AD34" t="str">
        <f t="shared" si="1"/>
        <v/>
      </c>
      <c r="AE34" t="str">
        <f t="shared" si="2"/>
        <v/>
      </c>
      <c r="AF34" t="str">
        <f t="shared" si="3"/>
        <v/>
      </c>
      <c r="AG34" t="str">
        <f t="shared" si="4"/>
        <v/>
      </c>
      <c r="AH34" t="str">
        <f t="shared" si="5"/>
        <v/>
      </c>
    </row>
    <row r="35" spans="1:34" x14ac:dyDescent="0.45">
      <c r="A35" t="str">
        <f>IF(Moteur!D35="","",Moteur!D35)</f>
        <v/>
      </c>
      <c r="B35" t="str">
        <f>IF(Moteur!B35="","",Moteur!B35)</f>
        <v/>
      </c>
      <c r="C35" t="str">
        <f>IF(Moteur!F35="","",Moteur!F35)</f>
        <v/>
      </c>
      <c r="D35" t="str">
        <f>IF(Moteur!G35="","",Moteur!G35)</f>
        <v/>
      </c>
      <c r="E35" t="str">
        <f>IF(Moteur!H35="","",Moteur!H35)</f>
        <v/>
      </c>
      <c r="F35" t="str">
        <f>IF(Moteur!E35="","",Moteur!E35)</f>
        <v/>
      </c>
      <c r="G35" t="str">
        <f>IF($A35="","",SUMIFS(Allocation2!$H$1:$H$175,Allocation2!$C$1:$C$175,$A35,Allocation2!$D$1:$D$175,$C35,Allocation2!$E$1:$E$175,$D35,Allocation2!$F$1:$F$175,$E35,Allocation2!$G$1:$G$175,"2026"))</f>
        <v/>
      </c>
      <c r="H35" t="str">
        <f>IF($A35="","",SUMIFS(Allocation2!$N$1:$N$175,Allocation2!$C$1:$C$175,$A35,Allocation2!$D$1:$D$175,$C35,Allocation2!$E$1:$E$175,$D35,Allocation2!$F$1:$F$175,$E35,Allocation2!$G$1:$G$175,"2026"))</f>
        <v/>
      </c>
      <c r="I35" t="str">
        <f>IF($A35="","",SUMIFS(Allocation2!$P$1:$P$175,Allocation2!$C$1:$C$175,$A35,Allocation2!$D$1:$D$175,$C35,Allocation2!$E$1:$E$175,$D35,Allocation2!$F$1:$F$175,$E35,Allocation2!$G$1:$G$175,"2026"))</f>
        <v/>
      </c>
      <c r="J35" t="str">
        <f>IF($A35="","",SUMIFS(Allocation2!$W$1:$W$175,Allocation2!$C$1:$C$175,$A35,Allocation2!$D$1:$D$175,$C35,Allocation2!$E$1:$E$175,$D35,Allocation2!$F$1:$F$175,$E35,Allocation2!$G$1:$G$175,"2026"))</f>
        <v/>
      </c>
      <c r="K35" t="str">
        <f>IF($A35="","",SUMIFS(Allocation2!$X$1:$X$175,Allocation2!$C$1:$C$175,$A35,Allocation2!$D$1:$D$175,$C35,Allocation2!$E$1:$E$175,$D35,Allocation2!$F$1:$F$175,$E35,Allocation2!$G$1:$G$175,"2026"))</f>
        <v/>
      </c>
      <c r="L35" t="str">
        <f>IF($A35="","",SUMIFS(Allocation2!$Y$1:$Y$175,Allocation2!$C$1:$C$175,$A35,Allocation2!$D$1:$D$175,$C35,Allocation2!$E$1:$E$175,$D35,Allocation2!$F$1:$F$175,$E35,Allocation2!$G$1:$G$175,"2026"))</f>
        <v/>
      </c>
      <c r="M35" t="str">
        <f>IF($A35="","",SUMIFS(Allocation2!$V$1:$V$175,Allocation2!$C$1:$C$175,$A35,Allocation2!$D$1:$D$175,$C35,Allocation2!$E$1:$E$175,$D35,Allocation2!$F$1:$F$175,$E35,Allocation2!$G$1:$G$175,"2026"))</f>
        <v/>
      </c>
      <c r="N35" t="str">
        <f t="shared" si="0"/>
        <v/>
      </c>
      <c r="O35" t="str">
        <f>IF($A35="","",SUMIFS(Campagne!$D$1:$D$15,Campagne!$C$1:$C$15,$A35))</f>
        <v/>
      </c>
      <c r="P35" t="str">
        <f>IF($A35="","",SUMIFS(Campagne!$E$1:$E$15,Campagne!$C$1:$C$15,$A35))</f>
        <v/>
      </c>
      <c r="Q35" t="str">
        <f>IF($A35="","",SUMIFS(Campagne!$F$1:$F$15,Campagne!$C$1:$C$15,$A35))</f>
        <v/>
      </c>
      <c r="R35" t="str">
        <f>IF($A35="","",SUMIFS(Campagne!$K$1:$K$15,Campagne!$C$1:$C$15,$A35))</f>
        <v/>
      </c>
      <c r="S35" t="str">
        <f>IF($A35="","",SUMIFS(Campagne!$M$1:$M$15,Campagne!$C$1:$C$15,$A35))</f>
        <v/>
      </c>
      <c r="T35" t="str">
        <f>IF($A35="","",SUMIFS(PIL!$K$15:$K$28,PIL!$A$15:$A$28,$A35)*SUMIFS(PIL!$J$15:$J$28,PIL!$A$15:$A$28,$A35)*(SUM(PIL!$K$15:$K$28)/SUMPRODUCT(PIL!$K$15:$K$28,PIL!$J$15:$J$28)))</f>
        <v/>
      </c>
      <c r="U35" t="str">
        <f>IF($A35="","",SUMIFS(PIL!$K$15:$K$28,PIL!$A$15:$A$28,$A35))</f>
        <v/>
      </c>
      <c r="V35" t="str">
        <f>IF($A35="","",IF($B35="V01",cad!$C$23,IF($B35="V02",cad!$D$23,cad!$E$23)))</f>
        <v/>
      </c>
      <c r="W35" t="str">
        <f>IF($A35="","",IF($B35="V01",cad!$C$24,IF($B35="V02",cad!$D$24,cad!$E$24)))</f>
        <v/>
      </c>
      <c r="X35" t="str">
        <f>IF($A35="","",IF($B35="V01",cad!$C$25,IF($B35="V02",cad!$D$25,cad!$E$25)))</f>
        <v/>
      </c>
      <c r="Y35" t="str">
        <f>IF($A35="","",IF($B35="V01",cad!$C$26,IF($B35="V02",cad!$D$26,cad!$E$26)))</f>
        <v/>
      </c>
      <c r="Z35" t="str">
        <f>IF($A35="","",IF($B35="V01",cad!$C$27,IF($B35="V02",cad!$D$27,cad!$E$27)))</f>
        <v/>
      </c>
      <c r="AA35" t="str">
        <f>IF($A35="","",IF($B35="V01",cad!$C$28,IF($B35="V02",cad!$D$28,cad!$E$28)))</f>
        <v/>
      </c>
      <c r="AB35" t="str">
        <f>IF($A35="","",IF($B35="V01",cad!$C$39,IF($B35="V02",cad!$D$39,cad!$E$39)))</f>
        <v/>
      </c>
      <c r="AC35" t="str">
        <f>IF($A35="","",IF($F35="MBWAY",cad!$J$12,IF($F35="ISCOM",cad!$J$13,IF($F35="IPAC",cad!$J$14,IF($F35="PIGIER",cad!$J$15,cad!$J$16)))))</f>
        <v/>
      </c>
      <c r="AD35" t="str">
        <f t="shared" si="1"/>
        <v/>
      </c>
      <c r="AE35" t="str">
        <f t="shared" si="2"/>
        <v/>
      </c>
      <c r="AF35" t="str">
        <f t="shared" si="3"/>
        <v/>
      </c>
      <c r="AG35" t="str">
        <f t="shared" si="4"/>
        <v/>
      </c>
      <c r="AH35" t="str">
        <f t="shared" si="5"/>
        <v/>
      </c>
    </row>
    <row r="36" spans="1:34" x14ac:dyDescent="0.45">
      <c r="A36" t="str">
        <f>IF(Moteur!D36="","",Moteur!D36)</f>
        <v/>
      </c>
      <c r="B36" t="str">
        <f>IF(Moteur!B36="","",Moteur!B36)</f>
        <v/>
      </c>
      <c r="C36" t="str">
        <f>IF(Moteur!F36="","",Moteur!F36)</f>
        <v/>
      </c>
      <c r="D36" t="str">
        <f>IF(Moteur!G36="","",Moteur!G36)</f>
        <v/>
      </c>
      <c r="E36" t="str">
        <f>IF(Moteur!H36="","",Moteur!H36)</f>
        <v/>
      </c>
      <c r="F36" t="str">
        <f>IF(Moteur!E36="","",Moteur!E36)</f>
        <v/>
      </c>
      <c r="G36" t="str">
        <f>IF($A36="","",SUMIFS(Allocation2!$H$1:$H$175,Allocation2!$C$1:$C$175,$A36,Allocation2!$D$1:$D$175,$C36,Allocation2!$E$1:$E$175,$D36,Allocation2!$F$1:$F$175,$E36,Allocation2!$G$1:$G$175,"2026"))</f>
        <v/>
      </c>
      <c r="H36" t="str">
        <f>IF($A36="","",SUMIFS(Allocation2!$N$1:$N$175,Allocation2!$C$1:$C$175,$A36,Allocation2!$D$1:$D$175,$C36,Allocation2!$E$1:$E$175,$D36,Allocation2!$F$1:$F$175,$E36,Allocation2!$G$1:$G$175,"2026"))</f>
        <v/>
      </c>
      <c r="I36" t="str">
        <f>IF($A36="","",SUMIFS(Allocation2!$P$1:$P$175,Allocation2!$C$1:$C$175,$A36,Allocation2!$D$1:$D$175,$C36,Allocation2!$E$1:$E$175,$D36,Allocation2!$F$1:$F$175,$E36,Allocation2!$G$1:$G$175,"2026"))</f>
        <v/>
      </c>
      <c r="J36" t="str">
        <f>IF($A36="","",SUMIFS(Allocation2!$W$1:$W$175,Allocation2!$C$1:$C$175,$A36,Allocation2!$D$1:$D$175,$C36,Allocation2!$E$1:$E$175,$D36,Allocation2!$F$1:$F$175,$E36,Allocation2!$G$1:$G$175,"2026"))</f>
        <v/>
      </c>
      <c r="K36" t="str">
        <f>IF($A36="","",SUMIFS(Allocation2!$X$1:$X$175,Allocation2!$C$1:$C$175,$A36,Allocation2!$D$1:$D$175,$C36,Allocation2!$E$1:$E$175,$D36,Allocation2!$F$1:$F$175,$E36,Allocation2!$G$1:$G$175,"2026"))</f>
        <v/>
      </c>
      <c r="L36" t="str">
        <f>IF($A36="","",SUMIFS(Allocation2!$Y$1:$Y$175,Allocation2!$C$1:$C$175,$A36,Allocation2!$D$1:$D$175,$C36,Allocation2!$E$1:$E$175,$D36,Allocation2!$F$1:$F$175,$E36,Allocation2!$G$1:$G$175,"2026"))</f>
        <v/>
      </c>
      <c r="M36" t="str">
        <f>IF($A36="","",SUMIFS(Allocation2!$V$1:$V$175,Allocation2!$C$1:$C$175,$A36,Allocation2!$D$1:$D$175,$C36,Allocation2!$E$1:$E$175,$D36,Allocation2!$F$1:$F$175,$E36,Allocation2!$G$1:$G$175,"2026"))</f>
        <v/>
      </c>
      <c r="N36" t="str">
        <f t="shared" si="0"/>
        <v/>
      </c>
      <c r="O36" t="str">
        <f>IF($A36="","",SUMIFS(Campagne!$D$1:$D$15,Campagne!$C$1:$C$15,$A36))</f>
        <v/>
      </c>
      <c r="P36" t="str">
        <f>IF($A36="","",SUMIFS(Campagne!$E$1:$E$15,Campagne!$C$1:$C$15,$A36))</f>
        <v/>
      </c>
      <c r="Q36" t="str">
        <f>IF($A36="","",SUMIFS(Campagne!$F$1:$F$15,Campagne!$C$1:$C$15,$A36))</f>
        <v/>
      </c>
      <c r="R36" t="str">
        <f>IF($A36="","",SUMIFS(Campagne!$K$1:$K$15,Campagne!$C$1:$C$15,$A36))</f>
        <v/>
      </c>
      <c r="S36" t="str">
        <f>IF($A36="","",SUMIFS(Campagne!$M$1:$M$15,Campagne!$C$1:$C$15,$A36))</f>
        <v/>
      </c>
      <c r="T36" t="str">
        <f>IF($A36="","",SUMIFS(PIL!$K$15:$K$28,PIL!$A$15:$A$28,$A36)*SUMIFS(PIL!$J$15:$J$28,PIL!$A$15:$A$28,$A36)*(SUM(PIL!$K$15:$K$28)/SUMPRODUCT(PIL!$K$15:$K$28,PIL!$J$15:$J$28)))</f>
        <v/>
      </c>
      <c r="U36" t="str">
        <f>IF($A36="","",SUMIFS(PIL!$K$15:$K$28,PIL!$A$15:$A$28,$A36))</f>
        <v/>
      </c>
      <c r="V36" t="str">
        <f>IF($A36="","",IF($B36="V01",cad!$C$23,IF($B36="V02",cad!$D$23,cad!$E$23)))</f>
        <v/>
      </c>
      <c r="W36" t="str">
        <f>IF($A36="","",IF($B36="V01",cad!$C$24,IF($B36="V02",cad!$D$24,cad!$E$24)))</f>
        <v/>
      </c>
      <c r="X36" t="str">
        <f>IF($A36="","",IF($B36="V01",cad!$C$25,IF($B36="V02",cad!$D$25,cad!$E$25)))</f>
        <v/>
      </c>
      <c r="Y36" t="str">
        <f>IF($A36="","",IF($B36="V01",cad!$C$26,IF($B36="V02",cad!$D$26,cad!$E$26)))</f>
        <v/>
      </c>
      <c r="Z36" t="str">
        <f>IF($A36="","",IF($B36="V01",cad!$C$27,IF($B36="V02",cad!$D$27,cad!$E$27)))</f>
        <v/>
      </c>
      <c r="AA36" t="str">
        <f>IF($A36="","",IF($B36="V01",cad!$C$28,IF($B36="V02",cad!$D$28,cad!$E$28)))</f>
        <v/>
      </c>
      <c r="AB36" t="str">
        <f>IF($A36="","",IF($B36="V01",cad!$C$39,IF($B36="V02",cad!$D$39,cad!$E$39)))</f>
        <v/>
      </c>
      <c r="AC36" t="str">
        <f>IF($A36="","",IF($F36="MBWAY",cad!$J$12,IF($F36="ISCOM",cad!$J$13,IF($F36="IPAC",cad!$J$14,IF($F36="PIGIER",cad!$J$15,cad!$J$16)))))</f>
        <v/>
      </c>
      <c r="AD36" t="str">
        <f t="shared" si="1"/>
        <v/>
      </c>
      <c r="AE36" t="str">
        <f t="shared" si="2"/>
        <v/>
      </c>
      <c r="AF36" t="str">
        <f t="shared" si="3"/>
        <v/>
      </c>
      <c r="AG36" t="str">
        <f t="shared" si="4"/>
        <v/>
      </c>
      <c r="AH36" t="str">
        <f t="shared" si="5"/>
        <v/>
      </c>
    </row>
    <row r="37" spans="1:34" x14ac:dyDescent="0.45">
      <c r="A37" t="str">
        <f>IF(Moteur!D37="","",Moteur!D37)</f>
        <v/>
      </c>
      <c r="B37" t="str">
        <f>IF(Moteur!B37="","",Moteur!B37)</f>
        <v/>
      </c>
      <c r="C37" t="str">
        <f>IF(Moteur!F37="","",Moteur!F37)</f>
        <v/>
      </c>
      <c r="D37" t="str">
        <f>IF(Moteur!G37="","",Moteur!G37)</f>
        <v/>
      </c>
      <c r="E37" t="str">
        <f>IF(Moteur!H37="","",Moteur!H37)</f>
        <v/>
      </c>
      <c r="F37" t="str">
        <f>IF(Moteur!E37="","",Moteur!E37)</f>
        <v/>
      </c>
      <c r="G37" t="str">
        <f>IF($A37="","",SUMIFS(Allocation2!$H$1:$H$175,Allocation2!$C$1:$C$175,$A37,Allocation2!$D$1:$D$175,$C37,Allocation2!$E$1:$E$175,$D37,Allocation2!$F$1:$F$175,$E37,Allocation2!$G$1:$G$175,"2026"))</f>
        <v/>
      </c>
      <c r="H37" t="str">
        <f>IF($A37="","",SUMIFS(Allocation2!$N$1:$N$175,Allocation2!$C$1:$C$175,$A37,Allocation2!$D$1:$D$175,$C37,Allocation2!$E$1:$E$175,$D37,Allocation2!$F$1:$F$175,$E37,Allocation2!$G$1:$G$175,"2026"))</f>
        <v/>
      </c>
      <c r="I37" t="str">
        <f>IF($A37="","",SUMIFS(Allocation2!$P$1:$P$175,Allocation2!$C$1:$C$175,$A37,Allocation2!$D$1:$D$175,$C37,Allocation2!$E$1:$E$175,$D37,Allocation2!$F$1:$F$175,$E37,Allocation2!$G$1:$G$175,"2026"))</f>
        <v/>
      </c>
      <c r="J37" t="str">
        <f>IF($A37="","",SUMIFS(Allocation2!$W$1:$W$175,Allocation2!$C$1:$C$175,$A37,Allocation2!$D$1:$D$175,$C37,Allocation2!$E$1:$E$175,$D37,Allocation2!$F$1:$F$175,$E37,Allocation2!$G$1:$G$175,"2026"))</f>
        <v/>
      </c>
      <c r="K37" t="str">
        <f>IF($A37="","",SUMIFS(Allocation2!$X$1:$X$175,Allocation2!$C$1:$C$175,$A37,Allocation2!$D$1:$D$175,$C37,Allocation2!$E$1:$E$175,$D37,Allocation2!$F$1:$F$175,$E37,Allocation2!$G$1:$G$175,"2026"))</f>
        <v/>
      </c>
      <c r="L37" t="str">
        <f>IF($A37="","",SUMIFS(Allocation2!$Y$1:$Y$175,Allocation2!$C$1:$C$175,$A37,Allocation2!$D$1:$D$175,$C37,Allocation2!$E$1:$E$175,$D37,Allocation2!$F$1:$F$175,$E37,Allocation2!$G$1:$G$175,"2026"))</f>
        <v/>
      </c>
      <c r="M37" t="str">
        <f>IF($A37="","",SUMIFS(Allocation2!$V$1:$V$175,Allocation2!$C$1:$C$175,$A37,Allocation2!$D$1:$D$175,$C37,Allocation2!$E$1:$E$175,$D37,Allocation2!$F$1:$F$175,$E37,Allocation2!$G$1:$G$175,"2026"))</f>
        <v/>
      </c>
      <c r="N37" t="str">
        <f t="shared" si="0"/>
        <v/>
      </c>
      <c r="O37" t="str">
        <f>IF($A37="","",SUMIFS(Campagne!$D$1:$D$15,Campagne!$C$1:$C$15,$A37))</f>
        <v/>
      </c>
      <c r="P37" t="str">
        <f>IF($A37="","",SUMIFS(Campagne!$E$1:$E$15,Campagne!$C$1:$C$15,$A37))</f>
        <v/>
      </c>
      <c r="Q37" t="str">
        <f>IF($A37="","",SUMIFS(Campagne!$F$1:$F$15,Campagne!$C$1:$C$15,$A37))</f>
        <v/>
      </c>
      <c r="R37" t="str">
        <f>IF($A37="","",SUMIFS(Campagne!$K$1:$K$15,Campagne!$C$1:$C$15,$A37))</f>
        <v/>
      </c>
      <c r="S37" t="str">
        <f>IF($A37="","",SUMIFS(Campagne!$M$1:$M$15,Campagne!$C$1:$C$15,$A37))</f>
        <v/>
      </c>
      <c r="T37" t="str">
        <f>IF($A37="","",SUMIFS(PIL!$K$15:$K$28,PIL!$A$15:$A$28,$A37)*SUMIFS(PIL!$J$15:$J$28,PIL!$A$15:$A$28,$A37)*(SUM(PIL!$K$15:$K$28)/SUMPRODUCT(PIL!$K$15:$K$28,PIL!$J$15:$J$28)))</f>
        <v/>
      </c>
      <c r="U37" t="str">
        <f>IF($A37="","",SUMIFS(PIL!$K$15:$K$28,PIL!$A$15:$A$28,$A37))</f>
        <v/>
      </c>
      <c r="V37" t="str">
        <f>IF($A37="","",IF($B37="V01",cad!$C$23,IF($B37="V02",cad!$D$23,cad!$E$23)))</f>
        <v/>
      </c>
      <c r="W37" t="str">
        <f>IF($A37="","",IF($B37="V01",cad!$C$24,IF($B37="V02",cad!$D$24,cad!$E$24)))</f>
        <v/>
      </c>
      <c r="X37" t="str">
        <f>IF($A37="","",IF($B37="V01",cad!$C$25,IF($B37="V02",cad!$D$25,cad!$E$25)))</f>
        <v/>
      </c>
      <c r="Y37" t="str">
        <f>IF($A37="","",IF($B37="V01",cad!$C$26,IF($B37="V02",cad!$D$26,cad!$E$26)))</f>
        <v/>
      </c>
      <c r="Z37" t="str">
        <f>IF($A37="","",IF($B37="V01",cad!$C$27,IF($B37="V02",cad!$D$27,cad!$E$27)))</f>
        <v/>
      </c>
      <c r="AA37" t="str">
        <f>IF($A37="","",IF($B37="V01",cad!$C$28,IF($B37="V02",cad!$D$28,cad!$E$28)))</f>
        <v/>
      </c>
      <c r="AB37" t="str">
        <f>IF($A37="","",IF($B37="V01",cad!$C$39,IF($B37="V02",cad!$D$39,cad!$E$39)))</f>
        <v/>
      </c>
      <c r="AC37" t="str">
        <f>IF($A37="","",IF($F37="MBWAY",cad!$J$12,IF($F37="ISCOM",cad!$J$13,IF($F37="IPAC",cad!$J$14,IF($F37="PIGIER",cad!$J$15,cad!$J$16)))))</f>
        <v/>
      </c>
      <c r="AD37" t="str">
        <f t="shared" si="1"/>
        <v/>
      </c>
      <c r="AE37" t="str">
        <f t="shared" si="2"/>
        <v/>
      </c>
      <c r="AF37" t="str">
        <f t="shared" si="3"/>
        <v/>
      </c>
      <c r="AG37" t="str">
        <f t="shared" si="4"/>
        <v/>
      </c>
      <c r="AH37" t="str">
        <f t="shared" si="5"/>
        <v/>
      </c>
    </row>
    <row r="38" spans="1:34" x14ac:dyDescent="0.45">
      <c r="A38" t="str">
        <f>IF(Moteur!D38="","",Moteur!D38)</f>
        <v/>
      </c>
      <c r="B38" t="str">
        <f>IF(Moteur!B38="","",Moteur!B38)</f>
        <v/>
      </c>
      <c r="C38" t="str">
        <f>IF(Moteur!F38="","",Moteur!F38)</f>
        <v/>
      </c>
      <c r="D38" t="str">
        <f>IF(Moteur!G38="","",Moteur!G38)</f>
        <v/>
      </c>
      <c r="E38" t="str">
        <f>IF(Moteur!H38="","",Moteur!H38)</f>
        <v/>
      </c>
      <c r="F38" t="str">
        <f>IF(Moteur!E38="","",Moteur!E38)</f>
        <v/>
      </c>
      <c r="G38" t="str">
        <f>IF($A38="","",SUMIFS(Allocation2!$H$1:$H$175,Allocation2!$C$1:$C$175,$A38,Allocation2!$D$1:$D$175,$C38,Allocation2!$E$1:$E$175,$D38,Allocation2!$F$1:$F$175,$E38,Allocation2!$G$1:$G$175,"2026"))</f>
        <v/>
      </c>
      <c r="H38" t="str">
        <f>IF($A38="","",SUMIFS(Allocation2!$N$1:$N$175,Allocation2!$C$1:$C$175,$A38,Allocation2!$D$1:$D$175,$C38,Allocation2!$E$1:$E$175,$D38,Allocation2!$F$1:$F$175,$E38,Allocation2!$G$1:$G$175,"2026"))</f>
        <v/>
      </c>
      <c r="I38" t="str">
        <f>IF($A38="","",SUMIFS(Allocation2!$P$1:$P$175,Allocation2!$C$1:$C$175,$A38,Allocation2!$D$1:$D$175,$C38,Allocation2!$E$1:$E$175,$D38,Allocation2!$F$1:$F$175,$E38,Allocation2!$G$1:$G$175,"2026"))</f>
        <v/>
      </c>
      <c r="J38" t="str">
        <f>IF($A38="","",SUMIFS(Allocation2!$W$1:$W$175,Allocation2!$C$1:$C$175,$A38,Allocation2!$D$1:$D$175,$C38,Allocation2!$E$1:$E$175,$D38,Allocation2!$F$1:$F$175,$E38,Allocation2!$G$1:$G$175,"2026"))</f>
        <v/>
      </c>
      <c r="K38" t="str">
        <f>IF($A38="","",SUMIFS(Allocation2!$X$1:$X$175,Allocation2!$C$1:$C$175,$A38,Allocation2!$D$1:$D$175,$C38,Allocation2!$E$1:$E$175,$D38,Allocation2!$F$1:$F$175,$E38,Allocation2!$G$1:$G$175,"2026"))</f>
        <v/>
      </c>
      <c r="L38" t="str">
        <f>IF($A38="","",SUMIFS(Allocation2!$Y$1:$Y$175,Allocation2!$C$1:$C$175,$A38,Allocation2!$D$1:$D$175,$C38,Allocation2!$E$1:$E$175,$D38,Allocation2!$F$1:$F$175,$E38,Allocation2!$G$1:$G$175,"2026"))</f>
        <v/>
      </c>
      <c r="M38" t="str">
        <f>IF($A38="","",SUMIFS(Allocation2!$V$1:$V$175,Allocation2!$C$1:$C$175,$A38,Allocation2!$D$1:$D$175,$C38,Allocation2!$E$1:$E$175,$D38,Allocation2!$F$1:$F$175,$E38,Allocation2!$G$1:$G$175,"2026"))</f>
        <v/>
      </c>
      <c r="N38" t="str">
        <f t="shared" si="0"/>
        <v/>
      </c>
      <c r="O38" t="str">
        <f>IF($A38="","",SUMIFS(Campagne!$D$1:$D$15,Campagne!$C$1:$C$15,$A38))</f>
        <v/>
      </c>
      <c r="P38" t="str">
        <f>IF($A38="","",SUMIFS(Campagne!$E$1:$E$15,Campagne!$C$1:$C$15,$A38))</f>
        <v/>
      </c>
      <c r="Q38" t="str">
        <f>IF($A38="","",SUMIFS(Campagne!$F$1:$F$15,Campagne!$C$1:$C$15,$A38))</f>
        <v/>
      </c>
      <c r="R38" t="str">
        <f>IF($A38="","",SUMIFS(Campagne!$K$1:$K$15,Campagne!$C$1:$C$15,$A38))</f>
        <v/>
      </c>
      <c r="S38" t="str">
        <f>IF($A38="","",SUMIFS(Campagne!$M$1:$M$15,Campagne!$C$1:$C$15,$A38))</f>
        <v/>
      </c>
      <c r="T38" t="str">
        <f>IF($A38="","",SUMIFS(PIL!$K$15:$K$28,PIL!$A$15:$A$28,$A38)*SUMIFS(PIL!$J$15:$J$28,PIL!$A$15:$A$28,$A38)*(SUM(PIL!$K$15:$K$28)/SUMPRODUCT(PIL!$K$15:$K$28,PIL!$J$15:$J$28)))</f>
        <v/>
      </c>
      <c r="U38" t="str">
        <f>IF($A38="","",SUMIFS(PIL!$K$15:$K$28,PIL!$A$15:$A$28,$A38))</f>
        <v/>
      </c>
      <c r="V38" t="str">
        <f>IF($A38="","",IF($B38="V01",cad!$C$23,IF($B38="V02",cad!$D$23,cad!$E$23)))</f>
        <v/>
      </c>
      <c r="W38" t="str">
        <f>IF($A38="","",IF($B38="V01",cad!$C$24,IF($B38="V02",cad!$D$24,cad!$E$24)))</f>
        <v/>
      </c>
      <c r="X38" t="str">
        <f>IF($A38="","",IF($B38="V01",cad!$C$25,IF($B38="V02",cad!$D$25,cad!$E$25)))</f>
        <v/>
      </c>
      <c r="Y38" t="str">
        <f>IF($A38="","",IF($B38="V01",cad!$C$26,IF($B38="V02",cad!$D$26,cad!$E$26)))</f>
        <v/>
      </c>
      <c r="Z38" t="str">
        <f>IF($A38="","",IF($B38="V01",cad!$C$27,IF($B38="V02",cad!$D$27,cad!$E$27)))</f>
        <v/>
      </c>
      <c r="AA38" t="str">
        <f>IF($A38="","",IF($B38="V01",cad!$C$28,IF($B38="V02",cad!$D$28,cad!$E$28)))</f>
        <v/>
      </c>
      <c r="AB38" t="str">
        <f>IF($A38="","",IF($B38="V01",cad!$C$39,IF($B38="V02",cad!$D$39,cad!$E$39)))</f>
        <v/>
      </c>
      <c r="AC38" t="str">
        <f>IF($A38="","",IF($F38="MBWAY",cad!$J$12,IF($F38="ISCOM",cad!$J$13,IF($F38="IPAC",cad!$J$14,IF($F38="PIGIER",cad!$J$15,cad!$J$16)))))</f>
        <v/>
      </c>
      <c r="AD38" t="str">
        <f t="shared" si="1"/>
        <v/>
      </c>
      <c r="AE38" t="str">
        <f t="shared" si="2"/>
        <v/>
      </c>
      <c r="AF38" t="str">
        <f t="shared" si="3"/>
        <v/>
      </c>
      <c r="AG38" t="str">
        <f t="shared" si="4"/>
        <v/>
      </c>
      <c r="AH38" t="str">
        <f t="shared" si="5"/>
        <v/>
      </c>
    </row>
    <row r="39" spans="1:34" x14ac:dyDescent="0.45">
      <c r="A39" t="str">
        <f>IF(Moteur!D39="","",Moteur!D39)</f>
        <v/>
      </c>
      <c r="B39" t="str">
        <f>IF(Moteur!B39="","",Moteur!B39)</f>
        <v/>
      </c>
      <c r="C39" t="str">
        <f>IF(Moteur!F39="","",Moteur!F39)</f>
        <v/>
      </c>
      <c r="D39" t="str">
        <f>IF(Moteur!G39="","",Moteur!G39)</f>
        <v/>
      </c>
      <c r="E39" t="str">
        <f>IF(Moteur!H39="","",Moteur!H39)</f>
        <v/>
      </c>
      <c r="F39" t="str">
        <f>IF(Moteur!E39="","",Moteur!E39)</f>
        <v/>
      </c>
      <c r="G39" t="str">
        <f>IF($A39="","",SUMIFS(Allocation2!$H$1:$H$175,Allocation2!$C$1:$C$175,$A39,Allocation2!$D$1:$D$175,$C39,Allocation2!$E$1:$E$175,$D39,Allocation2!$F$1:$F$175,$E39,Allocation2!$G$1:$G$175,"2026"))</f>
        <v/>
      </c>
      <c r="H39" t="str">
        <f>IF($A39="","",SUMIFS(Allocation2!$N$1:$N$175,Allocation2!$C$1:$C$175,$A39,Allocation2!$D$1:$D$175,$C39,Allocation2!$E$1:$E$175,$D39,Allocation2!$F$1:$F$175,$E39,Allocation2!$G$1:$G$175,"2026"))</f>
        <v/>
      </c>
      <c r="I39" t="str">
        <f>IF($A39="","",SUMIFS(Allocation2!$P$1:$P$175,Allocation2!$C$1:$C$175,$A39,Allocation2!$D$1:$D$175,$C39,Allocation2!$E$1:$E$175,$D39,Allocation2!$F$1:$F$175,$E39,Allocation2!$G$1:$G$175,"2026"))</f>
        <v/>
      </c>
      <c r="J39" t="str">
        <f>IF($A39="","",SUMIFS(Allocation2!$W$1:$W$175,Allocation2!$C$1:$C$175,$A39,Allocation2!$D$1:$D$175,$C39,Allocation2!$E$1:$E$175,$D39,Allocation2!$F$1:$F$175,$E39,Allocation2!$G$1:$G$175,"2026"))</f>
        <v/>
      </c>
      <c r="K39" t="str">
        <f>IF($A39="","",SUMIFS(Allocation2!$X$1:$X$175,Allocation2!$C$1:$C$175,$A39,Allocation2!$D$1:$D$175,$C39,Allocation2!$E$1:$E$175,$D39,Allocation2!$F$1:$F$175,$E39,Allocation2!$G$1:$G$175,"2026"))</f>
        <v/>
      </c>
      <c r="L39" t="str">
        <f>IF($A39="","",SUMIFS(Allocation2!$Y$1:$Y$175,Allocation2!$C$1:$C$175,$A39,Allocation2!$D$1:$D$175,$C39,Allocation2!$E$1:$E$175,$D39,Allocation2!$F$1:$F$175,$E39,Allocation2!$G$1:$G$175,"2026"))</f>
        <v/>
      </c>
      <c r="M39" t="str">
        <f>IF($A39="","",SUMIFS(Allocation2!$V$1:$V$175,Allocation2!$C$1:$C$175,$A39,Allocation2!$D$1:$D$175,$C39,Allocation2!$E$1:$E$175,$D39,Allocation2!$F$1:$F$175,$E39,Allocation2!$G$1:$G$175,"2026"))</f>
        <v/>
      </c>
      <c r="N39" t="str">
        <f t="shared" si="0"/>
        <v/>
      </c>
      <c r="O39" t="str">
        <f>IF($A39="","",SUMIFS(Campagne!$D$1:$D$15,Campagne!$C$1:$C$15,$A39))</f>
        <v/>
      </c>
      <c r="P39" t="str">
        <f>IF($A39="","",SUMIFS(Campagne!$E$1:$E$15,Campagne!$C$1:$C$15,$A39))</f>
        <v/>
      </c>
      <c r="Q39" t="str">
        <f>IF($A39="","",SUMIFS(Campagne!$F$1:$F$15,Campagne!$C$1:$C$15,$A39))</f>
        <v/>
      </c>
      <c r="R39" t="str">
        <f>IF($A39="","",SUMIFS(Campagne!$K$1:$K$15,Campagne!$C$1:$C$15,$A39))</f>
        <v/>
      </c>
      <c r="S39" t="str">
        <f>IF($A39="","",SUMIFS(Campagne!$M$1:$M$15,Campagne!$C$1:$C$15,$A39))</f>
        <v/>
      </c>
      <c r="T39" t="str">
        <f>IF($A39="","",SUMIFS(PIL!$K$15:$K$28,PIL!$A$15:$A$28,$A39)*SUMIFS(PIL!$J$15:$J$28,PIL!$A$15:$A$28,$A39)*(SUM(PIL!$K$15:$K$28)/SUMPRODUCT(PIL!$K$15:$K$28,PIL!$J$15:$J$28)))</f>
        <v/>
      </c>
      <c r="U39" t="str">
        <f>IF($A39="","",SUMIFS(PIL!$K$15:$K$28,PIL!$A$15:$A$28,$A39))</f>
        <v/>
      </c>
      <c r="V39" t="str">
        <f>IF($A39="","",IF($B39="V01",cad!$C$23,IF($B39="V02",cad!$D$23,cad!$E$23)))</f>
        <v/>
      </c>
      <c r="W39" t="str">
        <f>IF($A39="","",IF($B39="V01",cad!$C$24,IF($B39="V02",cad!$D$24,cad!$E$24)))</f>
        <v/>
      </c>
      <c r="X39" t="str">
        <f>IF($A39="","",IF($B39="V01",cad!$C$25,IF($B39="V02",cad!$D$25,cad!$E$25)))</f>
        <v/>
      </c>
      <c r="Y39" t="str">
        <f>IF($A39="","",IF($B39="V01",cad!$C$26,IF($B39="V02",cad!$D$26,cad!$E$26)))</f>
        <v/>
      </c>
      <c r="Z39" t="str">
        <f>IF($A39="","",IF($B39="V01",cad!$C$27,IF($B39="V02",cad!$D$27,cad!$E$27)))</f>
        <v/>
      </c>
      <c r="AA39" t="str">
        <f>IF($A39="","",IF($B39="V01",cad!$C$28,IF($B39="V02",cad!$D$28,cad!$E$28)))</f>
        <v/>
      </c>
      <c r="AB39" t="str">
        <f>IF($A39="","",IF($B39="V01",cad!$C$39,IF($B39="V02",cad!$D$39,cad!$E$39)))</f>
        <v/>
      </c>
      <c r="AC39" t="str">
        <f>IF($A39="","",IF($F39="MBWAY",cad!$J$12,IF($F39="ISCOM",cad!$J$13,IF($F39="IPAC",cad!$J$14,IF($F39="PIGIER",cad!$J$15,cad!$J$16)))))</f>
        <v/>
      </c>
      <c r="AD39" t="str">
        <f t="shared" si="1"/>
        <v/>
      </c>
      <c r="AE39" t="str">
        <f t="shared" si="2"/>
        <v/>
      </c>
      <c r="AF39" t="str">
        <f t="shared" si="3"/>
        <v/>
      </c>
      <c r="AG39" t="str">
        <f t="shared" si="4"/>
        <v/>
      </c>
      <c r="AH39" t="str">
        <f t="shared" si="5"/>
        <v/>
      </c>
    </row>
    <row r="40" spans="1:34" x14ac:dyDescent="0.45">
      <c r="A40" t="str">
        <f>IF(Moteur!D40="","",Moteur!D40)</f>
        <v/>
      </c>
      <c r="B40" t="str">
        <f>IF(Moteur!B40="","",Moteur!B40)</f>
        <v/>
      </c>
      <c r="C40" t="str">
        <f>IF(Moteur!F40="","",Moteur!F40)</f>
        <v/>
      </c>
      <c r="D40" t="str">
        <f>IF(Moteur!G40="","",Moteur!G40)</f>
        <v/>
      </c>
      <c r="E40" t="str">
        <f>IF(Moteur!H40="","",Moteur!H40)</f>
        <v/>
      </c>
      <c r="F40" t="str">
        <f>IF(Moteur!E40="","",Moteur!E40)</f>
        <v/>
      </c>
      <c r="G40" t="str">
        <f>IF($A40="","",SUMIFS(Allocation2!$H$1:$H$175,Allocation2!$C$1:$C$175,$A40,Allocation2!$D$1:$D$175,$C40,Allocation2!$E$1:$E$175,$D40,Allocation2!$F$1:$F$175,$E40,Allocation2!$G$1:$G$175,"2026"))</f>
        <v/>
      </c>
      <c r="H40" t="str">
        <f>IF($A40="","",SUMIFS(Allocation2!$N$1:$N$175,Allocation2!$C$1:$C$175,$A40,Allocation2!$D$1:$D$175,$C40,Allocation2!$E$1:$E$175,$D40,Allocation2!$F$1:$F$175,$E40,Allocation2!$G$1:$G$175,"2026"))</f>
        <v/>
      </c>
      <c r="I40" t="str">
        <f>IF($A40="","",SUMIFS(Allocation2!$P$1:$P$175,Allocation2!$C$1:$C$175,$A40,Allocation2!$D$1:$D$175,$C40,Allocation2!$E$1:$E$175,$D40,Allocation2!$F$1:$F$175,$E40,Allocation2!$G$1:$G$175,"2026"))</f>
        <v/>
      </c>
      <c r="J40" t="str">
        <f>IF($A40="","",SUMIFS(Allocation2!$W$1:$W$175,Allocation2!$C$1:$C$175,$A40,Allocation2!$D$1:$D$175,$C40,Allocation2!$E$1:$E$175,$D40,Allocation2!$F$1:$F$175,$E40,Allocation2!$G$1:$G$175,"2026"))</f>
        <v/>
      </c>
      <c r="K40" t="str">
        <f>IF($A40="","",SUMIFS(Allocation2!$X$1:$X$175,Allocation2!$C$1:$C$175,$A40,Allocation2!$D$1:$D$175,$C40,Allocation2!$E$1:$E$175,$D40,Allocation2!$F$1:$F$175,$E40,Allocation2!$G$1:$G$175,"2026"))</f>
        <v/>
      </c>
      <c r="L40" t="str">
        <f>IF($A40="","",SUMIFS(Allocation2!$Y$1:$Y$175,Allocation2!$C$1:$C$175,$A40,Allocation2!$D$1:$D$175,$C40,Allocation2!$E$1:$E$175,$D40,Allocation2!$F$1:$F$175,$E40,Allocation2!$G$1:$G$175,"2026"))</f>
        <v/>
      </c>
      <c r="M40" t="str">
        <f>IF($A40="","",SUMIFS(Allocation2!$V$1:$V$175,Allocation2!$C$1:$C$175,$A40,Allocation2!$D$1:$D$175,$C40,Allocation2!$E$1:$E$175,$D40,Allocation2!$F$1:$F$175,$E40,Allocation2!$G$1:$G$175,"2026"))</f>
        <v/>
      </c>
      <c r="N40" t="str">
        <f t="shared" si="0"/>
        <v/>
      </c>
      <c r="O40" t="str">
        <f>IF($A40="","",SUMIFS(Campagne!$D$1:$D$15,Campagne!$C$1:$C$15,$A40))</f>
        <v/>
      </c>
      <c r="P40" t="str">
        <f>IF($A40="","",SUMIFS(Campagne!$E$1:$E$15,Campagne!$C$1:$C$15,$A40))</f>
        <v/>
      </c>
      <c r="Q40" t="str">
        <f>IF($A40="","",SUMIFS(Campagne!$F$1:$F$15,Campagne!$C$1:$C$15,$A40))</f>
        <v/>
      </c>
      <c r="R40" t="str">
        <f>IF($A40="","",SUMIFS(Campagne!$K$1:$K$15,Campagne!$C$1:$C$15,$A40))</f>
        <v/>
      </c>
      <c r="S40" t="str">
        <f>IF($A40="","",SUMIFS(Campagne!$M$1:$M$15,Campagne!$C$1:$C$15,$A40))</f>
        <v/>
      </c>
      <c r="T40" t="str">
        <f>IF($A40="","",SUMIFS(PIL!$K$15:$K$28,PIL!$A$15:$A$28,$A40)*SUMIFS(PIL!$J$15:$J$28,PIL!$A$15:$A$28,$A40)*(SUM(PIL!$K$15:$K$28)/SUMPRODUCT(PIL!$K$15:$K$28,PIL!$J$15:$J$28)))</f>
        <v/>
      </c>
      <c r="U40" t="str">
        <f>IF($A40="","",SUMIFS(PIL!$K$15:$K$28,PIL!$A$15:$A$28,$A40))</f>
        <v/>
      </c>
      <c r="V40" t="str">
        <f>IF($A40="","",IF($B40="V01",cad!$C$23,IF($B40="V02",cad!$D$23,cad!$E$23)))</f>
        <v/>
      </c>
      <c r="W40" t="str">
        <f>IF($A40="","",IF($B40="V01",cad!$C$24,IF($B40="V02",cad!$D$24,cad!$E$24)))</f>
        <v/>
      </c>
      <c r="X40" t="str">
        <f>IF($A40="","",IF($B40="V01",cad!$C$25,IF($B40="V02",cad!$D$25,cad!$E$25)))</f>
        <v/>
      </c>
      <c r="Y40" t="str">
        <f>IF($A40="","",IF($B40="V01",cad!$C$26,IF($B40="V02",cad!$D$26,cad!$E$26)))</f>
        <v/>
      </c>
      <c r="Z40" t="str">
        <f>IF($A40="","",IF($B40="V01",cad!$C$27,IF($B40="V02",cad!$D$27,cad!$E$27)))</f>
        <v/>
      </c>
      <c r="AA40" t="str">
        <f>IF($A40="","",IF($B40="V01",cad!$C$28,IF($B40="V02",cad!$D$28,cad!$E$28)))</f>
        <v/>
      </c>
      <c r="AB40" t="str">
        <f>IF($A40="","",IF($B40="V01",cad!$C$39,IF($B40="V02",cad!$D$39,cad!$E$39)))</f>
        <v/>
      </c>
      <c r="AC40" t="str">
        <f>IF($A40="","",IF($F40="MBWAY",cad!$J$12,IF($F40="ISCOM",cad!$J$13,IF($F40="IPAC",cad!$J$14,IF($F40="PIGIER",cad!$J$15,cad!$J$16)))))</f>
        <v/>
      </c>
      <c r="AD40" t="str">
        <f t="shared" si="1"/>
        <v/>
      </c>
      <c r="AE40" t="str">
        <f t="shared" si="2"/>
        <v/>
      </c>
      <c r="AF40" t="str">
        <f t="shared" si="3"/>
        <v/>
      </c>
      <c r="AG40" t="str">
        <f t="shared" si="4"/>
        <v/>
      </c>
      <c r="AH40" t="str">
        <f t="shared" si="5"/>
        <v/>
      </c>
    </row>
    <row r="41" spans="1:34" x14ac:dyDescent="0.45">
      <c r="A41" t="str">
        <f>IF(Moteur!D41="","",Moteur!D41)</f>
        <v/>
      </c>
      <c r="B41" t="str">
        <f>IF(Moteur!B41="","",Moteur!B41)</f>
        <v/>
      </c>
      <c r="C41" t="str">
        <f>IF(Moteur!F41="","",Moteur!F41)</f>
        <v/>
      </c>
      <c r="D41" t="str">
        <f>IF(Moteur!G41="","",Moteur!G41)</f>
        <v/>
      </c>
      <c r="E41" t="str">
        <f>IF(Moteur!H41="","",Moteur!H41)</f>
        <v/>
      </c>
      <c r="F41" t="str">
        <f>IF(Moteur!E41="","",Moteur!E41)</f>
        <v/>
      </c>
      <c r="G41" t="str">
        <f>IF($A41="","",SUMIFS(Allocation2!$H$1:$H$175,Allocation2!$C$1:$C$175,$A41,Allocation2!$D$1:$D$175,$C41,Allocation2!$E$1:$E$175,$D41,Allocation2!$F$1:$F$175,$E41,Allocation2!$G$1:$G$175,"2026"))</f>
        <v/>
      </c>
      <c r="H41" t="str">
        <f>IF($A41="","",SUMIFS(Allocation2!$N$1:$N$175,Allocation2!$C$1:$C$175,$A41,Allocation2!$D$1:$D$175,$C41,Allocation2!$E$1:$E$175,$D41,Allocation2!$F$1:$F$175,$E41,Allocation2!$G$1:$G$175,"2026"))</f>
        <v/>
      </c>
      <c r="I41" t="str">
        <f>IF($A41="","",SUMIFS(Allocation2!$P$1:$P$175,Allocation2!$C$1:$C$175,$A41,Allocation2!$D$1:$D$175,$C41,Allocation2!$E$1:$E$175,$D41,Allocation2!$F$1:$F$175,$E41,Allocation2!$G$1:$G$175,"2026"))</f>
        <v/>
      </c>
      <c r="J41" t="str">
        <f>IF($A41="","",SUMIFS(Allocation2!$W$1:$W$175,Allocation2!$C$1:$C$175,$A41,Allocation2!$D$1:$D$175,$C41,Allocation2!$E$1:$E$175,$D41,Allocation2!$F$1:$F$175,$E41,Allocation2!$G$1:$G$175,"2026"))</f>
        <v/>
      </c>
      <c r="K41" t="str">
        <f>IF($A41="","",SUMIFS(Allocation2!$X$1:$X$175,Allocation2!$C$1:$C$175,$A41,Allocation2!$D$1:$D$175,$C41,Allocation2!$E$1:$E$175,$D41,Allocation2!$F$1:$F$175,$E41,Allocation2!$G$1:$G$175,"2026"))</f>
        <v/>
      </c>
      <c r="L41" t="str">
        <f>IF($A41="","",SUMIFS(Allocation2!$Y$1:$Y$175,Allocation2!$C$1:$C$175,$A41,Allocation2!$D$1:$D$175,$C41,Allocation2!$E$1:$E$175,$D41,Allocation2!$F$1:$F$175,$E41,Allocation2!$G$1:$G$175,"2026"))</f>
        <v/>
      </c>
      <c r="M41" t="str">
        <f>IF($A41="","",SUMIFS(Allocation2!$V$1:$V$175,Allocation2!$C$1:$C$175,$A41,Allocation2!$D$1:$D$175,$C41,Allocation2!$E$1:$E$175,$D41,Allocation2!$F$1:$F$175,$E41,Allocation2!$G$1:$G$175,"2026"))</f>
        <v/>
      </c>
      <c r="N41" t="str">
        <f t="shared" si="0"/>
        <v/>
      </c>
      <c r="O41" t="str">
        <f>IF($A41="","",SUMIFS(Campagne!$D$1:$D$15,Campagne!$C$1:$C$15,$A41))</f>
        <v/>
      </c>
      <c r="P41" t="str">
        <f>IF($A41="","",SUMIFS(Campagne!$E$1:$E$15,Campagne!$C$1:$C$15,$A41))</f>
        <v/>
      </c>
      <c r="Q41" t="str">
        <f>IF($A41="","",SUMIFS(Campagne!$F$1:$F$15,Campagne!$C$1:$C$15,$A41))</f>
        <v/>
      </c>
      <c r="R41" t="str">
        <f>IF($A41="","",SUMIFS(Campagne!$K$1:$K$15,Campagne!$C$1:$C$15,$A41))</f>
        <v/>
      </c>
      <c r="S41" t="str">
        <f>IF($A41="","",SUMIFS(Campagne!$M$1:$M$15,Campagne!$C$1:$C$15,$A41))</f>
        <v/>
      </c>
      <c r="T41" t="str">
        <f>IF($A41="","",SUMIFS(PIL!$K$15:$K$28,PIL!$A$15:$A$28,$A41)*SUMIFS(PIL!$J$15:$J$28,PIL!$A$15:$A$28,$A41)*(SUM(PIL!$K$15:$K$28)/SUMPRODUCT(PIL!$K$15:$K$28,PIL!$J$15:$J$28)))</f>
        <v/>
      </c>
      <c r="U41" t="str">
        <f>IF($A41="","",SUMIFS(PIL!$K$15:$K$28,PIL!$A$15:$A$28,$A41))</f>
        <v/>
      </c>
      <c r="V41" t="str">
        <f>IF($A41="","",IF($B41="V01",cad!$C$23,IF($B41="V02",cad!$D$23,cad!$E$23)))</f>
        <v/>
      </c>
      <c r="W41" t="str">
        <f>IF($A41="","",IF($B41="V01",cad!$C$24,IF($B41="V02",cad!$D$24,cad!$E$24)))</f>
        <v/>
      </c>
      <c r="X41" t="str">
        <f>IF($A41="","",IF($B41="V01",cad!$C$25,IF($B41="V02",cad!$D$25,cad!$E$25)))</f>
        <v/>
      </c>
      <c r="Y41" t="str">
        <f>IF($A41="","",IF($B41="V01",cad!$C$26,IF($B41="V02",cad!$D$26,cad!$E$26)))</f>
        <v/>
      </c>
      <c r="Z41" t="str">
        <f>IF($A41="","",IF($B41="V01",cad!$C$27,IF($B41="V02",cad!$D$27,cad!$E$27)))</f>
        <v/>
      </c>
      <c r="AA41" t="str">
        <f>IF($A41="","",IF($B41="V01",cad!$C$28,IF($B41="V02",cad!$D$28,cad!$E$28)))</f>
        <v/>
      </c>
      <c r="AB41" t="str">
        <f>IF($A41="","",IF($B41="V01",cad!$C$39,IF($B41="V02",cad!$D$39,cad!$E$39)))</f>
        <v/>
      </c>
      <c r="AC41" t="str">
        <f>IF($A41="","",IF($F41="MBWAY",cad!$J$12,IF($F41="ISCOM",cad!$J$13,IF($F41="IPAC",cad!$J$14,IF($F41="PIGIER",cad!$J$15,cad!$J$16)))))</f>
        <v/>
      </c>
      <c r="AD41" t="str">
        <f t="shared" si="1"/>
        <v/>
      </c>
      <c r="AE41" t="str">
        <f t="shared" si="2"/>
        <v/>
      </c>
      <c r="AF41" t="str">
        <f t="shared" si="3"/>
        <v/>
      </c>
      <c r="AG41" t="str">
        <f t="shared" si="4"/>
        <v/>
      </c>
      <c r="AH41" t="str">
        <f t="shared" si="5"/>
        <v/>
      </c>
    </row>
    <row r="42" spans="1:34" x14ac:dyDescent="0.45">
      <c r="A42" t="str">
        <f>IF(Moteur!D42="","",Moteur!D42)</f>
        <v/>
      </c>
      <c r="B42" t="str">
        <f>IF(Moteur!B42="","",Moteur!B42)</f>
        <v/>
      </c>
      <c r="C42" t="str">
        <f>IF(Moteur!F42="","",Moteur!F42)</f>
        <v/>
      </c>
      <c r="D42" t="str">
        <f>IF(Moteur!G42="","",Moteur!G42)</f>
        <v/>
      </c>
      <c r="E42" t="str">
        <f>IF(Moteur!H42="","",Moteur!H42)</f>
        <v/>
      </c>
      <c r="F42" t="str">
        <f>IF(Moteur!E42="","",Moteur!E42)</f>
        <v/>
      </c>
      <c r="G42" t="str">
        <f>IF($A42="","",SUMIFS(Allocation2!$H$1:$H$175,Allocation2!$C$1:$C$175,$A42,Allocation2!$D$1:$D$175,$C42,Allocation2!$E$1:$E$175,$D42,Allocation2!$F$1:$F$175,$E42,Allocation2!$G$1:$G$175,"2026"))</f>
        <v/>
      </c>
      <c r="H42" t="str">
        <f>IF($A42="","",SUMIFS(Allocation2!$N$1:$N$175,Allocation2!$C$1:$C$175,$A42,Allocation2!$D$1:$D$175,$C42,Allocation2!$E$1:$E$175,$D42,Allocation2!$F$1:$F$175,$E42,Allocation2!$G$1:$G$175,"2026"))</f>
        <v/>
      </c>
      <c r="I42" t="str">
        <f>IF($A42="","",SUMIFS(Allocation2!$P$1:$P$175,Allocation2!$C$1:$C$175,$A42,Allocation2!$D$1:$D$175,$C42,Allocation2!$E$1:$E$175,$D42,Allocation2!$F$1:$F$175,$E42,Allocation2!$G$1:$G$175,"2026"))</f>
        <v/>
      </c>
      <c r="J42" t="str">
        <f>IF($A42="","",SUMIFS(Allocation2!$W$1:$W$175,Allocation2!$C$1:$C$175,$A42,Allocation2!$D$1:$D$175,$C42,Allocation2!$E$1:$E$175,$D42,Allocation2!$F$1:$F$175,$E42,Allocation2!$G$1:$G$175,"2026"))</f>
        <v/>
      </c>
      <c r="K42" t="str">
        <f>IF($A42="","",SUMIFS(Allocation2!$X$1:$X$175,Allocation2!$C$1:$C$175,$A42,Allocation2!$D$1:$D$175,$C42,Allocation2!$E$1:$E$175,$D42,Allocation2!$F$1:$F$175,$E42,Allocation2!$G$1:$G$175,"2026"))</f>
        <v/>
      </c>
      <c r="L42" t="str">
        <f>IF($A42="","",SUMIFS(Allocation2!$Y$1:$Y$175,Allocation2!$C$1:$C$175,$A42,Allocation2!$D$1:$D$175,$C42,Allocation2!$E$1:$E$175,$D42,Allocation2!$F$1:$F$175,$E42,Allocation2!$G$1:$G$175,"2026"))</f>
        <v/>
      </c>
      <c r="M42" t="str">
        <f>IF($A42="","",SUMIFS(Allocation2!$V$1:$V$175,Allocation2!$C$1:$C$175,$A42,Allocation2!$D$1:$D$175,$C42,Allocation2!$E$1:$E$175,$D42,Allocation2!$F$1:$F$175,$E42,Allocation2!$G$1:$G$175,"2026"))</f>
        <v/>
      </c>
      <c r="N42" t="str">
        <f t="shared" si="0"/>
        <v/>
      </c>
      <c r="O42" t="str">
        <f>IF($A42="","",SUMIFS(Campagne!$D$1:$D$15,Campagne!$C$1:$C$15,$A42))</f>
        <v/>
      </c>
      <c r="P42" t="str">
        <f>IF($A42="","",SUMIFS(Campagne!$E$1:$E$15,Campagne!$C$1:$C$15,$A42))</f>
        <v/>
      </c>
      <c r="Q42" t="str">
        <f>IF($A42="","",SUMIFS(Campagne!$F$1:$F$15,Campagne!$C$1:$C$15,$A42))</f>
        <v/>
      </c>
      <c r="R42" t="str">
        <f>IF($A42="","",SUMIFS(Campagne!$K$1:$K$15,Campagne!$C$1:$C$15,$A42))</f>
        <v/>
      </c>
      <c r="S42" t="str">
        <f>IF($A42="","",SUMIFS(Campagne!$M$1:$M$15,Campagne!$C$1:$C$15,$A42))</f>
        <v/>
      </c>
      <c r="T42" t="str">
        <f>IF($A42="","",SUMIFS(PIL!$K$15:$K$28,PIL!$A$15:$A$28,$A42)*SUMIFS(PIL!$J$15:$J$28,PIL!$A$15:$A$28,$A42)*(SUM(PIL!$K$15:$K$28)/SUMPRODUCT(PIL!$K$15:$K$28,PIL!$J$15:$J$28)))</f>
        <v/>
      </c>
      <c r="U42" t="str">
        <f>IF($A42="","",SUMIFS(PIL!$K$15:$K$28,PIL!$A$15:$A$28,$A42))</f>
        <v/>
      </c>
      <c r="V42" t="str">
        <f>IF($A42="","",IF($B42="V01",cad!$C$23,IF($B42="V02",cad!$D$23,cad!$E$23)))</f>
        <v/>
      </c>
      <c r="W42" t="str">
        <f>IF($A42="","",IF($B42="V01",cad!$C$24,IF($B42="V02",cad!$D$24,cad!$E$24)))</f>
        <v/>
      </c>
      <c r="X42" t="str">
        <f>IF($A42="","",IF($B42="V01",cad!$C$25,IF($B42="V02",cad!$D$25,cad!$E$25)))</f>
        <v/>
      </c>
      <c r="Y42" t="str">
        <f>IF($A42="","",IF($B42="V01",cad!$C$26,IF($B42="V02",cad!$D$26,cad!$E$26)))</f>
        <v/>
      </c>
      <c r="Z42" t="str">
        <f>IF($A42="","",IF($B42="V01",cad!$C$27,IF($B42="V02",cad!$D$27,cad!$E$27)))</f>
        <v/>
      </c>
      <c r="AA42" t="str">
        <f>IF($A42="","",IF($B42="V01",cad!$C$28,IF($B42="V02",cad!$D$28,cad!$E$28)))</f>
        <v/>
      </c>
      <c r="AB42" t="str">
        <f>IF($A42="","",IF($B42="V01",cad!$C$39,IF($B42="V02",cad!$D$39,cad!$E$39)))</f>
        <v/>
      </c>
      <c r="AC42" t="str">
        <f>IF($A42="","",IF($F42="MBWAY",cad!$J$12,IF($F42="ISCOM",cad!$J$13,IF($F42="IPAC",cad!$J$14,IF($F42="PIGIER",cad!$J$15,cad!$J$16)))))</f>
        <v/>
      </c>
      <c r="AD42" t="str">
        <f t="shared" si="1"/>
        <v/>
      </c>
      <c r="AE42" t="str">
        <f t="shared" si="2"/>
        <v/>
      </c>
      <c r="AF42" t="str">
        <f t="shared" si="3"/>
        <v/>
      </c>
      <c r="AG42" t="str">
        <f t="shared" si="4"/>
        <v/>
      </c>
      <c r="AH42" t="str">
        <f t="shared" si="5"/>
        <v/>
      </c>
    </row>
    <row r="43" spans="1:34" x14ac:dyDescent="0.45">
      <c r="A43" t="str">
        <f>IF(Moteur!D43="","",Moteur!D43)</f>
        <v/>
      </c>
      <c r="B43" t="str">
        <f>IF(Moteur!B43="","",Moteur!B43)</f>
        <v/>
      </c>
      <c r="C43" t="str">
        <f>IF(Moteur!F43="","",Moteur!F43)</f>
        <v/>
      </c>
      <c r="D43" t="str">
        <f>IF(Moteur!G43="","",Moteur!G43)</f>
        <v/>
      </c>
      <c r="E43" t="str">
        <f>IF(Moteur!H43="","",Moteur!H43)</f>
        <v/>
      </c>
      <c r="F43" t="str">
        <f>IF(Moteur!E43="","",Moteur!E43)</f>
        <v/>
      </c>
      <c r="G43" t="str">
        <f>IF($A43="","",SUMIFS(Allocation2!$H$1:$H$175,Allocation2!$C$1:$C$175,$A43,Allocation2!$D$1:$D$175,$C43,Allocation2!$E$1:$E$175,$D43,Allocation2!$F$1:$F$175,$E43,Allocation2!$G$1:$G$175,"2026"))</f>
        <v/>
      </c>
      <c r="H43" t="str">
        <f>IF($A43="","",SUMIFS(Allocation2!$N$1:$N$175,Allocation2!$C$1:$C$175,$A43,Allocation2!$D$1:$D$175,$C43,Allocation2!$E$1:$E$175,$D43,Allocation2!$F$1:$F$175,$E43,Allocation2!$G$1:$G$175,"2026"))</f>
        <v/>
      </c>
      <c r="I43" t="str">
        <f>IF($A43="","",SUMIFS(Allocation2!$P$1:$P$175,Allocation2!$C$1:$C$175,$A43,Allocation2!$D$1:$D$175,$C43,Allocation2!$E$1:$E$175,$D43,Allocation2!$F$1:$F$175,$E43,Allocation2!$G$1:$G$175,"2026"))</f>
        <v/>
      </c>
      <c r="J43" t="str">
        <f>IF($A43="","",SUMIFS(Allocation2!$W$1:$W$175,Allocation2!$C$1:$C$175,$A43,Allocation2!$D$1:$D$175,$C43,Allocation2!$E$1:$E$175,$D43,Allocation2!$F$1:$F$175,$E43,Allocation2!$G$1:$G$175,"2026"))</f>
        <v/>
      </c>
      <c r="K43" t="str">
        <f>IF($A43="","",SUMIFS(Allocation2!$X$1:$X$175,Allocation2!$C$1:$C$175,$A43,Allocation2!$D$1:$D$175,$C43,Allocation2!$E$1:$E$175,$D43,Allocation2!$F$1:$F$175,$E43,Allocation2!$G$1:$G$175,"2026"))</f>
        <v/>
      </c>
      <c r="L43" t="str">
        <f>IF($A43="","",SUMIFS(Allocation2!$Y$1:$Y$175,Allocation2!$C$1:$C$175,$A43,Allocation2!$D$1:$D$175,$C43,Allocation2!$E$1:$E$175,$D43,Allocation2!$F$1:$F$175,$E43,Allocation2!$G$1:$G$175,"2026"))</f>
        <v/>
      </c>
      <c r="M43" t="str">
        <f>IF($A43="","",SUMIFS(Allocation2!$V$1:$V$175,Allocation2!$C$1:$C$175,$A43,Allocation2!$D$1:$D$175,$C43,Allocation2!$E$1:$E$175,$D43,Allocation2!$F$1:$F$175,$E43,Allocation2!$G$1:$G$175,"2026"))</f>
        <v/>
      </c>
      <c r="N43" t="str">
        <f t="shared" si="0"/>
        <v/>
      </c>
      <c r="O43" t="str">
        <f>IF($A43="","",SUMIFS(Campagne!$D$1:$D$15,Campagne!$C$1:$C$15,$A43))</f>
        <v/>
      </c>
      <c r="P43" t="str">
        <f>IF($A43="","",SUMIFS(Campagne!$E$1:$E$15,Campagne!$C$1:$C$15,$A43))</f>
        <v/>
      </c>
      <c r="Q43" t="str">
        <f>IF($A43="","",SUMIFS(Campagne!$F$1:$F$15,Campagne!$C$1:$C$15,$A43))</f>
        <v/>
      </c>
      <c r="R43" t="str">
        <f>IF($A43="","",SUMIFS(Campagne!$K$1:$K$15,Campagne!$C$1:$C$15,$A43))</f>
        <v/>
      </c>
      <c r="S43" t="str">
        <f>IF($A43="","",SUMIFS(Campagne!$M$1:$M$15,Campagne!$C$1:$C$15,$A43))</f>
        <v/>
      </c>
      <c r="T43" t="str">
        <f>IF($A43="","",SUMIFS(PIL!$K$15:$K$28,PIL!$A$15:$A$28,$A43)*SUMIFS(PIL!$J$15:$J$28,PIL!$A$15:$A$28,$A43)*(SUM(PIL!$K$15:$K$28)/SUMPRODUCT(PIL!$K$15:$K$28,PIL!$J$15:$J$28)))</f>
        <v/>
      </c>
      <c r="U43" t="str">
        <f>IF($A43="","",SUMIFS(PIL!$K$15:$K$28,PIL!$A$15:$A$28,$A43))</f>
        <v/>
      </c>
      <c r="V43" t="str">
        <f>IF($A43="","",IF($B43="V01",cad!$C$23,IF($B43="V02",cad!$D$23,cad!$E$23)))</f>
        <v/>
      </c>
      <c r="W43" t="str">
        <f>IF($A43="","",IF($B43="V01",cad!$C$24,IF($B43="V02",cad!$D$24,cad!$E$24)))</f>
        <v/>
      </c>
      <c r="X43" t="str">
        <f>IF($A43="","",IF($B43="V01",cad!$C$25,IF($B43="V02",cad!$D$25,cad!$E$25)))</f>
        <v/>
      </c>
      <c r="Y43" t="str">
        <f>IF($A43="","",IF($B43="V01",cad!$C$26,IF($B43="V02",cad!$D$26,cad!$E$26)))</f>
        <v/>
      </c>
      <c r="Z43" t="str">
        <f>IF($A43="","",IF($B43="V01",cad!$C$27,IF($B43="V02",cad!$D$27,cad!$E$27)))</f>
        <v/>
      </c>
      <c r="AA43" t="str">
        <f>IF($A43="","",IF($B43="V01",cad!$C$28,IF($B43="V02",cad!$D$28,cad!$E$28)))</f>
        <v/>
      </c>
      <c r="AB43" t="str">
        <f>IF($A43="","",IF($B43="V01",cad!$C$39,IF($B43="V02",cad!$D$39,cad!$E$39)))</f>
        <v/>
      </c>
      <c r="AC43" t="str">
        <f>IF($A43="","",IF($F43="MBWAY",cad!$J$12,IF($F43="ISCOM",cad!$J$13,IF($F43="IPAC",cad!$J$14,IF($F43="PIGIER",cad!$J$15,cad!$J$16)))))</f>
        <v/>
      </c>
      <c r="AD43" t="str">
        <f t="shared" si="1"/>
        <v/>
      </c>
      <c r="AE43" t="str">
        <f t="shared" si="2"/>
        <v/>
      </c>
      <c r="AF43" t="str">
        <f t="shared" si="3"/>
        <v/>
      </c>
      <c r="AG43" t="str">
        <f t="shared" si="4"/>
        <v/>
      </c>
      <c r="AH43" t="str">
        <f t="shared" si="5"/>
        <v/>
      </c>
    </row>
    <row r="44" spans="1:34" x14ac:dyDescent="0.45">
      <c r="A44" t="str">
        <f>IF(Moteur!D44="","",Moteur!D44)</f>
        <v/>
      </c>
      <c r="B44" t="str">
        <f>IF(Moteur!B44="","",Moteur!B44)</f>
        <v/>
      </c>
      <c r="C44" t="str">
        <f>IF(Moteur!F44="","",Moteur!F44)</f>
        <v/>
      </c>
      <c r="D44" t="str">
        <f>IF(Moteur!G44="","",Moteur!G44)</f>
        <v/>
      </c>
      <c r="E44" t="str">
        <f>IF(Moteur!H44="","",Moteur!H44)</f>
        <v/>
      </c>
      <c r="F44" t="str">
        <f>IF(Moteur!E44="","",Moteur!E44)</f>
        <v/>
      </c>
      <c r="G44" t="str">
        <f>IF($A44="","",SUMIFS(Allocation2!$H$1:$H$175,Allocation2!$C$1:$C$175,$A44,Allocation2!$D$1:$D$175,$C44,Allocation2!$E$1:$E$175,$D44,Allocation2!$F$1:$F$175,$E44,Allocation2!$G$1:$G$175,"2026"))</f>
        <v/>
      </c>
      <c r="H44" t="str">
        <f>IF($A44="","",SUMIFS(Allocation2!$N$1:$N$175,Allocation2!$C$1:$C$175,$A44,Allocation2!$D$1:$D$175,$C44,Allocation2!$E$1:$E$175,$D44,Allocation2!$F$1:$F$175,$E44,Allocation2!$G$1:$G$175,"2026"))</f>
        <v/>
      </c>
      <c r="I44" t="str">
        <f>IF($A44="","",SUMIFS(Allocation2!$P$1:$P$175,Allocation2!$C$1:$C$175,$A44,Allocation2!$D$1:$D$175,$C44,Allocation2!$E$1:$E$175,$D44,Allocation2!$F$1:$F$175,$E44,Allocation2!$G$1:$G$175,"2026"))</f>
        <v/>
      </c>
      <c r="J44" t="str">
        <f>IF($A44="","",SUMIFS(Allocation2!$W$1:$W$175,Allocation2!$C$1:$C$175,$A44,Allocation2!$D$1:$D$175,$C44,Allocation2!$E$1:$E$175,$D44,Allocation2!$F$1:$F$175,$E44,Allocation2!$G$1:$G$175,"2026"))</f>
        <v/>
      </c>
      <c r="K44" t="str">
        <f>IF($A44="","",SUMIFS(Allocation2!$X$1:$X$175,Allocation2!$C$1:$C$175,$A44,Allocation2!$D$1:$D$175,$C44,Allocation2!$E$1:$E$175,$D44,Allocation2!$F$1:$F$175,$E44,Allocation2!$G$1:$G$175,"2026"))</f>
        <v/>
      </c>
      <c r="L44" t="str">
        <f>IF($A44="","",SUMIFS(Allocation2!$Y$1:$Y$175,Allocation2!$C$1:$C$175,$A44,Allocation2!$D$1:$D$175,$C44,Allocation2!$E$1:$E$175,$D44,Allocation2!$F$1:$F$175,$E44,Allocation2!$G$1:$G$175,"2026"))</f>
        <v/>
      </c>
      <c r="M44" t="str">
        <f>IF($A44="","",SUMIFS(Allocation2!$V$1:$V$175,Allocation2!$C$1:$C$175,$A44,Allocation2!$D$1:$D$175,$C44,Allocation2!$E$1:$E$175,$D44,Allocation2!$F$1:$F$175,$E44,Allocation2!$G$1:$G$175,"2026"))</f>
        <v/>
      </c>
      <c r="N44" t="str">
        <f t="shared" si="0"/>
        <v/>
      </c>
      <c r="O44" t="str">
        <f>IF($A44="","",SUMIFS(Campagne!$D$1:$D$15,Campagne!$C$1:$C$15,$A44))</f>
        <v/>
      </c>
      <c r="P44" t="str">
        <f>IF($A44="","",SUMIFS(Campagne!$E$1:$E$15,Campagne!$C$1:$C$15,$A44))</f>
        <v/>
      </c>
      <c r="Q44" t="str">
        <f>IF($A44="","",SUMIFS(Campagne!$F$1:$F$15,Campagne!$C$1:$C$15,$A44))</f>
        <v/>
      </c>
      <c r="R44" t="str">
        <f>IF($A44="","",SUMIFS(Campagne!$K$1:$K$15,Campagne!$C$1:$C$15,$A44))</f>
        <v/>
      </c>
      <c r="S44" t="str">
        <f>IF($A44="","",SUMIFS(Campagne!$M$1:$M$15,Campagne!$C$1:$C$15,$A44))</f>
        <v/>
      </c>
      <c r="T44" t="str">
        <f>IF($A44="","",SUMIFS(PIL!$K$15:$K$28,PIL!$A$15:$A$28,$A44)*SUMIFS(PIL!$J$15:$J$28,PIL!$A$15:$A$28,$A44)*(SUM(PIL!$K$15:$K$28)/SUMPRODUCT(PIL!$K$15:$K$28,PIL!$J$15:$J$28)))</f>
        <v/>
      </c>
      <c r="U44" t="str">
        <f>IF($A44="","",SUMIFS(PIL!$K$15:$K$28,PIL!$A$15:$A$28,$A44))</f>
        <v/>
      </c>
      <c r="V44" t="str">
        <f>IF($A44="","",IF($B44="V01",cad!$C$23,IF($B44="V02",cad!$D$23,cad!$E$23)))</f>
        <v/>
      </c>
      <c r="W44" t="str">
        <f>IF($A44="","",IF($B44="V01",cad!$C$24,IF($B44="V02",cad!$D$24,cad!$E$24)))</f>
        <v/>
      </c>
      <c r="X44" t="str">
        <f>IF($A44="","",IF($B44="V01",cad!$C$25,IF($B44="V02",cad!$D$25,cad!$E$25)))</f>
        <v/>
      </c>
      <c r="Y44" t="str">
        <f>IF($A44="","",IF($B44="V01",cad!$C$26,IF($B44="V02",cad!$D$26,cad!$E$26)))</f>
        <v/>
      </c>
      <c r="Z44" t="str">
        <f>IF($A44="","",IF($B44="V01",cad!$C$27,IF($B44="V02",cad!$D$27,cad!$E$27)))</f>
        <v/>
      </c>
      <c r="AA44" t="str">
        <f>IF($A44="","",IF($B44="V01",cad!$C$28,IF($B44="V02",cad!$D$28,cad!$E$28)))</f>
        <v/>
      </c>
      <c r="AB44" t="str">
        <f>IF($A44="","",IF($B44="V01",cad!$C$39,IF($B44="V02",cad!$D$39,cad!$E$39)))</f>
        <v/>
      </c>
      <c r="AC44" t="str">
        <f>IF($A44="","",IF($F44="MBWAY",cad!$J$12,IF($F44="ISCOM",cad!$J$13,IF($F44="IPAC",cad!$J$14,IF($F44="PIGIER",cad!$J$15,cad!$J$16)))))</f>
        <v/>
      </c>
      <c r="AD44" t="str">
        <f t="shared" si="1"/>
        <v/>
      </c>
      <c r="AE44" t="str">
        <f t="shared" si="2"/>
        <v/>
      </c>
      <c r="AF44" t="str">
        <f t="shared" si="3"/>
        <v/>
      </c>
      <c r="AG44" t="str">
        <f t="shared" si="4"/>
        <v/>
      </c>
      <c r="AH44" t="str">
        <f t="shared" si="5"/>
        <v/>
      </c>
    </row>
    <row r="45" spans="1:34" x14ac:dyDescent="0.45">
      <c r="A45" t="str">
        <f>IF(Moteur!D45="","",Moteur!D45)</f>
        <v/>
      </c>
      <c r="B45" t="str">
        <f>IF(Moteur!B45="","",Moteur!B45)</f>
        <v/>
      </c>
      <c r="C45" t="str">
        <f>IF(Moteur!F45="","",Moteur!F45)</f>
        <v/>
      </c>
      <c r="D45" t="str">
        <f>IF(Moteur!G45="","",Moteur!G45)</f>
        <v/>
      </c>
      <c r="E45" t="str">
        <f>IF(Moteur!H45="","",Moteur!H45)</f>
        <v/>
      </c>
      <c r="F45" t="str">
        <f>IF(Moteur!E45="","",Moteur!E45)</f>
        <v/>
      </c>
      <c r="G45" t="str">
        <f>IF($A45="","",SUMIFS(Allocation2!$H$1:$H$175,Allocation2!$C$1:$C$175,$A45,Allocation2!$D$1:$D$175,$C45,Allocation2!$E$1:$E$175,$D45,Allocation2!$F$1:$F$175,$E45,Allocation2!$G$1:$G$175,"2026"))</f>
        <v/>
      </c>
      <c r="H45" t="str">
        <f>IF($A45="","",SUMIFS(Allocation2!$N$1:$N$175,Allocation2!$C$1:$C$175,$A45,Allocation2!$D$1:$D$175,$C45,Allocation2!$E$1:$E$175,$D45,Allocation2!$F$1:$F$175,$E45,Allocation2!$G$1:$G$175,"2026"))</f>
        <v/>
      </c>
      <c r="I45" t="str">
        <f>IF($A45="","",SUMIFS(Allocation2!$P$1:$P$175,Allocation2!$C$1:$C$175,$A45,Allocation2!$D$1:$D$175,$C45,Allocation2!$E$1:$E$175,$D45,Allocation2!$F$1:$F$175,$E45,Allocation2!$G$1:$G$175,"2026"))</f>
        <v/>
      </c>
      <c r="J45" t="str">
        <f>IF($A45="","",SUMIFS(Allocation2!$W$1:$W$175,Allocation2!$C$1:$C$175,$A45,Allocation2!$D$1:$D$175,$C45,Allocation2!$E$1:$E$175,$D45,Allocation2!$F$1:$F$175,$E45,Allocation2!$G$1:$G$175,"2026"))</f>
        <v/>
      </c>
      <c r="K45" t="str">
        <f>IF($A45="","",SUMIFS(Allocation2!$X$1:$X$175,Allocation2!$C$1:$C$175,$A45,Allocation2!$D$1:$D$175,$C45,Allocation2!$E$1:$E$175,$D45,Allocation2!$F$1:$F$175,$E45,Allocation2!$G$1:$G$175,"2026"))</f>
        <v/>
      </c>
      <c r="L45" t="str">
        <f>IF($A45="","",SUMIFS(Allocation2!$Y$1:$Y$175,Allocation2!$C$1:$C$175,$A45,Allocation2!$D$1:$D$175,$C45,Allocation2!$E$1:$E$175,$D45,Allocation2!$F$1:$F$175,$E45,Allocation2!$G$1:$G$175,"2026"))</f>
        <v/>
      </c>
      <c r="M45" t="str">
        <f>IF($A45="","",SUMIFS(Allocation2!$V$1:$V$175,Allocation2!$C$1:$C$175,$A45,Allocation2!$D$1:$D$175,$C45,Allocation2!$E$1:$E$175,$D45,Allocation2!$F$1:$F$175,$E45,Allocation2!$G$1:$G$175,"2026"))</f>
        <v/>
      </c>
      <c r="N45" t="str">
        <f t="shared" si="0"/>
        <v/>
      </c>
      <c r="O45" t="str">
        <f>IF($A45="","",SUMIFS(Campagne!$D$1:$D$15,Campagne!$C$1:$C$15,$A45))</f>
        <v/>
      </c>
      <c r="P45" t="str">
        <f>IF($A45="","",SUMIFS(Campagne!$E$1:$E$15,Campagne!$C$1:$C$15,$A45))</f>
        <v/>
      </c>
      <c r="Q45" t="str">
        <f>IF($A45="","",SUMIFS(Campagne!$F$1:$F$15,Campagne!$C$1:$C$15,$A45))</f>
        <v/>
      </c>
      <c r="R45" t="str">
        <f>IF($A45="","",SUMIFS(Campagne!$K$1:$K$15,Campagne!$C$1:$C$15,$A45))</f>
        <v/>
      </c>
      <c r="S45" t="str">
        <f>IF($A45="","",SUMIFS(Campagne!$M$1:$M$15,Campagne!$C$1:$C$15,$A45))</f>
        <v/>
      </c>
      <c r="T45" t="str">
        <f>IF($A45="","",SUMIFS(PIL!$K$15:$K$28,PIL!$A$15:$A$28,$A45)*SUMIFS(PIL!$J$15:$J$28,PIL!$A$15:$A$28,$A45)*(SUM(PIL!$K$15:$K$28)/SUMPRODUCT(PIL!$K$15:$K$28,PIL!$J$15:$J$28)))</f>
        <v/>
      </c>
      <c r="U45" t="str">
        <f>IF($A45="","",SUMIFS(PIL!$K$15:$K$28,PIL!$A$15:$A$28,$A45))</f>
        <v/>
      </c>
      <c r="V45" t="str">
        <f>IF($A45="","",IF($B45="V01",cad!$C$23,IF($B45="V02",cad!$D$23,cad!$E$23)))</f>
        <v/>
      </c>
      <c r="W45" t="str">
        <f>IF($A45="","",IF($B45="V01",cad!$C$24,IF($B45="V02",cad!$D$24,cad!$E$24)))</f>
        <v/>
      </c>
      <c r="X45" t="str">
        <f>IF($A45="","",IF($B45="V01",cad!$C$25,IF($B45="V02",cad!$D$25,cad!$E$25)))</f>
        <v/>
      </c>
      <c r="Y45" t="str">
        <f>IF($A45="","",IF($B45="V01",cad!$C$26,IF($B45="V02",cad!$D$26,cad!$E$26)))</f>
        <v/>
      </c>
      <c r="Z45" t="str">
        <f>IF($A45="","",IF($B45="V01",cad!$C$27,IF($B45="V02",cad!$D$27,cad!$E$27)))</f>
        <v/>
      </c>
      <c r="AA45" t="str">
        <f>IF($A45="","",IF($B45="V01",cad!$C$28,IF($B45="V02",cad!$D$28,cad!$E$28)))</f>
        <v/>
      </c>
      <c r="AB45" t="str">
        <f>IF($A45="","",IF($B45="V01",cad!$C$39,IF($B45="V02",cad!$D$39,cad!$E$39)))</f>
        <v/>
      </c>
      <c r="AC45" t="str">
        <f>IF($A45="","",IF($F45="MBWAY",cad!$J$12,IF($F45="ISCOM",cad!$J$13,IF($F45="IPAC",cad!$J$14,IF($F45="PIGIER",cad!$J$15,cad!$J$16)))))</f>
        <v/>
      </c>
      <c r="AD45" t="str">
        <f t="shared" si="1"/>
        <v/>
      </c>
      <c r="AE45" t="str">
        <f t="shared" si="2"/>
        <v/>
      </c>
      <c r="AF45" t="str">
        <f t="shared" si="3"/>
        <v/>
      </c>
      <c r="AG45" t="str">
        <f t="shared" si="4"/>
        <v/>
      </c>
      <c r="AH45" t="str">
        <f t="shared" si="5"/>
        <v/>
      </c>
    </row>
    <row r="46" spans="1:34" x14ac:dyDescent="0.45">
      <c r="A46" t="str">
        <f>IF(Moteur!D46="","",Moteur!D46)</f>
        <v/>
      </c>
      <c r="B46" t="str">
        <f>IF(Moteur!B46="","",Moteur!B46)</f>
        <v/>
      </c>
      <c r="C46" t="str">
        <f>IF(Moteur!F46="","",Moteur!F46)</f>
        <v/>
      </c>
      <c r="D46" t="str">
        <f>IF(Moteur!G46="","",Moteur!G46)</f>
        <v/>
      </c>
      <c r="E46" t="str">
        <f>IF(Moteur!H46="","",Moteur!H46)</f>
        <v/>
      </c>
      <c r="F46" t="str">
        <f>IF(Moteur!E46="","",Moteur!E46)</f>
        <v/>
      </c>
      <c r="G46" t="str">
        <f>IF($A46="","",SUMIFS(Allocation2!$H$1:$H$175,Allocation2!$C$1:$C$175,$A46,Allocation2!$D$1:$D$175,$C46,Allocation2!$E$1:$E$175,$D46,Allocation2!$F$1:$F$175,$E46,Allocation2!$G$1:$G$175,"2026"))</f>
        <v/>
      </c>
      <c r="H46" t="str">
        <f>IF($A46="","",SUMIFS(Allocation2!$N$1:$N$175,Allocation2!$C$1:$C$175,$A46,Allocation2!$D$1:$D$175,$C46,Allocation2!$E$1:$E$175,$D46,Allocation2!$F$1:$F$175,$E46,Allocation2!$G$1:$G$175,"2026"))</f>
        <v/>
      </c>
      <c r="I46" t="str">
        <f>IF($A46="","",SUMIFS(Allocation2!$P$1:$P$175,Allocation2!$C$1:$C$175,$A46,Allocation2!$D$1:$D$175,$C46,Allocation2!$E$1:$E$175,$D46,Allocation2!$F$1:$F$175,$E46,Allocation2!$G$1:$G$175,"2026"))</f>
        <v/>
      </c>
      <c r="J46" t="str">
        <f>IF($A46="","",SUMIFS(Allocation2!$W$1:$W$175,Allocation2!$C$1:$C$175,$A46,Allocation2!$D$1:$D$175,$C46,Allocation2!$E$1:$E$175,$D46,Allocation2!$F$1:$F$175,$E46,Allocation2!$G$1:$G$175,"2026"))</f>
        <v/>
      </c>
      <c r="K46" t="str">
        <f>IF($A46="","",SUMIFS(Allocation2!$X$1:$X$175,Allocation2!$C$1:$C$175,$A46,Allocation2!$D$1:$D$175,$C46,Allocation2!$E$1:$E$175,$D46,Allocation2!$F$1:$F$175,$E46,Allocation2!$G$1:$G$175,"2026"))</f>
        <v/>
      </c>
      <c r="L46" t="str">
        <f>IF($A46="","",SUMIFS(Allocation2!$Y$1:$Y$175,Allocation2!$C$1:$C$175,$A46,Allocation2!$D$1:$D$175,$C46,Allocation2!$E$1:$E$175,$D46,Allocation2!$F$1:$F$175,$E46,Allocation2!$G$1:$G$175,"2026"))</f>
        <v/>
      </c>
      <c r="M46" t="str">
        <f>IF($A46="","",SUMIFS(Allocation2!$V$1:$V$175,Allocation2!$C$1:$C$175,$A46,Allocation2!$D$1:$D$175,$C46,Allocation2!$E$1:$E$175,$D46,Allocation2!$F$1:$F$175,$E46,Allocation2!$G$1:$G$175,"2026"))</f>
        <v/>
      </c>
      <c r="N46" t="str">
        <f t="shared" si="0"/>
        <v/>
      </c>
      <c r="O46" t="str">
        <f>IF($A46="","",SUMIFS(Campagne!$D$1:$D$15,Campagne!$C$1:$C$15,$A46))</f>
        <v/>
      </c>
      <c r="P46" t="str">
        <f>IF($A46="","",SUMIFS(Campagne!$E$1:$E$15,Campagne!$C$1:$C$15,$A46))</f>
        <v/>
      </c>
      <c r="Q46" t="str">
        <f>IF($A46="","",SUMIFS(Campagne!$F$1:$F$15,Campagne!$C$1:$C$15,$A46))</f>
        <v/>
      </c>
      <c r="R46" t="str">
        <f>IF($A46="","",SUMIFS(Campagne!$K$1:$K$15,Campagne!$C$1:$C$15,$A46))</f>
        <v/>
      </c>
      <c r="S46" t="str">
        <f>IF($A46="","",SUMIFS(Campagne!$M$1:$M$15,Campagne!$C$1:$C$15,$A46))</f>
        <v/>
      </c>
      <c r="T46" t="str">
        <f>IF($A46="","",SUMIFS(PIL!$K$15:$K$28,PIL!$A$15:$A$28,$A46)*SUMIFS(PIL!$J$15:$J$28,PIL!$A$15:$A$28,$A46)*(SUM(PIL!$K$15:$K$28)/SUMPRODUCT(PIL!$K$15:$K$28,PIL!$J$15:$J$28)))</f>
        <v/>
      </c>
      <c r="U46" t="str">
        <f>IF($A46="","",SUMIFS(PIL!$K$15:$K$28,PIL!$A$15:$A$28,$A46))</f>
        <v/>
      </c>
      <c r="V46" t="str">
        <f>IF($A46="","",IF($B46="V01",cad!$C$23,IF($B46="V02",cad!$D$23,cad!$E$23)))</f>
        <v/>
      </c>
      <c r="W46" t="str">
        <f>IF($A46="","",IF($B46="V01",cad!$C$24,IF($B46="V02",cad!$D$24,cad!$E$24)))</f>
        <v/>
      </c>
      <c r="X46" t="str">
        <f>IF($A46="","",IF($B46="V01",cad!$C$25,IF($B46="V02",cad!$D$25,cad!$E$25)))</f>
        <v/>
      </c>
      <c r="Y46" t="str">
        <f>IF($A46="","",IF($B46="V01",cad!$C$26,IF($B46="V02",cad!$D$26,cad!$E$26)))</f>
        <v/>
      </c>
      <c r="Z46" t="str">
        <f>IF($A46="","",IF($B46="V01",cad!$C$27,IF($B46="V02",cad!$D$27,cad!$E$27)))</f>
        <v/>
      </c>
      <c r="AA46" t="str">
        <f>IF($A46="","",IF($B46="V01",cad!$C$28,IF($B46="V02",cad!$D$28,cad!$E$28)))</f>
        <v/>
      </c>
      <c r="AB46" t="str">
        <f>IF($A46="","",IF($B46="V01",cad!$C$39,IF($B46="V02",cad!$D$39,cad!$E$39)))</f>
        <v/>
      </c>
      <c r="AC46" t="str">
        <f>IF($A46="","",IF($F46="MBWAY",cad!$J$12,IF($F46="ISCOM",cad!$J$13,IF($F46="IPAC",cad!$J$14,IF($F46="PIGIER",cad!$J$15,cad!$J$16)))))</f>
        <v/>
      </c>
      <c r="AD46" t="str">
        <f t="shared" si="1"/>
        <v/>
      </c>
      <c r="AE46" t="str">
        <f t="shared" si="2"/>
        <v/>
      </c>
      <c r="AF46" t="str">
        <f t="shared" si="3"/>
        <v/>
      </c>
      <c r="AG46" t="str">
        <f t="shared" si="4"/>
        <v/>
      </c>
      <c r="AH46" t="str">
        <f t="shared" si="5"/>
        <v/>
      </c>
    </row>
    <row r="47" spans="1:34" x14ac:dyDescent="0.45">
      <c r="A47" t="str">
        <f>IF(Moteur!D47="","",Moteur!D47)</f>
        <v/>
      </c>
      <c r="B47" t="str">
        <f>IF(Moteur!B47="","",Moteur!B47)</f>
        <v/>
      </c>
      <c r="C47" t="str">
        <f>IF(Moteur!F47="","",Moteur!F47)</f>
        <v/>
      </c>
      <c r="D47" t="str">
        <f>IF(Moteur!G47="","",Moteur!G47)</f>
        <v/>
      </c>
      <c r="E47" t="str">
        <f>IF(Moteur!H47="","",Moteur!H47)</f>
        <v/>
      </c>
      <c r="F47" t="str">
        <f>IF(Moteur!E47="","",Moteur!E47)</f>
        <v/>
      </c>
      <c r="G47" t="str">
        <f>IF($A47="","",SUMIFS(Allocation2!$H$1:$H$175,Allocation2!$C$1:$C$175,$A47,Allocation2!$D$1:$D$175,$C47,Allocation2!$E$1:$E$175,$D47,Allocation2!$F$1:$F$175,$E47,Allocation2!$G$1:$G$175,"2026"))</f>
        <v/>
      </c>
      <c r="H47" t="str">
        <f>IF($A47="","",SUMIFS(Allocation2!$N$1:$N$175,Allocation2!$C$1:$C$175,$A47,Allocation2!$D$1:$D$175,$C47,Allocation2!$E$1:$E$175,$D47,Allocation2!$F$1:$F$175,$E47,Allocation2!$G$1:$G$175,"2026"))</f>
        <v/>
      </c>
      <c r="I47" t="str">
        <f>IF($A47="","",SUMIFS(Allocation2!$P$1:$P$175,Allocation2!$C$1:$C$175,$A47,Allocation2!$D$1:$D$175,$C47,Allocation2!$E$1:$E$175,$D47,Allocation2!$F$1:$F$175,$E47,Allocation2!$G$1:$G$175,"2026"))</f>
        <v/>
      </c>
      <c r="J47" t="str">
        <f>IF($A47="","",SUMIFS(Allocation2!$W$1:$W$175,Allocation2!$C$1:$C$175,$A47,Allocation2!$D$1:$D$175,$C47,Allocation2!$E$1:$E$175,$D47,Allocation2!$F$1:$F$175,$E47,Allocation2!$G$1:$G$175,"2026"))</f>
        <v/>
      </c>
      <c r="K47" t="str">
        <f>IF($A47="","",SUMIFS(Allocation2!$X$1:$X$175,Allocation2!$C$1:$C$175,$A47,Allocation2!$D$1:$D$175,$C47,Allocation2!$E$1:$E$175,$D47,Allocation2!$F$1:$F$175,$E47,Allocation2!$G$1:$G$175,"2026"))</f>
        <v/>
      </c>
      <c r="L47" t="str">
        <f>IF($A47="","",SUMIFS(Allocation2!$Y$1:$Y$175,Allocation2!$C$1:$C$175,$A47,Allocation2!$D$1:$D$175,$C47,Allocation2!$E$1:$E$175,$D47,Allocation2!$F$1:$F$175,$E47,Allocation2!$G$1:$G$175,"2026"))</f>
        <v/>
      </c>
      <c r="M47" t="str">
        <f>IF($A47="","",SUMIFS(Allocation2!$V$1:$V$175,Allocation2!$C$1:$C$175,$A47,Allocation2!$D$1:$D$175,$C47,Allocation2!$E$1:$E$175,$D47,Allocation2!$F$1:$F$175,$E47,Allocation2!$G$1:$G$175,"2026"))</f>
        <v/>
      </c>
      <c r="N47" t="str">
        <f t="shared" si="0"/>
        <v/>
      </c>
      <c r="O47" t="str">
        <f>IF($A47="","",SUMIFS(Campagne!$D$1:$D$15,Campagne!$C$1:$C$15,$A47))</f>
        <v/>
      </c>
      <c r="P47" t="str">
        <f>IF($A47="","",SUMIFS(Campagne!$E$1:$E$15,Campagne!$C$1:$C$15,$A47))</f>
        <v/>
      </c>
      <c r="Q47" t="str">
        <f>IF($A47="","",SUMIFS(Campagne!$F$1:$F$15,Campagne!$C$1:$C$15,$A47))</f>
        <v/>
      </c>
      <c r="R47" t="str">
        <f>IF($A47="","",SUMIFS(Campagne!$K$1:$K$15,Campagne!$C$1:$C$15,$A47))</f>
        <v/>
      </c>
      <c r="S47" t="str">
        <f>IF($A47="","",SUMIFS(Campagne!$M$1:$M$15,Campagne!$C$1:$C$15,$A47))</f>
        <v/>
      </c>
      <c r="T47" t="str">
        <f>IF($A47="","",SUMIFS(PIL!$K$15:$K$28,PIL!$A$15:$A$28,$A47)*SUMIFS(PIL!$J$15:$J$28,PIL!$A$15:$A$28,$A47)*(SUM(PIL!$K$15:$K$28)/SUMPRODUCT(PIL!$K$15:$K$28,PIL!$J$15:$J$28)))</f>
        <v/>
      </c>
      <c r="U47" t="str">
        <f>IF($A47="","",SUMIFS(PIL!$K$15:$K$28,PIL!$A$15:$A$28,$A47))</f>
        <v/>
      </c>
      <c r="V47" t="str">
        <f>IF($A47="","",IF($B47="V01",cad!$C$23,IF($B47="V02",cad!$D$23,cad!$E$23)))</f>
        <v/>
      </c>
      <c r="W47" t="str">
        <f>IF($A47="","",IF($B47="V01",cad!$C$24,IF($B47="V02",cad!$D$24,cad!$E$24)))</f>
        <v/>
      </c>
      <c r="X47" t="str">
        <f>IF($A47="","",IF($B47="V01",cad!$C$25,IF($B47="V02",cad!$D$25,cad!$E$25)))</f>
        <v/>
      </c>
      <c r="Y47" t="str">
        <f>IF($A47="","",IF($B47="V01",cad!$C$26,IF($B47="V02",cad!$D$26,cad!$E$26)))</f>
        <v/>
      </c>
      <c r="Z47" t="str">
        <f>IF($A47="","",IF($B47="V01",cad!$C$27,IF($B47="V02",cad!$D$27,cad!$E$27)))</f>
        <v/>
      </c>
      <c r="AA47" t="str">
        <f>IF($A47="","",IF($B47="V01",cad!$C$28,IF($B47="V02",cad!$D$28,cad!$E$28)))</f>
        <v/>
      </c>
      <c r="AB47" t="str">
        <f>IF($A47="","",IF($B47="V01",cad!$C$39,IF($B47="V02",cad!$D$39,cad!$E$39)))</f>
        <v/>
      </c>
      <c r="AC47" t="str">
        <f>IF($A47="","",IF($F47="MBWAY",cad!$J$12,IF($F47="ISCOM",cad!$J$13,IF($F47="IPAC",cad!$J$14,IF($F47="PIGIER",cad!$J$15,cad!$J$16)))))</f>
        <v/>
      </c>
      <c r="AD47" t="str">
        <f t="shared" si="1"/>
        <v/>
      </c>
      <c r="AE47" t="str">
        <f t="shared" si="2"/>
        <v/>
      </c>
      <c r="AF47" t="str">
        <f t="shared" si="3"/>
        <v/>
      </c>
      <c r="AG47" t="str">
        <f t="shared" si="4"/>
        <v/>
      </c>
      <c r="AH47" t="str">
        <f t="shared" si="5"/>
        <v/>
      </c>
    </row>
    <row r="48" spans="1:34" x14ac:dyDescent="0.45">
      <c r="A48" t="str">
        <f>IF(Moteur!D48="","",Moteur!D48)</f>
        <v/>
      </c>
      <c r="B48" t="str">
        <f>IF(Moteur!B48="","",Moteur!B48)</f>
        <v/>
      </c>
      <c r="C48" t="str">
        <f>IF(Moteur!F48="","",Moteur!F48)</f>
        <v/>
      </c>
      <c r="D48" t="str">
        <f>IF(Moteur!G48="","",Moteur!G48)</f>
        <v/>
      </c>
      <c r="E48" t="str">
        <f>IF(Moteur!H48="","",Moteur!H48)</f>
        <v/>
      </c>
      <c r="F48" t="str">
        <f>IF(Moteur!E48="","",Moteur!E48)</f>
        <v/>
      </c>
      <c r="G48" t="str">
        <f>IF($A48="","",SUMIFS(Allocation2!$H$1:$H$175,Allocation2!$C$1:$C$175,$A48,Allocation2!$D$1:$D$175,$C48,Allocation2!$E$1:$E$175,$D48,Allocation2!$F$1:$F$175,$E48,Allocation2!$G$1:$G$175,"2026"))</f>
        <v/>
      </c>
      <c r="H48" t="str">
        <f>IF($A48="","",SUMIFS(Allocation2!$N$1:$N$175,Allocation2!$C$1:$C$175,$A48,Allocation2!$D$1:$D$175,$C48,Allocation2!$E$1:$E$175,$D48,Allocation2!$F$1:$F$175,$E48,Allocation2!$G$1:$G$175,"2026"))</f>
        <v/>
      </c>
      <c r="I48" t="str">
        <f>IF($A48="","",SUMIFS(Allocation2!$P$1:$P$175,Allocation2!$C$1:$C$175,$A48,Allocation2!$D$1:$D$175,$C48,Allocation2!$E$1:$E$175,$D48,Allocation2!$F$1:$F$175,$E48,Allocation2!$G$1:$G$175,"2026"))</f>
        <v/>
      </c>
      <c r="J48" t="str">
        <f>IF($A48="","",SUMIFS(Allocation2!$W$1:$W$175,Allocation2!$C$1:$C$175,$A48,Allocation2!$D$1:$D$175,$C48,Allocation2!$E$1:$E$175,$D48,Allocation2!$F$1:$F$175,$E48,Allocation2!$G$1:$G$175,"2026"))</f>
        <v/>
      </c>
      <c r="K48" t="str">
        <f>IF($A48="","",SUMIFS(Allocation2!$X$1:$X$175,Allocation2!$C$1:$C$175,$A48,Allocation2!$D$1:$D$175,$C48,Allocation2!$E$1:$E$175,$D48,Allocation2!$F$1:$F$175,$E48,Allocation2!$G$1:$G$175,"2026"))</f>
        <v/>
      </c>
      <c r="L48" t="str">
        <f>IF($A48="","",SUMIFS(Allocation2!$Y$1:$Y$175,Allocation2!$C$1:$C$175,$A48,Allocation2!$D$1:$D$175,$C48,Allocation2!$E$1:$E$175,$D48,Allocation2!$F$1:$F$175,$E48,Allocation2!$G$1:$G$175,"2026"))</f>
        <v/>
      </c>
      <c r="M48" t="str">
        <f>IF($A48="","",SUMIFS(Allocation2!$V$1:$V$175,Allocation2!$C$1:$C$175,$A48,Allocation2!$D$1:$D$175,$C48,Allocation2!$E$1:$E$175,$D48,Allocation2!$F$1:$F$175,$E48,Allocation2!$G$1:$G$175,"2026"))</f>
        <v/>
      </c>
      <c r="N48" t="str">
        <f t="shared" si="0"/>
        <v/>
      </c>
      <c r="O48" t="str">
        <f>IF($A48="","",SUMIFS(Campagne!$D$1:$D$15,Campagne!$C$1:$C$15,$A48))</f>
        <v/>
      </c>
      <c r="P48" t="str">
        <f>IF($A48="","",SUMIFS(Campagne!$E$1:$E$15,Campagne!$C$1:$C$15,$A48))</f>
        <v/>
      </c>
      <c r="Q48" t="str">
        <f>IF($A48="","",SUMIFS(Campagne!$F$1:$F$15,Campagne!$C$1:$C$15,$A48))</f>
        <v/>
      </c>
      <c r="R48" t="str">
        <f>IF($A48="","",SUMIFS(Campagne!$K$1:$K$15,Campagne!$C$1:$C$15,$A48))</f>
        <v/>
      </c>
      <c r="S48" t="str">
        <f>IF($A48="","",SUMIFS(Campagne!$M$1:$M$15,Campagne!$C$1:$C$15,$A48))</f>
        <v/>
      </c>
      <c r="T48" t="str">
        <f>IF($A48="","",SUMIFS(PIL!$K$15:$K$28,PIL!$A$15:$A$28,$A48)*SUMIFS(PIL!$J$15:$J$28,PIL!$A$15:$A$28,$A48)*(SUM(PIL!$K$15:$K$28)/SUMPRODUCT(PIL!$K$15:$K$28,PIL!$J$15:$J$28)))</f>
        <v/>
      </c>
      <c r="U48" t="str">
        <f>IF($A48="","",SUMIFS(PIL!$K$15:$K$28,PIL!$A$15:$A$28,$A48))</f>
        <v/>
      </c>
      <c r="V48" t="str">
        <f>IF($A48="","",IF($B48="V01",cad!$C$23,IF($B48="V02",cad!$D$23,cad!$E$23)))</f>
        <v/>
      </c>
      <c r="W48" t="str">
        <f>IF($A48="","",IF($B48="V01",cad!$C$24,IF($B48="V02",cad!$D$24,cad!$E$24)))</f>
        <v/>
      </c>
      <c r="X48" t="str">
        <f>IF($A48="","",IF($B48="V01",cad!$C$25,IF($B48="V02",cad!$D$25,cad!$E$25)))</f>
        <v/>
      </c>
      <c r="Y48" t="str">
        <f>IF($A48="","",IF($B48="V01",cad!$C$26,IF($B48="V02",cad!$D$26,cad!$E$26)))</f>
        <v/>
      </c>
      <c r="Z48" t="str">
        <f>IF($A48="","",IF($B48="V01",cad!$C$27,IF($B48="V02",cad!$D$27,cad!$E$27)))</f>
        <v/>
      </c>
      <c r="AA48" t="str">
        <f>IF($A48="","",IF($B48="V01",cad!$C$28,IF($B48="V02",cad!$D$28,cad!$E$28)))</f>
        <v/>
      </c>
      <c r="AB48" t="str">
        <f>IF($A48="","",IF($B48="V01",cad!$C$39,IF($B48="V02",cad!$D$39,cad!$E$39)))</f>
        <v/>
      </c>
      <c r="AC48" t="str">
        <f>IF($A48="","",IF($F48="MBWAY",cad!$J$12,IF($F48="ISCOM",cad!$J$13,IF($F48="IPAC",cad!$J$14,IF($F48="PIGIER",cad!$J$15,cad!$J$16)))))</f>
        <v/>
      </c>
      <c r="AD48" t="str">
        <f t="shared" si="1"/>
        <v/>
      </c>
      <c r="AE48" t="str">
        <f t="shared" si="2"/>
        <v/>
      </c>
      <c r="AF48" t="str">
        <f t="shared" si="3"/>
        <v/>
      </c>
      <c r="AG48" t="str">
        <f t="shared" si="4"/>
        <v/>
      </c>
      <c r="AH48" t="str">
        <f t="shared" si="5"/>
        <v/>
      </c>
    </row>
    <row r="49" spans="1:34" x14ac:dyDescent="0.45">
      <c r="A49" t="str">
        <f>IF(Moteur!D49="","",Moteur!D49)</f>
        <v/>
      </c>
      <c r="B49" t="str">
        <f>IF(Moteur!B49="","",Moteur!B49)</f>
        <v/>
      </c>
      <c r="C49" t="str">
        <f>IF(Moteur!F49="","",Moteur!F49)</f>
        <v/>
      </c>
      <c r="D49" t="str">
        <f>IF(Moteur!G49="","",Moteur!G49)</f>
        <v/>
      </c>
      <c r="E49" t="str">
        <f>IF(Moteur!H49="","",Moteur!H49)</f>
        <v/>
      </c>
      <c r="F49" t="str">
        <f>IF(Moteur!E49="","",Moteur!E49)</f>
        <v/>
      </c>
      <c r="G49" t="str">
        <f>IF($A49="","",SUMIFS(Allocation2!$H$1:$H$175,Allocation2!$C$1:$C$175,$A49,Allocation2!$D$1:$D$175,$C49,Allocation2!$E$1:$E$175,$D49,Allocation2!$F$1:$F$175,$E49,Allocation2!$G$1:$G$175,"2026"))</f>
        <v/>
      </c>
      <c r="H49" t="str">
        <f>IF($A49="","",SUMIFS(Allocation2!$N$1:$N$175,Allocation2!$C$1:$C$175,$A49,Allocation2!$D$1:$D$175,$C49,Allocation2!$E$1:$E$175,$D49,Allocation2!$F$1:$F$175,$E49,Allocation2!$G$1:$G$175,"2026"))</f>
        <v/>
      </c>
      <c r="I49" t="str">
        <f>IF($A49="","",SUMIFS(Allocation2!$P$1:$P$175,Allocation2!$C$1:$C$175,$A49,Allocation2!$D$1:$D$175,$C49,Allocation2!$E$1:$E$175,$D49,Allocation2!$F$1:$F$175,$E49,Allocation2!$G$1:$G$175,"2026"))</f>
        <v/>
      </c>
      <c r="J49" t="str">
        <f>IF($A49="","",SUMIFS(Allocation2!$W$1:$W$175,Allocation2!$C$1:$C$175,$A49,Allocation2!$D$1:$D$175,$C49,Allocation2!$E$1:$E$175,$D49,Allocation2!$F$1:$F$175,$E49,Allocation2!$G$1:$G$175,"2026"))</f>
        <v/>
      </c>
      <c r="K49" t="str">
        <f>IF($A49="","",SUMIFS(Allocation2!$X$1:$X$175,Allocation2!$C$1:$C$175,$A49,Allocation2!$D$1:$D$175,$C49,Allocation2!$E$1:$E$175,$D49,Allocation2!$F$1:$F$175,$E49,Allocation2!$G$1:$G$175,"2026"))</f>
        <v/>
      </c>
      <c r="L49" t="str">
        <f>IF($A49="","",SUMIFS(Allocation2!$Y$1:$Y$175,Allocation2!$C$1:$C$175,$A49,Allocation2!$D$1:$D$175,$C49,Allocation2!$E$1:$E$175,$D49,Allocation2!$F$1:$F$175,$E49,Allocation2!$G$1:$G$175,"2026"))</f>
        <v/>
      </c>
      <c r="M49" t="str">
        <f>IF($A49="","",SUMIFS(Allocation2!$V$1:$V$175,Allocation2!$C$1:$C$175,$A49,Allocation2!$D$1:$D$175,$C49,Allocation2!$E$1:$E$175,$D49,Allocation2!$F$1:$F$175,$E49,Allocation2!$G$1:$G$175,"2026"))</f>
        <v/>
      </c>
      <c r="N49" t="str">
        <f t="shared" si="0"/>
        <v/>
      </c>
      <c r="O49" t="str">
        <f>IF($A49="","",SUMIFS(Campagne!$D$1:$D$15,Campagne!$C$1:$C$15,$A49))</f>
        <v/>
      </c>
      <c r="P49" t="str">
        <f>IF($A49="","",SUMIFS(Campagne!$E$1:$E$15,Campagne!$C$1:$C$15,$A49))</f>
        <v/>
      </c>
      <c r="Q49" t="str">
        <f>IF($A49="","",SUMIFS(Campagne!$F$1:$F$15,Campagne!$C$1:$C$15,$A49))</f>
        <v/>
      </c>
      <c r="R49" t="str">
        <f>IF($A49="","",SUMIFS(Campagne!$K$1:$K$15,Campagne!$C$1:$C$15,$A49))</f>
        <v/>
      </c>
      <c r="S49" t="str">
        <f>IF($A49="","",SUMIFS(Campagne!$M$1:$M$15,Campagne!$C$1:$C$15,$A49))</f>
        <v/>
      </c>
      <c r="T49" t="str">
        <f>IF($A49="","",SUMIFS(PIL!$K$15:$K$28,PIL!$A$15:$A$28,$A49)*SUMIFS(PIL!$J$15:$J$28,PIL!$A$15:$A$28,$A49)*(SUM(PIL!$K$15:$K$28)/SUMPRODUCT(PIL!$K$15:$K$28,PIL!$J$15:$J$28)))</f>
        <v/>
      </c>
      <c r="U49" t="str">
        <f>IF($A49="","",SUMIFS(PIL!$K$15:$K$28,PIL!$A$15:$A$28,$A49))</f>
        <v/>
      </c>
      <c r="V49" t="str">
        <f>IF($A49="","",IF($B49="V01",cad!$C$23,IF($B49="V02",cad!$D$23,cad!$E$23)))</f>
        <v/>
      </c>
      <c r="W49" t="str">
        <f>IF($A49="","",IF($B49="V01",cad!$C$24,IF($B49="V02",cad!$D$24,cad!$E$24)))</f>
        <v/>
      </c>
      <c r="X49" t="str">
        <f>IF($A49="","",IF($B49="V01",cad!$C$25,IF($B49="V02",cad!$D$25,cad!$E$25)))</f>
        <v/>
      </c>
      <c r="Y49" t="str">
        <f>IF($A49="","",IF($B49="V01",cad!$C$26,IF($B49="V02",cad!$D$26,cad!$E$26)))</f>
        <v/>
      </c>
      <c r="Z49" t="str">
        <f>IF($A49="","",IF($B49="V01",cad!$C$27,IF($B49="V02",cad!$D$27,cad!$E$27)))</f>
        <v/>
      </c>
      <c r="AA49" t="str">
        <f>IF($A49="","",IF($B49="V01",cad!$C$28,IF($B49="V02",cad!$D$28,cad!$E$28)))</f>
        <v/>
      </c>
      <c r="AB49" t="str">
        <f>IF($A49="","",IF($B49="V01",cad!$C$39,IF($B49="V02",cad!$D$39,cad!$E$39)))</f>
        <v/>
      </c>
      <c r="AC49" t="str">
        <f>IF($A49="","",IF($F49="MBWAY",cad!$J$12,IF($F49="ISCOM",cad!$J$13,IF($F49="IPAC",cad!$J$14,IF($F49="PIGIER",cad!$J$15,cad!$J$16)))))</f>
        <v/>
      </c>
      <c r="AD49" t="str">
        <f t="shared" si="1"/>
        <v/>
      </c>
      <c r="AE49" t="str">
        <f t="shared" si="2"/>
        <v/>
      </c>
      <c r="AF49" t="str">
        <f t="shared" si="3"/>
        <v/>
      </c>
      <c r="AG49" t="str">
        <f t="shared" si="4"/>
        <v/>
      </c>
      <c r="AH49" t="str">
        <f t="shared" si="5"/>
        <v/>
      </c>
    </row>
    <row r="50" spans="1:34" x14ac:dyDescent="0.45">
      <c r="A50" t="str">
        <f>IF(Moteur!D50="","",Moteur!D50)</f>
        <v/>
      </c>
      <c r="B50" t="str">
        <f>IF(Moteur!B50="","",Moteur!B50)</f>
        <v/>
      </c>
      <c r="C50" t="str">
        <f>IF(Moteur!F50="","",Moteur!F50)</f>
        <v/>
      </c>
      <c r="D50" t="str">
        <f>IF(Moteur!G50="","",Moteur!G50)</f>
        <v/>
      </c>
      <c r="E50" t="str">
        <f>IF(Moteur!H50="","",Moteur!H50)</f>
        <v/>
      </c>
      <c r="F50" t="str">
        <f>IF(Moteur!E50="","",Moteur!E50)</f>
        <v/>
      </c>
      <c r="G50" t="str">
        <f>IF($A50="","",SUMIFS(Allocation2!$H$1:$H$175,Allocation2!$C$1:$C$175,$A50,Allocation2!$D$1:$D$175,$C50,Allocation2!$E$1:$E$175,$D50,Allocation2!$F$1:$F$175,$E50,Allocation2!$G$1:$G$175,"2026"))</f>
        <v/>
      </c>
      <c r="H50" t="str">
        <f>IF($A50="","",SUMIFS(Allocation2!$N$1:$N$175,Allocation2!$C$1:$C$175,$A50,Allocation2!$D$1:$D$175,$C50,Allocation2!$E$1:$E$175,$D50,Allocation2!$F$1:$F$175,$E50,Allocation2!$G$1:$G$175,"2026"))</f>
        <v/>
      </c>
      <c r="I50" t="str">
        <f>IF($A50="","",SUMIFS(Allocation2!$P$1:$P$175,Allocation2!$C$1:$C$175,$A50,Allocation2!$D$1:$D$175,$C50,Allocation2!$E$1:$E$175,$D50,Allocation2!$F$1:$F$175,$E50,Allocation2!$G$1:$G$175,"2026"))</f>
        <v/>
      </c>
      <c r="J50" t="str">
        <f>IF($A50="","",SUMIFS(Allocation2!$W$1:$W$175,Allocation2!$C$1:$C$175,$A50,Allocation2!$D$1:$D$175,$C50,Allocation2!$E$1:$E$175,$D50,Allocation2!$F$1:$F$175,$E50,Allocation2!$G$1:$G$175,"2026"))</f>
        <v/>
      </c>
      <c r="K50" t="str">
        <f>IF($A50="","",SUMIFS(Allocation2!$X$1:$X$175,Allocation2!$C$1:$C$175,$A50,Allocation2!$D$1:$D$175,$C50,Allocation2!$E$1:$E$175,$D50,Allocation2!$F$1:$F$175,$E50,Allocation2!$G$1:$G$175,"2026"))</f>
        <v/>
      </c>
      <c r="L50" t="str">
        <f>IF($A50="","",SUMIFS(Allocation2!$Y$1:$Y$175,Allocation2!$C$1:$C$175,$A50,Allocation2!$D$1:$D$175,$C50,Allocation2!$E$1:$E$175,$D50,Allocation2!$F$1:$F$175,$E50,Allocation2!$G$1:$G$175,"2026"))</f>
        <v/>
      </c>
      <c r="M50" t="str">
        <f>IF($A50="","",SUMIFS(Allocation2!$V$1:$V$175,Allocation2!$C$1:$C$175,$A50,Allocation2!$D$1:$D$175,$C50,Allocation2!$E$1:$E$175,$D50,Allocation2!$F$1:$F$175,$E50,Allocation2!$G$1:$G$175,"2026"))</f>
        <v/>
      </c>
      <c r="N50" t="str">
        <f t="shared" si="0"/>
        <v/>
      </c>
      <c r="O50" t="str">
        <f>IF($A50="","",SUMIFS(Campagne!$D$1:$D$15,Campagne!$C$1:$C$15,$A50))</f>
        <v/>
      </c>
      <c r="P50" t="str">
        <f>IF($A50="","",SUMIFS(Campagne!$E$1:$E$15,Campagne!$C$1:$C$15,$A50))</f>
        <v/>
      </c>
      <c r="Q50" t="str">
        <f>IF($A50="","",SUMIFS(Campagne!$F$1:$F$15,Campagne!$C$1:$C$15,$A50))</f>
        <v/>
      </c>
      <c r="R50" t="str">
        <f>IF($A50="","",SUMIFS(Campagne!$K$1:$K$15,Campagne!$C$1:$C$15,$A50))</f>
        <v/>
      </c>
      <c r="S50" t="str">
        <f>IF($A50="","",SUMIFS(Campagne!$M$1:$M$15,Campagne!$C$1:$C$15,$A50))</f>
        <v/>
      </c>
      <c r="T50" t="str">
        <f>IF($A50="","",SUMIFS(PIL!$K$15:$K$28,PIL!$A$15:$A$28,$A50)*SUMIFS(PIL!$J$15:$J$28,PIL!$A$15:$A$28,$A50)*(SUM(PIL!$K$15:$K$28)/SUMPRODUCT(PIL!$K$15:$K$28,PIL!$J$15:$J$28)))</f>
        <v/>
      </c>
      <c r="U50" t="str">
        <f>IF($A50="","",SUMIFS(PIL!$K$15:$K$28,PIL!$A$15:$A$28,$A50))</f>
        <v/>
      </c>
      <c r="V50" t="str">
        <f>IF($A50="","",IF($B50="V01",cad!$C$23,IF($B50="V02",cad!$D$23,cad!$E$23)))</f>
        <v/>
      </c>
      <c r="W50" t="str">
        <f>IF($A50="","",IF($B50="V01",cad!$C$24,IF($B50="V02",cad!$D$24,cad!$E$24)))</f>
        <v/>
      </c>
      <c r="X50" t="str">
        <f>IF($A50="","",IF($B50="V01",cad!$C$25,IF($B50="V02",cad!$D$25,cad!$E$25)))</f>
        <v/>
      </c>
      <c r="Y50" t="str">
        <f>IF($A50="","",IF($B50="V01",cad!$C$26,IF($B50="V02",cad!$D$26,cad!$E$26)))</f>
        <v/>
      </c>
      <c r="Z50" t="str">
        <f>IF($A50="","",IF($B50="V01",cad!$C$27,IF($B50="V02",cad!$D$27,cad!$E$27)))</f>
        <v/>
      </c>
      <c r="AA50" t="str">
        <f>IF($A50="","",IF($B50="V01",cad!$C$28,IF($B50="V02",cad!$D$28,cad!$E$28)))</f>
        <v/>
      </c>
      <c r="AB50" t="str">
        <f>IF($A50="","",IF($B50="V01",cad!$C$39,IF($B50="V02",cad!$D$39,cad!$E$39)))</f>
        <v/>
      </c>
      <c r="AC50" t="str">
        <f>IF($A50="","",IF($F50="MBWAY",cad!$J$12,IF($F50="ISCOM",cad!$J$13,IF($F50="IPAC",cad!$J$14,IF($F50="PIGIER",cad!$J$15,cad!$J$16)))))</f>
        <v/>
      </c>
      <c r="AD50" t="str">
        <f t="shared" si="1"/>
        <v/>
      </c>
      <c r="AE50" t="str">
        <f t="shared" si="2"/>
        <v/>
      </c>
      <c r="AF50" t="str">
        <f t="shared" si="3"/>
        <v/>
      </c>
      <c r="AG50" t="str">
        <f t="shared" si="4"/>
        <v/>
      </c>
      <c r="AH50" t="str">
        <f t="shared" si="5"/>
        <v/>
      </c>
    </row>
    <row r="51" spans="1:34" x14ac:dyDescent="0.45">
      <c r="A51" t="str">
        <f>IF(Moteur!D51="","",Moteur!D51)</f>
        <v/>
      </c>
      <c r="B51" t="str">
        <f>IF(Moteur!B51="","",Moteur!B51)</f>
        <v/>
      </c>
      <c r="C51" t="str">
        <f>IF(Moteur!F51="","",Moteur!F51)</f>
        <v/>
      </c>
      <c r="D51" t="str">
        <f>IF(Moteur!G51="","",Moteur!G51)</f>
        <v/>
      </c>
      <c r="E51" t="str">
        <f>IF(Moteur!H51="","",Moteur!H51)</f>
        <v/>
      </c>
      <c r="F51" t="str">
        <f>IF(Moteur!E51="","",Moteur!E51)</f>
        <v/>
      </c>
      <c r="G51" t="str">
        <f>IF($A51="","",SUMIFS(Allocation2!$H$1:$H$175,Allocation2!$C$1:$C$175,$A51,Allocation2!$D$1:$D$175,$C51,Allocation2!$E$1:$E$175,$D51,Allocation2!$F$1:$F$175,$E51,Allocation2!$G$1:$G$175,"2026"))</f>
        <v/>
      </c>
      <c r="H51" t="str">
        <f>IF($A51="","",SUMIFS(Allocation2!$N$1:$N$175,Allocation2!$C$1:$C$175,$A51,Allocation2!$D$1:$D$175,$C51,Allocation2!$E$1:$E$175,$D51,Allocation2!$F$1:$F$175,$E51,Allocation2!$G$1:$G$175,"2026"))</f>
        <v/>
      </c>
      <c r="I51" t="str">
        <f>IF($A51="","",SUMIFS(Allocation2!$P$1:$P$175,Allocation2!$C$1:$C$175,$A51,Allocation2!$D$1:$D$175,$C51,Allocation2!$E$1:$E$175,$D51,Allocation2!$F$1:$F$175,$E51,Allocation2!$G$1:$G$175,"2026"))</f>
        <v/>
      </c>
      <c r="J51" t="str">
        <f>IF($A51="","",SUMIFS(Allocation2!$W$1:$W$175,Allocation2!$C$1:$C$175,$A51,Allocation2!$D$1:$D$175,$C51,Allocation2!$E$1:$E$175,$D51,Allocation2!$F$1:$F$175,$E51,Allocation2!$G$1:$G$175,"2026"))</f>
        <v/>
      </c>
      <c r="K51" t="str">
        <f>IF($A51="","",SUMIFS(Allocation2!$X$1:$X$175,Allocation2!$C$1:$C$175,$A51,Allocation2!$D$1:$D$175,$C51,Allocation2!$E$1:$E$175,$D51,Allocation2!$F$1:$F$175,$E51,Allocation2!$G$1:$G$175,"2026"))</f>
        <v/>
      </c>
      <c r="L51" t="str">
        <f>IF($A51="","",SUMIFS(Allocation2!$Y$1:$Y$175,Allocation2!$C$1:$C$175,$A51,Allocation2!$D$1:$D$175,$C51,Allocation2!$E$1:$E$175,$D51,Allocation2!$F$1:$F$175,$E51,Allocation2!$G$1:$G$175,"2026"))</f>
        <v/>
      </c>
      <c r="M51" t="str">
        <f>IF($A51="","",SUMIFS(Allocation2!$V$1:$V$175,Allocation2!$C$1:$C$175,$A51,Allocation2!$D$1:$D$175,$C51,Allocation2!$E$1:$E$175,$D51,Allocation2!$F$1:$F$175,$E51,Allocation2!$G$1:$G$175,"2026"))</f>
        <v/>
      </c>
      <c r="N51" t="str">
        <f t="shared" si="0"/>
        <v/>
      </c>
      <c r="O51" t="str">
        <f>IF($A51="","",SUMIFS(Campagne!$D$1:$D$15,Campagne!$C$1:$C$15,$A51))</f>
        <v/>
      </c>
      <c r="P51" t="str">
        <f>IF($A51="","",SUMIFS(Campagne!$E$1:$E$15,Campagne!$C$1:$C$15,$A51))</f>
        <v/>
      </c>
      <c r="Q51" t="str">
        <f>IF($A51="","",SUMIFS(Campagne!$F$1:$F$15,Campagne!$C$1:$C$15,$A51))</f>
        <v/>
      </c>
      <c r="R51" t="str">
        <f>IF($A51="","",SUMIFS(Campagne!$K$1:$K$15,Campagne!$C$1:$C$15,$A51))</f>
        <v/>
      </c>
      <c r="S51" t="str">
        <f>IF($A51="","",SUMIFS(Campagne!$M$1:$M$15,Campagne!$C$1:$C$15,$A51))</f>
        <v/>
      </c>
      <c r="T51" t="str">
        <f>IF($A51="","",SUMIFS(PIL!$K$15:$K$28,PIL!$A$15:$A$28,$A51)*SUMIFS(PIL!$J$15:$J$28,PIL!$A$15:$A$28,$A51)*(SUM(PIL!$K$15:$K$28)/SUMPRODUCT(PIL!$K$15:$K$28,PIL!$J$15:$J$28)))</f>
        <v/>
      </c>
      <c r="U51" t="str">
        <f>IF($A51="","",SUMIFS(PIL!$K$15:$K$28,PIL!$A$15:$A$28,$A51))</f>
        <v/>
      </c>
      <c r="V51" t="str">
        <f>IF($A51="","",IF($B51="V01",cad!$C$23,IF($B51="V02",cad!$D$23,cad!$E$23)))</f>
        <v/>
      </c>
      <c r="W51" t="str">
        <f>IF($A51="","",IF($B51="V01",cad!$C$24,IF($B51="V02",cad!$D$24,cad!$E$24)))</f>
        <v/>
      </c>
      <c r="X51" t="str">
        <f>IF($A51="","",IF($B51="V01",cad!$C$25,IF($B51="V02",cad!$D$25,cad!$E$25)))</f>
        <v/>
      </c>
      <c r="Y51" t="str">
        <f>IF($A51="","",IF($B51="V01",cad!$C$26,IF($B51="V02",cad!$D$26,cad!$E$26)))</f>
        <v/>
      </c>
      <c r="Z51" t="str">
        <f>IF($A51="","",IF($B51="V01",cad!$C$27,IF($B51="V02",cad!$D$27,cad!$E$27)))</f>
        <v/>
      </c>
      <c r="AA51" t="str">
        <f>IF($A51="","",IF($B51="V01",cad!$C$28,IF($B51="V02",cad!$D$28,cad!$E$28)))</f>
        <v/>
      </c>
      <c r="AB51" t="str">
        <f>IF($A51="","",IF($B51="V01",cad!$C$39,IF($B51="V02",cad!$D$39,cad!$E$39)))</f>
        <v/>
      </c>
      <c r="AC51" t="str">
        <f>IF($A51="","",IF($F51="MBWAY",cad!$J$12,IF($F51="ISCOM",cad!$J$13,IF($F51="IPAC",cad!$J$14,IF($F51="PIGIER",cad!$J$15,cad!$J$16)))))</f>
        <v/>
      </c>
      <c r="AD51" t="str">
        <f t="shared" si="1"/>
        <v/>
      </c>
      <c r="AE51" t="str">
        <f t="shared" si="2"/>
        <v/>
      </c>
      <c r="AF51" t="str">
        <f t="shared" si="3"/>
        <v/>
      </c>
      <c r="AG51" t="str">
        <f t="shared" si="4"/>
        <v/>
      </c>
      <c r="AH51" t="str">
        <f t="shared" si="5"/>
        <v/>
      </c>
    </row>
    <row r="52" spans="1:34" x14ac:dyDescent="0.45">
      <c r="A52" t="str">
        <f>IF(Moteur!D52="","",Moteur!D52)</f>
        <v/>
      </c>
      <c r="B52" t="str">
        <f>IF(Moteur!B52="","",Moteur!B52)</f>
        <v/>
      </c>
      <c r="C52" t="str">
        <f>IF(Moteur!F52="","",Moteur!F52)</f>
        <v/>
      </c>
      <c r="D52" t="str">
        <f>IF(Moteur!G52="","",Moteur!G52)</f>
        <v/>
      </c>
      <c r="E52" t="str">
        <f>IF(Moteur!H52="","",Moteur!H52)</f>
        <v/>
      </c>
      <c r="F52" t="str">
        <f>IF(Moteur!E52="","",Moteur!E52)</f>
        <v/>
      </c>
      <c r="G52" t="str">
        <f>IF($A52="","",SUMIFS(Allocation2!$H$1:$H$175,Allocation2!$C$1:$C$175,$A52,Allocation2!$D$1:$D$175,$C52,Allocation2!$E$1:$E$175,$D52,Allocation2!$F$1:$F$175,$E52,Allocation2!$G$1:$G$175,"2026"))</f>
        <v/>
      </c>
      <c r="H52" t="str">
        <f>IF($A52="","",SUMIFS(Allocation2!$N$1:$N$175,Allocation2!$C$1:$C$175,$A52,Allocation2!$D$1:$D$175,$C52,Allocation2!$E$1:$E$175,$D52,Allocation2!$F$1:$F$175,$E52,Allocation2!$G$1:$G$175,"2026"))</f>
        <v/>
      </c>
      <c r="I52" t="str">
        <f>IF($A52="","",SUMIFS(Allocation2!$P$1:$P$175,Allocation2!$C$1:$C$175,$A52,Allocation2!$D$1:$D$175,$C52,Allocation2!$E$1:$E$175,$D52,Allocation2!$F$1:$F$175,$E52,Allocation2!$G$1:$G$175,"2026"))</f>
        <v/>
      </c>
      <c r="J52" t="str">
        <f>IF($A52="","",SUMIFS(Allocation2!$W$1:$W$175,Allocation2!$C$1:$C$175,$A52,Allocation2!$D$1:$D$175,$C52,Allocation2!$E$1:$E$175,$D52,Allocation2!$F$1:$F$175,$E52,Allocation2!$G$1:$G$175,"2026"))</f>
        <v/>
      </c>
      <c r="K52" t="str">
        <f>IF($A52="","",SUMIFS(Allocation2!$X$1:$X$175,Allocation2!$C$1:$C$175,$A52,Allocation2!$D$1:$D$175,$C52,Allocation2!$E$1:$E$175,$D52,Allocation2!$F$1:$F$175,$E52,Allocation2!$G$1:$G$175,"2026"))</f>
        <v/>
      </c>
      <c r="L52" t="str">
        <f>IF($A52="","",SUMIFS(Allocation2!$Y$1:$Y$175,Allocation2!$C$1:$C$175,$A52,Allocation2!$D$1:$D$175,$C52,Allocation2!$E$1:$E$175,$D52,Allocation2!$F$1:$F$175,$E52,Allocation2!$G$1:$G$175,"2026"))</f>
        <v/>
      </c>
      <c r="M52" t="str">
        <f>IF($A52="","",SUMIFS(Allocation2!$V$1:$V$175,Allocation2!$C$1:$C$175,$A52,Allocation2!$D$1:$D$175,$C52,Allocation2!$E$1:$E$175,$D52,Allocation2!$F$1:$F$175,$E52,Allocation2!$G$1:$G$175,"2026"))</f>
        <v/>
      </c>
      <c r="N52" t="str">
        <f t="shared" si="0"/>
        <v/>
      </c>
      <c r="O52" t="str">
        <f>IF($A52="","",SUMIFS(Campagne!$D$1:$D$15,Campagne!$C$1:$C$15,$A52))</f>
        <v/>
      </c>
      <c r="P52" t="str">
        <f>IF($A52="","",SUMIFS(Campagne!$E$1:$E$15,Campagne!$C$1:$C$15,$A52))</f>
        <v/>
      </c>
      <c r="Q52" t="str">
        <f>IF($A52="","",SUMIFS(Campagne!$F$1:$F$15,Campagne!$C$1:$C$15,$A52))</f>
        <v/>
      </c>
      <c r="R52" t="str">
        <f>IF($A52="","",SUMIFS(Campagne!$K$1:$K$15,Campagne!$C$1:$C$15,$A52))</f>
        <v/>
      </c>
      <c r="S52" t="str">
        <f>IF($A52="","",SUMIFS(Campagne!$M$1:$M$15,Campagne!$C$1:$C$15,$A52))</f>
        <v/>
      </c>
      <c r="T52" t="str">
        <f>IF($A52="","",SUMIFS(PIL!$K$15:$K$28,PIL!$A$15:$A$28,$A52)*SUMIFS(PIL!$J$15:$J$28,PIL!$A$15:$A$28,$A52)*(SUM(PIL!$K$15:$K$28)/SUMPRODUCT(PIL!$K$15:$K$28,PIL!$J$15:$J$28)))</f>
        <v/>
      </c>
      <c r="U52" t="str">
        <f>IF($A52="","",SUMIFS(PIL!$K$15:$K$28,PIL!$A$15:$A$28,$A52))</f>
        <v/>
      </c>
      <c r="V52" t="str">
        <f>IF($A52="","",IF($B52="V01",cad!$C$23,IF($B52="V02",cad!$D$23,cad!$E$23)))</f>
        <v/>
      </c>
      <c r="W52" t="str">
        <f>IF($A52="","",IF($B52="V01",cad!$C$24,IF($B52="V02",cad!$D$24,cad!$E$24)))</f>
        <v/>
      </c>
      <c r="X52" t="str">
        <f>IF($A52="","",IF($B52="V01",cad!$C$25,IF($B52="V02",cad!$D$25,cad!$E$25)))</f>
        <v/>
      </c>
      <c r="Y52" t="str">
        <f>IF($A52="","",IF($B52="V01",cad!$C$26,IF($B52="V02",cad!$D$26,cad!$E$26)))</f>
        <v/>
      </c>
      <c r="Z52" t="str">
        <f>IF($A52="","",IF($B52="V01",cad!$C$27,IF($B52="V02",cad!$D$27,cad!$E$27)))</f>
        <v/>
      </c>
      <c r="AA52" t="str">
        <f>IF($A52="","",IF($B52="V01",cad!$C$28,IF($B52="V02",cad!$D$28,cad!$E$28)))</f>
        <v/>
      </c>
      <c r="AB52" t="str">
        <f>IF($A52="","",IF($B52="V01",cad!$C$39,IF($B52="V02",cad!$D$39,cad!$E$39)))</f>
        <v/>
      </c>
      <c r="AC52" t="str">
        <f>IF($A52="","",IF($F52="MBWAY",cad!$J$12,IF($F52="ISCOM",cad!$J$13,IF($F52="IPAC",cad!$J$14,IF($F52="PIGIER",cad!$J$15,cad!$J$16)))))</f>
        <v/>
      </c>
      <c r="AD52" t="str">
        <f t="shared" si="1"/>
        <v/>
      </c>
      <c r="AE52" t="str">
        <f t="shared" si="2"/>
        <v/>
      </c>
      <c r="AF52" t="str">
        <f t="shared" si="3"/>
        <v/>
      </c>
      <c r="AG52" t="str">
        <f t="shared" si="4"/>
        <v/>
      </c>
      <c r="AH52" t="str">
        <f t="shared" si="5"/>
        <v/>
      </c>
    </row>
    <row r="53" spans="1:34" x14ac:dyDescent="0.45">
      <c r="A53" t="str">
        <f>IF(Moteur!D53="","",Moteur!D53)</f>
        <v/>
      </c>
      <c r="B53" t="str">
        <f>IF(Moteur!B53="","",Moteur!B53)</f>
        <v/>
      </c>
      <c r="C53" t="str">
        <f>IF(Moteur!F53="","",Moteur!F53)</f>
        <v/>
      </c>
      <c r="D53" t="str">
        <f>IF(Moteur!G53="","",Moteur!G53)</f>
        <v/>
      </c>
      <c r="E53" t="str">
        <f>IF(Moteur!H53="","",Moteur!H53)</f>
        <v/>
      </c>
      <c r="F53" t="str">
        <f>IF(Moteur!E53="","",Moteur!E53)</f>
        <v/>
      </c>
      <c r="G53" t="str">
        <f>IF($A53="","",SUMIFS(Allocation2!$H$1:$H$175,Allocation2!$C$1:$C$175,$A53,Allocation2!$D$1:$D$175,$C53,Allocation2!$E$1:$E$175,$D53,Allocation2!$F$1:$F$175,$E53,Allocation2!$G$1:$G$175,"2026"))</f>
        <v/>
      </c>
      <c r="H53" t="str">
        <f>IF($A53="","",SUMIFS(Allocation2!$N$1:$N$175,Allocation2!$C$1:$C$175,$A53,Allocation2!$D$1:$D$175,$C53,Allocation2!$E$1:$E$175,$D53,Allocation2!$F$1:$F$175,$E53,Allocation2!$G$1:$G$175,"2026"))</f>
        <v/>
      </c>
      <c r="I53" t="str">
        <f>IF($A53="","",SUMIFS(Allocation2!$P$1:$P$175,Allocation2!$C$1:$C$175,$A53,Allocation2!$D$1:$D$175,$C53,Allocation2!$E$1:$E$175,$D53,Allocation2!$F$1:$F$175,$E53,Allocation2!$G$1:$G$175,"2026"))</f>
        <v/>
      </c>
      <c r="J53" t="str">
        <f>IF($A53="","",SUMIFS(Allocation2!$W$1:$W$175,Allocation2!$C$1:$C$175,$A53,Allocation2!$D$1:$D$175,$C53,Allocation2!$E$1:$E$175,$D53,Allocation2!$F$1:$F$175,$E53,Allocation2!$G$1:$G$175,"2026"))</f>
        <v/>
      </c>
      <c r="K53" t="str">
        <f>IF($A53="","",SUMIFS(Allocation2!$X$1:$X$175,Allocation2!$C$1:$C$175,$A53,Allocation2!$D$1:$D$175,$C53,Allocation2!$E$1:$E$175,$D53,Allocation2!$F$1:$F$175,$E53,Allocation2!$G$1:$G$175,"2026"))</f>
        <v/>
      </c>
      <c r="L53" t="str">
        <f>IF($A53="","",SUMIFS(Allocation2!$Y$1:$Y$175,Allocation2!$C$1:$C$175,$A53,Allocation2!$D$1:$D$175,$C53,Allocation2!$E$1:$E$175,$D53,Allocation2!$F$1:$F$175,$E53,Allocation2!$G$1:$G$175,"2026"))</f>
        <v/>
      </c>
      <c r="M53" t="str">
        <f>IF($A53="","",SUMIFS(Allocation2!$V$1:$V$175,Allocation2!$C$1:$C$175,$A53,Allocation2!$D$1:$D$175,$C53,Allocation2!$E$1:$E$175,$D53,Allocation2!$F$1:$F$175,$E53,Allocation2!$G$1:$G$175,"2026"))</f>
        <v/>
      </c>
      <c r="N53" t="str">
        <f t="shared" si="0"/>
        <v/>
      </c>
      <c r="O53" t="str">
        <f>IF($A53="","",SUMIFS(Campagne!$D$1:$D$15,Campagne!$C$1:$C$15,$A53))</f>
        <v/>
      </c>
      <c r="P53" t="str">
        <f>IF($A53="","",SUMIFS(Campagne!$E$1:$E$15,Campagne!$C$1:$C$15,$A53))</f>
        <v/>
      </c>
      <c r="Q53" t="str">
        <f>IF($A53="","",SUMIFS(Campagne!$F$1:$F$15,Campagne!$C$1:$C$15,$A53))</f>
        <v/>
      </c>
      <c r="R53" t="str">
        <f>IF($A53="","",SUMIFS(Campagne!$K$1:$K$15,Campagne!$C$1:$C$15,$A53))</f>
        <v/>
      </c>
      <c r="S53" t="str">
        <f>IF($A53="","",SUMIFS(Campagne!$M$1:$M$15,Campagne!$C$1:$C$15,$A53))</f>
        <v/>
      </c>
      <c r="T53" t="str">
        <f>IF($A53="","",SUMIFS(PIL!$K$15:$K$28,PIL!$A$15:$A$28,$A53)*SUMIFS(PIL!$J$15:$J$28,PIL!$A$15:$A$28,$A53)*(SUM(PIL!$K$15:$K$28)/SUMPRODUCT(PIL!$K$15:$K$28,PIL!$J$15:$J$28)))</f>
        <v/>
      </c>
      <c r="U53" t="str">
        <f>IF($A53="","",SUMIFS(PIL!$K$15:$K$28,PIL!$A$15:$A$28,$A53))</f>
        <v/>
      </c>
      <c r="V53" t="str">
        <f>IF($A53="","",IF($B53="V01",cad!$C$23,IF($B53="V02",cad!$D$23,cad!$E$23)))</f>
        <v/>
      </c>
      <c r="W53" t="str">
        <f>IF($A53="","",IF($B53="V01",cad!$C$24,IF($B53="V02",cad!$D$24,cad!$E$24)))</f>
        <v/>
      </c>
      <c r="X53" t="str">
        <f>IF($A53="","",IF($B53="V01",cad!$C$25,IF($B53="V02",cad!$D$25,cad!$E$25)))</f>
        <v/>
      </c>
      <c r="Y53" t="str">
        <f>IF($A53="","",IF($B53="V01",cad!$C$26,IF($B53="V02",cad!$D$26,cad!$E$26)))</f>
        <v/>
      </c>
      <c r="Z53" t="str">
        <f>IF($A53="","",IF($B53="V01",cad!$C$27,IF($B53="V02",cad!$D$27,cad!$E$27)))</f>
        <v/>
      </c>
      <c r="AA53" t="str">
        <f>IF($A53="","",IF($B53="V01",cad!$C$28,IF($B53="V02",cad!$D$28,cad!$E$28)))</f>
        <v/>
      </c>
      <c r="AB53" t="str">
        <f>IF($A53="","",IF($B53="V01",cad!$C$39,IF($B53="V02",cad!$D$39,cad!$E$39)))</f>
        <v/>
      </c>
      <c r="AC53" t="str">
        <f>IF($A53="","",IF($F53="MBWAY",cad!$J$12,IF($F53="ISCOM",cad!$J$13,IF($F53="IPAC",cad!$J$14,IF($F53="PIGIER",cad!$J$15,cad!$J$16)))))</f>
        <v/>
      </c>
      <c r="AD53" t="str">
        <f t="shared" si="1"/>
        <v/>
      </c>
      <c r="AE53" t="str">
        <f t="shared" si="2"/>
        <v/>
      </c>
      <c r="AF53" t="str">
        <f t="shared" si="3"/>
        <v/>
      </c>
      <c r="AG53" t="str">
        <f t="shared" si="4"/>
        <v/>
      </c>
      <c r="AH53" t="str">
        <f t="shared" si="5"/>
        <v/>
      </c>
    </row>
    <row r="54" spans="1:34" x14ac:dyDescent="0.45">
      <c r="A54" t="str">
        <f>IF(Moteur!D54="","",Moteur!D54)</f>
        <v/>
      </c>
      <c r="B54" t="str">
        <f>IF(Moteur!B54="","",Moteur!B54)</f>
        <v/>
      </c>
      <c r="C54" t="str">
        <f>IF(Moteur!F54="","",Moteur!F54)</f>
        <v/>
      </c>
      <c r="D54" t="str">
        <f>IF(Moteur!G54="","",Moteur!G54)</f>
        <v/>
      </c>
      <c r="E54" t="str">
        <f>IF(Moteur!H54="","",Moteur!H54)</f>
        <v/>
      </c>
      <c r="F54" t="str">
        <f>IF(Moteur!E54="","",Moteur!E54)</f>
        <v/>
      </c>
      <c r="G54" t="str">
        <f>IF($A54="","",SUMIFS(Allocation2!$H$1:$H$175,Allocation2!$C$1:$C$175,$A54,Allocation2!$D$1:$D$175,$C54,Allocation2!$E$1:$E$175,$D54,Allocation2!$F$1:$F$175,$E54,Allocation2!$G$1:$G$175,"2026"))</f>
        <v/>
      </c>
      <c r="H54" t="str">
        <f>IF($A54="","",SUMIFS(Allocation2!$N$1:$N$175,Allocation2!$C$1:$C$175,$A54,Allocation2!$D$1:$D$175,$C54,Allocation2!$E$1:$E$175,$D54,Allocation2!$F$1:$F$175,$E54,Allocation2!$G$1:$G$175,"2026"))</f>
        <v/>
      </c>
      <c r="I54" t="str">
        <f>IF($A54="","",SUMIFS(Allocation2!$P$1:$P$175,Allocation2!$C$1:$C$175,$A54,Allocation2!$D$1:$D$175,$C54,Allocation2!$E$1:$E$175,$D54,Allocation2!$F$1:$F$175,$E54,Allocation2!$G$1:$G$175,"2026"))</f>
        <v/>
      </c>
      <c r="J54" t="str">
        <f>IF($A54="","",SUMIFS(Allocation2!$W$1:$W$175,Allocation2!$C$1:$C$175,$A54,Allocation2!$D$1:$D$175,$C54,Allocation2!$E$1:$E$175,$D54,Allocation2!$F$1:$F$175,$E54,Allocation2!$G$1:$G$175,"2026"))</f>
        <v/>
      </c>
      <c r="K54" t="str">
        <f>IF($A54="","",SUMIFS(Allocation2!$X$1:$X$175,Allocation2!$C$1:$C$175,$A54,Allocation2!$D$1:$D$175,$C54,Allocation2!$E$1:$E$175,$D54,Allocation2!$F$1:$F$175,$E54,Allocation2!$G$1:$G$175,"2026"))</f>
        <v/>
      </c>
      <c r="L54" t="str">
        <f>IF($A54="","",SUMIFS(Allocation2!$Y$1:$Y$175,Allocation2!$C$1:$C$175,$A54,Allocation2!$D$1:$D$175,$C54,Allocation2!$E$1:$E$175,$D54,Allocation2!$F$1:$F$175,$E54,Allocation2!$G$1:$G$175,"2026"))</f>
        <v/>
      </c>
      <c r="M54" t="str">
        <f>IF($A54="","",SUMIFS(Allocation2!$V$1:$V$175,Allocation2!$C$1:$C$175,$A54,Allocation2!$D$1:$D$175,$C54,Allocation2!$E$1:$E$175,$D54,Allocation2!$F$1:$F$175,$E54,Allocation2!$G$1:$G$175,"2026"))</f>
        <v/>
      </c>
      <c r="N54" t="str">
        <f t="shared" si="0"/>
        <v/>
      </c>
      <c r="O54" t="str">
        <f>IF($A54="","",SUMIFS(Campagne!$D$1:$D$15,Campagne!$C$1:$C$15,$A54))</f>
        <v/>
      </c>
      <c r="P54" t="str">
        <f>IF($A54="","",SUMIFS(Campagne!$E$1:$E$15,Campagne!$C$1:$C$15,$A54))</f>
        <v/>
      </c>
      <c r="Q54" t="str">
        <f>IF($A54="","",SUMIFS(Campagne!$F$1:$F$15,Campagne!$C$1:$C$15,$A54))</f>
        <v/>
      </c>
      <c r="R54" t="str">
        <f>IF($A54="","",SUMIFS(Campagne!$K$1:$K$15,Campagne!$C$1:$C$15,$A54))</f>
        <v/>
      </c>
      <c r="S54" t="str">
        <f>IF($A54="","",SUMIFS(Campagne!$M$1:$M$15,Campagne!$C$1:$C$15,$A54))</f>
        <v/>
      </c>
      <c r="T54" t="str">
        <f>IF($A54="","",SUMIFS(PIL!$K$15:$K$28,PIL!$A$15:$A$28,$A54)*SUMIFS(PIL!$J$15:$J$28,PIL!$A$15:$A$28,$A54)*(SUM(PIL!$K$15:$K$28)/SUMPRODUCT(PIL!$K$15:$K$28,PIL!$J$15:$J$28)))</f>
        <v/>
      </c>
      <c r="U54" t="str">
        <f>IF($A54="","",SUMIFS(PIL!$K$15:$K$28,PIL!$A$15:$A$28,$A54))</f>
        <v/>
      </c>
      <c r="V54" t="str">
        <f>IF($A54="","",IF($B54="V01",cad!$C$23,IF($B54="V02",cad!$D$23,cad!$E$23)))</f>
        <v/>
      </c>
      <c r="W54" t="str">
        <f>IF($A54="","",IF($B54="V01",cad!$C$24,IF($B54="V02",cad!$D$24,cad!$E$24)))</f>
        <v/>
      </c>
      <c r="X54" t="str">
        <f>IF($A54="","",IF($B54="V01",cad!$C$25,IF($B54="V02",cad!$D$25,cad!$E$25)))</f>
        <v/>
      </c>
      <c r="Y54" t="str">
        <f>IF($A54="","",IF($B54="V01",cad!$C$26,IF($B54="V02",cad!$D$26,cad!$E$26)))</f>
        <v/>
      </c>
      <c r="Z54" t="str">
        <f>IF($A54="","",IF($B54="V01",cad!$C$27,IF($B54="V02",cad!$D$27,cad!$E$27)))</f>
        <v/>
      </c>
      <c r="AA54" t="str">
        <f>IF($A54="","",IF($B54="V01",cad!$C$28,IF($B54="V02",cad!$D$28,cad!$E$28)))</f>
        <v/>
      </c>
      <c r="AB54" t="str">
        <f>IF($A54="","",IF($B54="V01",cad!$C$39,IF($B54="V02",cad!$D$39,cad!$E$39)))</f>
        <v/>
      </c>
      <c r="AC54" t="str">
        <f>IF($A54="","",IF($F54="MBWAY",cad!$J$12,IF($F54="ISCOM",cad!$J$13,IF($F54="IPAC",cad!$J$14,IF($F54="PIGIER",cad!$J$15,cad!$J$16)))))</f>
        <v/>
      </c>
      <c r="AD54" t="str">
        <f t="shared" si="1"/>
        <v/>
      </c>
      <c r="AE54" t="str">
        <f t="shared" si="2"/>
        <v/>
      </c>
      <c r="AF54" t="str">
        <f t="shared" si="3"/>
        <v/>
      </c>
      <c r="AG54" t="str">
        <f t="shared" si="4"/>
        <v/>
      </c>
      <c r="AH54" t="str">
        <f t="shared" si="5"/>
        <v/>
      </c>
    </row>
    <row r="55" spans="1:34" x14ac:dyDescent="0.45">
      <c r="A55" t="str">
        <f>IF(Moteur!D55="","",Moteur!D55)</f>
        <v/>
      </c>
      <c r="B55" t="str">
        <f>IF(Moteur!B55="","",Moteur!B55)</f>
        <v/>
      </c>
      <c r="C55" t="str">
        <f>IF(Moteur!F55="","",Moteur!F55)</f>
        <v/>
      </c>
      <c r="D55" t="str">
        <f>IF(Moteur!G55="","",Moteur!G55)</f>
        <v/>
      </c>
      <c r="E55" t="str">
        <f>IF(Moteur!H55="","",Moteur!H55)</f>
        <v/>
      </c>
      <c r="F55" t="str">
        <f>IF(Moteur!E55="","",Moteur!E55)</f>
        <v/>
      </c>
      <c r="G55" t="str">
        <f>IF($A55="","",SUMIFS(Allocation2!$H$1:$H$175,Allocation2!$C$1:$C$175,$A55,Allocation2!$D$1:$D$175,$C55,Allocation2!$E$1:$E$175,$D55,Allocation2!$F$1:$F$175,$E55,Allocation2!$G$1:$G$175,"2026"))</f>
        <v/>
      </c>
      <c r="H55" t="str">
        <f>IF($A55="","",SUMIFS(Allocation2!$N$1:$N$175,Allocation2!$C$1:$C$175,$A55,Allocation2!$D$1:$D$175,$C55,Allocation2!$E$1:$E$175,$D55,Allocation2!$F$1:$F$175,$E55,Allocation2!$G$1:$G$175,"2026"))</f>
        <v/>
      </c>
      <c r="I55" t="str">
        <f>IF($A55="","",SUMIFS(Allocation2!$P$1:$P$175,Allocation2!$C$1:$C$175,$A55,Allocation2!$D$1:$D$175,$C55,Allocation2!$E$1:$E$175,$D55,Allocation2!$F$1:$F$175,$E55,Allocation2!$G$1:$G$175,"2026"))</f>
        <v/>
      </c>
      <c r="J55" t="str">
        <f>IF($A55="","",SUMIFS(Allocation2!$W$1:$W$175,Allocation2!$C$1:$C$175,$A55,Allocation2!$D$1:$D$175,$C55,Allocation2!$E$1:$E$175,$D55,Allocation2!$F$1:$F$175,$E55,Allocation2!$G$1:$G$175,"2026"))</f>
        <v/>
      </c>
      <c r="K55" t="str">
        <f>IF($A55="","",SUMIFS(Allocation2!$X$1:$X$175,Allocation2!$C$1:$C$175,$A55,Allocation2!$D$1:$D$175,$C55,Allocation2!$E$1:$E$175,$D55,Allocation2!$F$1:$F$175,$E55,Allocation2!$G$1:$G$175,"2026"))</f>
        <v/>
      </c>
      <c r="L55" t="str">
        <f>IF($A55="","",SUMIFS(Allocation2!$Y$1:$Y$175,Allocation2!$C$1:$C$175,$A55,Allocation2!$D$1:$D$175,$C55,Allocation2!$E$1:$E$175,$D55,Allocation2!$F$1:$F$175,$E55,Allocation2!$G$1:$G$175,"2026"))</f>
        <v/>
      </c>
      <c r="M55" t="str">
        <f>IF($A55="","",SUMIFS(Allocation2!$V$1:$V$175,Allocation2!$C$1:$C$175,$A55,Allocation2!$D$1:$D$175,$C55,Allocation2!$E$1:$E$175,$D55,Allocation2!$F$1:$F$175,$E55,Allocation2!$G$1:$G$175,"2026"))</f>
        <v/>
      </c>
      <c r="N55" t="str">
        <f t="shared" si="0"/>
        <v/>
      </c>
      <c r="O55" t="str">
        <f>IF($A55="","",SUMIFS(Campagne!$D$1:$D$15,Campagne!$C$1:$C$15,$A55))</f>
        <v/>
      </c>
      <c r="P55" t="str">
        <f>IF($A55="","",SUMIFS(Campagne!$E$1:$E$15,Campagne!$C$1:$C$15,$A55))</f>
        <v/>
      </c>
      <c r="Q55" t="str">
        <f>IF($A55="","",SUMIFS(Campagne!$F$1:$F$15,Campagne!$C$1:$C$15,$A55))</f>
        <v/>
      </c>
      <c r="R55" t="str">
        <f>IF($A55="","",SUMIFS(Campagne!$K$1:$K$15,Campagne!$C$1:$C$15,$A55))</f>
        <v/>
      </c>
      <c r="S55" t="str">
        <f>IF($A55="","",SUMIFS(Campagne!$M$1:$M$15,Campagne!$C$1:$C$15,$A55))</f>
        <v/>
      </c>
      <c r="T55" t="str">
        <f>IF($A55="","",SUMIFS(PIL!$K$15:$K$28,PIL!$A$15:$A$28,$A55)*SUMIFS(PIL!$J$15:$J$28,PIL!$A$15:$A$28,$A55)*(SUM(PIL!$K$15:$K$28)/SUMPRODUCT(PIL!$K$15:$K$28,PIL!$J$15:$J$28)))</f>
        <v/>
      </c>
      <c r="U55" t="str">
        <f>IF($A55="","",SUMIFS(PIL!$K$15:$K$28,PIL!$A$15:$A$28,$A55))</f>
        <v/>
      </c>
      <c r="V55" t="str">
        <f>IF($A55="","",IF($B55="V01",cad!$C$23,IF($B55="V02",cad!$D$23,cad!$E$23)))</f>
        <v/>
      </c>
      <c r="W55" t="str">
        <f>IF($A55="","",IF($B55="V01",cad!$C$24,IF($B55="V02",cad!$D$24,cad!$E$24)))</f>
        <v/>
      </c>
      <c r="X55" t="str">
        <f>IF($A55="","",IF($B55="V01",cad!$C$25,IF($B55="V02",cad!$D$25,cad!$E$25)))</f>
        <v/>
      </c>
      <c r="Y55" t="str">
        <f>IF($A55="","",IF($B55="V01",cad!$C$26,IF($B55="V02",cad!$D$26,cad!$E$26)))</f>
        <v/>
      </c>
      <c r="Z55" t="str">
        <f>IF($A55="","",IF($B55="V01",cad!$C$27,IF($B55="V02",cad!$D$27,cad!$E$27)))</f>
        <v/>
      </c>
      <c r="AA55" t="str">
        <f>IF($A55="","",IF($B55="V01",cad!$C$28,IF($B55="V02",cad!$D$28,cad!$E$28)))</f>
        <v/>
      </c>
      <c r="AB55" t="str">
        <f>IF($A55="","",IF($B55="V01",cad!$C$39,IF($B55="V02",cad!$D$39,cad!$E$39)))</f>
        <v/>
      </c>
      <c r="AC55" t="str">
        <f>IF($A55="","",IF($F55="MBWAY",cad!$J$12,IF($F55="ISCOM",cad!$J$13,IF($F55="IPAC",cad!$J$14,IF($F55="PIGIER",cad!$J$15,cad!$J$16)))))</f>
        <v/>
      </c>
      <c r="AD55" t="str">
        <f t="shared" si="1"/>
        <v/>
      </c>
      <c r="AE55" t="str">
        <f t="shared" si="2"/>
        <v/>
      </c>
      <c r="AF55" t="str">
        <f t="shared" si="3"/>
        <v/>
      </c>
      <c r="AG55" t="str">
        <f t="shared" si="4"/>
        <v/>
      </c>
      <c r="AH55" t="str">
        <f t="shared" si="5"/>
        <v/>
      </c>
    </row>
    <row r="56" spans="1:34" x14ac:dyDescent="0.45">
      <c r="A56" t="str">
        <f>IF(Moteur!D56="","",Moteur!D56)</f>
        <v/>
      </c>
      <c r="B56" t="str">
        <f>IF(Moteur!B56="","",Moteur!B56)</f>
        <v/>
      </c>
      <c r="C56" t="str">
        <f>IF(Moteur!F56="","",Moteur!F56)</f>
        <v/>
      </c>
      <c r="D56" t="str">
        <f>IF(Moteur!G56="","",Moteur!G56)</f>
        <v/>
      </c>
      <c r="E56" t="str">
        <f>IF(Moteur!H56="","",Moteur!H56)</f>
        <v/>
      </c>
      <c r="F56" t="str">
        <f>IF(Moteur!E56="","",Moteur!E56)</f>
        <v/>
      </c>
      <c r="G56" t="str">
        <f>IF($A56="","",SUMIFS(Allocation2!$H$1:$H$175,Allocation2!$C$1:$C$175,$A56,Allocation2!$D$1:$D$175,$C56,Allocation2!$E$1:$E$175,$D56,Allocation2!$F$1:$F$175,$E56,Allocation2!$G$1:$G$175,"2026"))</f>
        <v/>
      </c>
      <c r="H56" t="str">
        <f>IF($A56="","",SUMIFS(Allocation2!$N$1:$N$175,Allocation2!$C$1:$C$175,$A56,Allocation2!$D$1:$D$175,$C56,Allocation2!$E$1:$E$175,$D56,Allocation2!$F$1:$F$175,$E56,Allocation2!$G$1:$G$175,"2026"))</f>
        <v/>
      </c>
      <c r="I56" t="str">
        <f>IF($A56="","",SUMIFS(Allocation2!$P$1:$P$175,Allocation2!$C$1:$C$175,$A56,Allocation2!$D$1:$D$175,$C56,Allocation2!$E$1:$E$175,$D56,Allocation2!$F$1:$F$175,$E56,Allocation2!$G$1:$G$175,"2026"))</f>
        <v/>
      </c>
      <c r="J56" t="str">
        <f>IF($A56="","",SUMIFS(Allocation2!$W$1:$W$175,Allocation2!$C$1:$C$175,$A56,Allocation2!$D$1:$D$175,$C56,Allocation2!$E$1:$E$175,$D56,Allocation2!$F$1:$F$175,$E56,Allocation2!$G$1:$G$175,"2026"))</f>
        <v/>
      </c>
      <c r="K56" t="str">
        <f>IF($A56="","",SUMIFS(Allocation2!$X$1:$X$175,Allocation2!$C$1:$C$175,$A56,Allocation2!$D$1:$D$175,$C56,Allocation2!$E$1:$E$175,$D56,Allocation2!$F$1:$F$175,$E56,Allocation2!$G$1:$G$175,"2026"))</f>
        <v/>
      </c>
      <c r="L56" t="str">
        <f>IF($A56="","",SUMIFS(Allocation2!$Y$1:$Y$175,Allocation2!$C$1:$C$175,$A56,Allocation2!$D$1:$D$175,$C56,Allocation2!$E$1:$E$175,$D56,Allocation2!$F$1:$F$175,$E56,Allocation2!$G$1:$G$175,"2026"))</f>
        <v/>
      </c>
      <c r="M56" t="str">
        <f>IF($A56="","",SUMIFS(Allocation2!$V$1:$V$175,Allocation2!$C$1:$C$175,$A56,Allocation2!$D$1:$D$175,$C56,Allocation2!$E$1:$E$175,$D56,Allocation2!$F$1:$F$175,$E56,Allocation2!$G$1:$G$175,"2026"))</f>
        <v/>
      </c>
      <c r="N56" t="str">
        <f t="shared" si="0"/>
        <v/>
      </c>
      <c r="O56" t="str">
        <f>IF($A56="","",SUMIFS(Campagne!$D$1:$D$15,Campagne!$C$1:$C$15,$A56))</f>
        <v/>
      </c>
      <c r="P56" t="str">
        <f>IF($A56="","",SUMIFS(Campagne!$E$1:$E$15,Campagne!$C$1:$C$15,$A56))</f>
        <v/>
      </c>
      <c r="Q56" t="str">
        <f>IF($A56="","",SUMIFS(Campagne!$F$1:$F$15,Campagne!$C$1:$C$15,$A56))</f>
        <v/>
      </c>
      <c r="R56" t="str">
        <f>IF($A56="","",SUMIFS(Campagne!$K$1:$K$15,Campagne!$C$1:$C$15,$A56))</f>
        <v/>
      </c>
      <c r="S56" t="str">
        <f>IF($A56="","",SUMIFS(Campagne!$M$1:$M$15,Campagne!$C$1:$C$15,$A56))</f>
        <v/>
      </c>
      <c r="T56" t="str">
        <f>IF($A56="","",SUMIFS(PIL!$K$15:$K$28,PIL!$A$15:$A$28,$A56)*SUMIFS(PIL!$J$15:$J$28,PIL!$A$15:$A$28,$A56)*(SUM(PIL!$K$15:$K$28)/SUMPRODUCT(PIL!$K$15:$K$28,PIL!$J$15:$J$28)))</f>
        <v/>
      </c>
      <c r="U56" t="str">
        <f>IF($A56="","",SUMIFS(PIL!$K$15:$K$28,PIL!$A$15:$A$28,$A56))</f>
        <v/>
      </c>
      <c r="V56" t="str">
        <f>IF($A56="","",IF($B56="V01",cad!$C$23,IF($B56="V02",cad!$D$23,cad!$E$23)))</f>
        <v/>
      </c>
      <c r="W56" t="str">
        <f>IF($A56="","",IF($B56="V01",cad!$C$24,IF($B56="V02",cad!$D$24,cad!$E$24)))</f>
        <v/>
      </c>
      <c r="X56" t="str">
        <f>IF($A56="","",IF($B56="V01",cad!$C$25,IF($B56="V02",cad!$D$25,cad!$E$25)))</f>
        <v/>
      </c>
      <c r="Y56" t="str">
        <f>IF($A56="","",IF($B56="V01",cad!$C$26,IF($B56="V02",cad!$D$26,cad!$E$26)))</f>
        <v/>
      </c>
      <c r="Z56" t="str">
        <f>IF($A56="","",IF($B56="V01",cad!$C$27,IF($B56="V02",cad!$D$27,cad!$E$27)))</f>
        <v/>
      </c>
      <c r="AA56" t="str">
        <f>IF($A56="","",IF($B56="V01",cad!$C$28,IF($B56="V02",cad!$D$28,cad!$E$28)))</f>
        <v/>
      </c>
      <c r="AB56" t="str">
        <f>IF($A56="","",IF($B56="V01",cad!$C$39,IF($B56="V02",cad!$D$39,cad!$E$39)))</f>
        <v/>
      </c>
      <c r="AC56" t="str">
        <f>IF($A56="","",IF($F56="MBWAY",cad!$J$12,IF($F56="ISCOM",cad!$J$13,IF($F56="IPAC",cad!$J$14,IF($F56="PIGIER",cad!$J$15,cad!$J$16)))))</f>
        <v/>
      </c>
      <c r="AD56" t="str">
        <f t="shared" si="1"/>
        <v/>
      </c>
      <c r="AE56" t="str">
        <f t="shared" si="2"/>
        <v/>
      </c>
      <c r="AF56" t="str">
        <f t="shared" si="3"/>
        <v/>
      </c>
      <c r="AG56" t="str">
        <f t="shared" si="4"/>
        <v/>
      </c>
      <c r="AH56" t="str">
        <f t="shared" si="5"/>
        <v/>
      </c>
    </row>
    <row r="57" spans="1:34" x14ac:dyDescent="0.45">
      <c r="A57" t="str">
        <f>IF(Moteur!D57="","",Moteur!D57)</f>
        <v/>
      </c>
      <c r="B57" t="str">
        <f>IF(Moteur!B57="","",Moteur!B57)</f>
        <v/>
      </c>
      <c r="C57" t="str">
        <f>IF(Moteur!F57="","",Moteur!F57)</f>
        <v/>
      </c>
      <c r="D57" t="str">
        <f>IF(Moteur!G57="","",Moteur!G57)</f>
        <v/>
      </c>
      <c r="E57" t="str">
        <f>IF(Moteur!H57="","",Moteur!H57)</f>
        <v/>
      </c>
      <c r="F57" t="str">
        <f>IF(Moteur!E57="","",Moteur!E57)</f>
        <v/>
      </c>
      <c r="G57" t="str">
        <f>IF($A57="","",SUMIFS(Allocation2!$H$1:$H$175,Allocation2!$C$1:$C$175,$A57,Allocation2!$D$1:$D$175,$C57,Allocation2!$E$1:$E$175,$D57,Allocation2!$F$1:$F$175,$E57,Allocation2!$G$1:$G$175,"2026"))</f>
        <v/>
      </c>
      <c r="H57" t="str">
        <f>IF($A57="","",SUMIFS(Allocation2!$N$1:$N$175,Allocation2!$C$1:$C$175,$A57,Allocation2!$D$1:$D$175,$C57,Allocation2!$E$1:$E$175,$D57,Allocation2!$F$1:$F$175,$E57,Allocation2!$G$1:$G$175,"2026"))</f>
        <v/>
      </c>
      <c r="I57" t="str">
        <f>IF($A57="","",SUMIFS(Allocation2!$P$1:$P$175,Allocation2!$C$1:$C$175,$A57,Allocation2!$D$1:$D$175,$C57,Allocation2!$E$1:$E$175,$D57,Allocation2!$F$1:$F$175,$E57,Allocation2!$G$1:$G$175,"2026"))</f>
        <v/>
      </c>
      <c r="J57" t="str">
        <f>IF($A57="","",SUMIFS(Allocation2!$W$1:$W$175,Allocation2!$C$1:$C$175,$A57,Allocation2!$D$1:$D$175,$C57,Allocation2!$E$1:$E$175,$D57,Allocation2!$F$1:$F$175,$E57,Allocation2!$G$1:$G$175,"2026"))</f>
        <v/>
      </c>
      <c r="K57" t="str">
        <f>IF($A57="","",SUMIFS(Allocation2!$X$1:$X$175,Allocation2!$C$1:$C$175,$A57,Allocation2!$D$1:$D$175,$C57,Allocation2!$E$1:$E$175,$D57,Allocation2!$F$1:$F$175,$E57,Allocation2!$G$1:$G$175,"2026"))</f>
        <v/>
      </c>
      <c r="L57" t="str">
        <f>IF($A57="","",SUMIFS(Allocation2!$Y$1:$Y$175,Allocation2!$C$1:$C$175,$A57,Allocation2!$D$1:$D$175,$C57,Allocation2!$E$1:$E$175,$D57,Allocation2!$F$1:$F$175,$E57,Allocation2!$G$1:$G$175,"2026"))</f>
        <v/>
      </c>
      <c r="M57" t="str">
        <f>IF($A57="","",SUMIFS(Allocation2!$V$1:$V$175,Allocation2!$C$1:$C$175,$A57,Allocation2!$D$1:$D$175,$C57,Allocation2!$E$1:$E$175,$D57,Allocation2!$F$1:$F$175,$E57,Allocation2!$G$1:$G$175,"2026"))</f>
        <v/>
      </c>
      <c r="N57" t="str">
        <f t="shared" si="0"/>
        <v/>
      </c>
      <c r="O57" t="str">
        <f>IF($A57="","",SUMIFS(Campagne!$D$1:$D$15,Campagne!$C$1:$C$15,$A57))</f>
        <v/>
      </c>
      <c r="P57" t="str">
        <f>IF($A57="","",SUMIFS(Campagne!$E$1:$E$15,Campagne!$C$1:$C$15,$A57))</f>
        <v/>
      </c>
      <c r="Q57" t="str">
        <f>IF($A57="","",SUMIFS(Campagne!$F$1:$F$15,Campagne!$C$1:$C$15,$A57))</f>
        <v/>
      </c>
      <c r="R57" t="str">
        <f>IF($A57="","",SUMIFS(Campagne!$K$1:$K$15,Campagne!$C$1:$C$15,$A57))</f>
        <v/>
      </c>
      <c r="S57" t="str">
        <f>IF($A57="","",SUMIFS(Campagne!$M$1:$M$15,Campagne!$C$1:$C$15,$A57))</f>
        <v/>
      </c>
      <c r="T57" t="str">
        <f>IF($A57="","",SUMIFS(PIL!$K$15:$K$28,PIL!$A$15:$A$28,$A57)*SUMIFS(PIL!$J$15:$J$28,PIL!$A$15:$A$28,$A57)*(SUM(PIL!$K$15:$K$28)/SUMPRODUCT(PIL!$K$15:$K$28,PIL!$J$15:$J$28)))</f>
        <v/>
      </c>
      <c r="U57" t="str">
        <f>IF($A57="","",SUMIFS(PIL!$K$15:$K$28,PIL!$A$15:$A$28,$A57))</f>
        <v/>
      </c>
      <c r="V57" t="str">
        <f>IF($A57="","",IF($B57="V01",cad!$C$23,IF($B57="V02",cad!$D$23,cad!$E$23)))</f>
        <v/>
      </c>
      <c r="W57" t="str">
        <f>IF($A57="","",IF($B57="V01",cad!$C$24,IF($B57="V02",cad!$D$24,cad!$E$24)))</f>
        <v/>
      </c>
      <c r="X57" t="str">
        <f>IF($A57="","",IF($B57="V01",cad!$C$25,IF($B57="V02",cad!$D$25,cad!$E$25)))</f>
        <v/>
      </c>
      <c r="Y57" t="str">
        <f>IF($A57="","",IF($B57="V01",cad!$C$26,IF($B57="V02",cad!$D$26,cad!$E$26)))</f>
        <v/>
      </c>
      <c r="Z57" t="str">
        <f>IF($A57="","",IF($B57="V01",cad!$C$27,IF($B57="V02",cad!$D$27,cad!$E$27)))</f>
        <v/>
      </c>
      <c r="AA57" t="str">
        <f>IF($A57="","",IF($B57="V01",cad!$C$28,IF($B57="V02",cad!$D$28,cad!$E$28)))</f>
        <v/>
      </c>
      <c r="AB57" t="str">
        <f>IF($A57="","",IF($B57="V01",cad!$C$39,IF($B57="V02",cad!$D$39,cad!$E$39)))</f>
        <v/>
      </c>
      <c r="AC57" t="str">
        <f>IF($A57="","",IF($F57="MBWAY",cad!$J$12,IF($F57="ISCOM",cad!$J$13,IF($F57="IPAC",cad!$J$14,IF($F57="PIGIER",cad!$J$15,cad!$J$16)))))</f>
        <v/>
      </c>
      <c r="AD57" t="str">
        <f t="shared" si="1"/>
        <v/>
      </c>
      <c r="AE57" t="str">
        <f t="shared" si="2"/>
        <v/>
      </c>
      <c r="AF57" t="str">
        <f t="shared" si="3"/>
        <v/>
      </c>
      <c r="AG57" t="str">
        <f t="shared" si="4"/>
        <v/>
      </c>
      <c r="AH57" t="str">
        <f t="shared" si="5"/>
        <v/>
      </c>
    </row>
    <row r="58" spans="1:34" x14ac:dyDescent="0.45">
      <c r="A58" t="str">
        <f>IF(Moteur!D58="","",Moteur!D58)</f>
        <v/>
      </c>
      <c r="B58" t="str">
        <f>IF(Moteur!B58="","",Moteur!B58)</f>
        <v/>
      </c>
      <c r="C58" t="str">
        <f>IF(Moteur!F58="","",Moteur!F58)</f>
        <v/>
      </c>
      <c r="D58" t="str">
        <f>IF(Moteur!G58="","",Moteur!G58)</f>
        <v/>
      </c>
      <c r="E58" t="str">
        <f>IF(Moteur!H58="","",Moteur!H58)</f>
        <v/>
      </c>
      <c r="F58" t="str">
        <f>IF(Moteur!E58="","",Moteur!E58)</f>
        <v/>
      </c>
      <c r="G58" t="str">
        <f>IF($A58="","",SUMIFS(Allocation2!$H$1:$H$175,Allocation2!$C$1:$C$175,$A58,Allocation2!$D$1:$D$175,$C58,Allocation2!$E$1:$E$175,$D58,Allocation2!$F$1:$F$175,$E58,Allocation2!$G$1:$G$175,"2026"))</f>
        <v/>
      </c>
      <c r="H58" t="str">
        <f>IF($A58="","",SUMIFS(Allocation2!$N$1:$N$175,Allocation2!$C$1:$C$175,$A58,Allocation2!$D$1:$D$175,$C58,Allocation2!$E$1:$E$175,$D58,Allocation2!$F$1:$F$175,$E58,Allocation2!$G$1:$G$175,"2026"))</f>
        <v/>
      </c>
      <c r="I58" t="str">
        <f>IF($A58="","",SUMIFS(Allocation2!$P$1:$P$175,Allocation2!$C$1:$C$175,$A58,Allocation2!$D$1:$D$175,$C58,Allocation2!$E$1:$E$175,$D58,Allocation2!$F$1:$F$175,$E58,Allocation2!$G$1:$G$175,"2026"))</f>
        <v/>
      </c>
      <c r="J58" t="str">
        <f>IF($A58="","",SUMIFS(Allocation2!$W$1:$W$175,Allocation2!$C$1:$C$175,$A58,Allocation2!$D$1:$D$175,$C58,Allocation2!$E$1:$E$175,$D58,Allocation2!$F$1:$F$175,$E58,Allocation2!$G$1:$G$175,"2026"))</f>
        <v/>
      </c>
      <c r="K58" t="str">
        <f>IF($A58="","",SUMIFS(Allocation2!$X$1:$X$175,Allocation2!$C$1:$C$175,$A58,Allocation2!$D$1:$D$175,$C58,Allocation2!$E$1:$E$175,$D58,Allocation2!$F$1:$F$175,$E58,Allocation2!$G$1:$G$175,"2026"))</f>
        <v/>
      </c>
      <c r="L58" t="str">
        <f>IF($A58="","",SUMIFS(Allocation2!$Y$1:$Y$175,Allocation2!$C$1:$C$175,$A58,Allocation2!$D$1:$D$175,$C58,Allocation2!$E$1:$E$175,$D58,Allocation2!$F$1:$F$175,$E58,Allocation2!$G$1:$G$175,"2026"))</f>
        <v/>
      </c>
      <c r="M58" t="str">
        <f>IF($A58="","",SUMIFS(Allocation2!$V$1:$V$175,Allocation2!$C$1:$C$175,$A58,Allocation2!$D$1:$D$175,$C58,Allocation2!$E$1:$E$175,$D58,Allocation2!$F$1:$F$175,$E58,Allocation2!$G$1:$G$175,"2026"))</f>
        <v/>
      </c>
      <c r="N58" t="str">
        <f t="shared" si="0"/>
        <v/>
      </c>
      <c r="O58" t="str">
        <f>IF($A58="","",SUMIFS(Campagne!$D$1:$D$15,Campagne!$C$1:$C$15,$A58))</f>
        <v/>
      </c>
      <c r="P58" t="str">
        <f>IF($A58="","",SUMIFS(Campagne!$E$1:$E$15,Campagne!$C$1:$C$15,$A58))</f>
        <v/>
      </c>
      <c r="Q58" t="str">
        <f>IF($A58="","",SUMIFS(Campagne!$F$1:$F$15,Campagne!$C$1:$C$15,$A58))</f>
        <v/>
      </c>
      <c r="R58" t="str">
        <f>IF($A58="","",SUMIFS(Campagne!$K$1:$K$15,Campagne!$C$1:$C$15,$A58))</f>
        <v/>
      </c>
      <c r="S58" t="str">
        <f>IF($A58="","",SUMIFS(Campagne!$M$1:$M$15,Campagne!$C$1:$C$15,$A58))</f>
        <v/>
      </c>
      <c r="T58" t="str">
        <f>IF($A58="","",SUMIFS(PIL!$K$15:$K$28,PIL!$A$15:$A$28,$A58)*SUMIFS(PIL!$J$15:$J$28,PIL!$A$15:$A$28,$A58)*(SUM(PIL!$K$15:$K$28)/SUMPRODUCT(PIL!$K$15:$K$28,PIL!$J$15:$J$28)))</f>
        <v/>
      </c>
      <c r="U58" t="str">
        <f>IF($A58="","",SUMIFS(PIL!$K$15:$K$28,PIL!$A$15:$A$28,$A58))</f>
        <v/>
      </c>
      <c r="V58" t="str">
        <f>IF($A58="","",IF($B58="V01",cad!$C$23,IF($B58="V02",cad!$D$23,cad!$E$23)))</f>
        <v/>
      </c>
      <c r="W58" t="str">
        <f>IF($A58="","",IF($B58="V01",cad!$C$24,IF($B58="V02",cad!$D$24,cad!$E$24)))</f>
        <v/>
      </c>
      <c r="X58" t="str">
        <f>IF($A58="","",IF($B58="V01",cad!$C$25,IF($B58="V02",cad!$D$25,cad!$E$25)))</f>
        <v/>
      </c>
      <c r="Y58" t="str">
        <f>IF($A58="","",IF($B58="V01",cad!$C$26,IF($B58="V02",cad!$D$26,cad!$E$26)))</f>
        <v/>
      </c>
      <c r="Z58" t="str">
        <f>IF($A58="","",IF($B58="V01",cad!$C$27,IF($B58="V02",cad!$D$27,cad!$E$27)))</f>
        <v/>
      </c>
      <c r="AA58" t="str">
        <f>IF($A58="","",IF($B58="V01",cad!$C$28,IF($B58="V02",cad!$D$28,cad!$E$28)))</f>
        <v/>
      </c>
      <c r="AB58" t="str">
        <f>IF($A58="","",IF($B58="V01",cad!$C$39,IF($B58="V02",cad!$D$39,cad!$E$39)))</f>
        <v/>
      </c>
      <c r="AC58" t="str">
        <f>IF($A58="","",IF($F58="MBWAY",cad!$J$12,IF($F58="ISCOM",cad!$J$13,IF($F58="IPAC",cad!$J$14,IF($F58="PIGIER",cad!$J$15,cad!$J$16)))))</f>
        <v/>
      </c>
      <c r="AD58" t="str">
        <f t="shared" si="1"/>
        <v/>
      </c>
      <c r="AE58" t="str">
        <f t="shared" si="2"/>
        <v/>
      </c>
      <c r="AF58" t="str">
        <f t="shared" si="3"/>
        <v/>
      </c>
      <c r="AG58" t="str">
        <f t="shared" si="4"/>
        <v/>
      </c>
      <c r="AH58" t="str">
        <f t="shared" si="5"/>
        <v/>
      </c>
    </row>
    <row r="59" spans="1:34" x14ac:dyDescent="0.45">
      <c r="A59" t="str">
        <f>IF(Moteur!D59="","",Moteur!D59)</f>
        <v/>
      </c>
      <c r="B59" t="str">
        <f>IF(Moteur!B59="","",Moteur!B59)</f>
        <v/>
      </c>
      <c r="C59" t="str">
        <f>IF(Moteur!F59="","",Moteur!F59)</f>
        <v/>
      </c>
      <c r="D59" t="str">
        <f>IF(Moteur!G59="","",Moteur!G59)</f>
        <v/>
      </c>
      <c r="E59" t="str">
        <f>IF(Moteur!H59="","",Moteur!H59)</f>
        <v/>
      </c>
      <c r="F59" t="str">
        <f>IF(Moteur!E59="","",Moteur!E59)</f>
        <v/>
      </c>
      <c r="G59" t="str">
        <f>IF($A59="","",SUMIFS(Allocation2!$H$1:$H$175,Allocation2!$C$1:$C$175,$A59,Allocation2!$D$1:$D$175,$C59,Allocation2!$E$1:$E$175,$D59,Allocation2!$F$1:$F$175,$E59,Allocation2!$G$1:$G$175,"2026"))</f>
        <v/>
      </c>
      <c r="H59" t="str">
        <f>IF($A59="","",SUMIFS(Allocation2!$N$1:$N$175,Allocation2!$C$1:$C$175,$A59,Allocation2!$D$1:$D$175,$C59,Allocation2!$E$1:$E$175,$D59,Allocation2!$F$1:$F$175,$E59,Allocation2!$G$1:$G$175,"2026"))</f>
        <v/>
      </c>
      <c r="I59" t="str">
        <f>IF($A59="","",SUMIFS(Allocation2!$P$1:$P$175,Allocation2!$C$1:$C$175,$A59,Allocation2!$D$1:$D$175,$C59,Allocation2!$E$1:$E$175,$D59,Allocation2!$F$1:$F$175,$E59,Allocation2!$G$1:$G$175,"2026"))</f>
        <v/>
      </c>
      <c r="J59" t="str">
        <f>IF($A59="","",SUMIFS(Allocation2!$W$1:$W$175,Allocation2!$C$1:$C$175,$A59,Allocation2!$D$1:$D$175,$C59,Allocation2!$E$1:$E$175,$D59,Allocation2!$F$1:$F$175,$E59,Allocation2!$G$1:$G$175,"2026"))</f>
        <v/>
      </c>
      <c r="K59" t="str">
        <f>IF($A59="","",SUMIFS(Allocation2!$X$1:$X$175,Allocation2!$C$1:$C$175,$A59,Allocation2!$D$1:$D$175,$C59,Allocation2!$E$1:$E$175,$D59,Allocation2!$F$1:$F$175,$E59,Allocation2!$G$1:$G$175,"2026"))</f>
        <v/>
      </c>
      <c r="L59" t="str">
        <f>IF($A59="","",SUMIFS(Allocation2!$Y$1:$Y$175,Allocation2!$C$1:$C$175,$A59,Allocation2!$D$1:$D$175,$C59,Allocation2!$E$1:$E$175,$D59,Allocation2!$F$1:$F$175,$E59,Allocation2!$G$1:$G$175,"2026"))</f>
        <v/>
      </c>
      <c r="M59" t="str">
        <f>IF($A59="","",SUMIFS(Allocation2!$V$1:$V$175,Allocation2!$C$1:$C$175,$A59,Allocation2!$D$1:$D$175,$C59,Allocation2!$E$1:$E$175,$D59,Allocation2!$F$1:$F$175,$E59,Allocation2!$G$1:$G$175,"2026"))</f>
        <v/>
      </c>
      <c r="N59" t="str">
        <f t="shared" si="0"/>
        <v/>
      </c>
      <c r="O59" t="str">
        <f>IF($A59="","",SUMIFS(Campagne!$D$1:$D$15,Campagne!$C$1:$C$15,$A59))</f>
        <v/>
      </c>
      <c r="P59" t="str">
        <f>IF($A59="","",SUMIFS(Campagne!$E$1:$E$15,Campagne!$C$1:$C$15,$A59))</f>
        <v/>
      </c>
      <c r="Q59" t="str">
        <f>IF($A59="","",SUMIFS(Campagne!$F$1:$F$15,Campagne!$C$1:$C$15,$A59))</f>
        <v/>
      </c>
      <c r="R59" t="str">
        <f>IF($A59="","",SUMIFS(Campagne!$K$1:$K$15,Campagne!$C$1:$C$15,$A59))</f>
        <v/>
      </c>
      <c r="S59" t="str">
        <f>IF($A59="","",SUMIFS(Campagne!$M$1:$M$15,Campagne!$C$1:$C$15,$A59))</f>
        <v/>
      </c>
      <c r="T59" t="str">
        <f>IF($A59="","",SUMIFS(PIL!$K$15:$K$28,PIL!$A$15:$A$28,$A59)*SUMIFS(PIL!$J$15:$J$28,PIL!$A$15:$A$28,$A59)*(SUM(PIL!$K$15:$K$28)/SUMPRODUCT(PIL!$K$15:$K$28,PIL!$J$15:$J$28)))</f>
        <v/>
      </c>
      <c r="U59" t="str">
        <f>IF($A59="","",SUMIFS(PIL!$K$15:$K$28,PIL!$A$15:$A$28,$A59))</f>
        <v/>
      </c>
      <c r="V59" t="str">
        <f>IF($A59="","",IF($B59="V01",cad!$C$23,IF($B59="V02",cad!$D$23,cad!$E$23)))</f>
        <v/>
      </c>
      <c r="W59" t="str">
        <f>IF($A59="","",IF($B59="V01",cad!$C$24,IF($B59="V02",cad!$D$24,cad!$E$24)))</f>
        <v/>
      </c>
      <c r="X59" t="str">
        <f>IF($A59="","",IF($B59="V01",cad!$C$25,IF($B59="V02",cad!$D$25,cad!$E$25)))</f>
        <v/>
      </c>
      <c r="Y59" t="str">
        <f>IF($A59="","",IF($B59="V01",cad!$C$26,IF($B59="V02",cad!$D$26,cad!$E$26)))</f>
        <v/>
      </c>
      <c r="Z59" t="str">
        <f>IF($A59="","",IF($B59="V01",cad!$C$27,IF($B59="V02",cad!$D$27,cad!$E$27)))</f>
        <v/>
      </c>
      <c r="AA59" t="str">
        <f>IF($A59="","",IF($B59="V01",cad!$C$28,IF($B59="V02",cad!$D$28,cad!$E$28)))</f>
        <v/>
      </c>
      <c r="AB59" t="str">
        <f>IF($A59="","",IF($B59="V01",cad!$C$39,IF($B59="V02",cad!$D$39,cad!$E$39)))</f>
        <v/>
      </c>
      <c r="AC59" t="str">
        <f>IF($A59="","",IF($F59="MBWAY",cad!$J$12,IF($F59="ISCOM",cad!$J$13,IF($F59="IPAC",cad!$J$14,IF($F59="PIGIER",cad!$J$15,cad!$J$16)))))</f>
        <v/>
      </c>
      <c r="AD59" t="str">
        <f t="shared" si="1"/>
        <v/>
      </c>
      <c r="AE59" t="str">
        <f t="shared" si="2"/>
        <v/>
      </c>
      <c r="AF59" t="str">
        <f t="shared" si="3"/>
        <v/>
      </c>
      <c r="AG59" t="str">
        <f t="shared" si="4"/>
        <v/>
      </c>
      <c r="AH59" t="str">
        <f t="shared" si="5"/>
        <v/>
      </c>
    </row>
    <row r="60" spans="1:34" x14ac:dyDescent="0.45">
      <c r="A60" t="str">
        <f>IF(Moteur!D60="","",Moteur!D60)</f>
        <v/>
      </c>
      <c r="B60" t="str">
        <f>IF(Moteur!B60="","",Moteur!B60)</f>
        <v/>
      </c>
      <c r="C60" t="str">
        <f>IF(Moteur!F60="","",Moteur!F60)</f>
        <v/>
      </c>
      <c r="D60" t="str">
        <f>IF(Moteur!G60="","",Moteur!G60)</f>
        <v/>
      </c>
      <c r="E60" t="str">
        <f>IF(Moteur!H60="","",Moteur!H60)</f>
        <v/>
      </c>
      <c r="F60" t="str">
        <f>IF(Moteur!E60="","",Moteur!E60)</f>
        <v/>
      </c>
      <c r="G60" t="str">
        <f>IF($A60="","",SUMIFS(Allocation2!$H$1:$H$175,Allocation2!$C$1:$C$175,$A60,Allocation2!$D$1:$D$175,$C60,Allocation2!$E$1:$E$175,$D60,Allocation2!$F$1:$F$175,$E60,Allocation2!$G$1:$G$175,"2026"))</f>
        <v/>
      </c>
      <c r="H60" t="str">
        <f>IF($A60="","",SUMIFS(Allocation2!$N$1:$N$175,Allocation2!$C$1:$C$175,$A60,Allocation2!$D$1:$D$175,$C60,Allocation2!$E$1:$E$175,$D60,Allocation2!$F$1:$F$175,$E60,Allocation2!$G$1:$G$175,"2026"))</f>
        <v/>
      </c>
      <c r="I60" t="str">
        <f>IF($A60="","",SUMIFS(Allocation2!$P$1:$P$175,Allocation2!$C$1:$C$175,$A60,Allocation2!$D$1:$D$175,$C60,Allocation2!$E$1:$E$175,$D60,Allocation2!$F$1:$F$175,$E60,Allocation2!$G$1:$G$175,"2026"))</f>
        <v/>
      </c>
      <c r="J60" t="str">
        <f>IF($A60="","",SUMIFS(Allocation2!$W$1:$W$175,Allocation2!$C$1:$C$175,$A60,Allocation2!$D$1:$D$175,$C60,Allocation2!$E$1:$E$175,$D60,Allocation2!$F$1:$F$175,$E60,Allocation2!$G$1:$G$175,"2026"))</f>
        <v/>
      </c>
      <c r="K60" t="str">
        <f>IF($A60="","",SUMIFS(Allocation2!$X$1:$X$175,Allocation2!$C$1:$C$175,$A60,Allocation2!$D$1:$D$175,$C60,Allocation2!$E$1:$E$175,$D60,Allocation2!$F$1:$F$175,$E60,Allocation2!$G$1:$G$175,"2026"))</f>
        <v/>
      </c>
      <c r="L60" t="str">
        <f>IF($A60="","",SUMIFS(Allocation2!$Y$1:$Y$175,Allocation2!$C$1:$C$175,$A60,Allocation2!$D$1:$D$175,$C60,Allocation2!$E$1:$E$175,$D60,Allocation2!$F$1:$F$175,$E60,Allocation2!$G$1:$G$175,"2026"))</f>
        <v/>
      </c>
      <c r="M60" t="str">
        <f>IF($A60="","",SUMIFS(Allocation2!$V$1:$V$175,Allocation2!$C$1:$C$175,$A60,Allocation2!$D$1:$D$175,$C60,Allocation2!$E$1:$E$175,$D60,Allocation2!$F$1:$F$175,$E60,Allocation2!$G$1:$G$175,"2026"))</f>
        <v/>
      </c>
      <c r="N60" t="str">
        <f t="shared" si="0"/>
        <v/>
      </c>
      <c r="O60" t="str">
        <f>IF($A60="","",SUMIFS(Campagne!$D$1:$D$15,Campagne!$C$1:$C$15,$A60))</f>
        <v/>
      </c>
      <c r="P60" t="str">
        <f>IF($A60="","",SUMIFS(Campagne!$E$1:$E$15,Campagne!$C$1:$C$15,$A60))</f>
        <v/>
      </c>
      <c r="Q60" t="str">
        <f>IF($A60="","",SUMIFS(Campagne!$F$1:$F$15,Campagne!$C$1:$C$15,$A60))</f>
        <v/>
      </c>
      <c r="R60" t="str">
        <f>IF($A60="","",SUMIFS(Campagne!$K$1:$K$15,Campagne!$C$1:$C$15,$A60))</f>
        <v/>
      </c>
      <c r="S60" t="str">
        <f>IF($A60="","",SUMIFS(Campagne!$M$1:$M$15,Campagne!$C$1:$C$15,$A60))</f>
        <v/>
      </c>
      <c r="T60" t="str">
        <f>IF($A60="","",SUMIFS(PIL!$K$15:$K$28,PIL!$A$15:$A$28,$A60)*SUMIFS(PIL!$J$15:$J$28,PIL!$A$15:$A$28,$A60)*(SUM(PIL!$K$15:$K$28)/SUMPRODUCT(PIL!$K$15:$K$28,PIL!$J$15:$J$28)))</f>
        <v/>
      </c>
      <c r="U60" t="str">
        <f>IF($A60="","",SUMIFS(PIL!$K$15:$K$28,PIL!$A$15:$A$28,$A60))</f>
        <v/>
      </c>
      <c r="V60" t="str">
        <f>IF($A60="","",IF($B60="V01",cad!$C$23,IF($B60="V02",cad!$D$23,cad!$E$23)))</f>
        <v/>
      </c>
      <c r="W60" t="str">
        <f>IF($A60="","",IF($B60="V01",cad!$C$24,IF($B60="V02",cad!$D$24,cad!$E$24)))</f>
        <v/>
      </c>
      <c r="X60" t="str">
        <f>IF($A60="","",IF($B60="V01",cad!$C$25,IF($B60="V02",cad!$D$25,cad!$E$25)))</f>
        <v/>
      </c>
      <c r="Y60" t="str">
        <f>IF($A60="","",IF($B60="V01",cad!$C$26,IF($B60="V02",cad!$D$26,cad!$E$26)))</f>
        <v/>
      </c>
      <c r="Z60" t="str">
        <f>IF($A60="","",IF($B60="V01",cad!$C$27,IF($B60="V02",cad!$D$27,cad!$E$27)))</f>
        <v/>
      </c>
      <c r="AA60" t="str">
        <f>IF($A60="","",IF($B60="V01",cad!$C$28,IF($B60="V02",cad!$D$28,cad!$E$28)))</f>
        <v/>
      </c>
      <c r="AB60" t="str">
        <f>IF($A60="","",IF($B60="V01",cad!$C$39,IF($B60="V02",cad!$D$39,cad!$E$39)))</f>
        <v/>
      </c>
      <c r="AC60" t="str">
        <f>IF($A60="","",IF($F60="MBWAY",cad!$J$12,IF($F60="ISCOM",cad!$J$13,IF($F60="IPAC",cad!$J$14,IF($F60="PIGIER",cad!$J$15,cad!$J$16)))))</f>
        <v/>
      </c>
      <c r="AD60" t="str">
        <f t="shared" si="1"/>
        <v/>
      </c>
      <c r="AE60" t="str">
        <f t="shared" si="2"/>
        <v/>
      </c>
      <c r="AF60" t="str">
        <f t="shared" si="3"/>
        <v/>
      </c>
      <c r="AG60" t="str">
        <f t="shared" si="4"/>
        <v/>
      </c>
      <c r="AH60" t="str">
        <f t="shared" si="5"/>
        <v/>
      </c>
    </row>
    <row r="61" spans="1:34" x14ac:dyDescent="0.45">
      <c r="A61" t="str">
        <f>IF(Moteur!D61="","",Moteur!D61)</f>
        <v/>
      </c>
      <c r="B61" t="str">
        <f>IF(Moteur!B61="","",Moteur!B61)</f>
        <v/>
      </c>
      <c r="C61" t="str">
        <f>IF(Moteur!F61="","",Moteur!F61)</f>
        <v/>
      </c>
      <c r="D61" t="str">
        <f>IF(Moteur!G61="","",Moteur!G61)</f>
        <v/>
      </c>
      <c r="E61" t="str">
        <f>IF(Moteur!H61="","",Moteur!H61)</f>
        <v/>
      </c>
      <c r="F61" t="str">
        <f>IF(Moteur!E61="","",Moteur!E61)</f>
        <v/>
      </c>
      <c r="G61" t="str">
        <f>IF($A61="","",SUMIFS(Allocation2!$H$1:$H$175,Allocation2!$C$1:$C$175,$A61,Allocation2!$D$1:$D$175,$C61,Allocation2!$E$1:$E$175,$D61,Allocation2!$F$1:$F$175,$E61,Allocation2!$G$1:$G$175,"2026"))</f>
        <v/>
      </c>
      <c r="H61" t="str">
        <f>IF($A61="","",SUMIFS(Allocation2!$N$1:$N$175,Allocation2!$C$1:$C$175,$A61,Allocation2!$D$1:$D$175,$C61,Allocation2!$E$1:$E$175,$D61,Allocation2!$F$1:$F$175,$E61,Allocation2!$G$1:$G$175,"2026"))</f>
        <v/>
      </c>
      <c r="I61" t="str">
        <f>IF($A61="","",SUMIFS(Allocation2!$P$1:$P$175,Allocation2!$C$1:$C$175,$A61,Allocation2!$D$1:$D$175,$C61,Allocation2!$E$1:$E$175,$D61,Allocation2!$F$1:$F$175,$E61,Allocation2!$G$1:$G$175,"2026"))</f>
        <v/>
      </c>
      <c r="J61" t="str">
        <f>IF($A61="","",SUMIFS(Allocation2!$W$1:$W$175,Allocation2!$C$1:$C$175,$A61,Allocation2!$D$1:$D$175,$C61,Allocation2!$E$1:$E$175,$D61,Allocation2!$F$1:$F$175,$E61,Allocation2!$G$1:$G$175,"2026"))</f>
        <v/>
      </c>
      <c r="K61" t="str">
        <f>IF($A61="","",SUMIFS(Allocation2!$X$1:$X$175,Allocation2!$C$1:$C$175,$A61,Allocation2!$D$1:$D$175,$C61,Allocation2!$E$1:$E$175,$D61,Allocation2!$F$1:$F$175,$E61,Allocation2!$G$1:$G$175,"2026"))</f>
        <v/>
      </c>
      <c r="L61" t="str">
        <f>IF($A61="","",SUMIFS(Allocation2!$Y$1:$Y$175,Allocation2!$C$1:$C$175,$A61,Allocation2!$D$1:$D$175,$C61,Allocation2!$E$1:$E$175,$D61,Allocation2!$F$1:$F$175,$E61,Allocation2!$G$1:$G$175,"2026"))</f>
        <v/>
      </c>
      <c r="M61" t="str">
        <f>IF($A61="","",SUMIFS(Allocation2!$V$1:$V$175,Allocation2!$C$1:$C$175,$A61,Allocation2!$D$1:$D$175,$C61,Allocation2!$E$1:$E$175,$D61,Allocation2!$F$1:$F$175,$E61,Allocation2!$G$1:$G$175,"2026"))</f>
        <v/>
      </c>
      <c r="N61" t="str">
        <f t="shared" si="0"/>
        <v/>
      </c>
      <c r="O61" t="str">
        <f>IF($A61="","",SUMIFS(Campagne!$D$1:$D$15,Campagne!$C$1:$C$15,$A61))</f>
        <v/>
      </c>
      <c r="P61" t="str">
        <f>IF($A61="","",SUMIFS(Campagne!$E$1:$E$15,Campagne!$C$1:$C$15,$A61))</f>
        <v/>
      </c>
      <c r="Q61" t="str">
        <f>IF($A61="","",SUMIFS(Campagne!$F$1:$F$15,Campagne!$C$1:$C$15,$A61))</f>
        <v/>
      </c>
      <c r="R61" t="str">
        <f>IF($A61="","",SUMIFS(Campagne!$K$1:$K$15,Campagne!$C$1:$C$15,$A61))</f>
        <v/>
      </c>
      <c r="S61" t="str">
        <f>IF($A61="","",SUMIFS(Campagne!$M$1:$M$15,Campagne!$C$1:$C$15,$A61))</f>
        <v/>
      </c>
      <c r="T61" t="str">
        <f>IF($A61="","",SUMIFS(PIL!$K$15:$K$28,PIL!$A$15:$A$28,$A61)*SUMIFS(PIL!$J$15:$J$28,PIL!$A$15:$A$28,$A61)*(SUM(PIL!$K$15:$K$28)/SUMPRODUCT(PIL!$K$15:$K$28,PIL!$J$15:$J$28)))</f>
        <v/>
      </c>
      <c r="U61" t="str">
        <f>IF($A61="","",SUMIFS(PIL!$K$15:$K$28,PIL!$A$15:$A$28,$A61))</f>
        <v/>
      </c>
      <c r="V61" t="str">
        <f>IF($A61="","",IF($B61="V01",cad!$C$23,IF($B61="V02",cad!$D$23,cad!$E$23)))</f>
        <v/>
      </c>
      <c r="W61" t="str">
        <f>IF($A61="","",IF($B61="V01",cad!$C$24,IF($B61="V02",cad!$D$24,cad!$E$24)))</f>
        <v/>
      </c>
      <c r="X61" t="str">
        <f>IF($A61="","",IF($B61="V01",cad!$C$25,IF($B61="V02",cad!$D$25,cad!$E$25)))</f>
        <v/>
      </c>
      <c r="Y61" t="str">
        <f>IF($A61="","",IF($B61="V01",cad!$C$26,IF($B61="V02",cad!$D$26,cad!$E$26)))</f>
        <v/>
      </c>
      <c r="Z61" t="str">
        <f>IF($A61="","",IF($B61="V01",cad!$C$27,IF($B61="V02",cad!$D$27,cad!$E$27)))</f>
        <v/>
      </c>
      <c r="AA61" t="str">
        <f>IF($A61="","",IF($B61="V01",cad!$C$28,IF($B61="V02",cad!$D$28,cad!$E$28)))</f>
        <v/>
      </c>
      <c r="AB61" t="str">
        <f>IF($A61="","",IF($B61="V01",cad!$C$39,IF($B61="V02",cad!$D$39,cad!$E$39)))</f>
        <v/>
      </c>
      <c r="AC61" t="str">
        <f>IF($A61="","",IF($F61="MBWAY",cad!$J$12,IF($F61="ISCOM",cad!$J$13,IF($F61="IPAC",cad!$J$14,IF($F61="PIGIER",cad!$J$15,cad!$J$16)))))</f>
        <v/>
      </c>
      <c r="AD61" t="str">
        <f t="shared" si="1"/>
        <v/>
      </c>
      <c r="AE61" t="str">
        <f t="shared" si="2"/>
        <v/>
      </c>
      <c r="AF61" t="str">
        <f t="shared" si="3"/>
        <v/>
      </c>
      <c r="AG61" t="str">
        <f t="shared" si="4"/>
        <v/>
      </c>
      <c r="AH61" t="str">
        <f t="shared" si="5"/>
        <v/>
      </c>
    </row>
    <row r="62" spans="1:34" x14ac:dyDescent="0.45">
      <c r="A62" t="str">
        <f>IF(Moteur!D62="","",Moteur!D62)</f>
        <v/>
      </c>
      <c r="B62" t="str">
        <f>IF(Moteur!B62="","",Moteur!B62)</f>
        <v/>
      </c>
      <c r="C62" t="str">
        <f>IF(Moteur!F62="","",Moteur!F62)</f>
        <v/>
      </c>
      <c r="D62" t="str">
        <f>IF(Moteur!G62="","",Moteur!G62)</f>
        <v/>
      </c>
      <c r="E62" t="str">
        <f>IF(Moteur!H62="","",Moteur!H62)</f>
        <v/>
      </c>
      <c r="F62" t="str">
        <f>IF(Moteur!E62="","",Moteur!E62)</f>
        <v/>
      </c>
      <c r="G62" t="str">
        <f>IF($A62="","",SUMIFS(Allocation2!$H$1:$H$175,Allocation2!$C$1:$C$175,$A62,Allocation2!$D$1:$D$175,$C62,Allocation2!$E$1:$E$175,$D62,Allocation2!$F$1:$F$175,$E62,Allocation2!$G$1:$G$175,"2026"))</f>
        <v/>
      </c>
      <c r="H62" t="str">
        <f>IF($A62="","",SUMIFS(Allocation2!$N$1:$N$175,Allocation2!$C$1:$C$175,$A62,Allocation2!$D$1:$D$175,$C62,Allocation2!$E$1:$E$175,$D62,Allocation2!$F$1:$F$175,$E62,Allocation2!$G$1:$G$175,"2026"))</f>
        <v/>
      </c>
      <c r="I62" t="str">
        <f>IF($A62="","",SUMIFS(Allocation2!$P$1:$P$175,Allocation2!$C$1:$C$175,$A62,Allocation2!$D$1:$D$175,$C62,Allocation2!$E$1:$E$175,$D62,Allocation2!$F$1:$F$175,$E62,Allocation2!$G$1:$G$175,"2026"))</f>
        <v/>
      </c>
      <c r="J62" t="str">
        <f>IF($A62="","",SUMIFS(Allocation2!$W$1:$W$175,Allocation2!$C$1:$C$175,$A62,Allocation2!$D$1:$D$175,$C62,Allocation2!$E$1:$E$175,$D62,Allocation2!$F$1:$F$175,$E62,Allocation2!$G$1:$G$175,"2026"))</f>
        <v/>
      </c>
      <c r="K62" t="str">
        <f>IF($A62="","",SUMIFS(Allocation2!$X$1:$X$175,Allocation2!$C$1:$C$175,$A62,Allocation2!$D$1:$D$175,$C62,Allocation2!$E$1:$E$175,$D62,Allocation2!$F$1:$F$175,$E62,Allocation2!$G$1:$G$175,"2026"))</f>
        <v/>
      </c>
      <c r="L62" t="str">
        <f>IF($A62="","",SUMIFS(Allocation2!$Y$1:$Y$175,Allocation2!$C$1:$C$175,$A62,Allocation2!$D$1:$D$175,$C62,Allocation2!$E$1:$E$175,$D62,Allocation2!$F$1:$F$175,$E62,Allocation2!$G$1:$G$175,"2026"))</f>
        <v/>
      </c>
      <c r="M62" t="str">
        <f>IF($A62="","",SUMIFS(Allocation2!$V$1:$V$175,Allocation2!$C$1:$C$175,$A62,Allocation2!$D$1:$D$175,$C62,Allocation2!$E$1:$E$175,$D62,Allocation2!$F$1:$F$175,$E62,Allocation2!$G$1:$G$175,"2026"))</f>
        <v/>
      </c>
      <c r="N62" t="str">
        <f t="shared" si="0"/>
        <v/>
      </c>
      <c r="O62" t="str">
        <f>IF($A62="","",SUMIFS(Campagne!$D$1:$D$15,Campagne!$C$1:$C$15,$A62))</f>
        <v/>
      </c>
      <c r="P62" t="str">
        <f>IF($A62="","",SUMIFS(Campagne!$E$1:$E$15,Campagne!$C$1:$C$15,$A62))</f>
        <v/>
      </c>
      <c r="Q62" t="str">
        <f>IF($A62="","",SUMIFS(Campagne!$F$1:$F$15,Campagne!$C$1:$C$15,$A62))</f>
        <v/>
      </c>
      <c r="R62" t="str">
        <f>IF($A62="","",SUMIFS(Campagne!$K$1:$K$15,Campagne!$C$1:$C$15,$A62))</f>
        <v/>
      </c>
      <c r="S62" t="str">
        <f>IF($A62="","",SUMIFS(Campagne!$M$1:$M$15,Campagne!$C$1:$C$15,$A62))</f>
        <v/>
      </c>
      <c r="T62" t="str">
        <f>IF($A62="","",SUMIFS(PIL!$K$15:$K$28,PIL!$A$15:$A$28,$A62)*SUMIFS(PIL!$J$15:$J$28,PIL!$A$15:$A$28,$A62)*(SUM(PIL!$K$15:$K$28)/SUMPRODUCT(PIL!$K$15:$K$28,PIL!$J$15:$J$28)))</f>
        <v/>
      </c>
      <c r="U62" t="str">
        <f>IF($A62="","",SUMIFS(PIL!$K$15:$K$28,PIL!$A$15:$A$28,$A62))</f>
        <v/>
      </c>
      <c r="V62" t="str">
        <f>IF($A62="","",IF($B62="V01",cad!$C$23,IF($B62="V02",cad!$D$23,cad!$E$23)))</f>
        <v/>
      </c>
      <c r="W62" t="str">
        <f>IF($A62="","",IF($B62="V01",cad!$C$24,IF($B62="V02",cad!$D$24,cad!$E$24)))</f>
        <v/>
      </c>
      <c r="X62" t="str">
        <f>IF($A62="","",IF($B62="V01",cad!$C$25,IF($B62="V02",cad!$D$25,cad!$E$25)))</f>
        <v/>
      </c>
      <c r="Y62" t="str">
        <f>IF($A62="","",IF($B62="V01",cad!$C$26,IF($B62="V02",cad!$D$26,cad!$E$26)))</f>
        <v/>
      </c>
      <c r="Z62" t="str">
        <f>IF($A62="","",IF($B62="V01",cad!$C$27,IF($B62="V02",cad!$D$27,cad!$E$27)))</f>
        <v/>
      </c>
      <c r="AA62" t="str">
        <f>IF($A62="","",IF($B62="V01",cad!$C$28,IF($B62="V02",cad!$D$28,cad!$E$28)))</f>
        <v/>
      </c>
      <c r="AB62" t="str">
        <f>IF($A62="","",IF($B62="V01",cad!$C$39,IF($B62="V02",cad!$D$39,cad!$E$39)))</f>
        <v/>
      </c>
      <c r="AC62" t="str">
        <f>IF($A62="","",IF($F62="MBWAY",cad!$J$12,IF($F62="ISCOM",cad!$J$13,IF($F62="IPAC",cad!$J$14,IF($F62="PIGIER",cad!$J$15,cad!$J$16)))))</f>
        <v/>
      </c>
      <c r="AD62" t="str">
        <f t="shared" si="1"/>
        <v/>
      </c>
      <c r="AE62" t="str">
        <f t="shared" si="2"/>
        <v/>
      </c>
      <c r="AF62" t="str">
        <f t="shared" si="3"/>
        <v/>
      </c>
      <c r="AG62" t="str">
        <f t="shared" si="4"/>
        <v/>
      </c>
      <c r="AH62" t="str">
        <f t="shared" si="5"/>
        <v/>
      </c>
    </row>
    <row r="63" spans="1:34" x14ac:dyDescent="0.45">
      <c r="A63" t="str">
        <f>IF(Moteur!D63="","",Moteur!D63)</f>
        <v/>
      </c>
      <c r="B63" t="str">
        <f>IF(Moteur!B63="","",Moteur!B63)</f>
        <v/>
      </c>
      <c r="C63" t="str">
        <f>IF(Moteur!F63="","",Moteur!F63)</f>
        <v/>
      </c>
      <c r="D63" t="str">
        <f>IF(Moteur!G63="","",Moteur!G63)</f>
        <v/>
      </c>
      <c r="E63" t="str">
        <f>IF(Moteur!H63="","",Moteur!H63)</f>
        <v/>
      </c>
      <c r="F63" t="str">
        <f>IF(Moteur!E63="","",Moteur!E63)</f>
        <v/>
      </c>
      <c r="G63" t="str">
        <f>IF($A63="","",SUMIFS(Allocation2!$H$1:$H$175,Allocation2!$C$1:$C$175,$A63,Allocation2!$D$1:$D$175,$C63,Allocation2!$E$1:$E$175,$D63,Allocation2!$F$1:$F$175,$E63,Allocation2!$G$1:$G$175,"2026"))</f>
        <v/>
      </c>
      <c r="H63" t="str">
        <f>IF($A63="","",SUMIFS(Allocation2!$N$1:$N$175,Allocation2!$C$1:$C$175,$A63,Allocation2!$D$1:$D$175,$C63,Allocation2!$E$1:$E$175,$D63,Allocation2!$F$1:$F$175,$E63,Allocation2!$G$1:$G$175,"2026"))</f>
        <v/>
      </c>
      <c r="I63" t="str">
        <f>IF($A63="","",SUMIFS(Allocation2!$P$1:$P$175,Allocation2!$C$1:$C$175,$A63,Allocation2!$D$1:$D$175,$C63,Allocation2!$E$1:$E$175,$D63,Allocation2!$F$1:$F$175,$E63,Allocation2!$G$1:$G$175,"2026"))</f>
        <v/>
      </c>
      <c r="J63" t="str">
        <f>IF($A63="","",SUMIFS(Allocation2!$W$1:$W$175,Allocation2!$C$1:$C$175,$A63,Allocation2!$D$1:$D$175,$C63,Allocation2!$E$1:$E$175,$D63,Allocation2!$F$1:$F$175,$E63,Allocation2!$G$1:$G$175,"2026"))</f>
        <v/>
      </c>
      <c r="K63" t="str">
        <f>IF($A63="","",SUMIFS(Allocation2!$X$1:$X$175,Allocation2!$C$1:$C$175,$A63,Allocation2!$D$1:$D$175,$C63,Allocation2!$E$1:$E$175,$D63,Allocation2!$F$1:$F$175,$E63,Allocation2!$G$1:$G$175,"2026"))</f>
        <v/>
      </c>
      <c r="L63" t="str">
        <f>IF($A63="","",SUMIFS(Allocation2!$Y$1:$Y$175,Allocation2!$C$1:$C$175,$A63,Allocation2!$D$1:$D$175,$C63,Allocation2!$E$1:$E$175,$D63,Allocation2!$F$1:$F$175,$E63,Allocation2!$G$1:$G$175,"2026"))</f>
        <v/>
      </c>
      <c r="M63" t="str">
        <f>IF($A63="","",SUMIFS(Allocation2!$V$1:$V$175,Allocation2!$C$1:$C$175,$A63,Allocation2!$D$1:$D$175,$C63,Allocation2!$E$1:$E$175,$D63,Allocation2!$F$1:$F$175,$E63,Allocation2!$G$1:$G$175,"2026"))</f>
        <v/>
      </c>
      <c r="N63" t="str">
        <f t="shared" si="0"/>
        <v/>
      </c>
      <c r="O63" t="str">
        <f>IF($A63="","",SUMIFS(Campagne!$D$1:$D$15,Campagne!$C$1:$C$15,$A63))</f>
        <v/>
      </c>
      <c r="P63" t="str">
        <f>IF($A63="","",SUMIFS(Campagne!$E$1:$E$15,Campagne!$C$1:$C$15,$A63))</f>
        <v/>
      </c>
      <c r="Q63" t="str">
        <f>IF($A63="","",SUMIFS(Campagne!$F$1:$F$15,Campagne!$C$1:$C$15,$A63))</f>
        <v/>
      </c>
      <c r="R63" t="str">
        <f>IF($A63="","",SUMIFS(Campagne!$K$1:$K$15,Campagne!$C$1:$C$15,$A63))</f>
        <v/>
      </c>
      <c r="S63" t="str">
        <f>IF($A63="","",SUMIFS(Campagne!$M$1:$M$15,Campagne!$C$1:$C$15,$A63))</f>
        <v/>
      </c>
      <c r="T63" t="str">
        <f>IF($A63="","",SUMIFS(PIL!$K$15:$K$28,PIL!$A$15:$A$28,$A63)*SUMIFS(PIL!$J$15:$J$28,PIL!$A$15:$A$28,$A63)*(SUM(PIL!$K$15:$K$28)/SUMPRODUCT(PIL!$K$15:$K$28,PIL!$J$15:$J$28)))</f>
        <v/>
      </c>
      <c r="U63" t="str">
        <f>IF($A63="","",SUMIFS(PIL!$K$15:$K$28,PIL!$A$15:$A$28,$A63))</f>
        <v/>
      </c>
      <c r="V63" t="str">
        <f>IF($A63="","",IF($B63="V01",cad!$C$23,IF($B63="V02",cad!$D$23,cad!$E$23)))</f>
        <v/>
      </c>
      <c r="W63" t="str">
        <f>IF($A63="","",IF($B63="V01",cad!$C$24,IF($B63="V02",cad!$D$24,cad!$E$24)))</f>
        <v/>
      </c>
      <c r="X63" t="str">
        <f>IF($A63="","",IF($B63="V01",cad!$C$25,IF($B63="V02",cad!$D$25,cad!$E$25)))</f>
        <v/>
      </c>
      <c r="Y63" t="str">
        <f>IF($A63="","",IF($B63="V01",cad!$C$26,IF($B63="V02",cad!$D$26,cad!$E$26)))</f>
        <v/>
      </c>
      <c r="Z63" t="str">
        <f>IF($A63="","",IF($B63="V01",cad!$C$27,IF($B63="V02",cad!$D$27,cad!$E$27)))</f>
        <v/>
      </c>
      <c r="AA63" t="str">
        <f>IF($A63="","",IF($B63="V01",cad!$C$28,IF($B63="V02",cad!$D$28,cad!$E$28)))</f>
        <v/>
      </c>
      <c r="AB63" t="str">
        <f>IF($A63="","",IF($B63="V01",cad!$C$39,IF($B63="V02",cad!$D$39,cad!$E$39)))</f>
        <v/>
      </c>
      <c r="AC63" t="str">
        <f>IF($A63="","",IF($F63="MBWAY",cad!$J$12,IF($F63="ISCOM",cad!$J$13,IF($F63="IPAC",cad!$J$14,IF($F63="PIGIER",cad!$J$15,cad!$J$16)))))</f>
        <v/>
      </c>
      <c r="AD63" t="str">
        <f t="shared" si="1"/>
        <v/>
      </c>
      <c r="AE63" t="str">
        <f t="shared" si="2"/>
        <v/>
      </c>
      <c r="AF63" t="str">
        <f t="shared" si="3"/>
        <v/>
      </c>
      <c r="AG63" t="str">
        <f t="shared" si="4"/>
        <v/>
      </c>
      <c r="AH63" t="str">
        <f t="shared" si="5"/>
        <v/>
      </c>
    </row>
    <row r="64" spans="1:34" x14ac:dyDescent="0.45">
      <c r="A64" t="str">
        <f>IF(Moteur!D64="","",Moteur!D64)</f>
        <v/>
      </c>
      <c r="B64" t="str">
        <f>IF(Moteur!B64="","",Moteur!B64)</f>
        <v/>
      </c>
      <c r="C64" t="str">
        <f>IF(Moteur!F64="","",Moteur!F64)</f>
        <v/>
      </c>
      <c r="D64" t="str">
        <f>IF(Moteur!G64="","",Moteur!G64)</f>
        <v/>
      </c>
      <c r="E64" t="str">
        <f>IF(Moteur!H64="","",Moteur!H64)</f>
        <v/>
      </c>
      <c r="F64" t="str">
        <f>IF(Moteur!E64="","",Moteur!E64)</f>
        <v/>
      </c>
      <c r="G64" t="str">
        <f>IF($A64="","",SUMIFS(Allocation2!$H$1:$H$175,Allocation2!$C$1:$C$175,$A64,Allocation2!$D$1:$D$175,$C64,Allocation2!$E$1:$E$175,$D64,Allocation2!$F$1:$F$175,$E64,Allocation2!$G$1:$G$175,"2026"))</f>
        <v/>
      </c>
      <c r="H64" t="str">
        <f>IF($A64="","",SUMIFS(Allocation2!$N$1:$N$175,Allocation2!$C$1:$C$175,$A64,Allocation2!$D$1:$D$175,$C64,Allocation2!$E$1:$E$175,$D64,Allocation2!$F$1:$F$175,$E64,Allocation2!$G$1:$G$175,"2026"))</f>
        <v/>
      </c>
      <c r="I64" t="str">
        <f>IF($A64="","",SUMIFS(Allocation2!$P$1:$P$175,Allocation2!$C$1:$C$175,$A64,Allocation2!$D$1:$D$175,$C64,Allocation2!$E$1:$E$175,$D64,Allocation2!$F$1:$F$175,$E64,Allocation2!$G$1:$G$175,"2026"))</f>
        <v/>
      </c>
      <c r="J64" t="str">
        <f>IF($A64="","",SUMIFS(Allocation2!$W$1:$W$175,Allocation2!$C$1:$C$175,$A64,Allocation2!$D$1:$D$175,$C64,Allocation2!$E$1:$E$175,$D64,Allocation2!$F$1:$F$175,$E64,Allocation2!$G$1:$G$175,"2026"))</f>
        <v/>
      </c>
      <c r="K64" t="str">
        <f>IF($A64="","",SUMIFS(Allocation2!$X$1:$X$175,Allocation2!$C$1:$C$175,$A64,Allocation2!$D$1:$D$175,$C64,Allocation2!$E$1:$E$175,$D64,Allocation2!$F$1:$F$175,$E64,Allocation2!$G$1:$G$175,"2026"))</f>
        <v/>
      </c>
      <c r="L64" t="str">
        <f>IF($A64="","",SUMIFS(Allocation2!$Y$1:$Y$175,Allocation2!$C$1:$C$175,$A64,Allocation2!$D$1:$D$175,$C64,Allocation2!$E$1:$E$175,$D64,Allocation2!$F$1:$F$175,$E64,Allocation2!$G$1:$G$175,"2026"))</f>
        <v/>
      </c>
      <c r="M64" t="str">
        <f>IF($A64="","",SUMIFS(Allocation2!$V$1:$V$175,Allocation2!$C$1:$C$175,$A64,Allocation2!$D$1:$D$175,$C64,Allocation2!$E$1:$E$175,$D64,Allocation2!$F$1:$F$175,$E64,Allocation2!$G$1:$G$175,"2026"))</f>
        <v/>
      </c>
      <c r="N64" t="str">
        <f t="shared" si="0"/>
        <v/>
      </c>
      <c r="O64" t="str">
        <f>IF($A64="","",SUMIFS(Campagne!$D$1:$D$15,Campagne!$C$1:$C$15,$A64))</f>
        <v/>
      </c>
      <c r="P64" t="str">
        <f>IF($A64="","",SUMIFS(Campagne!$E$1:$E$15,Campagne!$C$1:$C$15,$A64))</f>
        <v/>
      </c>
      <c r="Q64" t="str">
        <f>IF($A64="","",SUMIFS(Campagne!$F$1:$F$15,Campagne!$C$1:$C$15,$A64))</f>
        <v/>
      </c>
      <c r="R64" t="str">
        <f>IF($A64="","",SUMIFS(Campagne!$K$1:$K$15,Campagne!$C$1:$C$15,$A64))</f>
        <v/>
      </c>
      <c r="S64" t="str">
        <f>IF($A64="","",SUMIFS(Campagne!$M$1:$M$15,Campagne!$C$1:$C$15,$A64))</f>
        <v/>
      </c>
      <c r="T64" t="str">
        <f>IF($A64="","",SUMIFS(PIL!$K$15:$K$28,PIL!$A$15:$A$28,$A64)*SUMIFS(PIL!$J$15:$J$28,PIL!$A$15:$A$28,$A64)*(SUM(PIL!$K$15:$K$28)/SUMPRODUCT(PIL!$K$15:$K$28,PIL!$J$15:$J$28)))</f>
        <v/>
      </c>
      <c r="U64" t="str">
        <f>IF($A64="","",SUMIFS(PIL!$K$15:$K$28,PIL!$A$15:$A$28,$A64))</f>
        <v/>
      </c>
      <c r="V64" t="str">
        <f>IF($A64="","",IF($B64="V01",cad!$C$23,IF($B64="V02",cad!$D$23,cad!$E$23)))</f>
        <v/>
      </c>
      <c r="W64" t="str">
        <f>IF($A64="","",IF($B64="V01",cad!$C$24,IF($B64="V02",cad!$D$24,cad!$E$24)))</f>
        <v/>
      </c>
      <c r="X64" t="str">
        <f>IF($A64="","",IF($B64="V01",cad!$C$25,IF($B64="V02",cad!$D$25,cad!$E$25)))</f>
        <v/>
      </c>
      <c r="Y64" t="str">
        <f>IF($A64="","",IF($B64="V01",cad!$C$26,IF($B64="V02",cad!$D$26,cad!$E$26)))</f>
        <v/>
      </c>
      <c r="Z64" t="str">
        <f>IF($A64="","",IF($B64="V01",cad!$C$27,IF($B64="V02",cad!$D$27,cad!$E$27)))</f>
        <v/>
      </c>
      <c r="AA64" t="str">
        <f>IF($A64="","",IF($B64="V01",cad!$C$28,IF($B64="V02",cad!$D$28,cad!$E$28)))</f>
        <v/>
      </c>
      <c r="AB64" t="str">
        <f>IF($A64="","",IF($B64="V01",cad!$C$39,IF($B64="V02",cad!$D$39,cad!$E$39)))</f>
        <v/>
      </c>
      <c r="AC64" t="str">
        <f>IF($A64="","",IF($F64="MBWAY",cad!$J$12,IF($F64="ISCOM",cad!$J$13,IF($F64="IPAC",cad!$J$14,IF($F64="PIGIER",cad!$J$15,cad!$J$16)))))</f>
        <v/>
      </c>
      <c r="AD64" t="str">
        <f t="shared" si="1"/>
        <v/>
      </c>
      <c r="AE64" t="str">
        <f t="shared" si="2"/>
        <v/>
      </c>
      <c r="AF64" t="str">
        <f t="shared" si="3"/>
        <v/>
      </c>
      <c r="AG64" t="str">
        <f t="shared" si="4"/>
        <v/>
      </c>
      <c r="AH64" t="str">
        <f t="shared" si="5"/>
        <v/>
      </c>
    </row>
    <row r="65" spans="1:34" x14ac:dyDescent="0.45">
      <c r="A65" t="str">
        <f>IF(Moteur!D65="","",Moteur!D65)</f>
        <v/>
      </c>
      <c r="B65" t="str">
        <f>IF(Moteur!B65="","",Moteur!B65)</f>
        <v/>
      </c>
      <c r="C65" t="str">
        <f>IF(Moteur!F65="","",Moteur!F65)</f>
        <v/>
      </c>
      <c r="D65" t="str">
        <f>IF(Moteur!G65="","",Moteur!G65)</f>
        <v/>
      </c>
      <c r="E65" t="str">
        <f>IF(Moteur!H65="","",Moteur!H65)</f>
        <v/>
      </c>
      <c r="F65" t="str">
        <f>IF(Moteur!E65="","",Moteur!E65)</f>
        <v/>
      </c>
      <c r="G65" t="str">
        <f>IF($A65="","",SUMIFS(Allocation2!$H$1:$H$175,Allocation2!$C$1:$C$175,$A65,Allocation2!$D$1:$D$175,$C65,Allocation2!$E$1:$E$175,$D65,Allocation2!$F$1:$F$175,$E65,Allocation2!$G$1:$G$175,"2026"))</f>
        <v/>
      </c>
      <c r="H65" t="str">
        <f>IF($A65="","",SUMIFS(Allocation2!$N$1:$N$175,Allocation2!$C$1:$C$175,$A65,Allocation2!$D$1:$D$175,$C65,Allocation2!$E$1:$E$175,$D65,Allocation2!$F$1:$F$175,$E65,Allocation2!$G$1:$G$175,"2026"))</f>
        <v/>
      </c>
      <c r="I65" t="str">
        <f>IF($A65="","",SUMIFS(Allocation2!$P$1:$P$175,Allocation2!$C$1:$C$175,$A65,Allocation2!$D$1:$D$175,$C65,Allocation2!$E$1:$E$175,$D65,Allocation2!$F$1:$F$175,$E65,Allocation2!$G$1:$G$175,"2026"))</f>
        <v/>
      </c>
      <c r="J65" t="str">
        <f>IF($A65="","",SUMIFS(Allocation2!$W$1:$W$175,Allocation2!$C$1:$C$175,$A65,Allocation2!$D$1:$D$175,$C65,Allocation2!$E$1:$E$175,$D65,Allocation2!$F$1:$F$175,$E65,Allocation2!$G$1:$G$175,"2026"))</f>
        <v/>
      </c>
      <c r="K65" t="str">
        <f>IF($A65="","",SUMIFS(Allocation2!$X$1:$X$175,Allocation2!$C$1:$C$175,$A65,Allocation2!$D$1:$D$175,$C65,Allocation2!$E$1:$E$175,$D65,Allocation2!$F$1:$F$175,$E65,Allocation2!$G$1:$G$175,"2026"))</f>
        <v/>
      </c>
      <c r="L65" t="str">
        <f>IF($A65="","",SUMIFS(Allocation2!$Y$1:$Y$175,Allocation2!$C$1:$C$175,$A65,Allocation2!$D$1:$D$175,$C65,Allocation2!$E$1:$E$175,$D65,Allocation2!$F$1:$F$175,$E65,Allocation2!$G$1:$G$175,"2026"))</f>
        <v/>
      </c>
      <c r="M65" t="str">
        <f>IF($A65="","",SUMIFS(Allocation2!$V$1:$V$175,Allocation2!$C$1:$C$175,$A65,Allocation2!$D$1:$D$175,$C65,Allocation2!$E$1:$E$175,$D65,Allocation2!$F$1:$F$175,$E65,Allocation2!$G$1:$G$175,"2026"))</f>
        <v/>
      </c>
      <c r="N65" t="str">
        <f t="shared" si="0"/>
        <v/>
      </c>
      <c r="O65" t="str">
        <f>IF($A65="","",SUMIFS(Campagne!$D$1:$D$15,Campagne!$C$1:$C$15,$A65))</f>
        <v/>
      </c>
      <c r="P65" t="str">
        <f>IF($A65="","",SUMIFS(Campagne!$E$1:$E$15,Campagne!$C$1:$C$15,$A65))</f>
        <v/>
      </c>
      <c r="Q65" t="str">
        <f>IF($A65="","",SUMIFS(Campagne!$F$1:$F$15,Campagne!$C$1:$C$15,$A65))</f>
        <v/>
      </c>
      <c r="R65" t="str">
        <f>IF($A65="","",SUMIFS(Campagne!$K$1:$K$15,Campagne!$C$1:$C$15,$A65))</f>
        <v/>
      </c>
      <c r="S65" t="str">
        <f>IF($A65="","",SUMIFS(Campagne!$M$1:$M$15,Campagne!$C$1:$C$15,$A65))</f>
        <v/>
      </c>
      <c r="T65" t="str">
        <f>IF($A65="","",SUMIFS(PIL!$K$15:$K$28,PIL!$A$15:$A$28,$A65)*SUMIFS(PIL!$J$15:$J$28,PIL!$A$15:$A$28,$A65)*(SUM(PIL!$K$15:$K$28)/SUMPRODUCT(PIL!$K$15:$K$28,PIL!$J$15:$J$28)))</f>
        <v/>
      </c>
      <c r="U65" t="str">
        <f>IF($A65="","",SUMIFS(PIL!$K$15:$K$28,PIL!$A$15:$A$28,$A65))</f>
        <v/>
      </c>
      <c r="V65" t="str">
        <f>IF($A65="","",IF($B65="V01",cad!$C$23,IF($B65="V02",cad!$D$23,cad!$E$23)))</f>
        <v/>
      </c>
      <c r="W65" t="str">
        <f>IF($A65="","",IF($B65="V01",cad!$C$24,IF($B65="V02",cad!$D$24,cad!$E$24)))</f>
        <v/>
      </c>
      <c r="X65" t="str">
        <f>IF($A65="","",IF($B65="V01",cad!$C$25,IF($B65="V02",cad!$D$25,cad!$E$25)))</f>
        <v/>
      </c>
      <c r="Y65" t="str">
        <f>IF($A65="","",IF($B65="V01",cad!$C$26,IF($B65="V02",cad!$D$26,cad!$E$26)))</f>
        <v/>
      </c>
      <c r="Z65" t="str">
        <f>IF($A65="","",IF($B65="V01",cad!$C$27,IF($B65="V02",cad!$D$27,cad!$E$27)))</f>
        <v/>
      </c>
      <c r="AA65" t="str">
        <f>IF($A65="","",IF($B65="V01",cad!$C$28,IF($B65="V02",cad!$D$28,cad!$E$28)))</f>
        <v/>
      </c>
      <c r="AB65" t="str">
        <f>IF($A65="","",IF($B65="V01",cad!$C$39,IF($B65="V02",cad!$D$39,cad!$E$39)))</f>
        <v/>
      </c>
      <c r="AC65" t="str">
        <f>IF($A65="","",IF($F65="MBWAY",cad!$J$12,IF($F65="ISCOM",cad!$J$13,IF($F65="IPAC",cad!$J$14,IF($F65="PIGIER",cad!$J$15,cad!$J$16)))))</f>
        <v/>
      </c>
      <c r="AD65" t="str">
        <f t="shared" si="1"/>
        <v/>
      </c>
      <c r="AE65" t="str">
        <f t="shared" si="2"/>
        <v/>
      </c>
      <c r="AF65" t="str">
        <f t="shared" si="3"/>
        <v/>
      </c>
      <c r="AG65" t="str">
        <f t="shared" si="4"/>
        <v/>
      </c>
      <c r="AH65" t="str">
        <f t="shared" si="5"/>
        <v/>
      </c>
    </row>
    <row r="66" spans="1:34" x14ac:dyDescent="0.45">
      <c r="A66" t="str">
        <f>IF(Moteur!D66="","",Moteur!D66)</f>
        <v/>
      </c>
      <c r="B66" t="str">
        <f>IF(Moteur!B66="","",Moteur!B66)</f>
        <v/>
      </c>
      <c r="C66" t="str">
        <f>IF(Moteur!F66="","",Moteur!F66)</f>
        <v/>
      </c>
      <c r="D66" t="str">
        <f>IF(Moteur!G66="","",Moteur!G66)</f>
        <v/>
      </c>
      <c r="E66" t="str">
        <f>IF(Moteur!H66="","",Moteur!H66)</f>
        <v/>
      </c>
      <c r="F66" t="str">
        <f>IF(Moteur!E66="","",Moteur!E66)</f>
        <v/>
      </c>
      <c r="G66" t="str">
        <f>IF($A66="","",SUMIFS(Allocation2!$H$1:$H$175,Allocation2!$C$1:$C$175,$A66,Allocation2!$D$1:$D$175,$C66,Allocation2!$E$1:$E$175,$D66,Allocation2!$F$1:$F$175,$E66,Allocation2!$G$1:$G$175,"2026"))</f>
        <v/>
      </c>
      <c r="H66" t="str">
        <f>IF($A66="","",SUMIFS(Allocation2!$N$1:$N$175,Allocation2!$C$1:$C$175,$A66,Allocation2!$D$1:$D$175,$C66,Allocation2!$E$1:$E$175,$D66,Allocation2!$F$1:$F$175,$E66,Allocation2!$G$1:$G$175,"2026"))</f>
        <v/>
      </c>
      <c r="I66" t="str">
        <f>IF($A66="","",SUMIFS(Allocation2!$P$1:$P$175,Allocation2!$C$1:$C$175,$A66,Allocation2!$D$1:$D$175,$C66,Allocation2!$E$1:$E$175,$D66,Allocation2!$F$1:$F$175,$E66,Allocation2!$G$1:$G$175,"2026"))</f>
        <v/>
      </c>
      <c r="J66" t="str">
        <f>IF($A66="","",SUMIFS(Allocation2!$W$1:$W$175,Allocation2!$C$1:$C$175,$A66,Allocation2!$D$1:$D$175,$C66,Allocation2!$E$1:$E$175,$D66,Allocation2!$F$1:$F$175,$E66,Allocation2!$G$1:$G$175,"2026"))</f>
        <v/>
      </c>
      <c r="K66" t="str">
        <f>IF($A66="","",SUMIFS(Allocation2!$X$1:$X$175,Allocation2!$C$1:$C$175,$A66,Allocation2!$D$1:$D$175,$C66,Allocation2!$E$1:$E$175,$D66,Allocation2!$F$1:$F$175,$E66,Allocation2!$G$1:$G$175,"2026"))</f>
        <v/>
      </c>
      <c r="L66" t="str">
        <f>IF($A66="","",SUMIFS(Allocation2!$Y$1:$Y$175,Allocation2!$C$1:$C$175,$A66,Allocation2!$D$1:$D$175,$C66,Allocation2!$E$1:$E$175,$D66,Allocation2!$F$1:$F$175,$E66,Allocation2!$G$1:$G$175,"2026"))</f>
        <v/>
      </c>
      <c r="M66" t="str">
        <f>IF($A66="","",SUMIFS(Allocation2!$V$1:$V$175,Allocation2!$C$1:$C$175,$A66,Allocation2!$D$1:$D$175,$C66,Allocation2!$E$1:$E$175,$D66,Allocation2!$F$1:$F$175,$E66,Allocation2!$G$1:$G$175,"2026"))</f>
        <v/>
      </c>
      <c r="N66" t="str">
        <f t="shared" ref="N66:N129" si="6">IF($A66="","",IF(OR($D66="B1",$D66="M1",$D66="BTS1"),1,0))</f>
        <v/>
      </c>
      <c r="O66" t="str">
        <f>IF($A66="","",SUMIFS(Campagne!$D$1:$D$15,Campagne!$C$1:$C$15,$A66))</f>
        <v/>
      </c>
      <c r="P66" t="str">
        <f>IF($A66="","",SUMIFS(Campagne!$E$1:$E$15,Campagne!$C$1:$C$15,$A66))</f>
        <v/>
      </c>
      <c r="Q66" t="str">
        <f>IF($A66="","",SUMIFS(Campagne!$F$1:$F$15,Campagne!$C$1:$C$15,$A66))</f>
        <v/>
      </c>
      <c r="R66" t="str">
        <f>IF($A66="","",SUMIFS(Campagne!$K$1:$K$15,Campagne!$C$1:$C$15,$A66))</f>
        <v/>
      </c>
      <c r="S66" t="str">
        <f>IF($A66="","",SUMIFS(Campagne!$M$1:$M$15,Campagne!$C$1:$C$15,$A66))</f>
        <v/>
      </c>
      <c r="T66" t="str">
        <f>IF($A66="","",SUMIFS(PIL!$K$15:$K$28,PIL!$A$15:$A$28,$A66)*SUMIFS(PIL!$J$15:$J$28,PIL!$A$15:$A$28,$A66)*(SUM(PIL!$K$15:$K$28)/SUMPRODUCT(PIL!$K$15:$K$28,PIL!$J$15:$J$28)))</f>
        <v/>
      </c>
      <c r="U66" t="str">
        <f>IF($A66="","",SUMIFS(PIL!$K$15:$K$28,PIL!$A$15:$A$28,$A66))</f>
        <v/>
      </c>
      <c r="V66" t="str">
        <f>IF($A66="","",IF($B66="V01",cad!$C$23,IF($B66="V02",cad!$D$23,cad!$E$23)))</f>
        <v/>
      </c>
      <c r="W66" t="str">
        <f>IF($A66="","",IF($B66="V01",cad!$C$24,IF($B66="V02",cad!$D$24,cad!$E$24)))</f>
        <v/>
      </c>
      <c r="X66" t="str">
        <f>IF($A66="","",IF($B66="V01",cad!$C$25,IF($B66="V02",cad!$D$25,cad!$E$25)))</f>
        <v/>
      </c>
      <c r="Y66" t="str">
        <f>IF($A66="","",IF($B66="V01",cad!$C$26,IF($B66="V02",cad!$D$26,cad!$E$26)))</f>
        <v/>
      </c>
      <c r="Z66" t="str">
        <f>IF($A66="","",IF($B66="V01",cad!$C$27,IF($B66="V02",cad!$D$27,cad!$E$27)))</f>
        <v/>
      </c>
      <c r="AA66" t="str">
        <f>IF($A66="","",IF($B66="V01",cad!$C$28,IF($B66="V02",cad!$D$28,cad!$E$28)))</f>
        <v/>
      </c>
      <c r="AB66" t="str">
        <f>IF($A66="","",IF($B66="V01",cad!$C$39,IF($B66="V02",cad!$D$39,cad!$E$39)))</f>
        <v/>
      </c>
      <c r="AC66" t="str">
        <f>IF($A66="","",IF($F66="MBWAY",cad!$J$12,IF($F66="ISCOM",cad!$J$13,IF($F66="IPAC",cad!$J$14,IF($F66="PIGIER",cad!$J$15,cad!$J$16)))))</f>
        <v/>
      </c>
      <c r="AD66" t="str">
        <f t="shared" ref="AD66:AD129" si="7">IF($A66="","",($O66*(1+$W66)^$S66+$P66*IFERROR((($T66/$U66)*(1+$V66))^$R66,0))*IFERROR($G66/$Q66,0)*($J66+$Y66)*$K66*($L66+$Z66))</f>
        <v/>
      </c>
      <c r="AE66" t="str">
        <f t="shared" ref="AE66:AE129" si="8">IF($A66="","",IF($N66=1,$AD66,0))</f>
        <v/>
      </c>
      <c r="AF66" t="str">
        <f t="shared" ref="AF66:AF129" si="9">IF($A66="","",IF($N66=1,$AD66,$H66*($M66+$AA66)))</f>
        <v/>
      </c>
      <c r="AG66" t="str">
        <f t="shared" ref="AG66:AG129" si="10">IF($A66="","",$I66*(1+$X66*$AC66))</f>
        <v/>
      </c>
      <c r="AH66" t="str">
        <f t="shared" ref="AH66:AH129" si="11">IF($A66="","",$AF66*$AG66+$AE66*$AB66)</f>
        <v/>
      </c>
    </row>
    <row r="67" spans="1:34" x14ac:dyDescent="0.45">
      <c r="A67" t="str">
        <f>IF(Moteur!D67="","",Moteur!D67)</f>
        <v/>
      </c>
      <c r="B67" t="str">
        <f>IF(Moteur!B67="","",Moteur!B67)</f>
        <v/>
      </c>
      <c r="C67" t="str">
        <f>IF(Moteur!F67="","",Moteur!F67)</f>
        <v/>
      </c>
      <c r="D67" t="str">
        <f>IF(Moteur!G67="","",Moteur!G67)</f>
        <v/>
      </c>
      <c r="E67" t="str">
        <f>IF(Moteur!H67="","",Moteur!H67)</f>
        <v/>
      </c>
      <c r="F67" t="str">
        <f>IF(Moteur!E67="","",Moteur!E67)</f>
        <v/>
      </c>
      <c r="G67" t="str">
        <f>IF($A67="","",SUMIFS(Allocation2!$H$1:$H$175,Allocation2!$C$1:$C$175,$A67,Allocation2!$D$1:$D$175,$C67,Allocation2!$E$1:$E$175,$D67,Allocation2!$F$1:$F$175,$E67,Allocation2!$G$1:$G$175,"2026"))</f>
        <v/>
      </c>
      <c r="H67" t="str">
        <f>IF($A67="","",SUMIFS(Allocation2!$N$1:$N$175,Allocation2!$C$1:$C$175,$A67,Allocation2!$D$1:$D$175,$C67,Allocation2!$E$1:$E$175,$D67,Allocation2!$F$1:$F$175,$E67,Allocation2!$G$1:$G$175,"2026"))</f>
        <v/>
      </c>
      <c r="I67" t="str">
        <f>IF($A67="","",SUMIFS(Allocation2!$P$1:$P$175,Allocation2!$C$1:$C$175,$A67,Allocation2!$D$1:$D$175,$C67,Allocation2!$E$1:$E$175,$D67,Allocation2!$F$1:$F$175,$E67,Allocation2!$G$1:$G$175,"2026"))</f>
        <v/>
      </c>
      <c r="J67" t="str">
        <f>IF($A67="","",SUMIFS(Allocation2!$W$1:$W$175,Allocation2!$C$1:$C$175,$A67,Allocation2!$D$1:$D$175,$C67,Allocation2!$E$1:$E$175,$D67,Allocation2!$F$1:$F$175,$E67,Allocation2!$G$1:$G$175,"2026"))</f>
        <v/>
      </c>
      <c r="K67" t="str">
        <f>IF($A67="","",SUMIFS(Allocation2!$X$1:$X$175,Allocation2!$C$1:$C$175,$A67,Allocation2!$D$1:$D$175,$C67,Allocation2!$E$1:$E$175,$D67,Allocation2!$F$1:$F$175,$E67,Allocation2!$G$1:$G$175,"2026"))</f>
        <v/>
      </c>
      <c r="L67" t="str">
        <f>IF($A67="","",SUMIFS(Allocation2!$Y$1:$Y$175,Allocation2!$C$1:$C$175,$A67,Allocation2!$D$1:$D$175,$C67,Allocation2!$E$1:$E$175,$D67,Allocation2!$F$1:$F$175,$E67,Allocation2!$G$1:$G$175,"2026"))</f>
        <v/>
      </c>
      <c r="M67" t="str">
        <f>IF($A67="","",SUMIFS(Allocation2!$V$1:$V$175,Allocation2!$C$1:$C$175,$A67,Allocation2!$D$1:$D$175,$C67,Allocation2!$E$1:$E$175,$D67,Allocation2!$F$1:$F$175,$E67,Allocation2!$G$1:$G$175,"2026"))</f>
        <v/>
      </c>
      <c r="N67" t="str">
        <f t="shared" si="6"/>
        <v/>
      </c>
      <c r="O67" t="str">
        <f>IF($A67="","",SUMIFS(Campagne!$D$1:$D$15,Campagne!$C$1:$C$15,$A67))</f>
        <v/>
      </c>
      <c r="P67" t="str">
        <f>IF($A67="","",SUMIFS(Campagne!$E$1:$E$15,Campagne!$C$1:$C$15,$A67))</f>
        <v/>
      </c>
      <c r="Q67" t="str">
        <f>IF($A67="","",SUMIFS(Campagne!$F$1:$F$15,Campagne!$C$1:$C$15,$A67))</f>
        <v/>
      </c>
      <c r="R67" t="str">
        <f>IF($A67="","",SUMIFS(Campagne!$K$1:$K$15,Campagne!$C$1:$C$15,$A67))</f>
        <v/>
      </c>
      <c r="S67" t="str">
        <f>IF($A67="","",SUMIFS(Campagne!$M$1:$M$15,Campagne!$C$1:$C$15,$A67))</f>
        <v/>
      </c>
      <c r="T67" t="str">
        <f>IF($A67="","",SUMIFS(PIL!$K$15:$K$28,PIL!$A$15:$A$28,$A67)*SUMIFS(PIL!$J$15:$J$28,PIL!$A$15:$A$28,$A67)*(SUM(PIL!$K$15:$K$28)/SUMPRODUCT(PIL!$K$15:$K$28,PIL!$J$15:$J$28)))</f>
        <v/>
      </c>
      <c r="U67" t="str">
        <f>IF($A67="","",SUMIFS(PIL!$K$15:$K$28,PIL!$A$15:$A$28,$A67))</f>
        <v/>
      </c>
      <c r="V67" t="str">
        <f>IF($A67="","",IF($B67="V01",cad!$C$23,IF($B67="V02",cad!$D$23,cad!$E$23)))</f>
        <v/>
      </c>
      <c r="W67" t="str">
        <f>IF($A67="","",IF($B67="V01",cad!$C$24,IF($B67="V02",cad!$D$24,cad!$E$24)))</f>
        <v/>
      </c>
      <c r="X67" t="str">
        <f>IF($A67="","",IF($B67="V01",cad!$C$25,IF($B67="V02",cad!$D$25,cad!$E$25)))</f>
        <v/>
      </c>
      <c r="Y67" t="str">
        <f>IF($A67="","",IF($B67="V01",cad!$C$26,IF($B67="V02",cad!$D$26,cad!$E$26)))</f>
        <v/>
      </c>
      <c r="Z67" t="str">
        <f>IF($A67="","",IF($B67="V01",cad!$C$27,IF($B67="V02",cad!$D$27,cad!$E$27)))</f>
        <v/>
      </c>
      <c r="AA67" t="str">
        <f>IF($A67="","",IF($B67="V01",cad!$C$28,IF($B67="V02",cad!$D$28,cad!$E$28)))</f>
        <v/>
      </c>
      <c r="AB67" t="str">
        <f>IF($A67="","",IF($B67="V01",cad!$C$39,IF($B67="V02",cad!$D$39,cad!$E$39)))</f>
        <v/>
      </c>
      <c r="AC67" t="str">
        <f>IF($A67="","",IF($F67="MBWAY",cad!$J$12,IF($F67="ISCOM",cad!$J$13,IF($F67="IPAC",cad!$J$14,IF($F67="PIGIER",cad!$J$15,cad!$J$16)))))</f>
        <v/>
      </c>
      <c r="AD67" t="str">
        <f t="shared" si="7"/>
        <v/>
      </c>
      <c r="AE67" t="str">
        <f t="shared" si="8"/>
        <v/>
      </c>
      <c r="AF67" t="str">
        <f t="shared" si="9"/>
        <v/>
      </c>
      <c r="AG67" t="str">
        <f t="shared" si="10"/>
        <v/>
      </c>
      <c r="AH67" t="str">
        <f t="shared" si="11"/>
        <v/>
      </c>
    </row>
    <row r="68" spans="1:34" x14ac:dyDescent="0.45">
      <c r="A68" t="str">
        <f>IF(Moteur!D68="","",Moteur!D68)</f>
        <v/>
      </c>
      <c r="B68" t="str">
        <f>IF(Moteur!B68="","",Moteur!B68)</f>
        <v/>
      </c>
      <c r="C68" t="str">
        <f>IF(Moteur!F68="","",Moteur!F68)</f>
        <v/>
      </c>
      <c r="D68" t="str">
        <f>IF(Moteur!G68="","",Moteur!G68)</f>
        <v/>
      </c>
      <c r="E68" t="str">
        <f>IF(Moteur!H68="","",Moteur!H68)</f>
        <v/>
      </c>
      <c r="F68" t="str">
        <f>IF(Moteur!E68="","",Moteur!E68)</f>
        <v/>
      </c>
      <c r="G68" t="str">
        <f>IF($A68="","",SUMIFS(Allocation2!$H$1:$H$175,Allocation2!$C$1:$C$175,$A68,Allocation2!$D$1:$D$175,$C68,Allocation2!$E$1:$E$175,$D68,Allocation2!$F$1:$F$175,$E68,Allocation2!$G$1:$G$175,"2026"))</f>
        <v/>
      </c>
      <c r="H68" t="str">
        <f>IF($A68="","",SUMIFS(Allocation2!$N$1:$N$175,Allocation2!$C$1:$C$175,$A68,Allocation2!$D$1:$D$175,$C68,Allocation2!$E$1:$E$175,$D68,Allocation2!$F$1:$F$175,$E68,Allocation2!$G$1:$G$175,"2026"))</f>
        <v/>
      </c>
      <c r="I68" t="str">
        <f>IF($A68="","",SUMIFS(Allocation2!$P$1:$P$175,Allocation2!$C$1:$C$175,$A68,Allocation2!$D$1:$D$175,$C68,Allocation2!$E$1:$E$175,$D68,Allocation2!$F$1:$F$175,$E68,Allocation2!$G$1:$G$175,"2026"))</f>
        <v/>
      </c>
      <c r="J68" t="str">
        <f>IF($A68="","",SUMIFS(Allocation2!$W$1:$W$175,Allocation2!$C$1:$C$175,$A68,Allocation2!$D$1:$D$175,$C68,Allocation2!$E$1:$E$175,$D68,Allocation2!$F$1:$F$175,$E68,Allocation2!$G$1:$G$175,"2026"))</f>
        <v/>
      </c>
      <c r="K68" t="str">
        <f>IF($A68="","",SUMIFS(Allocation2!$X$1:$X$175,Allocation2!$C$1:$C$175,$A68,Allocation2!$D$1:$D$175,$C68,Allocation2!$E$1:$E$175,$D68,Allocation2!$F$1:$F$175,$E68,Allocation2!$G$1:$G$175,"2026"))</f>
        <v/>
      </c>
      <c r="L68" t="str">
        <f>IF($A68="","",SUMIFS(Allocation2!$Y$1:$Y$175,Allocation2!$C$1:$C$175,$A68,Allocation2!$D$1:$D$175,$C68,Allocation2!$E$1:$E$175,$D68,Allocation2!$F$1:$F$175,$E68,Allocation2!$G$1:$G$175,"2026"))</f>
        <v/>
      </c>
      <c r="M68" t="str">
        <f>IF($A68="","",SUMIFS(Allocation2!$V$1:$V$175,Allocation2!$C$1:$C$175,$A68,Allocation2!$D$1:$D$175,$C68,Allocation2!$E$1:$E$175,$D68,Allocation2!$F$1:$F$175,$E68,Allocation2!$G$1:$G$175,"2026"))</f>
        <v/>
      </c>
      <c r="N68" t="str">
        <f t="shared" si="6"/>
        <v/>
      </c>
      <c r="O68" t="str">
        <f>IF($A68="","",SUMIFS(Campagne!$D$1:$D$15,Campagne!$C$1:$C$15,$A68))</f>
        <v/>
      </c>
      <c r="P68" t="str">
        <f>IF($A68="","",SUMIFS(Campagne!$E$1:$E$15,Campagne!$C$1:$C$15,$A68))</f>
        <v/>
      </c>
      <c r="Q68" t="str">
        <f>IF($A68="","",SUMIFS(Campagne!$F$1:$F$15,Campagne!$C$1:$C$15,$A68))</f>
        <v/>
      </c>
      <c r="R68" t="str">
        <f>IF($A68="","",SUMIFS(Campagne!$K$1:$K$15,Campagne!$C$1:$C$15,$A68))</f>
        <v/>
      </c>
      <c r="S68" t="str">
        <f>IF($A68="","",SUMIFS(Campagne!$M$1:$M$15,Campagne!$C$1:$C$15,$A68))</f>
        <v/>
      </c>
      <c r="T68" t="str">
        <f>IF($A68="","",SUMIFS(PIL!$K$15:$K$28,PIL!$A$15:$A$28,$A68)*SUMIFS(PIL!$J$15:$J$28,PIL!$A$15:$A$28,$A68)*(SUM(PIL!$K$15:$K$28)/SUMPRODUCT(PIL!$K$15:$K$28,PIL!$J$15:$J$28)))</f>
        <v/>
      </c>
      <c r="U68" t="str">
        <f>IF($A68="","",SUMIFS(PIL!$K$15:$K$28,PIL!$A$15:$A$28,$A68))</f>
        <v/>
      </c>
      <c r="V68" t="str">
        <f>IF($A68="","",IF($B68="V01",cad!$C$23,IF($B68="V02",cad!$D$23,cad!$E$23)))</f>
        <v/>
      </c>
      <c r="W68" t="str">
        <f>IF($A68="","",IF($B68="V01",cad!$C$24,IF($B68="V02",cad!$D$24,cad!$E$24)))</f>
        <v/>
      </c>
      <c r="X68" t="str">
        <f>IF($A68="","",IF($B68="V01",cad!$C$25,IF($B68="V02",cad!$D$25,cad!$E$25)))</f>
        <v/>
      </c>
      <c r="Y68" t="str">
        <f>IF($A68="","",IF($B68="V01",cad!$C$26,IF($B68="V02",cad!$D$26,cad!$E$26)))</f>
        <v/>
      </c>
      <c r="Z68" t="str">
        <f>IF($A68="","",IF($B68="V01",cad!$C$27,IF($B68="V02",cad!$D$27,cad!$E$27)))</f>
        <v/>
      </c>
      <c r="AA68" t="str">
        <f>IF($A68="","",IF($B68="V01",cad!$C$28,IF($B68="V02",cad!$D$28,cad!$E$28)))</f>
        <v/>
      </c>
      <c r="AB68" t="str">
        <f>IF($A68="","",IF($B68="V01",cad!$C$39,IF($B68="V02",cad!$D$39,cad!$E$39)))</f>
        <v/>
      </c>
      <c r="AC68" t="str">
        <f>IF($A68="","",IF($F68="MBWAY",cad!$J$12,IF($F68="ISCOM",cad!$J$13,IF($F68="IPAC",cad!$J$14,IF($F68="PIGIER",cad!$J$15,cad!$J$16)))))</f>
        <v/>
      </c>
      <c r="AD68" t="str">
        <f t="shared" si="7"/>
        <v/>
      </c>
      <c r="AE68" t="str">
        <f t="shared" si="8"/>
        <v/>
      </c>
      <c r="AF68" t="str">
        <f t="shared" si="9"/>
        <v/>
      </c>
      <c r="AG68" t="str">
        <f t="shared" si="10"/>
        <v/>
      </c>
      <c r="AH68" t="str">
        <f t="shared" si="11"/>
        <v/>
      </c>
    </row>
    <row r="69" spans="1:34" x14ac:dyDescent="0.45">
      <c r="A69" t="str">
        <f>IF(Moteur!D69="","",Moteur!D69)</f>
        <v/>
      </c>
      <c r="B69" t="str">
        <f>IF(Moteur!B69="","",Moteur!B69)</f>
        <v/>
      </c>
      <c r="C69" t="str">
        <f>IF(Moteur!F69="","",Moteur!F69)</f>
        <v/>
      </c>
      <c r="D69" t="str">
        <f>IF(Moteur!G69="","",Moteur!G69)</f>
        <v/>
      </c>
      <c r="E69" t="str">
        <f>IF(Moteur!H69="","",Moteur!H69)</f>
        <v/>
      </c>
      <c r="F69" t="str">
        <f>IF(Moteur!E69="","",Moteur!E69)</f>
        <v/>
      </c>
      <c r="G69" t="str">
        <f>IF($A69="","",SUMIFS(Allocation2!$H$1:$H$175,Allocation2!$C$1:$C$175,$A69,Allocation2!$D$1:$D$175,$C69,Allocation2!$E$1:$E$175,$D69,Allocation2!$F$1:$F$175,$E69,Allocation2!$G$1:$G$175,"2026"))</f>
        <v/>
      </c>
      <c r="H69" t="str">
        <f>IF($A69="","",SUMIFS(Allocation2!$N$1:$N$175,Allocation2!$C$1:$C$175,$A69,Allocation2!$D$1:$D$175,$C69,Allocation2!$E$1:$E$175,$D69,Allocation2!$F$1:$F$175,$E69,Allocation2!$G$1:$G$175,"2026"))</f>
        <v/>
      </c>
      <c r="I69" t="str">
        <f>IF($A69="","",SUMIFS(Allocation2!$P$1:$P$175,Allocation2!$C$1:$C$175,$A69,Allocation2!$D$1:$D$175,$C69,Allocation2!$E$1:$E$175,$D69,Allocation2!$F$1:$F$175,$E69,Allocation2!$G$1:$G$175,"2026"))</f>
        <v/>
      </c>
      <c r="J69" t="str">
        <f>IF($A69="","",SUMIFS(Allocation2!$W$1:$W$175,Allocation2!$C$1:$C$175,$A69,Allocation2!$D$1:$D$175,$C69,Allocation2!$E$1:$E$175,$D69,Allocation2!$F$1:$F$175,$E69,Allocation2!$G$1:$G$175,"2026"))</f>
        <v/>
      </c>
      <c r="K69" t="str">
        <f>IF($A69="","",SUMIFS(Allocation2!$X$1:$X$175,Allocation2!$C$1:$C$175,$A69,Allocation2!$D$1:$D$175,$C69,Allocation2!$E$1:$E$175,$D69,Allocation2!$F$1:$F$175,$E69,Allocation2!$G$1:$G$175,"2026"))</f>
        <v/>
      </c>
      <c r="L69" t="str">
        <f>IF($A69="","",SUMIFS(Allocation2!$Y$1:$Y$175,Allocation2!$C$1:$C$175,$A69,Allocation2!$D$1:$D$175,$C69,Allocation2!$E$1:$E$175,$D69,Allocation2!$F$1:$F$175,$E69,Allocation2!$G$1:$G$175,"2026"))</f>
        <v/>
      </c>
      <c r="M69" t="str">
        <f>IF($A69="","",SUMIFS(Allocation2!$V$1:$V$175,Allocation2!$C$1:$C$175,$A69,Allocation2!$D$1:$D$175,$C69,Allocation2!$E$1:$E$175,$D69,Allocation2!$F$1:$F$175,$E69,Allocation2!$G$1:$G$175,"2026"))</f>
        <v/>
      </c>
      <c r="N69" t="str">
        <f t="shared" si="6"/>
        <v/>
      </c>
      <c r="O69" t="str">
        <f>IF($A69="","",SUMIFS(Campagne!$D$1:$D$15,Campagne!$C$1:$C$15,$A69))</f>
        <v/>
      </c>
      <c r="P69" t="str">
        <f>IF($A69="","",SUMIFS(Campagne!$E$1:$E$15,Campagne!$C$1:$C$15,$A69))</f>
        <v/>
      </c>
      <c r="Q69" t="str">
        <f>IF($A69="","",SUMIFS(Campagne!$F$1:$F$15,Campagne!$C$1:$C$15,$A69))</f>
        <v/>
      </c>
      <c r="R69" t="str">
        <f>IF($A69="","",SUMIFS(Campagne!$K$1:$K$15,Campagne!$C$1:$C$15,$A69))</f>
        <v/>
      </c>
      <c r="S69" t="str">
        <f>IF($A69="","",SUMIFS(Campagne!$M$1:$M$15,Campagne!$C$1:$C$15,$A69))</f>
        <v/>
      </c>
      <c r="T69" t="str">
        <f>IF($A69="","",SUMIFS(PIL!$K$15:$K$28,PIL!$A$15:$A$28,$A69)*SUMIFS(PIL!$J$15:$J$28,PIL!$A$15:$A$28,$A69)*(SUM(PIL!$K$15:$K$28)/SUMPRODUCT(PIL!$K$15:$K$28,PIL!$J$15:$J$28)))</f>
        <v/>
      </c>
      <c r="U69" t="str">
        <f>IF($A69="","",SUMIFS(PIL!$K$15:$K$28,PIL!$A$15:$A$28,$A69))</f>
        <v/>
      </c>
      <c r="V69" t="str">
        <f>IF($A69="","",IF($B69="V01",cad!$C$23,IF($B69="V02",cad!$D$23,cad!$E$23)))</f>
        <v/>
      </c>
      <c r="W69" t="str">
        <f>IF($A69="","",IF($B69="V01",cad!$C$24,IF($B69="V02",cad!$D$24,cad!$E$24)))</f>
        <v/>
      </c>
      <c r="X69" t="str">
        <f>IF($A69="","",IF($B69="V01",cad!$C$25,IF($B69="V02",cad!$D$25,cad!$E$25)))</f>
        <v/>
      </c>
      <c r="Y69" t="str">
        <f>IF($A69="","",IF($B69="V01",cad!$C$26,IF($B69="V02",cad!$D$26,cad!$E$26)))</f>
        <v/>
      </c>
      <c r="Z69" t="str">
        <f>IF($A69="","",IF($B69="V01",cad!$C$27,IF($B69="V02",cad!$D$27,cad!$E$27)))</f>
        <v/>
      </c>
      <c r="AA69" t="str">
        <f>IF($A69="","",IF($B69="V01",cad!$C$28,IF($B69="V02",cad!$D$28,cad!$E$28)))</f>
        <v/>
      </c>
      <c r="AB69" t="str">
        <f>IF($A69="","",IF($B69="V01",cad!$C$39,IF($B69="V02",cad!$D$39,cad!$E$39)))</f>
        <v/>
      </c>
      <c r="AC69" t="str">
        <f>IF($A69="","",IF($F69="MBWAY",cad!$J$12,IF($F69="ISCOM",cad!$J$13,IF($F69="IPAC",cad!$J$14,IF($F69="PIGIER",cad!$J$15,cad!$J$16)))))</f>
        <v/>
      </c>
      <c r="AD69" t="str">
        <f t="shared" si="7"/>
        <v/>
      </c>
      <c r="AE69" t="str">
        <f t="shared" si="8"/>
        <v/>
      </c>
      <c r="AF69" t="str">
        <f t="shared" si="9"/>
        <v/>
      </c>
      <c r="AG69" t="str">
        <f t="shared" si="10"/>
        <v/>
      </c>
      <c r="AH69" t="str">
        <f t="shared" si="11"/>
        <v/>
      </c>
    </row>
    <row r="70" spans="1:34" x14ac:dyDescent="0.45">
      <c r="A70" t="str">
        <f>IF(Moteur!D70="","",Moteur!D70)</f>
        <v/>
      </c>
      <c r="B70" t="str">
        <f>IF(Moteur!B70="","",Moteur!B70)</f>
        <v/>
      </c>
      <c r="C70" t="str">
        <f>IF(Moteur!F70="","",Moteur!F70)</f>
        <v/>
      </c>
      <c r="D70" t="str">
        <f>IF(Moteur!G70="","",Moteur!G70)</f>
        <v/>
      </c>
      <c r="E70" t="str">
        <f>IF(Moteur!H70="","",Moteur!H70)</f>
        <v/>
      </c>
      <c r="F70" t="str">
        <f>IF(Moteur!E70="","",Moteur!E70)</f>
        <v/>
      </c>
      <c r="G70" t="str">
        <f>IF($A70="","",SUMIFS(Allocation2!$H$1:$H$175,Allocation2!$C$1:$C$175,$A70,Allocation2!$D$1:$D$175,$C70,Allocation2!$E$1:$E$175,$D70,Allocation2!$F$1:$F$175,$E70,Allocation2!$G$1:$G$175,"2026"))</f>
        <v/>
      </c>
      <c r="H70" t="str">
        <f>IF($A70="","",SUMIFS(Allocation2!$N$1:$N$175,Allocation2!$C$1:$C$175,$A70,Allocation2!$D$1:$D$175,$C70,Allocation2!$E$1:$E$175,$D70,Allocation2!$F$1:$F$175,$E70,Allocation2!$G$1:$G$175,"2026"))</f>
        <v/>
      </c>
      <c r="I70" t="str">
        <f>IF($A70="","",SUMIFS(Allocation2!$P$1:$P$175,Allocation2!$C$1:$C$175,$A70,Allocation2!$D$1:$D$175,$C70,Allocation2!$E$1:$E$175,$D70,Allocation2!$F$1:$F$175,$E70,Allocation2!$G$1:$G$175,"2026"))</f>
        <v/>
      </c>
      <c r="J70" t="str">
        <f>IF($A70="","",SUMIFS(Allocation2!$W$1:$W$175,Allocation2!$C$1:$C$175,$A70,Allocation2!$D$1:$D$175,$C70,Allocation2!$E$1:$E$175,$D70,Allocation2!$F$1:$F$175,$E70,Allocation2!$G$1:$G$175,"2026"))</f>
        <v/>
      </c>
      <c r="K70" t="str">
        <f>IF($A70="","",SUMIFS(Allocation2!$X$1:$X$175,Allocation2!$C$1:$C$175,$A70,Allocation2!$D$1:$D$175,$C70,Allocation2!$E$1:$E$175,$D70,Allocation2!$F$1:$F$175,$E70,Allocation2!$G$1:$G$175,"2026"))</f>
        <v/>
      </c>
      <c r="L70" t="str">
        <f>IF($A70="","",SUMIFS(Allocation2!$Y$1:$Y$175,Allocation2!$C$1:$C$175,$A70,Allocation2!$D$1:$D$175,$C70,Allocation2!$E$1:$E$175,$D70,Allocation2!$F$1:$F$175,$E70,Allocation2!$G$1:$G$175,"2026"))</f>
        <v/>
      </c>
      <c r="M70" t="str">
        <f>IF($A70="","",SUMIFS(Allocation2!$V$1:$V$175,Allocation2!$C$1:$C$175,$A70,Allocation2!$D$1:$D$175,$C70,Allocation2!$E$1:$E$175,$D70,Allocation2!$F$1:$F$175,$E70,Allocation2!$G$1:$G$175,"2026"))</f>
        <v/>
      </c>
      <c r="N70" t="str">
        <f t="shared" si="6"/>
        <v/>
      </c>
      <c r="O70" t="str">
        <f>IF($A70="","",SUMIFS(Campagne!$D$1:$D$15,Campagne!$C$1:$C$15,$A70))</f>
        <v/>
      </c>
      <c r="P70" t="str">
        <f>IF($A70="","",SUMIFS(Campagne!$E$1:$E$15,Campagne!$C$1:$C$15,$A70))</f>
        <v/>
      </c>
      <c r="Q70" t="str">
        <f>IF($A70="","",SUMIFS(Campagne!$F$1:$F$15,Campagne!$C$1:$C$15,$A70))</f>
        <v/>
      </c>
      <c r="R70" t="str">
        <f>IF($A70="","",SUMIFS(Campagne!$K$1:$K$15,Campagne!$C$1:$C$15,$A70))</f>
        <v/>
      </c>
      <c r="S70" t="str">
        <f>IF($A70="","",SUMIFS(Campagne!$M$1:$M$15,Campagne!$C$1:$C$15,$A70))</f>
        <v/>
      </c>
      <c r="T70" t="str">
        <f>IF($A70="","",SUMIFS(PIL!$K$15:$K$28,PIL!$A$15:$A$28,$A70)*SUMIFS(PIL!$J$15:$J$28,PIL!$A$15:$A$28,$A70)*(SUM(PIL!$K$15:$K$28)/SUMPRODUCT(PIL!$K$15:$K$28,PIL!$J$15:$J$28)))</f>
        <v/>
      </c>
      <c r="U70" t="str">
        <f>IF($A70="","",SUMIFS(PIL!$K$15:$K$28,PIL!$A$15:$A$28,$A70))</f>
        <v/>
      </c>
      <c r="V70" t="str">
        <f>IF($A70="","",IF($B70="V01",cad!$C$23,IF($B70="V02",cad!$D$23,cad!$E$23)))</f>
        <v/>
      </c>
      <c r="W70" t="str">
        <f>IF($A70="","",IF($B70="V01",cad!$C$24,IF($B70="V02",cad!$D$24,cad!$E$24)))</f>
        <v/>
      </c>
      <c r="X70" t="str">
        <f>IF($A70="","",IF($B70="V01",cad!$C$25,IF($B70="V02",cad!$D$25,cad!$E$25)))</f>
        <v/>
      </c>
      <c r="Y70" t="str">
        <f>IF($A70="","",IF($B70="V01",cad!$C$26,IF($B70="V02",cad!$D$26,cad!$E$26)))</f>
        <v/>
      </c>
      <c r="Z70" t="str">
        <f>IF($A70="","",IF($B70="V01",cad!$C$27,IF($B70="V02",cad!$D$27,cad!$E$27)))</f>
        <v/>
      </c>
      <c r="AA70" t="str">
        <f>IF($A70="","",IF($B70="V01",cad!$C$28,IF($B70="V02",cad!$D$28,cad!$E$28)))</f>
        <v/>
      </c>
      <c r="AB70" t="str">
        <f>IF($A70="","",IF($B70="V01",cad!$C$39,IF($B70="V02",cad!$D$39,cad!$E$39)))</f>
        <v/>
      </c>
      <c r="AC70" t="str">
        <f>IF($A70="","",IF($F70="MBWAY",cad!$J$12,IF($F70="ISCOM",cad!$J$13,IF($F70="IPAC",cad!$J$14,IF($F70="PIGIER",cad!$J$15,cad!$J$16)))))</f>
        <v/>
      </c>
      <c r="AD70" t="str">
        <f t="shared" si="7"/>
        <v/>
      </c>
      <c r="AE70" t="str">
        <f t="shared" si="8"/>
        <v/>
      </c>
      <c r="AF70" t="str">
        <f t="shared" si="9"/>
        <v/>
      </c>
      <c r="AG70" t="str">
        <f t="shared" si="10"/>
        <v/>
      </c>
      <c r="AH70" t="str">
        <f t="shared" si="11"/>
        <v/>
      </c>
    </row>
    <row r="71" spans="1:34" x14ac:dyDescent="0.45">
      <c r="A71" t="str">
        <f>IF(Moteur!D71="","",Moteur!D71)</f>
        <v/>
      </c>
      <c r="B71" t="str">
        <f>IF(Moteur!B71="","",Moteur!B71)</f>
        <v/>
      </c>
      <c r="C71" t="str">
        <f>IF(Moteur!F71="","",Moteur!F71)</f>
        <v/>
      </c>
      <c r="D71" t="str">
        <f>IF(Moteur!G71="","",Moteur!G71)</f>
        <v/>
      </c>
      <c r="E71" t="str">
        <f>IF(Moteur!H71="","",Moteur!H71)</f>
        <v/>
      </c>
      <c r="F71" t="str">
        <f>IF(Moteur!E71="","",Moteur!E71)</f>
        <v/>
      </c>
      <c r="G71" t="str">
        <f>IF($A71="","",SUMIFS(Allocation2!$H$1:$H$175,Allocation2!$C$1:$C$175,$A71,Allocation2!$D$1:$D$175,$C71,Allocation2!$E$1:$E$175,$D71,Allocation2!$F$1:$F$175,$E71,Allocation2!$G$1:$G$175,"2026"))</f>
        <v/>
      </c>
      <c r="H71" t="str">
        <f>IF($A71="","",SUMIFS(Allocation2!$N$1:$N$175,Allocation2!$C$1:$C$175,$A71,Allocation2!$D$1:$D$175,$C71,Allocation2!$E$1:$E$175,$D71,Allocation2!$F$1:$F$175,$E71,Allocation2!$G$1:$G$175,"2026"))</f>
        <v/>
      </c>
      <c r="I71" t="str">
        <f>IF($A71="","",SUMIFS(Allocation2!$P$1:$P$175,Allocation2!$C$1:$C$175,$A71,Allocation2!$D$1:$D$175,$C71,Allocation2!$E$1:$E$175,$D71,Allocation2!$F$1:$F$175,$E71,Allocation2!$G$1:$G$175,"2026"))</f>
        <v/>
      </c>
      <c r="J71" t="str">
        <f>IF($A71="","",SUMIFS(Allocation2!$W$1:$W$175,Allocation2!$C$1:$C$175,$A71,Allocation2!$D$1:$D$175,$C71,Allocation2!$E$1:$E$175,$D71,Allocation2!$F$1:$F$175,$E71,Allocation2!$G$1:$G$175,"2026"))</f>
        <v/>
      </c>
      <c r="K71" t="str">
        <f>IF($A71="","",SUMIFS(Allocation2!$X$1:$X$175,Allocation2!$C$1:$C$175,$A71,Allocation2!$D$1:$D$175,$C71,Allocation2!$E$1:$E$175,$D71,Allocation2!$F$1:$F$175,$E71,Allocation2!$G$1:$G$175,"2026"))</f>
        <v/>
      </c>
      <c r="L71" t="str">
        <f>IF($A71="","",SUMIFS(Allocation2!$Y$1:$Y$175,Allocation2!$C$1:$C$175,$A71,Allocation2!$D$1:$D$175,$C71,Allocation2!$E$1:$E$175,$D71,Allocation2!$F$1:$F$175,$E71,Allocation2!$G$1:$G$175,"2026"))</f>
        <v/>
      </c>
      <c r="M71" t="str">
        <f>IF($A71="","",SUMIFS(Allocation2!$V$1:$V$175,Allocation2!$C$1:$C$175,$A71,Allocation2!$D$1:$D$175,$C71,Allocation2!$E$1:$E$175,$D71,Allocation2!$F$1:$F$175,$E71,Allocation2!$G$1:$G$175,"2026"))</f>
        <v/>
      </c>
      <c r="N71" t="str">
        <f t="shared" si="6"/>
        <v/>
      </c>
      <c r="O71" t="str">
        <f>IF($A71="","",SUMIFS(Campagne!$D$1:$D$15,Campagne!$C$1:$C$15,$A71))</f>
        <v/>
      </c>
      <c r="P71" t="str">
        <f>IF($A71="","",SUMIFS(Campagne!$E$1:$E$15,Campagne!$C$1:$C$15,$A71))</f>
        <v/>
      </c>
      <c r="Q71" t="str">
        <f>IF($A71="","",SUMIFS(Campagne!$F$1:$F$15,Campagne!$C$1:$C$15,$A71))</f>
        <v/>
      </c>
      <c r="R71" t="str">
        <f>IF($A71="","",SUMIFS(Campagne!$K$1:$K$15,Campagne!$C$1:$C$15,$A71))</f>
        <v/>
      </c>
      <c r="S71" t="str">
        <f>IF($A71="","",SUMIFS(Campagne!$M$1:$M$15,Campagne!$C$1:$C$15,$A71))</f>
        <v/>
      </c>
      <c r="T71" t="str">
        <f>IF($A71="","",SUMIFS(PIL!$K$15:$K$28,PIL!$A$15:$A$28,$A71)*SUMIFS(PIL!$J$15:$J$28,PIL!$A$15:$A$28,$A71)*(SUM(PIL!$K$15:$K$28)/SUMPRODUCT(PIL!$K$15:$K$28,PIL!$J$15:$J$28)))</f>
        <v/>
      </c>
      <c r="U71" t="str">
        <f>IF($A71="","",SUMIFS(PIL!$K$15:$K$28,PIL!$A$15:$A$28,$A71))</f>
        <v/>
      </c>
      <c r="V71" t="str">
        <f>IF($A71="","",IF($B71="V01",cad!$C$23,IF($B71="V02",cad!$D$23,cad!$E$23)))</f>
        <v/>
      </c>
      <c r="W71" t="str">
        <f>IF($A71="","",IF($B71="V01",cad!$C$24,IF($B71="V02",cad!$D$24,cad!$E$24)))</f>
        <v/>
      </c>
      <c r="X71" t="str">
        <f>IF($A71="","",IF($B71="V01",cad!$C$25,IF($B71="V02",cad!$D$25,cad!$E$25)))</f>
        <v/>
      </c>
      <c r="Y71" t="str">
        <f>IF($A71="","",IF($B71="V01",cad!$C$26,IF($B71="V02",cad!$D$26,cad!$E$26)))</f>
        <v/>
      </c>
      <c r="Z71" t="str">
        <f>IF($A71="","",IF($B71="V01",cad!$C$27,IF($B71="V02",cad!$D$27,cad!$E$27)))</f>
        <v/>
      </c>
      <c r="AA71" t="str">
        <f>IF($A71="","",IF($B71="V01",cad!$C$28,IF($B71="V02",cad!$D$28,cad!$E$28)))</f>
        <v/>
      </c>
      <c r="AB71" t="str">
        <f>IF($A71="","",IF($B71="V01",cad!$C$39,IF($B71="V02",cad!$D$39,cad!$E$39)))</f>
        <v/>
      </c>
      <c r="AC71" t="str">
        <f>IF($A71="","",IF($F71="MBWAY",cad!$J$12,IF($F71="ISCOM",cad!$J$13,IF($F71="IPAC",cad!$J$14,IF($F71="PIGIER",cad!$J$15,cad!$J$16)))))</f>
        <v/>
      </c>
      <c r="AD71" t="str">
        <f t="shared" si="7"/>
        <v/>
      </c>
      <c r="AE71" t="str">
        <f t="shared" si="8"/>
        <v/>
      </c>
      <c r="AF71" t="str">
        <f t="shared" si="9"/>
        <v/>
      </c>
      <c r="AG71" t="str">
        <f t="shared" si="10"/>
        <v/>
      </c>
      <c r="AH71" t="str">
        <f t="shared" si="11"/>
        <v/>
      </c>
    </row>
    <row r="72" spans="1:34" x14ac:dyDescent="0.45">
      <c r="A72" t="str">
        <f>IF(Moteur!D72="","",Moteur!D72)</f>
        <v/>
      </c>
      <c r="B72" t="str">
        <f>IF(Moteur!B72="","",Moteur!B72)</f>
        <v/>
      </c>
      <c r="C72" t="str">
        <f>IF(Moteur!F72="","",Moteur!F72)</f>
        <v/>
      </c>
      <c r="D72" t="str">
        <f>IF(Moteur!G72="","",Moteur!G72)</f>
        <v/>
      </c>
      <c r="E72" t="str">
        <f>IF(Moteur!H72="","",Moteur!H72)</f>
        <v/>
      </c>
      <c r="F72" t="str">
        <f>IF(Moteur!E72="","",Moteur!E72)</f>
        <v/>
      </c>
      <c r="G72" t="str">
        <f>IF($A72="","",SUMIFS(Allocation2!$H$1:$H$175,Allocation2!$C$1:$C$175,$A72,Allocation2!$D$1:$D$175,$C72,Allocation2!$E$1:$E$175,$D72,Allocation2!$F$1:$F$175,$E72,Allocation2!$G$1:$G$175,"2026"))</f>
        <v/>
      </c>
      <c r="H72" t="str">
        <f>IF($A72="","",SUMIFS(Allocation2!$N$1:$N$175,Allocation2!$C$1:$C$175,$A72,Allocation2!$D$1:$D$175,$C72,Allocation2!$E$1:$E$175,$D72,Allocation2!$F$1:$F$175,$E72,Allocation2!$G$1:$G$175,"2026"))</f>
        <v/>
      </c>
      <c r="I72" t="str">
        <f>IF($A72="","",SUMIFS(Allocation2!$P$1:$P$175,Allocation2!$C$1:$C$175,$A72,Allocation2!$D$1:$D$175,$C72,Allocation2!$E$1:$E$175,$D72,Allocation2!$F$1:$F$175,$E72,Allocation2!$G$1:$G$175,"2026"))</f>
        <v/>
      </c>
      <c r="J72" t="str">
        <f>IF($A72="","",SUMIFS(Allocation2!$W$1:$W$175,Allocation2!$C$1:$C$175,$A72,Allocation2!$D$1:$D$175,$C72,Allocation2!$E$1:$E$175,$D72,Allocation2!$F$1:$F$175,$E72,Allocation2!$G$1:$G$175,"2026"))</f>
        <v/>
      </c>
      <c r="K72" t="str">
        <f>IF($A72="","",SUMIFS(Allocation2!$X$1:$X$175,Allocation2!$C$1:$C$175,$A72,Allocation2!$D$1:$D$175,$C72,Allocation2!$E$1:$E$175,$D72,Allocation2!$F$1:$F$175,$E72,Allocation2!$G$1:$G$175,"2026"))</f>
        <v/>
      </c>
      <c r="L72" t="str">
        <f>IF($A72="","",SUMIFS(Allocation2!$Y$1:$Y$175,Allocation2!$C$1:$C$175,$A72,Allocation2!$D$1:$D$175,$C72,Allocation2!$E$1:$E$175,$D72,Allocation2!$F$1:$F$175,$E72,Allocation2!$G$1:$G$175,"2026"))</f>
        <v/>
      </c>
      <c r="M72" t="str">
        <f>IF($A72="","",SUMIFS(Allocation2!$V$1:$V$175,Allocation2!$C$1:$C$175,$A72,Allocation2!$D$1:$D$175,$C72,Allocation2!$E$1:$E$175,$D72,Allocation2!$F$1:$F$175,$E72,Allocation2!$G$1:$G$175,"2026"))</f>
        <v/>
      </c>
      <c r="N72" t="str">
        <f t="shared" si="6"/>
        <v/>
      </c>
      <c r="O72" t="str">
        <f>IF($A72="","",SUMIFS(Campagne!$D$1:$D$15,Campagne!$C$1:$C$15,$A72))</f>
        <v/>
      </c>
      <c r="P72" t="str">
        <f>IF($A72="","",SUMIFS(Campagne!$E$1:$E$15,Campagne!$C$1:$C$15,$A72))</f>
        <v/>
      </c>
      <c r="Q72" t="str">
        <f>IF($A72="","",SUMIFS(Campagne!$F$1:$F$15,Campagne!$C$1:$C$15,$A72))</f>
        <v/>
      </c>
      <c r="R72" t="str">
        <f>IF($A72="","",SUMIFS(Campagne!$K$1:$K$15,Campagne!$C$1:$C$15,$A72))</f>
        <v/>
      </c>
      <c r="S72" t="str">
        <f>IF($A72="","",SUMIFS(Campagne!$M$1:$M$15,Campagne!$C$1:$C$15,$A72))</f>
        <v/>
      </c>
      <c r="T72" t="str">
        <f>IF($A72="","",SUMIFS(PIL!$K$15:$K$28,PIL!$A$15:$A$28,$A72)*SUMIFS(PIL!$J$15:$J$28,PIL!$A$15:$A$28,$A72)*(SUM(PIL!$K$15:$K$28)/SUMPRODUCT(PIL!$K$15:$K$28,PIL!$J$15:$J$28)))</f>
        <v/>
      </c>
      <c r="U72" t="str">
        <f>IF($A72="","",SUMIFS(PIL!$K$15:$K$28,PIL!$A$15:$A$28,$A72))</f>
        <v/>
      </c>
      <c r="V72" t="str">
        <f>IF($A72="","",IF($B72="V01",cad!$C$23,IF($B72="V02",cad!$D$23,cad!$E$23)))</f>
        <v/>
      </c>
      <c r="W72" t="str">
        <f>IF($A72="","",IF($B72="V01",cad!$C$24,IF($B72="V02",cad!$D$24,cad!$E$24)))</f>
        <v/>
      </c>
      <c r="X72" t="str">
        <f>IF($A72="","",IF($B72="V01",cad!$C$25,IF($B72="V02",cad!$D$25,cad!$E$25)))</f>
        <v/>
      </c>
      <c r="Y72" t="str">
        <f>IF($A72="","",IF($B72="V01",cad!$C$26,IF($B72="V02",cad!$D$26,cad!$E$26)))</f>
        <v/>
      </c>
      <c r="Z72" t="str">
        <f>IF($A72="","",IF($B72="V01",cad!$C$27,IF($B72="V02",cad!$D$27,cad!$E$27)))</f>
        <v/>
      </c>
      <c r="AA72" t="str">
        <f>IF($A72="","",IF($B72="V01",cad!$C$28,IF($B72="V02",cad!$D$28,cad!$E$28)))</f>
        <v/>
      </c>
      <c r="AB72" t="str">
        <f>IF($A72="","",IF($B72="V01",cad!$C$39,IF($B72="V02",cad!$D$39,cad!$E$39)))</f>
        <v/>
      </c>
      <c r="AC72" t="str">
        <f>IF($A72="","",IF($F72="MBWAY",cad!$J$12,IF($F72="ISCOM",cad!$J$13,IF($F72="IPAC",cad!$J$14,IF($F72="PIGIER",cad!$J$15,cad!$J$16)))))</f>
        <v/>
      </c>
      <c r="AD72" t="str">
        <f t="shared" si="7"/>
        <v/>
      </c>
      <c r="AE72" t="str">
        <f t="shared" si="8"/>
        <v/>
      </c>
      <c r="AF72" t="str">
        <f t="shared" si="9"/>
        <v/>
      </c>
      <c r="AG72" t="str">
        <f t="shared" si="10"/>
        <v/>
      </c>
      <c r="AH72" t="str">
        <f t="shared" si="11"/>
        <v/>
      </c>
    </row>
    <row r="73" spans="1:34" x14ac:dyDescent="0.45">
      <c r="A73" t="str">
        <f>IF(Moteur!D73="","",Moteur!D73)</f>
        <v/>
      </c>
      <c r="B73" t="str">
        <f>IF(Moteur!B73="","",Moteur!B73)</f>
        <v/>
      </c>
      <c r="C73" t="str">
        <f>IF(Moteur!F73="","",Moteur!F73)</f>
        <v/>
      </c>
      <c r="D73" t="str">
        <f>IF(Moteur!G73="","",Moteur!G73)</f>
        <v/>
      </c>
      <c r="E73" t="str">
        <f>IF(Moteur!H73="","",Moteur!H73)</f>
        <v/>
      </c>
      <c r="F73" t="str">
        <f>IF(Moteur!E73="","",Moteur!E73)</f>
        <v/>
      </c>
      <c r="G73" t="str">
        <f>IF($A73="","",SUMIFS(Allocation2!$H$1:$H$175,Allocation2!$C$1:$C$175,$A73,Allocation2!$D$1:$D$175,$C73,Allocation2!$E$1:$E$175,$D73,Allocation2!$F$1:$F$175,$E73,Allocation2!$G$1:$G$175,"2026"))</f>
        <v/>
      </c>
      <c r="H73" t="str">
        <f>IF($A73="","",SUMIFS(Allocation2!$N$1:$N$175,Allocation2!$C$1:$C$175,$A73,Allocation2!$D$1:$D$175,$C73,Allocation2!$E$1:$E$175,$D73,Allocation2!$F$1:$F$175,$E73,Allocation2!$G$1:$G$175,"2026"))</f>
        <v/>
      </c>
      <c r="I73" t="str">
        <f>IF($A73="","",SUMIFS(Allocation2!$P$1:$P$175,Allocation2!$C$1:$C$175,$A73,Allocation2!$D$1:$D$175,$C73,Allocation2!$E$1:$E$175,$D73,Allocation2!$F$1:$F$175,$E73,Allocation2!$G$1:$G$175,"2026"))</f>
        <v/>
      </c>
      <c r="J73" t="str">
        <f>IF($A73="","",SUMIFS(Allocation2!$W$1:$W$175,Allocation2!$C$1:$C$175,$A73,Allocation2!$D$1:$D$175,$C73,Allocation2!$E$1:$E$175,$D73,Allocation2!$F$1:$F$175,$E73,Allocation2!$G$1:$G$175,"2026"))</f>
        <v/>
      </c>
      <c r="K73" t="str">
        <f>IF($A73="","",SUMIFS(Allocation2!$X$1:$X$175,Allocation2!$C$1:$C$175,$A73,Allocation2!$D$1:$D$175,$C73,Allocation2!$E$1:$E$175,$D73,Allocation2!$F$1:$F$175,$E73,Allocation2!$G$1:$G$175,"2026"))</f>
        <v/>
      </c>
      <c r="L73" t="str">
        <f>IF($A73="","",SUMIFS(Allocation2!$Y$1:$Y$175,Allocation2!$C$1:$C$175,$A73,Allocation2!$D$1:$D$175,$C73,Allocation2!$E$1:$E$175,$D73,Allocation2!$F$1:$F$175,$E73,Allocation2!$G$1:$G$175,"2026"))</f>
        <v/>
      </c>
      <c r="M73" t="str">
        <f>IF($A73="","",SUMIFS(Allocation2!$V$1:$V$175,Allocation2!$C$1:$C$175,$A73,Allocation2!$D$1:$D$175,$C73,Allocation2!$E$1:$E$175,$D73,Allocation2!$F$1:$F$175,$E73,Allocation2!$G$1:$G$175,"2026"))</f>
        <v/>
      </c>
      <c r="N73" t="str">
        <f t="shared" si="6"/>
        <v/>
      </c>
      <c r="O73" t="str">
        <f>IF($A73="","",SUMIFS(Campagne!$D$1:$D$15,Campagne!$C$1:$C$15,$A73))</f>
        <v/>
      </c>
      <c r="P73" t="str">
        <f>IF($A73="","",SUMIFS(Campagne!$E$1:$E$15,Campagne!$C$1:$C$15,$A73))</f>
        <v/>
      </c>
      <c r="Q73" t="str">
        <f>IF($A73="","",SUMIFS(Campagne!$F$1:$F$15,Campagne!$C$1:$C$15,$A73))</f>
        <v/>
      </c>
      <c r="R73" t="str">
        <f>IF($A73="","",SUMIFS(Campagne!$K$1:$K$15,Campagne!$C$1:$C$15,$A73))</f>
        <v/>
      </c>
      <c r="S73" t="str">
        <f>IF($A73="","",SUMIFS(Campagne!$M$1:$M$15,Campagne!$C$1:$C$15,$A73))</f>
        <v/>
      </c>
      <c r="T73" t="str">
        <f>IF($A73="","",SUMIFS(PIL!$K$15:$K$28,PIL!$A$15:$A$28,$A73)*SUMIFS(PIL!$J$15:$J$28,PIL!$A$15:$A$28,$A73)*(SUM(PIL!$K$15:$K$28)/SUMPRODUCT(PIL!$K$15:$K$28,PIL!$J$15:$J$28)))</f>
        <v/>
      </c>
      <c r="U73" t="str">
        <f>IF($A73="","",SUMIFS(PIL!$K$15:$K$28,PIL!$A$15:$A$28,$A73))</f>
        <v/>
      </c>
      <c r="V73" t="str">
        <f>IF($A73="","",IF($B73="V01",cad!$C$23,IF($B73="V02",cad!$D$23,cad!$E$23)))</f>
        <v/>
      </c>
      <c r="W73" t="str">
        <f>IF($A73="","",IF($B73="V01",cad!$C$24,IF($B73="V02",cad!$D$24,cad!$E$24)))</f>
        <v/>
      </c>
      <c r="X73" t="str">
        <f>IF($A73="","",IF($B73="V01",cad!$C$25,IF($B73="V02",cad!$D$25,cad!$E$25)))</f>
        <v/>
      </c>
      <c r="Y73" t="str">
        <f>IF($A73="","",IF($B73="V01",cad!$C$26,IF($B73="V02",cad!$D$26,cad!$E$26)))</f>
        <v/>
      </c>
      <c r="Z73" t="str">
        <f>IF($A73="","",IF($B73="V01",cad!$C$27,IF($B73="V02",cad!$D$27,cad!$E$27)))</f>
        <v/>
      </c>
      <c r="AA73" t="str">
        <f>IF($A73="","",IF($B73="V01",cad!$C$28,IF($B73="V02",cad!$D$28,cad!$E$28)))</f>
        <v/>
      </c>
      <c r="AB73" t="str">
        <f>IF($A73="","",IF($B73="V01",cad!$C$39,IF($B73="V02",cad!$D$39,cad!$E$39)))</f>
        <v/>
      </c>
      <c r="AC73" t="str">
        <f>IF($A73="","",IF($F73="MBWAY",cad!$J$12,IF($F73="ISCOM",cad!$J$13,IF($F73="IPAC",cad!$J$14,IF($F73="PIGIER",cad!$J$15,cad!$J$16)))))</f>
        <v/>
      </c>
      <c r="AD73" t="str">
        <f t="shared" si="7"/>
        <v/>
      </c>
      <c r="AE73" t="str">
        <f t="shared" si="8"/>
        <v/>
      </c>
      <c r="AF73" t="str">
        <f t="shared" si="9"/>
        <v/>
      </c>
      <c r="AG73" t="str">
        <f t="shared" si="10"/>
        <v/>
      </c>
      <c r="AH73" t="str">
        <f t="shared" si="11"/>
        <v/>
      </c>
    </row>
    <row r="74" spans="1:34" x14ac:dyDescent="0.45">
      <c r="A74" t="str">
        <f>IF(Moteur!D74="","",Moteur!D74)</f>
        <v/>
      </c>
      <c r="B74" t="str">
        <f>IF(Moteur!B74="","",Moteur!B74)</f>
        <v/>
      </c>
      <c r="C74" t="str">
        <f>IF(Moteur!F74="","",Moteur!F74)</f>
        <v/>
      </c>
      <c r="D74" t="str">
        <f>IF(Moteur!G74="","",Moteur!G74)</f>
        <v/>
      </c>
      <c r="E74" t="str">
        <f>IF(Moteur!H74="","",Moteur!H74)</f>
        <v/>
      </c>
      <c r="F74" t="str">
        <f>IF(Moteur!E74="","",Moteur!E74)</f>
        <v/>
      </c>
      <c r="G74" t="str">
        <f>IF($A74="","",SUMIFS(Allocation2!$H$1:$H$175,Allocation2!$C$1:$C$175,$A74,Allocation2!$D$1:$D$175,$C74,Allocation2!$E$1:$E$175,$D74,Allocation2!$F$1:$F$175,$E74,Allocation2!$G$1:$G$175,"2026"))</f>
        <v/>
      </c>
      <c r="H74" t="str">
        <f>IF($A74="","",SUMIFS(Allocation2!$N$1:$N$175,Allocation2!$C$1:$C$175,$A74,Allocation2!$D$1:$D$175,$C74,Allocation2!$E$1:$E$175,$D74,Allocation2!$F$1:$F$175,$E74,Allocation2!$G$1:$G$175,"2026"))</f>
        <v/>
      </c>
      <c r="I74" t="str">
        <f>IF($A74="","",SUMIFS(Allocation2!$P$1:$P$175,Allocation2!$C$1:$C$175,$A74,Allocation2!$D$1:$D$175,$C74,Allocation2!$E$1:$E$175,$D74,Allocation2!$F$1:$F$175,$E74,Allocation2!$G$1:$G$175,"2026"))</f>
        <v/>
      </c>
      <c r="J74" t="str">
        <f>IF($A74="","",SUMIFS(Allocation2!$W$1:$W$175,Allocation2!$C$1:$C$175,$A74,Allocation2!$D$1:$D$175,$C74,Allocation2!$E$1:$E$175,$D74,Allocation2!$F$1:$F$175,$E74,Allocation2!$G$1:$G$175,"2026"))</f>
        <v/>
      </c>
      <c r="K74" t="str">
        <f>IF($A74="","",SUMIFS(Allocation2!$X$1:$X$175,Allocation2!$C$1:$C$175,$A74,Allocation2!$D$1:$D$175,$C74,Allocation2!$E$1:$E$175,$D74,Allocation2!$F$1:$F$175,$E74,Allocation2!$G$1:$G$175,"2026"))</f>
        <v/>
      </c>
      <c r="L74" t="str">
        <f>IF($A74="","",SUMIFS(Allocation2!$Y$1:$Y$175,Allocation2!$C$1:$C$175,$A74,Allocation2!$D$1:$D$175,$C74,Allocation2!$E$1:$E$175,$D74,Allocation2!$F$1:$F$175,$E74,Allocation2!$G$1:$G$175,"2026"))</f>
        <v/>
      </c>
      <c r="M74" t="str">
        <f>IF($A74="","",SUMIFS(Allocation2!$V$1:$V$175,Allocation2!$C$1:$C$175,$A74,Allocation2!$D$1:$D$175,$C74,Allocation2!$E$1:$E$175,$D74,Allocation2!$F$1:$F$175,$E74,Allocation2!$G$1:$G$175,"2026"))</f>
        <v/>
      </c>
      <c r="N74" t="str">
        <f t="shared" si="6"/>
        <v/>
      </c>
      <c r="O74" t="str">
        <f>IF($A74="","",SUMIFS(Campagne!$D$1:$D$15,Campagne!$C$1:$C$15,$A74))</f>
        <v/>
      </c>
      <c r="P74" t="str">
        <f>IF($A74="","",SUMIFS(Campagne!$E$1:$E$15,Campagne!$C$1:$C$15,$A74))</f>
        <v/>
      </c>
      <c r="Q74" t="str">
        <f>IF($A74="","",SUMIFS(Campagne!$F$1:$F$15,Campagne!$C$1:$C$15,$A74))</f>
        <v/>
      </c>
      <c r="R74" t="str">
        <f>IF($A74="","",SUMIFS(Campagne!$K$1:$K$15,Campagne!$C$1:$C$15,$A74))</f>
        <v/>
      </c>
      <c r="S74" t="str">
        <f>IF($A74="","",SUMIFS(Campagne!$M$1:$M$15,Campagne!$C$1:$C$15,$A74))</f>
        <v/>
      </c>
      <c r="T74" t="str">
        <f>IF($A74="","",SUMIFS(PIL!$K$15:$K$28,PIL!$A$15:$A$28,$A74)*SUMIFS(PIL!$J$15:$J$28,PIL!$A$15:$A$28,$A74)*(SUM(PIL!$K$15:$K$28)/SUMPRODUCT(PIL!$K$15:$K$28,PIL!$J$15:$J$28)))</f>
        <v/>
      </c>
      <c r="U74" t="str">
        <f>IF($A74="","",SUMIFS(PIL!$K$15:$K$28,PIL!$A$15:$A$28,$A74))</f>
        <v/>
      </c>
      <c r="V74" t="str">
        <f>IF($A74="","",IF($B74="V01",cad!$C$23,IF($B74="V02",cad!$D$23,cad!$E$23)))</f>
        <v/>
      </c>
      <c r="W74" t="str">
        <f>IF($A74="","",IF($B74="V01",cad!$C$24,IF($B74="V02",cad!$D$24,cad!$E$24)))</f>
        <v/>
      </c>
      <c r="X74" t="str">
        <f>IF($A74="","",IF($B74="V01",cad!$C$25,IF($B74="V02",cad!$D$25,cad!$E$25)))</f>
        <v/>
      </c>
      <c r="Y74" t="str">
        <f>IF($A74="","",IF($B74="V01",cad!$C$26,IF($B74="V02",cad!$D$26,cad!$E$26)))</f>
        <v/>
      </c>
      <c r="Z74" t="str">
        <f>IF($A74="","",IF($B74="V01",cad!$C$27,IF($B74="V02",cad!$D$27,cad!$E$27)))</f>
        <v/>
      </c>
      <c r="AA74" t="str">
        <f>IF($A74="","",IF($B74="V01",cad!$C$28,IF($B74="V02",cad!$D$28,cad!$E$28)))</f>
        <v/>
      </c>
      <c r="AB74" t="str">
        <f>IF($A74="","",IF($B74="V01",cad!$C$39,IF($B74="V02",cad!$D$39,cad!$E$39)))</f>
        <v/>
      </c>
      <c r="AC74" t="str">
        <f>IF($A74="","",IF($F74="MBWAY",cad!$J$12,IF($F74="ISCOM",cad!$J$13,IF($F74="IPAC",cad!$J$14,IF($F74="PIGIER",cad!$J$15,cad!$J$16)))))</f>
        <v/>
      </c>
      <c r="AD74" t="str">
        <f t="shared" si="7"/>
        <v/>
      </c>
      <c r="AE74" t="str">
        <f t="shared" si="8"/>
        <v/>
      </c>
      <c r="AF74" t="str">
        <f t="shared" si="9"/>
        <v/>
      </c>
      <c r="AG74" t="str">
        <f t="shared" si="10"/>
        <v/>
      </c>
      <c r="AH74" t="str">
        <f t="shared" si="11"/>
        <v/>
      </c>
    </row>
    <row r="75" spans="1:34" x14ac:dyDescent="0.45">
      <c r="A75" t="str">
        <f>IF(Moteur!D75="","",Moteur!D75)</f>
        <v/>
      </c>
      <c r="B75" t="str">
        <f>IF(Moteur!B75="","",Moteur!B75)</f>
        <v/>
      </c>
      <c r="C75" t="str">
        <f>IF(Moteur!F75="","",Moteur!F75)</f>
        <v/>
      </c>
      <c r="D75" t="str">
        <f>IF(Moteur!G75="","",Moteur!G75)</f>
        <v/>
      </c>
      <c r="E75" t="str">
        <f>IF(Moteur!H75="","",Moteur!H75)</f>
        <v/>
      </c>
      <c r="F75" t="str">
        <f>IF(Moteur!E75="","",Moteur!E75)</f>
        <v/>
      </c>
      <c r="G75" t="str">
        <f>IF($A75="","",SUMIFS(Allocation2!$H$1:$H$175,Allocation2!$C$1:$C$175,$A75,Allocation2!$D$1:$D$175,$C75,Allocation2!$E$1:$E$175,$D75,Allocation2!$F$1:$F$175,$E75,Allocation2!$G$1:$G$175,"2026"))</f>
        <v/>
      </c>
      <c r="H75" t="str">
        <f>IF($A75="","",SUMIFS(Allocation2!$N$1:$N$175,Allocation2!$C$1:$C$175,$A75,Allocation2!$D$1:$D$175,$C75,Allocation2!$E$1:$E$175,$D75,Allocation2!$F$1:$F$175,$E75,Allocation2!$G$1:$G$175,"2026"))</f>
        <v/>
      </c>
      <c r="I75" t="str">
        <f>IF($A75="","",SUMIFS(Allocation2!$P$1:$P$175,Allocation2!$C$1:$C$175,$A75,Allocation2!$D$1:$D$175,$C75,Allocation2!$E$1:$E$175,$D75,Allocation2!$F$1:$F$175,$E75,Allocation2!$G$1:$G$175,"2026"))</f>
        <v/>
      </c>
      <c r="J75" t="str">
        <f>IF($A75="","",SUMIFS(Allocation2!$W$1:$W$175,Allocation2!$C$1:$C$175,$A75,Allocation2!$D$1:$D$175,$C75,Allocation2!$E$1:$E$175,$D75,Allocation2!$F$1:$F$175,$E75,Allocation2!$G$1:$G$175,"2026"))</f>
        <v/>
      </c>
      <c r="K75" t="str">
        <f>IF($A75="","",SUMIFS(Allocation2!$X$1:$X$175,Allocation2!$C$1:$C$175,$A75,Allocation2!$D$1:$D$175,$C75,Allocation2!$E$1:$E$175,$D75,Allocation2!$F$1:$F$175,$E75,Allocation2!$G$1:$G$175,"2026"))</f>
        <v/>
      </c>
      <c r="L75" t="str">
        <f>IF($A75="","",SUMIFS(Allocation2!$Y$1:$Y$175,Allocation2!$C$1:$C$175,$A75,Allocation2!$D$1:$D$175,$C75,Allocation2!$E$1:$E$175,$D75,Allocation2!$F$1:$F$175,$E75,Allocation2!$G$1:$G$175,"2026"))</f>
        <v/>
      </c>
      <c r="M75" t="str">
        <f>IF($A75="","",SUMIFS(Allocation2!$V$1:$V$175,Allocation2!$C$1:$C$175,$A75,Allocation2!$D$1:$D$175,$C75,Allocation2!$E$1:$E$175,$D75,Allocation2!$F$1:$F$175,$E75,Allocation2!$G$1:$G$175,"2026"))</f>
        <v/>
      </c>
      <c r="N75" t="str">
        <f t="shared" si="6"/>
        <v/>
      </c>
      <c r="O75" t="str">
        <f>IF($A75="","",SUMIFS(Campagne!$D$1:$D$15,Campagne!$C$1:$C$15,$A75))</f>
        <v/>
      </c>
      <c r="P75" t="str">
        <f>IF($A75="","",SUMIFS(Campagne!$E$1:$E$15,Campagne!$C$1:$C$15,$A75))</f>
        <v/>
      </c>
      <c r="Q75" t="str">
        <f>IF($A75="","",SUMIFS(Campagne!$F$1:$F$15,Campagne!$C$1:$C$15,$A75))</f>
        <v/>
      </c>
      <c r="R75" t="str">
        <f>IF($A75="","",SUMIFS(Campagne!$K$1:$K$15,Campagne!$C$1:$C$15,$A75))</f>
        <v/>
      </c>
      <c r="S75" t="str">
        <f>IF($A75="","",SUMIFS(Campagne!$M$1:$M$15,Campagne!$C$1:$C$15,$A75))</f>
        <v/>
      </c>
      <c r="T75" t="str">
        <f>IF($A75="","",SUMIFS(PIL!$K$15:$K$28,PIL!$A$15:$A$28,$A75)*SUMIFS(PIL!$J$15:$J$28,PIL!$A$15:$A$28,$A75)*(SUM(PIL!$K$15:$K$28)/SUMPRODUCT(PIL!$K$15:$K$28,PIL!$J$15:$J$28)))</f>
        <v/>
      </c>
      <c r="U75" t="str">
        <f>IF($A75="","",SUMIFS(PIL!$K$15:$K$28,PIL!$A$15:$A$28,$A75))</f>
        <v/>
      </c>
      <c r="V75" t="str">
        <f>IF($A75="","",IF($B75="V01",cad!$C$23,IF($B75="V02",cad!$D$23,cad!$E$23)))</f>
        <v/>
      </c>
      <c r="W75" t="str">
        <f>IF($A75="","",IF($B75="V01",cad!$C$24,IF($B75="V02",cad!$D$24,cad!$E$24)))</f>
        <v/>
      </c>
      <c r="X75" t="str">
        <f>IF($A75="","",IF($B75="V01",cad!$C$25,IF($B75="V02",cad!$D$25,cad!$E$25)))</f>
        <v/>
      </c>
      <c r="Y75" t="str">
        <f>IF($A75="","",IF($B75="V01",cad!$C$26,IF($B75="V02",cad!$D$26,cad!$E$26)))</f>
        <v/>
      </c>
      <c r="Z75" t="str">
        <f>IF($A75="","",IF($B75="V01",cad!$C$27,IF($B75="V02",cad!$D$27,cad!$E$27)))</f>
        <v/>
      </c>
      <c r="AA75" t="str">
        <f>IF($A75="","",IF($B75="V01",cad!$C$28,IF($B75="V02",cad!$D$28,cad!$E$28)))</f>
        <v/>
      </c>
      <c r="AB75" t="str">
        <f>IF($A75="","",IF($B75="V01",cad!$C$39,IF($B75="V02",cad!$D$39,cad!$E$39)))</f>
        <v/>
      </c>
      <c r="AC75" t="str">
        <f>IF($A75="","",IF($F75="MBWAY",cad!$J$12,IF($F75="ISCOM",cad!$J$13,IF($F75="IPAC",cad!$J$14,IF($F75="PIGIER",cad!$J$15,cad!$J$16)))))</f>
        <v/>
      </c>
      <c r="AD75" t="str">
        <f t="shared" si="7"/>
        <v/>
      </c>
      <c r="AE75" t="str">
        <f t="shared" si="8"/>
        <v/>
      </c>
      <c r="AF75" t="str">
        <f t="shared" si="9"/>
        <v/>
      </c>
      <c r="AG75" t="str">
        <f t="shared" si="10"/>
        <v/>
      </c>
      <c r="AH75" t="str">
        <f t="shared" si="11"/>
        <v/>
      </c>
    </row>
    <row r="76" spans="1:34" x14ac:dyDescent="0.45">
      <c r="A76" t="str">
        <f>IF(Moteur!D76="","",Moteur!D76)</f>
        <v/>
      </c>
      <c r="B76" t="str">
        <f>IF(Moteur!B76="","",Moteur!B76)</f>
        <v/>
      </c>
      <c r="C76" t="str">
        <f>IF(Moteur!F76="","",Moteur!F76)</f>
        <v/>
      </c>
      <c r="D76" t="str">
        <f>IF(Moteur!G76="","",Moteur!G76)</f>
        <v/>
      </c>
      <c r="E76" t="str">
        <f>IF(Moteur!H76="","",Moteur!H76)</f>
        <v/>
      </c>
      <c r="F76" t="str">
        <f>IF(Moteur!E76="","",Moteur!E76)</f>
        <v/>
      </c>
      <c r="G76" t="str">
        <f>IF($A76="","",SUMIFS(Allocation2!$H$1:$H$175,Allocation2!$C$1:$C$175,$A76,Allocation2!$D$1:$D$175,$C76,Allocation2!$E$1:$E$175,$D76,Allocation2!$F$1:$F$175,$E76,Allocation2!$G$1:$G$175,"2026"))</f>
        <v/>
      </c>
      <c r="H76" t="str">
        <f>IF($A76="","",SUMIFS(Allocation2!$N$1:$N$175,Allocation2!$C$1:$C$175,$A76,Allocation2!$D$1:$D$175,$C76,Allocation2!$E$1:$E$175,$D76,Allocation2!$F$1:$F$175,$E76,Allocation2!$G$1:$G$175,"2026"))</f>
        <v/>
      </c>
      <c r="I76" t="str">
        <f>IF($A76="","",SUMIFS(Allocation2!$P$1:$P$175,Allocation2!$C$1:$C$175,$A76,Allocation2!$D$1:$D$175,$C76,Allocation2!$E$1:$E$175,$D76,Allocation2!$F$1:$F$175,$E76,Allocation2!$G$1:$G$175,"2026"))</f>
        <v/>
      </c>
      <c r="J76" t="str">
        <f>IF($A76="","",SUMIFS(Allocation2!$W$1:$W$175,Allocation2!$C$1:$C$175,$A76,Allocation2!$D$1:$D$175,$C76,Allocation2!$E$1:$E$175,$D76,Allocation2!$F$1:$F$175,$E76,Allocation2!$G$1:$G$175,"2026"))</f>
        <v/>
      </c>
      <c r="K76" t="str">
        <f>IF($A76="","",SUMIFS(Allocation2!$X$1:$X$175,Allocation2!$C$1:$C$175,$A76,Allocation2!$D$1:$D$175,$C76,Allocation2!$E$1:$E$175,$D76,Allocation2!$F$1:$F$175,$E76,Allocation2!$G$1:$G$175,"2026"))</f>
        <v/>
      </c>
      <c r="L76" t="str">
        <f>IF($A76="","",SUMIFS(Allocation2!$Y$1:$Y$175,Allocation2!$C$1:$C$175,$A76,Allocation2!$D$1:$D$175,$C76,Allocation2!$E$1:$E$175,$D76,Allocation2!$F$1:$F$175,$E76,Allocation2!$G$1:$G$175,"2026"))</f>
        <v/>
      </c>
      <c r="M76" t="str">
        <f>IF($A76="","",SUMIFS(Allocation2!$V$1:$V$175,Allocation2!$C$1:$C$175,$A76,Allocation2!$D$1:$D$175,$C76,Allocation2!$E$1:$E$175,$D76,Allocation2!$F$1:$F$175,$E76,Allocation2!$G$1:$G$175,"2026"))</f>
        <v/>
      </c>
      <c r="N76" t="str">
        <f t="shared" si="6"/>
        <v/>
      </c>
      <c r="O76" t="str">
        <f>IF($A76="","",SUMIFS(Campagne!$D$1:$D$15,Campagne!$C$1:$C$15,$A76))</f>
        <v/>
      </c>
      <c r="P76" t="str">
        <f>IF($A76="","",SUMIFS(Campagne!$E$1:$E$15,Campagne!$C$1:$C$15,$A76))</f>
        <v/>
      </c>
      <c r="Q76" t="str">
        <f>IF($A76="","",SUMIFS(Campagne!$F$1:$F$15,Campagne!$C$1:$C$15,$A76))</f>
        <v/>
      </c>
      <c r="R76" t="str">
        <f>IF($A76="","",SUMIFS(Campagne!$K$1:$K$15,Campagne!$C$1:$C$15,$A76))</f>
        <v/>
      </c>
      <c r="S76" t="str">
        <f>IF($A76="","",SUMIFS(Campagne!$M$1:$M$15,Campagne!$C$1:$C$15,$A76))</f>
        <v/>
      </c>
      <c r="T76" t="str">
        <f>IF($A76="","",SUMIFS(PIL!$K$15:$K$28,PIL!$A$15:$A$28,$A76)*SUMIFS(PIL!$J$15:$J$28,PIL!$A$15:$A$28,$A76)*(SUM(PIL!$K$15:$K$28)/SUMPRODUCT(PIL!$K$15:$K$28,PIL!$J$15:$J$28)))</f>
        <v/>
      </c>
      <c r="U76" t="str">
        <f>IF($A76="","",SUMIFS(PIL!$K$15:$K$28,PIL!$A$15:$A$28,$A76))</f>
        <v/>
      </c>
      <c r="V76" t="str">
        <f>IF($A76="","",IF($B76="V01",cad!$C$23,IF($B76="V02",cad!$D$23,cad!$E$23)))</f>
        <v/>
      </c>
      <c r="W76" t="str">
        <f>IF($A76="","",IF($B76="V01",cad!$C$24,IF($B76="V02",cad!$D$24,cad!$E$24)))</f>
        <v/>
      </c>
      <c r="X76" t="str">
        <f>IF($A76="","",IF($B76="V01",cad!$C$25,IF($B76="V02",cad!$D$25,cad!$E$25)))</f>
        <v/>
      </c>
      <c r="Y76" t="str">
        <f>IF($A76="","",IF($B76="V01",cad!$C$26,IF($B76="V02",cad!$D$26,cad!$E$26)))</f>
        <v/>
      </c>
      <c r="Z76" t="str">
        <f>IF($A76="","",IF($B76="V01",cad!$C$27,IF($B76="V02",cad!$D$27,cad!$E$27)))</f>
        <v/>
      </c>
      <c r="AA76" t="str">
        <f>IF($A76="","",IF($B76="V01",cad!$C$28,IF($B76="V02",cad!$D$28,cad!$E$28)))</f>
        <v/>
      </c>
      <c r="AB76" t="str">
        <f>IF($A76="","",IF($B76="V01",cad!$C$39,IF($B76="V02",cad!$D$39,cad!$E$39)))</f>
        <v/>
      </c>
      <c r="AC76" t="str">
        <f>IF($A76="","",IF($F76="MBWAY",cad!$J$12,IF($F76="ISCOM",cad!$J$13,IF($F76="IPAC",cad!$J$14,IF($F76="PIGIER",cad!$J$15,cad!$J$16)))))</f>
        <v/>
      </c>
      <c r="AD76" t="str">
        <f t="shared" si="7"/>
        <v/>
      </c>
      <c r="AE76" t="str">
        <f t="shared" si="8"/>
        <v/>
      </c>
      <c r="AF76" t="str">
        <f t="shared" si="9"/>
        <v/>
      </c>
      <c r="AG76" t="str">
        <f t="shared" si="10"/>
        <v/>
      </c>
      <c r="AH76" t="str">
        <f t="shared" si="11"/>
        <v/>
      </c>
    </row>
    <row r="77" spans="1:34" x14ac:dyDescent="0.45">
      <c r="A77" t="str">
        <f>IF(Moteur!D77="","",Moteur!D77)</f>
        <v/>
      </c>
      <c r="B77" t="str">
        <f>IF(Moteur!B77="","",Moteur!B77)</f>
        <v/>
      </c>
      <c r="C77" t="str">
        <f>IF(Moteur!F77="","",Moteur!F77)</f>
        <v/>
      </c>
      <c r="D77" t="str">
        <f>IF(Moteur!G77="","",Moteur!G77)</f>
        <v/>
      </c>
      <c r="E77" t="str">
        <f>IF(Moteur!H77="","",Moteur!H77)</f>
        <v/>
      </c>
      <c r="F77" t="str">
        <f>IF(Moteur!E77="","",Moteur!E77)</f>
        <v/>
      </c>
      <c r="G77" t="str">
        <f>IF($A77="","",SUMIFS(Allocation2!$H$1:$H$175,Allocation2!$C$1:$C$175,$A77,Allocation2!$D$1:$D$175,$C77,Allocation2!$E$1:$E$175,$D77,Allocation2!$F$1:$F$175,$E77,Allocation2!$G$1:$G$175,"2026"))</f>
        <v/>
      </c>
      <c r="H77" t="str">
        <f>IF($A77="","",SUMIFS(Allocation2!$N$1:$N$175,Allocation2!$C$1:$C$175,$A77,Allocation2!$D$1:$D$175,$C77,Allocation2!$E$1:$E$175,$D77,Allocation2!$F$1:$F$175,$E77,Allocation2!$G$1:$G$175,"2026"))</f>
        <v/>
      </c>
      <c r="I77" t="str">
        <f>IF($A77="","",SUMIFS(Allocation2!$P$1:$P$175,Allocation2!$C$1:$C$175,$A77,Allocation2!$D$1:$D$175,$C77,Allocation2!$E$1:$E$175,$D77,Allocation2!$F$1:$F$175,$E77,Allocation2!$G$1:$G$175,"2026"))</f>
        <v/>
      </c>
      <c r="J77" t="str">
        <f>IF($A77="","",SUMIFS(Allocation2!$W$1:$W$175,Allocation2!$C$1:$C$175,$A77,Allocation2!$D$1:$D$175,$C77,Allocation2!$E$1:$E$175,$D77,Allocation2!$F$1:$F$175,$E77,Allocation2!$G$1:$G$175,"2026"))</f>
        <v/>
      </c>
      <c r="K77" t="str">
        <f>IF($A77="","",SUMIFS(Allocation2!$X$1:$X$175,Allocation2!$C$1:$C$175,$A77,Allocation2!$D$1:$D$175,$C77,Allocation2!$E$1:$E$175,$D77,Allocation2!$F$1:$F$175,$E77,Allocation2!$G$1:$G$175,"2026"))</f>
        <v/>
      </c>
      <c r="L77" t="str">
        <f>IF($A77="","",SUMIFS(Allocation2!$Y$1:$Y$175,Allocation2!$C$1:$C$175,$A77,Allocation2!$D$1:$D$175,$C77,Allocation2!$E$1:$E$175,$D77,Allocation2!$F$1:$F$175,$E77,Allocation2!$G$1:$G$175,"2026"))</f>
        <v/>
      </c>
      <c r="M77" t="str">
        <f>IF($A77="","",SUMIFS(Allocation2!$V$1:$V$175,Allocation2!$C$1:$C$175,$A77,Allocation2!$D$1:$D$175,$C77,Allocation2!$E$1:$E$175,$D77,Allocation2!$F$1:$F$175,$E77,Allocation2!$G$1:$G$175,"2026"))</f>
        <v/>
      </c>
      <c r="N77" t="str">
        <f t="shared" si="6"/>
        <v/>
      </c>
      <c r="O77" t="str">
        <f>IF($A77="","",SUMIFS(Campagne!$D$1:$D$15,Campagne!$C$1:$C$15,$A77))</f>
        <v/>
      </c>
      <c r="P77" t="str">
        <f>IF($A77="","",SUMIFS(Campagne!$E$1:$E$15,Campagne!$C$1:$C$15,$A77))</f>
        <v/>
      </c>
      <c r="Q77" t="str">
        <f>IF($A77="","",SUMIFS(Campagne!$F$1:$F$15,Campagne!$C$1:$C$15,$A77))</f>
        <v/>
      </c>
      <c r="R77" t="str">
        <f>IF($A77="","",SUMIFS(Campagne!$K$1:$K$15,Campagne!$C$1:$C$15,$A77))</f>
        <v/>
      </c>
      <c r="S77" t="str">
        <f>IF($A77="","",SUMIFS(Campagne!$M$1:$M$15,Campagne!$C$1:$C$15,$A77))</f>
        <v/>
      </c>
      <c r="T77" t="str">
        <f>IF($A77="","",SUMIFS(PIL!$K$15:$K$28,PIL!$A$15:$A$28,$A77)*SUMIFS(PIL!$J$15:$J$28,PIL!$A$15:$A$28,$A77)*(SUM(PIL!$K$15:$K$28)/SUMPRODUCT(PIL!$K$15:$K$28,PIL!$J$15:$J$28)))</f>
        <v/>
      </c>
      <c r="U77" t="str">
        <f>IF($A77="","",SUMIFS(PIL!$K$15:$K$28,PIL!$A$15:$A$28,$A77))</f>
        <v/>
      </c>
      <c r="V77" t="str">
        <f>IF($A77="","",IF($B77="V01",cad!$C$23,IF($B77="V02",cad!$D$23,cad!$E$23)))</f>
        <v/>
      </c>
      <c r="W77" t="str">
        <f>IF($A77="","",IF($B77="V01",cad!$C$24,IF($B77="V02",cad!$D$24,cad!$E$24)))</f>
        <v/>
      </c>
      <c r="X77" t="str">
        <f>IF($A77="","",IF($B77="V01",cad!$C$25,IF($B77="V02",cad!$D$25,cad!$E$25)))</f>
        <v/>
      </c>
      <c r="Y77" t="str">
        <f>IF($A77="","",IF($B77="V01",cad!$C$26,IF($B77="V02",cad!$D$26,cad!$E$26)))</f>
        <v/>
      </c>
      <c r="Z77" t="str">
        <f>IF($A77="","",IF($B77="V01",cad!$C$27,IF($B77="V02",cad!$D$27,cad!$E$27)))</f>
        <v/>
      </c>
      <c r="AA77" t="str">
        <f>IF($A77="","",IF($B77="V01",cad!$C$28,IF($B77="V02",cad!$D$28,cad!$E$28)))</f>
        <v/>
      </c>
      <c r="AB77" t="str">
        <f>IF($A77="","",IF($B77="V01",cad!$C$39,IF($B77="V02",cad!$D$39,cad!$E$39)))</f>
        <v/>
      </c>
      <c r="AC77" t="str">
        <f>IF($A77="","",IF($F77="MBWAY",cad!$J$12,IF($F77="ISCOM",cad!$J$13,IF($F77="IPAC",cad!$J$14,IF($F77="PIGIER",cad!$J$15,cad!$J$16)))))</f>
        <v/>
      </c>
      <c r="AD77" t="str">
        <f t="shared" si="7"/>
        <v/>
      </c>
      <c r="AE77" t="str">
        <f t="shared" si="8"/>
        <v/>
      </c>
      <c r="AF77" t="str">
        <f t="shared" si="9"/>
        <v/>
      </c>
      <c r="AG77" t="str">
        <f t="shared" si="10"/>
        <v/>
      </c>
      <c r="AH77" t="str">
        <f t="shared" si="11"/>
        <v/>
      </c>
    </row>
    <row r="78" spans="1:34" x14ac:dyDescent="0.45">
      <c r="A78" t="str">
        <f>IF(Moteur!D78="","",Moteur!D78)</f>
        <v/>
      </c>
      <c r="B78" t="str">
        <f>IF(Moteur!B78="","",Moteur!B78)</f>
        <v/>
      </c>
      <c r="C78" t="str">
        <f>IF(Moteur!F78="","",Moteur!F78)</f>
        <v/>
      </c>
      <c r="D78" t="str">
        <f>IF(Moteur!G78="","",Moteur!G78)</f>
        <v/>
      </c>
      <c r="E78" t="str">
        <f>IF(Moteur!H78="","",Moteur!H78)</f>
        <v/>
      </c>
      <c r="F78" t="str">
        <f>IF(Moteur!E78="","",Moteur!E78)</f>
        <v/>
      </c>
      <c r="G78" t="str">
        <f>IF($A78="","",SUMIFS(Allocation2!$H$1:$H$175,Allocation2!$C$1:$C$175,$A78,Allocation2!$D$1:$D$175,$C78,Allocation2!$E$1:$E$175,$D78,Allocation2!$F$1:$F$175,$E78,Allocation2!$G$1:$G$175,"2026"))</f>
        <v/>
      </c>
      <c r="H78" t="str">
        <f>IF($A78="","",SUMIFS(Allocation2!$N$1:$N$175,Allocation2!$C$1:$C$175,$A78,Allocation2!$D$1:$D$175,$C78,Allocation2!$E$1:$E$175,$D78,Allocation2!$F$1:$F$175,$E78,Allocation2!$G$1:$G$175,"2026"))</f>
        <v/>
      </c>
      <c r="I78" t="str">
        <f>IF($A78="","",SUMIFS(Allocation2!$P$1:$P$175,Allocation2!$C$1:$C$175,$A78,Allocation2!$D$1:$D$175,$C78,Allocation2!$E$1:$E$175,$D78,Allocation2!$F$1:$F$175,$E78,Allocation2!$G$1:$G$175,"2026"))</f>
        <v/>
      </c>
      <c r="J78" t="str">
        <f>IF($A78="","",SUMIFS(Allocation2!$W$1:$W$175,Allocation2!$C$1:$C$175,$A78,Allocation2!$D$1:$D$175,$C78,Allocation2!$E$1:$E$175,$D78,Allocation2!$F$1:$F$175,$E78,Allocation2!$G$1:$G$175,"2026"))</f>
        <v/>
      </c>
      <c r="K78" t="str">
        <f>IF($A78="","",SUMIFS(Allocation2!$X$1:$X$175,Allocation2!$C$1:$C$175,$A78,Allocation2!$D$1:$D$175,$C78,Allocation2!$E$1:$E$175,$D78,Allocation2!$F$1:$F$175,$E78,Allocation2!$G$1:$G$175,"2026"))</f>
        <v/>
      </c>
      <c r="L78" t="str">
        <f>IF($A78="","",SUMIFS(Allocation2!$Y$1:$Y$175,Allocation2!$C$1:$C$175,$A78,Allocation2!$D$1:$D$175,$C78,Allocation2!$E$1:$E$175,$D78,Allocation2!$F$1:$F$175,$E78,Allocation2!$G$1:$G$175,"2026"))</f>
        <v/>
      </c>
      <c r="M78" t="str">
        <f>IF($A78="","",SUMIFS(Allocation2!$V$1:$V$175,Allocation2!$C$1:$C$175,$A78,Allocation2!$D$1:$D$175,$C78,Allocation2!$E$1:$E$175,$D78,Allocation2!$F$1:$F$175,$E78,Allocation2!$G$1:$G$175,"2026"))</f>
        <v/>
      </c>
      <c r="N78" t="str">
        <f t="shared" si="6"/>
        <v/>
      </c>
      <c r="O78" t="str">
        <f>IF($A78="","",SUMIFS(Campagne!$D$1:$D$15,Campagne!$C$1:$C$15,$A78))</f>
        <v/>
      </c>
      <c r="P78" t="str">
        <f>IF($A78="","",SUMIFS(Campagne!$E$1:$E$15,Campagne!$C$1:$C$15,$A78))</f>
        <v/>
      </c>
      <c r="Q78" t="str">
        <f>IF($A78="","",SUMIFS(Campagne!$F$1:$F$15,Campagne!$C$1:$C$15,$A78))</f>
        <v/>
      </c>
      <c r="R78" t="str">
        <f>IF($A78="","",SUMIFS(Campagne!$K$1:$K$15,Campagne!$C$1:$C$15,$A78))</f>
        <v/>
      </c>
      <c r="S78" t="str">
        <f>IF($A78="","",SUMIFS(Campagne!$M$1:$M$15,Campagne!$C$1:$C$15,$A78))</f>
        <v/>
      </c>
      <c r="T78" t="str">
        <f>IF($A78="","",SUMIFS(PIL!$K$15:$K$28,PIL!$A$15:$A$28,$A78)*SUMIFS(PIL!$J$15:$J$28,PIL!$A$15:$A$28,$A78)*(SUM(PIL!$K$15:$K$28)/SUMPRODUCT(PIL!$K$15:$K$28,PIL!$J$15:$J$28)))</f>
        <v/>
      </c>
      <c r="U78" t="str">
        <f>IF($A78="","",SUMIFS(PIL!$K$15:$K$28,PIL!$A$15:$A$28,$A78))</f>
        <v/>
      </c>
      <c r="V78" t="str">
        <f>IF($A78="","",IF($B78="V01",cad!$C$23,IF($B78="V02",cad!$D$23,cad!$E$23)))</f>
        <v/>
      </c>
      <c r="W78" t="str">
        <f>IF($A78="","",IF($B78="V01",cad!$C$24,IF($B78="V02",cad!$D$24,cad!$E$24)))</f>
        <v/>
      </c>
      <c r="X78" t="str">
        <f>IF($A78="","",IF($B78="V01",cad!$C$25,IF($B78="V02",cad!$D$25,cad!$E$25)))</f>
        <v/>
      </c>
      <c r="Y78" t="str">
        <f>IF($A78="","",IF($B78="V01",cad!$C$26,IF($B78="V02",cad!$D$26,cad!$E$26)))</f>
        <v/>
      </c>
      <c r="Z78" t="str">
        <f>IF($A78="","",IF($B78="V01",cad!$C$27,IF($B78="V02",cad!$D$27,cad!$E$27)))</f>
        <v/>
      </c>
      <c r="AA78" t="str">
        <f>IF($A78="","",IF($B78="V01",cad!$C$28,IF($B78="V02",cad!$D$28,cad!$E$28)))</f>
        <v/>
      </c>
      <c r="AB78" t="str">
        <f>IF($A78="","",IF($B78="V01",cad!$C$39,IF($B78="V02",cad!$D$39,cad!$E$39)))</f>
        <v/>
      </c>
      <c r="AC78" t="str">
        <f>IF($A78="","",IF($F78="MBWAY",cad!$J$12,IF($F78="ISCOM",cad!$J$13,IF($F78="IPAC",cad!$J$14,IF($F78="PIGIER",cad!$J$15,cad!$J$16)))))</f>
        <v/>
      </c>
      <c r="AD78" t="str">
        <f t="shared" si="7"/>
        <v/>
      </c>
      <c r="AE78" t="str">
        <f t="shared" si="8"/>
        <v/>
      </c>
      <c r="AF78" t="str">
        <f t="shared" si="9"/>
        <v/>
      </c>
      <c r="AG78" t="str">
        <f t="shared" si="10"/>
        <v/>
      </c>
      <c r="AH78" t="str">
        <f t="shared" si="11"/>
        <v/>
      </c>
    </row>
    <row r="79" spans="1:34" x14ac:dyDescent="0.45">
      <c r="A79" t="str">
        <f>IF(Moteur!D79="","",Moteur!D79)</f>
        <v/>
      </c>
      <c r="B79" t="str">
        <f>IF(Moteur!B79="","",Moteur!B79)</f>
        <v/>
      </c>
      <c r="C79" t="str">
        <f>IF(Moteur!F79="","",Moteur!F79)</f>
        <v/>
      </c>
      <c r="D79" t="str">
        <f>IF(Moteur!G79="","",Moteur!G79)</f>
        <v/>
      </c>
      <c r="E79" t="str">
        <f>IF(Moteur!H79="","",Moteur!H79)</f>
        <v/>
      </c>
      <c r="F79" t="str">
        <f>IF(Moteur!E79="","",Moteur!E79)</f>
        <v/>
      </c>
      <c r="G79" t="str">
        <f>IF($A79="","",SUMIFS(Allocation2!$H$1:$H$175,Allocation2!$C$1:$C$175,$A79,Allocation2!$D$1:$D$175,$C79,Allocation2!$E$1:$E$175,$D79,Allocation2!$F$1:$F$175,$E79,Allocation2!$G$1:$G$175,"2026"))</f>
        <v/>
      </c>
      <c r="H79" t="str">
        <f>IF($A79="","",SUMIFS(Allocation2!$N$1:$N$175,Allocation2!$C$1:$C$175,$A79,Allocation2!$D$1:$D$175,$C79,Allocation2!$E$1:$E$175,$D79,Allocation2!$F$1:$F$175,$E79,Allocation2!$G$1:$G$175,"2026"))</f>
        <v/>
      </c>
      <c r="I79" t="str">
        <f>IF($A79="","",SUMIFS(Allocation2!$P$1:$P$175,Allocation2!$C$1:$C$175,$A79,Allocation2!$D$1:$D$175,$C79,Allocation2!$E$1:$E$175,$D79,Allocation2!$F$1:$F$175,$E79,Allocation2!$G$1:$G$175,"2026"))</f>
        <v/>
      </c>
      <c r="J79" t="str">
        <f>IF($A79="","",SUMIFS(Allocation2!$W$1:$W$175,Allocation2!$C$1:$C$175,$A79,Allocation2!$D$1:$D$175,$C79,Allocation2!$E$1:$E$175,$D79,Allocation2!$F$1:$F$175,$E79,Allocation2!$G$1:$G$175,"2026"))</f>
        <v/>
      </c>
      <c r="K79" t="str">
        <f>IF($A79="","",SUMIFS(Allocation2!$X$1:$X$175,Allocation2!$C$1:$C$175,$A79,Allocation2!$D$1:$D$175,$C79,Allocation2!$E$1:$E$175,$D79,Allocation2!$F$1:$F$175,$E79,Allocation2!$G$1:$G$175,"2026"))</f>
        <v/>
      </c>
      <c r="L79" t="str">
        <f>IF($A79="","",SUMIFS(Allocation2!$Y$1:$Y$175,Allocation2!$C$1:$C$175,$A79,Allocation2!$D$1:$D$175,$C79,Allocation2!$E$1:$E$175,$D79,Allocation2!$F$1:$F$175,$E79,Allocation2!$G$1:$G$175,"2026"))</f>
        <v/>
      </c>
      <c r="M79" t="str">
        <f>IF($A79="","",SUMIFS(Allocation2!$V$1:$V$175,Allocation2!$C$1:$C$175,$A79,Allocation2!$D$1:$D$175,$C79,Allocation2!$E$1:$E$175,$D79,Allocation2!$F$1:$F$175,$E79,Allocation2!$G$1:$G$175,"2026"))</f>
        <v/>
      </c>
      <c r="N79" t="str">
        <f t="shared" si="6"/>
        <v/>
      </c>
      <c r="O79" t="str">
        <f>IF($A79="","",SUMIFS(Campagne!$D$1:$D$15,Campagne!$C$1:$C$15,$A79))</f>
        <v/>
      </c>
      <c r="P79" t="str">
        <f>IF($A79="","",SUMIFS(Campagne!$E$1:$E$15,Campagne!$C$1:$C$15,$A79))</f>
        <v/>
      </c>
      <c r="Q79" t="str">
        <f>IF($A79="","",SUMIFS(Campagne!$F$1:$F$15,Campagne!$C$1:$C$15,$A79))</f>
        <v/>
      </c>
      <c r="R79" t="str">
        <f>IF($A79="","",SUMIFS(Campagne!$K$1:$K$15,Campagne!$C$1:$C$15,$A79))</f>
        <v/>
      </c>
      <c r="S79" t="str">
        <f>IF($A79="","",SUMIFS(Campagne!$M$1:$M$15,Campagne!$C$1:$C$15,$A79))</f>
        <v/>
      </c>
      <c r="T79" t="str">
        <f>IF($A79="","",SUMIFS(PIL!$K$15:$K$28,PIL!$A$15:$A$28,$A79)*SUMIFS(PIL!$J$15:$J$28,PIL!$A$15:$A$28,$A79)*(SUM(PIL!$K$15:$K$28)/SUMPRODUCT(PIL!$K$15:$K$28,PIL!$J$15:$J$28)))</f>
        <v/>
      </c>
      <c r="U79" t="str">
        <f>IF($A79="","",SUMIFS(PIL!$K$15:$K$28,PIL!$A$15:$A$28,$A79))</f>
        <v/>
      </c>
      <c r="V79" t="str">
        <f>IF($A79="","",IF($B79="V01",cad!$C$23,IF($B79="V02",cad!$D$23,cad!$E$23)))</f>
        <v/>
      </c>
      <c r="W79" t="str">
        <f>IF($A79="","",IF($B79="V01",cad!$C$24,IF($B79="V02",cad!$D$24,cad!$E$24)))</f>
        <v/>
      </c>
      <c r="X79" t="str">
        <f>IF($A79="","",IF($B79="V01",cad!$C$25,IF($B79="V02",cad!$D$25,cad!$E$25)))</f>
        <v/>
      </c>
      <c r="Y79" t="str">
        <f>IF($A79="","",IF($B79="V01",cad!$C$26,IF($B79="V02",cad!$D$26,cad!$E$26)))</f>
        <v/>
      </c>
      <c r="Z79" t="str">
        <f>IF($A79="","",IF($B79="V01",cad!$C$27,IF($B79="V02",cad!$D$27,cad!$E$27)))</f>
        <v/>
      </c>
      <c r="AA79" t="str">
        <f>IF($A79="","",IF($B79="V01",cad!$C$28,IF($B79="V02",cad!$D$28,cad!$E$28)))</f>
        <v/>
      </c>
      <c r="AB79" t="str">
        <f>IF($A79="","",IF($B79="V01",cad!$C$39,IF($B79="V02",cad!$D$39,cad!$E$39)))</f>
        <v/>
      </c>
      <c r="AC79" t="str">
        <f>IF($A79="","",IF($F79="MBWAY",cad!$J$12,IF($F79="ISCOM",cad!$J$13,IF($F79="IPAC",cad!$J$14,IF($F79="PIGIER",cad!$J$15,cad!$J$16)))))</f>
        <v/>
      </c>
      <c r="AD79" t="str">
        <f t="shared" si="7"/>
        <v/>
      </c>
      <c r="AE79" t="str">
        <f t="shared" si="8"/>
        <v/>
      </c>
      <c r="AF79" t="str">
        <f t="shared" si="9"/>
        <v/>
      </c>
      <c r="AG79" t="str">
        <f t="shared" si="10"/>
        <v/>
      </c>
      <c r="AH79" t="str">
        <f t="shared" si="11"/>
        <v/>
      </c>
    </row>
    <row r="80" spans="1:34" x14ac:dyDescent="0.45">
      <c r="A80" t="str">
        <f>IF(Moteur!D80="","",Moteur!D80)</f>
        <v/>
      </c>
      <c r="B80" t="str">
        <f>IF(Moteur!B80="","",Moteur!B80)</f>
        <v/>
      </c>
      <c r="C80" t="str">
        <f>IF(Moteur!F80="","",Moteur!F80)</f>
        <v/>
      </c>
      <c r="D80" t="str">
        <f>IF(Moteur!G80="","",Moteur!G80)</f>
        <v/>
      </c>
      <c r="E80" t="str">
        <f>IF(Moteur!H80="","",Moteur!H80)</f>
        <v/>
      </c>
      <c r="F80" t="str">
        <f>IF(Moteur!E80="","",Moteur!E80)</f>
        <v/>
      </c>
      <c r="G80" t="str">
        <f>IF($A80="","",SUMIFS(Allocation2!$H$1:$H$175,Allocation2!$C$1:$C$175,$A80,Allocation2!$D$1:$D$175,$C80,Allocation2!$E$1:$E$175,$D80,Allocation2!$F$1:$F$175,$E80,Allocation2!$G$1:$G$175,"2026"))</f>
        <v/>
      </c>
      <c r="H80" t="str">
        <f>IF($A80="","",SUMIFS(Allocation2!$N$1:$N$175,Allocation2!$C$1:$C$175,$A80,Allocation2!$D$1:$D$175,$C80,Allocation2!$E$1:$E$175,$D80,Allocation2!$F$1:$F$175,$E80,Allocation2!$G$1:$G$175,"2026"))</f>
        <v/>
      </c>
      <c r="I80" t="str">
        <f>IF($A80="","",SUMIFS(Allocation2!$P$1:$P$175,Allocation2!$C$1:$C$175,$A80,Allocation2!$D$1:$D$175,$C80,Allocation2!$E$1:$E$175,$D80,Allocation2!$F$1:$F$175,$E80,Allocation2!$G$1:$G$175,"2026"))</f>
        <v/>
      </c>
      <c r="J80" t="str">
        <f>IF($A80="","",SUMIFS(Allocation2!$W$1:$W$175,Allocation2!$C$1:$C$175,$A80,Allocation2!$D$1:$D$175,$C80,Allocation2!$E$1:$E$175,$D80,Allocation2!$F$1:$F$175,$E80,Allocation2!$G$1:$G$175,"2026"))</f>
        <v/>
      </c>
      <c r="K80" t="str">
        <f>IF($A80="","",SUMIFS(Allocation2!$X$1:$X$175,Allocation2!$C$1:$C$175,$A80,Allocation2!$D$1:$D$175,$C80,Allocation2!$E$1:$E$175,$D80,Allocation2!$F$1:$F$175,$E80,Allocation2!$G$1:$G$175,"2026"))</f>
        <v/>
      </c>
      <c r="L80" t="str">
        <f>IF($A80="","",SUMIFS(Allocation2!$Y$1:$Y$175,Allocation2!$C$1:$C$175,$A80,Allocation2!$D$1:$D$175,$C80,Allocation2!$E$1:$E$175,$D80,Allocation2!$F$1:$F$175,$E80,Allocation2!$G$1:$G$175,"2026"))</f>
        <v/>
      </c>
      <c r="M80" t="str">
        <f>IF($A80="","",SUMIFS(Allocation2!$V$1:$V$175,Allocation2!$C$1:$C$175,$A80,Allocation2!$D$1:$D$175,$C80,Allocation2!$E$1:$E$175,$D80,Allocation2!$F$1:$F$175,$E80,Allocation2!$G$1:$G$175,"2026"))</f>
        <v/>
      </c>
      <c r="N80" t="str">
        <f t="shared" si="6"/>
        <v/>
      </c>
      <c r="O80" t="str">
        <f>IF($A80="","",SUMIFS(Campagne!$D$1:$D$15,Campagne!$C$1:$C$15,$A80))</f>
        <v/>
      </c>
      <c r="P80" t="str">
        <f>IF($A80="","",SUMIFS(Campagne!$E$1:$E$15,Campagne!$C$1:$C$15,$A80))</f>
        <v/>
      </c>
      <c r="Q80" t="str">
        <f>IF($A80="","",SUMIFS(Campagne!$F$1:$F$15,Campagne!$C$1:$C$15,$A80))</f>
        <v/>
      </c>
      <c r="R80" t="str">
        <f>IF($A80="","",SUMIFS(Campagne!$K$1:$K$15,Campagne!$C$1:$C$15,$A80))</f>
        <v/>
      </c>
      <c r="S80" t="str">
        <f>IF($A80="","",SUMIFS(Campagne!$M$1:$M$15,Campagne!$C$1:$C$15,$A80))</f>
        <v/>
      </c>
      <c r="T80" t="str">
        <f>IF($A80="","",SUMIFS(PIL!$K$15:$K$28,PIL!$A$15:$A$28,$A80)*SUMIFS(PIL!$J$15:$J$28,PIL!$A$15:$A$28,$A80)*(SUM(PIL!$K$15:$K$28)/SUMPRODUCT(PIL!$K$15:$K$28,PIL!$J$15:$J$28)))</f>
        <v/>
      </c>
      <c r="U80" t="str">
        <f>IF($A80="","",SUMIFS(PIL!$K$15:$K$28,PIL!$A$15:$A$28,$A80))</f>
        <v/>
      </c>
      <c r="V80" t="str">
        <f>IF($A80="","",IF($B80="V01",cad!$C$23,IF($B80="V02",cad!$D$23,cad!$E$23)))</f>
        <v/>
      </c>
      <c r="W80" t="str">
        <f>IF($A80="","",IF($B80="V01",cad!$C$24,IF($B80="V02",cad!$D$24,cad!$E$24)))</f>
        <v/>
      </c>
      <c r="X80" t="str">
        <f>IF($A80="","",IF($B80="V01",cad!$C$25,IF($B80="V02",cad!$D$25,cad!$E$25)))</f>
        <v/>
      </c>
      <c r="Y80" t="str">
        <f>IF($A80="","",IF($B80="V01",cad!$C$26,IF($B80="V02",cad!$D$26,cad!$E$26)))</f>
        <v/>
      </c>
      <c r="Z80" t="str">
        <f>IF($A80="","",IF($B80="V01",cad!$C$27,IF($B80="V02",cad!$D$27,cad!$E$27)))</f>
        <v/>
      </c>
      <c r="AA80" t="str">
        <f>IF($A80="","",IF($B80="V01",cad!$C$28,IF($B80="V02",cad!$D$28,cad!$E$28)))</f>
        <v/>
      </c>
      <c r="AB80" t="str">
        <f>IF($A80="","",IF($B80="V01",cad!$C$39,IF($B80="V02",cad!$D$39,cad!$E$39)))</f>
        <v/>
      </c>
      <c r="AC80" t="str">
        <f>IF($A80="","",IF($F80="MBWAY",cad!$J$12,IF($F80="ISCOM",cad!$J$13,IF($F80="IPAC",cad!$J$14,IF($F80="PIGIER",cad!$J$15,cad!$J$16)))))</f>
        <v/>
      </c>
      <c r="AD80" t="str">
        <f t="shared" si="7"/>
        <v/>
      </c>
      <c r="AE80" t="str">
        <f t="shared" si="8"/>
        <v/>
      </c>
      <c r="AF80" t="str">
        <f t="shared" si="9"/>
        <v/>
      </c>
      <c r="AG80" t="str">
        <f t="shared" si="10"/>
        <v/>
      </c>
      <c r="AH80" t="str">
        <f t="shared" si="11"/>
        <v/>
      </c>
    </row>
    <row r="81" spans="1:34" x14ac:dyDescent="0.45">
      <c r="A81" t="str">
        <f>IF(Moteur!D81="","",Moteur!D81)</f>
        <v/>
      </c>
      <c r="B81" t="str">
        <f>IF(Moteur!B81="","",Moteur!B81)</f>
        <v/>
      </c>
      <c r="C81" t="str">
        <f>IF(Moteur!F81="","",Moteur!F81)</f>
        <v/>
      </c>
      <c r="D81" t="str">
        <f>IF(Moteur!G81="","",Moteur!G81)</f>
        <v/>
      </c>
      <c r="E81" t="str">
        <f>IF(Moteur!H81="","",Moteur!H81)</f>
        <v/>
      </c>
      <c r="F81" t="str">
        <f>IF(Moteur!E81="","",Moteur!E81)</f>
        <v/>
      </c>
      <c r="G81" t="str">
        <f>IF($A81="","",SUMIFS(Allocation2!$H$1:$H$175,Allocation2!$C$1:$C$175,$A81,Allocation2!$D$1:$D$175,$C81,Allocation2!$E$1:$E$175,$D81,Allocation2!$F$1:$F$175,$E81,Allocation2!$G$1:$G$175,"2026"))</f>
        <v/>
      </c>
      <c r="H81" t="str">
        <f>IF($A81="","",SUMIFS(Allocation2!$N$1:$N$175,Allocation2!$C$1:$C$175,$A81,Allocation2!$D$1:$D$175,$C81,Allocation2!$E$1:$E$175,$D81,Allocation2!$F$1:$F$175,$E81,Allocation2!$G$1:$G$175,"2026"))</f>
        <v/>
      </c>
      <c r="I81" t="str">
        <f>IF($A81="","",SUMIFS(Allocation2!$P$1:$P$175,Allocation2!$C$1:$C$175,$A81,Allocation2!$D$1:$D$175,$C81,Allocation2!$E$1:$E$175,$D81,Allocation2!$F$1:$F$175,$E81,Allocation2!$G$1:$G$175,"2026"))</f>
        <v/>
      </c>
      <c r="J81" t="str">
        <f>IF($A81="","",SUMIFS(Allocation2!$W$1:$W$175,Allocation2!$C$1:$C$175,$A81,Allocation2!$D$1:$D$175,$C81,Allocation2!$E$1:$E$175,$D81,Allocation2!$F$1:$F$175,$E81,Allocation2!$G$1:$G$175,"2026"))</f>
        <v/>
      </c>
      <c r="K81" t="str">
        <f>IF($A81="","",SUMIFS(Allocation2!$X$1:$X$175,Allocation2!$C$1:$C$175,$A81,Allocation2!$D$1:$D$175,$C81,Allocation2!$E$1:$E$175,$D81,Allocation2!$F$1:$F$175,$E81,Allocation2!$G$1:$G$175,"2026"))</f>
        <v/>
      </c>
      <c r="L81" t="str">
        <f>IF($A81="","",SUMIFS(Allocation2!$Y$1:$Y$175,Allocation2!$C$1:$C$175,$A81,Allocation2!$D$1:$D$175,$C81,Allocation2!$E$1:$E$175,$D81,Allocation2!$F$1:$F$175,$E81,Allocation2!$G$1:$G$175,"2026"))</f>
        <v/>
      </c>
      <c r="M81" t="str">
        <f>IF($A81="","",SUMIFS(Allocation2!$V$1:$V$175,Allocation2!$C$1:$C$175,$A81,Allocation2!$D$1:$D$175,$C81,Allocation2!$E$1:$E$175,$D81,Allocation2!$F$1:$F$175,$E81,Allocation2!$G$1:$G$175,"2026"))</f>
        <v/>
      </c>
      <c r="N81" t="str">
        <f t="shared" si="6"/>
        <v/>
      </c>
      <c r="O81" t="str">
        <f>IF($A81="","",SUMIFS(Campagne!$D$1:$D$15,Campagne!$C$1:$C$15,$A81))</f>
        <v/>
      </c>
      <c r="P81" t="str">
        <f>IF($A81="","",SUMIFS(Campagne!$E$1:$E$15,Campagne!$C$1:$C$15,$A81))</f>
        <v/>
      </c>
      <c r="Q81" t="str">
        <f>IF($A81="","",SUMIFS(Campagne!$F$1:$F$15,Campagne!$C$1:$C$15,$A81))</f>
        <v/>
      </c>
      <c r="R81" t="str">
        <f>IF($A81="","",SUMIFS(Campagne!$K$1:$K$15,Campagne!$C$1:$C$15,$A81))</f>
        <v/>
      </c>
      <c r="S81" t="str">
        <f>IF($A81="","",SUMIFS(Campagne!$M$1:$M$15,Campagne!$C$1:$C$15,$A81))</f>
        <v/>
      </c>
      <c r="T81" t="str">
        <f>IF($A81="","",SUMIFS(PIL!$K$15:$K$28,PIL!$A$15:$A$28,$A81)*SUMIFS(PIL!$J$15:$J$28,PIL!$A$15:$A$28,$A81)*(SUM(PIL!$K$15:$K$28)/SUMPRODUCT(PIL!$K$15:$K$28,PIL!$J$15:$J$28)))</f>
        <v/>
      </c>
      <c r="U81" t="str">
        <f>IF($A81="","",SUMIFS(PIL!$K$15:$K$28,PIL!$A$15:$A$28,$A81))</f>
        <v/>
      </c>
      <c r="V81" t="str">
        <f>IF($A81="","",IF($B81="V01",cad!$C$23,IF($B81="V02",cad!$D$23,cad!$E$23)))</f>
        <v/>
      </c>
      <c r="W81" t="str">
        <f>IF($A81="","",IF($B81="V01",cad!$C$24,IF($B81="V02",cad!$D$24,cad!$E$24)))</f>
        <v/>
      </c>
      <c r="X81" t="str">
        <f>IF($A81="","",IF($B81="V01",cad!$C$25,IF($B81="V02",cad!$D$25,cad!$E$25)))</f>
        <v/>
      </c>
      <c r="Y81" t="str">
        <f>IF($A81="","",IF($B81="V01",cad!$C$26,IF($B81="V02",cad!$D$26,cad!$E$26)))</f>
        <v/>
      </c>
      <c r="Z81" t="str">
        <f>IF($A81="","",IF($B81="V01",cad!$C$27,IF($B81="V02",cad!$D$27,cad!$E$27)))</f>
        <v/>
      </c>
      <c r="AA81" t="str">
        <f>IF($A81="","",IF($B81="V01",cad!$C$28,IF($B81="V02",cad!$D$28,cad!$E$28)))</f>
        <v/>
      </c>
      <c r="AB81" t="str">
        <f>IF($A81="","",IF($B81="V01",cad!$C$39,IF($B81="V02",cad!$D$39,cad!$E$39)))</f>
        <v/>
      </c>
      <c r="AC81" t="str">
        <f>IF($A81="","",IF($F81="MBWAY",cad!$J$12,IF($F81="ISCOM",cad!$J$13,IF($F81="IPAC",cad!$J$14,IF($F81="PIGIER",cad!$J$15,cad!$J$16)))))</f>
        <v/>
      </c>
      <c r="AD81" t="str">
        <f t="shared" si="7"/>
        <v/>
      </c>
      <c r="AE81" t="str">
        <f t="shared" si="8"/>
        <v/>
      </c>
      <c r="AF81" t="str">
        <f t="shared" si="9"/>
        <v/>
      </c>
      <c r="AG81" t="str">
        <f t="shared" si="10"/>
        <v/>
      </c>
      <c r="AH81" t="str">
        <f t="shared" si="11"/>
        <v/>
      </c>
    </row>
    <row r="82" spans="1:34" x14ac:dyDescent="0.45">
      <c r="A82" t="str">
        <f>IF(Moteur!D82="","",Moteur!D82)</f>
        <v/>
      </c>
      <c r="B82" t="str">
        <f>IF(Moteur!B82="","",Moteur!B82)</f>
        <v/>
      </c>
      <c r="C82" t="str">
        <f>IF(Moteur!F82="","",Moteur!F82)</f>
        <v/>
      </c>
      <c r="D82" t="str">
        <f>IF(Moteur!G82="","",Moteur!G82)</f>
        <v/>
      </c>
      <c r="E82" t="str">
        <f>IF(Moteur!H82="","",Moteur!H82)</f>
        <v/>
      </c>
      <c r="F82" t="str">
        <f>IF(Moteur!E82="","",Moteur!E82)</f>
        <v/>
      </c>
      <c r="G82" t="str">
        <f>IF($A82="","",SUMIFS(Allocation2!$H$1:$H$175,Allocation2!$C$1:$C$175,$A82,Allocation2!$D$1:$D$175,$C82,Allocation2!$E$1:$E$175,$D82,Allocation2!$F$1:$F$175,$E82,Allocation2!$G$1:$G$175,"2026"))</f>
        <v/>
      </c>
      <c r="H82" t="str">
        <f>IF($A82="","",SUMIFS(Allocation2!$N$1:$N$175,Allocation2!$C$1:$C$175,$A82,Allocation2!$D$1:$D$175,$C82,Allocation2!$E$1:$E$175,$D82,Allocation2!$F$1:$F$175,$E82,Allocation2!$G$1:$G$175,"2026"))</f>
        <v/>
      </c>
      <c r="I82" t="str">
        <f>IF($A82="","",SUMIFS(Allocation2!$P$1:$P$175,Allocation2!$C$1:$C$175,$A82,Allocation2!$D$1:$D$175,$C82,Allocation2!$E$1:$E$175,$D82,Allocation2!$F$1:$F$175,$E82,Allocation2!$G$1:$G$175,"2026"))</f>
        <v/>
      </c>
      <c r="J82" t="str">
        <f>IF($A82="","",SUMIFS(Allocation2!$W$1:$W$175,Allocation2!$C$1:$C$175,$A82,Allocation2!$D$1:$D$175,$C82,Allocation2!$E$1:$E$175,$D82,Allocation2!$F$1:$F$175,$E82,Allocation2!$G$1:$G$175,"2026"))</f>
        <v/>
      </c>
      <c r="K82" t="str">
        <f>IF($A82="","",SUMIFS(Allocation2!$X$1:$X$175,Allocation2!$C$1:$C$175,$A82,Allocation2!$D$1:$D$175,$C82,Allocation2!$E$1:$E$175,$D82,Allocation2!$F$1:$F$175,$E82,Allocation2!$G$1:$G$175,"2026"))</f>
        <v/>
      </c>
      <c r="L82" t="str">
        <f>IF($A82="","",SUMIFS(Allocation2!$Y$1:$Y$175,Allocation2!$C$1:$C$175,$A82,Allocation2!$D$1:$D$175,$C82,Allocation2!$E$1:$E$175,$D82,Allocation2!$F$1:$F$175,$E82,Allocation2!$G$1:$G$175,"2026"))</f>
        <v/>
      </c>
      <c r="M82" t="str">
        <f>IF($A82="","",SUMIFS(Allocation2!$V$1:$V$175,Allocation2!$C$1:$C$175,$A82,Allocation2!$D$1:$D$175,$C82,Allocation2!$E$1:$E$175,$D82,Allocation2!$F$1:$F$175,$E82,Allocation2!$G$1:$G$175,"2026"))</f>
        <v/>
      </c>
      <c r="N82" t="str">
        <f t="shared" si="6"/>
        <v/>
      </c>
      <c r="O82" t="str">
        <f>IF($A82="","",SUMIFS(Campagne!$D$1:$D$15,Campagne!$C$1:$C$15,$A82))</f>
        <v/>
      </c>
      <c r="P82" t="str">
        <f>IF($A82="","",SUMIFS(Campagne!$E$1:$E$15,Campagne!$C$1:$C$15,$A82))</f>
        <v/>
      </c>
      <c r="Q82" t="str">
        <f>IF($A82="","",SUMIFS(Campagne!$F$1:$F$15,Campagne!$C$1:$C$15,$A82))</f>
        <v/>
      </c>
      <c r="R82" t="str">
        <f>IF($A82="","",SUMIFS(Campagne!$K$1:$K$15,Campagne!$C$1:$C$15,$A82))</f>
        <v/>
      </c>
      <c r="S82" t="str">
        <f>IF($A82="","",SUMIFS(Campagne!$M$1:$M$15,Campagne!$C$1:$C$15,$A82))</f>
        <v/>
      </c>
      <c r="T82" t="str">
        <f>IF($A82="","",SUMIFS(PIL!$K$15:$K$28,PIL!$A$15:$A$28,$A82)*SUMIFS(PIL!$J$15:$J$28,PIL!$A$15:$A$28,$A82)*(SUM(PIL!$K$15:$K$28)/SUMPRODUCT(PIL!$K$15:$K$28,PIL!$J$15:$J$28)))</f>
        <v/>
      </c>
      <c r="U82" t="str">
        <f>IF($A82="","",SUMIFS(PIL!$K$15:$K$28,PIL!$A$15:$A$28,$A82))</f>
        <v/>
      </c>
      <c r="V82" t="str">
        <f>IF($A82="","",IF($B82="V01",cad!$C$23,IF($B82="V02",cad!$D$23,cad!$E$23)))</f>
        <v/>
      </c>
      <c r="W82" t="str">
        <f>IF($A82="","",IF($B82="V01",cad!$C$24,IF($B82="V02",cad!$D$24,cad!$E$24)))</f>
        <v/>
      </c>
      <c r="X82" t="str">
        <f>IF($A82="","",IF($B82="V01",cad!$C$25,IF($B82="V02",cad!$D$25,cad!$E$25)))</f>
        <v/>
      </c>
      <c r="Y82" t="str">
        <f>IF($A82="","",IF($B82="V01",cad!$C$26,IF($B82="V02",cad!$D$26,cad!$E$26)))</f>
        <v/>
      </c>
      <c r="Z82" t="str">
        <f>IF($A82="","",IF($B82="V01",cad!$C$27,IF($B82="V02",cad!$D$27,cad!$E$27)))</f>
        <v/>
      </c>
      <c r="AA82" t="str">
        <f>IF($A82="","",IF($B82="V01",cad!$C$28,IF($B82="V02",cad!$D$28,cad!$E$28)))</f>
        <v/>
      </c>
      <c r="AB82" t="str">
        <f>IF($A82="","",IF($B82="V01",cad!$C$39,IF($B82="V02",cad!$D$39,cad!$E$39)))</f>
        <v/>
      </c>
      <c r="AC82" t="str">
        <f>IF($A82="","",IF($F82="MBWAY",cad!$J$12,IF($F82="ISCOM",cad!$J$13,IF($F82="IPAC",cad!$J$14,IF($F82="PIGIER",cad!$J$15,cad!$J$16)))))</f>
        <v/>
      </c>
      <c r="AD82" t="str">
        <f t="shared" si="7"/>
        <v/>
      </c>
      <c r="AE82" t="str">
        <f t="shared" si="8"/>
        <v/>
      </c>
      <c r="AF82" t="str">
        <f t="shared" si="9"/>
        <v/>
      </c>
      <c r="AG82" t="str">
        <f t="shared" si="10"/>
        <v/>
      </c>
      <c r="AH82" t="str">
        <f t="shared" si="11"/>
        <v/>
      </c>
    </row>
    <row r="83" spans="1:34" x14ac:dyDescent="0.45">
      <c r="A83" t="str">
        <f>IF(Moteur!D83="","",Moteur!D83)</f>
        <v/>
      </c>
      <c r="B83" t="str">
        <f>IF(Moteur!B83="","",Moteur!B83)</f>
        <v/>
      </c>
      <c r="C83" t="str">
        <f>IF(Moteur!F83="","",Moteur!F83)</f>
        <v/>
      </c>
      <c r="D83" t="str">
        <f>IF(Moteur!G83="","",Moteur!G83)</f>
        <v/>
      </c>
      <c r="E83" t="str">
        <f>IF(Moteur!H83="","",Moteur!H83)</f>
        <v/>
      </c>
      <c r="F83" t="str">
        <f>IF(Moteur!E83="","",Moteur!E83)</f>
        <v/>
      </c>
      <c r="G83" t="str">
        <f>IF($A83="","",SUMIFS(Allocation2!$H$1:$H$175,Allocation2!$C$1:$C$175,$A83,Allocation2!$D$1:$D$175,$C83,Allocation2!$E$1:$E$175,$D83,Allocation2!$F$1:$F$175,$E83,Allocation2!$G$1:$G$175,"2026"))</f>
        <v/>
      </c>
      <c r="H83" t="str">
        <f>IF($A83="","",SUMIFS(Allocation2!$N$1:$N$175,Allocation2!$C$1:$C$175,$A83,Allocation2!$D$1:$D$175,$C83,Allocation2!$E$1:$E$175,$D83,Allocation2!$F$1:$F$175,$E83,Allocation2!$G$1:$G$175,"2026"))</f>
        <v/>
      </c>
      <c r="I83" t="str">
        <f>IF($A83="","",SUMIFS(Allocation2!$P$1:$P$175,Allocation2!$C$1:$C$175,$A83,Allocation2!$D$1:$D$175,$C83,Allocation2!$E$1:$E$175,$D83,Allocation2!$F$1:$F$175,$E83,Allocation2!$G$1:$G$175,"2026"))</f>
        <v/>
      </c>
      <c r="J83" t="str">
        <f>IF($A83="","",SUMIFS(Allocation2!$W$1:$W$175,Allocation2!$C$1:$C$175,$A83,Allocation2!$D$1:$D$175,$C83,Allocation2!$E$1:$E$175,$D83,Allocation2!$F$1:$F$175,$E83,Allocation2!$G$1:$G$175,"2026"))</f>
        <v/>
      </c>
      <c r="K83" t="str">
        <f>IF($A83="","",SUMIFS(Allocation2!$X$1:$X$175,Allocation2!$C$1:$C$175,$A83,Allocation2!$D$1:$D$175,$C83,Allocation2!$E$1:$E$175,$D83,Allocation2!$F$1:$F$175,$E83,Allocation2!$G$1:$G$175,"2026"))</f>
        <v/>
      </c>
      <c r="L83" t="str">
        <f>IF($A83="","",SUMIFS(Allocation2!$Y$1:$Y$175,Allocation2!$C$1:$C$175,$A83,Allocation2!$D$1:$D$175,$C83,Allocation2!$E$1:$E$175,$D83,Allocation2!$F$1:$F$175,$E83,Allocation2!$G$1:$G$175,"2026"))</f>
        <v/>
      </c>
      <c r="M83" t="str">
        <f>IF($A83="","",SUMIFS(Allocation2!$V$1:$V$175,Allocation2!$C$1:$C$175,$A83,Allocation2!$D$1:$D$175,$C83,Allocation2!$E$1:$E$175,$D83,Allocation2!$F$1:$F$175,$E83,Allocation2!$G$1:$G$175,"2026"))</f>
        <v/>
      </c>
      <c r="N83" t="str">
        <f t="shared" si="6"/>
        <v/>
      </c>
      <c r="O83" t="str">
        <f>IF($A83="","",SUMIFS(Campagne!$D$1:$D$15,Campagne!$C$1:$C$15,$A83))</f>
        <v/>
      </c>
      <c r="P83" t="str">
        <f>IF($A83="","",SUMIFS(Campagne!$E$1:$E$15,Campagne!$C$1:$C$15,$A83))</f>
        <v/>
      </c>
      <c r="Q83" t="str">
        <f>IF($A83="","",SUMIFS(Campagne!$F$1:$F$15,Campagne!$C$1:$C$15,$A83))</f>
        <v/>
      </c>
      <c r="R83" t="str">
        <f>IF($A83="","",SUMIFS(Campagne!$K$1:$K$15,Campagne!$C$1:$C$15,$A83))</f>
        <v/>
      </c>
      <c r="S83" t="str">
        <f>IF($A83="","",SUMIFS(Campagne!$M$1:$M$15,Campagne!$C$1:$C$15,$A83))</f>
        <v/>
      </c>
      <c r="T83" t="str">
        <f>IF($A83="","",SUMIFS(PIL!$K$15:$K$28,PIL!$A$15:$A$28,$A83)*SUMIFS(PIL!$J$15:$J$28,PIL!$A$15:$A$28,$A83)*(SUM(PIL!$K$15:$K$28)/SUMPRODUCT(PIL!$K$15:$K$28,PIL!$J$15:$J$28)))</f>
        <v/>
      </c>
      <c r="U83" t="str">
        <f>IF($A83="","",SUMIFS(PIL!$K$15:$K$28,PIL!$A$15:$A$28,$A83))</f>
        <v/>
      </c>
      <c r="V83" t="str">
        <f>IF($A83="","",IF($B83="V01",cad!$C$23,IF($B83="V02",cad!$D$23,cad!$E$23)))</f>
        <v/>
      </c>
      <c r="W83" t="str">
        <f>IF($A83="","",IF($B83="V01",cad!$C$24,IF($B83="V02",cad!$D$24,cad!$E$24)))</f>
        <v/>
      </c>
      <c r="X83" t="str">
        <f>IF($A83="","",IF($B83="V01",cad!$C$25,IF($B83="V02",cad!$D$25,cad!$E$25)))</f>
        <v/>
      </c>
      <c r="Y83" t="str">
        <f>IF($A83="","",IF($B83="V01",cad!$C$26,IF($B83="V02",cad!$D$26,cad!$E$26)))</f>
        <v/>
      </c>
      <c r="Z83" t="str">
        <f>IF($A83="","",IF($B83="V01",cad!$C$27,IF($B83="V02",cad!$D$27,cad!$E$27)))</f>
        <v/>
      </c>
      <c r="AA83" t="str">
        <f>IF($A83="","",IF($B83="V01",cad!$C$28,IF($B83="V02",cad!$D$28,cad!$E$28)))</f>
        <v/>
      </c>
      <c r="AB83" t="str">
        <f>IF($A83="","",IF($B83="V01",cad!$C$39,IF($B83="V02",cad!$D$39,cad!$E$39)))</f>
        <v/>
      </c>
      <c r="AC83" t="str">
        <f>IF($A83="","",IF($F83="MBWAY",cad!$J$12,IF($F83="ISCOM",cad!$J$13,IF($F83="IPAC",cad!$J$14,IF($F83="PIGIER",cad!$J$15,cad!$J$16)))))</f>
        <v/>
      </c>
      <c r="AD83" t="str">
        <f t="shared" si="7"/>
        <v/>
      </c>
      <c r="AE83" t="str">
        <f t="shared" si="8"/>
        <v/>
      </c>
      <c r="AF83" t="str">
        <f t="shared" si="9"/>
        <v/>
      </c>
      <c r="AG83" t="str">
        <f t="shared" si="10"/>
        <v/>
      </c>
      <c r="AH83" t="str">
        <f t="shared" si="11"/>
        <v/>
      </c>
    </row>
    <row r="84" spans="1:34" x14ac:dyDescent="0.45">
      <c r="A84" t="str">
        <f>IF(Moteur!D84="","",Moteur!D84)</f>
        <v/>
      </c>
      <c r="B84" t="str">
        <f>IF(Moteur!B84="","",Moteur!B84)</f>
        <v/>
      </c>
      <c r="C84" t="str">
        <f>IF(Moteur!F84="","",Moteur!F84)</f>
        <v/>
      </c>
      <c r="D84" t="str">
        <f>IF(Moteur!G84="","",Moteur!G84)</f>
        <v/>
      </c>
      <c r="E84" t="str">
        <f>IF(Moteur!H84="","",Moteur!H84)</f>
        <v/>
      </c>
      <c r="F84" t="str">
        <f>IF(Moteur!E84="","",Moteur!E84)</f>
        <v/>
      </c>
      <c r="G84" t="str">
        <f>IF($A84="","",SUMIFS(Allocation2!$H$1:$H$175,Allocation2!$C$1:$C$175,$A84,Allocation2!$D$1:$D$175,$C84,Allocation2!$E$1:$E$175,$D84,Allocation2!$F$1:$F$175,$E84,Allocation2!$G$1:$G$175,"2026"))</f>
        <v/>
      </c>
      <c r="H84" t="str">
        <f>IF($A84="","",SUMIFS(Allocation2!$N$1:$N$175,Allocation2!$C$1:$C$175,$A84,Allocation2!$D$1:$D$175,$C84,Allocation2!$E$1:$E$175,$D84,Allocation2!$F$1:$F$175,$E84,Allocation2!$G$1:$G$175,"2026"))</f>
        <v/>
      </c>
      <c r="I84" t="str">
        <f>IF($A84="","",SUMIFS(Allocation2!$P$1:$P$175,Allocation2!$C$1:$C$175,$A84,Allocation2!$D$1:$D$175,$C84,Allocation2!$E$1:$E$175,$D84,Allocation2!$F$1:$F$175,$E84,Allocation2!$G$1:$G$175,"2026"))</f>
        <v/>
      </c>
      <c r="J84" t="str">
        <f>IF($A84="","",SUMIFS(Allocation2!$W$1:$W$175,Allocation2!$C$1:$C$175,$A84,Allocation2!$D$1:$D$175,$C84,Allocation2!$E$1:$E$175,$D84,Allocation2!$F$1:$F$175,$E84,Allocation2!$G$1:$G$175,"2026"))</f>
        <v/>
      </c>
      <c r="K84" t="str">
        <f>IF($A84="","",SUMIFS(Allocation2!$X$1:$X$175,Allocation2!$C$1:$C$175,$A84,Allocation2!$D$1:$D$175,$C84,Allocation2!$E$1:$E$175,$D84,Allocation2!$F$1:$F$175,$E84,Allocation2!$G$1:$G$175,"2026"))</f>
        <v/>
      </c>
      <c r="L84" t="str">
        <f>IF($A84="","",SUMIFS(Allocation2!$Y$1:$Y$175,Allocation2!$C$1:$C$175,$A84,Allocation2!$D$1:$D$175,$C84,Allocation2!$E$1:$E$175,$D84,Allocation2!$F$1:$F$175,$E84,Allocation2!$G$1:$G$175,"2026"))</f>
        <v/>
      </c>
      <c r="M84" t="str">
        <f>IF($A84="","",SUMIFS(Allocation2!$V$1:$V$175,Allocation2!$C$1:$C$175,$A84,Allocation2!$D$1:$D$175,$C84,Allocation2!$E$1:$E$175,$D84,Allocation2!$F$1:$F$175,$E84,Allocation2!$G$1:$G$175,"2026"))</f>
        <v/>
      </c>
      <c r="N84" t="str">
        <f t="shared" si="6"/>
        <v/>
      </c>
      <c r="O84" t="str">
        <f>IF($A84="","",SUMIFS(Campagne!$D$1:$D$15,Campagne!$C$1:$C$15,$A84))</f>
        <v/>
      </c>
      <c r="P84" t="str">
        <f>IF($A84="","",SUMIFS(Campagne!$E$1:$E$15,Campagne!$C$1:$C$15,$A84))</f>
        <v/>
      </c>
      <c r="Q84" t="str">
        <f>IF($A84="","",SUMIFS(Campagne!$F$1:$F$15,Campagne!$C$1:$C$15,$A84))</f>
        <v/>
      </c>
      <c r="R84" t="str">
        <f>IF($A84="","",SUMIFS(Campagne!$K$1:$K$15,Campagne!$C$1:$C$15,$A84))</f>
        <v/>
      </c>
      <c r="S84" t="str">
        <f>IF($A84="","",SUMIFS(Campagne!$M$1:$M$15,Campagne!$C$1:$C$15,$A84))</f>
        <v/>
      </c>
      <c r="T84" t="str">
        <f>IF($A84="","",SUMIFS(PIL!$K$15:$K$28,PIL!$A$15:$A$28,$A84)*SUMIFS(PIL!$J$15:$J$28,PIL!$A$15:$A$28,$A84)*(SUM(PIL!$K$15:$K$28)/SUMPRODUCT(PIL!$K$15:$K$28,PIL!$J$15:$J$28)))</f>
        <v/>
      </c>
      <c r="U84" t="str">
        <f>IF($A84="","",SUMIFS(PIL!$K$15:$K$28,PIL!$A$15:$A$28,$A84))</f>
        <v/>
      </c>
      <c r="V84" t="str">
        <f>IF($A84="","",IF($B84="V01",cad!$C$23,IF($B84="V02",cad!$D$23,cad!$E$23)))</f>
        <v/>
      </c>
      <c r="W84" t="str">
        <f>IF($A84="","",IF($B84="V01",cad!$C$24,IF($B84="V02",cad!$D$24,cad!$E$24)))</f>
        <v/>
      </c>
      <c r="X84" t="str">
        <f>IF($A84="","",IF($B84="V01",cad!$C$25,IF($B84="V02",cad!$D$25,cad!$E$25)))</f>
        <v/>
      </c>
      <c r="Y84" t="str">
        <f>IF($A84="","",IF($B84="V01",cad!$C$26,IF($B84="V02",cad!$D$26,cad!$E$26)))</f>
        <v/>
      </c>
      <c r="Z84" t="str">
        <f>IF($A84="","",IF($B84="V01",cad!$C$27,IF($B84="V02",cad!$D$27,cad!$E$27)))</f>
        <v/>
      </c>
      <c r="AA84" t="str">
        <f>IF($A84="","",IF($B84="V01",cad!$C$28,IF($B84="V02",cad!$D$28,cad!$E$28)))</f>
        <v/>
      </c>
      <c r="AB84" t="str">
        <f>IF($A84="","",IF($B84="V01",cad!$C$39,IF($B84="V02",cad!$D$39,cad!$E$39)))</f>
        <v/>
      </c>
      <c r="AC84" t="str">
        <f>IF($A84="","",IF($F84="MBWAY",cad!$J$12,IF($F84="ISCOM",cad!$J$13,IF($F84="IPAC",cad!$J$14,IF($F84="PIGIER",cad!$J$15,cad!$J$16)))))</f>
        <v/>
      </c>
      <c r="AD84" t="str">
        <f t="shared" si="7"/>
        <v/>
      </c>
      <c r="AE84" t="str">
        <f t="shared" si="8"/>
        <v/>
      </c>
      <c r="AF84" t="str">
        <f t="shared" si="9"/>
        <v/>
      </c>
      <c r="AG84" t="str">
        <f t="shared" si="10"/>
        <v/>
      </c>
      <c r="AH84" t="str">
        <f t="shared" si="11"/>
        <v/>
      </c>
    </row>
    <row r="85" spans="1:34" x14ac:dyDescent="0.45">
      <c r="A85" t="str">
        <f>IF(Moteur!D85="","",Moteur!D85)</f>
        <v/>
      </c>
      <c r="B85" t="str">
        <f>IF(Moteur!B85="","",Moteur!B85)</f>
        <v/>
      </c>
      <c r="C85" t="str">
        <f>IF(Moteur!F85="","",Moteur!F85)</f>
        <v/>
      </c>
      <c r="D85" t="str">
        <f>IF(Moteur!G85="","",Moteur!G85)</f>
        <v/>
      </c>
      <c r="E85" t="str">
        <f>IF(Moteur!H85="","",Moteur!H85)</f>
        <v/>
      </c>
      <c r="F85" t="str">
        <f>IF(Moteur!E85="","",Moteur!E85)</f>
        <v/>
      </c>
      <c r="G85" t="str">
        <f>IF($A85="","",SUMIFS(Allocation2!$H$1:$H$175,Allocation2!$C$1:$C$175,$A85,Allocation2!$D$1:$D$175,$C85,Allocation2!$E$1:$E$175,$D85,Allocation2!$F$1:$F$175,$E85,Allocation2!$G$1:$G$175,"2026"))</f>
        <v/>
      </c>
      <c r="H85" t="str">
        <f>IF($A85="","",SUMIFS(Allocation2!$N$1:$N$175,Allocation2!$C$1:$C$175,$A85,Allocation2!$D$1:$D$175,$C85,Allocation2!$E$1:$E$175,$D85,Allocation2!$F$1:$F$175,$E85,Allocation2!$G$1:$G$175,"2026"))</f>
        <v/>
      </c>
      <c r="I85" t="str">
        <f>IF($A85="","",SUMIFS(Allocation2!$P$1:$P$175,Allocation2!$C$1:$C$175,$A85,Allocation2!$D$1:$D$175,$C85,Allocation2!$E$1:$E$175,$D85,Allocation2!$F$1:$F$175,$E85,Allocation2!$G$1:$G$175,"2026"))</f>
        <v/>
      </c>
      <c r="J85" t="str">
        <f>IF($A85="","",SUMIFS(Allocation2!$W$1:$W$175,Allocation2!$C$1:$C$175,$A85,Allocation2!$D$1:$D$175,$C85,Allocation2!$E$1:$E$175,$D85,Allocation2!$F$1:$F$175,$E85,Allocation2!$G$1:$G$175,"2026"))</f>
        <v/>
      </c>
      <c r="K85" t="str">
        <f>IF($A85="","",SUMIFS(Allocation2!$X$1:$X$175,Allocation2!$C$1:$C$175,$A85,Allocation2!$D$1:$D$175,$C85,Allocation2!$E$1:$E$175,$D85,Allocation2!$F$1:$F$175,$E85,Allocation2!$G$1:$G$175,"2026"))</f>
        <v/>
      </c>
      <c r="L85" t="str">
        <f>IF($A85="","",SUMIFS(Allocation2!$Y$1:$Y$175,Allocation2!$C$1:$C$175,$A85,Allocation2!$D$1:$D$175,$C85,Allocation2!$E$1:$E$175,$D85,Allocation2!$F$1:$F$175,$E85,Allocation2!$G$1:$G$175,"2026"))</f>
        <v/>
      </c>
      <c r="M85" t="str">
        <f>IF($A85="","",SUMIFS(Allocation2!$V$1:$V$175,Allocation2!$C$1:$C$175,$A85,Allocation2!$D$1:$D$175,$C85,Allocation2!$E$1:$E$175,$D85,Allocation2!$F$1:$F$175,$E85,Allocation2!$G$1:$G$175,"2026"))</f>
        <v/>
      </c>
      <c r="N85" t="str">
        <f t="shared" si="6"/>
        <v/>
      </c>
      <c r="O85" t="str">
        <f>IF($A85="","",SUMIFS(Campagne!$D$1:$D$15,Campagne!$C$1:$C$15,$A85))</f>
        <v/>
      </c>
      <c r="P85" t="str">
        <f>IF($A85="","",SUMIFS(Campagne!$E$1:$E$15,Campagne!$C$1:$C$15,$A85))</f>
        <v/>
      </c>
      <c r="Q85" t="str">
        <f>IF($A85="","",SUMIFS(Campagne!$F$1:$F$15,Campagne!$C$1:$C$15,$A85))</f>
        <v/>
      </c>
      <c r="R85" t="str">
        <f>IF($A85="","",SUMIFS(Campagne!$K$1:$K$15,Campagne!$C$1:$C$15,$A85))</f>
        <v/>
      </c>
      <c r="S85" t="str">
        <f>IF($A85="","",SUMIFS(Campagne!$M$1:$M$15,Campagne!$C$1:$C$15,$A85))</f>
        <v/>
      </c>
      <c r="T85" t="str">
        <f>IF($A85="","",SUMIFS(PIL!$K$15:$K$28,PIL!$A$15:$A$28,$A85)*SUMIFS(PIL!$J$15:$J$28,PIL!$A$15:$A$28,$A85)*(SUM(PIL!$K$15:$K$28)/SUMPRODUCT(PIL!$K$15:$K$28,PIL!$J$15:$J$28)))</f>
        <v/>
      </c>
      <c r="U85" t="str">
        <f>IF($A85="","",SUMIFS(PIL!$K$15:$K$28,PIL!$A$15:$A$28,$A85))</f>
        <v/>
      </c>
      <c r="V85" t="str">
        <f>IF($A85="","",IF($B85="V01",cad!$C$23,IF($B85="V02",cad!$D$23,cad!$E$23)))</f>
        <v/>
      </c>
      <c r="W85" t="str">
        <f>IF($A85="","",IF($B85="V01",cad!$C$24,IF($B85="V02",cad!$D$24,cad!$E$24)))</f>
        <v/>
      </c>
      <c r="X85" t="str">
        <f>IF($A85="","",IF($B85="V01",cad!$C$25,IF($B85="V02",cad!$D$25,cad!$E$25)))</f>
        <v/>
      </c>
      <c r="Y85" t="str">
        <f>IF($A85="","",IF($B85="V01",cad!$C$26,IF($B85="V02",cad!$D$26,cad!$E$26)))</f>
        <v/>
      </c>
      <c r="Z85" t="str">
        <f>IF($A85="","",IF($B85="V01",cad!$C$27,IF($B85="V02",cad!$D$27,cad!$E$27)))</f>
        <v/>
      </c>
      <c r="AA85" t="str">
        <f>IF($A85="","",IF($B85="V01",cad!$C$28,IF($B85="V02",cad!$D$28,cad!$E$28)))</f>
        <v/>
      </c>
      <c r="AB85" t="str">
        <f>IF($A85="","",IF($B85="V01",cad!$C$39,IF($B85="V02",cad!$D$39,cad!$E$39)))</f>
        <v/>
      </c>
      <c r="AC85" t="str">
        <f>IF($A85="","",IF($F85="MBWAY",cad!$J$12,IF($F85="ISCOM",cad!$J$13,IF($F85="IPAC",cad!$J$14,IF($F85="PIGIER",cad!$J$15,cad!$J$16)))))</f>
        <v/>
      </c>
      <c r="AD85" t="str">
        <f t="shared" si="7"/>
        <v/>
      </c>
      <c r="AE85" t="str">
        <f t="shared" si="8"/>
        <v/>
      </c>
      <c r="AF85" t="str">
        <f t="shared" si="9"/>
        <v/>
      </c>
      <c r="AG85" t="str">
        <f t="shared" si="10"/>
        <v/>
      </c>
      <c r="AH85" t="str">
        <f t="shared" si="11"/>
        <v/>
      </c>
    </row>
    <row r="86" spans="1:34" x14ac:dyDescent="0.45">
      <c r="A86" t="str">
        <f>IF(Moteur!D86="","",Moteur!D86)</f>
        <v/>
      </c>
      <c r="B86" t="str">
        <f>IF(Moteur!B86="","",Moteur!B86)</f>
        <v/>
      </c>
      <c r="C86" t="str">
        <f>IF(Moteur!F86="","",Moteur!F86)</f>
        <v/>
      </c>
      <c r="D86" t="str">
        <f>IF(Moteur!G86="","",Moteur!G86)</f>
        <v/>
      </c>
      <c r="E86" t="str">
        <f>IF(Moteur!H86="","",Moteur!H86)</f>
        <v/>
      </c>
      <c r="F86" t="str">
        <f>IF(Moteur!E86="","",Moteur!E86)</f>
        <v/>
      </c>
      <c r="G86" t="str">
        <f>IF($A86="","",SUMIFS(Allocation2!$H$1:$H$175,Allocation2!$C$1:$C$175,$A86,Allocation2!$D$1:$D$175,$C86,Allocation2!$E$1:$E$175,$D86,Allocation2!$F$1:$F$175,$E86,Allocation2!$G$1:$G$175,"2026"))</f>
        <v/>
      </c>
      <c r="H86" t="str">
        <f>IF($A86="","",SUMIFS(Allocation2!$N$1:$N$175,Allocation2!$C$1:$C$175,$A86,Allocation2!$D$1:$D$175,$C86,Allocation2!$E$1:$E$175,$D86,Allocation2!$F$1:$F$175,$E86,Allocation2!$G$1:$G$175,"2026"))</f>
        <v/>
      </c>
      <c r="I86" t="str">
        <f>IF($A86="","",SUMIFS(Allocation2!$P$1:$P$175,Allocation2!$C$1:$C$175,$A86,Allocation2!$D$1:$D$175,$C86,Allocation2!$E$1:$E$175,$D86,Allocation2!$F$1:$F$175,$E86,Allocation2!$G$1:$G$175,"2026"))</f>
        <v/>
      </c>
      <c r="J86" t="str">
        <f>IF($A86="","",SUMIFS(Allocation2!$W$1:$W$175,Allocation2!$C$1:$C$175,$A86,Allocation2!$D$1:$D$175,$C86,Allocation2!$E$1:$E$175,$D86,Allocation2!$F$1:$F$175,$E86,Allocation2!$G$1:$G$175,"2026"))</f>
        <v/>
      </c>
      <c r="K86" t="str">
        <f>IF($A86="","",SUMIFS(Allocation2!$X$1:$X$175,Allocation2!$C$1:$C$175,$A86,Allocation2!$D$1:$D$175,$C86,Allocation2!$E$1:$E$175,$D86,Allocation2!$F$1:$F$175,$E86,Allocation2!$G$1:$G$175,"2026"))</f>
        <v/>
      </c>
      <c r="L86" t="str">
        <f>IF($A86="","",SUMIFS(Allocation2!$Y$1:$Y$175,Allocation2!$C$1:$C$175,$A86,Allocation2!$D$1:$D$175,$C86,Allocation2!$E$1:$E$175,$D86,Allocation2!$F$1:$F$175,$E86,Allocation2!$G$1:$G$175,"2026"))</f>
        <v/>
      </c>
      <c r="M86" t="str">
        <f>IF($A86="","",SUMIFS(Allocation2!$V$1:$V$175,Allocation2!$C$1:$C$175,$A86,Allocation2!$D$1:$D$175,$C86,Allocation2!$E$1:$E$175,$D86,Allocation2!$F$1:$F$175,$E86,Allocation2!$G$1:$G$175,"2026"))</f>
        <v/>
      </c>
      <c r="N86" t="str">
        <f t="shared" si="6"/>
        <v/>
      </c>
      <c r="O86" t="str">
        <f>IF($A86="","",SUMIFS(Campagne!$D$1:$D$15,Campagne!$C$1:$C$15,$A86))</f>
        <v/>
      </c>
      <c r="P86" t="str">
        <f>IF($A86="","",SUMIFS(Campagne!$E$1:$E$15,Campagne!$C$1:$C$15,$A86))</f>
        <v/>
      </c>
      <c r="Q86" t="str">
        <f>IF($A86="","",SUMIFS(Campagne!$F$1:$F$15,Campagne!$C$1:$C$15,$A86))</f>
        <v/>
      </c>
      <c r="R86" t="str">
        <f>IF($A86="","",SUMIFS(Campagne!$K$1:$K$15,Campagne!$C$1:$C$15,$A86))</f>
        <v/>
      </c>
      <c r="S86" t="str">
        <f>IF($A86="","",SUMIFS(Campagne!$M$1:$M$15,Campagne!$C$1:$C$15,$A86))</f>
        <v/>
      </c>
      <c r="T86" t="str">
        <f>IF($A86="","",SUMIFS(PIL!$K$15:$K$28,PIL!$A$15:$A$28,$A86)*SUMIFS(PIL!$J$15:$J$28,PIL!$A$15:$A$28,$A86)*(SUM(PIL!$K$15:$K$28)/SUMPRODUCT(PIL!$K$15:$K$28,PIL!$J$15:$J$28)))</f>
        <v/>
      </c>
      <c r="U86" t="str">
        <f>IF($A86="","",SUMIFS(PIL!$K$15:$K$28,PIL!$A$15:$A$28,$A86))</f>
        <v/>
      </c>
      <c r="V86" t="str">
        <f>IF($A86="","",IF($B86="V01",cad!$C$23,IF($B86="V02",cad!$D$23,cad!$E$23)))</f>
        <v/>
      </c>
      <c r="W86" t="str">
        <f>IF($A86="","",IF($B86="V01",cad!$C$24,IF($B86="V02",cad!$D$24,cad!$E$24)))</f>
        <v/>
      </c>
      <c r="X86" t="str">
        <f>IF($A86="","",IF($B86="V01",cad!$C$25,IF($B86="V02",cad!$D$25,cad!$E$25)))</f>
        <v/>
      </c>
      <c r="Y86" t="str">
        <f>IF($A86="","",IF($B86="V01",cad!$C$26,IF($B86="V02",cad!$D$26,cad!$E$26)))</f>
        <v/>
      </c>
      <c r="Z86" t="str">
        <f>IF($A86="","",IF($B86="V01",cad!$C$27,IF($B86="V02",cad!$D$27,cad!$E$27)))</f>
        <v/>
      </c>
      <c r="AA86" t="str">
        <f>IF($A86="","",IF($B86="V01",cad!$C$28,IF($B86="V02",cad!$D$28,cad!$E$28)))</f>
        <v/>
      </c>
      <c r="AB86" t="str">
        <f>IF($A86="","",IF($B86="V01",cad!$C$39,IF($B86="V02",cad!$D$39,cad!$E$39)))</f>
        <v/>
      </c>
      <c r="AC86" t="str">
        <f>IF($A86="","",IF($F86="MBWAY",cad!$J$12,IF($F86="ISCOM",cad!$J$13,IF($F86="IPAC",cad!$J$14,IF($F86="PIGIER",cad!$J$15,cad!$J$16)))))</f>
        <v/>
      </c>
      <c r="AD86" t="str">
        <f t="shared" si="7"/>
        <v/>
      </c>
      <c r="AE86" t="str">
        <f t="shared" si="8"/>
        <v/>
      </c>
      <c r="AF86" t="str">
        <f t="shared" si="9"/>
        <v/>
      </c>
      <c r="AG86" t="str">
        <f t="shared" si="10"/>
        <v/>
      </c>
      <c r="AH86" t="str">
        <f t="shared" si="11"/>
        <v/>
      </c>
    </row>
    <row r="87" spans="1:34" x14ac:dyDescent="0.45">
      <c r="A87" t="str">
        <f>IF(Moteur!D87="","",Moteur!D87)</f>
        <v/>
      </c>
      <c r="B87" t="str">
        <f>IF(Moteur!B87="","",Moteur!B87)</f>
        <v/>
      </c>
      <c r="C87" t="str">
        <f>IF(Moteur!F87="","",Moteur!F87)</f>
        <v/>
      </c>
      <c r="D87" t="str">
        <f>IF(Moteur!G87="","",Moteur!G87)</f>
        <v/>
      </c>
      <c r="E87" t="str">
        <f>IF(Moteur!H87="","",Moteur!H87)</f>
        <v/>
      </c>
      <c r="F87" t="str">
        <f>IF(Moteur!E87="","",Moteur!E87)</f>
        <v/>
      </c>
      <c r="G87" t="str">
        <f>IF($A87="","",SUMIFS(Allocation2!$H$1:$H$175,Allocation2!$C$1:$C$175,$A87,Allocation2!$D$1:$D$175,$C87,Allocation2!$E$1:$E$175,$D87,Allocation2!$F$1:$F$175,$E87,Allocation2!$G$1:$G$175,"2026"))</f>
        <v/>
      </c>
      <c r="H87" t="str">
        <f>IF($A87="","",SUMIFS(Allocation2!$N$1:$N$175,Allocation2!$C$1:$C$175,$A87,Allocation2!$D$1:$D$175,$C87,Allocation2!$E$1:$E$175,$D87,Allocation2!$F$1:$F$175,$E87,Allocation2!$G$1:$G$175,"2026"))</f>
        <v/>
      </c>
      <c r="I87" t="str">
        <f>IF($A87="","",SUMIFS(Allocation2!$P$1:$P$175,Allocation2!$C$1:$C$175,$A87,Allocation2!$D$1:$D$175,$C87,Allocation2!$E$1:$E$175,$D87,Allocation2!$F$1:$F$175,$E87,Allocation2!$G$1:$G$175,"2026"))</f>
        <v/>
      </c>
      <c r="J87" t="str">
        <f>IF($A87="","",SUMIFS(Allocation2!$W$1:$W$175,Allocation2!$C$1:$C$175,$A87,Allocation2!$D$1:$D$175,$C87,Allocation2!$E$1:$E$175,$D87,Allocation2!$F$1:$F$175,$E87,Allocation2!$G$1:$G$175,"2026"))</f>
        <v/>
      </c>
      <c r="K87" t="str">
        <f>IF($A87="","",SUMIFS(Allocation2!$X$1:$X$175,Allocation2!$C$1:$C$175,$A87,Allocation2!$D$1:$D$175,$C87,Allocation2!$E$1:$E$175,$D87,Allocation2!$F$1:$F$175,$E87,Allocation2!$G$1:$G$175,"2026"))</f>
        <v/>
      </c>
      <c r="L87" t="str">
        <f>IF($A87="","",SUMIFS(Allocation2!$Y$1:$Y$175,Allocation2!$C$1:$C$175,$A87,Allocation2!$D$1:$D$175,$C87,Allocation2!$E$1:$E$175,$D87,Allocation2!$F$1:$F$175,$E87,Allocation2!$G$1:$G$175,"2026"))</f>
        <v/>
      </c>
      <c r="M87" t="str">
        <f>IF($A87="","",SUMIFS(Allocation2!$V$1:$V$175,Allocation2!$C$1:$C$175,$A87,Allocation2!$D$1:$D$175,$C87,Allocation2!$E$1:$E$175,$D87,Allocation2!$F$1:$F$175,$E87,Allocation2!$G$1:$G$175,"2026"))</f>
        <v/>
      </c>
      <c r="N87" t="str">
        <f t="shared" si="6"/>
        <v/>
      </c>
      <c r="O87" t="str">
        <f>IF($A87="","",SUMIFS(Campagne!$D$1:$D$15,Campagne!$C$1:$C$15,$A87))</f>
        <v/>
      </c>
      <c r="P87" t="str">
        <f>IF($A87="","",SUMIFS(Campagne!$E$1:$E$15,Campagne!$C$1:$C$15,$A87))</f>
        <v/>
      </c>
      <c r="Q87" t="str">
        <f>IF($A87="","",SUMIFS(Campagne!$F$1:$F$15,Campagne!$C$1:$C$15,$A87))</f>
        <v/>
      </c>
      <c r="R87" t="str">
        <f>IF($A87="","",SUMIFS(Campagne!$K$1:$K$15,Campagne!$C$1:$C$15,$A87))</f>
        <v/>
      </c>
      <c r="S87" t="str">
        <f>IF($A87="","",SUMIFS(Campagne!$M$1:$M$15,Campagne!$C$1:$C$15,$A87))</f>
        <v/>
      </c>
      <c r="T87" t="str">
        <f>IF($A87="","",SUMIFS(PIL!$K$15:$K$28,PIL!$A$15:$A$28,$A87)*SUMIFS(PIL!$J$15:$J$28,PIL!$A$15:$A$28,$A87)*(SUM(PIL!$K$15:$K$28)/SUMPRODUCT(PIL!$K$15:$K$28,PIL!$J$15:$J$28)))</f>
        <v/>
      </c>
      <c r="U87" t="str">
        <f>IF($A87="","",SUMIFS(PIL!$K$15:$K$28,PIL!$A$15:$A$28,$A87))</f>
        <v/>
      </c>
      <c r="V87" t="str">
        <f>IF($A87="","",IF($B87="V01",cad!$C$23,IF($B87="V02",cad!$D$23,cad!$E$23)))</f>
        <v/>
      </c>
      <c r="W87" t="str">
        <f>IF($A87="","",IF($B87="V01",cad!$C$24,IF($B87="V02",cad!$D$24,cad!$E$24)))</f>
        <v/>
      </c>
      <c r="X87" t="str">
        <f>IF($A87="","",IF($B87="V01",cad!$C$25,IF($B87="V02",cad!$D$25,cad!$E$25)))</f>
        <v/>
      </c>
      <c r="Y87" t="str">
        <f>IF($A87="","",IF($B87="V01",cad!$C$26,IF($B87="V02",cad!$D$26,cad!$E$26)))</f>
        <v/>
      </c>
      <c r="Z87" t="str">
        <f>IF($A87="","",IF($B87="V01",cad!$C$27,IF($B87="V02",cad!$D$27,cad!$E$27)))</f>
        <v/>
      </c>
      <c r="AA87" t="str">
        <f>IF($A87="","",IF($B87="V01",cad!$C$28,IF($B87="V02",cad!$D$28,cad!$E$28)))</f>
        <v/>
      </c>
      <c r="AB87" t="str">
        <f>IF($A87="","",IF($B87="V01",cad!$C$39,IF($B87="V02",cad!$D$39,cad!$E$39)))</f>
        <v/>
      </c>
      <c r="AC87" t="str">
        <f>IF($A87="","",IF($F87="MBWAY",cad!$J$12,IF($F87="ISCOM",cad!$J$13,IF($F87="IPAC",cad!$J$14,IF($F87="PIGIER",cad!$J$15,cad!$J$16)))))</f>
        <v/>
      </c>
      <c r="AD87" t="str">
        <f t="shared" si="7"/>
        <v/>
      </c>
      <c r="AE87" t="str">
        <f t="shared" si="8"/>
        <v/>
      </c>
      <c r="AF87" t="str">
        <f t="shared" si="9"/>
        <v/>
      </c>
      <c r="AG87" t="str">
        <f t="shared" si="10"/>
        <v/>
      </c>
      <c r="AH87" t="str">
        <f t="shared" si="11"/>
        <v/>
      </c>
    </row>
    <row r="88" spans="1:34" x14ac:dyDescent="0.45">
      <c r="A88" t="str">
        <f>IF(Moteur!D88="","",Moteur!D88)</f>
        <v/>
      </c>
      <c r="B88" t="str">
        <f>IF(Moteur!B88="","",Moteur!B88)</f>
        <v/>
      </c>
      <c r="C88" t="str">
        <f>IF(Moteur!F88="","",Moteur!F88)</f>
        <v/>
      </c>
      <c r="D88" t="str">
        <f>IF(Moteur!G88="","",Moteur!G88)</f>
        <v/>
      </c>
      <c r="E88" t="str">
        <f>IF(Moteur!H88="","",Moteur!H88)</f>
        <v/>
      </c>
      <c r="F88" t="str">
        <f>IF(Moteur!E88="","",Moteur!E88)</f>
        <v/>
      </c>
      <c r="G88" t="str">
        <f>IF($A88="","",SUMIFS(Allocation2!$H$1:$H$175,Allocation2!$C$1:$C$175,$A88,Allocation2!$D$1:$D$175,$C88,Allocation2!$E$1:$E$175,$D88,Allocation2!$F$1:$F$175,$E88,Allocation2!$G$1:$G$175,"2026"))</f>
        <v/>
      </c>
      <c r="H88" t="str">
        <f>IF($A88="","",SUMIFS(Allocation2!$N$1:$N$175,Allocation2!$C$1:$C$175,$A88,Allocation2!$D$1:$D$175,$C88,Allocation2!$E$1:$E$175,$D88,Allocation2!$F$1:$F$175,$E88,Allocation2!$G$1:$G$175,"2026"))</f>
        <v/>
      </c>
      <c r="I88" t="str">
        <f>IF($A88="","",SUMIFS(Allocation2!$P$1:$P$175,Allocation2!$C$1:$C$175,$A88,Allocation2!$D$1:$D$175,$C88,Allocation2!$E$1:$E$175,$D88,Allocation2!$F$1:$F$175,$E88,Allocation2!$G$1:$G$175,"2026"))</f>
        <v/>
      </c>
      <c r="J88" t="str">
        <f>IF($A88="","",SUMIFS(Allocation2!$W$1:$W$175,Allocation2!$C$1:$C$175,$A88,Allocation2!$D$1:$D$175,$C88,Allocation2!$E$1:$E$175,$D88,Allocation2!$F$1:$F$175,$E88,Allocation2!$G$1:$G$175,"2026"))</f>
        <v/>
      </c>
      <c r="K88" t="str">
        <f>IF($A88="","",SUMIFS(Allocation2!$X$1:$X$175,Allocation2!$C$1:$C$175,$A88,Allocation2!$D$1:$D$175,$C88,Allocation2!$E$1:$E$175,$D88,Allocation2!$F$1:$F$175,$E88,Allocation2!$G$1:$G$175,"2026"))</f>
        <v/>
      </c>
      <c r="L88" t="str">
        <f>IF($A88="","",SUMIFS(Allocation2!$Y$1:$Y$175,Allocation2!$C$1:$C$175,$A88,Allocation2!$D$1:$D$175,$C88,Allocation2!$E$1:$E$175,$D88,Allocation2!$F$1:$F$175,$E88,Allocation2!$G$1:$G$175,"2026"))</f>
        <v/>
      </c>
      <c r="M88" t="str">
        <f>IF($A88="","",SUMIFS(Allocation2!$V$1:$V$175,Allocation2!$C$1:$C$175,$A88,Allocation2!$D$1:$D$175,$C88,Allocation2!$E$1:$E$175,$D88,Allocation2!$F$1:$F$175,$E88,Allocation2!$G$1:$G$175,"2026"))</f>
        <v/>
      </c>
      <c r="N88" t="str">
        <f t="shared" si="6"/>
        <v/>
      </c>
      <c r="O88" t="str">
        <f>IF($A88="","",SUMIFS(Campagne!$D$1:$D$15,Campagne!$C$1:$C$15,$A88))</f>
        <v/>
      </c>
      <c r="P88" t="str">
        <f>IF($A88="","",SUMIFS(Campagne!$E$1:$E$15,Campagne!$C$1:$C$15,$A88))</f>
        <v/>
      </c>
      <c r="Q88" t="str">
        <f>IF($A88="","",SUMIFS(Campagne!$F$1:$F$15,Campagne!$C$1:$C$15,$A88))</f>
        <v/>
      </c>
      <c r="R88" t="str">
        <f>IF($A88="","",SUMIFS(Campagne!$K$1:$K$15,Campagne!$C$1:$C$15,$A88))</f>
        <v/>
      </c>
      <c r="S88" t="str">
        <f>IF($A88="","",SUMIFS(Campagne!$M$1:$M$15,Campagne!$C$1:$C$15,$A88))</f>
        <v/>
      </c>
      <c r="T88" t="str">
        <f>IF($A88="","",SUMIFS(PIL!$K$15:$K$28,PIL!$A$15:$A$28,$A88)*SUMIFS(PIL!$J$15:$J$28,PIL!$A$15:$A$28,$A88)*(SUM(PIL!$K$15:$K$28)/SUMPRODUCT(PIL!$K$15:$K$28,PIL!$J$15:$J$28)))</f>
        <v/>
      </c>
      <c r="U88" t="str">
        <f>IF($A88="","",SUMIFS(PIL!$K$15:$K$28,PIL!$A$15:$A$28,$A88))</f>
        <v/>
      </c>
      <c r="V88" t="str">
        <f>IF($A88="","",IF($B88="V01",cad!$C$23,IF($B88="V02",cad!$D$23,cad!$E$23)))</f>
        <v/>
      </c>
      <c r="W88" t="str">
        <f>IF($A88="","",IF($B88="V01",cad!$C$24,IF($B88="V02",cad!$D$24,cad!$E$24)))</f>
        <v/>
      </c>
      <c r="X88" t="str">
        <f>IF($A88="","",IF($B88="V01",cad!$C$25,IF($B88="V02",cad!$D$25,cad!$E$25)))</f>
        <v/>
      </c>
      <c r="Y88" t="str">
        <f>IF($A88="","",IF($B88="V01",cad!$C$26,IF($B88="V02",cad!$D$26,cad!$E$26)))</f>
        <v/>
      </c>
      <c r="Z88" t="str">
        <f>IF($A88="","",IF($B88="V01",cad!$C$27,IF($B88="V02",cad!$D$27,cad!$E$27)))</f>
        <v/>
      </c>
      <c r="AA88" t="str">
        <f>IF($A88="","",IF($B88="V01",cad!$C$28,IF($B88="V02",cad!$D$28,cad!$E$28)))</f>
        <v/>
      </c>
      <c r="AB88" t="str">
        <f>IF($A88="","",IF($B88="V01",cad!$C$39,IF($B88="V02",cad!$D$39,cad!$E$39)))</f>
        <v/>
      </c>
      <c r="AC88" t="str">
        <f>IF($A88="","",IF($F88="MBWAY",cad!$J$12,IF($F88="ISCOM",cad!$J$13,IF($F88="IPAC",cad!$J$14,IF($F88="PIGIER",cad!$J$15,cad!$J$16)))))</f>
        <v/>
      </c>
      <c r="AD88" t="str">
        <f t="shared" si="7"/>
        <v/>
      </c>
      <c r="AE88" t="str">
        <f t="shared" si="8"/>
        <v/>
      </c>
      <c r="AF88" t="str">
        <f t="shared" si="9"/>
        <v/>
      </c>
      <c r="AG88" t="str">
        <f t="shared" si="10"/>
        <v/>
      </c>
      <c r="AH88" t="str">
        <f t="shared" si="11"/>
        <v/>
      </c>
    </row>
    <row r="89" spans="1:34" x14ac:dyDescent="0.45">
      <c r="A89" t="str">
        <f>IF(Moteur!D89="","",Moteur!D89)</f>
        <v/>
      </c>
      <c r="B89" t="str">
        <f>IF(Moteur!B89="","",Moteur!B89)</f>
        <v/>
      </c>
      <c r="C89" t="str">
        <f>IF(Moteur!F89="","",Moteur!F89)</f>
        <v/>
      </c>
      <c r="D89" t="str">
        <f>IF(Moteur!G89="","",Moteur!G89)</f>
        <v/>
      </c>
      <c r="E89" t="str">
        <f>IF(Moteur!H89="","",Moteur!H89)</f>
        <v/>
      </c>
      <c r="F89" t="str">
        <f>IF(Moteur!E89="","",Moteur!E89)</f>
        <v/>
      </c>
      <c r="G89" t="str">
        <f>IF($A89="","",SUMIFS(Allocation2!$H$1:$H$175,Allocation2!$C$1:$C$175,$A89,Allocation2!$D$1:$D$175,$C89,Allocation2!$E$1:$E$175,$D89,Allocation2!$F$1:$F$175,$E89,Allocation2!$G$1:$G$175,"2026"))</f>
        <v/>
      </c>
      <c r="H89" t="str">
        <f>IF($A89="","",SUMIFS(Allocation2!$N$1:$N$175,Allocation2!$C$1:$C$175,$A89,Allocation2!$D$1:$D$175,$C89,Allocation2!$E$1:$E$175,$D89,Allocation2!$F$1:$F$175,$E89,Allocation2!$G$1:$G$175,"2026"))</f>
        <v/>
      </c>
      <c r="I89" t="str">
        <f>IF($A89="","",SUMIFS(Allocation2!$P$1:$P$175,Allocation2!$C$1:$C$175,$A89,Allocation2!$D$1:$D$175,$C89,Allocation2!$E$1:$E$175,$D89,Allocation2!$F$1:$F$175,$E89,Allocation2!$G$1:$G$175,"2026"))</f>
        <v/>
      </c>
      <c r="J89" t="str">
        <f>IF($A89="","",SUMIFS(Allocation2!$W$1:$W$175,Allocation2!$C$1:$C$175,$A89,Allocation2!$D$1:$D$175,$C89,Allocation2!$E$1:$E$175,$D89,Allocation2!$F$1:$F$175,$E89,Allocation2!$G$1:$G$175,"2026"))</f>
        <v/>
      </c>
      <c r="K89" t="str">
        <f>IF($A89="","",SUMIFS(Allocation2!$X$1:$X$175,Allocation2!$C$1:$C$175,$A89,Allocation2!$D$1:$D$175,$C89,Allocation2!$E$1:$E$175,$D89,Allocation2!$F$1:$F$175,$E89,Allocation2!$G$1:$G$175,"2026"))</f>
        <v/>
      </c>
      <c r="L89" t="str">
        <f>IF($A89="","",SUMIFS(Allocation2!$Y$1:$Y$175,Allocation2!$C$1:$C$175,$A89,Allocation2!$D$1:$D$175,$C89,Allocation2!$E$1:$E$175,$D89,Allocation2!$F$1:$F$175,$E89,Allocation2!$G$1:$G$175,"2026"))</f>
        <v/>
      </c>
      <c r="M89" t="str">
        <f>IF($A89="","",SUMIFS(Allocation2!$V$1:$V$175,Allocation2!$C$1:$C$175,$A89,Allocation2!$D$1:$D$175,$C89,Allocation2!$E$1:$E$175,$D89,Allocation2!$F$1:$F$175,$E89,Allocation2!$G$1:$G$175,"2026"))</f>
        <v/>
      </c>
      <c r="N89" t="str">
        <f t="shared" si="6"/>
        <v/>
      </c>
      <c r="O89" t="str">
        <f>IF($A89="","",SUMIFS(Campagne!$D$1:$D$15,Campagne!$C$1:$C$15,$A89))</f>
        <v/>
      </c>
      <c r="P89" t="str">
        <f>IF($A89="","",SUMIFS(Campagne!$E$1:$E$15,Campagne!$C$1:$C$15,$A89))</f>
        <v/>
      </c>
      <c r="Q89" t="str">
        <f>IF($A89="","",SUMIFS(Campagne!$F$1:$F$15,Campagne!$C$1:$C$15,$A89))</f>
        <v/>
      </c>
      <c r="R89" t="str">
        <f>IF($A89="","",SUMIFS(Campagne!$K$1:$K$15,Campagne!$C$1:$C$15,$A89))</f>
        <v/>
      </c>
      <c r="S89" t="str">
        <f>IF($A89="","",SUMIFS(Campagne!$M$1:$M$15,Campagne!$C$1:$C$15,$A89))</f>
        <v/>
      </c>
      <c r="T89" t="str">
        <f>IF($A89="","",SUMIFS(PIL!$K$15:$K$28,PIL!$A$15:$A$28,$A89)*SUMIFS(PIL!$J$15:$J$28,PIL!$A$15:$A$28,$A89)*(SUM(PIL!$K$15:$K$28)/SUMPRODUCT(PIL!$K$15:$K$28,PIL!$J$15:$J$28)))</f>
        <v/>
      </c>
      <c r="U89" t="str">
        <f>IF($A89="","",SUMIFS(PIL!$K$15:$K$28,PIL!$A$15:$A$28,$A89))</f>
        <v/>
      </c>
      <c r="V89" t="str">
        <f>IF($A89="","",IF($B89="V01",cad!$C$23,IF($B89="V02",cad!$D$23,cad!$E$23)))</f>
        <v/>
      </c>
      <c r="W89" t="str">
        <f>IF($A89="","",IF($B89="V01",cad!$C$24,IF($B89="V02",cad!$D$24,cad!$E$24)))</f>
        <v/>
      </c>
      <c r="X89" t="str">
        <f>IF($A89="","",IF($B89="V01",cad!$C$25,IF($B89="V02",cad!$D$25,cad!$E$25)))</f>
        <v/>
      </c>
      <c r="Y89" t="str">
        <f>IF($A89="","",IF($B89="V01",cad!$C$26,IF($B89="V02",cad!$D$26,cad!$E$26)))</f>
        <v/>
      </c>
      <c r="Z89" t="str">
        <f>IF($A89="","",IF($B89="V01",cad!$C$27,IF($B89="V02",cad!$D$27,cad!$E$27)))</f>
        <v/>
      </c>
      <c r="AA89" t="str">
        <f>IF($A89="","",IF($B89="V01",cad!$C$28,IF($B89="V02",cad!$D$28,cad!$E$28)))</f>
        <v/>
      </c>
      <c r="AB89" t="str">
        <f>IF($A89="","",IF($B89="V01",cad!$C$39,IF($B89="V02",cad!$D$39,cad!$E$39)))</f>
        <v/>
      </c>
      <c r="AC89" t="str">
        <f>IF($A89="","",IF($F89="MBWAY",cad!$J$12,IF($F89="ISCOM",cad!$J$13,IF($F89="IPAC",cad!$J$14,IF($F89="PIGIER",cad!$J$15,cad!$J$16)))))</f>
        <v/>
      </c>
      <c r="AD89" t="str">
        <f t="shared" si="7"/>
        <v/>
      </c>
      <c r="AE89" t="str">
        <f t="shared" si="8"/>
        <v/>
      </c>
      <c r="AF89" t="str">
        <f t="shared" si="9"/>
        <v/>
      </c>
      <c r="AG89" t="str">
        <f t="shared" si="10"/>
        <v/>
      </c>
      <c r="AH89" t="str">
        <f t="shared" si="11"/>
        <v/>
      </c>
    </row>
    <row r="90" spans="1:34" x14ac:dyDescent="0.45">
      <c r="A90" t="str">
        <f>IF(Moteur!D90="","",Moteur!D90)</f>
        <v/>
      </c>
      <c r="B90" t="str">
        <f>IF(Moteur!B90="","",Moteur!B90)</f>
        <v/>
      </c>
      <c r="C90" t="str">
        <f>IF(Moteur!F90="","",Moteur!F90)</f>
        <v/>
      </c>
      <c r="D90" t="str">
        <f>IF(Moteur!G90="","",Moteur!G90)</f>
        <v/>
      </c>
      <c r="E90" t="str">
        <f>IF(Moteur!H90="","",Moteur!H90)</f>
        <v/>
      </c>
      <c r="F90" t="str">
        <f>IF(Moteur!E90="","",Moteur!E90)</f>
        <v/>
      </c>
      <c r="G90" t="str">
        <f>IF($A90="","",SUMIFS(Allocation2!$H$1:$H$175,Allocation2!$C$1:$C$175,$A90,Allocation2!$D$1:$D$175,$C90,Allocation2!$E$1:$E$175,$D90,Allocation2!$F$1:$F$175,$E90,Allocation2!$G$1:$G$175,"2026"))</f>
        <v/>
      </c>
      <c r="H90" t="str">
        <f>IF($A90="","",SUMIFS(Allocation2!$N$1:$N$175,Allocation2!$C$1:$C$175,$A90,Allocation2!$D$1:$D$175,$C90,Allocation2!$E$1:$E$175,$D90,Allocation2!$F$1:$F$175,$E90,Allocation2!$G$1:$G$175,"2026"))</f>
        <v/>
      </c>
      <c r="I90" t="str">
        <f>IF($A90="","",SUMIFS(Allocation2!$P$1:$P$175,Allocation2!$C$1:$C$175,$A90,Allocation2!$D$1:$D$175,$C90,Allocation2!$E$1:$E$175,$D90,Allocation2!$F$1:$F$175,$E90,Allocation2!$G$1:$G$175,"2026"))</f>
        <v/>
      </c>
      <c r="J90" t="str">
        <f>IF($A90="","",SUMIFS(Allocation2!$W$1:$W$175,Allocation2!$C$1:$C$175,$A90,Allocation2!$D$1:$D$175,$C90,Allocation2!$E$1:$E$175,$D90,Allocation2!$F$1:$F$175,$E90,Allocation2!$G$1:$G$175,"2026"))</f>
        <v/>
      </c>
      <c r="K90" t="str">
        <f>IF($A90="","",SUMIFS(Allocation2!$X$1:$X$175,Allocation2!$C$1:$C$175,$A90,Allocation2!$D$1:$D$175,$C90,Allocation2!$E$1:$E$175,$D90,Allocation2!$F$1:$F$175,$E90,Allocation2!$G$1:$G$175,"2026"))</f>
        <v/>
      </c>
      <c r="L90" t="str">
        <f>IF($A90="","",SUMIFS(Allocation2!$Y$1:$Y$175,Allocation2!$C$1:$C$175,$A90,Allocation2!$D$1:$D$175,$C90,Allocation2!$E$1:$E$175,$D90,Allocation2!$F$1:$F$175,$E90,Allocation2!$G$1:$G$175,"2026"))</f>
        <v/>
      </c>
      <c r="M90" t="str">
        <f>IF($A90="","",SUMIFS(Allocation2!$V$1:$V$175,Allocation2!$C$1:$C$175,$A90,Allocation2!$D$1:$D$175,$C90,Allocation2!$E$1:$E$175,$D90,Allocation2!$F$1:$F$175,$E90,Allocation2!$G$1:$G$175,"2026"))</f>
        <v/>
      </c>
      <c r="N90" t="str">
        <f t="shared" si="6"/>
        <v/>
      </c>
      <c r="O90" t="str">
        <f>IF($A90="","",SUMIFS(Campagne!$D$1:$D$15,Campagne!$C$1:$C$15,$A90))</f>
        <v/>
      </c>
      <c r="P90" t="str">
        <f>IF($A90="","",SUMIFS(Campagne!$E$1:$E$15,Campagne!$C$1:$C$15,$A90))</f>
        <v/>
      </c>
      <c r="Q90" t="str">
        <f>IF($A90="","",SUMIFS(Campagne!$F$1:$F$15,Campagne!$C$1:$C$15,$A90))</f>
        <v/>
      </c>
      <c r="R90" t="str">
        <f>IF($A90="","",SUMIFS(Campagne!$K$1:$K$15,Campagne!$C$1:$C$15,$A90))</f>
        <v/>
      </c>
      <c r="S90" t="str">
        <f>IF($A90="","",SUMIFS(Campagne!$M$1:$M$15,Campagne!$C$1:$C$15,$A90))</f>
        <v/>
      </c>
      <c r="T90" t="str">
        <f>IF($A90="","",SUMIFS(PIL!$K$15:$K$28,PIL!$A$15:$A$28,$A90)*SUMIFS(PIL!$J$15:$J$28,PIL!$A$15:$A$28,$A90)*(SUM(PIL!$K$15:$K$28)/SUMPRODUCT(PIL!$K$15:$K$28,PIL!$J$15:$J$28)))</f>
        <v/>
      </c>
      <c r="U90" t="str">
        <f>IF($A90="","",SUMIFS(PIL!$K$15:$K$28,PIL!$A$15:$A$28,$A90))</f>
        <v/>
      </c>
      <c r="V90" t="str">
        <f>IF($A90="","",IF($B90="V01",cad!$C$23,IF($B90="V02",cad!$D$23,cad!$E$23)))</f>
        <v/>
      </c>
      <c r="W90" t="str">
        <f>IF($A90="","",IF($B90="V01",cad!$C$24,IF($B90="V02",cad!$D$24,cad!$E$24)))</f>
        <v/>
      </c>
      <c r="X90" t="str">
        <f>IF($A90="","",IF($B90="V01",cad!$C$25,IF($B90="V02",cad!$D$25,cad!$E$25)))</f>
        <v/>
      </c>
      <c r="Y90" t="str">
        <f>IF($A90="","",IF($B90="V01",cad!$C$26,IF($B90="V02",cad!$D$26,cad!$E$26)))</f>
        <v/>
      </c>
      <c r="Z90" t="str">
        <f>IF($A90="","",IF($B90="V01",cad!$C$27,IF($B90="V02",cad!$D$27,cad!$E$27)))</f>
        <v/>
      </c>
      <c r="AA90" t="str">
        <f>IF($A90="","",IF($B90="V01",cad!$C$28,IF($B90="V02",cad!$D$28,cad!$E$28)))</f>
        <v/>
      </c>
      <c r="AB90" t="str">
        <f>IF($A90="","",IF($B90="V01",cad!$C$39,IF($B90="V02",cad!$D$39,cad!$E$39)))</f>
        <v/>
      </c>
      <c r="AC90" t="str">
        <f>IF($A90="","",IF($F90="MBWAY",cad!$J$12,IF($F90="ISCOM",cad!$J$13,IF($F90="IPAC",cad!$J$14,IF($F90="PIGIER",cad!$J$15,cad!$J$16)))))</f>
        <v/>
      </c>
      <c r="AD90" t="str">
        <f t="shared" si="7"/>
        <v/>
      </c>
      <c r="AE90" t="str">
        <f t="shared" si="8"/>
        <v/>
      </c>
      <c r="AF90" t="str">
        <f t="shared" si="9"/>
        <v/>
      </c>
      <c r="AG90" t="str">
        <f t="shared" si="10"/>
        <v/>
      </c>
      <c r="AH90" t="str">
        <f t="shared" si="11"/>
        <v/>
      </c>
    </row>
    <row r="91" spans="1:34" x14ac:dyDescent="0.45">
      <c r="A91" t="str">
        <f>IF(Moteur!D91="","",Moteur!D91)</f>
        <v/>
      </c>
      <c r="B91" t="str">
        <f>IF(Moteur!B91="","",Moteur!B91)</f>
        <v/>
      </c>
      <c r="C91" t="str">
        <f>IF(Moteur!F91="","",Moteur!F91)</f>
        <v/>
      </c>
      <c r="D91" t="str">
        <f>IF(Moteur!G91="","",Moteur!G91)</f>
        <v/>
      </c>
      <c r="E91" t="str">
        <f>IF(Moteur!H91="","",Moteur!H91)</f>
        <v/>
      </c>
      <c r="F91" t="str">
        <f>IF(Moteur!E91="","",Moteur!E91)</f>
        <v/>
      </c>
      <c r="G91" t="str">
        <f>IF($A91="","",SUMIFS(Allocation2!$H$1:$H$175,Allocation2!$C$1:$C$175,$A91,Allocation2!$D$1:$D$175,$C91,Allocation2!$E$1:$E$175,$D91,Allocation2!$F$1:$F$175,$E91,Allocation2!$G$1:$G$175,"2026"))</f>
        <v/>
      </c>
      <c r="H91" t="str">
        <f>IF($A91="","",SUMIFS(Allocation2!$N$1:$N$175,Allocation2!$C$1:$C$175,$A91,Allocation2!$D$1:$D$175,$C91,Allocation2!$E$1:$E$175,$D91,Allocation2!$F$1:$F$175,$E91,Allocation2!$G$1:$G$175,"2026"))</f>
        <v/>
      </c>
      <c r="I91" t="str">
        <f>IF($A91="","",SUMIFS(Allocation2!$P$1:$P$175,Allocation2!$C$1:$C$175,$A91,Allocation2!$D$1:$D$175,$C91,Allocation2!$E$1:$E$175,$D91,Allocation2!$F$1:$F$175,$E91,Allocation2!$G$1:$G$175,"2026"))</f>
        <v/>
      </c>
      <c r="J91" t="str">
        <f>IF($A91="","",SUMIFS(Allocation2!$W$1:$W$175,Allocation2!$C$1:$C$175,$A91,Allocation2!$D$1:$D$175,$C91,Allocation2!$E$1:$E$175,$D91,Allocation2!$F$1:$F$175,$E91,Allocation2!$G$1:$G$175,"2026"))</f>
        <v/>
      </c>
      <c r="K91" t="str">
        <f>IF($A91="","",SUMIFS(Allocation2!$X$1:$X$175,Allocation2!$C$1:$C$175,$A91,Allocation2!$D$1:$D$175,$C91,Allocation2!$E$1:$E$175,$D91,Allocation2!$F$1:$F$175,$E91,Allocation2!$G$1:$G$175,"2026"))</f>
        <v/>
      </c>
      <c r="L91" t="str">
        <f>IF($A91="","",SUMIFS(Allocation2!$Y$1:$Y$175,Allocation2!$C$1:$C$175,$A91,Allocation2!$D$1:$D$175,$C91,Allocation2!$E$1:$E$175,$D91,Allocation2!$F$1:$F$175,$E91,Allocation2!$G$1:$G$175,"2026"))</f>
        <v/>
      </c>
      <c r="M91" t="str">
        <f>IF($A91="","",SUMIFS(Allocation2!$V$1:$V$175,Allocation2!$C$1:$C$175,$A91,Allocation2!$D$1:$D$175,$C91,Allocation2!$E$1:$E$175,$D91,Allocation2!$F$1:$F$175,$E91,Allocation2!$G$1:$G$175,"2026"))</f>
        <v/>
      </c>
      <c r="N91" t="str">
        <f t="shared" si="6"/>
        <v/>
      </c>
      <c r="O91" t="str">
        <f>IF($A91="","",SUMIFS(Campagne!$D$1:$D$15,Campagne!$C$1:$C$15,$A91))</f>
        <v/>
      </c>
      <c r="P91" t="str">
        <f>IF($A91="","",SUMIFS(Campagne!$E$1:$E$15,Campagne!$C$1:$C$15,$A91))</f>
        <v/>
      </c>
      <c r="Q91" t="str">
        <f>IF($A91="","",SUMIFS(Campagne!$F$1:$F$15,Campagne!$C$1:$C$15,$A91))</f>
        <v/>
      </c>
      <c r="R91" t="str">
        <f>IF($A91="","",SUMIFS(Campagne!$K$1:$K$15,Campagne!$C$1:$C$15,$A91))</f>
        <v/>
      </c>
      <c r="S91" t="str">
        <f>IF($A91="","",SUMIFS(Campagne!$M$1:$M$15,Campagne!$C$1:$C$15,$A91))</f>
        <v/>
      </c>
      <c r="T91" t="str">
        <f>IF($A91="","",SUMIFS(PIL!$K$15:$K$28,PIL!$A$15:$A$28,$A91)*SUMIFS(PIL!$J$15:$J$28,PIL!$A$15:$A$28,$A91)*(SUM(PIL!$K$15:$K$28)/SUMPRODUCT(PIL!$K$15:$K$28,PIL!$J$15:$J$28)))</f>
        <v/>
      </c>
      <c r="U91" t="str">
        <f>IF($A91="","",SUMIFS(PIL!$K$15:$K$28,PIL!$A$15:$A$28,$A91))</f>
        <v/>
      </c>
      <c r="V91" t="str">
        <f>IF($A91="","",IF($B91="V01",cad!$C$23,IF($B91="V02",cad!$D$23,cad!$E$23)))</f>
        <v/>
      </c>
      <c r="W91" t="str">
        <f>IF($A91="","",IF($B91="V01",cad!$C$24,IF($B91="V02",cad!$D$24,cad!$E$24)))</f>
        <v/>
      </c>
      <c r="X91" t="str">
        <f>IF($A91="","",IF($B91="V01",cad!$C$25,IF($B91="V02",cad!$D$25,cad!$E$25)))</f>
        <v/>
      </c>
      <c r="Y91" t="str">
        <f>IF($A91="","",IF($B91="V01",cad!$C$26,IF($B91="V02",cad!$D$26,cad!$E$26)))</f>
        <v/>
      </c>
      <c r="Z91" t="str">
        <f>IF($A91="","",IF($B91="V01",cad!$C$27,IF($B91="V02",cad!$D$27,cad!$E$27)))</f>
        <v/>
      </c>
      <c r="AA91" t="str">
        <f>IF($A91="","",IF($B91="V01",cad!$C$28,IF($B91="V02",cad!$D$28,cad!$E$28)))</f>
        <v/>
      </c>
      <c r="AB91" t="str">
        <f>IF($A91="","",IF($B91="V01",cad!$C$39,IF($B91="V02",cad!$D$39,cad!$E$39)))</f>
        <v/>
      </c>
      <c r="AC91" t="str">
        <f>IF($A91="","",IF($F91="MBWAY",cad!$J$12,IF($F91="ISCOM",cad!$J$13,IF($F91="IPAC",cad!$J$14,IF($F91="PIGIER",cad!$J$15,cad!$J$16)))))</f>
        <v/>
      </c>
      <c r="AD91" t="str">
        <f t="shared" si="7"/>
        <v/>
      </c>
      <c r="AE91" t="str">
        <f t="shared" si="8"/>
        <v/>
      </c>
      <c r="AF91" t="str">
        <f t="shared" si="9"/>
        <v/>
      </c>
      <c r="AG91" t="str">
        <f t="shared" si="10"/>
        <v/>
      </c>
      <c r="AH91" t="str">
        <f t="shared" si="11"/>
        <v/>
      </c>
    </row>
    <row r="92" spans="1:34" x14ac:dyDescent="0.45">
      <c r="A92" t="str">
        <f>IF(Moteur!D92="","",Moteur!D92)</f>
        <v/>
      </c>
      <c r="B92" t="str">
        <f>IF(Moteur!B92="","",Moteur!B92)</f>
        <v/>
      </c>
      <c r="C92" t="str">
        <f>IF(Moteur!F92="","",Moteur!F92)</f>
        <v/>
      </c>
      <c r="D92" t="str">
        <f>IF(Moteur!G92="","",Moteur!G92)</f>
        <v/>
      </c>
      <c r="E92" t="str">
        <f>IF(Moteur!H92="","",Moteur!H92)</f>
        <v/>
      </c>
      <c r="F92" t="str">
        <f>IF(Moteur!E92="","",Moteur!E92)</f>
        <v/>
      </c>
      <c r="G92" t="str">
        <f>IF($A92="","",SUMIFS(Allocation2!$H$1:$H$175,Allocation2!$C$1:$C$175,$A92,Allocation2!$D$1:$D$175,$C92,Allocation2!$E$1:$E$175,$D92,Allocation2!$F$1:$F$175,$E92,Allocation2!$G$1:$G$175,"2026"))</f>
        <v/>
      </c>
      <c r="H92" t="str">
        <f>IF($A92="","",SUMIFS(Allocation2!$N$1:$N$175,Allocation2!$C$1:$C$175,$A92,Allocation2!$D$1:$D$175,$C92,Allocation2!$E$1:$E$175,$D92,Allocation2!$F$1:$F$175,$E92,Allocation2!$G$1:$G$175,"2026"))</f>
        <v/>
      </c>
      <c r="I92" t="str">
        <f>IF($A92="","",SUMIFS(Allocation2!$P$1:$P$175,Allocation2!$C$1:$C$175,$A92,Allocation2!$D$1:$D$175,$C92,Allocation2!$E$1:$E$175,$D92,Allocation2!$F$1:$F$175,$E92,Allocation2!$G$1:$G$175,"2026"))</f>
        <v/>
      </c>
      <c r="J92" t="str">
        <f>IF($A92="","",SUMIFS(Allocation2!$W$1:$W$175,Allocation2!$C$1:$C$175,$A92,Allocation2!$D$1:$D$175,$C92,Allocation2!$E$1:$E$175,$D92,Allocation2!$F$1:$F$175,$E92,Allocation2!$G$1:$G$175,"2026"))</f>
        <v/>
      </c>
      <c r="K92" t="str">
        <f>IF($A92="","",SUMIFS(Allocation2!$X$1:$X$175,Allocation2!$C$1:$C$175,$A92,Allocation2!$D$1:$D$175,$C92,Allocation2!$E$1:$E$175,$D92,Allocation2!$F$1:$F$175,$E92,Allocation2!$G$1:$G$175,"2026"))</f>
        <v/>
      </c>
      <c r="L92" t="str">
        <f>IF($A92="","",SUMIFS(Allocation2!$Y$1:$Y$175,Allocation2!$C$1:$C$175,$A92,Allocation2!$D$1:$D$175,$C92,Allocation2!$E$1:$E$175,$D92,Allocation2!$F$1:$F$175,$E92,Allocation2!$G$1:$G$175,"2026"))</f>
        <v/>
      </c>
      <c r="M92" t="str">
        <f>IF($A92="","",SUMIFS(Allocation2!$V$1:$V$175,Allocation2!$C$1:$C$175,$A92,Allocation2!$D$1:$D$175,$C92,Allocation2!$E$1:$E$175,$D92,Allocation2!$F$1:$F$175,$E92,Allocation2!$G$1:$G$175,"2026"))</f>
        <v/>
      </c>
      <c r="N92" t="str">
        <f t="shared" si="6"/>
        <v/>
      </c>
      <c r="O92" t="str">
        <f>IF($A92="","",SUMIFS(Campagne!$D$1:$D$15,Campagne!$C$1:$C$15,$A92))</f>
        <v/>
      </c>
      <c r="P92" t="str">
        <f>IF($A92="","",SUMIFS(Campagne!$E$1:$E$15,Campagne!$C$1:$C$15,$A92))</f>
        <v/>
      </c>
      <c r="Q92" t="str">
        <f>IF($A92="","",SUMIFS(Campagne!$F$1:$F$15,Campagne!$C$1:$C$15,$A92))</f>
        <v/>
      </c>
      <c r="R92" t="str">
        <f>IF($A92="","",SUMIFS(Campagne!$K$1:$K$15,Campagne!$C$1:$C$15,$A92))</f>
        <v/>
      </c>
      <c r="S92" t="str">
        <f>IF($A92="","",SUMIFS(Campagne!$M$1:$M$15,Campagne!$C$1:$C$15,$A92))</f>
        <v/>
      </c>
      <c r="T92" t="str">
        <f>IF($A92="","",SUMIFS(PIL!$K$15:$K$28,PIL!$A$15:$A$28,$A92)*SUMIFS(PIL!$J$15:$J$28,PIL!$A$15:$A$28,$A92)*(SUM(PIL!$K$15:$K$28)/SUMPRODUCT(PIL!$K$15:$K$28,PIL!$J$15:$J$28)))</f>
        <v/>
      </c>
      <c r="U92" t="str">
        <f>IF($A92="","",SUMIFS(PIL!$K$15:$K$28,PIL!$A$15:$A$28,$A92))</f>
        <v/>
      </c>
      <c r="V92" t="str">
        <f>IF($A92="","",IF($B92="V01",cad!$C$23,IF($B92="V02",cad!$D$23,cad!$E$23)))</f>
        <v/>
      </c>
      <c r="W92" t="str">
        <f>IF($A92="","",IF($B92="V01",cad!$C$24,IF($B92="V02",cad!$D$24,cad!$E$24)))</f>
        <v/>
      </c>
      <c r="X92" t="str">
        <f>IF($A92="","",IF($B92="V01",cad!$C$25,IF($B92="V02",cad!$D$25,cad!$E$25)))</f>
        <v/>
      </c>
      <c r="Y92" t="str">
        <f>IF($A92="","",IF($B92="V01",cad!$C$26,IF($B92="V02",cad!$D$26,cad!$E$26)))</f>
        <v/>
      </c>
      <c r="Z92" t="str">
        <f>IF($A92="","",IF($B92="V01",cad!$C$27,IF($B92="V02",cad!$D$27,cad!$E$27)))</f>
        <v/>
      </c>
      <c r="AA92" t="str">
        <f>IF($A92="","",IF($B92="V01",cad!$C$28,IF($B92="V02",cad!$D$28,cad!$E$28)))</f>
        <v/>
      </c>
      <c r="AB92" t="str">
        <f>IF($A92="","",IF($B92="V01",cad!$C$39,IF($B92="V02",cad!$D$39,cad!$E$39)))</f>
        <v/>
      </c>
      <c r="AC92" t="str">
        <f>IF($A92="","",IF($F92="MBWAY",cad!$J$12,IF($F92="ISCOM",cad!$J$13,IF($F92="IPAC",cad!$J$14,IF($F92="PIGIER",cad!$J$15,cad!$J$16)))))</f>
        <v/>
      </c>
      <c r="AD92" t="str">
        <f t="shared" si="7"/>
        <v/>
      </c>
      <c r="AE92" t="str">
        <f t="shared" si="8"/>
        <v/>
      </c>
      <c r="AF92" t="str">
        <f t="shared" si="9"/>
        <v/>
      </c>
      <c r="AG92" t="str">
        <f t="shared" si="10"/>
        <v/>
      </c>
      <c r="AH92" t="str">
        <f t="shared" si="11"/>
        <v/>
      </c>
    </row>
    <row r="93" spans="1:34" x14ac:dyDescent="0.45">
      <c r="A93" t="str">
        <f>IF(Moteur!D93="","",Moteur!D93)</f>
        <v/>
      </c>
      <c r="B93" t="str">
        <f>IF(Moteur!B93="","",Moteur!B93)</f>
        <v/>
      </c>
      <c r="C93" t="str">
        <f>IF(Moteur!F93="","",Moteur!F93)</f>
        <v/>
      </c>
      <c r="D93" t="str">
        <f>IF(Moteur!G93="","",Moteur!G93)</f>
        <v/>
      </c>
      <c r="E93" t="str">
        <f>IF(Moteur!H93="","",Moteur!H93)</f>
        <v/>
      </c>
      <c r="F93" t="str">
        <f>IF(Moteur!E93="","",Moteur!E93)</f>
        <v/>
      </c>
      <c r="G93" t="str">
        <f>IF($A93="","",SUMIFS(Allocation2!$H$1:$H$175,Allocation2!$C$1:$C$175,$A93,Allocation2!$D$1:$D$175,$C93,Allocation2!$E$1:$E$175,$D93,Allocation2!$F$1:$F$175,$E93,Allocation2!$G$1:$G$175,"2026"))</f>
        <v/>
      </c>
      <c r="H93" t="str">
        <f>IF($A93="","",SUMIFS(Allocation2!$N$1:$N$175,Allocation2!$C$1:$C$175,$A93,Allocation2!$D$1:$D$175,$C93,Allocation2!$E$1:$E$175,$D93,Allocation2!$F$1:$F$175,$E93,Allocation2!$G$1:$G$175,"2026"))</f>
        <v/>
      </c>
      <c r="I93" t="str">
        <f>IF($A93="","",SUMIFS(Allocation2!$P$1:$P$175,Allocation2!$C$1:$C$175,$A93,Allocation2!$D$1:$D$175,$C93,Allocation2!$E$1:$E$175,$D93,Allocation2!$F$1:$F$175,$E93,Allocation2!$G$1:$G$175,"2026"))</f>
        <v/>
      </c>
      <c r="J93" t="str">
        <f>IF($A93="","",SUMIFS(Allocation2!$W$1:$W$175,Allocation2!$C$1:$C$175,$A93,Allocation2!$D$1:$D$175,$C93,Allocation2!$E$1:$E$175,$D93,Allocation2!$F$1:$F$175,$E93,Allocation2!$G$1:$G$175,"2026"))</f>
        <v/>
      </c>
      <c r="K93" t="str">
        <f>IF($A93="","",SUMIFS(Allocation2!$X$1:$X$175,Allocation2!$C$1:$C$175,$A93,Allocation2!$D$1:$D$175,$C93,Allocation2!$E$1:$E$175,$D93,Allocation2!$F$1:$F$175,$E93,Allocation2!$G$1:$G$175,"2026"))</f>
        <v/>
      </c>
      <c r="L93" t="str">
        <f>IF($A93="","",SUMIFS(Allocation2!$Y$1:$Y$175,Allocation2!$C$1:$C$175,$A93,Allocation2!$D$1:$D$175,$C93,Allocation2!$E$1:$E$175,$D93,Allocation2!$F$1:$F$175,$E93,Allocation2!$G$1:$G$175,"2026"))</f>
        <v/>
      </c>
      <c r="M93" t="str">
        <f>IF($A93="","",SUMIFS(Allocation2!$V$1:$V$175,Allocation2!$C$1:$C$175,$A93,Allocation2!$D$1:$D$175,$C93,Allocation2!$E$1:$E$175,$D93,Allocation2!$F$1:$F$175,$E93,Allocation2!$G$1:$G$175,"2026"))</f>
        <v/>
      </c>
      <c r="N93" t="str">
        <f t="shared" si="6"/>
        <v/>
      </c>
      <c r="O93" t="str">
        <f>IF($A93="","",SUMIFS(Campagne!$D$1:$D$15,Campagne!$C$1:$C$15,$A93))</f>
        <v/>
      </c>
      <c r="P93" t="str">
        <f>IF($A93="","",SUMIFS(Campagne!$E$1:$E$15,Campagne!$C$1:$C$15,$A93))</f>
        <v/>
      </c>
      <c r="Q93" t="str">
        <f>IF($A93="","",SUMIFS(Campagne!$F$1:$F$15,Campagne!$C$1:$C$15,$A93))</f>
        <v/>
      </c>
      <c r="R93" t="str">
        <f>IF($A93="","",SUMIFS(Campagne!$K$1:$K$15,Campagne!$C$1:$C$15,$A93))</f>
        <v/>
      </c>
      <c r="S93" t="str">
        <f>IF($A93="","",SUMIFS(Campagne!$M$1:$M$15,Campagne!$C$1:$C$15,$A93))</f>
        <v/>
      </c>
      <c r="T93" t="str">
        <f>IF($A93="","",SUMIFS(PIL!$K$15:$K$28,PIL!$A$15:$A$28,$A93)*SUMIFS(PIL!$J$15:$J$28,PIL!$A$15:$A$28,$A93)*(SUM(PIL!$K$15:$K$28)/SUMPRODUCT(PIL!$K$15:$K$28,PIL!$J$15:$J$28)))</f>
        <v/>
      </c>
      <c r="U93" t="str">
        <f>IF($A93="","",SUMIFS(PIL!$K$15:$K$28,PIL!$A$15:$A$28,$A93))</f>
        <v/>
      </c>
      <c r="V93" t="str">
        <f>IF($A93="","",IF($B93="V01",cad!$C$23,IF($B93="V02",cad!$D$23,cad!$E$23)))</f>
        <v/>
      </c>
      <c r="W93" t="str">
        <f>IF($A93="","",IF($B93="V01",cad!$C$24,IF($B93="V02",cad!$D$24,cad!$E$24)))</f>
        <v/>
      </c>
      <c r="X93" t="str">
        <f>IF($A93="","",IF($B93="V01",cad!$C$25,IF($B93="V02",cad!$D$25,cad!$E$25)))</f>
        <v/>
      </c>
      <c r="Y93" t="str">
        <f>IF($A93="","",IF($B93="V01",cad!$C$26,IF($B93="V02",cad!$D$26,cad!$E$26)))</f>
        <v/>
      </c>
      <c r="Z93" t="str">
        <f>IF($A93="","",IF($B93="V01",cad!$C$27,IF($B93="V02",cad!$D$27,cad!$E$27)))</f>
        <v/>
      </c>
      <c r="AA93" t="str">
        <f>IF($A93="","",IF($B93="V01",cad!$C$28,IF($B93="V02",cad!$D$28,cad!$E$28)))</f>
        <v/>
      </c>
      <c r="AB93" t="str">
        <f>IF($A93="","",IF($B93="V01",cad!$C$39,IF($B93="V02",cad!$D$39,cad!$E$39)))</f>
        <v/>
      </c>
      <c r="AC93" t="str">
        <f>IF($A93="","",IF($F93="MBWAY",cad!$J$12,IF($F93="ISCOM",cad!$J$13,IF($F93="IPAC",cad!$J$14,IF($F93="PIGIER",cad!$J$15,cad!$J$16)))))</f>
        <v/>
      </c>
      <c r="AD93" t="str">
        <f t="shared" si="7"/>
        <v/>
      </c>
      <c r="AE93" t="str">
        <f t="shared" si="8"/>
        <v/>
      </c>
      <c r="AF93" t="str">
        <f t="shared" si="9"/>
        <v/>
      </c>
      <c r="AG93" t="str">
        <f t="shared" si="10"/>
        <v/>
      </c>
      <c r="AH93" t="str">
        <f t="shared" si="11"/>
        <v/>
      </c>
    </row>
    <row r="94" spans="1:34" x14ac:dyDescent="0.45">
      <c r="A94" t="str">
        <f>IF(Moteur!D94="","",Moteur!D94)</f>
        <v/>
      </c>
      <c r="B94" t="str">
        <f>IF(Moteur!B94="","",Moteur!B94)</f>
        <v/>
      </c>
      <c r="C94" t="str">
        <f>IF(Moteur!F94="","",Moteur!F94)</f>
        <v/>
      </c>
      <c r="D94" t="str">
        <f>IF(Moteur!G94="","",Moteur!G94)</f>
        <v/>
      </c>
      <c r="E94" t="str">
        <f>IF(Moteur!H94="","",Moteur!H94)</f>
        <v/>
      </c>
      <c r="F94" t="str">
        <f>IF(Moteur!E94="","",Moteur!E94)</f>
        <v/>
      </c>
      <c r="G94" t="str">
        <f>IF($A94="","",SUMIFS(Allocation2!$H$1:$H$175,Allocation2!$C$1:$C$175,$A94,Allocation2!$D$1:$D$175,$C94,Allocation2!$E$1:$E$175,$D94,Allocation2!$F$1:$F$175,$E94,Allocation2!$G$1:$G$175,"2026"))</f>
        <v/>
      </c>
      <c r="H94" t="str">
        <f>IF($A94="","",SUMIFS(Allocation2!$N$1:$N$175,Allocation2!$C$1:$C$175,$A94,Allocation2!$D$1:$D$175,$C94,Allocation2!$E$1:$E$175,$D94,Allocation2!$F$1:$F$175,$E94,Allocation2!$G$1:$G$175,"2026"))</f>
        <v/>
      </c>
      <c r="I94" t="str">
        <f>IF($A94="","",SUMIFS(Allocation2!$P$1:$P$175,Allocation2!$C$1:$C$175,$A94,Allocation2!$D$1:$D$175,$C94,Allocation2!$E$1:$E$175,$D94,Allocation2!$F$1:$F$175,$E94,Allocation2!$G$1:$G$175,"2026"))</f>
        <v/>
      </c>
      <c r="J94" t="str">
        <f>IF($A94="","",SUMIFS(Allocation2!$W$1:$W$175,Allocation2!$C$1:$C$175,$A94,Allocation2!$D$1:$D$175,$C94,Allocation2!$E$1:$E$175,$D94,Allocation2!$F$1:$F$175,$E94,Allocation2!$G$1:$G$175,"2026"))</f>
        <v/>
      </c>
      <c r="K94" t="str">
        <f>IF($A94="","",SUMIFS(Allocation2!$X$1:$X$175,Allocation2!$C$1:$C$175,$A94,Allocation2!$D$1:$D$175,$C94,Allocation2!$E$1:$E$175,$D94,Allocation2!$F$1:$F$175,$E94,Allocation2!$G$1:$G$175,"2026"))</f>
        <v/>
      </c>
      <c r="L94" t="str">
        <f>IF($A94="","",SUMIFS(Allocation2!$Y$1:$Y$175,Allocation2!$C$1:$C$175,$A94,Allocation2!$D$1:$D$175,$C94,Allocation2!$E$1:$E$175,$D94,Allocation2!$F$1:$F$175,$E94,Allocation2!$G$1:$G$175,"2026"))</f>
        <v/>
      </c>
      <c r="M94" t="str">
        <f>IF($A94="","",SUMIFS(Allocation2!$V$1:$V$175,Allocation2!$C$1:$C$175,$A94,Allocation2!$D$1:$D$175,$C94,Allocation2!$E$1:$E$175,$D94,Allocation2!$F$1:$F$175,$E94,Allocation2!$G$1:$G$175,"2026"))</f>
        <v/>
      </c>
      <c r="N94" t="str">
        <f t="shared" si="6"/>
        <v/>
      </c>
      <c r="O94" t="str">
        <f>IF($A94="","",SUMIFS(Campagne!$D$1:$D$15,Campagne!$C$1:$C$15,$A94))</f>
        <v/>
      </c>
      <c r="P94" t="str">
        <f>IF($A94="","",SUMIFS(Campagne!$E$1:$E$15,Campagne!$C$1:$C$15,$A94))</f>
        <v/>
      </c>
      <c r="Q94" t="str">
        <f>IF($A94="","",SUMIFS(Campagne!$F$1:$F$15,Campagne!$C$1:$C$15,$A94))</f>
        <v/>
      </c>
      <c r="R94" t="str">
        <f>IF($A94="","",SUMIFS(Campagne!$K$1:$K$15,Campagne!$C$1:$C$15,$A94))</f>
        <v/>
      </c>
      <c r="S94" t="str">
        <f>IF($A94="","",SUMIFS(Campagne!$M$1:$M$15,Campagne!$C$1:$C$15,$A94))</f>
        <v/>
      </c>
      <c r="T94" t="str">
        <f>IF($A94="","",SUMIFS(PIL!$K$15:$K$28,PIL!$A$15:$A$28,$A94)*SUMIFS(PIL!$J$15:$J$28,PIL!$A$15:$A$28,$A94)*(SUM(PIL!$K$15:$K$28)/SUMPRODUCT(PIL!$K$15:$K$28,PIL!$J$15:$J$28)))</f>
        <v/>
      </c>
      <c r="U94" t="str">
        <f>IF($A94="","",SUMIFS(PIL!$K$15:$K$28,PIL!$A$15:$A$28,$A94))</f>
        <v/>
      </c>
      <c r="V94" t="str">
        <f>IF($A94="","",IF($B94="V01",cad!$C$23,IF($B94="V02",cad!$D$23,cad!$E$23)))</f>
        <v/>
      </c>
      <c r="W94" t="str">
        <f>IF($A94="","",IF($B94="V01",cad!$C$24,IF($B94="V02",cad!$D$24,cad!$E$24)))</f>
        <v/>
      </c>
      <c r="X94" t="str">
        <f>IF($A94="","",IF($B94="V01",cad!$C$25,IF($B94="V02",cad!$D$25,cad!$E$25)))</f>
        <v/>
      </c>
      <c r="Y94" t="str">
        <f>IF($A94="","",IF($B94="V01",cad!$C$26,IF($B94="V02",cad!$D$26,cad!$E$26)))</f>
        <v/>
      </c>
      <c r="Z94" t="str">
        <f>IF($A94="","",IF($B94="V01",cad!$C$27,IF($B94="V02",cad!$D$27,cad!$E$27)))</f>
        <v/>
      </c>
      <c r="AA94" t="str">
        <f>IF($A94="","",IF($B94="V01",cad!$C$28,IF($B94="V02",cad!$D$28,cad!$E$28)))</f>
        <v/>
      </c>
      <c r="AB94" t="str">
        <f>IF($A94="","",IF($B94="V01",cad!$C$39,IF($B94="V02",cad!$D$39,cad!$E$39)))</f>
        <v/>
      </c>
      <c r="AC94" t="str">
        <f>IF($A94="","",IF($F94="MBWAY",cad!$J$12,IF($F94="ISCOM",cad!$J$13,IF($F94="IPAC",cad!$J$14,IF($F94="PIGIER",cad!$J$15,cad!$J$16)))))</f>
        <v/>
      </c>
      <c r="AD94" t="str">
        <f t="shared" si="7"/>
        <v/>
      </c>
      <c r="AE94" t="str">
        <f t="shared" si="8"/>
        <v/>
      </c>
      <c r="AF94" t="str">
        <f t="shared" si="9"/>
        <v/>
      </c>
      <c r="AG94" t="str">
        <f t="shared" si="10"/>
        <v/>
      </c>
      <c r="AH94" t="str">
        <f t="shared" si="11"/>
        <v/>
      </c>
    </row>
    <row r="95" spans="1:34" x14ac:dyDescent="0.45">
      <c r="A95" t="str">
        <f>IF(Moteur!D95="","",Moteur!D95)</f>
        <v/>
      </c>
      <c r="B95" t="str">
        <f>IF(Moteur!B95="","",Moteur!B95)</f>
        <v/>
      </c>
      <c r="C95" t="str">
        <f>IF(Moteur!F95="","",Moteur!F95)</f>
        <v/>
      </c>
      <c r="D95" t="str">
        <f>IF(Moteur!G95="","",Moteur!G95)</f>
        <v/>
      </c>
      <c r="E95" t="str">
        <f>IF(Moteur!H95="","",Moteur!H95)</f>
        <v/>
      </c>
      <c r="F95" t="str">
        <f>IF(Moteur!E95="","",Moteur!E95)</f>
        <v/>
      </c>
      <c r="G95" t="str">
        <f>IF($A95="","",SUMIFS(Allocation2!$H$1:$H$175,Allocation2!$C$1:$C$175,$A95,Allocation2!$D$1:$D$175,$C95,Allocation2!$E$1:$E$175,$D95,Allocation2!$F$1:$F$175,$E95,Allocation2!$G$1:$G$175,"2026"))</f>
        <v/>
      </c>
      <c r="H95" t="str">
        <f>IF($A95="","",SUMIFS(Allocation2!$N$1:$N$175,Allocation2!$C$1:$C$175,$A95,Allocation2!$D$1:$D$175,$C95,Allocation2!$E$1:$E$175,$D95,Allocation2!$F$1:$F$175,$E95,Allocation2!$G$1:$G$175,"2026"))</f>
        <v/>
      </c>
      <c r="I95" t="str">
        <f>IF($A95="","",SUMIFS(Allocation2!$P$1:$P$175,Allocation2!$C$1:$C$175,$A95,Allocation2!$D$1:$D$175,$C95,Allocation2!$E$1:$E$175,$D95,Allocation2!$F$1:$F$175,$E95,Allocation2!$G$1:$G$175,"2026"))</f>
        <v/>
      </c>
      <c r="J95" t="str">
        <f>IF($A95="","",SUMIFS(Allocation2!$W$1:$W$175,Allocation2!$C$1:$C$175,$A95,Allocation2!$D$1:$D$175,$C95,Allocation2!$E$1:$E$175,$D95,Allocation2!$F$1:$F$175,$E95,Allocation2!$G$1:$G$175,"2026"))</f>
        <v/>
      </c>
      <c r="K95" t="str">
        <f>IF($A95="","",SUMIFS(Allocation2!$X$1:$X$175,Allocation2!$C$1:$C$175,$A95,Allocation2!$D$1:$D$175,$C95,Allocation2!$E$1:$E$175,$D95,Allocation2!$F$1:$F$175,$E95,Allocation2!$G$1:$G$175,"2026"))</f>
        <v/>
      </c>
      <c r="L95" t="str">
        <f>IF($A95="","",SUMIFS(Allocation2!$Y$1:$Y$175,Allocation2!$C$1:$C$175,$A95,Allocation2!$D$1:$D$175,$C95,Allocation2!$E$1:$E$175,$D95,Allocation2!$F$1:$F$175,$E95,Allocation2!$G$1:$G$175,"2026"))</f>
        <v/>
      </c>
      <c r="M95" t="str">
        <f>IF($A95="","",SUMIFS(Allocation2!$V$1:$V$175,Allocation2!$C$1:$C$175,$A95,Allocation2!$D$1:$D$175,$C95,Allocation2!$E$1:$E$175,$D95,Allocation2!$F$1:$F$175,$E95,Allocation2!$G$1:$G$175,"2026"))</f>
        <v/>
      </c>
      <c r="N95" t="str">
        <f t="shared" si="6"/>
        <v/>
      </c>
      <c r="O95" t="str">
        <f>IF($A95="","",SUMIFS(Campagne!$D$1:$D$15,Campagne!$C$1:$C$15,$A95))</f>
        <v/>
      </c>
      <c r="P95" t="str">
        <f>IF($A95="","",SUMIFS(Campagne!$E$1:$E$15,Campagne!$C$1:$C$15,$A95))</f>
        <v/>
      </c>
      <c r="Q95" t="str">
        <f>IF($A95="","",SUMIFS(Campagne!$F$1:$F$15,Campagne!$C$1:$C$15,$A95))</f>
        <v/>
      </c>
      <c r="R95" t="str">
        <f>IF($A95="","",SUMIFS(Campagne!$K$1:$K$15,Campagne!$C$1:$C$15,$A95))</f>
        <v/>
      </c>
      <c r="S95" t="str">
        <f>IF($A95="","",SUMIFS(Campagne!$M$1:$M$15,Campagne!$C$1:$C$15,$A95))</f>
        <v/>
      </c>
      <c r="T95" t="str">
        <f>IF($A95="","",SUMIFS(PIL!$K$15:$K$28,PIL!$A$15:$A$28,$A95)*SUMIFS(PIL!$J$15:$J$28,PIL!$A$15:$A$28,$A95)*(SUM(PIL!$K$15:$K$28)/SUMPRODUCT(PIL!$K$15:$K$28,PIL!$J$15:$J$28)))</f>
        <v/>
      </c>
      <c r="U95" t="str">
        <f>IF($A95="","",SUMIFS(PIL!$K$15:$K$28,PIL!$A$15:$A$28,$A95))</f>
        <v/>
      </c>
      <c r="V95" t="str">
        <f>IF($A95="","",IF($B95="V01",cad!$C$23,IF($B95="V02",cad!$D$23,cad!$E$23)))</f>
        <v/>
      </c>
      <c r="W95" t="str">
        <f>IF($A95="","",IF($B95="V01",cad!$C$24,IF($B95="V02",cad!$D$24,cad!$E$24)))</f>
        <v/>
      </c>
      <c r="X95" t="str">
        <f>IF($A95="","",IF($B95="V01",cad!$C$25,IF($B95="V02",cad!$D$25,cad!$E$25)))</f>
        <v/>
      </c>
      <c r="Y95" t="str">
        <f>IF($A95="","",IF($B95="V01",cad!$C$26,IF($B95="V02",cad!$D$26,cad!$E$26)))</f>
        <v/>
      </c>
      <c r="Z95" t="str">
        <f>IF($A95="","",IF($B95="V01",cad!$C$27,IF($B95="V02",cad!$D$27,cad!$E$27)))</f>
        <v/>
      </c>
      <c r="AA95" t="str">
        <f>IF($A95="","",IF($B95="V01",cad!$C$28,IF($B95="V02",cad!$D$28,cad!$E$28)))</f>
        <v/>
      </c>
      <c r="AB95" t="str">
        <f>IF($A95="","",IF($B95="V01",cad!$C$39,IF($B95="V02",cad!$D$39,cad!$E$39)))</f>
        <v/>
      </c>
      <c r="AC95" t="str">
        <f>IF($A95="","",IF($F95="MBWAY",cad!$J$12,IF($F95="ISCOM",cad!$J$13,IF($F95="IPAC",cad!$J$14,IF($F95="PIGIER",cad!$J$15,cad!$J$16)))))</f>
        <v/>
      </c>
      <c r="AD95" t="str">
        <f t="shared" si="7"/>
        <v/>
      </c>
      <c r="AE95" t="str">
        <f t="shared" si="8"/>
        <v/>
      </c>
      <c r="AF95" t="str">
        <f t="shared" si="9"/>
        <v/>
      </c>
      <c r="AG95" t="str">
        <f t="shared" si="10"/>
        <v/>
      </c>
      <c r="AH95" t="str">
        <f t="shared" si="11"/>
        <v/>
      </c>
    </row>
    <row r="96" spans="1:34" x14ac:dyDescent="0.45">
      <c r="A96" t="str">
        <f>IF(Moteur!D96="","",Moteur!D96)</f>
        <v/>
      </c>
      <c r="B96" t="str">
        <f>IF(Moteur!B96="","",Moteur!B96)</f>
        <v/>
      </c>
      <c r="C96" t="str">
        <f>IF(Moteur!F96="","",Moteur!F96)</f>
        <v/>
      </c>
      <c r="D96" t="str">
        <f>IF(Moteur!G96="","",Moteur!G96)</f>
        <v/>
      </c>
      <c r="E96" t="str">
        <f>IF(Moteur!H96="","",Moteur!H96)</f>
        <v/>
      </c>
      <c r="F96" t="str">
        <f>IF(Moteur!E96="","",Moteur!E96)</f>
        <v/>
      </c>
      <c r="G96" t="str">
        <f>IF($A96="","",SUMIFS(Allocation2!$H$1:$H$175,Allocation2!$C$1:$C$175,$A96,Allocation2!$D$1:$D$175,$C96,Allocation2!$E$1:$E$175,$D96,Allocation2!$F$1:$F$175,$E96,Allocation2!$G$1:$G$175,"2026"))</f>
        <v/>
      </c>
      <c r="H96" t="str">
        <f>IF($A96="","",SUMIFS(Allocation2!$N$1:$N$175,Allocation2!$C$1:$C$175,$A96,Allocation2!$D$1:$D$175,$C96,Allocation2!$E$1:$E$175,$D96,Allocation2!$F$1:$F$175,$E96,Allocation2!$G$1:$G$175,"2026"))</f>
        <v/>
      </c>
      <c r="I96" t="str">
        <f>IF($A96="","",SUMIFS(Allocation2!$P$1:$P$175,Allocation2!$C$1:$C$175,$A96,Allocation2!$D$1:$D$175,$C96,Allocation2!$E$1:$E$175,$D96,Allocation2!$F$1:$F$175,$E96,Allocation2!$G$1:$G$175,"2026"))</f>
        <v/>
      </c>
      <c r="J96" t="str">
        <f>IF($A96="","",SUMIFS(Allocation2!$W$1:$W$175,Allocation2!$C$1:$C$175,$A96,Allocation2!$D$1:$D$175,$C96,Allocation2!$E$1:$E$175,$D96,Allocation2!$F$1:$F$175,$E96,Allocation2!$G$1:$G$175,"2026"))</f>
        <v/>
      </c>
      <c r="K96" t="str">
        <f>IF($A96="","",SUMIFS(Allocation2!$X$1:$X$175,Allocation2!$C$1:$C$175,$A96,Allocation2!$D$1:$D$175,$C96,Allocation2!$E$1:$E$175,$D96,Allocation2!$F$1:$F$175,$E96,Allocation2!$G$1:$G$175,"2026"))</f>
        <v/>
      </c>
      <c r="L96" t="str">
        <f>IF($A96="","",SUMIFS(Allocation2!$Y$1:$Y$175,Allocation2!$C$1:$C$175,$A96,Allocation2!$D$1:$D$175,$C96,Allocation2!$E$1:$E$175,$D96,Allocation2!$F$1:$F$175,$E96,Allocation2!$G$1:$G$175,"2026"))</f>
        <v/>
      </c>
      <c r="M96" t="str">
        <f>IF($A96="","",SUMIFS(Allocation2!$V$1:$V$175,Allocation2!$C$1:$C$175,$A96,Allocation2!$D$1:$D$175,$C96,Allocation2!$E$1:$E$175,$D96,Allocation2!$F$1:$F$175,$E96,Allocation2!$G$1:$G$175,"2026"))</f>
        <v/>
      </c>
      <c r="N96" t="str">
        <f t="shared" si="6"/>
        <v/>
      </c>
      <c r="O96" t="str">
        <f>IF($A96="","",SUMIFS(Campagne!$D$1:$D$15,Campagne!$C$1:$C$15,$A96))</f>
        <v/>
      </c>
      <c r="P96" t="str">
        <f>IF($A96="","",SUMIFS(Campagne!$E$1:$E$15,Campagne!$C$1:$C$15,$A96))</f>
        <v/>
      </c>
      <c r="Q96" t="str">
        <f>IF($A96="","",SUMIFS(Campagne!$F$1:$F$15,Campagne!$C$1:$C$15,$A96))</f>
        <v/>
      </c>
      <c r="R96" t="str">
        <f>IF($A96="","",SUMIFS(Campagne!$K$1:$K$15,Campagne!$C$1:$C$15,$A96))</f>
        <v/>
      </c>
      <c r="S96" t="str">
        <f>IF($A96="","",SUMIFS(Campagne!$M$1:$M$15,Campagne!$C$1:$C$15,$A96))</f>
        <v/>
      </c>
      <c r="T96" t="str">
        <f>IF($A96="","",SUMIFS(PIL!$K$15:$K$28,PIL!$A$15:$A$28,$A96)*SUMIFS(PIL!$J$15:$J$28,PIL!$A$15:$A$28,$A96)*(SUM(PIL!$K$15:$K$28)/SUMPRODUCT(PIL!$K$15:$K$28,PIL!$J$15:$J$28)))</f>
        <v/>
      </c>
      <c r="U96" t="str">
        <f>IF($A96="","",SUMIFS(PIL!$K$15:$K$28,PIL!$A$15:$A$28,$A96))</f>
        <v/>
      </c>
      <c r="V96" t="str">
        <f>IF($A96="","",IF($B96="V01",cad!$C$23,IF($B96="V02",cad!$D$23,cad!$E$23)))</f>
        <v/>
      </c>
      <c r="W96" t="str">
        <f>IF($A96="","",IF($B96="V01",cad!$C$24,IF($B96="V02",cad!$D$24,cad!$E$24)))</f>
        <v/>
      </c>
      <c r="X96" t="str">
        <f>IF($A96="","",IF($B96="V01",cad!$C$25,IF($B96="V02",cad!$D$25,cad!$E$25)))</f>
        <v/>
      </c>
      <c r="Y96" t="str">
        <f>IF($A96="","",IF($B96="V01",cad!$C$26,IF($B96="V02",cad!$D$26,cad!$E$26)))</f>
        <v/>
      </c>
      <c r="Z96" t="str">
        <f>IF($A96="","",IF($B96="V01",cad!$C$27,IF($B96="V02",cad!$D$27,cad!$E$27)))</f>
        <v/>
      </c>
      <c r="AA96" t="str">
        <f>IF($A96="","",IF($B96="V01",cad!$C$28,IF($B96="V02",cad!$D$28,cad!$E$28)))</f>
        <v/>
      </c>
      <c r="AB96" t="str">
        <f>IF($A96="","",IF($B96="V01",cad!$C$39,IF($B96="V02",cad!$D$39,cad!$E$39)))</f>
        <v/>
      </c>
      <c r="AC96" t="str">
        <f>IF($A96="","",IF($F96="MBWAY",cad!$J$12,IF($F96="ISCOM",cad!$J$13,IF($F96="IPAC",cad!$J$14,IF($F96="PIGIER",cad!$J$15,cad!$J$16)))))</f>
        <v/>
      </c>
      <c r="AD96" t="str">
        <f t="shared" si="7"/>
        <v/>
      </c>
      <c r="AE96" t="str">
        <f t="shared" si="8"/>
        <v/>
      </c>
      <c r="AF96" t="str">
        <f t="shared" si="9"/>
        <v/>
      </c>
      <c r="AG96" t="str">
        <f t="shared" si="10"/>
        <v/>
      </c>
      <c r="AH96" t="str">
        <f t="shared" si="11"/>
        <v/>
      </c>
    </row>
    <row r="97" spans="1:34" x14ac:dyDescent="0.45">
      <c r="A97" t="str">
        <f>IF(Moteur!D97="","",Moteur!D97)</f>
        <v/>
      </c>
      <c r="B97" t="str">
        <f>IF(Moteur!B97="","",Moteur!B97)</f>
        <v/>
      </c>
      <c r="C97" t="str">
        <f>IF(Moteur!F97="","",Moteur!F97)</f>
        <v/>
      </c>
      <c r="D97" t="str">
        <f>IF(Moteur!G97="","",Moteur!G97)</f>
        <v/>
      </c>
      <c r="E97" t="str">
        <f>IF(Moteur!H97="","",Moteur!H97)</f>
        <v/>
      </c>
      <c r="F97" t="str">
        <f>IF(Moteur!E97="","",Moteur!E97)</f>
        <v/>
      </c>
      <c r="G97" t="str">
        <f>IF($A97="","",SUMIFS(Allocation2!$H$1:$H$175,Allocation2!$C$1:$C$175,$A97,Allocation2!$D$1:$D$175,$C97,Allocation2!$E$1:$E$175,$D97,Allocation2!$F$1:$F$175,$E97,Allocation2!$G$1:$G$175,"2026"))</f>
        <v/>
      </c>
      <c r="H97" t="str">
        <f>IF($A97="","",SUMIFS(Allocation2!$N$1:$N$175,Allocation2!$C$1:$C$175,$A97,Allocation2!$D$1:$D$175,$C97,Allocation2!$E$1:$E$175,$D97,Allocation2!$F$1:$F$175,$E97,Allocation2!$G$1:$G$175,"2026"))</f>
        <v/>
      </c>
      <c r="I97" t="str">
        <f>IF($A97="","",SUMIFS(Allocation2!$P$1:$P$175,Allocation2!$C$1:$C$175,$A97,Allocation2!$D$1:$D$175,$C97,Allocation2!$E$1:$E$175,$D97,Allocation2!$F$1:$F$175,$E97,Allocation2!$G$1:$G$175,"2026"))</f>
        <v/>
      </c>
      <c r="J97" t="str">
        <f>IF($A97="","",SUMIFS(Allocation2!$W$1:$W$175,Allocation2!$C$1:$C$175,$A97,Allocation2!$D$1:$D$175,$C97,Allocation2!$E$1:$E$175,$D97,Allocation2!$F$1:$F$175,$E97,Allocation2!$G$1:$G$175,"2026"))</f>
        <v/>
      </c>
      <c r="K97" t="str">
        <f>IF($A97="","",SUMIFS(Allocation2!$X$1:$X$175,Allocation2!$C$1:$C$175,$A97,Allocation2!$D$1:$D$175,$C97,Allocation2!$E$1:$E$175,$D97,Allocation2!$F$1:$F$175,$E97,Allocation2!$G$1:$G$175,"2026"))</f>
        <v/>
      </c>
      <c r="L97" t="str">
        <f>IF($A97="","",SUMIFS(Allocation2!$Y$1:$Y$175,Allocation2!$C$1:$C$175,$A97,Allocation2!$D$1:$D$175,$C97,Allocation2!$E$1:$E$175,$D97,Allocation2!$F$1:$F$175,$E97,Allocation2!$G$1:$G$175,"2026"))</f>
        <v/>
      </c>
      <c r="M97" t="str">
        <f>IF($A97="","",SUMIFS(Allocation2!$V$1:$V$175,Allocation2!$C$1:$C$175,$A97,Allocation2!$D$1:$D$175,$C97,Allocation2!$E$1:$E$175,$D97,Allocation2!$F$1:$F$175,$E97,Allocation2!$G$1:$G$175,"2026"))</f>
        <v/>
      </c>
      <c r="N97" t="str">
        <f t="shared" si="6"/>
        <v/>
      </c>
      <c r="O97" t="str">
        <f>IF($A97="","",SUMIFS(Campagne!$D$1:$D$15,Campagne!$C$1:$C$15,$A97))</f>
        <v/>
      </c>
      <c r="P97" t="str">
        <f>IF($A97="","",SUMIFS(Campagne!$E$1:$E$15,Campagne!$C$1:$C$15,$A97))</f>
        <v/>
      </c>
      <c r="Q97" t="str">
        <f>IF($A97="","",SUMIFS(Campagne!$F$1:$F$15,Campagne!$C$1:$C$15,$A97))</f>
        <v/>
      </c>
      <c r="R97" t="str">
        <f>IF($A97="","",SUMIFS(Campagne!$K$1:$K$15,Campagne!$C$1:$C$15,$A97))</f>
        <v/>
      </c>
      <c r="S97" t="str">
        <f>IF($A97="","",SUMIFS(Campagne!$M$1:$M$15,Campagne!$C$1:$C$15,$A97))</f>
        <v/>
      </c>
      <c r="T97" t="str">
        <f>IF($A97="","",SUMIFS(PIL!$K$15:$K$28,PIL!$A$15:$A$28,$A97)*SUMIFS(PIL!$J$15:$J$28,PIL!$A$15:$A$28,$A97)*(SUM(PIL!$K$15:$K$28)/SUMPRODUCT(PIL!$K$15:$K$28,PIL!$J$15:$J$28)))</f>
        <v/>
      </c>
      <c r="U97" t="str">
        <f>IF($A97="","",SUMIFS(PIL!$K$15:$K$28,PIL!$A$15:$A$28,$A97))</f>
        <v/>
      </c>
      <c r="V97" t="str">
        <f>IF($A97="","",IF($B97="V01",cad!$C$23,IF($B97="V02",cad!$D$23,cad!$E$23)))</f>
        <v/>
      </c>
      <c r="W97" t="str">
        <f>IF($A97="","",IF($B97="V01",cad!$C$24,IF($B97="V02",cad!$D$24,cad!$E$24)))</f>
        <v/>
      </c>
      <c r="X97" t="str">
        <f>IF($A97="","",IF($B97="V01",cad!$C$25,IF($B97="V02",cad!$D$25,cad!$E$25)))</f>
        <v/>
      </c>
      <c r="Y97" t="str">
        <f>IF($A97="","",IF($B97="V01",cad!$C$26,IF($B97="V02",cad!$D$26,cad!$E$26)))</f>
        <v/>
      </c>
      <c r="Z97" t="str">
        <f>IF($A97="","",IF($B97="V01",cad!$C$27,IF($B97="V02",cad!$D$27,cad!$E$27)))</f>
        <v/>
      </c>
      <c r="AA97" t="str">
        <f>IF($A97="","",IF($B97="V01",cad!$C$28,IF($B97="V02",cad!$D$28,cad!$E$28)))</f>
        <v/>
      </c>
      <c r="AB97" t="str">
        <f>IF($A97="","",IF($B97="V01",cad!$C$39,IF($B97="V02",cad!$D$39,cad!$E$39)))</f>
        <v/>
      </c>
      <c r="AC97" t="str">
        <f>IF($A97="","",IF($F97="MBWAY",cad!$J$12,IF($F97="ISCOM",cad!$J$13,IF($F97="IPAC",cad!$J$14,IF($F97="PIGIER",cad!$J$15,cad!$J$16)))))</f>
        <v/>
      </c>
      <c r="AD97" t="str">
        <f t="shared" si="7"/>
        <v/>
      </c>
      <c r="AE97" t="str">
        <f t="shared" si="8"/>
        <v/>
      </c>
      <c r="AF97" t="str">
        <f t="shared" si="9"/>
        <v/>
      </c>
      <c r="AG97" t="str">
        <f t="shared" si="10"/>
        <v/>
      </c>
      <c r="AH97" t="str">
        <f t="shared" si="11"/>
        <v/>
      </c>
    </row>
    <row r="98" spans="1:34" x14ac:dyDescent="0.45">
      <c r="A98" t="str">
        <f>IF(Moteur!D98="","",Moteur!D98)</f>
        <v/>
      </c>
      <c r="B98" t="str">
        <f>IF(Moteur!B98="","",Moteur!B98)</f>
        <v/>
      </c>
      <c r="C98" t="str">
        <f>IF(Moteur!F98="","",Moteur!F98)</f>
        <v/>
      </c>
      <c r="D98" t="str">
        <f>IF(Moteur!G98="","",Moteur!G98)</f>
        <v/>
      </c>
      <c r="E98" t="str">
        <f>IF(Moteur!H98="","",Moteur!H98)</f>
        <v/>
      </c>
      <c r="F98" t="str">
        <f>IF(Moteur!E98="","",Moteur!E98)</f>
        <v/>
      </c>
      <c r="G98" t="str">
        <f>IF($A98="","",SUMIFS(Allocation2!$H$1:$H$175,Allocation2!$C$1:$C$175,$A98,Allocation2!$D$1:$D$175,$C98,Allocation2!$E$1:$E$175,$D98,Allocation2!$F$1:$F$175,$E98,Allocation2!$G$1:$G$175,"2026"))</f>
        <v/>
      </c>
      <c r="H98" t="str">
        <f>IF($A98="","",SUMIFS(Allocation2!$N$1:$N$175,Allocation2!$C$1:$C$175,$A98,Allocation2!$D$1:$D$175,$C98,Allocation2!$E$1:$E$175,$D98,Allocation2!$F$1:$F$175,$E98,Allocation2!$G$1:$G$175,"2026"))</f>
        <v/>
      </c>
      <c r="I98" t="str">
        <f>IF($A98="","",SUMIFS(Allocation2!$P$1:$P$175,Allocation2!$C$1:$C$175,$A98,Allocation2!$D$1:$D$175,$C98,Allocation2!$E$1:$E$175,$D98,Allocation2!$F$1:$F$175,$E98,Allocation2!$G$1:$G$175,"2026"))</f>
        <v/>
      </c>
      <c r="J98" t="str">
        <f>IF($A98="","",SUMIFS(Allocation2!$W$1:$W$175,Allocation2!$C$1:$C$175,$A98,Allocation2!$D$1:$D$175,$C98,Allocation2!$E$1:$E$175,$D98,Allocation2!$F$1:$F$175,$E98,Allocation2!$G$1:$G$175,"2026"))</f>
        <v/>
      </c>
      <c r="K98" t="str">
        <f>IF($A98="","",SUMIFS(Allocation2!$X$1:$X$175,Allocation2!$C$1:$C$175,$A98,Allocation2!$D$1:$D$175,$C98,Allocation2!$E$1:$E$175,$D98,Allocation2!$F$1:$F$175,$E98,Allocation2!$G$1:$G$175,"2026"))</f>
        <v/>
      </c>
      <c r="L98" t="str">
        <f>IF($A98="","",SUMIFS(Allocation2!$Y$1:$Y$175,Allocation2!$C$1:$C$175,$A98,Allocation2!$D$1:$D$175,$C98,Allocation2!$E$1:$E$175,$D98,Allocation2!$F$1:$F$175,$E98,Allocation2!$G$1:$G$175,"2026"))</f>
        <v/>
      </c>
      <c r="M98" t="str">
        <f>IF($A98="","",SUMIFS(Allocation2!$V$1:$V$175,Allocation2!$C$1:$C$175,$A98,Allocation2!$D$1:$D$175,$C98,Allocation2!$E$1:$E$175,$D98,Allocation2!$F$1:$F$175,$E98,Allocation2!$G$1:$G$175,"2026"))</f>
        <v/>
      </c>
      <c r="N98" t="str">
        <f t="shared" si="6"/>
        <v/>
      </c>
      <c r="O98" t="str">
        <f>IF($A98="","",SUMIFS(Campagne!$D$1:$D$15,Campagne!$C$1:$C$15,$A98))</f>
        <v/>
      </c>
      <c r="P98" t="str">
        <f>IF($A98="","",SUMIFS(Campagne!$E$1:$E$15,Campagne!$C$1:$C$15,$A98))</f>
        <v/>
      </c>
      <c r="Q98" t="str">
        <f>IF($A98="","",SUMIFS(Campagne!$F$1:$F$15,Campagne!$C$1:$C$15,$A98))</f>
        <v/>
      </c>
      <c r="R98" t="str">
        <f>IF($A98="","",SUMIFS(Campagne!$K$1:$K$15,Campagne!$C$1:$C$15,$A98))</f>
        <v/>
      </c>
      <c r="S98" t="str">
        <f>IF($A98="","",SUMIFS(Campagne!$M$1:$M$15,Campagne!$C$1:$C$15,$A98))</f>
        <v/>
      </c>
      <c r="T98" t="str">
        <f>IF($A98="","",SUMIFS(PIL!$K$15:$K$28,PIL!$A$15:$A$28,$A98)*SUMIFS(PIL!$J$15:$J$28,PIL!$A$15:$A$28,$A98)*(SUM(PIL!$K$15:$K$28)/SUMPRODUCT(PIL!$K$15:$K$28,PIL!$J$15:$J$28)))</f>
        <v/>
      </c>
      <c r="U98" t="str">
        <f>IF($A98="","",SUMIFS(PIL!$K$15:$K$28,PIL!$A$15:$A$28,$A98))</f>
        <v/>
      </c>
      <c r="V98" t="str">
        <f>IF($A98="","",IF($B98="V01",cad!$C$23,IF($B98="V02",cad!$D$23,cad!$E$23)))</f>
        <v/>
      </c>
      <c r="W98" t="str">
        <f>IF($A98="","",IF($B98="V01",cad!$C$24,IF($B98="V02",cad!$D$24,cad!$E$24)))</f>
        <v/>
      </c>
      <c r="X98" t="str">
        <f>IF($A98="","",IF($B98="V01",cad!$C$25,IF($B98="V02",cad!$D$25,cad!$E$25)))</f>
        <v/>
      </c>
      <c r="Y98" t="str">
        <f>IF($A98="","",IF($B98="V01",cad!$C$26,IF($B98="V02",cad!$D$26,cad!$E$26)))</f>
        <v/>
      </c>
      <c r="Z98" t="str">
        <f>IF($A98="","",IF($B98="V01",cad!$C$27,IF($B98="V02",cad!$D$27,cad!$E$27)))</f>
        <v/>
      </c>
      <c r="AA98" t="str">
        <f>IF($A98="","",IF($B98="V01",cad!$C$28,IF($B98="V02",cad!$D$28,cad!$E$28)))</f>
        <v/>
      </c>
      <c r="AB98" t="str">
        <f>IF($A98="","",IF($B98="V01",cad!$C$39,IF($B98="V02",cad!$D$39,cad!$E$39)))</f>
        <v/>
      </c>
      <c r="AC98" t="str">
        <f>IF($A98="","",IF($F98="MBWAY",cad!$J$12,IF($F98="ISCOM",cad!$J$13,IF($F98="IPAC",cad!$J$14,IF($F98="PIGIER",cad!$J$15,cad!$J$16)))))</f>
        <v/>
      </c>
      <c r="AD98" t="str">
        <f t="shared" si="7"/>
        <v/>
      </c>
      <c r="AE98" t="str">
        <f t="shared" si="8"/>
        <v/>
      </c>
      <c r="AF98" t="str">
        <f t="shared" si="9"/>
        <v/>
      </c>
      <c r="AG98" t="str">
        <f t="shared" si="10"/>
        <v/>
      </c>
      <c r="AH98" t="str">
        <f t="shared" si="11"/>
        <v/>
      </c>
    </row>
    <row r="99" spans="1:34" x14ac:dyDescent="0.45">
      <c r="A99" t="str">
        <f>IF(Moteur!D99="","",Moteur!D99)</f>
        <v/>
      </c>
      <c r="B99" t="str">
        <f>IF(Moteur!B99="","",Moteur!B99)</f>
        <v/>
      </c>
      <c r="C99" t="str">
        <f>IF(Moteur!F99="","",Moteur!F99)</f>
        <v/>
      </c>
      <c r="D99" t="str">
        <f>IF(Moteur!G99="","",Moteur!G99)</f>
        <v/>
      </c>
      <c r="E99" t="str">
        <f>IF(Moteur!H99="","",Moteur!H99)</f>
        <v/>
      </c>
      <c r="F99" t="str">
        <f>IF(Moteur!E99="","",Moteur!E99)</f>
        <v/>
      </c>
      <c r="G99" t="str">
        <f>IF($A99="","",SUMIFS(Allocation2!$H$1:$H$175,Allocation2!$C$1:$C$175,$A99,Allocation2!$D$1:$D$175,$C99,Allocation2!$E$1:$E$175,$D99,Allocation2!$F$1:$F$175,$E99,Allocation2!$G$1:$G$175,"2026"))</f>
        <v/>
      </c>
      <c r="H99" t="str">
        <f>IF($A99="","",SUMIFS(Allocation2!$N$1:$N$175,Allocation2!$C$1:$C$175,$A99,Allocation2!$D$1:$D$175,$C99,Allocation2!$E$1:$E$175,$D99,Allocation2!$F$1:$F$175,$E99,Allocation2!$G$1:$G$175,"2026"))</f>
        <v/>
      </c>
      <c r="I99" t="str">
        <f>IF($A99="","",SUMIFS(Allocation2!$P$1:$P$175,Allocation2!$C$1:$C$175,$A99,Allocation2!$D$1:$D$175,$C99,Allocation2!$E$1:$E$175,$D99,Allocation2!$F$1:$F$175,$E99,Allocation2!$G$1:$G$175,"2026"))</f>
        <v/>
      </c>
      <c r="J99" t="str">
        <f>IF($A99="","",SUMIFS(Allocation2!$W$1:$W$175,Allocation2!$C$1:$C$175,$A99,Allocation2!$D$1:$D$175,$C99,Allocation2!$E$1:$E$175,$D99,Allocation2!$F$1:$F$175,$E99,Allocation2!$G$1:$G$175,"2026"))</f>
        <v/>
      </c>
      <c r="K99" t="str">
        <f>IF($A99="","",SUMIFS(Allocation2!$X$1:$X$175,Allocation2!$C$1:$C$175,$A99,Allocation2!$D$1:$D$175,$C99,Allocation2!$E$1:$E$175,$D99,Allocation2!$F$1:$F$175,$E99,Allocation2!$G$1:$G$175,"2026"))</f>
        <v/>
      </c>
      <c r="L99" t="str">
        <f>IF($A99="","",SUMIFS(Allocation2!$Y$1:$Y$175,Allocation2!$C$1:$C$175,$A99,Allocation2!$D$1:$D$175,$C99,Allocation2!$E$1:$E$175,$D99,Allocation2!$F$1:$F$175,$E99,Allocation2!$G$1:$G$175,"2026"))</f>
        <v/>
      </c>
      <c r="M99" t="str">
        <f>IF($A99="","",SUMIFS(Allocation2!$V$1:$V$175,Allocation2!$C$1:$C$175,$A99,Allocation2!$D$1:$D$175,$C99,Allocation2!$E$1:$E$175,$D99,Allocation2!$F$1:$F$175,$E99,Allocation2!$G$1:$G$175,"2026"))</f>
        <v/>
      </c>
      <c r="N99" t="str">
        <f t="shared" si="6"/>
        <v/>
      </c>
      <c r="O99" t="str">
        <f>IF($A99="","",SUMIFS(Campagne!$D$1:$D$15,Campagne!$C$1:$C$15,$A99))</f>
        <v/>
      </c>
      <c r="P99" t="str">
        <f>IF($A99="","",SUMIFS(Campagne!$E$1:$E$15,Campagne!$C$1:$C$15,$A99))</f>
        <v/>
      </c>
      <c r="Q99" t="str">
        <f>IF($A99="","",SUMIFS(Campagne!$F$1:$F$15,Campagne!$C$1:$C$15,$A99))</f>
        <v/>
      </c>
      <c r="R99" t="str">
        <f>IF($A99="","",SUMIFS(Campagne!$K$1:$K$15,Campagne!$C$1:$C$15,$A99))</f>
        <v/>
      </c>
      <c r="S99" t="str">
        <f>IF($A99="","",SUMIFS(Campagne!$M$1:$M$15,Campagne!$C$1:$C$15,$A99))</f>
        <v/>
      </c>
      <c r="T99" t="str">
        <f>IF($A99="","",SUMIFS(PIL!$K$15:$K$28,PIL!$A$15:$A$28,$A99)*SUMIFS(PIL!$J$15:$J$28,PIL!$A$15:$A$28,$A99)*(SUM(PIL!$K$15:$K$28)/SUMPRODUCT(PIL!$K$15:$K$28,PIL!$J$15:$J$28)))</f>
        <v/>
      </c>
      <c r="U99" t="str">
        <f>IF($A99="","",SUMIFS(PIL!$K$15:$K$28,PIL!$A$15:$A$28,$A99))</f>
        <v/>
      </c>
      <c r="V99" t="str">
        <f>IF($A99="","",IF($B99="V01",cad!$C$23,IF($B99="V02",cad!$D$23,cad!$E$23)))</f>
        <v/>
      </c>
      <c r="W99" t="str">
        <f>IF($A99="","",IF($B99="V01",cad!$C$24,IF($B99="V02",cad!$D$24,cad!$E$24)))</f>
        <v/>
      </c>
      <c r="X99" t="str">
        <f>IF($A99="","",IF($B99="V01",cad!$C$25,IF($B99="V02",cad!$D$25,cad!$E$25)))</f>
        <v/>
      </c>
      <c r="Y99" t="str">
        <f>IF($A99="","",IF($B99="V01",cad!$C$26,IF($B99="V02",cad!$D$26,cad!$E$26)))</f>
        <v/>
      </c>
      <c r="Z99" t="str">
        <f>IF($A99="","",IF($B99="V01",cad!$C$27,IF($B99="V02",cad!$D$27,cad!$E$27)))</f>
        <v/>
      </c>
      <c r="AA99" t="str">
        <f>IF($A99="","",IF($B99="V01",cad!$C$28,IF($B99="V02",cad!$D$28,cad!$E$28)))</f>
        <v/>
      </c>
      <c r="AB99" t="str">
        <f>IF($A99="","",IF($B99="V01",cad!$C$39,IF($B99="V02",cad!$D$39,cad!$E$39)))</f>
        <v/>
      </c>
      <c r="AC99" t="str">
        <f>IF($A99="","",IF($F99="MBWAY",cad!$J$12,IF($F99="ISCOM",cad!$J$13,IF($F99="IPAC",cad!$J$14,IF($F99="PIGIER",cad!$J$15,cad!$J$16)))))</f>
        <v/>
      </c>
      <c r="AD99" t="str">
        <f t="shared" si="7"/>
        <v/>
      </c>
      <c r="AE99" t="str">
        <f t="shared" si="8"/>
        <v/>
      </c>
      <c r="AF99" t="str">
        <f t="shared" si="9"/>
        <v/>
      </c>
      <c r="AG99" t="str">
        <f t="shared" si="10"/>
        <v/>
      </c>
      <c r="AH99" t="str">
        <f t="shared" si="11"/>
        <v/>
      </c>
    </row>
    <row r="100" spans="1:34" x14ac:dyDescent="0.45">
      <c r="A100" t="str">
        <f>IF(Moteur!D100="","",Moteur!D100)</f>
        <v/>
      </c>
      <c r="B100" t="str">
        <f>IF(Moteur!B100="","",Moteur!B100)</f>
        <v/>
      </c>
      <c r="C100" t="str">
        <f>IF(Moteur!F100="","",Moteur!F100)</f>
        <v/>
      </c>
      <c r="D100" t="str">
        <f>IF(Moteur!G100="","",Moteur!G100)</f>
        <v/>
      </c>
      <c r="E100" t="str">
        <f>IF(Moteur!H100="","",Moteur!H100)</f>
        <v/>
      </c>
      <c r="F100" t="str">
        <f>IF(Moteur!E100="","",Moteur!E100)</f>
        <v/>
      </c>
      <c r="G100" t="str">
        <f>IF($A100="","",SUMIFS(Allocation2!$H$1:$H$175,Allocation2!$C$1:$C$175,$A100,Allocation2!$D$1:$D$175,$C100,Allocation2!$E$1:$E$175,$D100,Allocation2!$F$1:$F$175,$E100,Allocation2!$G$1:$G$175,"2026"))</f>
        <v/>
      </c>
      <c r="H100" t="str">
        <f>IF($A100="","",SUMIFS(Allocation2!$N$1:$N$175,Allocation2!$C$1:$C$175,$A100,Allocation2!$D$1:$D$175,$C100,Allocation2!$E$1:$E$175,$D100,Allocation2!$F$1:$F$175,$E100,Allocation2!$G$1:$G$175,"2026"))</f>
        <v/>
      </c>
      <c r="I100" t="str">
        <f>IF($A100="","",SUMIFS(Allocation2!$P$1:$P$175,Allocation2!$C$1:$C$175,$A100,Allocation2!$D$1:$D$175,$C100,Allocation2!$E$1:$E$175,$D100,Allocation2!$F$1:$F$175,$E100,Allocation2!$G$1:$G$175,"2026"))</f>
        <v/>
      </c>
      <c r="J100" t="str">
        <f>IF($A100="","",SUMIFS(Allocation2!$W$1:$W$175,Allocation2!$C$1:$C$175,$A100,Allocation2!$D$1:$D$175,$C100,Allocation2!$E$1:$E$175,$D100,Allocation2!$F$1:$F$175,$E100,Allocation2!$G$1:$G$175,"2026"))</f>
        <v/>
      </c>
      <c r="K100" t="str">
        <f>IF($A100="","",SUMIFS(Allocation2!$X$1:$X$175,Allocation2!$C$1:$C$175,$A100,Allocation2!$D$1:$D$175,$C100,Allocation2!$E$1:$E$175,$D100,Allocation2!$F$1:$F$175,$E100,Allocation2!$G$1:$G$175,"2026"))</f>
        <v/>
      </c>
      <c r="L100" t="str">
        <f>IF($A100="","",SUMIFS(Allocation2!$Y$1:$Y$175,Allocation2!$C$1:$C$175,$A100,Allocation2!$D$1:$D$175,$C100,Allocation2!$E$1:$E$175,$D100,Allocation2!$F$1:$F$175,$E100,Allocation2!$G$1:$G$175,"2026"))</f>
        <v/>
      </c>
      <c r="M100" t="str">
        <f>IF($A100="","",SUMIFS(Allocation2!$V$1:$V$175,Allocation2!$C$1:$C$175,$A100,Allocation2!$D$1:$D$175,$C100,Allocation2!$E$1:$E$175,$D100,Allocation2!$F$1:$F$175,$E100,Allocation2!$G$1:$G$175,"2026"))</f>
        <v/>
      </c>
      <c r="N100" t="str">
        <f t="shared" si="6"/>
        <v/>
      </c>
      <c r="O100" t="str">
        <f>IF($A100="","",SUMIFS(Campagne!$D$1:$D$15,Campagne!$C$1:$C$15,$A100))</f>
        <v/>
      </c>
      <c r="P100" t="str">
        <f>IF($A100="","",SUMIFS(Campagne!$E$1:$E$15,Campagne!$C$1:$C$15,$A100))</f>
        <v/>
      </c>
      <c r="Q100" t="str">
        <f>IF($A100="","",SUMIFS(Campagne!$F$1:$F$15,Campagne!$C$1:$C$15,$A100))</f>
        <v/>
      </c>
      <c r="R100" t="str">
        <f>IF($A100="","",SUMIFS(Campagne!$K$1:$K$15,Campagne!$C$1:$C$15,$A100))</f>
        <v/>
      </c>
      <c r="S100" t="str">
        <f>IF($A100="","",SUMIFS(Campagne!$M$1:$M$15,Campagne!$C$1:$C$15,$A100))</f>
        <v/>
      </c>
      <c r="T100" t="str">
        <f>IF($A100="","",SUMIFS(PIL!$K$15:$K$28,PIL!$A$15:$A$28,$A100)*SUMIFS(PIL!$J$15:$J$28,PIL!$A$15:$A$28,$A100)*(SUM(PIL!$K$15:$K$28)/SUMPRODUCT(PIL!$K$15:$K$28,PIL!$J$15:$J$28)))</f>
        <v/>
      </c>
      <c r="U100" t="str">
        <f>IF($A100="","",SUMIFS(PIL!$K$15:$K$28,PIL!$A$15:$A$28,$A100))</f>
        <v/>
      </c>
      <c r="V100" t="str">
        <f>IF($A100="","",IF($B100="V01",cad!$C$23,IF($B100="V02",cad!$D$23,cad!$E$23)))</f>
        <v/>
      </c>
      <c r="W100" t="str">
        <f>IF($A100="","",IF($B100="V01",cad!$C$24,IF($B100="V02",cad!$D$24,cad!$E$24)))</f>
        <v/>
      </c>
      <c r="X100" t="str">
        <f>IF($A100="","",IF($B100="V01",cad!$C$25,IF($B100="V02",cad!$D$25,cad!$E$25)))</f>
        <v/>
      </c>
      <c r="Y100" t="str">
        <f>IF($A100="","",IF($B100="V01",cad!$C$26,IF($B100="V02",cad!$D$26,cad!$E$26)))</f>
        <v/>
      </c>
      <c r="Z100" t="str">
        <f>IF($A100="","",IF($B100="V01",cad!$C$27,IF($B100="V02",cad!$D$27,cad!$E$27)))</f>
        <v/>
      </c>
      <c r="AA100" t="str">
        <f>IF($A100="","",IF($B100="V01",cad!$C$28,IF($B100="V02",cad!$D$28,cad!$E$28)))</f>
        <v/>
      </c>
      <c r="AB100" t="str">
        <f>IF($A100="","",IF($B100="V01",cad!$C$39,IF($B100="V02",cad!$D$39,cad!$E$39)))</f>
        <v/>
      </c>
      <c r="AC100" t="str">
        <f>IF($A100="","",IF($F100="MBWAY",cad!$J$12,IF($F100="ISCOM",cad!$J$13,IF($F100="IPAC",cad!$J$14,IF($F100="PIGIER",cad!$J$15,cad!$J$16)))))</f>
        <v/>
      </c>
      <c r="AD100" t="str">
        <f t="shared" si="7"/>
        <v/>
      </c>
      <c r="AE100" t="str">
        <f t="shared" si="8"/>
        <v/>
      </c>
      <c r="AF100" t="str">
        <f t="shared" si="9"/>
        <v/>
      </c>
      <c r="AG100" t="str">
        <f t="shared" si="10"/>
        <v/>
      </c>
      <c r="AH100" t="str">
        <f t="shared" si="11"/>
        <v/>
      </c>
    </row>
    <row r="101" spans="1:34" x14ac:dyDescent="0.45">
      <c r="A101" t="str">
        <f>IF(Moteur!D101="","",Moteur!D101)</f>
        <v/>
      </c>
      <c r="B101" t="str">
        <f>IF(Moteur!B101="","",Moteur!B101)</f>
        <v/>
      </c>
      <c r="C101" t="str">
        <f>IF(Moteur!F101="","",Moteur!F101)</f>
        <v/>
      </c>
      <c r="D101" t="str">
        <f>IF(Moteur!G101="","",Moteur!G101)</f>
        <v/>
      </c>
      <c r="E101" t="str">
        <f>IF(Moteur!H101="","",Moteur!H101)</f>
        <v/>
      </c>
      <c r="F101" t="str">
        <f>IF(Moteur!E101="","",Moteur!E101)</f>
        <v/>
      </c>
      <c r="G101" t="str">
        <f>IF($A101="","",SUMIFS(Allocation2!$H$1:$H$175,Allocation2!$C$1:$C$175,$A101,Allocation2!$D$1:$D$175,$C101,Allocation2!$E$1:$E$175,$D101,Allocation2!$F$1:$F$175,$E101,Allocation2!$G$1:$G$175,"2026"))</f>
        <v/>
      </c>
      <c r="H101" t="str">
        <f>IF($A101="","",SUMIFS(Allocation2!$N$1:$N$175,Allocation2!$C$1:$C$175,$A101,Allocation2!$D$1:$D$175,$C101,Allocation2!$E$1:$E$175,$D101,Allocation2!$F$1:$F$175,$E101,Allocation2!$G$1:$G$175,"2026"))</f>
        <v/>
      </c>
      <c r="I101" t="str">
        <f>IF($A101="","",SUMIFS(Allocation2!$P$1:$P$175,Allocation2!$C$1:$C$175,$A101,Allocation2!$D$1:$D$175,$C101,Allocation2!$E$1:$E$175,$D101,Allocation2!$F$1:$F$175,$E101,Allocation2!$G$1:$G$175,"2026"))</f>
        <v/>
      </c>
      <c r="J101" t="str">
        <f>IF($A101="","",SUMIFS(Allocation2!$W$1:$W$175,Allocation2!$C$1:$C$175,$A101,Allocation2!$D$1:$D$175,$C101,Allocation2!$E$1:$E$175,$D101,Allocation2!$F$1:$F$175,$E101,Allocation2!$G$1:$G$175,"2026"))</f>
        <v/>
      </c>
      <c r="K101" t="str">
        <f>IF($A101="","",SUMIFS(Allocation2!$X$1:$X$175,Allocation2!$C$1:$C$175,$A101,Allocation2!$D$1:$D$175,$C101,Allocation2!$E$1:$E$175,$D101,Allocation2!$F$1:$F$175,$E101,Allocation2!$G$1:$G$175,"2026"))</f>
        <v/>
      </c>
      <c r="L101" t="str">
        <f>IF($A101="","",SUMIFS(Allocation2!$Y$1:$Y$175,Allocation2!$C$1:$C$175,$A101,Allocation2!$D$1:$D$175,$C101,Allocation2!$E$1:$E$175,$D101,Allocation2!$F$1:$F$175,$E101,Allocation2!$G$1:$G$175,"2026"))</f>
        <v/>
      </c>
      <c r="M101" t="str">
        <f>IF($A101="","",SUMIFS(Allocation2!$V$1:$V$175,Allocation2!$C$1:$C$175,$A101,Allocation2!$D$1:$D$175,$C101,Allocation2!$E$1:$E$175,$D101,Allocation2!$F$1:$F$175,$E101,Allocation2!$G$1:$G$175,"2026"))</f>
        <v/>
      </c>
      <c r="N101" t="str">
        <f t="shared" si="6"/>
        <v/>
      </c>
      <c r="O101" t="str">
        <f>IF($A101="","",SUMIFS(Campagne!$D$1:$D$15,Campagne!$C$1:$C$15,$A101))</f>
        <v/>
      </c>
      <c r="P101" t="str">
        <f>IF($A101="","",SUMIFS(Campagne!$E$1:$E$15,Campagne!$C$1:$C$15,$A101))</f>
        <v/>
      </c>
      <c r="Q101" t="str">
        <f>IF($A101="","",SUMIFS(Campagne!$F$1:$F$15,Campagne!$C$1:$C$15,$A101))</f>
        <v/>
      </c>
      <c r="R101" t="str">
        <f>IF($A101="","",SUMIFS(Campagne!$K$1:$K$15,Campagne!$C$1:$C$15,$A101))</f>
        <v/>
      </c>
      <c r="S101" t="str">
        <f>IF($A101="","",SUMIFS(Campagne!$M$1:$M$15,Campagne!$C$1:$C$15,$A101))</f>
        <v/>
      </c>
      <c r="T101" t="str">
        <f>IF($A101="","",SUMIFS(PIL!$K$15:$K$28,PIL!$A$15:$A$28,$A101)*SUMIFS(PIL!$J$15:$J$28,PIL!$A$15:$A$28,$A101)*(SUM(PIL!$K$15:$K$28)/SUMPRODUCT(PIL!$K$15:$K$28,PIL!$J$15:$J$28)))</f>
        <v/>
      </c>
      <c r="U101" t="str">
        <f>IF($A101="","",SUMIFS(PIL!$K$15:$K$28,PIL!$A$15:$A$28,$A101))</f>
        <v/>
      </c>
      <c r="V101" t="str">
        <f>IF($A101="","",IF($B101="V01",cad!$C$23,IF($B101="V02",cad!$D$23,cad!$E$23)))</f>
        <v/>
      </c>
      <c r="W101" t="str">
        <f>IF($A101="","",IF($B101="V01",cad!$C$24,IF($B101="V02",cad!$D$24,cad!$E$24)))</f>
        <v/>
      </c>
      <c r="X101" t="str">
        <f>IF($A101="","",IF($B101="V01",cad!$C$25,IF($B101="V02",cad!$D$25,cad!$E$25)))</f>
        <v/>
      </c>
      <c r="Y101" t="str">
        <f>IF($A101="","",IF($B101="V01",cad!$C$26,IF($B101="V02",cad!$D$26,cad!$E$26)))</f>
        <v/>
      </c>
      <c r="Z101" t="str">
        <f>IF($A101="","",IF($B101="V01",cad!$C$27,IF($B101="V02",cad!$D$27,cad!$E$27)))</f>
        <v/>
      </c>
      <c r="AA101" t="str">
        <f>IF($A101="","",IF($B101="V01",cad!$C$28,IF($B101="V02",cad!$D$28,cad!$E$28)))</f>
        <v/>
      </c>
      <c r="AB101" t="str">
        <f>IF($A101="","",IF($B101="V01",cad!$C$39,IF($B101="V02",cad!$D$39,cad!$E$39)))</f>
        <v/>
      </c>
      <c r="AC101" t="str">
        <f>IF($A101="","",IF($F101="MBWAY",cad!$J$12,IF($F101="ISCOM",cad!$J$13,IF($F101="IPAC",cad!$J$14,IF($F101="PIGIER",cad!$J$15,cad!$J$16)))))</f>
        <v/>
      </c>
      <c r="AD101" t="str">
        <f t="shared" si="7"/>
        <v/>
      </c>
      <c r="AE101" t="str">
        <f t="shared" si="8"/>
        <v/>
      </c>
      <c r="AF101" t="str">
        <f t="shared" si="9"/>
        <v/>
      </c>
      <c r="AG101" t="str">
        <f t="shared" si="10"/>
        <v/>
      </c>
      <c r="AH101" t="str">
        <f t="shared" si="11"/>
        <v/>
      </c>
    </row>
    <row r="102" spans="1:34" x14ac:dyDescent="0.45">
      <c r="A102" t="str">
        <f>IF(Moteur!D102="","",Moteur!D102)</f>
        <v/>
      </c>
      <c r="B102" t="str">
        <f>IF(Moteur!B102="","",Moteur!B102)</f>
        <v/>
      </c>
      <c r="C102" t="str">
        <f>IF(Moteur!F102="","",Moteur!F102)</f>
        <v/>
      </c>
      <c r="D102" t="str">
        <f>IF(Moteur!G102="","",Moteur!G102)</f>
        <v/>
      </c>
      <c r="E102" t="str">
        <f>IF(Moteur!H102="","",Moteur!H102)</f>
        <v/>
      </c>
      <c r="F102" t="str">
        <f>IF(Moteur!E102="","",Moteur!E102)</f>
        <v/>
      </c>
      <c r="G102" t="str">
        <f>IF($A102="","",SUMIFS(Allocation2!$H$1:$H$175,Allocation2!$C$1:$C$175,$A102,Allocation2!$D$1:$D$175,$C102,Allocation2!$E$1:$E$175,$D102,Allocation2!$F$1:$F$175,$E102,Allocation2!$G$1:$G$175,"2026"))</f>
        <v/>
      </c>
      <c r="H102" t="str">
        <f>IF($A102="","",SUMIFS(Allocation2!$N$1:$N$175,Allocation2!$C$1:$C$175,$A102,Allocation2!$D$1:$D$175,$C102,Allocation2!$E$1:$E$175,$D102,Allocation2!$F$1:$F$175,$E102,Allocation2!$G$1:$G$175,"2026"))</f>
        <v/>
      </c>
      <c r="I102" t="str">
        <f>IF($A102="","",SUMIFS(Allocation2!$P$1:$P$175,Allocation2!$C$1:$C$175,$A102,Allocation2!$D$1:$D$175,$C102,Allocation2!$E$1:$E$175,$D102,Allocation2!$F$1:$F$175,$E102,Allocation2!$G$1:$G$175,"2026"))</f>
        <v/>
      </c>
      <c r="J102" t="str">
        <f>IF($A102="","",SUMIFS(Allocation2!$W$1:$W$175,Allocation2!$C$1:$C$175,$A102,Allocation2!$D$1:$D$175,$C102,Allocation2!$E$1:$E$175,$D102,Allocation2!$F$1:$F$175,$E102,Allocation2!$G$1:$G$175,"2026"))</f>
        <v/>
      </c>
      <c r="K102" t="str">
        <f>IF($A102="","",SUMIFS(Allocation2!$X$1:$X$175,Allocation2!$C$1:$C$175,$A102,Allocation2!$D$1:$D$175,$C102,Allocation2!$E$1:$E$175,$D102,Allocation2!$F$1:$F$175,$E102,Allocation2!$G$1:$G$175,"2026"))</f>
        <v/>
      </c>
      <c r="L102" t="str">
        <f>IF($A102="","",SUMIFS(Allocation2!$Y$1:$Y$175,Allocation2!$C$1:$C$175,$A102,Allocation2!$D$1:$D$175,$C102,Allocation2!$E$1:$E$175,$D102,Allocation2!$F$1:$F$175,$E102,Allocation2!$G$1:$G$175,"2026"))</f>
        <v/>
      </c>
      <c r="M102" t="str">
        <f>IF($A102="","",SUMIFS(Allocation2!$V$1:$V$175,Allocation2!$C$1:$C$175,$A102,Allocation2!$D$1:$D$175,$C102,Allocation2!$E$1:$E$175,$D102,Allocation2!$F$1:$F$175,$E102,Allocation2!$G$1:$G$175,"2026"))</f>
        <v/>
      </c>
      <c r="N102" t="str">
        <f t="shared" si="6"/>
        <v/>
      </c>
      <c r="O102" t="str">
        <f>IF($A102="","",SUMIFS(Campagne!$D$1:$D$15,Campagne!$C$1:$C$15,$A102))</f>
        <v/>
      </c>
      <c r="P102" t="str">
        <f>IF($A102="","",SUMIFS(Campagne!$E$1:$E$15,Campagne!$C$1:$C$15,$A102))</f>
        <v/>
      </c>
      <c r="Q102" t="str">
        <f>IF($A102="","",SUMIFS(Campagne!$F$1:$F$15,Campagne!$C$1:$C$15,$A102))</f>
        <v/>
      </c>
      <c r="R102" t="str">
        <f>IF($A102="","",SUMIFS(Campagne!$K$1:$K$15,Campagne!$C$1:$C$15,$A102))</f>
        <v/>
      </c>
      <c r="S102" t="str">
        <f>IF($A102="","",SUMIFS(Campagne!$M$1:$M$15,Campagne!$C$1:$C$15,$A102))</f>
        <v/>
      </c>
      <c r="T102" t="str">
        <f>IF($A102="","",SUMIFS(PIL!$K$15:$K$28,PIL!$A$15:$A$28,$A102)*SUMIFS(PIL!$J$15:$J$28,PIL!$A$15:$A$28,$A102)*(SUM(PIL!$K$15:$K$28)/SUMPRODUCT(PIL!$K$15:$K$28,PIL!$J$15:$J$28)))</f>
        <v/>
      </c>
      <c r="U102" t="str">
        <f>IF($A102="","",SUMIFS(PIL!$K$15:$K$28,PIL!$A$15:$A$28,$A102))</f>
        <v/>
      </c>
      <c r="V102" t="str">
        <f>IF($A102="","",IF($B102="V01",cad!$C$23,IF($B102="V02",cad!$D$23,cad!$E$23)))</f>
        <v/>
      </c>
      <c r="W102" t="str">
        <f>IF($A102="","",IF($B102="V01",cad!$C$24,IF($B102="V02",cad!$D$24,cad!$E$24)))</f>
        <v/>
      </c>
      <c r="X102" t="str">
        <f>IF($A102="","",IF($B102="V01",cad!$C$25,IF($B102="V02",cad!$D$25,cad!$E$25)))</f>
        <v/>
      </c>
      <c r="Y102" t="str">
        <f>IF($A102="","",IF($B102="V01",cad!$C$26,IF($B102="V02",cad!$D$26,cad!$E$26)))</f>
        <v/>
      </c>
      <c r="Z102" t="str">
        <f>IF($A102="","",IF($B102="V01",cad!$C$27,IF($B102="V02",cad!$D$27,cad!$E$27)))</f>
        <v/>
      </c>
      <c r="AA102" t="str">
        <f>IF($A102="","",IF($B102="V01",cad!$C$28,IF($B102="V02",cad!$D$28,cad!$E$28)))</f>
        <v/>
      </c>
      <c r="AB102" t="str">
        <f>IF($A102="","",IF($B102="V01",cad!$C$39,IF($B102="V02",cad!$D$39,cad!$E$39)))</f>
        <v/>
      </c>
      <c r="AC102" t="str">
        <f>IF($A102="","",IF($F102="MBWAY",cad!$J$12,IF($F102="ISCOM",cad!$J$13,IF($F102="IPAC",cad!$J$14,IF($F102="PIGIER",cad!$J$15,cad!$J$16)))))</f>
        <v/>
      </c>
      <c r="AD102" t="str">
        <f t="shared" si="7"/>
        <v/>
      </c>
      <c r="AE102" t="str">
        <f t="shared" si="8"/>
        <v/>
      </c>
      <c r="AF102" t="str">
        <f t="shared" si="9"/>
        <v/>
      </c>
      <c r="AG102" t="str">
        <f t="shared" si="10"/>
        <v/>
      </c>
      <c r="AH102" t="str">
        <f t="shared" si="11"/>
        <v/>
      </c>
    </row>
    <row r="103" spans="1:34" x14ac:dyDescent="0.45">
      <c r="A103" t="str">
        <f>IF(Moteur!D103="","",Moteur!D103)</f>
        <v/>
      </c>
      <c r="B103" t="str">
        <f>IF(Moteur!B103="","",Moteur!B103)</f>
        <v/>
      </c>
      <c r="C103" t="str">
        <f>IF(Moteur!F103="","",Moteur!F103)</f>
        <v/>
      </c>
      <c r="D103" t="str">
        <f>IF(Moteur!G103="","",Moteur!G103)</f>
        <v/>
      </c>
      <c r="E103" t="str">
        <f>IF(Moteur!H103="","",Moteur!H103)</f>
        <v/>
      </c>
      <c r="F103" t="str">
        <f>IF(Moteur!E103="","",Moteur!E103)</f>
        <v/>
      </c>
      <c r="G103" t="str">
        <f>IF($A103="","",SUMIFS(Allocation2!$H$1:$H$175,Allocation2!$C$1:$C$175,$A103,Allocation2!$D$1:$D$175,$C103,Allocation2!$E$1:$E$175,$D103,Allocation2!$F$1:$F$175,$E103,Allocation2!$G$1:$G$175,"2026"))</f>
        <v/>
      </c>
      <c r="H103" t="str">
        <f>IF($A103="","",SUMIFS(Allocation2!$N$1:$N$175,Allocation2!$C$1:$C$175,$A103,Allocation2!$D$1:$D$175,$C103,Allocation2!$E$1:$E$175,$D103,Allocation2!$F$1:$F$175,$E103,Allocation2!$G$1:$G$175,"2026"))</f>
        <v/>
      </c>
      <c r="I103" t="str">
        <f>IF($A103="","",SUMIFS(Allocation2!$P$1:$P$175,Allocation2!$C$1:$C$175,$A103,Allocation2!$D$1:$D$175,$C103,Allocation2!$E$1:$E$175,$D103,Allocation2!$F$1:$F$175,$E103,Allocation2!$G$1:$G$175,"2026"))</f>
        <v/>
      </c>
      <c r="J103" t="str">
        <f>IF($A103="","",SUMIFS(Allocation2!$W$1:$W$175,Allocation2!$C$1:$C$175,$A103,Allocation2!$D$1:$D$175,$C103,Allocation2!$E$1:$E$175,$D103,Allocation2!$F$1:$F$175,$E103,Allocation2!$G$1:$G$175,"2026"))</f>
        <v/>
      </c>
      <c r="K103" t="str">
        <f>IF($A103="","",SUMIFS(Allocation2!$X$1:$X$175,Allocation2!$C$1:$C$175,$A103,Allocation2!$D$1:$D$175,$C103,Allocation2!$E$1:$E$175,$D103,Allocation2!$F$1:$F$175,$E103,Allocation2!$G$1:$G$175,"2026"))</f>
        <v/>
      </c>
      <c r="L103" t="str">
        <f>IF($A103="","",SUMIFS(Allocation2!$Y$1:$Y$175,Allocation2!$C$1:$C$175,$A103,Allocation2!$D$1:$D$175,$C103,Allocation2!$E$1:$E$175,$D103,Allocation2!$F$1:$F$175,$E103,Allocation2!$G$1:$G$175,"2026"))</f>
        <v/>
      </c>
      <c r="M103" t="str">
        <f>IF($A103="","",SUMIFS(Allocation2!$V$1:$V$175,Allocation2!$C$1:$C$175,$A103,Allocation2!$D$1:$D$175,$C103,Allocation2!$E$1:$E$175,$D103,Allocation2!$F$1:$F$175,$E103,Allocation2!$G$1:$G$175,"2026"))</f>
        <v/>
      </c>
      <c r="N103" t="str">
        <f t="shared" si="6"/>
        <v/>
      </c>
      <c r="O103" t="str">
        <f>IF($A103="","",SUMIFS(Campagne!$D$1:$D$15,Campagne!$C$1:$C$15,$A103))</f>
        <v/>
      </c>
      <c r="P103" t="str">
        <f>IF($A103="","",SUMIFS(Campagne!$E$1:$E$15,Campagne!$C$1:$C$15,$A103))</f>
        <v/>
      </c>
      <c r="Q103" t="str">
        <f>IF($A103="","",SUMIFS(Campagne!$F$1:$F$15,Campagne!$C$1:$C$15,$A103))</f>
        <v/>
      </c>
      <c r="R103" t="str">
        <f>IF($A103="","",SUMIFS(Campagne!$K$1:$K$15,Campagne!$C$1:$C$15,$A103))</f>
        <v/>
      </c>
      <c r="S103" t="str">
        <f>IF($A103="","",SUMIFS(Campagne!$M$1:$M$15,Campagne!$C$1:$C$15,$A103))</f>
        <v/>
      </c>
      <c r="T103" t="str">
        <f>IF($A103="","",SUMIFS(PIL!$K$15:$K$28,PIL!$A$15:$A$28,$A103)*SUMIFS(PIL!$J$15:$J$28,PIL!$A$15:$A$28,$A103)*(SUM(PIL!$K$15:$K$28)/SUMPRODUCT(PIL!$K$15:$K$28,PIL!$J$15:$J$28)))</f>
        <v/>
      </c>
      <c r="U103" t="str">
        <f>IF($A103="","",SUMIFS(PIL!$K$15:$K$28,PIL!$A$15:$A$28,$A103))</f>
        <v/>
      </c>
      <c r="V103" t="str">
        <f>IF($A103="","",IF($B103="V01",cad!$C$23,IF($B103="V02",cad!$D$23,cad!$E$23)))</f>
        <v/>
      </c>
      <c r="W103" t="str">
        <f>IF($A103="","",IF($B103="V01",cad!$C$24,IF($B103="V02",cad!$D$24,cad!$E$24)))</f>
        <v/>
      </c>
      <c r="X103" t="str">
        <f>IF($A103="","",IF($B103="V01",cad!$C$25,IF($B103="V02",cad!$D$25,cad!$E$25)))</f>
        <v/>
      </c>
      <c r="Y103" t="str">
        <f>IF($A103="","",IF($B103="V01",cad!$C$26,IF($B103="V02",cad!$D$26,cad!$E$26)))</f>
        <v/>
      </c>
      <c r="Z103" t="str">
        <f>IF($A103="","",IF($B103="V01",cad!$C$27,IF($B103="V02",cad!$D$27,cad!$E$27)))</f>
        <v/>
      </c>
      <c r="AA103" t="str">
        <f>IF($A103="","",IF($B103="V01",cad!$C$28,IF($B103="V02",cad!$D$28,cad!$E$28)))</f>
        <v/>
      </c>
      <c r="AB103" t="str">
        <f>IF($A103="","",IF($B103="V01",cad!$C$39,IF($B103="V02",cad!$D$39,cad!$E$39)))</f>
        <v/>
      </c>
      <c r="AC103" t="str">
        <f>IF($A103="","",IF($F103="MBWAY",cad!$J$12,IF($F103="ISCOM",cad!$J$13,IF($F103="IPAC",cad!$J$14,IF($F103="PIGIER",cad!$J$15,cad!$J$16)))))</f>
        <v/>
      </c>
      <c r="AD103" t="str">
        <f t="shared" si="7"/>
        <v/>
      </c>
      <c r="AE103" t="str">
        <f t="shared" si="8"/>
        <v/>
      </c>
      <c r="AF103" t="str">
        <f t="shared" si="9"/>
        <v/>
      </c>
      <c r="AG103" t="str">
        <f t="shared" si="10"/>
        <v/>
      </c>
      <c r="AH103" t="str">
        <f t="shared" si="11"/>
        <v/>
      </c>
    </row>
    <row r="104" spans="1:34" x14ac:dyDescent="0.45">
      <c r="A104" t="str">
        <f>IF(Moteur!D104="","",Moteur!D104)</f>
        <v/>
      </c>
      <c r="B104" t="str">
        <f>IF(Moteur!B104="","",Moteur!B104)</f>
        <v/>
      </c>
      <c r="C104" t="str">
        <f>IF(Moteur!F104="","",Moteur!F104)</f>
        <v/>
      </c>
      <c r="D104" t="str">
        <f>IF(Moteur!G104="","",Moteur!G104)</f>
        <v/>
      </c>
      <c r="E104" t="str">
        <f>IF(Moteur!H104="","",Moteur!H104)</f>
        <v/>
      </c>
      <c r="F104" t="str">
        <f>IF(Moteur!E104="","",Moteur!E104)</f>
        <v/>
      </c>
      <c r="G104" t="str">
        <f>IF($A104="","",SUMIFS(Allocation2!$H$1:$H$175,Allocation2!$C$1:$C$175,$A104,Allocation2!$D$1:$D$175,$C104,Allocation2!$E$1:$E$175,$D104,Allocation2!$F$1:$F$175,$E104,Allocation2!$G$1:$G$175,"2026"))</f>
        <v/>
      </c>
      <c r="H104" t="str">
        <f>IF($A104="","",SUMIFS(Allocation2!$N$1:$N$175,Allocation2!$C$1:$C$175,$A104,Allocation2!$D$1:$D$175,$C104,Allocation2!$E$1:$E$175,$D104,Allocation2!$F$1:$F$175,$E104,Allocation2!$G$1:$G$175,"2026"))</f>
        <v/>
      </c>
      <c r="I104" t="str">
        <f>IF($A104="","",SUMIFS(Allocation2!$P$1:$P$175,Allocation2!$C$1:$C$175,$A104,Allocation2!$D$1:$D$175,$C104,Allocation2!$E$1:$E$175,$D104,Allocation2!$F$1:$F$175,$E104,Allocation2!$G$1:$G$175,"2026"))</f>
        <v/>
      </c>
      <c r="J104" t="str">
        <f>IF($A104="","",SUMIFS(Allocation2!$W$1:$W$175,Allocation2!$C$1:$C$175,$A104,Allocation2!$D$1:$D$175,$C104,Allocation2!$E$1:$E$175,$D104,Allocation2!$F$1:$F$175,$E104,Allocation2!$G$1:$G$175,"2026"))</f>
        <v/>
      </c>
      <c r="K104" t="str">
        <f>IF($A104="","",SUMIFS(Allocation2!$X$1:$X$175,Allocation2!$C$1:$C$175,$A104,Allocation2!$D$1:$D$175,$C104,Allocation2!$E$1:$E$175,$D104,Allocation2!$F$1:$F$175,$E104,Allocation2!$G$1:$G$175,"2026"))</f>
        <v/>
      </c>
      <c r="L104" t="str">
        <f>IF($A104="","",SUMIFS(Allocation2!$Y$1:$Y$175,Allocation2!$C$1:$C$175,$A104,Allocation2!$D$1:$D$175,$C104,Allocation2!$E$1:$E$175,$D104,Allocation2!$F$1:$F$175,$E104,Allocation2!$G$1:$G$175,"2026"))</f>
        <v/>
      </c>
      <c r="M104" t="str">
        <f>IF($A104="","",SUMIFS(Allocation2!$V$1:$V$175,Allocation2!$C$1:$C$175,$A104,Allocation2!$D$1:$D$175,$C104,Allocation2!$E$1:$E$175,$D104,Allocation2!$F$1:$F$175,$E104,Allocation2!$G$1:$G$175,"2026"))</f>
        <v/>
      </c>
      <c r="N104" t="str">
        <f t="shared" si="6"/>
        <v/>
      </c>
      <c r="O104" t="str">
        <f>IF($A104="","",SUMIFS(Campagne!$D$1:$D$15,Campagne!$C$1:$C$15,$A104))</f>
        <v/>
      </c>
      <c r="P104" t="str">
        <f>IF($A104="","",SUMIFS(Campagne!$E$1:$E$15,Campagne!$C$1:$C$15,$A104))</f>
        <v/>
      </c>
      <c r="Q104" t="str">
        <f>IF($A104="","",SUMIFS(Campagne!$F$1:$F$15,Campagne!$C$1:$C$15,$A104))</f>
        <v/>
      </c>
      <c r="R104" t="str">
        <f>IF($A104="","",SUMIFS(Campagne!$K$1:$K$15,Campagne!$C$1:$C$15,$A104))</f>
        <v/>
      </c>
      <c r="S104" t="str">
        <f>IF($A104="","",SUMIFS(Campagne!$M$1:$M$15,Campagne!$C$1:$C$15,$A104))</f>
        <v/>
      </c>
      <c r="T104" t="str">
        <f>IF($A104="","",SUMIFS(PIL!$K$15:$K$28,PIL!$A$15:$A$28,$A104)*SUMIFS(PIL!$J$15:$J$28,PIL!$A$15:$A$28,$A104)*(SUM(PIL!$K$15:$K$28)/SUMPRODUCT(PIL!$K$15:$K$28,PIL!$J$15:$J$28)))</f>
        <v/>
      </c>
      <c r="U104" t="str">
        <f>IF($A104="","",SUMIFS(PIL!$K$15:$K$28,PIL!$A$15:$A$28,$A104))</f>
        <v/>
      </c>
      <c r="V104" t="str">
        <f>IF($A104="","",IF($B104="V01",cad!$C$23,IF($B104="V02",cad!$D$23,cad!$E$23)))</f>
        <v/>
      </c>
      <c r="W104" t="str">
        <f>IF($A104="","",IF($B104="V01",cad!$C$24,IF($B104="V02",cad!$D$24,cad!$E$24)))</f>
        <v/>
      </c>
      <c r="X104" t="str">
        <f>IF($A104="","",IF($B104="V01",cad!$C$25,IF($B104="V02",cad!$D$25,cad!$E$25)))</f>
        <v/>
      </c>
      <c r="Y104" t="str">
        <f>IF($A104="","",IF($B104="V01",cad!$C$26,IF($B104="V02",cad!$D$26,cad!$E$26)))</f>
        <v/>
      </c>
      <c r="Z104" t="str">
        <f>IF($A104="","",IF($B104="V01",cad!$C$27,IF($B104="V02",cad!$D$27,cad!$E$27)))</f>
        <v/>
      </c>
      <c r="AA104" t="str">
        <f>IF($A104="","",IF($B104="V01",cad!$C$28,IF($B104="V02",cad!$D$28,cad!$E$28)))</f>
        <v/>
      </c>
      <c r="AB104" t="str">
        <f>IF($A104="","",IF($B104="V01",cad!$C$39,IF($B104="V02",cad!$D$39,cad!$E$39)))</f>
        <v/>
      </c>
      <c r="AC104" t="str">
        <f>IF($A104="","",IF($F104="MBWAY",cad!$J$12,IF($F104="ISCOM",cad!$J$13,IF($F104="IPAC",cad!$J$14,IF($F104="PIGIER",cad!$J$15,cad!$J$16)))))</f>
        <v/>
      </c>
      <c r="AD104" t="str">
        <f t="shared" si="7"/>
        <v/>
      </c>
      <c r="AE104" t="str">
        <f t="shared" si="8"/>
        <v/>
      </c>
      <c r="AF104" t="str">
        <f t="shared" si="9"/>
        <v/>
      </c>
      <c r="AG104" t="str">
        <f t="shared" si="10"/>
        <v/>
      </c>
      <c r="AH104" t="str">
        <f t="shared" si="11"/>
        <v/>
      </c>
    </row>
    <row r="105" spans="1:34" x14ac:dyDescent="0.45">
      <c r="A105" t="str">
        <f>IF(Moteur!D105="","",Moteur!D105)</f>
        <v/>
      </c>
      <c r="B105" t="str">
        <f>IF(Moteur!B105="","",Moteur!B105)</f>
        <v/>
      </c>
      <c r="C105" t="str">
        <f>IF(Moteur!F105="","",Moteur!F105)</f>
        <v/>
      </c>
      <c r="D105" t="str">
        <f>IF(Moteur!G105="","",Moteur!G105)</f>
        <v/>
      </c>
      <c r="E105" t="str">
        <f>IF(Moteur!H105="","",Moteur!H105)</f>
        <v/>
      </c>
      <c r="F105" t="str">
        <f>IF(Moteur!E105="","",Moteur!E105)</f>
        <v/>
      </c>
      <c r="G105" t="str">
        <f>IF($A105="","",SUMIFS(Allocation2!$H$1:$H$175,Allocation2!$C$1:$C$175,$A105,Allocation2!$D$1:$D$175,$C105,Allocation2!$E$1:$E$175,$D105,Allocation2!$F$1:$F$175,$E105,Allocation2!$G$1:$G$175,"2026"))</f>
        <v/>
      </c>
      <c r="H105" t="str">
        <f>IF($A105="","",SUMIFS(Allocation2!$N$1:$N$175,Allocation2!$C$1:$C$175,$A105,Allocation2!$D$1:$D$175,$C105,Allocation2!$E$1:$E$175,$D105,Allocation2!$F$1:$F$175,$E105,Allocation2!$G$1:$G$175,"2026"))</f>
        <v/>
      </c>
      <c r="I105" t="str">
        <f>IF($A105="","",SUMIFS(Allocation2!$P$1:$P$175,Allocation2!$C$1:$C$175,$A105,Allocation2!$D$1:$D$175,$C105,Allocation2!$E$1:$E$175,$D105,Allocation2!$F$1:$F$175,$E105,Allocation2!$G$1:$G$175,"2026"))</f>
        <v/>
      </c>
      <c r="J105" t="str">
        <f>IF($A105="","",SUMIFS(Allocation2!$W$1:$W$175,Allocation2!$C$1:$C$175,$A105,Allocation2!$D$1:$D$175,$C105,Allocation2!$E$1:$E$175,$D105,Allocation2!$F$1:$F$175,$E105,Allocation2!$G$1:$G$175,"2026"))</f>
        <v/>
      </c>
      <c r="K105" t="str">
        <f>IF($A105="","",SUMIFS(Allocation2!$X$1:$X$175,Allocation2!$C$1:$C$175,$A105,Allocation2!$D$1:$D$175,$C105,Allocation2!$E$1:$E$175,$D105,Allocation2!$F$1:$F$175,$E105,Allocation2!$G$1:$G$175,"2026"))</f>
        <v/>
      </c>
      <c r="L105" t="str">
        <f>IF($A105="","",SUMIFS(Allocation2!$Y$1:$Y$175,Allocation2!$C$1:$C$175,$A105,Allocation2!$D$1:$D$175,$C105,Allocation2!$E$1:$E$175,$D105,Allocation2!$F$1:$F$175,$E105,Allocation2!$G$1:$G$175,"2026"))</f>
        <v/>
      </c>
      <c r="M105" t="str">
        <f>IF($A105="","",SUMIFS(Allocation2!$V$1:$V$175,Allocation2!$C$1:$C$175,$A105,Allocation2!$D$1:$D$175,$C105,Allocation2!$E$1:$E$175,$D105,Allocation2!$F$1:$F$175,$E105,Allocation2!$G$1:$G$175,"2026"))</f>
        <v/>
      </c>
      <c r="N105" t="str">
        <f t="shared" si="6"/>
        <v/>
      </c>
      <c r="O105" t="str">
        <f>IF($A105="","",SUMIFS(Campagne!$D$1:$D$15,Campagne!$C$1:$C$15,$A105))</f>
        <v/>
      </c>
      <c r="P105" t="str">
        <f>IF($A105="","",SUMIFS(Campagne!$E$1:$E$15,Campagne!$C$1:$C$15,$A105))</f>
        <v/>
      </c>
      <c r="Q105" t="str">
        <f>IF($A105="","",SUMIFS(Campagne!$F$1:$F$15,Campagne!$C$1:$C$15,$A105))</f>
        <v/>
      </c>
      <c r="R105" t="str">
        <f>IF($A105="","",SUMIFS(Campagne!$K$1:$K$15,Campagne!$C$1:$C$15,$A105))</f>
        <v/>
      </c>
      <c r="S105" t="str">
        <f>IF($A105="","",SUMIFS(Campagne!$M$1:$M$15,Campagne!$C$1:$C$15,$A105))</f>
        <v/>
      </c>
      <c r="T105" t="str">
        <f>IF($A105="","",SUMIFS(PIL!$K$15:$K$28,PIL!$A$15:$A$28,$A105)*SUMIFS(PIL!$J$15:$J$28,PIL!$A$15:$A$28,$A105)*(SUM(PIL!$K$15:$K$28)/SUMPRODUCT(PIL!$K$15:$K$28,PIL!$J$15:$J$28)))</f>
        <v/>
      </c>
      <c r="U105" t="str">
        <f>IF($A105="","",SUMIFS(PIL!$K$15:$K$28,PIL!$A$15:$A$28,$A105))</f>
        <v/>
      </c>
      <c r="V105" t="str">
        <f>IF($A105="","",IF($B105="V01",cad!$C$23,IF($B105="V02",cad!$D$23,cad!$E$23)))</f>
        <v/>
      </c>
      <c r="W105" t="str">
        <f>IF($A105="","",IF($B105="V01",cad!$C$24,IF($B105="V02",cad!$D$24,cad!$E$24)))</f>
        <v/>
      </c>
      <c r="X105" t="str">
        <f>IF($A105="","",IF($B105="V01",cad!$C$25,IF($B105="V02",cad!$D$25,cad!$E$25)))</f>
        <v/>
      </c>
      <c r="Y105" t="str">
        <f>IF($A105="","",IF($B105="V01",cad!$C$26,IF($B105="V02",cad!$D$26,cad!$E$26)))</f>
        <v/>
      </c>
      <c r="Z105" t="str">
        <f>IF($A105="","",IF($B105="V01",cad!$C$27,IF($B105="V02",cad!$D$27,cad!$E$27)))</f>
        <v/>
      </c>
      <c r="AA105" t="str">
        <f>IF($A105="","",IF($B105="V01",cad!$C$28,IF($B105="V02",cad!$D$28,cad!$E$28)))</f>
        <v/>
      </c>
      <c r="AB105" t="str">
        <f>IF($A105="","",IF($B105="V01",cad!$C$39,IF($B105="V02",cad!$D$39,cad!$E$39)))</f>
        <v/>
      </c>
      <c r="AC105" t="str">
        <f>IF($A105="","",IF($F105="MBWAY",cad!$J$12,IF($F105="ISCOM",cad!$J$13,IF($F105="IPAC",cad!$J$14,IF($F105="PIGIER",cad!$J$15,cad!$J$16)))))</f>
        <v/>
      </c>
      <c r="AD105" t="str">
        <f t="shared" si="7"/>
        <v/>
      </c>
      <c r="AE105" t="str">
        <f t="shared" si="8"/>
        <v/>
      </c>
      <c r="AF105" t="str">
        <f t="shared" si="9"/>
        <v/>
      </c>
      <c r="AG105" t="str">
        <f t="shared" si="10"/>
        <v/>
      </c>
      <c r="AH105" t="str">
        <f t="shared" si="11"/>
        <v/>
      </c>
    </row>
    <row r="106" spans="1:34" x14ac:dyDescent="0.45">
      <c r="A106" t="str">
        <f>IF(Moteur!D106="","",Moteur!D106)</f>
        <v/>
      </c>
      <c r="B106" t="str">
        <f>IF(Moteur!B106="","",Moteur!B106)</f>
        <v/>
      </c>
      <c r="C106" t="str">
        <f>IF(Moteur!F106="","",Moteur!F106)</f>
        <v/>
      </c>
      <c r="D106" t="str">
        <f>IF(Moteur!G106="","",Moteur!G106)</f>
        <v/>
      </c>
      <c r="E106" t="str">
        <f>IF(Moteur!H106="","",Moteur!H106)</f>
        <v/>
      </c>
      <c r="F106" t="str">
        <f>IF(Moteur!E106="","",Moteur!E106)</f>
        <v/>
      </c>
      <c r="G106" t="str">
        <f>IF($A106="","",SUMIFS(Allocation2!$H$1:$H$175,Allocation2!$C$1:$C$175,$A106,Allocation2!$D$1:$D$175,$C106,Allocation2!$E$1:$E$175,$D106,Allocation2!$F$1:$F$175,$E106,Allocation2!$G$1:$G$175,"2026"))</f>
        <v/>
      </c>
      <c r="H106" t="str">
        <f>IF($A106="","",SUMIFS(Allocation2!$N$1:$N$175,Allocation2!$C$1:$C$175,$A106,Allocation2!$D$1:$D$175,$C106,Allocation2!$E$1:$E$175,$D106,Allocation2!$F$1:$F$175,$E106,Allocation2!$G$1:$G$175,"2026"))</f>
        <v/>
      </c>
      <c r="I106" t="str">
        <f>IF($A106="","",SUMIFS(Allocation2!$P$1:$P$175,Allocation2!$C$1:$C$175,$A106,Allocation2!$D$1:$D$175,$C106,Allocation2!$E$1:$E$175,$D106,Allocation2!$F$1:$F$175,$E106,Allocation2!$G$1:$G$175,"2026"))</f>
        <v/>
      </c>
      <c r="J106" t="str">
        <f>IF($A106="","",SUMIFS(Allocation2!$W$1:$W$175,Allocation2!$C$1:$C$175,$A106,Allocation2!$D$1:$D$175,$C106,Allocation2!$E$1:$E$175,$D106,Allocation2!$F$1:$F$175,$E106,Allocation2!$G$1:$G$175,"2026"))</f>
        <v/>
      </c>
      <c r="K106" t="str">
        <f>IF($A106="","",SUMIFS(Allocation2!$X$1:$X$175,Allocation2!$C$1:$C$175,$A106,Allocation2!$D$1:$D$175,$C106,Allocation2!$E$1:$E$175,$D106,Allocation2!$F$1:$F$175,$E106,Allocation2!$G$1:$G$175,"2026"))</f>
        <v/>
      </c>
      <c r="L106" t="str">
        <f>IF($A106="","",SUMIFS(Allocation2!$Y$1:$Y$175,Allocation2!$C$1:$C$175,$A106,Allocation2!$D$1:$D$175,$C106,Allocation2!$E$1:$E$175,$D106,Allocation2!$F$1:$F$175,$E106,Allocation2!$G$1:$G$175,"2026"))</f>
        <v/>
      </c>
      <c r="M106" t="str">
        <f>IF($A106="","",SUMIFS(Allocation2!$V$1:$V$175,Allocation2!$C$1:$C$175,$A106,Allocation2!$D$1:$D$175,$C106,Allocation2!$E$1:$E$175,$D106,Allocation2!$F$1:$F$175,$E106,Allocation2!$G$1:$G$175,"2026"))</f>
        <v/>
      </c>
      <c r="N106" t="str">
        <f t="shared" si="6"/>
        <v/>
      </c>
      <c r="O106" t="str">
        <f>IF($A106="","",SUMIFS(Campagne!$D$1:$D$15,Campagne!$C$1:$C$15,$A106))</f>
        <v/>
      </c>
      <c r="P106" t="str">
        <f>IF($A106="","",SUMIFS(Campagne!$E$1:$E$15,Campagne!$C$1:$C$15,$A106))</f>
        <v/>
      </c>
      <c r="Q106" t="str">
        <f>IF($A106="","",SUMIFS(Campagne!$F$1:$F$15,Campagne!$C$1:$C$15,$A106))</f>
        <v/>
      </c>
      <c r="R106" t="str">
        <f>IF($A106="","",SUMIFS(Campagne!$K$1:$K$15,Campagne!$C$1:$C$15,$A106))</f>
        <v/>
      </c>
      <c r="S106" t="str">
        <f>IF($A106="","",SUMIFS(Campagne!$M$1:$M$15,Campagne!$C$1:$C$15,$A106))</f>
        <v/>
      </c>
      <c r="T106" t="str">
        <f>IF($A106="","",SUMIFS(PIL!$K$15:$K$28,PIL!$A$15:$A$28,$A106)*SUMIFS(PIL!$J$15:$J$28,PIL!$A$15:$A$28,$A106)*(SUM(PIL!$K$15:$K$28)/SUMPRODUCT(PIL!$K$15:$K$28,PIL!$J$15:$J$28)))</f>
        <v/>
      </c>
      <c r="U106" t="str">
        <f>IF($A106="","",SUMIFS(PIL!$K$15:$K$28,PIL!$A$15:$A$28,$A106))</f>
        <v/>
      </c>
      <c r="V106" t="str">
        <f>IF($A106="","",IF($B106="V01",cad!$C$23,IF($B106="V02",cad!$D$23,cad!$E$23)))</f>
        <v/>
      </c>
      <c r="W106" t="str">
        <f>IF($A106="","",IF($B106="V01",cad!$C$24,IF($B106="V02",cad!$D$24,cad!$E$24)))</f>
        <v/>
      </c>
      <c r="X106" t="str">
        <f>IF($A106="","",IF($B106="V01",cad!$C$25,IF($B106="V02",cad!$D$25,cad!$E$25)))</f>
        <v/>
      </c>
      <c r="Y106" t="str">
        <f>IF($A106="","",IF($B106="V01",cad!$C$26,IF($B106="V02",cad!$D$26,cad!$E$26)))</f>
        <v/>
      </c>
      <c r="Z106" t="str">
        <f>IF($A106="","",IF($B106="V01",cad!$C$27,IF($B106="V02",cad!$D$27,cad!$E$27)))</f>
        <v/>
      </c>
      <c r="AA106" t="str">
        <f>IF($A106="","",IF($B106="V01",cad!$C$28,IF($B106="V02",cad!$D$28,cad!$E$28)))</f>
        <v/>
      </c>
      <c r="AB106" t="str">
        <f>IF($A106="","",IF($B106="V01",cad!$C$39,IF($B106="V02",cad!$D$39,cad!$E$39)))</f>
        <v/>
      </c>
      <c r="AC106" t="str">
        <f>IF($A106="","",IF($F106="MBWAY",cad!$J$12,IF($F106="ISCOM",cad!$J$13,IF($F106="IPAC",cad!$J$14,IF($F106="PIGIER",cad!$J$15,cad!$J$16)))))</f>
        <v/>
      </c>
      <c r="AD106" t="str">
        <f t="shared" si="7"/>
        <v/>
      </c>
      <c r="AE106" t="str">
        <f t="shared" si="8"/>
        <v/>
      </c>
      <c r="AF106" t="str">
        <f t="shared" si="9"/>
        <v/>
      </c>
      <c r="AG106" t="str">
        <f t="shared" si="10"/>
        <v/>
      </c>
      <c r="AH106" t="str">
        <f t="shared" si="11"/>
        <v/>
      </c>
    </row>
    <row r="107" spans="1:34" x14ac:dyDescent="0.45">
      <c r="A107" t="str">
        <f>IF(Moteur!D107="","",Moteur!D107)</f>
        <v/>
      </c>
      <c r="B107" t="str">
        <f>IF(Moteur!B107="","",Moteur!B107)</f>
        <v/>
      </c>
      <c r="C107" t="str">
        <f>IF(Moteur!F107="","",Moteur!F107)</f>
        <v/>
      </c>
      <c r="D107" t="str">
        <f>IF(Moteur!G107="","",Moteur!G107)</f>
        <v/>
      </c>
      <c r="E107" t="str">
        <f>IF(Moteur!H107="","",Moteur!H107)</f>
        <v/>
      </c>
      <c r="F107" t="str">
        <f>IF(Moteur!E107="","",Moteur!E107)</f>
        <v/>
      </c>
      <c r="G107" t="str">
        <f>IF($A107="","",SUMIFS(Allocation2!$H$1:$H$175,Allocation2!$C$1:$C$175,$A107,Allocation2!$D$1:$D$175,$C107,Allocation2!$E$1:$E$175,$D107,Allocation2!$F$1:$F$175,$E107,Allocation2!$G$1:$G$175,"2026"))</f>
        <v/>
      </c>
      <c r="H107" t="str">
        <f>IF($A107="","",SUMIFS(Allocation2!$N$1:$N$175,Allocation2!$C$1:$C$175,$A107,Allocation2!$D$1:$D$175,$C107,Allocation2!$E$1:$E$175,$D107,Allocation2!$F$1:$F$175,$E107,Allocation2!$G$1:$G$175,"2026"))</f>
        <v/>
      </c>
      <c r="I107" t="str">
        <f>IF($A107="","",SUMIFS(Allocation2!$P$1:$P$175,Allocation2!$C$1:$C$175,$A107,Allocation2!$D$1:$D$175,$C107,Allocation2!$E$1:$E$175,$D107,Allocation2!$F$1:$F$175,$E107,Allocation2!$G$1:$G$175,"2026"))</f>
        <v/>
      </c>
      <c r="J107" t="str">
        <f>IF($A107="","",SUMIFS(Allocation2!$W$1:$W$175,Allocation2!$C$1:$C$175,$A107,Allocation2!$D$1:$D$175,$C107,Allocation2!$E$1:$E$175,$D107,Allocation2!$F$1:$F$175,$E107,Allocation2!$G$1:$G$175,"2026"))</f>
        <v/>
      </c>
      <c r="K107" t="str">
        <f>IF($A107="","",SUMIFS(Allocation2!$X$1:$X$175,Allocation2!$C$1:$C$175,$A107,Allocation2!$D$1:$D$175,$C107,Allocation2!$E$1:$E$175,$D107,Allocation2!$F$1:$F$175,$E107,Allocation2!$G$1:$G$175,"2026"))</f>
        <v/>
      </c>
      <c r="L107" t="str">
        <f>IF($A107="","",SUMIFS(Allocation2!$Y$1:$Y$175,Allocation2!$C$1:$C$175,$A107,Allocation2!$D$1:$D$175,$C107,Allocation2!$E$1:$E$175,$D107,Allocation2!$F$1:$F$175,$E107,Allocation2!$G$1:$G$175,"2026"))</f>
        <v/>
      </c>
      <c r="M107" t="str">
        <f>IF($A107="","",SUMIFS(Allocation2!$V$1:$V$175,Allocation2!$C$1:$C$175,$A107,Allocation2!$D$1:$D$175,$C107,Allocation2!$E$1:$E$175,$D107,Allocation2!$F$1:$F$175,$E107,Allocation2!$G$1:$G$175,"2026"))</f>
        <v/>
      </c>
      <c r="N107" t="str">
        <f t="shared" si="6"/>
        <v/>
      </c>
      <c r="O107" t="str">
        <f>IF($A107="","",SUMIFS(Campagne!$D$1:$D$15,Campagne!$C$1:$C$15,$A107))</f>
        <v/>
      </c>
      <c r="P107" t="str">
        <f>IF($A107="","",SUMIFS(Campagne!$E$1:$E$15,Campagne!$C$1:$C$15,$A107))</f>
        <v/>
      </c>
      <c r="Q107" t="str">
        <f>IF($A107="","",SUMIFS(Campagne!$F$1:$F$15,Campagne!$C$1:$C$15,$A107))</f>
        <v/>
      </c>
      <c r="R107" t="str">
        <f>IF($A107="","",SUMIFS(Campagne!$K$1:$K$15,Campagne!$C$1:$C$15,$A107))</f>
        <v/>
      </c>
      <c r="S107" t="str">
        <f>IF($A107="","",SUMIFS(Campagne!$M$1:$M$15,Campagne!$C$1:$C$15,$A107))</f>
        <v/>
      </c>
      <c r="T107" t="str">
        <f>IF($A107="","",SUMIFS(PIL!$K$15:$K$28,PIL!$A$15:$A$28,$A107)*SUMIFS(PIL!$J$15:$J$28,PIL!$A$15:$A$28,$A107)*(SUM(PIL!$K$15:$K$28)/SUMPRODUCT(PIL!$K$15:$K$28,PIL!$J$15:$J$28)))</f>
        <v/>
      </c>
      <c r="U107" t="str">
        <f>IF($A107="","",SUMIFS(PIL!$K$15:$K$28,PIL!$A$15:$A$28,$A107))</f>
        <v/>
      </c>
      <c r="V107" t="str">
        <f>IF($A107="","",IF($B107="V01",cad!$C$23,IF($B107="V02",cad!$D$23,cad!$E$23)))</f>
        <v/>
      </c>
      <c r="W107" t="str">
        <f>IF($A107="","",IF($B107="V01",cad!$C$24,IF($B107="V02",cad!$D$24,cad!$E$24)))</f>
        <v/>
      </c>
      <c r="X107" t="str">
        <f>IF($A107="","",IF($B107="V01",cad!$C$25,IF($B107="V02",cad!$D$25,cad!$E$25)))</f>
        <v/>
      </c>
      <c r="Y107" t="str">
        <f>IF($A107="","",IF($B107="V01",cad!$C$26,IF($B107="V02",cad!$D$26,cad!$E$26)))</f>
        <v/>
      </c>
      <c r="Z107" t="str">
        <f>IF($A107="","",IF($B107="V01",cad!$C$27,IF($B107="V02",cad!$D$27,cad!$E$27)))</f>
        <v/>
      </c>
      <c r="AA107" t="str">
        <f>IF($A107="","",IF($B107="V01",cad!$C$28,IF($B107="V02",cad!$D$28,cad!$E$28)))</f>
        <v/>
      </c>
      <c r="AB107" t="str">
        <f>IF($A107="","",IF($B107="V01",cad!$C$39,IF($B107="V02",cad!$D$39,cad!$E$39)))</f>
        <v/>
      </c>
      <c r="AC107" t="str">
        <f>IF($A107="","",IF($F107="MBWAY",cad!$J$12,IF($F107="ISCOM",cad!$J$13,IF($F107="IPAC",cad!$J$14,IF($F107="PIGIER",cad!$J$15,cad!$J$16)))))</f>
        <v/>
      </c>
      <c r="AD107" t="str">
        <f t="shared" si="7"/>
        <v/>
      </c>
      <c r="AE107" t="str">
        <f t="shared" si="8"/>
        <v/>
      </c>
      <c r="AF107" t="str">
        <f t="shared" si="9"/>
        <v/>
      </c>
      <c r="AG107" t="str">
        <f t="shared" si="10"/>
        <v/>
      </c>
      <c r="AH107" t="str">
        <f t="shared" si="11"/>
        <v/>
      </c>
    </row>
    <row r="108" spans="1:34" x14ac:dyDescent="0.45">
      <c r="A108" t="str">
        <f>IF(Moteur!D108="","",Moteur!D108)</f>
        <v/>
      </c>
      <c r="B108" t="str">
        <f>IF(Moteur!B108="","",Moteur!B108)</f>
        <v/>
      </c>
      <c r="C108" t="str">
        <f>IF(Moteur!F108="","",Moteur!F108)</f>
        <v/>
      </c>
      <c r="D108" t="str">
        <f>IF(Moteur!G108="","",Moteur!G108)</f>
        <v/>
      </c>
      <c r="E108" t="str">
        <f>IF(Moteur!H108="","",Moteur!H108)</f>
        <v/>
      </c>
      <c r="F108" t="str">
        <f>IF(Moteur!E108="","",Moteur!E108)</f>
        <v/>
      </c>
      <c r="G108" t="str">
        <f>IF($A108="","",SUMIFS(Allocation2!$H$1:$H$175,Allocation2!$C$1:$C$175,$A108,Allocation2!$D$1:$D$175,$C108,Allocation2!$E$1:$E$175,$D108,Allocation2!$F$1:$F$175,$E108,Allocation2!$G$1:$G$175,"2026"))</f>
        <v/>
      </c>
      <c r="H108" t="str">
        <f>IF($A108="","",SUMIFS(Allocation2!$N$1:$N$175,Allocation2!$C$1:$C$175,$A108,Allocation2!$D$1:$D$175,$C108,Allocation2!$E$1:$E$175,$D108,Allocation2!$F$1:$F$175,$E108,Allocation2!$G$1:$G$175,"2026"))</f>
        <v/>
      </c>
      <c r="I108" t="str">
        <f>IF($A108="","",SUMIFS(Allocation2!$P$1:$P$175,Allocation2!$C$1:$C$175,$A108,Allocation2!$D$1:$D$175,$C108,Allocation2!$E$1:$E$175,$D108,Allocation2!$F$1:$F$175,$E108,Allocation2!$G$1:$G$175,"2026"))</f>
        <v/>
      </c>
      <c r="J108" t="str">
        <f>IF($A108="","",SUMIFS(Allocation2!$W$1:$W$175,Allocation2!$C$1:$C$175,$A108,Allocation2!$D$1:$D$175,$C108,Allocation2!$E$1:$E$175,$D108,Allocation2!$F$1:$F$175,$E108,Allocation2!$G$1:$G$175,"2026"))</f>
        <v/>
      </c>
      <c r="K108" t="str">
        <f>IF($A108="","",SUMIFS(Allocation2!$X$1:$X$175,Allocation2!$C$1:$C$175,$A108,Allocation2!$D$1:$D$175,$C108,Allocation2!$E$1:$E$175,$D108,Allocation2!$F$1:$F$175,$E108,Allocation2!$G$1:$G$175,"2026"))</f>
        <v/>
      </c>
      <c r="L108" t="str">
        <f>IF($A108="","",SUMIFS(Allocation2!$Y$1:$Y$175,Allocation2!$C$1:$C$175,$A108,Allocation2!$D$1:$D$175,$C108,Allocation2!$E$1:$E$175,$D108,Allocation2!$F$1:$F$175,$E108,Allocation2!$G$1:$G$175,"2026"))</f>
        <v/>
      </c>
      <c r="M108" t="str">
        <f>IF($A108="","",SUMIFS(Allocation2!$V$1:$V$175,Allocation2!$C$1:$C$175,$A108,Allocation2!$D$1:$D$175,$C108,Allocation2!$E$1:$E$175,$D108,Allocation2!$F$1:$F$175,$E108,Allocation2!$G$1:$G$175,"2026"))</f>
        <v/>
      </c>
      <c r="N108" t="str">
        <f t="shared" si="6"/>
        <v/>
      </c>
      <c r="O108" t="str">
        <f>IF($A108="","",SUMIFS(Campagne!$D$1:$D$15,Campagne!$C$1:$C$15,$A108))</f>
        <v/>
      </c>
      <c r="P108" t="str">
        <f>IF($A108="","",SUMIFS(Campagne!$E$1:$E$15,Campagne!$C$1:$C$15,$A108))</f>
        <v/>
      </c>
      <c r="Q108" t="str">
        <f>IF($A108="","",SUMIFS(Campagne!$F$1:$F$15,Campagne!$C$1:$C$15,$A108))</f>
        <v/>
      </c>
      <c r="R108" t="str">
        <f>IF($A108="","",SUMIFS(Campagne!$K$1:$K$15,Campagne!$C$1:$C$15,$A108))</f>
        <v/>
      </c>
      <c r="S108" t="str">
        <f>IF($A108="","",SUMIFS(Campagne!$M$1:$M$15,Campagne!$C$1:$C$15,$A108))</f>
        <v/>
      </c>
      <c r="T108" t="str">
        <f>IF($A108="","",SUMIFS(PIL!$K$15:$K$28,PIL!$A$15:$A$28,$A108)*SUMIFS(PIL!$J$15:$J$28,PIL!$A$15:$A$28,$A108)*(SUM(PIL!$K$15:$K$28)/SUMPRODUCT(PIL!$K$15:$K$28,PIL!$J$15:$J$28)))</f>
        <v/>
      </c>
      <c r="U108" t="str">
        <f>IF($A108="","",SUMIFS(PIL!$K$15:$K$28,PIL!$A$15:$A$28,$A108))</f>
        <v/>
      </c>
      <c r="V108" t="str">
        <f>IF($A108="","",IF($B108="V01",cad!$C$23,IF($B108="V02",cad!$D$23,cad!$E$23)))</f>
        <v/>
      </c>
      <c r="W108" t="str">
        <f>IF($A108="","",IF($B108="V01",cad!$C$24,IF($B108="V02",cad!$D$24,cad!$E$24)))</f>
        <v/>
      </c>
      <c r="X108" t="str">
        <f>IF($A108="","",IF($B108="V01",cad!$C$25,IF($B108="V02",cad!$D$25,cad!$E$25)))</f>
        <v/>
      </c>
      <c r="Y108" t="str">
        <f>IF($A108="","",IF($B108="V01",cad!$C$26,IF($B108="V02",cad!$D$26,cad!$E$26)))</f>
        <v/>
      </c>
      <c r="Z108" t="str">
        <f>IF($A108="","",IF($B108="V01",cad!$C$27,IF($B108="V02",cad!$D$27,cad!$E$27)))</f>
        <v/>
      </c>
      <c r="AA108" t="str">
        <f>IF($A108="","",IF($B108="V01",cad!$C$28,IF($B108="V02",cad!$D$28,cad!$E$28)))</f>
        <v/>
      </c>
      <c r="AB108" t="str">
        <f>IF($A108="","",IF($B108="V01",cad!$C$39,IF($B108="V02",cad!$D$39,cad!$E$39)))</f>
        <v/>
      </c>
      <c r="AC108" t="str">
        <f>IF($A108="","",IF($F108="MBWAY",cad!$J$12,IF($F108="ISCOM",cad!$J$13,IF($F108="IPAC",cad!$J$14,IF($F108="PIGIER",cad!$J$15,cad!$J$16)))))</f>
        <v/>
      </c>
      <c r="AD108" t="str">
        <f t="shared" si="7"/>
        <v/>
      </c>
      <c r="AE108" t="str">
        <f t="shared" si="8"/>
        <v/>
      </c>
      <c r="AF108" t="str">
        <f t="shared" si="9"/>
        <v/>
      </c>
      <c r="AG108" t="str">
        <f t="shared" si="10"/>
        <v/>
      </c>
      <c r="AH108" t="str">
        <f t="shared" si="11"/>
        <v/>
      </c>
    </row>
    <row r="109" spans="1:34" x14ac:dyDescent="0.45">
      <c r="A109" t="str">
        <f>IF(Moteur!D109="","",Moteur!D109)</f>
        <v/>
      </c>
      <c r="B109" t="str">
        <f>IF(Moteur!B109="","",Moteur!B109)</f>
        <v/>
      </c>
      <c r="C109" t="str">
        <f>IF(Moteur!F109="","",Moteur!F109)</f>
        <v/>
      </c>
      <c r="D109" t="str">
        <f>IF(Moteur!G109="","",Moteur!G109)</f>
        <v/>
      </c>
      <c r="E109" t="str">
        <f>IF(Moteur!H109="","",Moteur!H109)</f>
        <v/>
      </c>
      <c r="F109" t="str">
        <f>IF(Moteur!E109="","",Moteur!E109)</f>
        <v/>
      </c>
      <c r="G109" t="str">
        <f>IF($A109="","",SUMIFS(Allocation2!$H$1:$H$175,Allocation2!$C$1:$C$175,$A109,Allocation2!$D$1:$D$175,$C109,Allocation2!$E$1:$E$175,$D109,Allocation2!$F$1:$F$175,$E109,Allocation2!$G$1:$G$175,"2026"))</f>
        <v/>
      </c>
      <c r="H109" t="str">
        <f>IF($A109="","",SUMIFS(Allocation2!$N$1:$N$175,Allocation2!$C$1:$C$175,$A109,Allocation2!$D$1:$D$175,$C109,Allocation2!$E$1:$E$175,$D109,Allocation2!$F$1:$F$175,$E109,Allocation2!$G$1:$G$175,"2026"))</f>
        <v/>
      </c>
      <c r="I109" t="str">
        <f>IF($A109="","",SUMIFS(Allocation2!$P$1:$P$175,Allocation2!$C$1:$C$175,$A109,Allocation2!$D$1:$D$175,$C109,Allocation2!$E$1:$E$175,$D109,Allocation2!$F$1:$F$175,$E109,Allocation2!$G$1:$G$175,"2026"))</f>
        <v/>
      </c>
      <c r="J109" t="str">
        <f>IF($A109="","",SUMIFS(Allocation2!$W$1:$W$175,Allocation2!$C$1:$C$175,$A109,Allocation2!$D$1:$D$175,$C109,Allocation2!$E$1:$E$175,$D109,Allocation2!$F$1:$F$175,$E109,Allocation2!$G$1:$G$175,"2026"))</f>
        <v/>
      </c>
      <c r="K109" t="str">
        <f>IF($A109="","",SUMIFS(Allocation2!$X$1:$X$175,Allocation2!$C$1:$C$175,$A109,Allocation2!$D$1:$D$175,$C109,Allocation2!$E$1:$E$175,$D109,Allocation2!$F$1:$F$175,$E109,Allocation2!$G$1:$G$175,"2026"))</f>
        <v/>
      </c>
      <c r="L109" t="str">
        <f>IF($A109="","",SUMIFS(Allocation2!$Y$1:$Y$175,Allocation2!$C$1:$C$175,$A109,Allocation2!$D$1:$D$175,$C109,Allocation2!$E$1:$E$175,$D109,Allocation2!$F$1:$F$175,$E109,Allocation2!$G$1:$G$175,"2026"))</f>
        <v/>
      </c>
      <c r="M109" t="str">
        <f>IF($A109="","",SUMIFS(Allocation2!$V$1:$V$175,Allocation2!$C$1:$C$175,$A109,Allocation2!$D$1:$D$175,$C109,Allocation2!$E$1:$E$175,$D109,Allocation2!$F$1:$F$175,$E109,Allocation2!$G$1:$G$175,"2026"))</f>
        <v/>
      </c>
      <c r="N109" t="str">
        <f t="shared" si="6"/>
        <v/>
      </c>
      <c r="O109" t="str">
        <f>IF($A109="","",SUMIFS(Campagne!$D$1:$D$15,Campagne!$C$1:$C$15,$A109))</f>
        <v/>
      </c>
      <c r="P109" t="str">
        <f>IF($A109="","",SUMIFS(Campagne!$E$1:$E$15,Campagne!$C$1:$C$15,$A109))</f>
        <v/>
      </c>
      <c r="Q109" t="str">
        <f>IF($A109="","",SUMIFS(Campagne!$F$1:$F$15,Campagne!$C$1:$C$15,$A109))</f>
        <v/>
      </c>
      <c r="R109" t="str">
        <f>IF($A109="","",SUMIFS(Campagne!$K$1:$K$15,Campagne!$C$1:$C$15,$A109))</f>
        <v/>
      </c>
      <c r="S109" t="str">
        <f>IF($A109="","",SUMIFS(Campagne!$M$1:$M$15,Campagne!$C$1:$C$15,$A109))</f>
        <v/>
      </c>
      <c r="T109" t="str">
        <f>IF($A109="","",SUMIFS(PIL!$K$15:$K$28,PIL!$A$15:$A$28,$A109)*SUMIFS(PIL!$J$15:$J$28,PIL!$A$15:$A$28,$A109)*(SUM(PIL!$K$15:$K$28)/SUMPRODUCT(PIL!$K$15:$K$28,PIL!$J$15:$J$28)))</f>
        <v/>
      </c>
      <c r="U109" t="str">
        <f>IF($A109="","",SUMIFS(PIL!$K$15:$K$28,PIL!$A$15:$A$28,$A109))</f>
        <v/>
      </c>
      <c r="V109" t="str">
        <f>IF($A109="","",IF($B109="V01",cad!$C$23,IF($B109="V02",cad!$D$23,cad!$E$23)))</f>
        <v/>
      </c>
      <c r="W109" t="str">
        <f>IF($A109="","",IF($B109="V01",cad!$C$24,IF($B109="V02",cad!$D$24,cad!$E$24)))</f>
        <v/>
      </c>
      <c r="X109" t="str">
        <f>IF($A109="","",IF($B109="V01",cad!$C$25,IF($B109="V02",cad!$D$25,cad!$E$25)))</f>
        <v/>
      </c>
      <c r="Y109" t="str">
        <f>IF($A109="","",IF($B109="V01",cad!$C$26,IF($B109="V02",cad!$D$26,cad!$E$26)))</f>
        <v/>
      </c>
      <c r="Z109" t="str">
        <f>IF($A109="","",IF($B109="V01",cad!$C$27,IF($B109="V02",cad!$D$27,cad!$E$27)))</f>
        <v/>
      </c>
      <c r="AA109" t="str">
        <f>IF($A109="","",IF($B109="V01",cad!$C$28,IF($B109="V02",cad!$D$28,cad!$E$28)))</f>
        <v/>
      </c>
      <c r="AB109" t="str">
        <f>IF($A109="","",IF($B109="V01",cad!$C$39,IF($B109="V02",cad!$D$39,cad!$E$39)))</f>
        <v/>
      </c>
      <c r="AC109" t="str">
        <f>IF($A109="","",IF($F109="MBWAY",cad!$J$12,IF($F109="ISCOM",cad!$J$13,IF($F109="IPAC",cad!$J$14,IF($F109="PIGIER",cad!$J$15,cad!$J$16)))))</f>
        <v/>
      </c>
      <c r="AD109" t="str">
        <f t="shared" si="7"/>
        <v/>
      </c>
      <c r="AE109" t="str">
        <f t="shared" si="8"/>
        <v/>
      </c>
      <c r="AF109" t="str">
        <f t="shared" si="9"/>
        <v/>
      </c>
      <c r="AG109" t="str">
        <f t="shared" si="10"/>
        <v/>
      </c>
      <c r="AH109" t="str">
        <f t="shared" si="11"/>
        <v/>
      </c>
    </row>
    <row r="110" spans="1:34" x14ac:dyDescent="0.45">
      <c r="A110" t="str">
        <f>IF(Moteur!D110="","",Moteur!D110)</f>
        <v/>
      </c>
      <c r="B110" t="str">
        <f>IF(Moteur!B110="","",Moteur!B110)</f>
        <v/>
      </c>
      <c r="C110" t="str">
        <f>IF(Moteur!F110="","",Moteur!F110)</f>
        <v/>
      </c>
      <c r="D110" t="str">
        <f>IF(Moteur!G110="","",Moteur!G110)</f>
        <v/>
      </c>
      <c r="E110" t="str">
        <f>IF(Moteur!H110="","",Moteur!H110)</f>
        <v/>
      </c>
      <c r="F110" t="str">
        <f>IF(Moteur!E110="","",Moteur!E110)</f>
        <v/>
      </c>
      <c r="G110" t="str">
        <f>IF($A110="","",SUMIFS(Allocation2!$H$1:$H$175,Allocation2!$C$1:$C$175,$A110,Allocation2!$D$1:$D$175,$C110,Allocation2!$E$1:$E$175,$D110,Allocation2!$F$1:$F$175,$E110,Allocation2!$G$1:$G$175,"2026"))</f>
        <v/>
      </c>
      <c r="H110" t="str">
        <f>IF($A110="","",SUMIFS(Allocation2!$N$1:$N$175,Allocation2!$C$1:$C$175,$A110,Allocation2!$D$1:$D$175,$C110,Allocation2!$E$1:$E$175,$D110,Allocation2!$F$1:$F$175,$E110,Allocation2!$G$1:$G$175,"2026"))</f>
        <v/>
      </c>
      <c r="I110" t="str">
        <f>IF($A110="","",SUMIFS(Allocation2!$P$1:$P$175,Allocation2!$C$1:$C$175,$A110,Allocation2!$D$1:$D$175,$C110,Allocation2!$E$1:$E$175,$D110,Allocation2!$F$1:$F$175,$E110,Allocation2!$G$1:$G$175,"2026"))</f>
        <v/>
      </c>
      <c r="J110" t="str">
        <f>IF($A110="","",SUMIFS(Allocation2!$W$1:$W$175,Allocation2!$C$1:$C$175,$A110,Allocation2!$D$1:$D$175,$C110,Allocation2!$E$1:$E$175,$D110,Allocation2!$F$1:$F$175,$E110,Allocation2!$G$1:$G$175,"2026"))</f>
        <v/>
      </c>
      <c r="K110" t="str">
        <f>IF($A110="","",SUMIFS(Allocation2!$X$1:$X$175,Allocation2!$C$1:$C$175,$A110,Allocation2!$D$1:$D$175,$C110,Allocation2!$E$1:$E$175,$D110,Allocation2!$F$1:$F$175,$E110,Allocation2!$G$1:$G$175,"2026"))</f>
        <v/>
      </c>
      <c r="L110" t="str">
        <f>IF($A110="","",SUMIFS(Allocation2!$Y$1:$Y$175,Allocation2!$C$1:$C$175,$A110,Allocation2!$D$1:$D$175,$C110,Allocation2!$E$1:$E$175,$D110,Allocation2!$F$1:$F$175,$E110,Allocation2!$G$1:$G$175,"2026"))</f>
        <v/>
      </c>
      <c r="M110" t="str">
        <f>IF($A110="","",SUMIFS(Allocation2!$V$1:$V$175,Allocation2!$C$1:$C$175,$A110,Allocation2!$D$1:$D$175,$C110,Allocation2!$E$1:$E$175,$D110,Allocation2!$F$1:$F$175,$E110,Allocation2!$G$1:$G$175,"2026"))</f>
        <v/>
      </c>
      <c r="N110" t="str">
        <f t="shared" si="6"/>
        <v/>
      </c>
      <c r="O110" t="str">
        <f>IF($A110="","",SUMIFS(Campagne!$D$1:$D$15,Campagne!$C$1:$C$15,$A110))</f>
        <v/>
      </c>
      <c r="P110" t="str">
        <f>IF($A110="","",SUMIFS(Campagne!$E$1:$E$15,Campagne!$C$1:$C$15,$A110))</f>
        <v/>
      </c>
      <c r="Q110" t="str">
        <f>IF($A110="","",SUMIFS(Campagne!$F$1:$F$15,Campagne!$C$1:$C$15,$A110))</f>
        <v/>
      </c>
      <c r="R110" t="str">
        <f>IF($A110="","",SUMIFS(Campagne!$K$1:$K$15,Campagne!$C$1:$C$15,$A110))</f>
        <v/>
      </c>
      <c r="S110" t="str">
        <f>IF($A110="","",SUMIFS(Campagne!$M$1:$M$15,Campagne!$C$1:$C$15,$A110))</f>
        <v/>
      </c>
      <c r="T110" t="str">
        <f>IF($A110="","",SUMIFS(PIL!$K$15:$K$28,PIL!$A$15:$A$28,$A110)*SUMIFS(PIL!$J$15:$J$28,PIL!$A$15:$A$28,$A110)*(SUM(PIL!$K$15:$K$28)/SUMPRODUCT(PIL!$K$15:$K$28,PIL!$J$15:$J$28)))</f>
        <v/>
      </c>
      <c r="U110" t="str">
        <f>IF($A110="","",SUMIFS(PIL!$K$15:$K$28,PIL!$A$15:$A$28,$A110))</f>
        <v/>
      </c>
      <c r="V110" t="str">
        <f>IF($A110="","",IF($B110="V01",cad!$C$23,IF($B110="V02",cad!$D$23,cad!$E$23)))</f>
        <v/>
      </c>
      <c r="W110" t="str">
        <f>IF($A110="","",IF($B110="V01",cad!$C$24,IF($B110="V02",cad!$D$24,cad!$E$24)))</f>
        <v/>
      </c>
      <c r="X110" t="str">
        <f>IF($A110="","",IF($B110="V01",cad!$C$25,IF($B110="V02",cad!$D$25,cad!$E$25)))</f>
        <v/>
      </c>
      <c r="Y110" t="str">
        <f>IF($A110="","",IF($B110="V01",cad!$C$26,IF($B110="V02",cad!$D$26,cad!$E$26)))</f>
        <v/>
      </c>
      <c r="Z110" t="str">
        <f>IF($A110="","",IF($B110="V01",cad!$C$27,IF($B110="V02",cad!$D$27,cad!$E$27)))</f>
        <v/>
      </c>
      <c r="AA110" t="str">
        <f>IF($A110="","",IF($B110="V01",cad!$C$28,IF($B110="V02",cad!$D$28,cad!$E$28)))</f>
        <v/>
      </c>
      <c r="AB110" t="str">
        <f>IF($A110="","",IF($B110="V01",cad!$C$39,IF($B110="V02",cad!$D$39,cad!$E$39)))</f>
        <v/>
      </c>
      <c r="AC110" t="str">
        <f>IF($A110="","",IF($F110="MBWAY",cad!$J$12,IF($F110="ISCOM",cad!$J$13,IF($F110="IPAC",cad!$J$14,IF($F110="PIGIER",cad!$J$15,cad!$J$16)))))</f>
        <v/>
      </c>
      <c r="AD110" t="str">
        <f t="shared" si="7"/>
        <v/>
      </c>
      <c r="AE110" t="str">
        <f t="shared" si="8"/>
        <v/>
      </c>
      <c r="AF110" t="str">
        <f t="shared" si="9"/>
        <v/>
      </c>
      <c r="AG110" t="str">
        <f t="shared" si="10"/>
        <v/>
      </c>
      <c r="AH110" t="str">
        <f t="shared" si="11"/>
        <v/>
      </c>
    </row>
    <row r="111" spans="1:34" x14ac:dyDescent="0.45">
      <c r="A111" t="str">
        <f>IF(Moteur!D111="","",Moteur!D111)</f>
        <v/>
      </c>
      <c r="B111" t="str">
        <f>IF(Moteur!B111="","",Moteur!B111)</f>
        <v/>
      </c>
      <c r="C111" t="str">
        <f>IF(Moteur!F111="","",Moteur!F111)</f>
        <v/>
      </c>
      <c r="D111" t="str">
        <f>IF(Moteur!G111="","",Moteur!G111)</f>
        <v/>
      </c>
      <c r="E111" t="str">
        <f>IF(Moteur!H111="","",Moteur!H111)</f>
        <v/>
      </c>
      <c r="F111" t="str">
        <f>IF(Moteur!E111="","",Moteur!E111)</f>
        <v/>
      </c>
      <c r="G111" t="str">
        <f>IF($A111="","",SUMIFS(Allocation2!$H$1:$H$175,Allocation2!$C$1:$C$175,$A111,Allocation2!$D$1:$D$175,$C111,Allocation2!$E$1:$E$175,$D111,Allocation2!$F$1:$F$175,$E111,Allocation2!$G$1:$G$175,"2026"))</f>
        <v/>
      </c>
      <c r="H111" t="str">
        <f>IF($A111="","",SUMIFS(Allocation2!$N$1:$N$175,Allocation2!$C$1:$C$175,$A111,Allocation2!$D$1:$D$175,$C111,Allocation2!$E$1:$E$175,$D111,Allocation2!$F$1:$F$175,$E111,Allocation2!$G$1:$G$175,"2026"))</f>
        <v/>
      </c>
      <c r="I111" t="str">
        <f>IF($A111="","",SUMIFS(Allocation2!$P$1:$P$175,Allocation2!$C$1:$C$175,$A111,Allocation2!$D$1:$D$175,$C111,Allocation2!$E$1:$E$175,$D111,Allocation2!$F$1:$F$175,$E111,Allocation2!$G$1:$G$175,"2026"))</f>
        <v/>
      </c>
      <c r="J111" t="str">
        <f>IF($A111="","",SUMIFS(Allocation2!$W$1:$W$175,Allocation2!$C$1:$C$175,$A111,Allocation2!$D$1:$D$175,$C111,Allocation2!$E$1:$E$175,$D111,Allocation2!$F$1:$F$175,$E111,Allocation2!$G$1:$G$175,"2026"))</f>
        <v/>
      </c>
      <c r="K111" t="str">
        <f>IF($A111="","",SUMIFS(Allocation2!$X$1:$X$175,Allocation2!$C$1:$C$175,$A111,Allocation2!$D$1:$D$175,$C111,Allocation2!$E$1:$E$175,$D111,Allocation2!$F$1:$F$175,$E111,Allocation2!$G$1:$G$175,"2026"))</f>
        <v/>
      </c>
      <c r="L111" t="str">
        <f>IF($A111="","",SUMIFS(Allocation2!$Y$1:$Y$175,Allocation2!$C$1:$C$175,$A111,Allocation2!$D$1:$D$175,$C111,Allocation2!$E$1:$E$175,$D111,Allocation2!$F$1:$F$175,$E111,Allocation2!$G$1:$G$175,"2026"))</f>
        <v/>
      </c>
      <c r="M111" t="str">
        <f>IF($A111="","",SUMIFS(Allocation2!$V$1:$V$175,Allocation2!$C$1:$C$175,$A111,Allocation2!$D$1:$D$175,$C111,Allocation2!$E$1:$E$175,$D111,Allocation2!$F$1:$F$175,$E111,Allocation2!$G$1:$G$175,"2026"))</f>
        <v/>
      </c>
      <c r="N111" t="str">
        <f t="shared" si="6"/>
        <v/>
      </c>
      <c r="O111" t="str">
        <f>IF($A111="","",SUMIFS(Campagne!$D$1:$D$15,Campagne!$C$1:$C$15,$A111))</f>
        <v/>
      </c>
      <c r="P111" t="str">
        <f>IF($A111="","",SUMIFS(Campagne!$E$1:$E$15,Campagne!$C$1:$C$15,$A111))</f>
        <v/>
      </c>
      <c r="Q111" t="str">
        <f>IF($A111="","",SUMIFS(Campagne!$F$1:$F$15,Campagne!$C$1:$C$15,$A111))</f>
        <v/>
      </c>
      <c r="R111" t="str">
        <f>IF($A111="","",SUMIFS(Campagne!$K$1:$K$15,Campagne!$C$1:$C$15,$A111))</f>
        <v/>
      </c>
      <c r="S111" t="str">
        <f>IF($A111="","",SUMIFS(Campagne!$M$1:$M$15,Campagne!$C$1:$C$15,$A111))</f>
        <v/>
      </c>
      <c r="T111" t="str">
        <f>IF($A111="","",SUMIFS(PIL!$K$15:$K$28,PIL!$A$15:$A$28,$A111)*SUMIFS(PIL!$J$15:$J$28,PIL!$A$15:$A$28,$A111)*(SUM(PIL!$K$15:$K$28)/SUMPRODUCT(PIL!$K$15:$K$28,PIL!$J$15:$J$28)))</f>
        <v/>
      </c>
      <c r="U111" t="str">
        <f>IF($A111="","",SUMIFS(PIL!$K$15:$K$28,PIL!$A$15:$A$28,$A111))</f>
        <v/>
      </c>
      <c r="V111" t="str">
        <f>IF($A111="","",IF($B111="V01",cad!$C$23,IF($B111="V02",cad!$D$23,cad!$E$23)))</f>
        <v/>
      </c>
      <c r="W111" t="str">
        <f>IF($A111="","",IF($B111="V01",cad!$C$24,IF($B111="V02",cad!$D$24,cad!$E$24)))</f>
        <v/>
      </c>
      <c r="X111" t="str">
        <f>IF($A111="","",IF($B111="V01",cad!$C$25,IF($B111="V02",cad!$D$25,cad!$E$25)))</f>
        <v/>
      </c>
      <c r="Y111" t="str">
        <f>IF($A111="","",IF($B111="V01",cad!$C$26,IF($B111="V02",cad!$D$26,cad!$E$26)))</f>
        <v/>
      </c>
      <c r="Z111" t="str">
        <f>IF($A111="","",IF($B111="V01",cad!$C$27,IF($B111="V02",cad!$D$27,cad!$E$27)))</f>
        <v/>
      </c>
      <c r="AA111" t="str">
        <f>IF($A111="","",IF($B111="V01",cad!$C$28,IF($B111="V02",cad!$D$28,cad!$E$28)))</f>
        <v/>
      </c>
      <c r="AB111" t="str">
        <f>IF($A111="","",IF($B111="V01",cad!$C$39,IF($B111="V02",cad!$D$39,cad!$E$39)))</f>
        <v/>
      </c>
      <c r="AC111" t="str">
        <f>IF($A111="","",IF($F111="MBWAY",cad!$J$12,IF($F111="ISCOM",cad!$J$13,IF($F111="IPAC",cad!$J$14,IF($F111="PIGIER",cad!$J$15,cad!$J$16)))))</f>
        <v/>
      </c>
      <c r="AD111" t="str">
        <f t="shared" si="7"/>
        <v/>
      </c>
      <c r="AE111" t="str">
        <f t="shared" si="8"/>
        <v/>
      </c>
      <c r="AF111" t="str">
        <f t="shared" si="9"/>
        <v/>
      </c>
      <c r="AG111" t="str">
        <f t="shared" si="10"/>
        <v/>
      </c>
      <c r="AH111" t="str">
        <f t="shared" si="11"/>
        <v/>
      </c>
    </row>
    <row r="112" spans="1:34" x14ac:dyDescent="0.45">
      <c r="A112" t="str">
        <f>IF(Moteur!D112="","",Moteur!D112)</f>
        <v/>
      </c>
      <c r="B112" t="str">
        <f>IF(Moteur!B112="","",Moteur!B112)</f>
        <v/>
      </c>
      <c r="C112" t="str">
        <f>IF(Moteur!F112="","",Moteur!F112)</f>
        <v/>
      </c>
      <c r="D112" t="str">
        <f>IF(Moteur!G112="","",Moteur!G112)</f>
        <v/>
      </c>
      <c r="E112" t="str">
        <f>IF(Moteur!H112="","",Moteur!H112)</f>
        <v/>
      </c>
      <c r="F112" t="str">
        <f>IF(Moteur!E112="","",Moteur!E112)</f>
        <v/>
      </c>
      <c r="G112" t="str">
        <f>IF($A112="","",SUMIFS(Allocation2!$H$1:$H$175,Allocation2!$C$1:$C$175,$A112,Allocation2!$D$1:$D$175,$C112,Allocation2!$E$1:$E$175,$D112,Allocation2!$F$1:$F$175,$E112,Allocation2!$G$1:$G$175,"2026"))</f>
        <v/>
      </c>
      <c r="H112" t="str">
        <f>IF($A112="","",SUMIFS(Allocation2!$N$1:$N$175,Allocation2!$C$1:$C$175,$A112,Allocation2!$D$1:$D$175,$C112,Allocation2!$E$1:$E$175,$D112,Allocation2!$F$1:$F$175,$E112,Allocation2!$G$1:$G$175,"2026"))</f>
        <v/>
      </c>
      <c r="I112" t="str">
        <f>IF($A112="","",SUMIFS(Allocation2!$P$1:$P$175,Allocation2!$C$1:$C$175,$A112,Allocation2!$D$1:$D$175,$C112,Allocation2!$E$1:$E$175,$D112,Allocation2!$F$1:$F$175,$E112,Allocation2!$G$1:$G$175,"2026"))</f>
        <v/>
      </c>
      <c r="J112" t="str">
        <f>IF($A112="","",SUMIFS(Allocation2!$W$1:$W$175,Allocation2!$C$1:$C$175,$A112,Allocation2!$D$1:$D$175,$C112,Allocation2!$E$1:$E$175,$D112,Allocation2!$F$1:$F$175,$E112,Allocation2!$G$1:$G$175,"2026"))</f>
        <v/>
      </c>
      <c r="K112" t="str">
        <f>IF($A112="","",SUMIFS(Allocation2!$X$1:$X$175,Allocation2!$C$1:$C$175,$A112,Allocation2!$D$1:$D$175,$C112,Allocation2!$E$1:$E$175,$D112,Allocation2!$F$1:$F$175,$E112,Allocation2!$G$1:$G$175,"2026"))</f>
        <v/>
      </c>
      <c r="L112" t="str">
        <f>IF($A112="","",SUMIFS(Allocation2!$Y$1:$Y$175,Allocation2!$C$1:$C$175,$A112,Allocation2!$D$1:$D$175,$C112,Allocation2!$E$1:$E$175,$D112,Allocation2!$F$1:$F$175,$E112,Allocation2!$G$1:$G$175,"2026"))</f>
        <v/>
      </c>
      <c r="M112" t="str">
        <f>IF($A112="","",SUMIFS(Allocation2!$V$1:$V$175,Allocation2!$C$1:$C$175,$A112,Allocation2!$D$1:$D$175,$C112,Allocation2!$E$1:$E$175,$D112,Allocation2!$F$1:$F$175,$E112,Allocation2!$G$1:$G$175,"2026"))</f>
        <v/>
      </c>
      <c r="N112" t="str">
        <f t="shared" si="6"/>
        <v/>
      </c>
      <c r="O112" t="str">
        <f>IF($A112="","",SUMIFS(Campagne!$D$1:$D$15,Campagne!$C$1:$C$15,$A112))</f>
        <v/>
      </c>
      <c r="P112" t="str">
        <f>IF($A112="","",SUMIFS(Campagne!$E$1:$E$15,Campagne!$C$1:$C$15,$A112))</f>
        <v/>
      </c>
      <c r="Q112" t="str">
        <f>IF($A112="","",SUMIFS(Campagne!$F$1:$F$15,Campagne!$C$1:$C$15,$A112))</f>
        <v/>
      </c>
      <c r="R112" t="str">
        <f>IF($A112="","",SUMIFS(Campagne!$K$1:$K$15,Campagne!$C$1:$C$15,$A112))</f>
        <v/>
      </c>
      <c r="S112" t="str">
        <f>IF($A112="","",SUMIFS(Campagne!$M$1:$M$15,Campagne!$C$1:$C$15,$A112))</f>
        <v/>
      </c>
      <c r="T112" t="str">
        <f>IF($A112="","",SUMIFS(PIL!$K$15:$K$28,PIL!$A$15:$A$28,$A112)*SUMIFS(PIL!$J$15:$J$28,PIL!$A$15:$A$28,$A112)*(SUM(PIL!$K$15:$K$28)/SUMPRODUCT(PIL!$K$15:$K$28,PIL!$J$15:$J$28)))</f>
        <v/>
      </c>
      <c r="U112" t="str">
        <f>IF($A112="","",SUMIFS(PIL!$K$15:$K$28,PIL!$A$15:$A$28,$A112))</f>
        <v/>
      </c>
      <c r="V112" t="str">
        <f>IF($A112="","",IF($B112="V01",cad!$C$23,IF($B112="V02",cad!$D$23,cad!$E$23)))</f>
        <v/>
      </c>
      <c r="W112" t="str">
        <f>IF($A112="","",IF($B112="V01",cad!$C$24,IF($B112="V02",cad!$D$24,cad!$E$24)))</f>
        <v/>
      </c>
      <c r="X112" t="str">
        <f>IF($A112="","",IF($B112="V01",cad!$C$25,IF($B112="V02",cad!$D$25,cad!$E$25)))</f>
        <v/>
      </c>
      <c r="Y112" t="str">
        <f>IF($A112="","",IF($B112="V01",cad!$C$26,IF($B112="V02",cad!$D$26,cad!$E$26)))</f>
        <v/>
      </c>
      <c r="Z112" t="str">
        <f>IF($A112="","",IF($B112="V01",cad!$C$27,IF($B112="V02",cad!$D$27,cad!$E$27)))</f>
        <v/>
      </c>
      <c r="AA112" t="str">
        <f>IF($A112="","",IF($B112="V01",cad!$C$28,IF($B112="V02",cad!$D$28,cad!$E$28)))</f>
        <v/>
      </c>
      <c r="AB112" t="str">
        <f>IF($A112="","",IF($B112="V01",cad!$C$39,IF($B112="V02",cad!$D$39,cad!$E$39)))</f>
        <v/>
      </c>
      <c r="AC112" t="str">
        <f>IF($A112="","",IF($F112="MBWAY",cad!$J$12,IF($F112="ISCOM",cad!$J$13,IF($F112="IPAC",cad!$J$14,IF($F112="PIGIER",cad!$J$15,cad!$J$16)))))</f>
        <v/>
      </c>
      <c r="AD112" t="str">
        <f t="shared" si="7"/>
        <v/>
      </c>
      <c r="AE112" t="str">
        <f t="shared" si="8"/>
        <v/>
      </c>
      <c r="AF112" t="str">
        <f t="shared" si="9"/>
        <v/>
      </c>
      <c r="AG112" t="str">
        <f t="shared" si="10"/>
        <v/>
      </c>
      <c r="AH112" t="str">
        <f t="shared" si="11"/>
        <v/>
      </c>
    </row>
    <row r="113" spans="1:34" x14ac:dyDescent="0.45">
      <c r="A113" t="str">
        <f>IF(Moteur!D113="","",Moteur!D113)</f>
        <v/>
      </c>
      <c r="B113" t="str">
        <f>IF(Moteur!B113="","",Moteur!B113)</f>
        <v/>
      </c>
      <c r="C113" t="str">
        <f>IF(Moteur!F113="","",Moteur!F113)</f>
        <v/>
      </c>
      <c r="D113" t="str">
        <f>IF(Moteur!G113="","",Moteur!G113)</f>
        <v/>
      </c>
      <c r="E113" t="str">
        <f>IF(Moteur!H113="","",Moteur!H113)</f>
        <v/>
      </c>
      <c r="F113" t="str">
        <f>IF(Moteur!E113="","",Moteur!E113)</f>
        <v/>
      </c>
      <c r="G113" t="str">
        <f>IF($A113="","",SUMIFS(Allocation2!$H$1:$H$175,Allocation2!$C$1:$C$175,$A113,Allocation2!$D$1:$D$175,$C113,Allocation2!$E$1:$E$175,$D113,Allocation2!$F$1:$F$175,$E113,Allocation2!$G$1:$G$175,"2026"))</f>
        <v/>
      </c>
      <c r="H113" t="str">
        <f>IF($A113="","",SUMIFS(Allocation2!$N$1:$N$175,Allocation2!$C$1:$C$175,$A113,Allocation2!$D$1:$D$175,$C113,Allocation2!$E$1:$E$175,$D113,Allocation2!$F$1:$F$175,$E113,Allocation2!$G$1:$G$175,"2026"))</f>
        <v/>
      </c>
      <c r="I113" t="str">
        <f>IF($A113="","",SUMIFS(Allocation2!$P$1:$P$175,Allocation2!$C$1:$C$175,$A113,Allocation2!$D$1:$D$175,$C113,Allocation2!$E$1:$E$175,$D113,Allocation2!$F$1:$F$175,$E113,Allocation2!$G$1:$G$175,"2026"))</f>
        <v/>
      </c>
      <c r="J113" t="str">
        <f>IF($A113="","",SUMIFS(Allocation2!$W$1:$W$175,Allocation2!$C$1:$C$175,$A113,Allocation2!$D$1:$D$175,$C113,Allocation2!$E$1:$E$175,$D113,Allocation2!$F$1:$F$175,$E113,Allocation2!$G$1:$G$175,"2026"))</f>
        <v/>
      </c>
      <c r="K113" t="str">
        <f>IF($A113="","",SUMIFS(Allocation2!$X$1:$X$175,Allocation2!$C$1:$C$175,$A113,Allocation2!$D$1:$D$175,$C113,Allocation2!$E$1:$E$175,$D113,Allocation2!$F$1:$F$175,$E113,Allocation2!$G$1:$G$175,"2026"))</f>
        <v/>
      </c>
      <c r="L113" t="str">
        <f>IF($A113="","",SUMIFS(Allocation2!$Y$1:$Y$175,Allocation2!$C$1:$C$175,$A113,Allocation2!$D$1:$D$175,$C113,Allocation2!$E$1:$E$175,$D113,Allocation2!$F$1:$F$175,$E113,Allocation2!$G$1:$G$175,"2026"))</f>
        <v/>
      </c>
      <c r="M113" t="str">
        <f>IF($A113="","",SUMIFS(Allocation2!$V$1:$V$175,Allocation2!$C$1:$C$175,$A113,Allocation2!$D$1:$D$175,$C113,Allocation2!$E$1:$E$175,$D113,Allocation2!$F$1:$F$175,$E113,Allocation2!$G$1:$G$175,"2026"))</f>
        <v/>
      </c>
      <c r="N113" t="str">
        <f t="shared" si="6"/>
        <v/>
      </c>
      <c r="O113" t="str">
        <f>IF($A113="","",SUMIFS(Campagne!$D$1:$D$15,Campagne!$C$1:$C$15,$A113))</f>
        <v/>
      </c>
      <c r="P113" t="str">
        <f>IF($A113="","",SUMIFS(Campagne!$E$1:$E$15,Campagne!$C$1:$C$15,$A113))</f>
        <v/>
      </c>
      <c r="Q113" t="str">
        <f>IF($A113="","",SUMIFS(Campagne!$F$1:$F$15,Campagne!$C$1:$C$15,$A113))</f>
        <v/>
      </c>
      <c r="R113" t="str">
        <f>IF($A113="","",SUMIFS(Campagne!$K$1:$K$15,Campagne!$C$1:$C$15,$A113))</f>
        <v/>
      </c>
      <c r="S113" t="str">
        <f>IF($A113="","",SUMIFS(Campagne!$M$1:$M$15,Campagne!$C$1:$C$15,$A113))</f>
        <v/>
      </c>
      <c r="T113" t="str">
        <f>IF($A113="","",SUMIFS(PIL!$K$15:$K$28,PIL!$A$15:$A$28,$A113)*SUMIFS(PIL!$J$15:$J$28,PIL!$A$15:$A$28,$A113)*(SUM(PIL!$K$15:$K$28)/SUMPRODUCT(PIL!$K$15:$K$28,PIL!$J$15:$J$28)))</f>
        <v/>
      </c>
      <c r="U113" t="str">
        <f>IF($A113="","",SUMIFS(PIL!$K$15:$K$28,PIL!$A$15:$A$28,$A113))</f>
        <v/>
      </c>
      <c r="V113" t="str">
        <f>IF($A113="","",IF($B113="V01",cad!$C$23,IF($B113="V02",cad!$D$23,cad!$E$23)))</f>
        <v/>
      </c>
      <c r="W113" t="str">
        <f>IF($A113="","",IF($B113="V01",cad!$C$24,IF($B113="V02",cad!$D$24,cad!$E$24)))</f>
        <v/>
      </c>
      <c r="X113" t="str">
        <f>IF($A113="","",IF($B113="V01",cad!$C$25,IF($B113="V02",cad!$D$25,cad!$E$25)))</f>
        <v/>
      </c>
      <c r="Y113" t="str">
        <f>IF($A113="","",IF($B113="V01",cad!$C$26,IF($B113="V02",cad!$D$26,cad!$E$26)))</f>
        <v/>
      </c>
      <c r="Z113" t="str">
        <f>IF($A113="","",IF($B113="V01",cad!$C$27,IF($B113="V02",cad!$D$27,cad!$E$27)))</f>
        <v/>
      </c>
      <c r="AA113" t="str">
        <f>IF($A113="","",IF($B113="V01",cad!$C$28,IF($B113="V02",cad!$D$28,cad!$E$28)))</f>
        <v/>
      </c>
      <c r="AB113" t="str">
        <f>IF($A113="","",IF($B113="V01",cad!$C$39,IF($B113="V02",cad!$D$39,cad!$E$39)))</f>
        <v/>
      </c>
      <c r="AC113" t="str">
        <f>IF($A113="","",IF($F113="MBWAY",cad!$J$12,IF($F113="ISCOM",cad!$J$13,IF($F113="IPAC",cad!$J$14,IF($F113="PIGIER",cad!$J$15,cad!$J$16)))))</f>
        <v/>
      </c>
      <c r="AD113" t="str">
        <f t="shared" si="7"/>
        <v/>
      </c>
      <c r="AE113" t="str">
        <f t="shared" si="8"/>
        <v/>
      </c>
      <c r="AF113" t="str">
        <f t="shared" si="9"/>
        <v/>
      </c>
      <c r="AG113" t="str">
        <f t="shared" si="10"/>
        <v/>
      </c>
      <c r="AH113" t="str">
        <f t="shared" si="11"/>
        <v/>
      </c>
    </row>
    <row r="114" spans="1:34" x14ac:dyDescent="0.45">
      <c r="A114" t="str">
        <f>IF(Moteur!D114="","",Moteur!D114)</f>
        <v/>
      </c>
      <c r="B114" t="str">
        <f>IF(Moteur!B114="","",Moteur!B114)</f>
        <v/>
      </c>
      <c r="C114" t="str">
        <f>IF(Moteur!F114="","",Moteur!F114)</f>
        <v/>
      </c>
      <c r="D114" t="str">
        <f>IF(Moteur!G114="","",Moteur!G114)</f>
        <v/>
      </c>
      <c r="E114" t="str">
        <f>IF(Moteur!H114="","",Moteur!H114)</f>
        <v/>
      </c>
      <c r="F114" t="str">
        <f>IF(Moteur!E114="","",Moteur!E114)</f>
        <v/>
      </c>
      <c r="G114" t="str">
        <f>IF($A114="","",SUMIFS(Allocation2!$H$1:$H$175,Allocation2!$C$1:$C$175,$A114,Allocation2!$D$1:$D$175,$C114,Allocation2!$E$1:$E$175,$D114,Allocation2!$F$1:$F$175,$E114,Allocation2!$G$1:$G$175,"2026"))</f>
        <v/>
      </c>
      <c r="H114" t="str">
        <f>IF($A114="","",SUMIFS(Allocation2!$N$1:$N$175,Allocation2!$C$1:$C$175,$A114,Allocation2!$D$1:$D$175,$C114,Allocation2!$E$1:$E$175,$D114,Allocation2!$F$1:$F$175,$E114,Allocation2!$G$1:$G$175,"2026"))</f>
        <v/>
      </c>
      <c r="I114" t="str">
        <f>IF($A114="","",SUMIFS(Allocation2!$P$1:$P$175,Allocation2!$C$1:$C$175,$A114,Allocation2!$D$1:$D$175,$C114,Allocation2!$E$1:$E$175,$D114,Allocation2!$F$1:$F$175,$E114,Allocation2!$G$1:$G$175,"2026"))</f>
        <v/>
      </c>
      <c r="J114" t="str">
        <f>IF($A114="","",SUMIFS(Allocation2!$W$1:$W$175,Allocation2!$C$1:$C$175,$A114,Allocation2!$D$1:$D$175,$C114,Allocation2!$E$1:$E$175,$D114,Allocation2!$F$1:$F$175,$E114,Allocation2!$G$1:$G$175,"2026"))</f>
        <v/>
      </c>
      <c r="K114" t="str">
        <f>IF($A114="","",SUMIFS(Allocation2!$X$1:$X$175,Allocation2!$C$1:$C$175,$A114,Allocation2!$D$1:$D$175,$C114,Allocation2!$E$1:$E$175,$D114,Allocation2!$F$1:$F$175,$E114,Allocation2!$G$1:$G$175,"2026"))</f>
        <v/>
      </c>
      <c r="L114" t="str">
        <f>IF($A114="","",SUMIFS(Allocation2!$Y$1:$Y$175,Allocation2!$C$1:$C$175,$A114,Allocation2!$D$1:$D$175,$C114,Allocation2!$E$1:$E$175,$D114,Allocation2!$F$1:$F$175,$E114,Allocation2!$G$1:$G$175,"2026"))</f>
        <v/>
      </c>
      <c r="M114" t="str">
        <f>IF($A114="","",SUMIFS(Allocation2!$V$1:$V$175,Allocation2!$C$1:$C$175,$A114,Allocation2!$D$1:$D$175,$C114,Allocation2!$E$1:$E$175,$D114,Allocation2!$F$1:$F$175,$E114,Allocation2!$G$1:$G$175,"2026"))</f>
        <v/>
      </c>
      <c r="N114" t="str">
        <f t="shared" si="6"/>
        <v/>
      </c>
      <c r="O114" t="str">
        <f>IF($A114="","",SUMIFS(Campagne!$D$1:$D$15,Campagne!$C$1:$C$15,$A114))</f>
        <v/>
      </c>
      <c r="P114" t="str">
        <f>IF($A114="","",SUMIFS(Campagne!$E$1:$E$15,Campagne!$C$1:$C$15,$A114))</f>
        <v/>
      </c>
      <c r="Q114" t="str">
        <f>IF($A114="","",SUMIFS(Campagne!$F$1:$F$15,Campagne!$C$1:$C$15,$A114))</f>
        <v/>
      </c>
      <c r="R114" t="str">
        <f>IF($A114="","",SUMIFS(Campagne!$K$1:$K$15,Campagne!$C$1:$C$15,$A114))</f>
        <v/>
      </c>
      <c r="S114" t="str">
        <f>IF($A114="","",SUMIFS(Campagne!$M$1:$M$15,Campagne!$C$1:$C$15,$A114))</f>
        <v/>
      </c>
      <c r="T114" t="str">
        <f>IF($A114="","",SUMIFS(PIL!$K$15:$K$28,PIL!$A$15:$A$28,$A114)*SUMIFS(PIL!$J$15:$J$28,PIL!$A$15:$A$28,$A114)*(SUM(PIL!$K$15:$K$28)/SUMPRODUCT(PIL!$K$15:$K$28,PIL!$J$15:$J$28)))</f>
        <v/>
      </c>
      <c r="U114" t="str">
        <f>IF($A114="","",SUMIFS(PIL!$K$15:$K$28,PIL!$A$15:$A$28,$A114))</f>
        <v/>
      </c>
      <c r="V114" t="str">
        <f>IF($A114="","",IF($B114="V01",cad!$C$23,IF($B114="V02",cad!$D$23,cad!$E$23)))</f>
        <v/>
      </c>
      <c r="W114" t="str">
        <f>IF($A114="","",IF($B114="V01",cad!$C$24,IF($B114="V02",cad!$D$24,cad!$E$24)))</f>
        <v/>
      </c>
      <c r="X114" t="str">
        <f>IF($A114="","",IF($B114="V01",cad!$C$25,IF($B114="V02",cad!$D$25,cad!$E$25)))</f>
        <v/>
      </c>
      <c r="Y114" t="str">
        <f>IF($A114="","",IF($B114="V01",cad!$C$26,IF($B114="V02",cad!$D$26,cad!$E$26)))</f>
        <v/>
      </c>
      <c r="Z114" t="str">
        <f>IF($A114="","",IF($B114="V01",cad!$C$27,IF($B114="V02",cad!$D$27,cad!$E$27)))</f>
        <v/>
      </c>
      <c r="AA114" t="str">
        <f>IF($A114="","",IF($B114="V01",cad!$C$28,IF($B114="V02",cad!$D$28,cad!$E$28)))</f>
        <v/>
      </c>
      <c r="AB114" t="str">
        <f>IF($A114="","",IF($B114="V01",cad!$C$39,IF($B114="V02",cad!$D$39,cad!$E$39)))</f>
        <v/>
      </c>
      <c r="AC114" t="str">
        <f>IF($A114="","",IF($F114="MBWAY",cad!$J$12,IF($F114="ISCOM",cad!$J$13,IF($F114="IPAC",cad!$J$14,IF($F114="PIGIER",cad!$J$15,cad!$J$16)))))</f>
        <v/>
      </c>
      <c r="AD114" t="str">
        <f t="shared" si="7"/>
        <v/>
      </c>
      <c r="AE114" t="str">
        <f t="shared" si="8"/>
        <v/>
      </c>
      <c r="AF114" t="str">
        <f t="shared" si="9"/>
        <v/>
      </c>
      <c r="AG114" t="str">
        <f t="shared" si="10"/>
        <v/>
      </c>
      <c r="AH114" t="str">
        <f t="shared" si="11"/>
        <v/>
      </c>
    </row>
    <row r="115" spans="1:34" x14ac:dyDescent="0.45">
      <c r="A115" t="str">
        <f>IF(Moteur!D115="","",Moteur!D115)</f>
        <v/>
      </c>
      <c r="B115" t="str">
        <f>IF(Moteur!B115="","",Moteur!B115)</f>
        <v/>
      </c>
      <c r="C115" t="str">
        <f>IF(Moteur!F115="","",Moteur!F115)</f>
        <v/>
      </c>
      <c r="D115" t="str">
        <f>IF(Moteur!G115="","",Moteur!G115)</f>
        <v/>
      </c>
      <c r="E115" t="str">
        <f>IF(Moteur!H115="","",Moteur!H115)</f>
        <v/>
      </c>
      <c r="F115" t="str">
        <f>IF(Moteur!E115="","",Moteur!E115)</f>
        <v/>
      </c>
      <c r="G115" t="str">
        <f>IF($A115="","",SUMIFS(Allocation2!$H$1:$H$175,Allocation2!$C$1:$C$175,$A115,Allocation2!$D$1:$D$175,$C115,Allocation2!$E$1:$E$175,$D115,Allocation2!$F$1:$F$175,$E115,Allocation2!$G$1:$G$175,"2026"))</f>
        <v/>
      </c>
      <c r="H115" t="str">
        <f>IF($A115="","",SUMIFS(Allocation2!$N$1:$N$175,Allocation2!$C$1:$C$175,$A115,Allocation2!$D$1:$D$175,$C115,Allocation2!$E$1:$E$175,$D115,Allocation2!$F$1:$F$175,$E115,Allocation2!$G$1:$G$175,"2026"))</f>
        <v/>
      </c>
      <c r="I115" t="str">
        <f>IF($A115="","",SUMIFS(Allocation2!$P$1:$P$175,Allocation2!$C$1:$C$175,$A115,Allocation2!$D$1:$D$175,$C115,Allocation2!$E$1:$E$175,$D115,Allocation2!$F$1:$F$175,$E115,Allocation2!$G$1:$G$175,"2026"))</f>
        <v/>
      </c>
      <c r="J115" t="str">
        <f>IF($A115="","",SUMIFS(Allocation2!$W$1:$W$175,Allocation2!$C$1:$C$175,$A115,Allocation2!$D$1:$D$175,$C115,Allocation2!$E$1:$E$175,$D115,Allocation2!$F$1:$F$175,$E115,Allocation2!$G$1:$G$175,"2026"))</f>
        <v/>
      </c>
      <c r="K115" t="str">
        <f>IF($A115="","",SUMIFS(Allocation2!$X$1:$X$175,Allocation2!$C$1:$C$175,$A115,Allocation2!$D$1:$D$175,$C115,Allocation2!$E$1:$E$175,$D115,Allocation2!$F$1:$F$175,$E115,Allocation2!$G$1:$G$175,"2026"))</f>
        <v/>
      </c>
      <c r="L115" t="str">
        <f>IF($A115="","",SUMIFS(Allocation2!$Y$1:$Y$175,Allocation2!$C$1:$C$175,$A115,Allocation2!$D$1:$D$175,$C115,Allocation2!$E$1:$E$175,$D115,Allocation2!$F$1:$F$175,$E115,Allocation2!$G$1:$G$175,"2026"))</f>
        <v/>
      </c>
      <c r="M115" t="str">
        <f>IF($A115="","",SUMIFS(Allocation2!$V$1:$V$175,Allocation2!$C$1:$C$175,$A115,Allocation2!$D$1:$D$175,$C115,Allocation2!$E$1:$E$175,$D115,Allocation2!$F$1:$F$175,$E115,Allocation2!$G$1:$G$175,"2026"))</f>
        <v/>
      </c>
      <c r="N115" t="str">
        <f t="shared" si="6"/>
        <v/>
      </c>
      <c r="O115" t="str">
        <f>IF($A115="","",SUMIFS(Campagne!$D$1:$D$15,Campagne!$C$1:$C$15,$A115))</f>
        <v/>
      </c>
      <c r="P115" t="str">
        <f>IF($A115="","",SUMIFS(Campagne!$E$1:$E$15,Campagne!$C$1:$C$15,$A115))</f>
        <v/>
      </c>
      <c r="Q115" t="str">
        <f>IF($A115="","",SUMIFS(Campagne!$F$1:$F$15,Campagne!$C$1:$C$15,$A115))</f>
        <v/>
      </c>
      <c r="R115" t="str">
        <f>IF($A115="","",SUMIFS(Campagne!$K$1:$K$15,Campagne!$C$1:$C$15,$A115))</f>
        <v/>
      </c>
      <c r="S115" t="str">
        <f>IF($A115="","",SUMIFS(Campagne!$M$1:$M$15,Campagne!$C$1:$C$15,$A115))</f>
        <v/>
      </c>
      <c r="T115" t="str">
        <f>IF($A115="","",SUMIFS(PIL!$K$15:$K$28,PIL!$A$15:$A$28,$A115)*SUMIFS(PIL!$J$15:$J$28,PIL!$A$15:$A$28,$A115)*(SUM(PIL!$K$15:$K$28)/SUMPRODUCT(PIL!$K$15:$K$28,PIL!$J$15:$J$28)))</f>
        <v/>
      </c>
      <c r="U115" t="str">
        <f>IF($A115="","",SUMIFS(PIL!$K$15:$K$28,PIL!$A$15:$A$28,$A115))</f>
        <v/>
      </c>
      <c r="V115" t="str">
        <f>IF($A115="","",IF($B115="V01",cad!$C$23,IF($B115="V02",cad!$D$23,cad!$E$23)))</f>
        <v/>
      </c>
      <c r="W115" t="str">
        <f>IF($A115="","",IF($B115="V01",cad!$C$24,IF($B115="V02",cad!$D$24,cad!$E$24)))</f>
        <v/>
      </c>
      <c r="X115" t="str">
        <f>IF($A115="","",IF($B115="V01",cad!$C$25,IF($B115="V02",cad!$D$25,cad!$E$25)))</f>
        <v/>
      </c>
      <c r="Y115" t="str">
        <f>IF($A115="","",IF($B115="V01",cad!$C$26,IF($B115="V02",cad!$D$26,cad!$E$26)))</f>
        <v/>
      </c>
      <c r="Z115" t="str">
        <f>IF($A115="","",IF($B115="V01",cad!$C$27,IF($B115="V02",cad!$D$27,cad!$E$27)))</f>
        <v/>
      </c>
      <c r="AA115" t="str">
        <f>IF($A115="","",IF($B115="V01",cad!$C$28,IF($B115="V02",cad!$D$28,cad!$E$28)))</f>
        <v/>
      </c>
      <c r="AB115" t="str">
        <f>IF($A115="","",IF($B115="V01",cad!$C$39,IF($B115="V02",cad!$D$39,cad!$E$39)))</f>
        <v/>
      </c>
      <c r="AC115" t="str">
        <f>IF($A115="","",IF($F115="MBWAY",cad!$J$12,IF($F115="ISCOM",cad!$J$13,IF($F115="IPAC",cad!$J$14,IF($F115="PIGIER",cad!$J$15,cad!$J$16)))))</f>
        <v/>
      </c>
      <c r="AD115" t="str">
        <f t="shared" si="7"/>
        <v/>
      </c>
      <c r="AE115" t="str">
        <f t="shared" si="8"/>
        <v/>
      </c>
      <c r="AF115" t="str">
        <f t="shared" si="9"/>
        <v/>
      </c>
      <c r="AG115" t="str">
        <f t="shared" si="10"/>
        <v/>
      </c>
      <c r="AH115" t="str">
        <f t="shared" si="11"/>
        <v/>
      </c>
    </row>
    <row r="116" spans="1:34" x14ac:dyDescent="0.45">
      <c r="A116" t="str">
        <f>IF(Moteur!D116="","",Moteur!D116)</f>
        <v/>
      </c>
      <c r="B116" t="str">
        <f>IF(Moteur!B116="","",Moteur!B116)</f>
        <v/>
      </c>
      <c r="C116" t="str">
        <f>IF(Moteur!F116="","",Moteur!F116)</f>
        <v/>
      </c>
      <c r="D116" t="str">
        <f>IF(Moteur!G116="","",Moteur!G116)</f>
        <v/>
      </c>
      <c r="E116" t="str">
        <f>IF(Moteur!H116="","",Moteur!H116)</f>
        <v/>
      </c>
      <c r="F116" t="str">
        <f>IF(Moteur!E116="","",Moteur!E116)</f>
        <v/>
      </c>
      <c r="G116" t="str">
        <f>IF($A116="","",SUMIFS(Allocation2!$H$1:$H$175,Allocation2!$C$1:$C$175,$A116,Allocation2!$D$1:$D$175,$C116,Allocation2!$E$1:$E$175,$D116,Allocation2!$F$1:$F$175,$E116,Allocation2!$G$1:$G$175,"2026"))</f>
        <v/>
      </c>
      <c r="H116" t="str">
        <f>IF($A116="","",SUMIFS(Allocation2!$N$1:$N$175,Allocation2!$C$1:$C$175,$A116,Allocation2!$D$1:$D$175,$C116,Allocation2!$E$1:$E$175,$D116,Allocation2!$F$1:$F$175,$E116,Allocation2!$G$1:$G$175,"2026"))</f>
        <v/>
      </c>
      <c r="I116" t="str">
        <f>IF($A116="","",SUMIFS(Allocation2!$P$1:$P$175,Allocation2!$C$1:$C$175,$A116,Allocation2!$D$1:$D$175,$C116,Allocation2!$E$1:$E$175,$D116,Allocation2!$F$1:$F$175,$E116,Allocation2!$G$1:$G$175,"2026"))</f>
        <v/>
      </c>
      <c r="J116" t="str">
        <f>IF($A116="","",SUMIFS(Allocation2!$W$1:$W$175,Allocation2!$C$1:$C$175,$A116,Allocation2!$D$1:$D$175,$C116,Allocation2!$E$1:$E$175,$D116,Allocation2!$F$1:$F$175,$E116,Allocation2!$G$1:$G$175,"2026"))</f>
        <v/>
      </c>
      <c r="K116" t="str">
        <f>IF($A116="","",SUMIFS(Allocation2!$X$1:$X$175,Allocation2!$C$1:$C$175,$A116,Allocation2!$D$1:$D$175,$C116,Allocation2!$E$1:$E$175,$D116,Allocation2!$F$1:$F$175,$E116,Allocation2!$G$1:$G$175,"2026"))</f>
        <v/>
      </c>
      <c r="L116" t="str">
        <f>IF($A116="","",SUMIFS(Allocation2!$Y$1:$Y$175,Allocation2!$C$1:$C$175,$A116,Allocation2!$D$1:$D$175,$C116,Allocation2!$E$1:$E$175,$D116,Allocation2!$F$1:$F$175,$E116,Allocation2!$G$1:$G$175,"2026"))</f>
        <v/>
      </c>
      <c r="M116" t="str">
        <f>IF($A116="","",SUMIFS(Allocation2!$V$1:$V$175,Allocation2!$C$1:$C$175,$A116,Allocation2!$D$1:$D$175,$C116,Allocation2!$E$1:$E$175,$D116,Allocation2!$F$1:$F$175,$E116,Allocation2!$G$1:$G$175,"2026"))</f>
        <v/>
      </c>
      <c r="N116" t="str">
        <f t="shared" si="6"/>
        <v/>
      </c>
      <c r="O116" t="str">
        <f>IF($A116="","",SUMIFS(Campagne!$D$1:$D$15,Campagne!$C$1:$C$15,$A116))</f>
        <v/>
      </c>
      <c r="P116" t="str">
        <f>IF($A116="","",SUMIFS(Campagne!$E$1:$E$15,Campagne!$C$1:$C$15,$A116))</f>
        <v/>
      </c>
      <c r="Q116" t="str">
        <f>IF($A116="","",SUMIFS(Campagne!$F$1:$F$15,Campagne!$C$1:$C$15,$A116))</f>
        <v/>
      </c>
      <c r="R116" t="str">
        <f>IF($A116="","",SUMIFS(Campagne!$K$1:$K$15,Campagne!$C$1:$C$15,$A116))</f>
        <v/>
      </c>
      <c r="S116" t="str">
        <f>IF($A116="","",SUMIFS(Campagne!$M$1:$M$15,Campagne!$C$1:$C$15,$A116))</f>
        <v/>
      </c>
      <c r="T116" t="str">
        <f>IF($A116="","",SUMIFS(PIL!$K$15:$K$28,PIL!$A$15:$A$28,$A116)*SUMIFS(PIL!$J$15:$J$28,PIL!$A$15:$A$28,$A116)*(SUM(PIL!$K$15:$K$28)/SUMPRODUCT(PIL!$K$15:$K$28,PIL!$J$15:$J$28)))</f>
        <v/>
      </c>
      <c r="U116" t="str">
        <f>IF($A116="","",SUMIFS(PIL!$K$15:$K$28,PIL!$A$15:$A$28,$A116))</f>
        <v/>
      </c>
      <c r="V116" t="str">
        <f>IF($A116="","",IF($B116="V01",cad!$C$23,IF($B116="V02",cad!$D$23,cad!$E$23)))</f>
        <v/>
      </c>
      <c r="W116" t="str">
        <f>IF($A116="","",IF($B116="V01",cad!$C$24,IF($B116="V02",cad!$D$24,cad!$E$24)))</f>
        <v/>
      </c>
      <c r="X116" t="str">
        <f>IF($A116="","",IF($B116="V01",cad!$C$25,IF($B116="V02",cad!$D$25,cad!$E$25)))</f>
        <v/>
      </c>
      <c r="Y116" t="str">
        <f>IF($A116="","",IF($B116="V01",cad!$C$26,IF($B116="V02",cad!$D$26,cad!$E$26)))</f>
        <v/>
      </c>
      <c r="Z116" t="str">
        <f>IF($A116="","",IF($B116="V01",cad!$C$27,IF($B116="V02",cad!$D$27,cad!$E$27)))</f>
        <v/>
      </c>
      <c r="AA116" t="str">
        <f>IF($A116="","",IF($B116="V01",cad!$C$28,IF($B116="V02",cad!$D$28,cad!$E$28)))</f>
        <v/>
      </c>
      <c r="AB116" t="str">
        <f>IF($A116="","",IF($B116="V01",cad!$C$39,IF($B116="V02",cad!$D$39,cad!$E$39)))</f>
        <v/>
      </c>
      <c r="AC116" t="str">
        <f>IF($A116="","",IF($F116="MBWAY",cad!$J$12,IF($F116="ISCOM",cad!$J$13,IF($F116="IPAC",cad!$J$14,IF($F116="PIGIER",cad!$J$15,cad!$J$16)))))</f>
        <v/>
      </c>
      <c r="AD116" t="str">
        <f t="shared" si="7"/>
        <v/>
      </c>
      <c r="AE116" t="str">
        <f t="shared" si="8"/>
        <v/>
      </c>
      <c r="AF116" t="str">
        <f t="shared" si="9"/>
        <v/>
      </c>
      <c r="AG116" t="str">
        <f t="shared" si="10"/>
        <v/>
      </c>
      <c r="AH116" t="str">
        <f t="shared" si="11"/>
        <v/>
      </c>
    </row>
    <row r="117" spans="1:34" x14ac:dyDescent="0.45">
      <c r="A117" t="str">
        <f>IF(Moteur!D117="","",Moteur!D117)</f>
        <v/>
      </c>
      <c r="B117" t="str">
        <f>IF(Moteur!B117="","",Moteur!B117)</f>
        <v/>
      </c>
      <c r="C117" t="str">
        <f>IF(Moteur!F117="","",Moteur!F117)</f>
        <v/>
      </c>
      <c r="D117" t="str">
        <f>IF(Moteur!G117="","",Moteur!G117)</f>
        <v/>
      </c>
      <c r="E117" t="str">
        <f>IF(Moteur!H117="","",Moteur!H117)</f>
        <v/>
      </c>
      <c r="F117" t="str">
        <f>IF(Moteur!E117="","",Moteur!E117)</f>
        <v/>
      </c>
      <c r="G117" t="str">
        <f>IF($A117="","",SUMIFS(Allocation2!$H$1:$H$175,Allocation2!$C$1:$C$175,$A117,Allocation2!$D$1:$D$175,$C117,Allocation2!$E$1:$E$175,$D117,Allocation2!$F$1:$F$175,$E117,Allocation2!$G$1:$G$175,"2026"))</f>
        <v/>
      </c>
      <c r="H117" t="str">
        <f>IF($A117="","",SUMIFS(Allocation2!$N$1:$N$175,Allocation2!$C$1:$C$175,$A117,Allocation2!$D$1:$D$175,$C117,Allocation2!$E$1:$E$175,$D117,Allocation2!$F$1:$F$175,$E117,Allocation2!$G$1:$G$175,"2026"))</f>
        <v/>
      </c>
      <c r="I117" t="str">
        <f>IF($A117="","",SUMIFS(Allocation2!$P$1:$P$175,Allocation2!$C$1:$C$175,$A117,Allocation2!$D$1:$D$175,$C117,Allocation2!$E$1:$E$175,$D117,Allocation2!$F$1:$F$175,$E117,Allocation2!$G$1:$G$175,"2026"))</f>
        <v/>
      </c>
      <c r="J117" t="str">
        <f>IF($A117="","",SUMIFS(Allocation2!$W$1:$W$175,Allocation2!$C$1:$C$175,$A117,Allocation2!$D$1:$D$175,$C117,Allocation2!$E$1:$E$175,$D117,Allocation2!$F$1:$F$175,$E117,Allocation2!$G$1:$G$175,"2026"))</f>
        <v/>
      </c>
      <c r="K117" t="str">
        <f>IF($A117="","",SUMIFS(Allocation2!$X$1:$X$175,Allocation2!$C$1:$C$175,$A117,Allocation2!$D$1:$D$175,$C117,Allocation2!$E$1:$E$175,$D117,Allocation2!$F$1:$F$175,$E117,Allocation2!$G$1:$G$175,"2026"))</f>
        <v/>
      </c>
      <c r="L117" t="str">
        <f>IF($A117="","",SUMIFS(Allocation2!$Y$1:$Y$175,Allocation2!$C$1:$C$175,$A117,Allocation2!$D$1:$D$175,$C117,Allocation2!$E$1:$E$175,$D117,Allocation2!$F$1:$F$175,$E117,Allocation2!$G$1:$G$175,"2026"))</f>
        <v/>
      </c>
      <c r="M117" t="str">
        <f>IF($A117="","",SUMIFS(Allocation2!$V$1:$V$175,Allocation2!$C$1:$C$175,$A117,Allocation2!$D$1:$D$175,$C117,Allocation2!$E$1:$E$175,$D117,Allocation2!$F$1:$F$175,$E117,Allocation2!$G$1:$G$175,"2026"))</f>
        <v/>
      </c>
      <c r="N117" t="str">
        <f t="shared" si="6"/>
        <v/>
      </c>
      <c r="O117" t="str">
        <f>IF($A117="","",SUMIFS(Campagne!$D$1:$D$15,Campagne!$C$1:$C$15,$A117))</f>
        <v/>
      </c>
      <c r="P117" t="str">
        <f>IF($A117="","",SUMIFS(Campagne!$E$1:$E$15,Campagne!$C$1:$C$15,$A117))</f>
        <v/>
      </c>
      <c r="Q117" t="str">
        <f>IF($A117="","",SUMIFS(Campagne!$F$1:$F$15,Campagne!$C$1:$C$15,$A117))</f>
        <v/>
      </c>
      <c r="R117" t="str">
        <f>IF($A117="","",SUMIFS(Campagne!$K$1:$K$15,Campagne!$C$1:$C$15,$A117))</f>
        <v/>
      </c>
      <c r="S117" t="str">
        <f>IF($A117="","",SUMIFS(Campagne!$M$1:$M$15,Campagne!$C$1:$C$15,$A117))</f>
        <v/>
      </c>
      <c r="T117" t="str">
        <f>IF($A117="","",SUMIFS(PIL!$K$15:$K$28,PIL!$A$15:$A$28,$A117)*SUMIFS(PIL!$J$15:$J$28,PIL!$A$15:$A$28,$A117)*(SUM(PIL!$K$15:$K$28)/SUMPRODUCT(PIL!$K$15:$K$28,PIL!$J$15:$J$28)))</f>
        <v/>
      </c>
      <c r="U117" t="str">
        <f>IF($A117="","",SUMIFS(PIL!$K$15:$K$28,PIL!$A$15:$A$28,$A117))</f>
        <v/>
      </c>
      <c r="V117" t="str">
        <f>IF($A117="","",IF($B117="V01",cad!$C$23,IF($B117="V02",cad!$D$23,cad!$E$23)))</f>
        <v/>
      </c>
      <c r="W117" t="str">
        <f>IF($A117="","",IF($B117="V01",cad!$C$24,IF($B117="V02",cad!$D$24,cad!$E$24)))</f>
        <v/>
      </c>
      <c r="X117" t="str">
        <f>IF($A117="","",IF($B117="V01",cad!$C$25,IF($B117="V02",cad!$D$25,cad!$E$25)))</f>
        <v/>
      </c>
      <c r="Y117" t="str">
        <f>IF($A117="","",IF($B117="V01",cad!$C$26,IF($B117="V02",cad!$D$26,cad!$E$26)))</f>
        <v/>
      </c>
      <c r="Z117" t="str">
        <f>IF($A117="","",IF($B117="V01",cad!$C$27,IF($B117="V02",cad!$D$27,cad!$E$27)))</f>
        <v/>
      </c>
      <c r="AA117" t="str">
        <f>IF($A117="","",IF($B117="V01",cad!$C$28,IF($B117="V02",cad!$D$28,cad!$E$28)))</f>
        <v/>
      </c>
      <c r="AB117" t="str">
        <f>IF($A117="","",IF($B117="V01",cad!$C$39,IF($B117="V02",cad!$D$39,cad!$E$39)))</f>
        <v/>
      </c>
      <c r="AC117" t="str">
        <f>IF($A117="","",IF($F117="MBWAY",cad!$J$12,IF($F117="ISCOM",cad!$J$13,IF($F117="IPAC",cad!$J$14,IF($F117="PIGIER",cad!$J$15,cad!$J$16)))))</f>
        <v/>
      </c>
      <c r="AD117" t="str">
        <f t="shared" si="7"/>
        <v/>
      </c>
      <c r="AE117" t="str">
        <f t="shared" si="8"/>
        <v/>
      </c>
      <c r="AF117" t="str">
        <f t="shared" si="9"/>
        <v/>
      </c>
      <c r="AG117" t="str">
        <f t="shared" si="10"/>
        <v/>
      </c>
      <c r="AH117" t="str">
        <f t="shared" si="11"/>
        <v/>
      </c>
    </row>
    <row r="118" spans="1:34" x14ac:dyDescent="0.45">
      <c r="A118" t="str">
        <f>IF(Moteur!D118="","",Moteur!D118)</f>
        <v/>
      </c>
      <c r="B118" t="str">
        <f>IF(Moteur!B118="","",Moteur!B118)</f>
        <v/>
      </c>
      <c r="C118" t="str">
        <f>IF(Moteur!F118="","",Moteur!F118)</f>
        <v/>
      </c>
      <c r="D118" t="str">
        <f>IF(Moteur!G118="","",Moteur!G118)</f>
        <v/>
      </c>
      <c r="E118" t="str">
        <f>IF(Moteur!H118="","",Moteur!H118)</f>
        <v/>
      </c>
      <c r="F118" t="str">
        <f>IF(Moteur!E118="","",Moteur!E118)</f>
        <v/>
      </c>
      <c r="G118" t="str">
        <f>IF($A118="","",SUMIFS(Allocation2!$H$1:$H$175,Allocation2!$C$1:$C$175,$A118,Allocation2!$D$1:$D$175,$C118,Allocation2!$E$1:$E$175,$D118,Allocation2!$F$1:$F$175,$E118,Allocation2!$G$1:$G$175,"2026"))</f>
        <v/>
      </c>
      <c r="H118" t="str">
        <f>IF($A118="","",SUMIFS(Allocation2!$N$1:$N$175,Allocation2!$C$1:$C$175,$A118,Allocation2!$D$1:$D$175,$C118,Allocation2!$E$1:$E$175,$D118,Allocation2!$F$1:$F$175,$E118,Allocation2!$G$1:$G$175,"2026"))</f>
        <v/>
      </c>
      <c r="I118" t="str">
        <f>IF($A118="","",SUMIFS(Allocation2!$P$1:$P$175,Allocation2!$C$1:$C$175,$A118,Allocation2!$D$1:$D$175,$C118,Allocation2!$E$1:$E$175,$D118,Allocation2!$F$1:$F$175,$E118,Allocation2!$G$1:$G$175,"2026"))</f>
        <v/>
      </c>
      <c r="J118" t="str">
        <f>IF($A118="","",SUMIFS(Allocation2!$W$1:$W$175,Allocation2!$C$1:$C$175,$A118,Allocation2!$D$1:$D$175,$C118,Allocation2!$E$1:$E$175,$D118,Allocation2!$F$1:$F$175,$E118,Allocation2!$G$1:$G$175,"2026"))</f>
        <v/>
      </c>
      <c r="K118" t="str">
        <f>IF($A118="","",SUMIFS(Allocation2!$X$1:$X$175,Allocation2!$C$1:$C$175,$A118,Allocation2!$D$1:$D$175,$C118,Allocation2!$E$1:$E$175,$D118,Allocation2!$F$1:$F$175,$E118,Allocation2!$G$1:$G$175,"2026"))</f>
        <v/>
      </c>
      <c r="L118" t="str">
        <f>IF($A118="","",SUMIFS(Allocation2!$Y$1:$Y$175,Allocation2!$C$1:$C$175,$A118,Allocation2!$D$1:$D$175,$C118,Allocation2!$E$1:$E$175,$D118,Allocation2!$F$1:$F$175,$E118,Allocation2!$G$1:$G$175,"2026"))</f>
        <v/>
      </c>
      <c r="M118" t="str">
        <f>IF($A118="","",SUMIFS(Allocation2!$V$1:$V$175,Allocation2!$C$1:$C$175,$A118,Allocation2!$D$1:$D$175,$C118,Allocation2!$E$1:$E$175,$D118,Allocation2!$F$1:$F$175,$E118,Allocation2!$G$1:$G$175,"2026"))</f>
        <v/>
      </c>
      <c r="N118" t="str">
        <f t="shared" si="6"/>
        <v/>
      </c>
      <c r="O118" t="str">
        <f>IF($A118="","",SUMIFS(Campagne!$D$1:$D$15,Campagne!$C$1:$C$15,$A118))</f>
        <v/>
      </c>
      <c r="P118" t="str">
        <f>IF($A118="","",SUMIFS(Campagne!$E$1:$E$15,Campagne!$C$1:$C$15,$A118))</f>
        <v/>
      </c>
      <c r="Q118" t="str">
        <f>IF($A118="","",SUMIFS(Campagne!$F$1:$F$15,Campagne!$C$1:$C$15,$A118))</f>
        <v/>
      </c>
      <c r="R118" t="str">
        <f>IF($A118="","",SUMIFS(Campagne!$K$1:$K$15,Campagne!$C$1:$C$15,$A118))</f>
        <v/>
      </c>
      <c r="S118" t="str">
        <f>IF($A118="","",SUMIFS(Campagne!$M$1:$M$15,Campagne!$C$1:$C$15,$A118))</f>
        <v/>
      </c>
      <c r="T118" t="str">
        <f>IF($A118="","",SUMIFS(PIL!$K$15:$K$28,PIL!$A$15:$A$28,$A118)*SUMIFS(PIL!$J$15:$J$28,PIL!$A$15:$A$28,$A118)*(SUM(PIL!$K$15:$K$28)/SUMPRODUCT(PIL!$K$15:$K$28,PIL!$J$15:$J$28)))</f>
        <v/>
      </c>
      <c r="U118" t="str">
        <f>IF($A118="","",SUMIFS(PIL!$K$15:$K$28,PIL!$A$15:$A$28,$A118))</f>
        <v/>
      </c>
      <c r="V118" t="str">
        <f>IF($A118="","",IF($B118="V01",cad!$C$23,IF($B118="V02",cad!$D$23,cad!$E$23)))</f>
        <v/>
      </c>
      <c r="W118" t="str">
        <f>IF($A118="","",IF($B118="V01",cad!$C$24,IF($B118="V02",cad!$D$24,cad!$E$24)))</f>
        <v/>
      </c>
      <c r="X118" t="str">
        <f>IF($A118="","",IF($B118="V01",cad!$C$25,IF($B118="V02",cad!$D$25,cad!$E$25)))</f>
        <v/>
      </c>
      <c r="Y118" t="str">
        <f>IF($A118="","",IF($B118="V01",cad!$C$26,IF($B118="V02",cad!$D$26,cad!$E$26)))</f>
        <v/>
      </c>
      <c r="Z118" t="str">
        <f>IF($A118="","",IF($B118="V01",cad!$C$27,IF($B118="V02",cad!$D$27,cad!$E$27)))</f>
        <v/>
      </c>
      <c r="AA118" t="str">
        <f>IF($A118="","",IF($B118="V01",cad!$C$28,IF($B118="V02",cad!$D$28,cad!$E$28)))</f>
        <v/>
      </c>
      <c r="AB118" t="str">
        <f>IF($A118="","",IF($B118="V01",cad!$C$39,IF($B118="V02",cad!$D$39,cad!$E$39)))</f>
        <v/>
      </c>
      <c r="AC118" t="str">
        <f>IF($A118="","",IF($F118="MBWAY",cad!$J$12,IF($F118="ISCOM",cad!$J$13,IF($F118="IPAC",cad!$J$14,IF($F118="PIGIER",cad!$J$15,cad!$J$16)))))</f>
        <v/>
      </c>
      <c r="AD118" t="str">
        <f t="shared" si="7"/>
        <v/>
      </c>
      <c r="AE118" t="str">
        <f t="shared" si="8"/>
        <v/>
      </c>
      <c r="AF118" t="str">
        <f t="shared" si="9"/>
        <v/>
      </c>
      <c r="AG118" t="str">
        <f t="shared" si="10"/>
        <v/>
      </c>
      <c r="AH118" t="str">
        <f t="shared" si="11"/>
        <v/>
      </c>
    </row>
    <row r="119" spans="1:34" x14ac:dyDescent="0.45">
      <c r="A119" t="str">
        <f>IF(Moteur!D119="","",Moteur!D119)</f>
        <v/>
      </c>
      <c r="B119" t="str">
        <f>IF(Moteur!B119="","",Moteur!B119)</f>
        <v/>
      </c>
      <c r="C119" t="str">
        <f>IF(Moteur!F119="","",Moteur!F119)</f>
        <v/>
      </c>
      <c r="D119" t="str">
        <f>IF(Moteur!G119="","",Moteur!G119)</f>
        <v/>
      </c>
      <c r="E119" t="str">
        <f>IF(Moteur!H119="","",Moteur!H119)</f>
        <v/>
      </c>
      <c r="F119" t="str">
        <f>IF(Moteur!E119="","",Moteur!E119)</f>
        <v/>
      </c>
      <c r="G119" t="str">
        <f>IF($A119="","",SUMIFS(Allocation2!$H$1:$H$175,Allocation2!$C$1:$C$175,$A119,Allocation2!$D$1:$D$175,$C119,Allocation2!$E$1:$E$175,$D119,Allocation2!$F$1:$F$175,$E119,Allocation2!$G$1:$G$175,"2026"))</f>
        <v/>
      </c>
      <c r="H119" t="str">
        <f>IF($A119="","",SUMIFS(Allocation2!$N$1:$N$175,Allocation2!$C$1:$C$175,$A119,Allocation2!$D$1:$D$175,$C119,Allocation2!$E$1:$E$175,$D119,Allocation2!$F$1:$F$175,$E119,Allocation2!$G$1:$G$175,"2026"))</f>
        <v/>
      </c>
      <c r="I119" t="str">
        <f>IF($A119="","",SUMIFS(Allocation2!$P$1:$P$175,Allocation2!$C$1:$C$175,$A119,Allocation2!$D$1:$D$175,$C119,Allocation2!$E$1:$E$175,$D119,Allocation2!$F$1:$F$175,$E119,Allocation2!$G$1:$G$175,"2026"))</f>
        <v/>
      </c>
      <c r="J119" t="str">
        <f>IF($A119="","",SUMIFS(Allocation2!$W$1:$W$175,Allocation2!$C$1:$C$175,$A119,Allocation2!$D$1:$D$175,$C119,Allocation2!$E$1:$E$175,$D119,Allocation2!$F$1:$F$175,$E119,Allocation2!$G$1:$G$175,"2026"))</f>
        <v/>
      </c>
      <c r="K119" t="str">
        <f>IF($A119="","",SUMIFS(Allocation2!$X$1:$X$175,Allocation2!$C$1:$C$175,$A119,Allocation2!$D$1:$D$175,$C119,Allocation2!$E$1:$E$175,$D119,Allocation2!$F$1:$F$175,$E119,Allocation2!$G$1:$G$175,"2026"))</f>
        <v/>
      </c>
      <c r="L119" t="str">
        <f>IF($A119="","",SUMIFS(Allocation2!$Y$1:$Y$175,Allocation2!$C$1:$C$175,$A119,Allocation2!$D$1:$D$175,$C119,Allocation2!$E$1:$E$175,$D119,Allocation2!$F$1:$F$175,$E119,Allocation2!$G$1:$G$175,"2026"))</f>
        <v/>
      </c>
      <c r="M119" t="str">
        <f>IF($A119="","",SUMIFS(Allocation2!$V$1:$V$175,Allocation2!$C$1:$C$175,$A119,Allocation2!$D$1:$D$175,$C119,Allocation2!$E$1:$E$175,$D119,Allocation2!$F$1:$F$175,$E119,Allocation2!$G$1:$G$175,"2026"))</f>
        <v/>
      </c>
      <c r="N119" t="str">
        <f t="shared" si="6"/>
        <v/>
      </c>
      <c r="O119" t="str">
        <f>IF($A119="","",SUMIFS(Campagne!$D$1:$D$15,Campagne!$C$1:$C$15,$A119))</f>
        <v/>
      </c>
      <c r="P119" t="str">
        <f>IF($A119="","",SUMIFS(Campagne!$E$1:$E$15,Campagne!$C$1:$C$15,$A119))</f>
        <v/>
      </c>
      <c r="Q119" t="str">
        <f>IF($A119="","",SUMIFS(Campagne!$F$1:$F$15,Campagne!$C$1:$C$15,$A119))</f>
        <v/>
      </c>
      <c r="R119" t="str">
        <f>IF($A119="","",SUMIFS(Campagne!$K$1:$K$15,Campagne!$C$1:$C$15,$A119))</f>
        <v/>
      </c>
      <c r="S119" t="str">
        <f>IF($A119="","",SUMIFS(Campagne!$M$1:$M$15,Campagne!$C$1:$C$15,$A119))</f>
        <v/>
      </c>
      <c r="T119" t="str">
        <f>IF($A119="","",SUMIFS(PIL!$K$15:$K$28,PIL!$A$15:$A$28,$A119)*SUMIFS(PIL!$J$15:$J$28,PIL!$A$15:$A$28,$A119)*(SUM(PIL!$K$15:$K$28)/SUMPRODUCT(PIL!$K$15:$K$28,PIL!$J$15:$J$28)))</f>
        <v/>
      </c>
      <c r="U119" t="str">
        <f>IF($A119="","",SUMIFS(PIL!$K$15:$K$28,PIL!$A$15:$A$28,$A119))</f>
        <v/>
      </c>
      <c r="V119" t="str">
        <f>IF($A119="","",IF($B119="V01",cad!$C$23,IF($B119="V02",cad!$D$23,cad!$E$23)))</f>
        <v/>
      </c>
      <c r="W119" t="str">
        <f>IF($A119="","",IF($B119="V01",cad!$C$24,IF($B119="V02",cad!$D$24,cad!$E$24)))</f>
        <v/>
      </c>
      <c r="X119" t="str">
        <f>IF($A119="","",IF($B119="V01",cad!$C$25,IF($B119="V02",cad!$D$25,cad!$E$25)))</f>
        <v/>
      </c>
      <c r="Y119" t="str">
        <f>IF($A119="","",IF($B119="V01",cad!$C$26,IF($B119="V02",cad!$D$26,cad!$E$26)))</f>
        <v/>
      </c>
      <c r="Z119" t="str">
        <f>IF($A119="","",IF($B119="V01",cad!$C$27,IF($B119="V02",cad!$D$27,cad!$E$27)))</f>
        <v/>
      </c>
      <c r="AA119" t="str">
        <f>IF($A119="","",IF($B119="V01",cad!$C$28,IF($B119="V02",cad!$D$28,cad!$E$28)))</f>
        <v/>
      </c>
      <c r="AB119" t="str">
        <f>IF($A119="","",IF($B119="V01",cad!$C$39,IF($B119="V02",cad!$D$39,cad!$E$39)))</f>
        <v/>
      </c>
      <c r="AC119" t="str">
        <f>IF($A119="","",IF($F119="MBWAY",cad!$J$12,IF($F119="ISCOM",cad!$J$13,IF($F119="IPAC",cad!$J$14,IF($F119="PIGIER",cad!$J$15,cad!$J$16)))))</f>
        <v/>
      </c>
      <c r="AD119" t="str">
        <f t="shared" si="7"/>
        <v/>
      </c>
      <c r="AE119" t="str">
        <f t="shared" si="8"/>
        <v/>
      </c>
      <c r="AF119" t="str">
        <f t="shared" si="9"/>
        <v/>
      </c>
      <c r="AG119" t="str">
        <f t="shared" si="10"/>
        <v/>
      </c>
      <c r="AH119" t="str">
        <f t="shared" si="11"/>
        <v/>
      </c>
    </row>
    <row r="120" spans="1:34" x14ac:dyDescent="0.45">
      <c r="A120" t="str">
        <f>IF(Moteur!D120="","",Moteur!D120)</f>
        <v/>
      </c>
      <c r="B120" t="str">
        <f>IF(Moteur!B120="","",Moteur!B120)</f>
        <v/>
      </c>
      <c r="C120" t="str">
        <f>IF(Moteur!F120="","",Moteur!F120)</f>
        <v/>
      </c>
      <c r="D120" t="str">
        <f>IF(Moteur!G120="","",Moteur!G120)</f>
        <v/>
      </c>
      <c r="E120" t="str">
        <f>IF(Moteur!H120="","",Moteur!H120)</f>
        <v/>
      </c>
      <c r="F120" t="str">
        <f>IF(Moteur!E120="","",Moteur!E120)</f>
        <v/>
      </c>
      <c r="G120" t="str">
        <f>IF($A120="","",SUMIFS(Allocation2!$H$1:$H$175,Allocation2!$C$1:$C$175,$A120,Allocation2!$D$1:$D$175,$C120,Allocation2!$E$1:$E$175,$D120,Allocation2!$F$1:$F$175,$E120,Allocation2!$G$1:$G$175,"2026"))</f>
        <v/>
      </c>
      <c r="H120" t="str">
        <f>IF($A120="","",SUMIFS(Allocation2!$N$1:$N$175,Allocation2!$C$1:$C$175,$A120,Allocation2!$D$1:$D$175,$C120,Allocation2!$E$1:$E$175,$D120,Allocation2!$F$1:$F$175,$E120,Allocation2!$G$1:$G$175,"2026"))</f>
        <v/>
      </c>
      <c r="I120" t="str">
        <f>IF($A120="","",SUMIFS(Allocation2!$P$1:$P$175,Allocation2!$C$1:$C$175,$A120,Allocation2!$D$1:$D$175,$C120,Allocation2!$E$1:$E$175,$D120,Allocation2!$F$1:$F$175,$E120,Allocation2!$G$1:$G$175,"2026"))</f>
        <v/>
      </c>
      <c r="J120" t="str">
        <f>IF($A120="","",SUMIFS(Allocation2!$W$1:$W$175,Allocation2!$C$1:$C$175,$A120,Allocation2!$D$1:$D$175,$C120,Allocation2!$E$1:$E$175,$D120,Allocation2!$F$1:$F$175,$E120,Allocation2!$G$1:$G$175,"2026"))</f>
        <v/>
      </c>
      <c r="K120" t="str">
        <f>IF($A120="","",SUMIFS(Allocation2!$X$1:$X$175,Allocation2!$C$1:$C$175,$A120,Allocation2!$D$1:$D$175,$C120,Allocation2!$E$1:$E$175,$D120,Allocation2!$F$1:$F$175,$E120,Allocation2!$G$1:$G$175,"2026"))</f>
        <v/>
      </c>
      <c r="L120" t="str">
        <f>IF($A120="","",SUMIFS(Allocation2!$Y$1:$Y$175,Allocation2!$C$1:$C$175,$A120,Allocation2!$D$1:$D$175,$C120,Allocation2!$E$1:$E$175,$D120,Allocation2!$F$1:$F$175,$E120,Allocation2!$G$1:$G$175,"2026"))</f>
        <v/>
      </c>
      <c r="M120" t="str">
        <f>IF($A120="","",SUMIFS(Allocation2!$V$1:$V$175,Allocation2!$C$1:$C$175,$A120,Allocation2!$D$1:$D$175,$C120,Allocation2!$E$1:$E$175,$D120,Allocation2!$F$1:$F$175,$E120,Allocation2!$G$1:$G$175,"2026"))</f>
        <v/>
      </c>
      <c r="N120" t="str">
        <f t="shared" si="6"/>
        <v/>
      </c>
      <c r="O120" t="str">
        <f>IF($A120="","",SUMIFS(Campagne!$D$1:$D$15,Campagne!$C$1:$C$15,$A120))</f>
        <v/>
      </c>
      <c r="P120" t="str">
        <f>IF($A120="","",SUMIFS(Campagne!$E$1:$E$15,Campagne!$C$1:$C$15,$A120))</f>
        <v/>
      </c>
      <c r="Q120" t="str">
        <f>IF($A120="","",SUMIFS(Campagne!$F$1:$F$15,Campagne!$C$1:$C$15,$A120))</f>
        <v/>
      </c>
      <c r="R120" t="str">
        <f>IF($A120="","",SUMIFS(Campagne!$K$1:$K$15,Campagne!$C$1:$C$15,$A120))</f>
        <v/>
      </c>
      <c r="S120" t="str">
        <f>IF($A120="","",SUMIFS(Campagne!$M$1:$M$15,Campagne!$C$1:$C$15,$A120))</f>
        <v/>
      </c>
      <c r="T120" t="str">
        <f>IF($A120="","",SUMIFS(PIL!$K$15:$K$28,PIL!$A$15:$A$28,$A120)*SUMIFS(PIL!$J$15:$J$28,PIL!$A$15:$A$28,$A120)*(SUM(PIL!$K$15:$K$28)/SUMPRODUCT(PIL!$K$15:$K$28,PIL!$J$15:$J$28)))</f>
        <v/>
      </c>
      <c r="U120" t="str">
        <f>IF($A120="","",SUMIFS(PIL!$K$15:$K$28,PIL!$A$15:$A$28,$A120))</f>
        <v/>
      </c>
      <c r="V120" t="str">
        <f>IF($A120="","",IF($B120="V01",cad!$C$23,IF($B120="V02",cad!$D$23,cad!$E$23)))</f>
        <v/>
      </c>
      <c r="W120" t="str">
        <f>IF($A120="","",IF($B120="V01",cad!$C$24,IF($B120="V02",cad!$D$24,cad!$E$24)))</f>
        <v/>
      </c>
      <c r="X120" t="str">
        <f>IF($A120="","",IF($B120="V01",cad!$C$25,IF($B120="V02",cad!$D$25,cad!$E$25)))</f>
        <v/>
      </c>
      <c r="Y120" t="str">
        <f>IF($A120="","",IF($B120="V01",cad!$C$26,IF($B120="V02",cad!$D$26,cad!$E$26)))</f>
        <v/>
      </c>
      <c r="Z120" t="str">
        <f>IF($A120="","",IF($B120="V01",cad!$C$27,IF($B120="V02",cad!$D$27,cad!$E$27)))</f>
        <v/>
      </c>
      <c r="AA120" t="str">
        <f>IF($A120="","",IF($B120="V01",cad!$C$28,IF($B120="V02",cad!$D$28,cad!$E$28)))</f>
        <v/>
      </c>
      <c r="AB120" t="str">
        <f>IF($A120="","",IF($B120="V01",cad!$C$39,IF($B120="V02",cad!$D$39,cad!$E$39)))</f>
        <v/>
      </c>
      <c r="AC120" t="str">
        <f>IF($A120="","",IF($F120="MBWAY",cad!$J$12,IF($F120="ISCOM",cad!$J$13,IF($F120="IPAC",cad!$J$14,IF($F120="PIGIER",cad!$J$15,cad!$J$16)))))</f>
        <v/>
      </c>
      <c r="AD120" t="str">
        <f t="shared" si="7"/>
        <v/>
      </c>
      <c r="AE120" t="str">
        <f t="shared" si="8"/>
        <v/>
      </c>
      <c r="AF120" t="str">
        <f t="shared" si="9"/>
        <v/>
      </c>
      <c r="AG120" t="str">
        <f t="shared" si="10"/>
        <v/>
      </c>
      <c r="AH120" t="str">
        <f t="shared" si="11"/>
        <v/>
      </c>
    </row>
    <row r="121" spans="1:34" x14ac:dyDescent="0.45">
      <c r="A121" t="str">
        <f>IF(Moteur!D121="","",Moteur!D121)</f>
        <v/>
      </c>
      <c r="B121" t="str">
        <f>IF(Moteur!B121="","",Moteur!B121)</f>
        <v/>
      </c>
      <c r="C121" t="str">
        <f>IF(Moteur!F121="","",Moteur!F121)</f>
        <v/>
      </c>
      <c r="D121" t="str">
        <f>IF(Moteur!G121="","",Moteur!G121)</f>
        <v/>
      </c>
      <c r="E121" t="str">
        <f>IF(Moteur!H121="","",Moteur!H121)</f>
        <v/>
      </c>
      <c r="F121" t="str">
        <f>IF(Moteur!E121="","",Moteur!E121)</f>
        <v/>
      </c>
      <c r="G121" t="str">
        <f>IF($A121="","",SUMIFS(Allocation2!$H$1:$H$175,Allocation2!$C$1:$C$175,$A121,Allocation2!$D$1:$D$175,$C121,Allocation2!$E$1:$E$175,$D121,Allocation2!$F$1:$F$175,$E121,Allocation2!$G$1:$G$175,"2026"))</f>
        <v/>
      </c>
      <c r="H121" t="str">
        <f>IF($A121="","",SUMIFS(Allocation2!$N$1:$N$175,Allocation2!$C$1:$C$175,$A121,Allocation2!$D$1:$D$175,$C121,Allocation2!$E$1:$E$175,$D121,Allocation2!$F$1:$F$175,$E121,Allocation2!$G$1:$G$175,"2026"))</f>
        <v/>
      </c>
      <c r="I121" t="str">
        <f>IF($A121="","",SUMIFS(Allocation2!$P$1:$P$175,Allocation2!$C$1:$C$175,$A121,Allocation2!$D$1:$D$175,$C121,Allocation2!$E$1:$E$175,$D121,Allocation2!$F$1:$F$175,$E121,Allocation2!$G$1:$G$175,"2026"))</f>
        <v/>
      </c>
      <c r="J121" t="str">
        <f>IF($A121="","",SUMIFS(Allocation2!$W$1:$W$175,Allocation2!$C$1:$C$175,$A121,Allocation2!$D$1:$D$175,$C121,Allocation2!$E$1:$E$175,$D121,Allocation2!$F$1:$F$175,$E121,Allocation2!$G$1:$G$175,"2026"))</f>
        <v/>
      </c>
      <c r="K121" t="str">
        <f>IF($A121="","",SUMIFS(Allocation2!$X$1:$X$175,Allocation2!$C$1:$C$175,$A121,Allocation2!$D$1:$D$175,$C121,Allocation2!$E$1:$E$175,$D121,Allocation2!$F$1:$F$175,$E121,Allocation2!$G$1:$G$175,"2026"))</f>
        <v/>
      </c>
      <c r="L121" t="str">
        <f>IF($A121="","",SUMIFS(Allocation2!$Y$1:$Y$175,Allocation2!$C$1:$C$175,$A121,Allocation2!$D$1:$D$175,$C121,Allocation2!$E$1:$E$175,$D121,Allocation2!$F$1:$F$175,$E121,Allocation2!$G$1:$G$175,"2026"))</f>
        <v/>
      </c>
      <c r="M121" t="str">
        <f>IF($A121="","",SUMIFS(Allocation2!$V$1:$V$175,Allocation2!$C$1:$C$175,$A121,Allocation2!$D$1:$D$175,$C121,Allocation2!$E$1:$E$175,$D121,Allocation2!$F$1:$F$175,$E121,Allocation2!$G$1:$G$175,"2026"))</f>
        <v/>
      </c>
      <c r="N121" t="str">
        <f t="shared" si="6"/>
        <v/>
      </c>
      <c r="O121" t="str">
        <f>IF($A121="","",SUMIFS(Campagne!$D$1:$D$15,Campagne!$C$1:$C$15,$A121))</f>
        <v/>
      </c>
      <c r="P121" t="str">
        <f>IF($A121="","",SUMIFS(Campagne!$E$1:$E$15,Campagne!$C$1:$C$15,$A121))</f>
        <v/>
      </c>
      <c r="Q121" t="str">
        <f>IF($A121="","",SUMIFS(Campagne!$F$1:$F$15,Campagne!$C$1:$C$15,$A121))</f>
        <v/>
      </c>
      <c r="R121" t="str">
        <f>IF($A121="","",SUMIFS(Campagne!$K$1:$K$15,Campagne!$C$1:$C$15,$A121))</f>
        <v/>
      </c>
      <c r="S121" t="str">
        <f>IF($A121="","",SUMIFS(Campagne!$M$1:$M$15,Campagne!$C$1:$C$15,$A121))</f>
        <v/>
      </c>
      <c r="T121" t="str">
        <f>IF($A121="","",SUMIFS(PIL!$K$15:$K$28,PIL!$A$15:$A$28,$A121)*SUMIFS(PIL!$J$15:$J$28,PIL!$A$15:$A$28,$A121)*(SUM(PIL!$K$15:$K$28)/SUMPRODUCT(PIL!$K$15:$K$28,PIL!$J$15:$J$28)))</f>
        <v/>
      </c>
      <c r="U121" t="str">
        <f>IF($A121="","",SUMIFS(PIL!$K$15:$K$28,PIL!$A$15:$A$28,$A121))</f>
        <v/>
      </c>
      <c r="V121" t="str">
        <f>IF($A121="","",IF($B121="V01",cad!$C$23,IF($B121="V02",cad!$D$23,cad!$E$23)))</f>
        <v/>
      </c>
      <c r="W121" t="str">
        <f>IF($A121="","",IF($B121="V01",cad!$C$24,IF($B121="V02",cad!$D$24,cad!$E$24)))</f>
        <v/>
      </c>
      <c r="X121" t="str">
        <f>IF($A121="","",IF($B121="V01",cad!$C$25,IF($B121="V02",cad!$D$25,cad!$E$25)))</f>
        <v/>
      </c>
      <c r="Y121" t="str">
        <f>IF($A121="","",IF($B121="V01",cad!$C$26,IF($B121="V02",cad!$D$26,cad!$E$26)))</f>
        <v/>
      </c>
      <c r="Z121" t="str">
        <f>IF($A121="","",IF($B121="V01",cad!$C$27,IF($B121="V02",cad!$D$27,cad!$E$27)))</f>
        <v/>
      </c>
      <c r="AA121" t="str">
        <f>IF($A121="","",IF($B121="V01",cad!$C$28,IF($B121="V02",cad!$D$28,cad!$E$28)))</f>
        <v/>
      </c>
      <c r="AB121" t="str">
        <f>IF($A121="","",IF($B121="V01",cad!$C$39,IF($B121="V02",cad!$D$39,cad!$E$39)))</f>
        <v/>
      </c>
      <c r="AC121" t="str">
        <f>IF($A121="","",IF($F121="MBWAY",cad!$J$12,IF($F121="ISCOM",cad!$J$13,IF($F121="IPAC",cad!$J$14,IF($F121="PIGIER",cad!$J$15,cad!$J$16)))))</f>
        <v/>
      </c>
      <c r="AD121" t="str">
        <f t="shared" si="7"/>
        <v/>
      </c>
      <c r="AE121" t="str">
        <f t="shared" si="8"/>
        <v/>
      </c>
      <c r="AF121" t="str">
        <f t="shared" si="9"/>
        <v/>
      </c>
      <c r="AG121" t="str">
        <f t="shared" si="10"/>
        <v/>
      </c>
      <c r="AH121" t="str">
        <f t="shared" si="11"/>
        <v/>
      </c>
    </row>
    <row r="122" spans="1:34" x14ac:dyDescent="0.45">
      <c r="A122" t="str">
        <f>IF(Moteur!D122="","",Moteur!D122)</f>
        <v/>
      </c>
      <c r="B122" t="str">
        <f>IF(Moteur!B122="","",Moteur!B122)</f>
        <v/>
      </c>
      <c r="C122" t="str">
        <f>IF(Moteur!F122="","",Moteur!F122)</f>
        <v/>
      </c>
      <c r="D122" t="str">
        <f>IF(Moteur!G122="","",Moteur!G122)</f>
        <v/>
      </c>
      <c r="E122" t="str">
        <f>IF(Moteur!H122="","",Moteur!H122)</f>
        <v/>
      </c>
      <c r="F122" t="str">
        <f>IF(Moteur!E122="","",Moteur!E122)</f>
        <v/>
      </c>
      <c r="G122" t="str">
        <f>IF($A122="","",SUMIFS(Allocation2!$H$1:$H$175,Allocation2!$C$1:$C$175,$A122,Allocation2!$D$1:$D$175,$C122,Allocation2!$E$1:$E$175,$D122,Allocation2!$F$1:$F$175,$E122,Allocation2!$G$1:$G$175,"2026"))</f>
        <v/>
      </c>
      <c r="H122" t="str">
        <f>IF($A122="","",SUMIFS(Allocation2!$N$1:$N$175,Allocation2!$C$1:$C$175,$A122,Allocation2!$D$1:$D$175,$C122,Allocation2!$E$1:$E$175,$D122,Allocation2!$F$1:$F$175,$E122,Allocation2!$G$1:$G$175,"2026"))</f>
        <v/>
      </c>
      <c r="I122" t="str">
        <f>IF($A122="","",SUMIFS(Allocation2!$P$1:$P$175,Allocation2!$C$1:$C$175,$A122,Allocation2!$D$1:$D$175,$C122,Allocation2!$E$1:$E$175,$D122,Allocation2!$F$1:$F$175,$E122,Allocation2!$G$1:$G$175,"2026"))</f>
        <v/>
      </c>
      <c r="J122" t="str">
        <f>IF($A122="","",SUMIFS(Allocation2!$W$1:$W$175,Allocation2!$C$1:$C$175,$A122,Allocation2!$D$1:$D$175,$C122,Allocation2!$E$1:$E$175,$D122,Allocation2!$F$1:$F$175,$E122,Allocation2!$G$1:$G$175,"2026"))</f>
        <v/>
      </c>
      <c r="K122" t="str">
        <f>IF($A122="","",SUMIFS(Allocation2!$X$1:$X$175,Allocation2!$C$1:$C$175,$A122,Allocation2!$D$1:$D$175,$C122,Allocation2!$E$1:$E$175,$D122,Allocation2!$F$1:$F$175,$E122,Allocation2!$G$1:$G$175,"2026"))</f>
        <v/>
      </c>
      <c r="L122" t="str">
        <f>IF($A122="","",SUMIFS(Allocation2!$Y$1:$Y$175,Allocation2!$C$1:$C$175,$A122,Allocation2!$D$1:$D$175,$C122,Allocation2!$E$1:$E$175,$D122,Allocation2!$F$1:$F$175,$E122,Allocation2!$G$1:$G$175,"2026"))</f>
        <v/>
      </c>
      <c r="M122" t="str">
        <f>IF($A122="","",SUMIFS(Allocation2!$V$1:$V$175,Allocation2!$C$1:$C$175,$A122,Allocation2!$D$1:$D$175,$C122,Allocation2!$E$1:$E$175,$D122,Allocation2!$F$1:$F$175,$E122,Allocation2!$G$1:$G$175,"2026"))</f>
        <v/>
      </c>
      <c r="N122" t="str">
        <f t="shared" si="6"/>
        <v/>
      </c>
      <c r="O122" t="str">
        <f>IF($A122="","",SUMIFS(Campagne!$D$1:$D$15,Campagne!$C$1:$C$15,$A122))</f>
        <v/>
      </c>
      <c r="P122" t="str">
        <f>IF($A122="","",SUMIFS(Campagne!$E$1:$E$15,Campagne!$C$1:$C$15,$A122))</f>
        <v/>
      </c>
      <c r="Q122" t="str">
        <f>IF($A122="","",SUMIFS(Campagne!$F$1:$F$15,Campagne!$C$1:$C$15,$A122))</f>
        <v/>
      </c>
      <c r="R122" t="str">
        <f>IF($A122="","",SUMIFS(Campagne!$K$1:$K$15,Campagne!$C$1:$C$15,$A122))</f>
        <v/>
      </c>
      <c r="S122" t="str">
        <f>IF($A122="","",SUMIFS(Campagne!$M$1:$M$15,Campagne!$C$1:$C$15,$A122))</f>
        <v/>
      </c>
      <c r="T122" t="str">
        <f>IF($A122="","",SUMIFS(PIL!$K$15:$K$28,PIL!$A$15:$A$28,$A122)*SUMIFS(PIL!$J$15:$J$28,PIL!$A$15:$A$28,$A122)*(SUM(PIL!$K$15:$K$28)/SUMPRODUCT(PIL!$K$15:$K$28,PIL!$J$15:$J$28)))</f>
        <v/>
      </c>
      <c r="U122" t="str">
        <f>IF($A122="","",SUMIFS(PIL!$K$15:$K$28,PIL!$A$15:$A$28,$A122))</f>
        <v/>
      </c>
      <c r="V122" t="str">
        <f>IF($A122="","",IF($B122="V01",cad!$C$23,IF($B122="V02",cad!$D$23,cad!$E$23)))</f>
        <v/>
      </c>
      <c r="W122" t="str">
        <f>IF($A122="","",IF($B122="V01",cad!$C$24,IF($B122="V02",cad!$D$24,cad!$E$24)))</f>
        <v/>
      </c>
      <c r="X122" t="str">
        <f>IF($A122="","",IF($B122="V01",cad!$C$25,IF($B122="V02",cad!$D$25,cad!$E$25)))</f>
        <v/>
      </c>
      <c r="Y122" t="str">
        <f>IF($A122="","",IF($B122="V01",cad!$C$26,IF($B122="V02",cad!$D$26,cad!$E$26)))</f>
        <v/>
      </c>
      <c r="Z122" t="str">
        <f>IF($A122="","",IF($B122="V01",cad!$C$27,IF($B122="V02",cad!$D$27,cad!$E$27)))</f>
        <v/>
      </c>
      <c r="AA122" t="str">
        <f>IF($A122="","",IF($B122="V01",cad!$C$28,IF($B122="V02",cad!$D$28,cad!$E$28)))</f>
        <v/>
      </c>
      <c r="AB122" t="str">
        <f>IF($A122="","",IF($B122="V01",cad!$C$39,IF($B122="V02",cad!$D$39,cad!$E$39)))</f>
        <v/>
      </c>
      <c r="AC122" t="str">
        <f>IF($A122="","",IF($F122="MBWAY",cad!$J$12,IF($F122="ISCOM",cad!$J$13,IF($F122="IPAC",cad!$J$14,IF($F122="PIGIER",cad!$J$15,cad!$J$16)))))</f>
        <v/>
      </c>
      <c r="AD122" t="str">
        <f t="shared" si="7"/>
        <v/>
      </c>
      <c r="AE122" t="str">
        <f t="shared" si="8"/>
        <v/>
      </c>
      <c r="AF122" t="str">
        <f t="shared" si="9"/>
        <v/>
      </c>
      <c r="AG122" t="str">
        <f t="shared" si="10"/>
        <v/>
      </c>
      <c r="AH122" t="str">
        <f t="shared" si="11"/>
        <v/>
      </c>
    </row>
    <row r="123" spans="1:34" x14ac:dyDescent="0.45">
      <c r="A123" t="str">
        <f>IF(Moteur!D123="","",Moteur!D123)</f>
        <v/>
      </c>
      <c r="B123" t="str">
        <f>IF(Moteur!B123="","",Moteur!B123)</f>
        <v/>
      </c>
      <c r="C123" t="str">
        <f>IF(Moteur!F123="","",Moteur!F123)</f>
        <v/>
      </c>
      <c r="D123" t="str">
        <f>IF(Moteur!G123="","",Moteur!G123)</f>
        <v/>
      </c>
      <c r="E123" t="str">
        <f>IF(Moteur!H123="","",Moteur!H123)</f>
        <v/>
      </c>
      <c r="F123" t="str">
        <f>IF(Moteur!E123="","",Moteur!E123)</f>
        <v/>
      </c>
      <c r="G123" t="str">
        <f>IF($A123="","",SUMIFS(Allocation2!$H$1:$H$175,Allocation2!$C$1:$C$175,$A123,Allocation2!$D$1:$D$175,$C123,Allocation2!$E$1:$E$175,$D123,Allocation2!$F$1:$F$175,$E123,Allocation2!$G$1:$G$175,"2026"))</f>
        <v/>
      </c>
      <c r="H123" t="str">
        <f>IF($A123="","",SUMIFS(Allocation2!$N$1:$N$175,Allocation2!$C$1:$C$175,$A123,Allocation2!$D$1:$D$175,$C123,Allocation2!$E$1:$E$175,$D123,Allocation2!$F$1:$F$175,$E123,Allocation2!$G$1:$G$175,"2026"))</f>
        <v/>
      </c>
      <c r="I123" t="str">
        <f>IF($A123="","",SUMIFS(Allocation2!$P$1:$P$175,Allocation2!$C$1:$C$175,$A123,Allocation2!$D$1:$D$175,$C123,Allocation2!$E$1:$E$175,$D123,Allocation2!$F$1:$F$175,$E123,Allocation2!$G$1:$G$175,"2026"))</f>
        <v/>
      </c>
      <c r="J123" t="str">
        <f>IF($A123="","",SUMIFS(Allocation2!$W$1:$W$175,Allocation2!$C$1:$C$175,$A123,Allocation2!$D$1:$D$175,$C123,Allocation2!$E$1:$E$175,$D123,Allocation2!$F$1:$F$175,$E123,Allocation2!$G$1:$G$175,"2026"))</f>
        <v/>
      </c>
      <c r="K123" t="str">
        <f>IF($A123="","",SUMIFS(Allocation2!$X$1:$X$175,Allocation2!$C$1:$C$175,$A123,Allocation2!$D$1:$D$175,$C123,Allocation2!$E$1:$E$175,$D123,Allocation2!$F$1:$F$175,$E123,Allocation2!$G$1:$G$175,"2026"))</f>
        <v/>
      </c>
      <c r="L123" t="str">
        <f>IF($A123="","",SUMIFS(Allocation2!$Y$1:$Y$175,Allocation2!$C$1:$C$175,$A123,Allocation2!$D$1:$D$175,$C123,Allocation2!$E$1:$E$175,$D123,Allocation2!$F$1:$F$175,$E123,Allocation2!$G$1:$G$175,"2026"))</f>
        <v/>
      </c>
      <c r="M123" t="str">
        <f>IF($A123="","",SUMIFS(Allocation2!$V$1:$V$175,Allocation2!$C$1:$C$175,$A123,Allocation2!$D$1:$D$175,$C123,Allocation2!$E$1:$E$175,$D123,Allocation2!$F$1:$F$175,$E123,Allocation2!$G$1:$G$175,"2026"))</f>
        <v/>
      </c>
      <c r="N123" t="str">
        <f t="shared" si="6"/>
        <v/>
      </c>
      <c r="O123" t="str">
        <f>IF($A123="","",SUMIFS(Campagne!$D$1:$D$15,Campagne!$C$1:$C$15,$A123))</f>
        <v/>
      </c>
      <c r="P123" t="str">
        <f>IF($A123="","",SUMIFS(Campagne!$E$1:$E$15,Campagne!$C$1:$C$15,$A123))</f>
        <v/>
      </c>
      <c r="Q123" t="str">
        <f>IF($A123="","",SUMIFS(Campagne!$F$1:$F$15,Campagne!$C$1:$C$15,$A123))</f>
        <v/>
      </c>
      <c r="R123" t="str">
        <f>IF($A123="","",SUMIFS(Campagne!$K$1:$K$15,Campagne!$C$1:$C$15,$A123))</f>
        <v/>
      </c>
      <c r="S123" t="str">
        <f>IF($A123="","",SUMIFS(Campagne!$M$1:$M$15,Campagne!$C$1:$C$15,$A123))</f>
        <v/>
      </c>
      <c r="T123" t="str">
        <f>IF($A123="","",SUMIFS(PIL!$K$15:$K$28,PIL!$A$15:$A$28,$A123)*SUMIFS(PIL!$J$15:$J$28,PIL!$A$15:$A$28,$A123)*(SUM(PIL!$K$15:$K$28)/SUMPRODUCT(PIL!$K$15:$K$28,PIL!$J$15:$J$28)))</f>
        <v/>
      </c>
      <c r="U123" t="str">
        <f>IF($A123="","",SUMIFS(PIL!$K$15:$K$28,PIL!$A$15:$A$28,$A123))</f>
        <v/>
      </c>
      <c r="V123" t="str">
        <f>IF($A123="","",IF($B123="V01",cad!$C$23,IF($B123="V02",cad!$D$23,cad!$E$23)))</f>
        <v/>
      </c>
      <c r="W123" t="str">
        <f>IF($A123="","",IF($B123="V01",cad!$C$24,IF($B123="V02",cad!$D$24,cad!$E$24)))</f>
        <v/>
      </c>
      <c r="X123" t="str">
        <f>IF($A123="","",IF($B123="V01",cad!$C$25,IF($B123="V02",cad!$D$25,cad!$E$25)))</f>
        <v/>
      </c>
      <c r="Y123" t="str">
        <f>IF($A123="","",IF($B123="V01",cad!$C$26,IF($B123="V02",cad!$D$26,cad!$E$26)))</f>
        <v/>
      </c>
      <c r="Z123" t="str">
        <f>IF($A123="","",IF($B123="V01",cad!$C$27,IF($B123="V02",cad!$D$27,cad!$E$27)))</f>
        <v/>
      </c>
      <c r="AA123" t="str">
        <f>IF($A123="","",IF($B123="V01",cad!$C$28,IF($B123="V02",cad!$D$28,cad!$E$28)))</f>
        <v/>
      </c>
      <c r="AB123" t="str">
        <f>IF($A123="","",IF($B123="V01",cad!$C$39,IF($B123="V02",cad!$D$39,cad!$E$39)))</f>
        <v/>
      </c>
      <c r="AC123" t="str">
        <f>IF($A123="","",IF($F123="MBWAY",cad!$J$12,IF($F123="ISCOM",cad!$J$13,IF($F123="IPAC",cad!$J$14,IF($F123="PIGIER",cad!$J$15,cad!$J$16)))))</f>
        <v/>
      </c>
      <c r="AD123" t="str">
        <f t="shared" si="7"/>
        <v/>
      </c>
      <c r="AE123" t="str">
        <f t="shared" si="8"/>
        <v/>
      </c>
      <c r="AF123" t="str">
        <f t="shared" si="9"/>
        <v/>
      </c>
      <c r="AG123" t="str">
        <f t="shared" si="10"/>
        <v/>
      </c>
      <c r="AH123" t="str">
        <f t="shared" si="11"/>
        <v/>
      </c>
    </row>
    <row r="124" spans="1:34" x14ac:dyDescent="0.45">
      <c r="A124" t="str">
        <f>IF(Moteur!D124="","",Moteur!D124)</f>
        <v/>
      </c>
      <c r="B124" t="str">
        <f>IF(Moteur!B124="","",Moteur!B124)</f>
        <v/>
      </c>
      <c r="C124" t="str">
        <f>IF(Moteur!F124="","",Moteur!F124)</f>
        <v/>
      </c>
      <c r="D124" t="str">
        <f>IF(Moteur!G124="","",Moteur!G124)</f>
        <v/>
      </c>
      <c r="E124" t="str">
        <f>IF(Moteur!H124="","",Moteur!H124)</f>
        <v/>
      </c>
      <c r="F124" t="str">
        <f>IF(Moteur!E124="","",Moteur!E124)</f>
        <v/>
      </c>
      <c r="G124" t="str">
        <f>IF($A124="","",SUMIFS(Allocation2!$H$1:$H$175,Allocation2!$C$1:$C$175,$A124,Allocation2!$D$1:$D$175,$C124,Allocation2!$E$1:$E$175,$D124,Allocation2!$F$1:$F$175,$E124,Allocation2!$G$1:$G$175,"2026"))</f>
        <v/>
      </c>
      <c r="H124" t="str">
        <f>IF($A124="","",SUMIFS(Allocation2!$N$1:$N$175,Allocation2!$C$1:$C$175,$A124,Allocation2!$D$1:$D$175,$C124,Allocation2!$E$1:$E$175,$D124,Allocation2!$F$1:$F$175,$E124,Allocation2!$G$1:$G$175,"2026"))</f>
        <v/>
      </c>
      <c r="I124" t="str">
        <f>IF($A124="","",SUMIFS(Allocation2!$P$1:$P$175,Allocation2!$C$1:$C$175,$A124,Allocation2!$D$1:$D$175,$C124,Allocation2!$E$1:$E$175,$D124,Allocation2!$F$1:$F$175,$E124,Allocation2!$G$1:$G$175,"2026"))</f>
        <v/>
      </c>
      <c r="J124" t="str">
        <f>IF($A124="","",SUMIFS(Allocation2!$W$1:$W$175,Allocation2!$C$1:$C$175,$A124,Allocation2!$D$1:$D$175,$C124,Allocation2!$E$1:$E$175,$D124,Allocation2!$F$1:$F$175,$E124,Allocation2!$G$1:$G$175,"2026"))</f>
        <v/>
      </c>
      <c r="K124" t="str">
        <f>IF($A124="","",SUMIFS(Allocation2!$X$1:$X$175,Allocation2!$C$1:$C$175,$A124,Allocation2!$D$1:$D$175,$C124,Allocation2!$E$1:$E$175,$D124,Allocation2!$F$1:$F$175,$E124,Allocation2!$G$1:$G$175,"2026"))</f>
        <v/>
      </c>
      <c r="L124" t="str">
        <f>IF($A124="","",SUMIFS(Allocation2!$Y$1:$Y$175,Allocation2!$C$1:$C$175,$A124,Allocation2!$D$1:$D$175,$C124,Allocation2!$E$1:$E$175,$D124,Allocation2!$F$1:$F$175,$E124,Allocation2!$G$1:$G$175,"2026"))</f>
        <v/>
      </c>
      <c r="M124" t="str">
        <f>IF($A124="","",SUMIFS(Allocation2!$V$1:$V$175,Allocation2!$C$1:$C$175,$A124,Allocation2!$D$1:$D$175,$C124,Allocation2!$E$1:$E$175,$D124,Allocation2!$F$1:$F$175,$E124,Allocation2!$G$1:$G$175,"2026"))</f>
        <v/>
      </c>
      <c r="N124" t="str">
        <f t="shared" si="6"/>
        <v/>
      </c>
      <c r="O124" t="str">
        <f>IF($A124="","",SUMIFS(Campagne!$D$1:$D$15,Campagne!$C$1:$C$15,$A124))</f>
        <v/>
      </c>
      <c r="P124" t="str">
        <f>IF($A124="","",SUMIFS(Campagne!$E$1:$E$15,Campagne!$C$1:$C$15,$A124))</f>
        <v/>
      </c>
      <c r="Q124" t="str">
        <f>IF($A124="","",SUMIFS(Campagne!$F$1:$F$15,Campagne!$C$1:$C$15,$A124))</f>
        <v/>
      </c>
      <c r="R124" t="str">
        <f>IF($A124="","",SUMIFS(Campagne!$K$1:$K$15,Campagne!$C$1:$C$15,$A124))</f>
        <v/>
      </c>
      <c r="S124" t="str">
        <f>IF($A124="","",SUMIFS(Campagne!$M$1:$M$15,Campagne!$C$1:$C$15,$A124))</f>
        <v/>
      </c>
      <c r="T124" t="str">
        <f>IF($A124="","",SUMIFS(PIL!$K$15:$K$28,PIL!$A$15:$A$28,$A124)*SUMIFS(PIL!$J$15:$J$28,PIL!$A$15:$A$28,$A124)*(SUM(PIL!$K$15:$K$28)/SUMPRODUCT(PIL!$K$15:$K$28,PIL!$J$15:$J$28)))</f>
        <v/>
      </c>
      <c r="U124" t="str">
        <f>IF($A124="","",SUMIFS(PIL!$K$15:$K$28,PIL!$A$15:$A$28,$A124))</f>
        <v/>
      </c>
      <c r="V124" t="str">
        <f>IF($A124="","",IF($B124="V01",cad!$C$23,IF($B124="V02",cad!$D$23,cad!$E$23)))</f>
        <v/>
      </c>
      <c r="W124" t="str">
        <f>IF($A124="","",IF($B124="V01",cad!$C$24,IF($B124="V02",cad!$D$24,cad!$E$24)))</f>
        <v/>
      </c>
      <c r="X124" t="str">
        <f>IF($A124="","",IF($B124="V01",cad!$C$25,IF($B124="V02",cad!$D$25,cad!$E$25)))</f>
        <v/>
      </c>
      <c r="Y124" t="str">
        <f>IF($A124="","",IF($B124="V01",cad!$C$26,IF($B124="V02",cad!$D$26,cad!$E$26)))</f>
        <v/>
      </c>
      <c r="Z124" t="str">
        <f>IF($A124="","",IF($B124="V01",cad!$C$27,IF($B124="V02",cad!$D$27,cad!$E$27)))</f>
        <v/>
      </c>
      <c r="AA124" t="str">
        <f>IF($A124="","",IF($B124="V01",cad!$C$28,IF($B124="V02",cad!$D$28,cad!$E$28)))</f>
        <v/>
      </c>
      <c r="AB124" t="str">
        <f>IF($A124="","",IF($B124="V01",cad!$C$39,IF($B124="V02",cad!$D$39,cad!$E$39)))</f>
        <v/>
      </c>
      <c r="AC124" t="str">
        <f>IF($A124="","",IF($F124="MBWAY",cad!$J$12,IF($F124="ISCOM",cad!$J$13,IF($F124="IPAC",cad!$J$14,IF($F124="PIGIER",cad!$J$15,cad!$J$16)))))</f>
        <v/>
      </c>
      <c r="AD124" t="str">
        <f t="shared" si="7"/>
        <v/>
      </c>
      <c r="AE124" t="str">
        <f t="shared" si="8"/>
        <v/>
      </c>
      <c r="AF124" t="str">
        <f t="shared" si="9"/>
        <v/>
      </c>
      <c r="AG124" t="str">
        <f t="shared" si="10"/>
        <v/>
      </c>
      <c r="AH124" t="str">
        <f t="shared" si="11"/>
        <v/>
      </c>
    </row>
    <row r="125" spans="1:34" x14ac:dyDescent="0.45">
      <c r="A125" t="str">
        <f>IF(Moteur!D125="","",Moteur!D125)</f>
        <v/>
      </c>
      <c r="B125" t="str">
        <f>IF(Moteur!B125="","",Moteur!B125)</f>
        <v/>
      </c>
      <c r="C125" t="str">
        <f>IF(Moteur!F125="","",Moteur!F125)</f>
        <v/>
      </c>
      <c r="D125" t="str">
        <f>IF(Moteur!G125="","",Moteur!G125)</f>
        <v/>
      </c>
      <c r="E125" t="str">
        <f>IF(Moteur!H125="","",Moteur!H125)</f>
        <v/>
      </c>
      <c r="F125" t="str">
        <f>IF(Moteur!E125="","",Moteur!E125)</f>
        <v/>
      </c>
      <c r="G125" t="str">
        <f>IF($A125="","",SUMIFS(Allocation2!$H$1:$H$175,Allocation2!$C$1:$C$175,$A125,Allocation2!$D$1:$D$175,$C125,Allocation2!$E$1:$E$175,$D125,Allocation2!$F$1:$F$175,$E125,Allocation2!$G$1:$G$175,"2026"))</f>
        <v/>
      </c>
      <c r="H125" t="str">
        <f>IF($A125="","",SUMIFS(Allocation2!$N$1:$N$175,Allocation2!$C$1:$C$175,$A125,Allocation2!$D$1:$D$175,$C125,Allocation2!$E$1:$E$175,$D125,Allocation2!$F$1:$F$175,$E125,Allocation2!$G$1:$G$175,"2026"))</f>
        <v/>
      </c>
      <c r="I125" t="str">
        <f>IF($A125="","",SUMIFS(Allocation2!$P$1:$P$175,Allocation2!$C$1:$C$175,$A125,Allocation2!$D$1:$D$175,$C125,Allocation2!$E$1:$E$175,$D125,Allocation2!$F$1:$F$175,$E125,Allocation2!$G$1:$G$175,"2026"))</f>
        <v/>
      </c>
      <c r="J125" t="str">
        <f>IF($A125="","",SUMIFS(Allocation2!$W$1:$W$175,Allocation2!$C$1:$C$175,$A125,Allocation2!$D$1:$D$175,$C125,Allocation2!$E$1:$E$175,$D125,Allocation2!$F$1:$F$175,$E125,Allocation2!$G$1:$G$175,"2026"))</f>
        <v/>
      </c>
      <c r="K125" t="str">
        <f>IF($A125="","",SUMIFS(Allocation2!$X$1:$X$175,Allocation2!$C$1:$C$175,$A125,Allocation2!$D$1:$D$175,$C125,Allocation2!$E$1:$E$175,$D125,Allocation2!$F$1:$F$175,$E125,Allocation2!$G$1:$G$175,"2026"))</f>
        <v/>
      </c>
      <c r="L125" t="str">
        <f>IF($A125="","",SUMIFS(Allocation2!$Y$1:$Y$175,Allocation2!$C$1:$C$175,$A125,Allocation2!$D$1:$D$175,$C125,Allocation2!$E$1:$E$175,$D125,Allocation2!$F$1:$F$175,$E125,Allocation2!$G$1:$G$175,"2026"))</f>
        <v/>
      </c>
      <c r="M125" t="str">
        <f>IF($A125="","",SUMIFS(Allocation2!$V$1:$V$175,Allocation2!$C$1:$C$175,$A125,Allocation2!$D$1:$D$175,$C125,Allocation2!$E$1:$E$175,$D125,Allocation2!$F$1:$F$175,$E125,Allocation2!$G$1:$G$175,"2026"))</f>
        <v/>
      </c>
      <c r="N125" t="str">
        <f t="shared" si="6"/>
        <v/>
      </c>
      <c r="O125" t="str">
        <f>IF($A125="","",SUMIFS(Campagne!$D$1:$D$15,Campagne!$C$1:$C$15,$A125))</f>
        <v/>
      </c>
      <c r="P125" t="str">
        <f>IF($A125="","",SUMIFS(Campagne!$E$1:$E$15,Campagne!$C$1:$C$15,$A125))</f>
        <v/>
      </c>
      <c r="Q125" t="str">
        <f>IF($A125="","",SUMIFS(Campagne!$F$1:$F$15,Campagne!$C$1:$C$15,$A125))</f>
        <v/>
      </c>
      <c r="R125" t="str">
        <f>IF($A125="","",SUMIFS(Campagne!$K$1:$K$15,Campagne!$C$1:$C$15,$A125))</f>
        <v/>
      </c>
      <c r="S125" t="str">
        <f>IF($A125="","",SUMIFS(Campagne!$M$1:$M$15,Campagne!$C$1:$C$15,$A125))</f>
        <v/>
      </c>
      <c r="T125" t="str">
        <f>IF($A125="","",SUMIFS(PIL!$K$15:$K$28,PIL!$A$15:$A$28,$A125)*SUMIFS(PIL!$J$15:$J$28,PIL!$A$15:$A$28,$A125)*(SUM(PIL!$K$15:$K$28)/SUMPRODUCT(PIL!$K$15:$K$28,PIL!$J$15:$J$28)))</f>
        <v/>
      </c>
      <c r="U125" t="str">
        <f>IF($A125="","",SUMIFS(PIL!$K$15:$K$28,PIL!$A$15:$A$28,$A125))</f>
        <v/>
      </c>
      <c r="V125" t="str">
        <f>IF($A125="","",IF($B125="V01",cad!$C$23,IF($B125="V02",cad!$D$23,cad!$E$23)))</f>
        <v/>
      </c>
      <c r="W125" t="str">
        <f>IF($A125="","",IF($B125="V01",cad!$C$24,IF($B125="V02",cad!$D$24,cad!$E$24)))</f>
        <v/>
      </c>
      <c r="X125" t="str">
        <f>IF($A125="","",IF($B125="V01",cad!$C$25,IF($B125="V02",cad!$D$25,cad!$E$25)))</f>
        <v/>
      </c>
      <c r="Y125" t="str">
        <f>IF($A125="","",IF($B125="V01",cad!$C$26,IF($B125="V02",cad!$D$26,cad!$E$26)))</f>
        <v/>
      </c>
      <c r="Z125" t="str">
        <f>IF($A125="","",IF($B125="V01",cad!$C$27,IF($B125="V02",cad!$D$27,cad!$E$27)))</f>
        <v/>
      </c>
      <c r="AA125" t="str">
        <f>IF($A125="","",IF($B125="V01",cad!$C$28,IF($B125="V02",cad!$D$28,cad!$E$28)))</f>
        <v/>
      </c>
      <c r="AB125" t="str">
        <f>IF($A125="","",IF($B125="V01",cad!$C$39,IF($B125="V02",cad!$D$39,cad!$E$39)))</f>
        <v/>
      </c>
      <c r="AC125" t="str">
        <f>IF($A125="","",IF($F125="MBWAY",cad!$J$12,IF($F125="ISCOM",cad!$J$13,IF($F125="IPAC",cad!$J$14,IF($F125="PIGIER",cad!$J$15,cad!$J$16)))))</f>
        <v/>
      </c>
      <c r="AD125" t="str">
        <f t="shared" si="7"/>
        <v/>
      </c>
      <c r="AE125" t="str">
        <f t="shared" si="8"/>
        <v/>
      </c>
      <c r="AF125" t="str">
        <f t="shared" si="9"/>
        <v/>
      </c>
      <c r="AG125" t="str">
        <f t="shared" si="10"/>
        <v/>
      </c>
      <c r="AH125" t="str">
        <f t="shared" si="11"/>
        <v/>
      </c>
    </row>
    <row r="126" spans="1:34" x14ac:dyDescent="0.45">
      <c r="A126" t="str">
        <f>IF(Moteur!D126="","",Moteur!D126)</f>
        <v/>
      </c>
      <c r="B126" t="str">
        <f>IF(Moteur!B126="","",Moteur!B126)</f>
        <v/>
      </c>
      <c r="C126" t="str">
        <f>IF(Moteur!F126="","",Moteur!F126)</f>
        <v/>
      </c>
      <c r="D126" t="str">
        <f>IF(Moteur!G126="","",Moteur!G126)</f>
        <v/>
      </c>
      <c r="E126" t="str">
        <f>IF(Moteur!H126="","",Moteur!H126)</f>
        <v/>
      </c>
      <c r="F126" t="str">
        <f>IF(Moteur!E126="","",Moteur!E126)</f>
        <v/>
      </c>
      <c r="G126" t="str">
        <f>IF($A126="","",SUMIFS(Allocation2!$H$1:$H$175,Allocation2!$C$1:$C$175,$A126,Allocation2!$D$1:$D$175,$C126,Allocation2!$E$1:$E$175,$D126,Allocation2!$F$1:$F$175,$E126,Allocation2!$G$1:$G$175,"2026"))</f>
        <v/>
      </c>
      <c r="H126" t="str">
        <f>IF($A126="","",SUMIFS(Allocation2!$N$1:$N$175,Allocation2!$C$1:$C$175,$A126,Allocation2!$D$1:$D$175,$C126,Allocation2!$E$1:$E$175,$D126,Allocation2!$F$1:$F$175,$E126,Allocation2!$G$1:$G$175,"2026"))</f>
        <v/>
      </c>
      <c r="I126" t="str">
        <f>IF($A126="","",SUMIFS(Allocation2!$P$1:$P$175,Allocation2!$C$1:$C$175,$A126,Allocation2!$D$1:$D$175,$C126,Allocation2!$E$1:$E$175,$D126,Allocation2!$F$1:$F$175,$E126,Allocation2!$G$1:$G$175,"2026"))</f>
        <v/>
      </c>
      <c r="J126" t="str">
        <f>IF($A126="","",SUMIFS(Allocation2!$W$1:$W$175,Allocation2!$C$1:$C$175,$A126,Allocation2!$D$1:$D$175,$C126,Allocation2!$E$1:$E$175,$D126,Allocation2!$F$1:$F$175,$E126,Allocation2!$G$1:$G$175,"2026"))</f>
        <v/>
      </c>
      <c r="K126" t="str">
        <f>IF($A126="","",SUMIFS(Allocation2!$X$1:$X$175,Allocation2!$C$1:$C$175,$A126,Allocation2!$D$1:$D$175,$C126,Allocation2!$E$1:$E$175,$D126,Allocation2!$F$1:$F$175,$E126,Allocation2!$G$1:$G$175,"2026"))</f>
        <v/>
      </c>
      <c r="L126" t="str">
        <f>IF($A126="","",SUMIFS(Allocation2!$Y$1:$Y$175,Allocation2!$C$1:$C$175,$A126,Allocation2!$D$1:$D$175,$C126,Allocation2!$E$1:$E$175,$D126,Allocation2!$F$1:$F$175,$E126,Allocation2!$G$1:$G$175,"2026"))</f>
        <v/>
      </c>
      <c r="M126" t="str">
        <f>IF($A126="","",SUMIFS(Allocation2!$V$1:$V$175,Allocation2!$C$1:$C$175,$A126,Allocation2!$D$1:$D$175,$C126,Allocation2!$E$1:$E$175,$D126,Allocation2!$F$1:$F$175,$E126,Allocation2!$G$1:$G$175,"2026"))</f>
        <v/>
      </c>
      <c r="N126" t="str">
        <f t="shared" si="6"/>
        <v/>
      </c>
      <c r="O126" t="str">
        <f>IF($A126="","",SUMIFS(Campagne!$D$1:$D$15,Campagne!$C$1:$C$15,$A126))</f>
        <v/>
      </c>
      <c r="P126" t="str">
        <f>IF($A126="","",SUMIFS(Campagne!$E$1:$E$15,Campagne!$C$1:$C$15,$A126))</f>
        <v/>
      </c>
      <c r="Q126" t="str">
        <f>IF($A126="","",SUMIFS(Campagne!$F$1:$F$15,Campagne!$C$1:$C$15,$A126))</f>
        <v/>
      </c>
      <c r="R126" t="str">
        <f>IF($A126="","",SUMIFS(Campagne!$K$1:$K$15,Campagne!$C$1:$C$15,$A126))</f>
        <v/>
      </c>
      <c r="S126" t="str">
        <f>IF($A126="","",SUMIFS(Campagne!$M$1:$M$15,Campagne!$C$1:$C$15,$A126))</f>
        <v/>
      </c>
      <c r="T126" t="str">
        <f>IF($A126="","",SUMIFS(PIL!$K$15:$K$28,PIL!$A$15:$A$28,$A126)*SUMIFS(PIL!$J$15:$J$28,PIL!$A$15:$A$28,$A126)*(SUM(PIL!$K$15:$K$28)/SUMPRODUCT(PIL!$K$15:$K$28,PIL!$J$15:$J$28)))</f>
        <v/>
      </c>
      <c r="U126" t="str">
        <f>IF($A126="","",SUMIFS(PIL!$K$15:$K$28,PIL!$A$15:$A$28,$A126))</f>
        <v/>
      </c>
      <c r="V126" t="str">
        <f>IF($A126="","",IF($B126="V01",cad!$C$23,IF($B126="V02",cad!$D$23,cad!$E$23)))</f>
        <v/>
      </c>
      <c r="W126" t="str">
        <f>IF($A126="","",IF($B126="V01",cad!$C$24,IF($B126="V02",cad!$D$24,cad!$E$24)))</f>
        <v/>
      </c>
      <c r="X126" t="str">
        <f>IF($A126="","",IF($B126="V01",cad!$C$25,IF($B126="V02",cad!$D$25,cad!$E$25)))</f>
        <v/>
      </c>
      <c r="Y126" t="str">
        <f>IF($A126="","",IF($B126="V01",cad!$C$26,IF($B126="V02",cad!$D$26,cad!$E$26)))</f>
        <v/>
      </c>
      <c r="Z126" t="str">
        <f>IF($A126="","",IF($B126="V01",cad!$C$27,IF($B126="V02",cad!$D$27,cad!$E$27)))</f>
        <v/>
      </c>
      <c r="AA126" t="str">
        <f>IF($A126="","",IF($B126="V01",cad!$C$28,IF($B126="V02",cad!$D$28,cad!$E$28)))</f>
        <v/>
      </c>
      <c r="AB126" t="str">
        <f>IF($A126="","",IF($B126="V01",cad!$C$39,IF($B126="V02",cad!$D$39,cad!$E$39)))</f>
        <v/>
      </c>
      <c r="AC126" t="str">
        <f>IF($A126="","",IF($F126="MBWAY",cad!$J$12,IF($F126="ISCOM",cad!$J$13,IF($F126="IPAC",cad!$J$14,IF($F126="PIGIER",cad!$J$15,cad!$J$16)))))</f>
        <v/>
      </c>
      <c r="AD126" t="str">
        <f t="shared" si="7"/>
        <v/>
      </c>
      <c r="AE126" t="str">
        <f t="shared" si="8"/>
        <v/>
      </c>
      <c r="AF126" t="str">
        <f t="shared" si="9"/>
        <v/>
      </c>
      <c r="AG126" t="str">
        <f t="shared" si="10"/>
        <v/>
      </c>
      <c r="AH126" t="str">
        <f t="shared" si="11"/>
        <v/>
      </c>
    </row>
    <row r="127" spans="1:34" x14ac:dyDescent="0.45">
      <c r="A127" t="str">
        <f>IF(Moteur!D127="","",Moteur!D127)</f>
        <v/>
      </c>
      <c r="B127" t="str">
        <f>IF(Moteur!B127="","",Moteur!B127)</f>
        <v/>
      </c>
      <c r="C127" t="str">
        <f>IF(Moteur!F127="","",Moteur!F127)</f>
        <v/>
      </c>
      <c r="D127" t="str">
        <f>IF(Moteur!G127="","",Moteur!G127)</f>
        <v/>
      </c>
      <c r="E127" t="str">
        <f>IF(Moteur!H127="","",Moteur!H127)</f>
        <v/>
      </c>
      <c r="F127" t="str">
        <f>IF(Moteur!E127="","",Moteur!E127)</f>
        <v/>
      </c>
      <c r="G127" t="str">
        <f>IF($A127="","",SUMIFS(Allocation2!$H$1:$H$175,Allocation2!$C$1:$C$175,$A127,Allocation2!$D$1:$D$175,$C127,Allocation2!$E$1:$E$175,$D127,Allocation2!$F$1:$F$175,$E127,Allocation2!$G$1:$G$175,"2026"))</f>
        <v/>
      </c>
      <c r="H127" t="str">
        <f>IF($A127="","",SUMIFS(Allocation2!$N$1:$N$175,Allocation2!$C$1:$C$175,$A127,Allocation2!$D$1:$D$175,$C127,Allocation2!$E$1:$E$175,$D127,Allocation2!$F$1:$F$175,$E127,Allocation2!$G$1:$G$175,"2026"))</f>
        <v/>
      </c>
      <c r="I127" t="str">
        <f>IF($A127="","",SUMIFS(Allocation2!$P$1:$P$175,Allocation2!$C$1:$C$175,$A127,Allocation2!$D$1:$D$175,$C127,Allocation2!$E$1:$E$175,$D127,Allocation2!$F$1:$F$175,$E127,Allocation2!$G$1:$G$175,"2026"))</f>
        <v/>
      </c>
      <c r="J127" t="str">
        <f>IF($A127="","",SUMIFS(Allocation2!$W$1:$W$175,Allocation2!$C$1:$C$175,$A127,Allocation2!$D$1:$D$175,$C127,Allocation2!$E$1:$E$175,$D127,Allocation2!$F$1:$F$175,$E127,Allocation2!$G$1:$G$175,"2026"))</f>
        <v/>
      </c>
      <c r="K127" t="str">
        <f>IF($A127="","",SUMIFS(Allocation2!$X$1:$X$175,Allocation2!$C$1:$C$175,$A127,Allocation2!$D$1:$D$175,$C127,Allocation2!$E$1:$E$175,$D127,Allocation2!$F$1:$F$175,$E127,Allocation2!$G$1:$G$175,"2026"))</f>
        <v/>
      </c>
      <c r="L127" t="str">
        <f>IF($A127="","",SUMIFS(Allocation2!$Y$1:$Y$175,Allocation2!$C$1:$C$175,$A127,Allocation2!$D$1:$D$175,$C127,Allocation2!$E$1:$E$175,$D127,Allocation2!$F$1:$F$175,$E127,Allocation2!$G$1:$G$175,"2026"))</f>
        <v/>
      </c>
      <c r="M127" t="str">
        <f>IF($A127="","",SUMIFS(Allocation2!$V$1:$V$175,Allocation2!$C$1:$C$175,$A127,Allocation2!$D$1:$D$175,$C127,Allocation2!$E$1:$E$175,$D127,Allocation2!$F$1:$F$175,$E127,Allocation2!$G$1:$G$175,"2026"))</f>
        <v/>
      </c>
      <c r="N127" t="str">
        <f t="shared" si="6"/>
        <v/>
      </c>
      <c r="O127" t="str">
        <f>IF($A127="","",SUMIFS(Campagne!$D$1:$D$15,Campagne!$C$1:$C$15,$A127))</f>
        <v/>
      </c>
      <c r="P127" t="str">
        <f>IF($A127="","",SUMIFS(Campagne!$E$1:$E$15,Campagne!$C$1:$C$15,$A127))</f>
        <v/>
      </c>
      <c r="Q127" t="str">
        <f>IF($A127="","",SUMIFS(Campagne!$F$1:$F$15,Campagne!$C$1:$C$15,$A127))</f>
        <v/>
      </c>
      <c r="R127" t="str">
        <f>IF($A127="","",SUMIFS(Campagne!$K$1:$K$15,Campagne!$C$1:$C$15,$A127))</f>
        <v/>
      </c>
      <c r="S127" t="str">
        <f>IF($A127="","",SUMIFS(Campagne!$M$1:$M$15,Campagne!$C$1:$C$15,$A127))</f>
        <v/>
      </c>
      <c r="T127" t="str">
        <f>IF($A127="","",SUMIFS(PIL!$K$15:$K$28,PIL!$A$15:$A$28,$A127)*SUMIFS(PIL!$J$15:$J$28,PIL!$A$15:$A$28,$A127)*(SUM(PIL!$K$15:$K$28)/SUMPRODUCT(PIL!$K$15:$K$28,PIL!$J$15:$J$28)))</f>
        <v/>
      </c>
      <c r="U127" t="str">
        <f>IF($A127="","",SUMIFS(PIL!$K$15:$K$28,PIL!$A$15:$A$28,$A127))</f>
        <v/>
      </c>
      <c r="V127" t="str">
        <f>IF($A127="","",IF($B127="V01",cad!$C$23,IF($B127="V02",cad!$D$23,cad!$E$23)))</f>
        <v/>
      </c>
      <c r="W127" t="str">
        <f>IF($A127="","",IF($B127="V01",cad!$C$24,IF($B127="V02",cad!$D$24,cad!$E$24)))</f>
        <v/>
      </c>
      <c r="X127" t="str">
        <f>IF($A127="","",IF($B127="V01",cad!$C$25,IF($B127="V02",cad!$D$25,cad!$E$25)))</f>
        <v/>
      </c>
      <c r="Y127" t="str">
        <f>IF($A127="","",IF($B127="V01",cad!$C$26,IF($B127="V02",cad!$D$26,cad!$E$26)))</f>
        <v/>
      </c>
      <c r="Z127" t="str">
        <f>IF($A127="","",IF($B127="V01",cad!$C$27,IF($B127="V02",cad!$D$27,cad!$E$27)))</f>
        <v/>
      </c>
      <c r="AA127" t="str">
        <f>IF($A127="","",IF($B127="V01",cad!$C$28,IF($B127="V02",cad!$D$28,cad!$E$28)))</f>
        <v/>
      </c>
      <c r="AB127" t="str">
        <f>IF($A127="","",IF($B127="V01",cad!$C$39,IF($B127="V02",cad!$D$39,cad!$E$39)))</f>
        <v/>
      </c>
      <c r="AC127" t="str">
        <f>IF($A127="","",IF($F127="MBWAY",cad!$J$12,IF($F127="ISCOM",cad!$J$13,IF($F127="IPAC",cad!$J$14,IF($F127="PIGIER",cad!$J$15,cad!$J$16)))))</f>
        <v/>
      </c>
      <c r="AD127" t="str">
        <f t="shared" si="7"/>
        <v/>
      </c>
      <c r="AE127" t="str">
        <f t="shared" si="8"/>
        <v/>
      </c>
      <c r="AF127" t="str">
        <f t="shared" si="9"/>
        <v/>
      </c>
      <c r="AG127" t="str">
        <f t="shared" si="10"/>
        <v/>
      </c>
      <c r="AH127" t="str">
        <f t="shared" si="11"/>
        <v/>
      </c>
    </row>
    <row r="128" spans="1:34" x14ac:dyDescent="0.45">
      <c r="A128" t="str">
        <f>IF(Moteur!D128="","",Moteur!D128)</f>
        <v/>
      </c>
      <c r="B128" t="str">
        <f>IF(Moteur!B128="","",Moteur!B128)</f>
        <v/>
      </c>
      <c r="C128" t="str">
        <f>IF(Moteur!F128="","",Moteur!F128)</f>
        <v/>
      </c>
      <c r="D128" t="str">
        <f>IF(Moteur!G128="","",Moteur!G128)</f>
        <v/>
      </c>
      <c r="E128" t="str">
        <f>IF(Moteur!H128="","",Moteur!H128)</f>
        <v/>
      </c>
      <c r="F128" t="str">
        <f>IF(Moteur!E128="","",Moteur!E128)</f>
        <v/>
      </c>
      <c r="G128" t="str">
        <f>IF($A128="","",SUMIFS(Allocation2!$H$1:$H$175,Allocation2!$C$1:$C$175,$A128,Allocation2!$D$1:$D$175,$C128,Allocation2!$E$1:$E$175,$D128,Allocation2!$F$1:$F$175,$E128,Allocation2!$G$1:$G$175,"2026"))</f>
        <v/>
      </c>
      <c r="H128" t="str">
        <f>IF($A128="","",SUMIFS(Allocation2!$N$1:$N$175,Allocation2!$C$1:$C$175,$A128,Allocation2!$D$1:$D$175,$C128,Allocation2!$E$1:$E$175,$D128,Allocation2!$F$1:$F$175,$E128,Allocation2!$G$1:$G$175,"2026"))</f>
        <v/>
      </c>
      <c r="I128" t="str">
        <f>IF($A128="","",SUMIFS(Allocation2!$P$1:$P$175,Allocation2!$C$1:$C$175,$A128,Allocation2!$D$1:$D$175,$C128,Allocation2!$E$1:$E$175,$D128,Allocation2!$F$1:$F$175,$E128,Allocation2!$G$1:$G$175,"2026"))</f>
        <v/>
      </c>
      <c r="J128" t="str">
        <f>IF($A128="","",SUMIFS(Allocation2!$W$1:$W$175,Allocation2!$C$1:$C$175,$A128,Allocation2!$D$1:$D$175,$C128,Allocation2!$E$1:$E$175,$D128,Allocation2!$F$1:$F$175,$E128,Allocation2!$G$1:$G$175,"2026"))</f>
        <v/>
      </c>
      <c r="K128" t="str">
        <f>IF($A128="","",SUMIFS(Allocation2!$X$1:$X$175,Allocation2!$C$1:$C$175,$A128,Allocation2!$D$1:$D$175,$C128,Allocation2!$E$1:$E$175,$D128,Allocation2!$F$1:$F$175,$E128,Allocation2!$G$1:$G$175,"2026"))</f>
        <v/>
      </c>
      <c r="L128" t="str">
        <f>IF($A128="","",SUMIFS(Allocation2!$Y$1:$Y$175,Allocation2!$C$1:$C$175,$A128,Allocation2!$D$1:$D$175,$C128,Allocation2!$E$1:$E$175,$D128,Allocation2!$F$1:$F$175,$E128,Allocation2!$G$1:$G$175,"2026"))</f>
        <v/>
      </c>
      <c r="M128" t="str">
        <f>IF($A128="","",SUMIFS(Allocation2!$V$1:$V$175,Allocation2!$C$1:$C$175,$A128,Allocation2!$D$1:$D$175,$C128,Allocation2!$E$1:$E$175,$D128,Allocation2!$F$1:$F$175,$E128,Allocation2!$G$1:$G$175,"2026"))</f>
        <v/>
      </c>
      <c r="N128" t="str">
        <f t="shared" si="6"/>
        <v/>
      </c>
      <c r="O128" t="str">
        <f>IF($A128="","",SUMIFS(Campagne!$D$1:$D$15,Campagne!$C$1:$C$15,$A128))</f>
        <v/>
      </c>
      <c r="P128" t="str">
        <f>IF($A128="","",SUMIFS(Campagne!$E$1:$E$15,Campagne!$C$1:$C$15,$A128))</f>
        <v/>
      </c>
      <c r="Q128" t="str">
        <f>IF($A128="","",SUMIFS(Campagne!$F$1:$F$15,Campagne!$C$1:$C$15,$A128))</f>
        <v/>
      </c>
      <c r="R128" t="str">
        <f>IF($A128="","",SUMIFS(Campagne!$K$1:$K$15,Campagne!$C$1:$C$15,$A128))</f>
        <v/>
      </c>
      <c r="S128" t="str">
        <f>IF($A128="","",SUMIFS(Campagne!$M$1:$M$15,Campagne!$C$1:$C$15,$A128))</f>
        <v/>
      </c>
      <c r="T128" t="str">
        <f>IF($A128="","",SUMIFS(PIL!$K$15:$K$28,PIL!$A$15:$A$28,$A128)*SUMIFS(PIL!$J$15:$J$28,PIL!$A$15:$A$28,$A128)*(SUM(PIL!$K$15:$K$28)/SUMPRODUCT(PIL!$K$15:$K$28,PIL!$J$15:$J$28)))</f>
        <v/>
      </c>
      <c r="U128" t="str">
        <f>IF($A128="","",SUMIFS(PIL!$K$15:$K$28,PIL!$A$15:$A$28,$A128))</f>
        <v/>
      </c>
      <c r="V128" t="str">
        <f>IF($A128="","",IF($B128="V01",cad!$C$23,IF($B128="V02",cad!$D$23,cad!$E$23)))</f>
        <v/>
      </c>
      <c r="W128" t="str">
        <f>IF($A128="","",IF($B128="V01",cad!$C$24,IF($B128="V02",cad!$D$24,cad!$E$24)))</f>
        <v/>
      </c>
      <c r="X128" t="str">
        <f>IF($A128="","",IF($B128="V01",cad!$C$25,IF($B128="V02",cad!$D$25,cad!$E$25)))</f>
        <v/>
      </c>
      <c r="Y128" t="str">
        <f>IF($A128="","",IF($B128="V01",cad!$C$26,IF($B128="V02",cad!$D$26,cad!$E$26)))</f>
        <v/>
      </c>
      <c r="Z128" t="str">
        <f>IF($A128="","",IF($B128="V01",cad!$C$27,IF($B128="V02",cad!$D$27,cad!$E$27)))</f>
        <v/>
      </c>
      <c r="AA128" t="str">
        <f>IF($A128="","",IF($B128="V01",cad!$C$28,IF($B128="V02",cad!$D$28,cad!$E$28)))</f>
        <v/>
      </c>
      <c r="AB128" t="str">
        <f>IF($A128="","",IF($B128="V01",cad!$C$39,IF($B128="V02",cad!$D$39,cad!$E$39)))</f>
        <v/>
      </c>
      <c r="AC128" t="str">
        <f>IF($A128="","",IF($F128="MBWAY",cad!$J$12,IF($F128="ISCOM",cad!$J$13,IF($F128="IPAC",cad!$J$14,IF($F128="PIGIER",cad!$J$15,cad!$J$16)))))</f>
        <v/>
      </c>
      <c r="AD128" t="str">
        <f t="shared" si="7"/>
        <v/>
      </c>
      <c r="AE128" t="str">
        <f t="shared" si="8"/>
        <v/>
      </c>
      <c r="AF128" t="str">
        <f t="shared" si="9"/>
        <v/>
      </c>
      <c r="AG128" t="str">
        <f t="shared" si="10"/>
        <v/>
      </c>
      <c r="AH128" t="str">
        <f t="shared" si="11"/>
        <v/>
      </c>
    </row>
    <row r="129" spans="1:34" x14ac:dyDescent="0.45">
      <c r="A129" t="str">
        <f>IF(Moteur!D129="","",Moteur!D129)</f>
        <v/>
      </c>
      <c r="B129" t="str">
        <f>IF(Moteur!B129="","",Moteur!B129)</f>
        <v/>
      </c>
      <c r="C129" t="str">
        <f>IF(Moteur!F129="","",Moteur!F129)</f>
        <v/>
      </c>
      <c r="D129" t="str">
        <f>IF(Moteur!G129="","",Moteur!G129)</f>
        <v/>
      </c>
      <c r="E129" t="str">
        <f>IF(Moteur!H129="","",Moteur!H129)</f>
        <v/>
      </c>
      <c r="F129" t="str">
        <f>IF(Moteur!E129="","",Moteur!E129)</f>
        <v/>
      </c>
      <c r="G129" t="str">
        <f>IF($A129="","",SUMIFS(Allocation2!$H$1:$H$175,Allocation2!$C$1:$C$175,$A129,Allocation2!$D$1:$D$175,$C129,Allocation2!$E$1:$E$175,$D129,Allocation2!$F$1:$F$175,$E129,Allocation2!$G$1:$G$175,"2026"))</f>
        <v/>
      </c>
      <c r="H129" t="str">
        <f>IF($A129="","",SUMIFS(Allocation2!$N$1:$N$175,Allocation2!$C$1:$C$175,$A129,Allocation2!$D$1:$D$175,$C129,Allocation2!$E$1:$E$175,$D129,Allocation2!$F$1:$F$175,$E129,Allocation2!$G$1:$G$175,"2026"))</f>
        <v/>
      </c>
      <c r="I129" t="str">
        <f>IF($A129="","",SUMIFS(Allocation2!$P$1:$P$175,Allocation2!$C$1:$C$175,$A129,Allocation2!$D$1:$D$175,$C129,Allocation2!$E$1:$E$175,$D129,Allocation2!$F$1:$F$175,$E129,Allocation2!$G$1:$G$175,"2026"))</f>
        <v/>
      </c>
      <c r="J129" t="str">
        <f>IF($A129="","",SUMIFS(Allocation2!$W$1:$W$175,Allocation2!$C$1:$C$175,$A129,Allocation2!$D$1:$D$175,$C129,Allocation2!$E$1:$E$175,$D129,Allocation2!$F$1:$F$175,$E129,Allocation2!$G$1:$G$175,"2026"))</f>
        <v/>
      </c>
      <c r="K129" t="str">
        <f>IF($A129="","",SUMIFS(Allocation2!$X$1:$X$175,Allocation2!$C$1:$C$175,$A129,Allocation2!$D$1:$D$175,$C129,Allocation2!$E$1:$E$175,$D129,Allocation2!$F$1:$F$175,$E129,Allocation2!$G$1:$G$175,"2026"))</f>
        <v/>
      </c>
      <c r="L129" t="str">
        <f>IF($A129="","",SUMIFS(Allocation2!$Y$1:$Y$175,Allocation2!$C$1:$C$175,$A129,Allocation2!$D$1:$D$175,$C129,Allocation2!$E$1:$E$175,$D129,Allocation2!$F$1:$F$175,$E129,Allocation2!$G$1:$G$175,"2026"))</f>
        <v/>
      </c>
      <c r="M129" t="str">
        <f>IF($A129="","",SUMIFS(Allocation2!$V$1:$V$175,Allocation2!$C$1:$C$175,$A129,Allocation2!$D$1:$D$175,$C129,Allocation2!$E$1:$E$175,$D129,Allocation2!$F$1:$F$175,$E129,Allocation2!$G$1:$G$175,"2026"))</f>
        <v/>
      </c>
      <c r="N129" t="str">
        <f t="shared" si="6"/>
        <v/>
      </c>
      <c r="O129" t="str">
        <f>IF($A129="","",SUMIFS(Campagne!$D$1:$D$15,Campagne!$C$1:$C$15,$A129))</f>
        <v/>
      </c>
      <c r="P129" t="str">
        <f>IF($A129="","",SUMIFS(Campagne!$E$1:$E$15,Campagne!$C$1:$C$15,$A129))</f>
        <v/>
      </c>
      <c r="Q129" t="str">
        <f>IF($A129="","",SUMIFS(Campagne!$F$1:$F$15,Campagne!$C$1:$C$15,$A129))</f>
        <v/>
      </c>
      <c r="R129" t="str">
        <f>IF($A129="","",SUMIFS(Campagne!$K$1:$K$15,Campagne!$C$1:$C$15,$A129))</f>
        <v/>
      </c>
      <c r="S129" t="str">
        <f>IF($A129="","",SUMIFS(Campagne!$M$1:$M$15,Campagne!$C$1:$C$15,$A129))</f>
        <v/>
      </c>
      <c r="T129" t="str">
        <f>IF($A129="","",SUMIFS(PIL!$K$15:$K$28,PIL!$A$15:$A$28,$A129)*SUMIFS(PIL!$J$15:$J$28,PIL!$A$15:$A$28,$A129)*(SUM(PIL!$K$15:$K$28)/SUMPRODUCT(PIL!$K$15:$K$28,PIL!$J$15:$J$28)))</f>
        <v/>
      </c>
      <c r="U129" t="str">
        <f>IF($A129="","",SUMIFS(PIL!$K$15:$K$28,PIL!$A$15:$A$28,$A129))</f>
        <v/>
      </c>
      <c r="V129" t="str">
        <f>IF($A129="","",IF($B129="V01",cad!$C$23,IF($B129="V02",cad!$D$23,cad!$E$23)))</f>
        <v/>
      </c>
      <c r="W129" t="str">
        <f>IF($A129="","",IF($B129="V01",cad!$C$24,IF($B129="V02",cad!$D$24,cad!$E$24)))</f>
        <v/>
      </c>
      <c r="X129" t="str">
        <f>IF($A129="","",IF($B129="V01",cad!$C$25,IF($B129="V02",cad!$D$25,cad!$E$25)))</f>
        <v/>
      </c>
      <c r="Y129" t="str">
        <f>IF($A129="","",IF($B129="V01",cad!$C$26,IF($B129="V02",cad!$D$26,cad!$E$26)))</f>
        <v/>
      </c>
      <c r="Z129" t="str">
        <f>IF($A129="","",IF($B129="V01",cad!$C$27,IF($B129="V02",cad!$D$27,cad!$E$27)))</f>
        <v/>
      </c>
      <c r="AA129" t="str">
        <f>IF($A129="","",IF($B129="V01",cad!$C$28,IF($B129="V02",cad!$D$28,cad!$E$28)))</f>
        <v/>
      </c>
      <c r="AB129" t="str">
        <f>IF($A129="","",IF($B129="V01",cad!$C$39,IF($B129="V02",cad!$D$39,cad!$E$39)))</f>
        <v/>
      </c>
      <c r="AC129" t="str">
        <f>IF($A129="","",IF($F129="MBWAY",cad!$J$12,IF($F129="ISCOM",cad!$J$13,IF($F129="IPAC",cad!$J$14,IF($F129="PIGIER",cad!$J$15,cad!$J$16)))))</f>
        <v/>
      </c>
      <c r="AD129" t="str">
        <f t="shared" si="7"/>
        <v/>
      </c>
      <c r="AE129" t="str">
        <f t="shared" si="8"/>
        <v/>
      </c>
      <c r="AF129" t="str">
        <f t="shared" si="9"/>
        <v/>
      </c>
      <c r="AG129" t="str">
        <f t="shared" si="10"/>
        <v/>
      </c>
      <c r="AH129" t="str">
        <f t="shared" si="11"/>
        <v/>
      </c>
    </row>
    <row r="130" spans="1:34" x14ac:dyDescent="0.45">
      <c r="A130" t="str">
        <f>IF(Moteur!D130="","",Moteur!D130)</f>
        <v/>
      </c>
      <c r="B130" t="str">
        <f>IF(Moteur!B130="","",Moteur!B130)</f>
        <v/>
      </c>
      <c r="C130" t="str">
        <f>IF(Moteur!F130="","",Moteur!F130)</f>
        <v/>
      </c>
      <c r="D130" t="str">
        <f>IF(Moteur!G130="","",Moteur!G130)</f>
        <v/>
      </c>
      <c r="E130" t="str">
        <f>IF(Moteur!H130="","",Moteur!H130)</f>
        <v/>
      </c>
      <c r="F130" t="str">
        <f>IF(Moteur!E130="","",Moteur!E130)</f>
        <v/>
      </c>
      <c r="G130" t="str">
        <f>IF($A130="","",SUMIFS(Allocation2!$H$1:$H$175,Allocation2!$C$1:$C$175,$A130,Allocation2!$D$1:$D$175,$C130,Allocation2!$E$1:$E$175,$D130,Allocation2!$F$1:$F$175,$E130,Allocation2!$G$1:$G$175,"2026"))</f>
        <v/>
      </c>
      <c r="H130" t="str">
        <f>IF($A130="","",SUMIFS(Allocation2!$N$1:$N$175,Allocation2!$C$1:$C$175,$A130,Allocation2!$D$1:$D$175,$C130,Allocation2!$E$1:$E$175,$D130,Allocation2!$F$1:$F$175,$E130,Allocation2!$G$1:$G$175,"2026"))</f>
        <v/>
      </c>
      <c r="I130" t="str">
        <f>IF($A130="","",SUMIFS(Allocation2!$P$1:$P$175,Allocation2!$C$1:$C$175,$A130,Allocation2!$D$1:$D$175,$C130,Allocation2!$E$1:$E$175,$D130,Allocation2!$F$1:$F$175,$E130,Allocation2!$G$1:$G$175,"2026"))</f>
        <v/>
      </c>
      <c r="J130" t="str">
        <f>IF($A130="","",SUMIFS(Allocation2!$W$1:$W$175,Allocation2!$C$1:$C$175,$A130,Allocation2!$D$1:$D$175,$C130,Allocation2!$E$1:$E$175,$D130,Allocation2!$F$1:$F$175,$E130,Allocation2!$G$1:$G$175,"2026"))</f>
        <v/>
      </c>
      <c r="K130" t="str">
        <f>IF($A130="","",SUMIFS(Allocation2!$X$1:$X$175,Allocation2!$C$1:$C$175,$A130,Allocation2!$D$1:$D$175,$C130,Allocation2!$E$1:$E$175,$D130,Allocation2!$F$1:$F$175,$E130,Allocation2!$G$1:$G$175,"2026"))</f>
        <v/>
      </c>
      <c r="L130" t="str">
        <f>IF($A130="","",SUMIFS(Allocation2!$Y$1:$Y$175,Allocation2!$C$1:$C$175,$A130,Allocation2!$D$1:$D$175,$C130,Allocation2!$E$1:$E$175,$D130,Allocation2!$F$1:$F$175,$E130,Allocation2!$G$1:$G$175,"2026"))</f>
        <v/>
      </c>
      <c r="M130" t="str">
        <f>IF($A130="","",SUMIFS(Allocation2!$V$1:$V$175,Allocation2!$C$1:$C$175,$A130,Allocation2!$D$1:$D$175,$C130,Allocation2!$E$1:$E$175,$D130,Allocation2!$F$1:$F$175,$E130,Allocation2!$G$1:$G$175,"2026"))</f>
        <v/>
      </c>
      <c r="N130" t="str">
        <f t="shared" ref="N130:N175" si="12">IF($A130="","",IF(OR($D130="B1",$D130="M1",$D130="BTS1"),1,0))</f>
        <v/>
      </c>
      <c r="O130" t="str">
        <f>IF($A130="","",SUMIFS(Campagne!$D$1:$D$15,Campagne!$C$1:$C$15,$A130))</f>
        <v/>
      </c>
      <c r="P130" t="str">
        <f>IF($A130="","",SUMIFS(Campagne!$E$1:$E$15,Campagne!$C$1:$C$15,$A130))</f>
        <v/>
      </c>
      <c r="Q130" t="str">
        <f>IF($A130="","",SUMIFS(Campagne!$F$1:$F$15,Campagne!$C$1:$C$15,$A130))</f>
        <v/>
      </c>
      <c r="R130" t="str">
        <f>IF($A130="","",SUMIFS(Campagne!$K$1:$K$15,Campagne!$C$1:$C$15,$A130))</f>
        <v/>
      </c>
      <c r="S130" t="str">
        <f>IF($A130="","",SUMIFS(Campagne!$M$1:$M$15,Campagne!$C$1:$C$15,$A130))</f>
        <v/>
      </c>
      <c r="T130" t="str">
        <f>IF($A130="","",SUMIFS(PIL!$K$15:$K$28,PIL!$A$15:$A$28,$A130)*SUMIFS(PIL!$J$15:$J$28,PIL!$A$15:$A$28,$A130)*(SUM(PIL!$K$15:$K$28)/SUMPRODUCT(PIL!$K$15:$K$28,PIL!$J$15:$J$28)))</f>
        <v/>
      </c>
      <c r="U130" t="str">
        <f>IF($A130="","",SUMIFS(PIL!$K$15:$K$28,PIL!$A$15:$A$28,$A130))</f>
        <v/>
      </c>
      <c r="V130" t="str">
        <f>IF($A130="","",IF($B130="V01",cad!$C$23,IF($B130="V02",cad!$D$23,cad!$E$23)))</f>
        <v/>
      </c>
      <c r="W130" t="str">
        <f>IF($A130="","",IF($B130="V01",cad!$C$24,IF($B130="V02",cad!$D$24,cad!$E$24)))</f>
        <v/>
      </c>
      <c r="X130" t="str">
        <f>IF($A130="","",IF($B130="V01",cad!$C$25,IF($B130="V02",cad!$D$25,cad!$E$25)))</f>
        <v/>
      </c>
      <c r="Y130" t="str">
        <f>IF($A130="","",IF($B130="V01",cad!$C$26,IF($B130="V02",cad!$D$26,cad!$E$26)))</f>
        <v/>
      </c>
      <c r="Z130" t="str">
        <f>IF($A130="","",IF($B130="V01",cad!$C$27,IF($B130="V02",cad!$D$27,cad!$E$27)))</f>
        <v/>
      </c>
      <c r="AA130" t="str">
        <f>IF($A130="","",IF($B130="V01",cad!$C$28,IF($B130="V02",cad!$D$28,cad!$E$28)))</f>
        <v/>
      </c>
      <c r="AB130" t="str">
        <f>IF($A130="","",IF($B130="V01",cad!$C$39,IF($B130="V02",cad!$D$39,cad!$E$39)))</f>
        <v/>
      </c>
      <c r="AC130" t="str">
        <f>IF($A130="","",IF($F130="MBWAY",cad!$J$12,IF($F130="ISCOM",cad!$J$13,IF($F130="IPAC",cad!$J$14,IF($F130="PIGIER",cad!$J$15,cad!$J$16)))))</f>
        <v/>
      </c>
      <c r="AD130" t="str">
        <f t="shared" ref="AD130:AD175" si="13">IF($A130="","",($O130*(1+$W130)^$S130+$P130*IFERROR((($T130/$U130)*(1+$V130))^$R130,0))*IFERROR($G130/$Q130,0)*($J130+$Y130)*$K130*($L130+$Z130))</f>
        <v/>
      </c>
      <c r="AE130" t="str">
        <f t="shared" ref="AE130:AE175" si="14">IF($A130="","",IF($N130=1,$AD130,0))</f>
        <v/>
      </c>
      <c r="AF130" t="str">
        <f t="shared" ref="AF130:AF175" si="15">IF($A130="","",IF($N130=1,$AD130,$H130*($M130+$AA130)))</f>
        <v/>
      </c>
      <c r="AG130" t="str">
        <f t="shared" ref="AG130:AG175" si="16">IF($A130="","",$I130*(1+$X130*$AC130))</f>
        <v/>
      </c>
      <c r="AH130" t="str">
        <f t="shared" ref="AH130:AH175" si="17">IF($A130="","",$AF130*$AG130+$AE130*$AB130)</f>
        <v/>
      </c>
    </row>
    <row r="131" spans="1:34" x14ac:dyDescent="0.45">
      <c r="A131" t="str">
        <f>IF(Moteur!D131="","",Moteur!D131)</f>
        <v/>
      </c>
      <c r="B131" t="str">
        <f>IF(Moteur!B131="","",Moteur!B131)</f>
        <v/>
      </c>
      <c r="C131" t="str">
        <f>IF(Moteur!F131="","",Moteur!F131)</f>
        <v/>
      </c>
      <c r="D131" t="str">
        <f>IF(Moteur!G131="","",Moteur!G131)</f>
        <v/>
      </c>
      <c r="E131" t="str">
        <f>IF(Moteur!H131="","",Moteur!H131)</f>
        <v/>
      </c>
      <c r="F131" t="str">
        <f>IF(Moteur!E131="","",Moteur!E131)</f>
        <v/>
      </c>
      <c r="G131" t="str">
        <f>IF($A131="","",SUMIFS(Allocation2!$H$1:$H$175,Allocation2!$C$1:$C$175,$A131,Allocation2!$D$1:$D$175,$C131,Allocation2!$E$1:$E$175,$D131,Allocation2!$F$1:$F$175,$E131,Allocation2!$G$1:$G$175,"2026"))</f>
        <v/>
      </c>
      <c r="H131" t="str">
        <f>IF($A131="","",SUMIFS(Allocation2!$N$1:$N$175,Allocation2!$C$1:$C$175,$A131,Allocation2!$D$1:$D$175,$C131,Allocation2!$E$1:$E$175,$D131,Allocation2!$F$1:$F$175,$E131,Allocation2!$G$1:$G$175,"2026"))</f>
        <v/>
      </c>
      <c r="I131" t="str">
        <f>IF($A131="","",SUMIFS(Allocation2!$P$1:$P$175,Allocation2!$C$1:$C$175,$A131,Allocation2!$D$1:$D$175,$C131,Allocation2!$E$1:$E$175,$D131,Allocation2!$F$1:$F$175,$E131,Allocation2!$G$1:$G$175,"2026"))</f>
        <v/>
      </c>
      <c r="J131" t="str">
        <f>IF($A131="","",SUMIFS(Allocation2!$W$1:$W$175,Allocation2!$C$1:$C$175,$A131,Allocation2!$D$1:$D$175,$C131,Allocation2!$E$1:$E$175,$D131,Allocation2!$F$1:$F$175,$E131,Allocation2!$G$1:$G$175,"2026"))</f>
        <v/>
      </c>
      <c r="K131" t="str">
        <f>IF($A131="","",SUMIFS(Allocation2!$X$1:$X$175,Allocation2!$C$1:$C$175,$A131,Allocation2!$D$1:$D$175,$C131,Allocation2!$E$1:$E$175,$D131,Allocation2!$F$1:$F$175,$E131,Allocation2!$G$1:$G$175,"2026"))</f>
        <v/>
      </c>
      <c r="L131" t="str">
        <f>IF($A131="","",SUMIFS(Allocation2!$Y$1:$Y$175,Allocation2!$C$1:$C$175,$A131,Allocation2!$D$1:$D$175,$C131,Allocation2!$E$1:$E$175,$D131,Allocation2!$F$1:$F$175,$E131,Allocation2!$G$1:$G$175,"2026"))</f>
        <v/>
      </c>
      <c r="M131" t="str">
        <f>IF($A131="","",SUMIFS(Allocation2!$V$1:$V$175,Allocation2!$C$1:$C$175,$A131,Allocation2!$D$1:$D$175,$C131,Allocation2!$E$1:$E$175,$D131,Allocation2!$F$1:$F$175,$E131,Allocation2!$G$1:$G$175,"2026"))</f>
        <v/>
      </c>
      <c r="N131" t="str">
        <f t="shared" si="12"/>
        <v/>
      </c>
      <c r="O131" t="str">
        <f>IF($A131="","",SUMIFS(Campagne!$D$1:$D$15,Campagne!$C$1:$C$15,$A131))</f>
        <v/>
      </c>
      <c r="P131" t="str">
        <f>IF($A131="","",SUMIFS(Campagne!$E$1:$E$15,Campagne!$C$1:$C$15,$A131))</f>
        <v/>
      </c>
      <c r="Q131" t="str">
        <f>IF($A131="","",SUMIFS(Campagne!$F$1:$F$15,Campagne!$C$1:$C$15,$A131))</f>
        <v/>
      </c>
      <c r="R131" t="str">
        <f>IF($A131="","",SUMIFS(Campagne!$K$1:$K$15,Campagne!$C$1:$C$15,$A131))</f>
        <v/>
      </c>
      <c r="S131" t="str">
        <f>IF($A131="","",SUMIFS(Campagne!$M$1:$M$15,Campagne!$C$1:$C$15,$A131))</f>
        <v/>
      </c>
      <c r="T131" t="str">
        <f>IF($A131="","",SUMIFS(PIL!$K$15:$K$28,PIL!$A$15:$A$28,$A131)*SUMIFS(PIL!$J$15:$J$28,PIL!$A$15:$A$28,$A131)*(SUM(PIL!$K$15:$K$28)/SUMPRODUCT(PIL!$K$15:$K$28,PIL!$J$15:$J$28)))</f>
        <v/>
      </c>
      <c r="U131" t="str">
        <f>IF($A131="","",SUMIFS(PIL!$K$15:$K$28,PIL!$A$15:$A$28,$A131))</f>
        <v/>
      </c>
      <c r="V131" t="str">
        <f>IF($A131="","",IF($B131="V01",cad!$C$23,IF($B131="V02",cad!$D$23,cad!$E$23)))</f>
        <v/>
      </c>
      <c r="W131" t="str">
        <f>IF($A131="","",IF($B131="V01",cad!$C$24,IF($B131="V02",cad!$D$24,cad!$E$24)))</f>
        <v/>
      </c>
      <c r="X131" t="str">
        <f>IF($A131="","",IF($B131="V01",cad!$C$25,IF($B131="V02",cad!$D$25,cad!$E$25)))</f>
        <v/>
      </c>
      <c r="Y131" t="str">
        <f>IF($A131="","",IF($B131="V01",cad!$C$26,IF($B131="V02",cad!$D$26,cad!$E$26)))</f>
        <v/>
      </c>
      <c r="Z131" t="str">
        <f>IF($A131="","",IF($B131="V01",cad!$C$27,IF($B131="V02",cad!$D$27,cad!$E$27)))</f>
        <v/>
      </c>
      <c r="AA131" t="str">
        <f>IF($A131="","",IF($B131="V01",cad!$C$28,IF($B131="V02",cad!$D$28,cad!$E$28)))</f>
        <v/>
      </c>
      <c r="AB131" t="str">
        <f>IF($A131="","",IF($B131="V01",cad!$C$39,IF($B131="V02",cad!$D$39,cad!$E$39)))</f>
        <v/>
      </c>
      <c r="AC131" t="str">
        <f>IF($A131="","",IF($F131="MBWAY",cad!$J$12,IF($F131="ISCOM",cad!$J$13,IF($F131="IPAC",cad!$J$14,IF($F131="PIGIER",cad!$J$15,cad!$J$16)))))</f>
        <v/>
      </c>
      <c r="AD131" t="str">
        <f t="shared" si="13"/>
        <v/>
      </c>
      <c r="AE131" t="str">
        <f t="shared" si="14"/>
        <v/>
      </c>
      <c r="AF131" t="str">
        <f t="shared" si="15"/>
        <v/>
      </c>
      <c r="AG131" t="str">
        <f t="shared" si="16"/>
        <v/>
      </c>
      <c r="AH131" t="str">
        <f t="shared" si="17"/>
        <v/>
      </c>
    </row>
    <row r="132" spans="1:34" x14ac:dyDescent="0.45">
      <c r="A132" t="str">
        <f>IF(Moteur!D132="","",Moteur!D132)</f>
        <v/>
      </c>
      <c r="B132" t="str">
        <f>IF(Moteur!B132="","",Moteur!B132)</f>
        <v/>
      </c>
      <c r="C132" t="str">
        <f>IF(Moteur!F132="","",Moteur!F132)</f>
        <v/>
      </c>
      <c r="D132" t="str">
        <f>IF(Moteur!G132="","",Moteur!G132)</f>
        <v/>
      </c>
      <c r="E132" t="str">
        <f>IF(Moteur!H132="","",Moteur!H132)</f>
        <v/>
      </c>
      <c r="F132" t="str">
        <f>IF(Moteur!E132="","",Moteur!E132)</f>
        <v/>
      </c>
      <c r="G132" t="str">
        <f>IF($A132="","",SUMIFS(Allocation2!$H$1:$H$175,Allocation2!$C$1:$C$175,$A132,Allocation2!$D$1:$D$175,$C132,Allocation2!$E$1:$E$175,$D132,Allocation2!$F$1:$F$175,$E132,Allocation2!$G$1:$G$175,"2026"))</f>
        <v/>
      </c>
      <c r="H132" t="str">
        <f>IF($A132="","",SUMIFS(Allocation2!$N$1:$N$175,Allocation2!$C$1:$C$175,$A132,Allocation2!$D$1:$D$175,$C132,Allocation2!$E$1:$E$175,$D132,Allocation2!$F$1:$F$175,$E132,Allocation2!$G$1:$G$175,"2026"))</f>
        <v/>
      </c>
      <c r="I132" t="str">
        <f>IF($A132="","",SUMIFS(Allocation2!$P$1:$P$175,Allocation2!$C$1:$C$175,$A132,Allocation2!$D$1:$D$175,$C132,Allocation2!$E$1:$E$175,$D132,Allocation2!$F$1:$F$175,$E132,Allocation2!$G$1:$G$175,"2026"))</f>
        <v/>
      </c>
      <c r="J132" t="str">
        <f>IF($A132="","",SUMIFS(Allocation2!$W$1:$W$175,Allocation2!$C$1:$C$175,$A132,Allocation2!$D$1:$D$175,$C132,Allocation2!$E$1:$E$175,$D132,Allocation2!$F$1:$F$175,$E132,Allocation2!$G$1:$G$175,"2026"))</f>
        <v/>
      </c>
      <c r="K132" t="str">
        <f>IF($A132="","",SUMIFS(Allocation2!$X$1:$X$175,Allocation2!$C$1:$C$175,$A132,Allocation2!$D$1:$D$175,$C132,Allocation2!$E$1:$E$175,$D132,Allocation2!$F$1:$F$175,$E132,Allocation2!$G$1:$G$175,"2026"))</f>
        <v/>
      </c>
      <c r="L132" t="str">
        <f>IF($A132="","",SUMIFS(Allocation2!$Y$1:$Y$175,Allocation2!$C$1:$C$175,$A132,Allocation2!$D$1:$D$175,$C132,Allocation2!$E$1:$E$175,$D132,Allocation2!$F$1:$F$175,$E132,Allocation2!$G$1:$G$175,"2026"))</f>
        <v/>
      </c>
      <c r="M132" t="str">
        <f>IF($A132="","",SUMIFS(Allocation2!$V$1:$V$175,Allocation2!$C$1:$C$175,$A132,Allocation2!$D$1:$D$175,$C132,Allocation2!$E$1:$E$175,$D132,Allocation2!$F$1:$F$175,$E132,Allocation2!$G$1:$G$175,"2026"))</f>
        <v/>
      </c>
      <c r="N132" t="str">
        <f t="shared" si="12"/>
        <v/>
      </c>
      <c r="O132" t="str">
        <f>IF($A132="","",SUMIFS(Campagne!$D$1:$D$15,Campagne!$C$1:$C$15,$A132))</f>
        <v/>
      </c>
      <c r="P132" t="str">
        <f>IF($A132="","",SUMIFS(Campagne!$E$1:$E$15,Campagne!$C$1:$C$15,$A132))</f>
        <v/>
      </c>
      <c r="Q132" t="str">
        <f>IF($A132="","",SUMIFS(Campagne!$F$1:$F$15,Campagne!$C$1:$C$15,$A132))</f>
        <v/>
      </c>
      <c r="R132" t="str">
        <f>IF($A132="","",SUMIFS(Campagne!$K$1:$K$15,Campagne!$C$1:$C$15,$A132))</f>
        <v/>
      </c>
      <c r="S132" t="str">
        <f>IF($A132="","",SUMIFS(Campagne!$M$1:$M$15,Campagne!$C$1:$C$15,$A132))</f>
        <v/>
      </c>
      <c r="T132" t="str">
        <f>IF($A132="","",SUMIFS(PIL!$K$15:$K$28,PIL!$A$15:$A$28,$A132)*SUMIFS(PIL!$J$15:$J$28,PIL!$A$15:$A$28,$A132)*(SUM(PIL!$K$15:$K$28)/SUMPRODUCT(PIL!$K$15:$K$28,PIL!$J$15:$J$28)))</f>
        <v/>
      </c>
      <c r="U132" t="str">
        <f>IF($A132="","",SUMIFS(PIL!$K$15:$K$28,PIL!$A$15:$A$28,$A132))</f>
        <v/>
      </c>
      <c r="V132" t="str">
        <f>IF($A132="","",IF($B132="V01",cad!$C$23,IF($B132="V02",cad!$D$23,cad!$E$23)))</f>
        <v/>
      </c>
      <c r="W132" t="str">
        <f>IF($A132="","",IF($B132="V01",cad!$C$24,IF($B132="V02",cad!$D$24,cad!$E$24)))</f>
        <v/>
      </c>
      <c r="X132" t="str">
        <f>IF($A132="","",IF($B132="V01",cad!$C$25,IF($B132="V02",cad!$D$25,cad!$E$25)))</f>
        <v/>
      </c>
      <c r="Y132" t="str">
        <f>IF($A132="","",IF($B132="V01",cad!$C$26,IF($B132="V02",cad!$D$26,cad!$E$26)))</f>
        <v/>
      </c>
      <c r="Z132" t="str">
        <f>IF($A132="","",IF($B132="V01",cad!$C$27,IF($B132="V02",cad!$D$27,cad!$E$27)))</f>
        <v/>
      </c>
      <c r="AA132" t="str">
        <f>IF($A132="","",IF($B132="V01",cad!$C$28,IF($B132="V02",cad!$D$28,cad!$E$28)))</f>
        <v/>
      </c>
      <c r="AB132" t="str">
        <f>IF($A132="","",IF($B132="V01",cad!$C$39,IF($B132="V02",cad!$D$39,cad!$E$39)))</f>
        <v/>
      </c>
      <c r="AC132" t="str">
        <f>IF($A132="","",IF($F132="MBWAY",cad!$J$12,IF($F132="ISCOM",cad!$J$13,IF($F132="IPAC",cad!$J$14,IF($F132="PIGIER",cad!$J$15,cad!$J$16)))))</f>
        <v/>
      </c>
      <c r="AD132" t="str">
        <f t="shared" si="13"/>
        <v/>
      </c>
      <c r="AE132" t="str">
        <f t="shared" si="14"/>
        <v/>
      </c>
      <c r="AF132" t="str">
        <f t="shared" si="15"/>
        <v/>
      </c>
      <c r="AG132" t="str">
        <f t="shared" si="16"/>
        <v/>
      </c>
      <c r="AH132" t="str">
        <f t="shared" si="17"/>
        <v/>
      </c>
    </row>
    <row r="133" spans="1:34" x14ac:dyDescent="0.45">
      <c r="A133" t="str">
        <f>IF(Moteur!D133="","",Moteur!D133)</f>
        <v/>
      </c>
      <c r="B133" t="str">
        <f>IF(Moteur!B133="","",Moteur!B133)</f>
        <v/>
      </c>
      <c r="C133" t="str">
        <f>IF(Moteur!F133="","",Moteur!F133)</f>
        <v/>
      </c>
      <c r="D133" t="str">
        <f>IF(Moteur!G133="","",Moteur!G133)</f>
        <v/>
      </c>
      <c r="E133" t="str">
        <f>IF(Moteur!H133="","",Moteur!H133)</f>
        <v/>
      </c>
      <c r="F133" t="str">
        <f>IF(Moteur!E133="","",Moteur!E133)</f>
        <v/>
      </c>
      <c r="G133" t="str">
        <f>IF($A133="","",SUMIFS(Allocation2!$H$1:$H$175,Allocation2!$C$1:$C$175,$A133,Allocation2!$D$1:$D$175,$C133,Allocation2!$E$1:$E$175,$D133,Allocation2!$F$1:$F$175,$E133,Allocation2!$G$1:$G$175,"2026"))</f>
        <v/>
      </c>
      <c r="H133" t="str">
        <f>IF($A133="","",SUMIFS(Allocation2!$N$1:$N$175,Allocation2!$C$1:$C$175,$A133,Allocation2!$D$1:$D$175,$C133,Allocation2!$E$1:$E$175,$D133,Allocation2!$F$1:$F$175,$E133,Allocation2!$G$1:$G$175,"2026"))</f>
        <v/>
      </c>
      <c r="I133" t="str">
        <f>IF($A133="","",SUMIFS(Allocation2!$P$1:$P$175,Allocation2!$C$1:$C$175,$A133,Allocation2!$D$1:$D$175,$C133,Allocation2!$E$1:$E$175,$D133,Allocation2!$F$1:$F$175,$E133,Allocation2!$G$1:$G$175,"2026"))</f>
        <v/>
      </c>
      <c r="J133" t="str">
        <f>IF($A133="","",SUMIFS(Allocation2!$W$1:$W$175,Allocation2!$C$1:$C$175,$A133,Allocation2!$D$1:$D$175,$C133,Allocation2!$E$1:$E$175,$D133,Allocation2!$F$1:$F$175,$E133,Allocation2!$G$1:$G$175,"2026"))</f>
        <v/>
      </c>
      <c r="K133" t="str">
        <f>IF($A133="","",SUMIFS(Allocation2!$X$1:$X$175,Allocation2!$C$1:$C$175,$A133,Allocation2!$D$1:$D$175,$C133,Allocation2!$E$1:$E$175,$D133,Allocation2!$F$1:$F$175,$E133,Allocation2!$G$1:$G$175,"2026"))</f>
        <v/>
      </c>
      <c r="L133" t="str">
        <f>IF($A133="","",SUMIFS(Allocation2!$Y$1:$Y$175,Allocation2!$C$1:$C$175,$A133,Allocation2!$D$1:$D$175,$C133,Allocation2!$E$1:$E$175,$D133,Allocation2!$F$1:$F$175,$E133,Allocation2!$G$1:$G$175,"2026"))</f>
        <v/>
      </c>
      <c r="M133" t="str">
        <f>IF($A133="","",SUMIFS(Allocation2!$V$1:$V$175,Allocation2!$C$1:$C$175,$A133,Allocation2!$D$1:$D$175,$C133,Allocation2!$E$1:$E$175,$D133,Allocation2!$F$1:$F$175,$E133,Allocation2!$G$1:$G$175,"2026"))</f>
        <v/>
      </c>
      <c r="N133" t="str">
        <f t="shared" si="12"/>
        <v/>
      </c>
      <c r="O133" t="str">
        <f>IF($A133="","",SUMIFS(Campagne!$D$1:$D$15,Campagne!$C$1:$C$15,$A133))</f>
        <v/>
      </c>
      <c r="P133" t="str">
        <f>IF($A133="","",SUMIFS(Campagne!$E$1:$E$15,Campagne!$C$1:$C$15,$A133))</f>
        <v/>
      </c>
      <c r="Q133" t="str">
        <f>IF($A133="","",SUMIFS(Campagne!$F$1:$F$15,Campagne!$C$1:$C$15,$A133))</f>
        <v/>
      </c>
      <c r="R133" t="str">
        <f>IF($A133="","",SUMIFS(Campagne!$K$1:$K$15,Campagne!$C$1:$C$15,$A133))</f>
        <v/>
      </c>
      <c r="S133" t="str">
        <f>IF($A133="","",SUMIFS(Campagne!$M$1:$M$15,Campagne!$C$1:$C$15,$A133))</f>
        <v/>
      </c>
      <c r="T133" t="str">
        <f>IF($A133="","",SUMIFS(PIL!$K$15:$K$28,PIL!$A$15:$A$28,$A133)*SUMIFS(PIL!$J$15:$J$28,PIL!$A$15:$A$28,$A133)*(SUM(PIL!$K$15:$K$28)/SUMPRODUCT(PIL!$K$15:$K$28,PIL!$J$15:$J$28)))</f>
        <v/>
      </c>
      <c r="U133" t="str">
        <f>IF($A133="","",SUMIFS(PIL!$K$15:$K$28,PIL!$A$15:$A$28,$A133))</f>
        <v/>
      </c>
      <c r="V133" t="str">
        <f>IF($A133="","",IF($B133="V01",cad!$C$23,IF($B133="V02",cad!$D$23,cad!$E$23)))</f>
        <v/>
      </c>
      <c r="W133" t="str">
        <f>IF($A133="","",IF($B133="V01",cad!$C$24,IF($B133="V02",cad!$D$24,cad!$E$24)))</f>
        <v/>
      </c>
      <c r="X133" t="str">
        <f>IF($A133="","",IF($B133="V01",cad!$C$25,IF($B133="V02",cad!$D$25,cad!$E$25)))</f>
        <v/>
      </c>
      <c r="Y133" t="str">
        <f>IF($A133="","",IF($B133="V01",cad!$C$26,IF($B133="V02",cad!$D$26,cad!$E$26)))</f>
        <v/>
      </c>
      <c r="Z133" t="str">
        <f>IF($A133="","",IF($B133="V01",cad!$C$27,IF($B133="V02",cad!$D$27,cad!$E$27)))</f>
        <v/>
      </c>
      <c r="AA133" t="str">
        <f>IF($A133="","",IF($B133="V01",cad!$C$28,IF($B133="V02",cad!$D$28,cad!$E$28)))</f>
        <v/>
      </c>
      <c r="AB133" t="str">
        <f>IF($A133="","",IF($B133="V01",cad!$C$39,IF($B133="V02",cad!$D$39,cad!$E$39)))</f>
        <v/>
      </c>
      <c r="AC133" t="str">
        <f>IF($A133="","",IF($F133="MBWAY",cad!$J$12,IF($F133="ISCOM",cad!$J$13,IF($F133="IPAC",cad!$J$14,IF($F133="PIGIER",cad!$J$15,cad!$J$16)))))</f>
        <v/>
      </c>
      <c r="AD133" t="str">
        <f t="shared" si="13"/>
        <v/>
      </c>
      <c r="AE133" t="str">
        <f t="shared" si="14"/>
        <v/>
      </c>
      <c r="AF133" t="str">
        <f t="shared" si="15"/>
        <v/>
      </c>
      <c r="AG133" t="str">
        <f t="shared" si="16"/>
        <v/>
      </c>
      <c r="AH133" t="str">
        <f t="shared" si="17"/>
        <v/>
      </c>
    </row>
    <row r="134" spans="1:34" x14ac:dyDescent="0.45">
      <c r="A134" t="str">
        <f>IF(Moteur!D134="","",Moteur!D134)</f>
        <v/>
      </c>
      <c r="B134" t="str">
        <f>IF(Moteur!B134="","",Moteur!B134)</f>
        <v/>
      </c>
      <c r="C134" t="str">
        <f>IF(Moteur!F134="","",Moteur!F134)</f>
        <v/>
      </c>
      <c r="D134" t="str">
        <f>IF(Moteur!G134="","",Moteur!G134)</f>
        <v/>
      </c>
      <c r="E134" t="str">
        <f>IF(Moteur!H134="","",Moteur!H134)</f>
        <v/>
      </c>
      <c r="F134" t="str">
        <f>IF(Moteur!E134="","",Moteur!E134)</f>
        <v/>
      </c>
      <c r="G134" t="str">
        <f>IF($A134="","",SUMIFS(Allocation2!$H$1:$H$175,Allocation2!$C$1:$C$175,$A134,Allocation2!$D$1:$D$175,$C134,Allocation2!$E$1:$E$175,$D134,Allocation2!$F$1:$F$175,$E134,Allocation2!$G$1:$G$175,"2026"))</f>
        <v/>
      </c>
      <c r="H134" t="str">
        <f>IF($A134="","",SUMIFS(Allocation2!$N$1:$N$175,Allocation2!$C$1:$C$175,$A134,Allocation2!$D$1:$D$175,$C134,Allocation2!$E$1:$E$175,$D134,Allocation2!$F$1:$F$175,$E134,Allocation2!$G$1:$G$175,"2026"))</f>
        <v/>
      </c>
      <c r="I134" t="str">
        <f>IF($A134="","",SUMIFS(Allocation2!$P$1:$P$175,Allocation2!$C$1:$C$175,$A134,Allocation2!$D$1:$D$175,$C134,Allocation2!$E$1:$E$175,$D134,Allocation2!$F$1:$F$175,$E134,Allocation2!$G$1:$G$175,"2026"))</f>
        <v/>
      </c>
      <c r="J134" t="str">
        <f>IF($A134="","",SUMIFS(Allocation2!$W$1:$W$175,Allocation2!$C$1:$C$175,$A134,Allocation2!$D$1:$D$175,$C134,Allocation2!$E$1:$E$175,$D134,Allocation2!$F$1:$F$175,$E134,Allocation2!$G$1:$G$175,"2026"))</f>
        <v/>
      </c>
      <c r="K134" t="str">
        <f>IF($A134="","",SUMIFS(Allocation2!$X$1:$X$175,Allocation2!$C$1:$C$175,$A134,Allocation2!$D$1:$D$175,$C134,Allocation2!$E$1:$E$175,$D134,Allocation2!$F$1:$F$175,$E134,Allocation2!$G$1:$G$175,"2026"))</f>
        <v/>
      </c>
      <c r="L134" t="str">
        <f>IF($A134="","",SUMIFS(Allocation2!$Y$1:$Y$175,Allocation2!$C$1:$C$175,$A134,Allocation2!$D$1:$D$175,$C134,Allocation2!$E$1:$E$175,$D134,Allocation2!$F$1:$F$175,$E134,Allocation2!$G$1:$G$175,"2026"))</f>
        <v/>
      </c>
      <c r="M134" t="str">
        <f>IF($A134="","",SUMIFS(Allocation2!$V$1:$V$175,Allocation2!$C$1:$C$175,$A134,Allocation2!$D$1:$D$175,$C134,Allocation2!$E$1:$E$175,$D134,Allocation2!$F$1:$F$175,$E134,Allocation2!$G$1:$G$175,"2026"))</f>
        <v/>
      </c>
      <c r="N134" t="str">
        <f t="shared" si="12"/>
        <v/>
      </c>
      <c r="O134" t="str">
        <f>IF($A134="","",SUMIFS(Campagne!$D$1:$D$15,Campagne!$C$1:$C$15,$A134))</f>
        <v/>
      </c>
      <c r="P134" t="str">
        <f>IF($A134="","",SUMIFS(Campagne!$E$1:$E$15,Campagne!$C$1:$C$15,$A134))</f>
        <v/>
      </c>
      <c r="Q134" t="str">
        <f>IF($A134="","",SUMIFS(Campagne!$F$1:$F$15,Campagne!$C$1:$C$15,$A134))</f>
        <v/>
      </c>
      <c r="R134" t="str">
        <f>IF($A134="","",SUMIFS(Campagne!$K$1:$K$15,Campagne!$C$1:$C$15,$A134))</f>
        <v/>
      </c>
      <c r="S134" t="str">
        <f>IF($A134="","",SUMIFS(Campagne!$M$1:$M$15,Campagne!$C$1:$C$15,$A134))</f>
        <v/>
      </c>
      <c r="T134" t="str">
        <f>IF($A134="","",SUMIFS(PIL!$K$15:$K$28,PIL!$A$15:$A$28,$A134)*SUMIFS(PIL!$J$15:$J$28,PIL!$A$15:$A$28,$A134)*(SUM(PIL!$K$15:$K$28)/SUMPRODUCT(PIL!$K$15:$K$28,PIL!$J$15:$J$28)))</f>
        <v/>
      </c>
      <c r="U134" t="str">
        <f>IF($A134="","",SUMIFS(PIL!$K$15:$K$28,PIL!$A$15:$A$28,$A134))</f>
        <v/>
      </c>
      <c r="V134" t="str">
        <f>IF($A134="","",IF($B134="V01",cad!$C$23,IF($B134="V02",cad!$D$23,cad!$E$23)))</f>
        <v/>
      </c>
      <c r="W134" t="str">
        <f>IF($A134="","",IF($B134="V01",cad!$C$24,IF($B134="V02",cad!$D$24,cad!$E$24)))</f>
        <v/>
      </c>
      <c r="X134" t="str">
        <f>IF($A134="","",IF($B134="V01",cad!$C$25,IF($B134="V02",cad!$D$25,cad!$E$25)))</f>
        <v/>
      </c>
      <c r="Y134" t="str">
        <f>IF($A134="","",IF($B134="V01",cad!$C$26,IF($B134="V02",cad!$D$26,cad!$E$26)))</f>
        <v/>
      </c>
      <c r="Z134" t="str">
        <f>IF($A134="","",IF($B134="V01",cad!$C$27,IF($B134="V02",cad!$D$27,cad!$E$27)))</f>
        <v/>
      </c>
      <c r="AA134" t="str">
        <f>IF($A134="","",IF($B134="V01",cad!$C$28,IF($B134="V02",cad!$D$28,cad!$E$28)))</f>
        <v/>
      </c>
      <c r="AB134" t="str">
        <f>IF($A134="","",IF($B134="V01",cad!$C$39,IF($B134="V02",cad!$D$39,cad!$E$39)))</f>
        <v/>
      </c>
      <c r="AC134" t="str">
        <f>IF($A134="","",IF($F134="MBWAY",cad!$J$12,IF($F134="ISCOM",cad!$J$13,IF($F134="IPAC",cad!$J$14,IF($F134="PIGIER",cad!$J$15,cad!$J$16)))))</f>
        <v/>
      </c>
      <c r="AD134" t="str">
        <f t="shared" si="13"/>
        <v/>
      </c>
      <c r="AE134" t="str">
        <f t="shared" si="14"/>
        <v/>
      </c>
      <c r="AF134" t="str">
        <f t="shared" si="15"/>
        <v/>
      </c>
      <c r="AG134" t="str">
        <f t="shared" si="16"/>
        <v/>
      </c>
      <c r="AH134" t="str">
        <f t="shared" si="17"/>
        <v/>
      </c>
    </row>
    <row r="135" spans="1:34" x14ac:dyDescent="0.45">
      <c r="A135" t="str">
        <f>IF(Moteur!D135="","",Moteur!D135)</f>
        <v/>
      </c>
      <c r="B135" t="str">
        <f>IF(Moteur!B135="","",Moteur!B135)</f>
        <v/>
      </c>
      <c r="C135" t="str">
        <f>IF(Moteur!F135="","",Moteur!F135)</f>
        <v/>
      </c>
      <c r="D135" t="str">
        <f>IF(Moteur!G135="","",Moteur!G135)</f>
        <v/>
      </c>
      <c r="E135" t="str">
        <f>IF(Moteur!H135="","",Moteur!H135)</f>
        <v/>
      </c>
      <c r="F135" t="str">
        <f>IF(Moteur!E135="","",Moteur!E135)</f>
        <v/>
      </c>
      <c r="G135" t="str">
        <f>IF($A135="","",SUMIFS(Allocation2!$H$1:$H$175,Allocation2!$C$1:$C$175,$A135,Allocation2!$D$1:$D$175,$C135,Allocation2!$E$1:$E$175,$D135,Allocation2!$F$1:$F$175,$E135,Allocation2!$G$1:$G$175,"2026"))</f>
        <v/>
      </c>
      <c r="H135" t="str">
        <f>IF($A135="","",SUMIFS(Allocation2!$N$1:$N$175,Allocation2!$C$1:$C$175,$A135,Allocation2!$D$1:$D$175,$C135,Allocation2!$E$1:$E$175,$D135,Allocation2!$F$1:$F$175,$E135,Allocation2!$G$1:$G$175,"2026"))</f>
        <v/>
      </c>
      <c r="I135" t="str">
        <f>IF($A135="","",SUMIFS(Allocation2!$P$1:$P$175,Allocation2!$C$1:$C$175,$A135,Allocation2!$D$1:$D$175,$C135,Allocation2!$E$1:$E$175,$D135,Allocation2!$F$1:$F$175,$E135,Allocation2!$G$1:$G$175,"2026"))</f>
        <v/>
      </c>
      <c r="J135" t="str">
        <f>IF($A135="","",SUMIFS(Allocation2!$W$1:$W$175,Allocation2!$C$1:$C$175,$A135,Allocation2!$D$1:$D$175,$C135,Allocation2!$E$1:$E$175,$D135,Allocation2!$F$1:$F$175,$E135,Allocation2!$G$1:$G$175,"2026"))</f>
        <v/>
      </c>
      <c r="K135" t="str">
        <f>IF($A135="","",SUMIFS(Allocation2!$X$1:$X$175,Allocation2!$C$1:$C$175,$A135,Allocation2!$D$1:$D$175,$C135,Allocation2!$E$1:$E$175,$D135,Allocation2!$F$1:$F$175,$E135,Allocation2!$G$1:$G$175,"2026"))</f>
        <v/>
      </c>
      <c r="L135" t="str">
        <f>IF($A135="","",SUMIFS(Allocation2!$Y$1:$Y$175,Allocation2!$C$1:$C$175,$A135,Allocation2!$D$1:$D$175,$C135,Allocation2!$E$1:$E$175,$D135,Allocation2!$F$1:$F$175,$E135,Allocation2!$G$1:$G$175,"2026"))</f>
        <v/>
      </c>
      <c r="M135" t="str">
        <f>IF($A135="","",SUMIFS(Allocation2!$V$1:$V$175,Allocation2!$C$1:$C$175,$A135,Allocation2!$D$1:$D$175,$C135,Allocation2!$E$1:$E$175,$D135,Allocation2!$F$1:$F$175,$E135,Allocation2!$G$1:$G$175,"2026"))</f>
        <v/>
      </c>
      <c r="N135" t="str">
        <f t="shared" si="12"/>
        <v/>
      </c>
      <c r="O135" t="str">
        <f>IF($A135="","",SUMIFS(Campagne!$D$1:$D$15,Campagne!$C$1:$C$15,$A135))</f>
        <v/>
      </c>
      <c r="P135" t="str">
        <f>IF($A135="","",SUMIFS(Campagne!$E$1:$E$15,Campagne!$C$1:$C$15,$A135))</f>
        <v/>
      </c>
      <c r="Q135" t="str">
        <f>IF($A135="","",SUMIFS(Campagne!$F$1:$F$15,Campagne!$C$1:$C$15,$A135))</f>
        <v/>
      </c>
      <c r="R135" t="str">
        <f>IF($A135="","",SUMIFS(Campagne!$K$1:$K$15,Campagne!$C$1:$C$15,$A135))</f>
        <v/>
      </c>
      <c r="S135" t="str">
        <f>IF($A135="","",SUMIFS(Campagne!$M$1:$M$15,Campagne!$C$1:$C$15,$A135))</f>
        <v/>
      </c>
      <c r="T135" t="str">
        <f>IF($A135="","",SUMIFS(PIL!$K$15:$K$28,PIL!$A$15:$A$28,$A135)*SUMIFS(PIL!$J$15:$J$28,PIL!$A$15:$A$28,$A135)*(SUM(PIL!$K$15:$K$28)/SUMPRODUCT(PIL!$K$15:$K$28,PIL!$J$15:$J$28)))</f>
        <v/>
      </c>
      <c r="U135" t="str">
        <f>IF($A135="","",SUMIFS(PIL!$K$15:$K$28,PIL!$A$15:$A$28,$A135))</f>
        <v/>
      </c>
      <c r="V135" t="str">
        <f>IF($A135="","",IF($B135="V01",cad!$C$23,IF($B135="V02",cad!$D$23,cad!$E$23)))</f>
        <v/>
      </c>
      <c r="W135" t="str">
        <f>IF($A135="","",IF($B135="V01",cad!$C$24,IF($B135="V02",cad!$D$24,cad!$E$24)))</f>
        <v/>
      </c>
      <c r="X135" t="str">
        <f>IF($A135="","",IF($B135="V01",cad!$C$25,IF($B135="V02",cad!$D$25,cad!$E$25)))</f>
        <v/>
      </c>
      <c r="Y135" t="str">
        <f>IF($A135="","",IF($B135="V01",cad!$C$26,IF($B135="V02",cad!$D$26,cad!$E$26)))</f>
        <v/>
      </c>
      <c r="Z135" t="str">
        <f>IF($A135="","",IF($B135="V01",cad!$C$27,IF($B135="V02",cad!$D$27,cad!$E$27)))</f>
        <v/>
      </c>
      <c r="AA135" t="str">
        <f>IF($A135="","",IF($B135="V01",cad!$C$28,IF($B135="V02",cad!$D$28,cad!$E$28)))</f>
        <v/>
      </c>
      <c r="AB135" t="str">
        <f>IF($A135="","",IF($B135="V01",cad!$C$39,IF($B135="V02",cad!$D$39,cad!$E$39)))</f>
        <v/>
      </c>
      <c r="AC135" t="str">
        <f>IF($A135="","",IF($F135="MBWAY",cad!$J$12,IF($F135="ISCOM",cad!$J$13,IF($F135="IPAC",cad!$J$14,IF($F135="PIGIER",cad!$J$15,cad!$J$16)))))</f>
        <v/>
      </c>
      <c r="AD135" t="str">
        <f t="shared" si="13"/>
        <v/>
      </c>
      <c r="AE135" t="str">
        <f t="shared" si="14"/>
        <v/>
      </c>
      <c r="AF135" t="str">
        <f t="shared" si="15"/>
        <v/>
      </c>
      <c r="AG135" t="str">
        <f t="shared" si="16"/>
        <v/>
      </c>
      <c r="AH135" t="str">
        <f t="shared" si="17"/>
        <v/>
      </c>
    </row>
    <row r="136" spans="1:34" x14ac:dyDescent="0.45">
      <c r="A136" t="str">
        <f>IF(Moteur!D136="","",Moteur!D136)</f>
        <v/>
      </c>
      <c r="B136" t="str">
        <f>IF(Moteur!B136="","",Moteur!B136)</f>
        <v/>
      </c>
      <c r="C136" t="str">
        <f>IF(Moteur!F136="","",Moteur!F136)</f>
        <v/>
      </c>
      <c r="D136" t="str">
        <f>IF(Moteur!G136="","",Moteur!G136)</f>
        <v/>
      </c>
      <c r="E136" t="str">
        <f>IF(Moteur!H136="","",Moteur!H136)</f>
        <v/>
      </c>
      <c r="F136" t="str">
        <f>IF(Moteur!E136="","",Moteur!E136)</f>
        <v/>
      </c>
      <c r="G136" t="str">
        <f>IF($A136="","",SUMIFS(Allocation2!$H$1:$H$175,Allocation2!$C$1:$C$175,$A136,Allocation2!$D$1:$D$175,$C136,Allocation2!$E$1:$E$175,$D136,Allocation2!$F$1:$F$175,$E136,Allocation2!$G$1:$G$175,"2026"))</f>
        <v/>
      </c>
      <c r="H136" t="str">
        <f>IF($A136="","",SUMIFS(Allocation2!$N$1:$N$175,Allocation2!$C$1:$C$175,$A136,Allocation2!$D$1:$D$175,$C136,Allocation2!$E$1:$E$175,$D136,Allocation2!$F$1:$F$175,$E136,Allocation2!$G$1:$G$175,"2026"))</f>
        <v/>
      </c>
      <c r="I136" t="str">
        <f>IF($A136="","",SUMIFS(Allocation2!$P$1:$P$175,Allocation2!$C$1:$C$175,$A136,Allocation2!$D$1:$D$175,$C136,Allocation2!$E$1:$E$175,$D136,Allocation2!$F$1:$F$175,$E136,Allocation2!$G$1:$G$175,"2026"))</f>
        <v/>
      </c>
      <c r="J136" t="str">
        <f>IF($A136="","",SUMIFS(Allocation2!$W$1:$W$175,Allocation2!$C$1:$C$175,$A136,Allocation2!$D$1:$D$175,$C136,Allocation2!$E$1:$E$175,$D136,Allocation2!$F$1:$F$175,$E136,Allocation2!$G$1:$G$175,"2026"))</f>
        <v/>
      </c>
      <c r="K136" t="str">
        <f>IF($A136="","",SUMIFS(Allocation2!$X$1:$X$175,Allocation2!$C$1:$C$175,$A136,Allocation2!$D$1:$D$175,$C136,Allocation2!$E$1:$E$175,$D136,Allocation2!$F$1:$F$175,$E136,Allocation2!$G$1:$G$175,"2026"))</f>
        <v/>
      </c>
      <c r="L136" t="str">
        <f>IF($A136="","",SUMIFS(Allocation2!$Y$1:$Y$175,Allocation2!$C$1:$C$175,$A136,Allocation2!$D$1:$D$175,$C136,Allocation2!$E$1:$E$175,$D136,Allocation2!$F$1:$F$175,$E136,Allocation2!$G$1:$G$175,"2026"))</f>
        <v/>
      </c>
      <c r="M136" t="str">
        <f>IF($A136="","",SUMIFS(Allocation2!$V$1:$V$175,Allocation2!$C$1:$C$175,$A136,Allocation2!$D$1:$D$175,$C136,Allocation2!$E$1:$E$175,$D136,Allocation2!$F$1:$F$175,$E136,Allocation2!$G$1:$G$175,"2026"))</f>
        <v/>
      </c>
      <c r="N136" t="str">
        <f t="shared" si="12"/>
        <v/>
      </c>
      <c r="O136" t="str">
        <f>IF($A136="","",SUMIFS(Campagne!$D$1:$D$15,Campagne!$C$1:$C$15,$A136))</f>
        <v/>
      </c>
      <c r="P136" t="str">
        <f>IF($A136="","",SUMIFS(Campagne!$E$1:$E$15,Campagne!$C$1:$C$15,$A136))</f>
        <v/>
      </c>
      <c r="Q136" t="str">
        <f>IF($A136="","",SUMIFS(Campagne!$F$1:$F$15,Campagne!$C$1:$C$15,$A136))</f>
        <v/>
      </c>
      <c r="R136" t="str">
        <f>IF($A136="","",SUMIFS(Campagne!$K$1:$K$15,Campagne!$C$1:$C$15,$A136))</f>
        <v/>
      </c>
      <c r="S136" t="str">
        <f>IF($A136="","",SUMIFS(Campagne!$M$1:$M$15,Campagne!$C$1:$C$15,$A136))</f>
        <v/>
      </c>
      <c r="T136" t="str">
        <f>IF($A136="","",SUMIFS(PIL!$K$15:$K$28,PIL!$A$15:$A$28,$A136)*SUMIFS(PIL!$J$15:$J$28,PIL!$A$15:$A$28,$A136)*(SUM(PIL!$K$15:$K$28)/SUMPRODUCT(PIL!$K$15:$K$28,PIL!$J$15:$J$28)))</f>
        <v/>
      </c>
      <c r="U136" t="str">
        <f>IF($A136="","",SUMIFS(PIL!$K$15:$K$28,PIL!$A$15:$A$28,$A136))</f>
        <v/>
      </c>
      <c r="V136" t="str">
        <f>IF($A136="","",IF($B136="V01",cad!$C$23,IF($B136="V02",cad!$D$23,cad!$E$23)))</f>
        <v/>
      </c>
      <c r="W136" t="str">
        <f>IF($A136="","",IF($B136="V01",cad!$C$24,IF($B136="V02",cad!$D$24,cad!$E$24)))</f>
        <v/>
      </c>
      <c r="X136" t="str">
        <f>IF($A136="","",IF($B136="V01",cad!$C$25,IF($B136="V02",cad!$D$25,cad!$E$25)))</f>
        <v/>
      </c>
      <c r="Y136" t="str">
        <f>IF($A136="","",IF($B136="V01",cad!$C$26,IF($B136="V02",cad!$D$26,cad!$E$26)))</f>
        <v/>
      </c>
      <c r="Z136" t="str">
        <f>IF($A136="","",IF($B136="V01",cad!$C$27,IF($B136="V02",cad!$D$27,cad!$E$27)))</f>
        <v/>
      </c>
      <c r="AA136" t="str">
        <f>IF($A136="","",IF($B136="V01",cad!$C$28,IF($B136="V02",cad!$D$28,cad!$E$28)))</f>
        <v/>
      </c>
      <c r="AB136" t="str">
        <f>IF($A136="","",IF($B136="V01",cad!$C$39,IF($B136="V02",cad!$D$39,cad!$E$39)))</f>
        <v/>
      </c>
      <c r="AC136" t="str">
        <f>IF($A136="","",IF($F136="MBWAY",cad!$J$12,IF($F136="ISCOM",cad!$J$13,IF($F136="IPAC",cad!$J$14,IF($F136="PIGIER",cad!$J$15,cad!$J$16)))))</f>
        <v/>
      </c>
      <c r="AD136" t="str">
        <f t="shared" si="13"/>
        <v/>
      </c>
      <c r="AE136" t="str">
        <f t="shared" si="14"/>
        <v/>
      </c>
      <c r="AF136" t="str">
        <f t="shared" si="15"/>
        <v/>
      </c>
      <c r="AG136" t="str">
        <f t="shared" si="16"/>
        <v/>
      </c>
      <c r="AH136" t="str">
        <f t="shared" si="17"/>
        <v/>
      </c>
    </row>
    <row r="137" spans="1:34" x14ac:dyDescent="0.45">
      <c r="A137" t="str">
        <f>IF(Moteur!D137="","",Moteur!D137)</f>
        <v/>
      </c>
      <c r="B137" t="str">
        <f>IF(Moteur!B137="","",Moteur!B137)</f>
        <v/>
      </c>
      <c r="C137" t="str">
        <f>IF(Moteur!F137="","",Moteur!F137)</f>
        <v/>
      </c>
      <c r="D137" t="str">
        <f>IF(Moteur!G137="","",Moteur!G137)</f>
        <v/>
      </c>
      <c r="E137" t="str">
        <f>IF(Moteur!H137="","",Moteur!H137)</f>
        <v/>
      </c>
      <c r="F137" t="str">
        <f>IF(Moteur!E137="","",Moteur!E137)</f>
        <v/>
      </c>
      <c r="G137" t="str">
        <f>IF($A137="","",SUMIFS(Allocation2!$H$1:$H$175,Allocation2!$C$1:$C$175,$A137,Allocation2!$D$1:$D$175,$C137,Allocation2!$E$1:$E$175,$D137,Allocation2!$F$1:$F$175,$E137,Allocation2!$G$1:$G$175,"2026"))</f>
        <v/>
      </c>
      <c r="H137" t="str">
        <f>IF($A137="","",SUMIFS(Allocation2!$N$1:$N$175,Allocation2!$C$1:$C$175,$A137,Allocation2!$D$1:$D$175,$C137,Allocation2!$E$1:$E$175,$D137,Allocation2!$F$1:$F$175,$E137,Allocation2!$G$1:$G$175,"2026"))</f>
        <v/>
      </c>
      <c r="I137" t="str">
        <f>IF($A137="","",SUMIFS(Allocation2!$P$1:$P$175,Allocation2!$C$1:$C$175,$A137,Allocation2!$D$1:$D$175,$C137,Allocation2!$E$1:$E$175,$D137,Allocation2!$F$1:$F$175,$E137,Allocation2!$G$1:$G$175,"2026"))</f>
        <v/>
      </c>
      <c r="J137" t="str">
        <f>IF($A137="","",SUMIFS(Allocation2!$W$1:$W$175,Allocation2!$C$1:$C$175,$A137,Allocation2!$D$1:$D$175,$C137,Allocation2!$E$1:$E$175,$D137,Allocation2!$F$1:$F$175,$E137,Allocation2!$G$1:$G$175,"2026"))</f>
        <v/>
      </c>
      <c r="K137" t="str">
        <f>IF($A137="","",SUMIFS(Allocation2!$X$1:$X$175,Allocation2!$C$1:$C$175,$A137,Allocation2!$D$1:$D$175,$C137,Allocation2!$E$1:$E$175,$D137,Allocation2!$F$1:$F$175,$E137,Allocation2!$G$1:$G$175,"2026"))</f>
        <v/>
      </c>
      <c r="L137" t="str">
        <f>IF($A137="","",SUMIFS(Allocation2!$Y$1:$Y$175,Allocation2!$C$1:$C$175,$A137,Allocation2!$D$1:$D$175,$C137,Allocation2!$E$1:$E$175,$D137,Allocation2!$F$1:$F$175,$E137,Allocation2!$G$1:$G$175,"2026"))</f>
        <v/>
      </c>
      <c r="M137" t="str">
        <f>IF($A137="","",SUMIFS(Allocation2!$V$1:$V$175,Allocation2!$C$1:$C$175,$A137,Allocation2!$D$1:$D$175,$C137,Allocation2!$E$1:$E$175,$D137,Allocation2!$F$1:$F$175,$E137,Allocation2!$G$1:$G$175,"2026"))</f>
        <v/>
      </c>
      <c r="N137" t="str">
        <f t="shared" si="12"/>
        <v/>
      </c>
      <c r="O137" t="str">
        <f>IF($A137="","",SUMIFS(Campagne!$D$1:$D$15,Campagne!$C$1:$C$15,$A137))</f>
        <v/>
      </c>
      <c r="P137" t="str">
        <f>IF($A137="","",SUMIFS(Campagne!$E$1:$E$15,Campagne!$C$1:$C$15,$A137))</f>
        <v/>
      </c>
      <c r="Q137" t="str">
        <f>IF($A137="","",SUMIFS(Campagne!$F$1:$F$15,Campagne!$C$1:$C$15,$A137))</f>
        <v/>
      </c>
      <c r="R137" t="str">
        <f>IF($A137="","",SUMIFS(Campagne!$K$1:$K$15,Campagne!$C$1:$C$15,$A137))</f>
        <v/>
      </c>
      <c r="S137" t="str">
        <f>IF($A137="","",SUMIFS(Campagne!$M$1:$M$15,Campagne!$C$1:$C$15,$A137))</f>
        <v/>
      </c>
      <c r="T137" t="str">
        <f>IF($A137="","",SUMIFS(PIL!$K$15:$K$28,PIL!$A$15:$A$28,$A137)*SUMIFS(PIL!$J$15:$J$28,PIL!$A$15:$A$28,$A137)*(SUM(PIL!$K$15:$K$28)/SUMPRODUCT(PIL!$K$15:$K$28,PIL!$J$15:$J$28)))</f>
        <v/>
      </c>
      <c r="U137" t="str">
        <f>IF($A137="","",SUMIFS(PIL!$K$15:$K$28,PIL!$A$15:$A$28,$A137))</f>
        <v/>
      </c>
      <c r="V137" t="str">
        <f>IF($A137="","",IF($B137="V01",cad!$C$23,IF($B137="V02",cad!$D$23,cad!$E$23)))</f>
        <v/>
      </c>
      <c r="W137" t="str">
        <f>IF($A137="","",IF($B137="V01",cad!$C$24,IF($B137="V02",cad!$D$24,cad!$E$24)))</f>
        <v/>
      </c>
      <c r="X137" t="str">
        <f>IF($A137="","",IF($B137="V01",cad!$C$25,IF($B137="V02",cad!$D$25,cad!$E$25)))</f>
        <v/>
      </c>
      <c r="Y137" t="str">
        <f>IF($A137="","",IF($B137="V01",cad!$C$26,IF($B137="V02",cad!$D$26,cad!$E$26)))</f>
        <v/>
      </c>
      <c r="Z137" t="str">
        <f>IF($A137="","",IF($B137="V01",cad!$C$27,IF($B137="V02",cad!$D$27,cad!$E$27)))</f>
        <v/>
      </c>
      <c r="AA137" t="str">
        <f>IF($A137="","",IF($B137="V01",cad!$C$28,IF($B137="V02",cad!$D$28,cad!$E$28)))</f>
        <v/>
      </c>
      <c r="AB137" t="str">
        <f>IF($A137="","",IF($B137="V01",cad!$C$39,IF($B137="V02",cad!$D$39,cad!$E$39)))</f>
        <v/>
      </c>
      <c r="AC137" t="str">
        <f>IF($A137="","",IF($F137="MBWAY",cad!$J$12,IF($F137="ISCOM",cad!$J$13,IF($F137="IPAC",cad!$J$14,IF($F137="PIGIER",cad!$J$15,cad!$J$16)))))</f>
        <v/>
      </c>
      <c r="AD137" t="str">
        <f t="shared" si="13"/>
        <v/>
      </c>
      <c r="AE137" t="str">
        <f t="shared" si="14"/>
        <v/>
      </c>
      <c r="AF137" t="str">
        <f t="shared" si="15"/>
        <v/>
      </c>
      <c r="AG137" t="str">
        <f t="shared" si="16"/>
        <v/>
      </c>
      <c r="AH137" t="str">
        <f t="shared" si="17"/>
        <v/>
      </c>
    </row>
    <row r="138" spans="1:34" x14ac:dyDescent="0.45">
      <c r="A138" t="str">
        <f>IF(Moteur!D138="","",Moteur!D138)</f>
        <v/>
      </c>
      <c r="B138" t="str">
        <f>IF(Moteur!B138="","",Moteur!B138)</f>
        <v/>
      </c>
      <c r="C138" t="str">
        <f>IF(Moteur!F138="","",Moteur!F138)</f>
        <v/>
      </c>
      <c r="D138" t="str">
        <f>IF(Moteur!G138="","",Moteur!G138)</f>
        <v/>
      </c>
      <c r="E138" t="str">
        <f>IF(Moteur!H138="","",Moteur!H138)</f>
        <v/>
      </c>
      <c r="F138" t="str">
        <f>IF(Moteur!E138="","",Moteur!E138)</f>
        <v/>
      </c>
      <c r="G138" t="str">
        <f>IF($A138="","",SUMIFS(Allocation2!$H$1:$H$175,Allocation2!$C$1:$C$175,$A138,Allocation2!$D$1:$D$175,$C138,Allocation2!$E$1:$E$175,$D138,Allocation2!$F$1:$F$175,$E138,Allocation2!$G$1:$G$175,"2026"))</f>
        <v/>
      </c>
      <c r="H138" t="str">
        <f>IF($A138="","",SUMIFS(Allocation2!$N$1:$N$175,Allocation2!$C$1:$C$175,$A138,Allocation2!$D$1:$D$175,$C138,Allocation2!$E$1:$E$175,$D138,Allocation2!$F$1:$F$175,$E138,Allocation2!$G$1:$G$175,"2026"))</f>
        <v/>
      </c>
      <c r="I138" t="str">
        <f>IF($A138="","",SUMIFS(Allocation2!$P$1:$P$175,Allocation2!$C$1:$C$175,$A138,Allocation2!$D$1:$D$175,$C138,Allocation2!$E$1:$E$175,$D138,Allocation2!$F$1:$F$175,$E138,Allocation2!$G$1:$G$175,"2026"))</f>
        <v/>
      </c>
      <c r="J138" t="str">
        <f>IF($A138="","",SUMIFS(Allocation2!$W$1:$W$175,Allocation2!$C$1:$C$175,$A138,Allocation2!$D$1:$D$175,$C138,Allocation2!$E$1:$E$175,$D138,Allocation2!$F$1:$F$175,$E138,Allocation2!$G$1:$G$175,"2026"))</f>
        <v/>
      </c>
      <c r="K138" t="str">
        <f>IF($A138="","",SUMIFS(Allocation2!$X$1:$X$175,Allocation2!$C$1:$C$175,$A138,Allocation2!$D$1:$D$175,$C138,Allocation2!$E$1:$E$175,$D138,Allocation2!$F$1:$F$175,$E138,Allocation2!$G$1:$G$175,"2026"))</f>
        <v/>
      </c>
      <c r="L138" t="str">
        <f>IF($A138="","",SUMIFS(Allocation2!$Y$1:$Y$175,Allocation2!$C$1:$C$175,$A138,Allocation2!$D$1:$D$175,$C138,Allocation2!$E$1:$E$175,$D138,Allocation2!$F$1:$F$175,$E138,Allocation2!$G$1:$G$175,"2026"))</f>
        <v/>
      </c>
      <c r="M138" t="str">
        <f>IF($A138="","",SUMIFS(Allocation2!$V$1:$V$175,Allocation2!$C$1:$C$175,$A138,Allocation2!$D$1:$D$175,$C138,Allocation2!$E$1:$E$175,$D138,Allocation2!$F$1:$F$175,$E138,Allocation2!$G$1:$G$175,"2026"))</f>
        <v/>
      </c>
      <c r="N138" t="str">
        <f t="shared" si="12"/>
        <v/>
      </c>
      <c r="O138" t="str">
        <f>IF($A138="","",SUMIFS(Campagne!$D$1:$D$15,Campagne!$C$1:$C$15,$A138))</f>
        <v/>
      </c>
      <c r="P138" t="str">
        <f>IF($A138="","",SUMIFS(Campagne!$E$1:$E$15,Campagne!$C$1:$C$15,$A138))</f>
        <v/>
      </c>
      <c r="Q138" t="str">
        <f>IF($A138="","",SUMIFS(Campagne!$F$1:$F$15,Campagne!$C$1:$C$15,$A138))</f>
        <v/>
      </c>
      <c r="R138" t="str">
        <f>IF($A138="","",SUMIFS(Campagne!$K$1:$K$15,Campagne!$C$1:$C$15,$A138))</f>
        <v/>
      </c>
      <c r="S138" t="str">
        <f>IF($A138="","",SUMIFS(Campagne!$M$1:$M$15,Campagne!$C$1:$C$15,$A138))</f>
        <v/>
      </c>
      <c r="T138" t="str">
        <f>IF($A138="","",SUMIFS(PIL!$K$15:$K$28,PIL!$A$15:$A$28,$A138)*SUMIFS(PIL!$J$15:$J$28,PIL!$A$15:$A$28,$A138)*(SUM(PIL!$K$15:$K$28)/SUMPRODUCT(PIL!$K$15:$K$28,PIL!$J$15:$J$28)))</f>
        <v/>
      </c>
      <c r="U138" t="str">
        <f>IF($A138="","",SUMIFS(PIL!$K$15:$K$28,PIL!$A$15:$A$28,$A138))</f>
        <v/>
      </c>
      <c r="V138" t="str">
        <f>IF($A138="","",IF($B138="V01",cad!$C$23,IF($B138="V02",cad!$D$23,cad!$E$23)))</f>
        <v/>
      </c>
      <c r="W138" t="str">
        <f>IF($A138="","",IF($B138="V01",cad!$C$24,IF($B138="V02",cad!$D$24,cad!$E$24)))</f>
        <v/>
      </c>
      <c r="X138" t="str">
        <f>IF($A138="","",IF($B138="V01",cad!$C$25,IF($B138="V02",cad!$D$25,cad!$E$25)))</f>
        <v/>
      </c>
      <c r="Y138" t="str">
        <f>IF($A138="","",IF($B138="V01",cad!$C$26,IF($B138="V02",cad!$D$26,cad!$E$26)))</f>
        <v/>
      </c>
      <c r="Z138" t="str">
        <f>IF($A138="","",IF($B138="V01",cad!$C$27,IF($B138="V02",cad!$D$27,cad!$E$27)))</f>
        <v/>
      </c>
      <c r="AA138" t="str">
        <f>IF($A138="","",IF($B138="V01",cad!$C$28,IF($B138="V02",cad!$D$28,cad!$E$28)))</f>
        <v/>
      </c>
      <c r="AB138" t="str">
        <f>IF($A138="","",IF($B138="V01",cad!$C$39,IF($B138="V02",cad!$D$39,cad!$E$39)))</f>
        <v/>
      </c>
      <c r="AC138" t="str">
        <f>IF($A138="","",IF($F138="MBWAY",cad!$J$12,IF($F138="ISCOM",cad!$J$13,IF($F138="IPAC",cad!$J$14,IF($F138="PIGIER",cad!$J$15,cad!$J$16)))))</f>
        <v/>
      </c>
      <c r="AD138" t="str">
        <f t="shared" si="13"/>
        <v/>
      </c>
      <c r="AE138" t="str">
        <f t="shared" si="14"/>
        <v/>
      </c>
      <c r="AF138" t="str">
        <f t="shared" si="15"/>
        <v/>
      </c>
      <c r="AG138" t="str">
        <f t="shared" si="16"/>
        <v/>
      </c>
      <c r="AH138" t="str">
        <f t="shared" si="17"/>
        <v/>
      </c>
    </row>
    <row r="139" spans="1:34" x14ac:dyDescent="0.45">
      <c r="A139" t="str">
        <f>IF(Moteur!D139="","",Moteur!D139)</f>
        <v/>
      </c>
      <c r="B139" t="str">
        <f>IF(Moteur!B139="","",Moteur!B139)</f>
        <v/>
      </c>
      <c r="C139" t="str">
        <f>IF(Moteur!F139="","",Moteur!F139)</f>
        <v/>
      </c>
      <c r="D139" t="str">
        <f>IF(Moteur!G139="","",Moteur!G139)</f>
        <v/>
      </c>
      <c r="E139" t="str">
        <f>IF(Moteur!H139="","",Moteur!H139)</f>
        <v/>
      </c>
      <c r="F139" t="str">
        <f>IF(Moteur!E139="","",Moteur!E139)</f>
        <v/>
      </c>
      <c r="G139" t="str">
        <f>IF($A139="","",SUMIFS(Allocation2!$H$1:$H$175,Allocation2!$C$1:$C$175,$A139,Allocation2!$D$1:$D$175,$C139,Allocation2!$E$1:$E$175,$D139,Allocation2!$F$1:$F$175,$E139,Allocation2!$G$1:$G$175,"2026"))</f>
        <v/>
      </c>
      <c r="H139" t="str">
        <f>IF($A139="","",SUMIFS(Allocation2!$N$1:$N$175,Allocation2!$C$1:$C$175,$A139,Allocation2!$D$1:$D$175,$C139,Allocation2!$E$1:$E$175,$D139,Allocation2!$F$1:$F$175,$E139,Allocation2!$G$1:$G$175,"2026"))</f>
        <v/>
      </c>
      <c r="I139" t="str">
        <f>IF($A139="","",SUMIFS(Allocation2!$P$1:$P$175,Allocation2!$C$1:$C$175,$A139,Allocation2!$D$1:$D$175,$C139,Allocation2!$E$1:$E$175,$D139,Allocation2!$F$1:$F$175,$E139,Allocation2!$G$1:$G$175,"2026"))</f>
        <v/>
      </c>
      <c r="J139" t="str">
        <f>IF($A139="","",SUMIFS(Allocation2!$W$1:$W$175,Allocation2!$C$1:$C$175,$A139,Allocation2!$D$1:$D$175,$C139,Allocation2!$E$1:$E$175,$D139,Allocation2!$F$1:$F$175,$E139,Allocation2!$G$1:$G$175,"2026"))</f>
        <v/>
      </c>
      <c r="K139" t="str">
        <f>IF($A139="","",SUMIFS(Allocation2!$X$1:$X$175,Allocation2!$C$1:$C$175,$A139,Allocation2!$D$1:$D$175,$C139,Allocation2!$E$1:$E$175,$D139,Allocation2!$F$1:$F$175,$E139,Allocation2!$G$1:$G$175,"2026"))</f>
        <v/>
      </c>
      <c r="L139" t="str">
        <f>IF($A139="","",SUMIFS(Allocation2!$Y$1:$Y$175,Allocation2!$C$1:$C$175,$A139,Allocation2!$D$1:$D$175,$C139,Allocation2!$E$1:$E$175,$D139,Allocation2!$F$1:$F$175,$E139,Allocation2!$G$1:$G$175,"2026"))</f>
        <v/>
      </c>
      <c r="M139" t="str">
        <f>IF($A139="","",SUMIFS(Allocation2!$V$1:$V$175,Allocation2!$C$1:$C$175,$A139,Allocation2!$D$1:$D$175,$C139,Allocation2!$E$1:$E$175,$D139,Allocation2!$F$1:$F$175,$E139,Allocation2!$G$1:$G$175,"2026"))</f>
        <v/>
      </c>
      <c r="N139" t="str">
        <f t="shared" si="12"/>
        <v/>
      </c>
      <c r="O139" t="str">
        <f>IF($A139="","",SUMIFS(Campagne!$D$1:$D$15,Campagne!$C$1:$C$15,$A139))</f>
        <v/>
      </c>
      <c r="P139" t="str">
        <f>IF($A139="","",SUMIFS(Campagne!$E$1:$E$15,Campagne!$C$1:$C$15,$A139))</f>
        <v/>
      </c>
      <c r="Q139" t="str">
        <f>IF($A139="","",SUMIFS(Campagne!$F$1:$F$15,Campagne!$C$1:$C$15,$A139))</f>
        <v/>
      </c>
      <c r="R139" t="str">
        <f>IF($A139="","",SUMIFS(Campagne!$K$1:$K$15,Campagne!$C$1:$C$15,$A139))</f>
        <v/>
      </c>
      <c r="S139" t="str">
        <f>IF($A139="","",SUMIFS(Campagne!$M$1:$M$15,Campagne!$C$1:$C$15,$A139))</f>
        <v/>
      </c>
      <c r="T139" t="str">
        <f>IF($A139="","",SUMIFS(PIL!$K$15:$K$28,PIL!$A$15:$A$28,$A139)*SUMIFS(PIL!$J$15:$J$28,PIL!$A$15:$A$28,$A139)*(SUM(PIL!$K$15:$K$28)/SUMPRODUCT(PIL!$K$15:$K$28,PIL!$J$15:$J$28)))</f>
        <v/>
      </c>
      <c r="U139" t="str">
        <f>IF($A139="","",SUMIFS(PIL!$K$15:$K$28,PIL!$A$15:$A$28,$A139))</f>
        <v/>
      </c>
      <c r="V139" t="str">
        <f>IF($A139="","",IF($B139="V01",cad!$C$23,IF($B139="V02",cad!$D$23,cad!$E$23)))</f>
        <v/>
      </c>
      <c r="W139" t="str">
        <f>IF($A139="","",IF($B139="V01",cad!$C$24,IF($B139="V02",cad!$D$24,cad!$E$24)))</f>
        <v/>
      </c>
      <c r="X139" t="str">
        <f>IF($A139="","",IF($B139="V01",cad!$C$25,IF($B139="V02",cad!$D$25,cad!$E$25)))</f>
        <v/>
      </c>
      <c r="Y139" t="str">
        <f>IF($A139="","",IF($B139="V01",cad!$C$26,IF($B139="V02",cad!$D$26,cad!$E$26)))</f>
        <v/>
      </c>
      <c r="Z139" t="str">
        <f>IF($A139="","",IF($B139="V01",cad!$C$27,IF($B139="V02",cad!$D$27,cad!$E$27)))</f>
        <v/>
      </c>
      <c r="AA139" t="str">
        <f>IF($A139="","",IF($B139="V01",cad!$C$28,IF($B139="V02",cad!$D$28,cad!$E$28)))</f>
        <v/>
      </c>
      <c r="AB139" t="str">
        <f>IF($A139="","",IF($B139="V01",cad!$C$39,IF($B139="V02",cad!$D$39,cad!$E$39)))</f>
        <v/>
      </c>
      <c r="AC139" t="str">
        <f>IF($A139="","",IF($F139="MBWAY",cad!$J$12,IF($F139="ISCOM",cad!$J$13,IF($F139="IPAC",cad!$J$14,IF($F139="PIGIER",cad!$J$15,cad!$J$16)))))</f>
        <v/>
      </c>
      <c r="AD139" t="str">
        <f t="shared" si="13"/>
        <v/>
      </c>
      <c r="AE139" t="str">
        <f t="shared" si="14"/>
        <v/>
      </c>
      <c r="AF139" t="str">
        <f t="shared" si="15"/>
        <v/>
      </c>
      <c r="AG139" t="str">
        <f t="shared" si="16"/>
        <v/>
      </c>
      <c r="AH139" t="str">
        <f t="shared" si="17"/>
        <v/>
      </c>
    </row>
    <row r="140" spans="1:34" x14ac:dyDescent="0.45">
      <c r="A140" t="str">
        <f>IF(Moteur!D140="","",Moteur!D140)</f>
        <v/>
      </c>
      <c r="B140" t="str">
        <f>IF(Moteur!B140="","",Moteur!B140)</f>
        <v/>
      </c>
      <c r="C140" t="str">
        <f>IF(Moteur!F140="","",Moteur!F140)</f>
        <v/>
      </c>
      <c r="D140" t="str">
        <f>IF(Moteur!G140="","",Moteur!G140)</f>
        <v/>
      </c>
      <c r="E140" t="str">
        <f>IF(Moteur!H140="","",Moteur!H140)</f>
        <v/>
      </c>
      <c r="F140" t="str">
        <f>IF(Moteur!E140="","",Moteur!E140)</f>
        <v/>
      </c>
      <c r="G140" t="str">
        <f>IF($A140="","",SUMIFS(Allocation2!$H$1:$H$175,Allocation2!$C$1:$C$175,$A140,Allocation2!$D$1:$D$175,$C140,Allocation2!$E$1:$E$175,$D140,Allocation2!$F$1:$F$175,$E140,Allocation2!$G$1:$G$175,"2026"))</f>
        <v/>
      </c>
      <c r="H140" t="str">
        <f>IF($A140="","",SUMIFS(Allocation2!$N$1:$N$175,Allocation2!$C$1:$C$175,$A140,Allocation2!$D$1:$D$175,$C140,Allocation2!$E$1:$E$175,$D140,Allocation2!$F$1:$F$175,$E140,Allocation2!$G$1:$G$175,"2026"))</f>
        <v/>
      </c>
      <c r="I140" t="str">
        <f>IF($A140="","",SUMIFS(Allocation2!$P$1:$P$175,Allocation2!$C$1:$C$175,$A140,Allocation2!$D$1:$D$175,$C140,Allocation2!$E$1:$E$175,$D140,Allocation2!$F$1:$F$175,$E140,Allocation2!$G$1:$G$175,"2026"))</f>
        <v/>
      </c>
      <c r="J140" t="str">
        <f>IF($A140="","",SUMIFS(Allocation2!$W$1:$W$175,Allocation2!$C$1:$C$175,$A140,Allocation2!$D$1:$D$175,$C140,Allocation2!$E$1:$E$175,$D140,Allocation2!$F$1:$F$175,$E140,Allocation2!$G$1:$G$175,"2026"))</f>
        <v/>
      </c>
      <c r="K140" t="str">
        <f>IF($A140="","",SUMIFS(Allocation2!$X$1:$X$175,Allocation2!$C$1:$C$175,$A140,Allocation2!$D$1:$D$175,$C140,Allocation2!$E$1:$E$175,$D140,Allocation2!$F$1:$F$175,$E140,Allocation2!$G$1:$G$175,"2026"))</f>
        <v/>
      </c>
      <c r="L140" t="str">
        <f>IF($A140="","",SUMIFS(Allocation2!$Y$1:$Y$175,Allocation2!$C$1:$C$175,$A140,Allocation2!$D$1:$D$175,$C140,Allocation2!$E$1:$E$175,$D140,Allocation2!$F$1:$F$175,$E140,Allocation2!$G$1:$G$175,"2026"))</f>
        <v/>
      </c>
      <c r="M140" t="str">
        <f>IF($A140="","",SUMIFS(Allocation2!$V$1:$V$175,Allocation2!$C$1:$C$175,$A140,Allocation2!$D$1:$D$175,$C140,Allocation2!$E$1:$E$175,$D140,Allocation2!$F$1:$F$175,$E140,Allocation2!$G$1:$G$175,"2026"))</f>
        <v/>
      </c>
      <c r="N140" t="str">
        <f t="shared" si="12"/>
        <v/>
      </c>
      <c r="O140" t="str">
        <f>IF($A140="","",SUMIFS(Campagne!$D$1:$D$15,Campagne!$C$1:$C$15,$A140))</f>
        <v/>
      </c>
      <c r="P140" t="str">
        <f>IF($A140="","",SUMIFS(Campagne!$E$1:$E$15,Campagne!$C$1:$C$15,$A140))</f>
        <v/>
      </c>
      <c r="Q140" t="str">
        <f>IF($A140="","",SUMIFS(Campagne!$F$1:$F$15,Campagne!$C$1:$C$15,$A140))</f>
        <v/>
      </c>
      <c r="R140" t="str">
        <f>IF($A140="","",SUMIFS(Campagne!$K$1:$K$15,Campagne!$C$1:$C$15,$A140))</f>
        <v/>
      </c>
      <c r="S140" t="str">
        <f>IF($A140="","",SUMIFS(Campagne!$M$1:$M$15,Campagne!$C$1:$C$15,$A140))</f>
        <v/>
      </c>
      <c r="T140" t="str">
        <f>IF($A140="","",SUMIFS(PIL!$K$15:$K$28,PIL!$A$15:$A$28,$A140)*SUMIFS(PIL!$J$15:$J$28,PIL!$A$15:$A$28,$A140)*(SUM(PIL!$K$15:$K$28)/SUMPRODUCT(PIL!$K$15:$K$28,PIL!$J$15:$J$28)))</f>
        <v/>
      </c>
      <c r="U140" t="str">
        <f>IF($A140="","",SUMIFS(PIL!$K$15:$K$28,PIL!$A$15:$A$28,$A140))</f>
        <v/>
      </c>
      <c r="V140" t="str">
        <f>IF($A140="","",IF($B140="V01",cad!$C$23,IF($B140="V02",cad!$D$23,cad!$E$23)))</f>
        <v/>
      </c>
      <c r="W140" t="str">
        <f>IF($A140="","",IF($B140="V01",cad!$C$24,IF($B140="V02",cad!$D$24,cad!$E$24)))</f>
        <v/>
      </c>
      <c r="X140" t="str">
        <f>IF($A140="","",IF($B140="V01",cad!$C$25,IF($B140="V02",cad!$D$25,cad!$E$25)))</f>
        <v/>
      </c>
      <c r="Y140" t="str">
        <f>IF($A140="","",IF($B140="V01",cad!$C$26,IF($B140="V02",cad!$D$26,cad!$E$26)))</f>
        <v/>
      </c>
      <c r="Z140" t="str">
        <f>IF($A140="","",IF($B140="V01",cad!$C$27,IF($B140="V02",cad!$D$27,cad!$E$27)))</f>
        <v/>
      </c>
      <c r="AA140" t="str">
        <f>IF($A140="","",IF($B140="V01",cad!$C$28,IF($B140="V02",cad!$D$28,cad!$E$28)))</f>
        <v/>
      </c>
      <c r="AB140" t="str">
        <f>IF($A140="","",IF($B140="V01",cad!$C$39,IF($B140="V02",cad!$D$39,cad!$E$39)))</f>
        <v/>
      </c>
      <c r="AC140" t="str">
        <f>IF($A140="","",IF($F140="MBWAY",cad!$J$12,IF($F140="ISCOM",cad!$J$13,IF($F140="IPAC",cad!$J$14,IF($F140="PIGIER",cad!$J$15,cad!$J$16)))))</f>
        <v/>
      </c>
      <c r="AD140" t="str">
        <f t="shared" si="13"/>
        <v/>
      </c>
      <c r="AE140" t="str">
        <f t="shared" si="14"/>
        <v/>
      </c>
      <c r="AF140" t="str">
        <f t="shared" si="15"/>
        <v/>
      </c>
      <c r="AG140" t="str">
        <f t="shared" si="16"/>
        <v/>
      </c>
      <c r="AH140" t="str">
        <f t="shared" si="17"/>
        <v/>
      </c>
    </row>
    <row r="141" spans="1:34" x14ac:dyDescent="0.45">
      <c r="A141" t="str">
        <f>IF(Moteur!D141="","",Moteur!D141)</f>
        <v/>
      </c>
      <c r="B141" t="str">
        <f>IF(Moteur!B141="","",Moteur!B141)</f>
        <v/>
      </c>
      <c r="C141" t="str">
        <f>IF(Moteur!F141="","",Moteur!F141)</f>
        <v/>
      </c>
      <c r="D141" t="str">
        <f>IF(Moteur!G141="","",Moteur!G141)</f>
        <v/>
      </c>
      <c r="E141" t="str">
        <f>IF(Moteur!H141="","",Moteur!H141)</f>
        <v/>
      </c>
      <c r="F141" t="str">
        <f>IF(Moteur!E141="","",Moteur!E141)</f>
        <v/>
      </c>
      <c r="G141" t="str">
        <f>IF($A141="","",SUMIFS(Allocation2!$H$1:$H$175,Allocation2!$C$1:$C$175,$A141,Allocation2!$D$1:$D$175,$C141,Allocation2!$E$1:$E$175,$D141,Allocation2!$F$1:$F$175,$E141,Allocation2!$G$1:$G$175,"2026"))</f>
        <v/>
      </c>
      <c r="H141" t="str">
        <f>IF($A141="","",SUMIFS(Allocation2!$N$1:$N$175,Allocation2!$C$1:$C$175,$A141,Allocation2!$D$1:$D$175,$C141,Allocation2!$E$1:$E$175,$D141,Allocation2!$F$1:$F$175,$E141,Allocation2!$G$1:$G$175,"2026"))</f>
        <v/>
      </c>
      <c r="I141" t="str">
        <f>IF($A141="","",SUMIFS(Allocation2!$P$1:$P$175,Allocation2!$C$1:$C$175,$A141,Allocation2!$D$1:$D$175,$C141,Allocation2!$E$1:$E$175,$D141,Allocation2!$F$1:$F$175,$E141,Allocation2!$G$1:$G$175,"2026"))</f>
        <v/>
      </c>
      <c r="J141" t="str">
        <f>IF($A141="","",SUMIFS(Allocation2!$W$1:$W$175,Allocation2!$C$1:$C$175,$A141,Allocation2!$D$1:$D$175,$C141,Allocation2!$E$1:$E$175,$D141,Allocation2!$F$1:$F$175,$E141,Allocation2!$G$1:$G$175,"2026"))</f>
        <v/>
      </c>
      <c r="K141" t="str">
        <f>IF($A141="","",SUMIFS(Allocation2!$X$1:$X$175,Allocation2!$C$1:$C$175,$A141,Allocation2!$D$1:$D$175,$C141,Allocation2!$E$1:$E$175,$D141,Allocation2!$F$1:$F$175,$E141,Allocation2!$G$1:$G$175,"2026"))</f>
        <v/>
      </c>
      <c r="L141" t="str">
        <f>IF($A141="","",SUMIFS(Allocation2!$Y$1:$Y$175,Allocation2!$C$1:$C$175,$A141,Allocation2!$D$1:$D$175,$C141,Allocation2!$E$1:$E$175,$D141,Allocation2!$F$1:$F$175,$E141,Allocation2!$G$1:$G$175,"2026"))</f>
        <v/>
      </c>
      <c r="M141" t="str">
        <f>IF($A141="","",SUMIFS(Allocation2!$V$1:$V$175,Allocation2!$C$1:$C$175,$A141,Allocation2!$D$1:$D$175,$C141,Allocation2!$E$1:$E$175,$D141,Allocation2!$F$1:$F$175,$E141,Allocation2!$G$1:$G$175,"2026"))</f>
        <v/>
      </c>
      <c r="N141" t="str">
        <f t="shared" si="12"/>
        <v/>
      </c>
      <c r="O141" t="str">
        <f>IF($A141="","",SUMIFS(Campagne!$D$1:$D$15,Campagne!$C$1:$C$15,$A141))</f>
        <v/>
      </c>
      <c r="P141" t="str">
        <f>IF($A141="","",SUMIFS(Campagne!$E$1:$E$15,Campagne!$C$1:$C$15,$A141))</f>
        <v/>
      </c>
      <c r="Q141" t="str">
        <f>IF($A141="","",SUMIFS(Campagne!$F$1:$F$15,Campagne!$C$1:$C$15,$A141))</f>
        <v/>
      </c>
      <c r="R141" t="str">
        <f>IF($A141="","",SUMIFS(Campagne!$K$1:$K$15,Campagne!$C$1:$C$15,$A141))</f>
        <v/>
      </c>
      <c r="S141" t="str">
        <f>IF($A141="","",SUMIFS(Campagne!$M$1:$M$15,Campagne!$C$1:$C$15,$A141))</f>
        <v/>
      </c>
      <c r="T141" t="str">
        <f>IF($A141="","",SUMIFS(PIL!$K$15:$K$28,PIL!$A$15:$A$28,$A141)*SUMIFS(PIL!$J$15:$J$28,PIL!$A$15:$A$28,$A141)*(SUM(PIL!$K$15:$K$28)/SUMPRODUCT(PIL!$K$15:$K$28,PIL!$J$15:$J$28)))</f>
        <v/>
      </c>
      <c r="U141" t="str">
        <f>IF($A141="","",SUMIFS(PIL!$K$15:$K$28,PIL!$A$15:$A$28,$A141))</f>
        <v/>
      </c>
      <c r="V141" t="str">
        <f>IF($A141="","",IF($B141="V01",cad!$C$23,IF($B141="V02",cad!$D$23,cad!$E$23)))</f>
        <v/>
      </c>
      <c r="W141" t="str">
        <f>IF($A141="","",IF($B141="V01",cad!$C$24,IF($B141="V02",cad!$D$24,cad!$E$24)))</f>
        <v/>
      </c>
      <c r="X141" t="str">
        <f>IF($A141="","",IF($B141="V01",cad!$C$25,IF($B141="V02",cad!$D$25,cad!$E$25)))</f>
        <v/>
      </c>
      <c r="Y141" t="str">
        <f>IF($A141="","",IF($B141="V01",cad!$C$26,IF($B141="V02",cad!$D$26,cad!$E$26)))</f>
        <v/>
      </c>
      <c r="Z141" t="str">
        <f>IF($A141="","",IF($B141="V01",cad!$C$27,IF($B141="V02",cad!$D$27,cad!$E$27)))</f>
        <v/>
      </c>
      <c r="AA141" t="str">
        <f>IF($A141="","",IF($B141="V01",cad!$C$28,IF($B141="V02",cad!$D$28,cad!$E$28)))</f>
        <v/>
      </c>
      <c r="AB141" t="str">
        <f>IF($A141="","",IF($B141="V01",cad!$C$39,IF($B141="V02",cad!$D$39,cad!$E$39)))</f>
        <v/>
      </c>
      <c r="AC141" t="str">
        <f>IF($A141="","",IF($F141="MBWAY",cad!$J$12,IF($F141="ISCOM",cad!$J$13,IF($F141="IPAC",cad!$J$14,IF($F141="PIGIER",cad!$J$15,cad!$J$16)))))</f>
        <v/>
      </c>
      <c r="AD141" t="str">
        <f t="shared" si="13"/>
        <v/>
      </c>
      <c r="AE141" t="str">
        <f t="shared" si="14"/>
        <v/>
      </c>
      <c r="AF141" t="str">
        <f t="shared" si="15"/>
        <v/>
      </c>
      <c r="AG141" t="str">
        <f t="shared" si="16"/>
        <v/>
      </c>
      <c r="AH141" t="str">
        <f t="shared" si="17"/>
        <v/>
      </c>
    </row>
    <row r="142" spans="1:34" x14ac:dyDescent="0.45">
      <c r="A142" t="str">
        <f>IF(Moteur!D142="","",Moteur!D142)</f>
        <v/>
      </c>
      <c r="B142" t="str">
        <f>IF(Moteur!B142="","",Moteur!B142)</f>
        <v/>
      </c>
      <c r="C142" t="str">
        <f>IF(Moteur!F142="","",Moteur!F142)</f>
        <v/>
      </c>
      <c r="D142" t="str">
        <f>IF(Moteur!G142="","",Moteur!G142)</f>
        <v/>
      </c>
      <c r="E142" t="str">
        <f>IF(Moteur!H142="","",Moteur!H142)</f>
        <v/>
      </c>
      <c r="F142" t="str">
        <f>IF(Moteur!E142="","",Moteur!E142)</f>
        <v/>
      </c>
      <c r="G142" t="str">
        <f>IF($A142="","",SUMIFS(Allocation2!$H$1:$H$175,Allocation2!$C$1:$C$175,$A142,Allocation2!$D$1:$D$175,$C142,Allocation2!$E$1:$E$175,$D142,Allocation2!$F$1:$F$175,$E142,Allocation2!$G$1:$G$175,"2026"))</f>
        <v/>
      </c>
      <c r="H142" t="str">
        <f>IF($A142="","",SUMIFS(Allocation2!$N$1:$N$175,Allocation2!$C$1:$C$175,$A142,Allocation2!$D$1:$D$175,$C142,Allocation2!$E$1:$E$175,$D142,Allocation2!$F$1:$F$175,$E142,Allocation2!$G$1:$G$175,"2026"))</f>
        <v/>
      </c>
      <c r="I142" t="str">
        <f>IF($A142="","",SUMIFS(Allocation2!$P$1:$P$175,Allocation2!$C$1:$C$175,$A142,Allocation2!$D$1:$D$175,$C142,Allocation2!$E$1:$E$175,$D142,Allocation2!$F$1:$F$175,$E142,Allocation2!$G$1:$G$175,"2026"))</f>
        <v/>
      </c>
      <c r="J142" t="str">
        <f>IF($A142="","",SUMIFS(Allocation2!$W$1:$W$175,Allocation2!$C$1:$C$175,$A142,Allocation2!$D$1:$D$175,$C142,Allocation2!$E$1:$E$175,$D142,Allocation2!$F$1:$F$175,$E142,Allocation2!$G$1:$G$175,"2026"))</f>
        <v/>
      </c>
      <c r="K142" t="str">
        <f>IF($A142="","",SUMIFS(Allocation2!$X$1:$X$175,Allocation2!$C$1:$C$175,$A142,Allocation2!$D$1:$D$175,$C142,Allocation2!$E$1:$E$175,$D142,Allocation2!$F$1:$F$175,$E142,Allocation2!$G$1:$G$175,"2026"))</f>
        <v/>
      </c>
      <c r="L142" t="str">
        <f>IF($A142="","",SUMIFS(Allocation2!$Y$1:$Y$175,Allocation2!$C$1:$C$175,$A142,Allocation2!$D$1:$D$175,$C142,Allocation2!$E$1:$E$175,$D142,Allocation2!$F$1:$F$175,$E142,Allocation2!$G$1:$G$175,"2026"))</f>
        <v/>
      </c>
      <c r="M142" t="str">
        <f>IF($A142="","",SUMIFS(Allocation2!$V$1:$V$175,Allocation2!$C$1:$C$175,$A142,Allocation2!$D$1:$D$175,$C142,Allocation2!$E$1:$E$175,$D142,Allocation2!$F$1:$F$175,$E142,Allocation2!$G$1:$G$175,"2026"))</f>
        <v/>
      </c>
      <c r="N142" t="str">
        <f t="shared" si="12"/>
        <v/>
      </c>
      <c r="O142" t="str">
        <f>IF($A142="","",SUMIFS(Campagne!$D$1:$D$15,Campagne!$C$1:$C$15,$A142))</f>
        <v/>
      </c>
      <c r="P142" t="str">
        <f>IF($A142="","",SUMIFS(Campagne!$E$1:$E$15,Campagne!$C$1:$C$15,$A142))</f>
        <v/>
      </c>
      <c r="Q142" t="str">
        <f>IF($A142="","",SUMIFS(Campagne!$F$1:$F$15,Campagne!$C$1:$C$15,$A142))</f>
        <v/>
      </c>
      <c r="R142" t="str">
        <f>IF($A142="","",SUMIFS(Campagne!$K$1:$K$15,Campagne!$C$1:$C$15,$A142))</f>
        <v/>
      </c>
      <c r="S142" t="str">
        <f>IF($A142="","",SUMIFS(Campagne!$M$1:$M$15,Campagne!$C$1:$C$15,$A142))</f>
        <v/>
      </c>
      <c r="T142" t="str">
        <f>IF($A142="","",SUMIFS(PIL!$K$15:$K$28,PIL!$A$15:$A$28,$A142)*SUMIFS(PIL!$J$15:$J$28,PIL!$A$15:$A$28,$A142)*(SUM(PIL!$K$15:$K$28)/SUMPRODUCT(PIL!$K$15:$K$28,PIL!$J$15:$J$28)))</f>
        <v/>
      </c>
      <c r="U142" t="str">
        <f>IF($A142="","",SUMIFS(PIL!$K$15:$K$28,PIL!$A$15:$A$28,$A142))</f>
        <v/>
      </c>
      <c r="V142" t="str">
        <f>IF($A142="","",IF($B142="V01",cad!$C$23,IF($B142="V02",cad!$D$23,cad!$E$23)))</f>
        <v/>
      </c>
      <c r="W142" t="str">
        <f>IF($A142="","",IF($B142="V01",cad!$C$24,IF($B142="V02",cad!$D$24,cad!$E$24)))</f>
        <v/>
      </c>
      <c r="X142" t="str">
        <f>IF($A142="","",IF($B142="V01",cad!$C$25,IF($B142="V02",cad!$D$25,cad!$E$25)))</f>
        <v/>
      </c>
      <c r="Y142" t="str">
        <f>IF($A142="","",IF($B142="V01",cad!$C$26,IF($B142="V02",cad!$D$26,cad!$E$26)))</f>
        <v/>
      </c>
      <c r="Z142" t="str">
        <f>IF($A142="","",IF($B142="V01",cad!$C$27,IF($B142="V02",cad!$D$27,cad!$E$27)))</f>
        <v/>
      </c>
      <c r="AA142" t="str">
        <f>IF($A142="","",IF($B142="V01",cad!$C$28,IF($B142="V02",cad!$D$28,cad!$E$28)))</f>
        <v/>
      </c>
      <c r="AB142" t="str">
        <f>IF($A142="","",IF($B142="V01",cad!$C$39,IF($B142="V02",cad!$D$39,cad!$E$39)))</f>
        <v/>
      </c>
      <c r="AC142" t="str">
        <f>IF($A142="","",IF($F142="MBWAY",cad!$J$12,IF($F142="ISCOM",cad!$J$13,IF($F142="IPAC",cad!$J$14,IF($F142="PIGIER",cad!$J$15,cad!$J$16)))))</f>
        <v/>
      </c>
      <c r="AD142" t="str">
        <f t="shared" si="13"/>
        <v/>
      </c>
      <c r="AE142" t="str">
        <f t="shared" si="14"/>
        <v/>
      </c>
      <c r="AF142" t="str">
        <f t="shared" si="15"/>
        <v/>
      </c>
      <c r="AG142" t="str">
        <f t="shared" si="16"/>
        <v/>
      </c>
      <c r="AH142" t="str">
        <f t="shared" si="17"/>
        <v/>
      </c>
    </row>
    <row r="143" spans="1:34" x14ac:dyDescent="0.45">
      <c r="A143" t="str">
        <f>IF(Moteur!D143="","",Moteur!D143)</f>
        <v/>
      </c>
      <c r="B143" t="str">
        <f>IF(Moteur!B143="","",Moteur!B143)</f>
        <v/>
      </c>
      <c r="C143" t="str">
        <f>IF(Moteur!F143="","",Moteur!F143)</f>
        <v/>
      </c>
      <c r="D143" t="str">
        <f>IF(Moteur!G143="","",Moteur!G143)</f>
        <v/>
      </c>
      <c r="E143" t="str">
        <f>IF(Moteur!H143="","",Moteur!H143)</f>
        <v/>
      </c>
      <c r="F143" t="str">
        <f>IF(Moteur!E143="","",Moteur!E143)</f>
        <v/>
      </c>
      <c r="G143" t="str">
        <f>IF($A143="","",SUMIFS(Allocation2!$H$1:$H$175,Allocation2!$C$1:$C$175,$A143,Allocation2!$D$1:$D$175,$C143,Allocation2!$E$1:$E$175,$D143,Allocation2!$F$1:$F$175,$E143,Allocation2!$G$1:$G$175,"2026"))</f>
        <v/>
      </c>
      <c r="H143" t="str">
        <f>IF($A143="","",SUMIFS(Allocation2!$N$1:$N$175,Allocation2!$C$1:$C$175,$A143,Allocation2!$D$1:$D$175,$C143,Allocation2!$E$1:$E$175,$D143,Allocation2!$F$1:$F$175,$E143,Allocation2!$G$1:$G$175,"2026"))</f>
        <v/>
      </c>
      <c r="I143" t="str">
        <f>IF($A143="","",SUMIFS(Allocation2!$P$1:$P$175,Allocation2!$C$1:$C$175,$A143,Allocation2!$D$1:$D$175,$C143,Allocation2!$E$1:$E$175,$D143,Allocation2!$F$1:$F$175,$E143,Allocation2!$G$1:$G$175,"2026"))</f>
        <v/>
      </c>
      <c r="J143" t="str">
        <f>IF($A143="","",SUMIFS(Allocation2!$W$1:$W$175,Allocation2!$C$1:$C$175,$A143,Allocation2!$D$1:$D$175,$C143,Allocation2!$E$1:$E$175,$D143,Allocation2!$F$1:$F$175,$E143,Allocation2!$G$1:$G$175,"2026"))</f>
        <v/>
      </c>
      <c r="K143" t="str">
        <f>IF($A143="","",SUMIFS(Allocation2!$X$1:$X$175,Allocation2!$C$1:$C$175,$A143,Allocation2!$D$1:$D$175,$C143,Allocation2!$E$1:$E$175,$D143,Allocation2!$F$1:$F$175,$E143,Allocation2!$G$1:$G$175,"2026"))</f>
        <v/>
      </c>
      <c r="L143" t="str">
        <f>IF($A143="","",SUMIFS(Allocation2!$Y$1:$Y$175,Allocation2!$C$1:$C$175,$A143,Allocation2!$D$1:$D$175,$C143,Allocation2!$E$1:$E$175,$D143,Allocation2!$F$1:$F$175,$E143,Allocation2!$G$1:$G$175,"2026"))</f>
        <v/>
      </c>
      <c r="M143" t="str">
        <f>IF($A143="","",SUMIFS(Allocation2!$V$1:$V$175,Allocation2!$C$1:$C$175,$A143,Allocation2!$D$1:$D$175,$C143,Allocation2!$E$1:$E$175,$D143,Allocation2!$F$1:$F$175,$E143,Allocation2!$G$1:$G$175,"2026"))</f>
        <v/>
      </c>
      <c r="N143" t="str">
        <f t="shared" si="12"/>
        <v/>
      </c>
      <c r="O143" t="str">
        <f>IF($A143="","",SUMIFS(Campagne!$D$1:$D$15,Campagne!$C$1:$C$15,$A143))</f>
        <v/>
      </c>
      <c r="P143" t="str">
        <f>IF($A143="","",SUMIFS(Campagne!$E$1:$E$15,Campagne!$C$1:$C$15,$A143))</f>
        <v/>
      </c>
      <c r="Q143" t="str">
        <f>IF($A143="","",SUMIFS(Campagne!$F$1:$F$15,Campagne!$C$1:$C$15,$A143))</f>
        <v/>
      </c>
      <c r="R143" t="str">
        <f>IF($A143="","",SUMIFS(Campagne!$K$1:$K$15,Campagne!$C$1:$C$15,$A143))</f>
        <v/>
      </c>
      <c r="S143" t="str">
        <f>IF($A143="","",SUMIFS(Campagne!$M$1:$M$15,Campagne!$C$1:$C$15,$A143))</f>
        <v/>
      </c>
      <c r="T143" t="str">
        <f>IF($A143="","",SUMIFS(PIL!$K$15:$K$28,PIL!$A$15:$A$28,$A143)*SUMIFS(PIL!$J$15:$J$28,PIL!$A$15:$A$28,$A143)*(SUM(PIL!$K$15:$K$28)/SUMPRODUCT(PIL!$K$15:$K$28,PIL!$J$15:$J$28)))</f>
        <v/>
      </c>
      <c r="U143" t="str">
        <f>IF($A143="","",SUMIFS(PIL!$K$15:$K$28,PIL!$A$15:$A$28,$A143))</f>
        <v/>
      </c>
      <c r="V143" t="str">
        <f>IF($A143="","",IF($B143="V01",cad!$C$23,IF($B143="V02",cad!$D$23,cad!$E$23)))</f>
        <v/>
      </c>
      <c r="W143" t="str">
        <f>IF($A143="","",IF($B143="V01",cad!$C$24,IF($B143="V02",cad!$D$24,cad!$E$24)))</f>
        <v/>
      </c>
      <c r="X143" t="str">
        <f>IF($A143="","",IF($B143="V01",cad!$C$25,IF($B143="V02",cad!$D$25,cad!$E$25)))</f>
        <v/>
      </c>
      <c r="Y143" t="str">
        <f>IF($A143="","",IF($B143="V01",cad!$C$26,IF($B143="V02",cad!$D$26,cad!$E$26)))</f>
        <v/>
      </c>
      <c r="Z143" t="str">
        <f>IF($A143="","",IF($B143="V01",cad!$C$27,IF($B143="V02",cad!$D$27,cad!$E$27)))</f>
        <v/>
      </c>
      <c r="AA143" t="str">
        <f>IF($A143="","",IF($B143="V01",cad!$C$28,IF($B143="V02",cad!$D$28,cad!$E$28)))</f>
        <v/>
      </c>
      <c r="AB143" t="str">
        <f>IF($A143="","",IF($B143="V01",cad!$C$39,IF($B143="V02",cad!$D$39,cad!$E$39)))</f>
        <v/>
      </c>
      <c r="AC143" t="str">
        <f>IF($A143="","",IF($F143="MBWAY",cad!$J$12,IF($F143="ISCOM",cad!$J$13,IF($F143="IPAC",cad!$J$14,IF($F143="PIGIER",cad!$J$15,cad!$J$16)))))</f>
        <v/>
      </c>
      <c r="AD143" t="str">
        <f t="shared" si="13"/>
        <v/>
      </c>
      <c r="AE143" t="str">
        <f t="shared" si="14"/>
        <v/>
      </c>
      <c r="AF143" t="str">
        <f t="shared" si="15"/>
        <v/>
      </c>
      <c r="AG143" t="str">
        <f t="shared" si="16"/>
        <v/>
      </c>
      <c r="AH143" t="str">
        <f t="shared" si="17"/>
        <v/>
      </c>
    </row>
    <row r="144" spans="1:34" x14ac:dyDescent="0.45">
      <c r="A144" t="str">
        <f>IF(Moteur!D144="","",Moteur!D144)</f>
        <v/>
      </c>
      <c r="B144" t="str">
        <f>IF(Moteur!B144="","",Moteur!B144)</f>
        <v/>
      </c>
      <c r="C144" t="str">
        <f>IF(Moteur!F144="","",Moteur!F144)</f>
        <v/>
      </c>
      <c r="D144" t="str">
        <f>IF(Moteur!G144="","",Moteur!G144)</f>
        <v/>
      </c>
      <c r="E144" t="str">
        <f>IF(Moteur!H144="","",Moteur!H144)</f>
        <v/>
      </c>
      <c r="F144" t="str">
        <f>IF(Moteur!E144="","",Moteur!E144)</f>
        <v/>
      </c>
      <c r="G144" t="str">
        <f>IF($A144="","",SUMIFS(Allocation2!$H$1:$H$175,Allocation2!$C$1:$C$175,$A144,Allocation2!$D$1:$D$175,$C144,Allocation2!$E$1:$E$175,$D144,Allocation2!$F$1:$F$175,$E144,Allocation2!$G$1:$G$175,"2026"))</f>
        <v/>
      </c>
      <c r="H144" t="str">
        <f>IF($A144="","",SUMIFS(Allocation2!$N$1:$N$175,Allocation2!$C$1:$C$175,$A144,Allocation2!$D$1:$D$175,$C144,Allocation2!$E$1:$E$175,$D144,Allocation2!$F$1:$F$175,$E144,Allocation2!$G$1:$G$175,"2026"))</f>
        <v/>
      </c>
      <c r="I144" t="str">
        <f>IF($A144="","",SUMIFS(Allocation2!$P$1:$P$175,Allocation2!$C$1:$C$175,$A144,Allocation2!$D$1:$D$175,$C144,Allocation2!$E$1:$E$175,$D144,Allocation2!$F$1:$F$175,$E144,Allocation2!$G$1:$G$175,"2026"))</f>
        <v/>
      </c>
      <c r="J144" t="str">
        <f>IF($A144="","",SUMIFS(Allocation2!$W$1:$W$175,Allocation2!$C$1:$C$175,$A144,Allocation2!$D$1:$D$175,$C144,Allocation2!$E$1:$E$175,$D144,Allocation2!$F$1:$F$175,$E144,Allocation2!$G$1:$G$175,"2026"))</f>
        <v/>
      </c>
      <c r="K144" t="str">
        <f>IF($A144="","",SUMIFS(Allocation2!$X$1:$X$175,Allocation2!$C$1:$C$175,$A144,Allocation2!$D$1:$D$175,$C144,Allocation2!$E$1:$E$175,$D144,Allocation2!$F$1:$F$175,$E144,Allocation2!$G$1:$G$175,"2026"))</f>
        <v/>
      </c>
      <c r="L144" t="str">
        <f>IF($A144="","",SUMIFS(Allocation2!$Y$1:$Y$175,Allocation2!$C$1:$C$175,$A144,Allocation2!$D$1:$D$175,$C144,Allocation2!$E$1:$E$175,$D144,Allocation2!$F$1:$F$175,$E144,Allocation2!$G$1:$G$175,"2026"))</f>
        <v/>
      </c>
      <c r="M144" t="str">
        <f>IF($A144="","",SUMIFS(Allocation2!$V$1:$V$175,Allocation2!$C$1:$C$175,$A144,Allocation2!$D$1:$D$175,$C144,Allocation2!$E$1:$E$175,$D144,Allocation2!$F$1:$F$175,$E144,Allocation2!$G$1:$G$175,"2026"))</f>
        <v/>
      </c>
      <c r="N144" t="str">
        <f t="shared" si="12"/>
        <v/>
      </c>
      <c r="O144" t="str">
        <f>IF($A144="","",SUMIFS(Campagne!$D$1:$D$15,Campagne!$C$1:$C$15,$A144))</f>
        <v/>
      </c>
      <c r="P144" t="str">
        <f>IF($A144="","",SUMIFS(Campagne!$E$1:$E$15,Campagne!$C$1:$C$15,$A144))</f>
        <v/>
      </c>
      <c r="Q144" t="str">
        <f>IF($A144="","",SUMIFS(Campagne!$F$1:$F$15,Campagne!$C$1:$C$15,$A144))</f>
        <v/>
      </c>
      <c r="R144" t="str">
        <f>IF($A144="","",SUMIFS(Campagne!$K$1:$K$15,Campagne!$C$1:$C$15,$A144))</f>
        <v/>
      </c>
      <c r="S144" t="str">
        <f>IF($A144="","",SUMIFS(Campagne!$M$1:$M$15,Campagne!$C$1:$C$15,$A144))</f>
        <v/>
      </c>
      <c r="T144" t="str">
        <f>IF($A144="","",SUMIFS(PIL!$K$15:$K$28,PIL!$A$15:$A$28,$A144)*SUMIFS(PIL!$J$15:$J$28,PIL!$A$15:$A$28,$A144)*(SUM(PIL!$K$15:$K$28)/SUMPRODUCT(PIL!$K$15:$K$28,PIL!$J$15:$J$28)))</f>
        <v/>
      </c>
      <c r="U144" t="str">
        <f>IF($A144="","",SUMIFS(PIL!$K$15:$K$28,PIL!$A$15:$A$28,$A144))</f>
        <v/>
      </c>
      <c r="V144" t="str">
        <f>IF($A144="","",IF($B144="V01",cad!$C$23,IF($B144="V02",cad!$D$23,cad!$E$23)))</f>
        <v/>
      </c>
      <c r="W144" t="str">
        <f>IF($A144="","",IF($B144="V01",cad!$C$24,IF($B144="V02",cad!$D$24,cad!$E$24)))</f>
        <v/>
      </c>
      <c r="X144" t="str">
        <f>IF($A144="","",IF($B144="V01",cad!$C$25,IF($B144="V02",cad!$D$25,cad!$E$25)))</f>
        <v/>
      </c>
      <c r="Y144" t="str">
        <f>IF($A144="","",IF($B144="V01",cad!$C$26,IF($B144="V02",cad!$D$26,cad!$E$26)))</f>
        <v/>
      </c>
      <c r="Z144" t="str">
        <f>IF($A144="","",IF($B144="V01",cad!$C$27,IF($B144="V02",cad!$D$27,cad!$E$27)))</f>
        <v/>
      </c>
      <c r="AA144" t="str">
        <f>IF($A144="","",IF($B144="V01",cad!$C$28,IF($B144="V02",cad!$D$28,cad!$E$28)))</f>
        <v/>
      </c>
      <c r="AB144" t="str">
        <f>IF($A144="","",IF($B144="V01",cad!$C$39,IF($B144="V02",cad!$D$39,cad!$E$39)))</f>
        <v/>
      </c>
      <c r="AC144" t="str">
        <f>IF($A144="","",IF($F144="MBWAY",cad!$J$12,IF($F144="ISCOM",cad!$J$13,IF($F144="IPAC",cad!$J$14,IF($F144="PIGIER",cad!$J$15,cad!$J$16)))))</f>
        <v/>
      </c>
      <c r="AD144" t="str">
        <f t="shared" si="13"/>
        <v/>
      </c>
      <c r="AE144" t="str">
        <f t="shared" si="14"/>
        <v/>
      </c>
      <c r="AF144" t="str">
        <f t="shared" si="15"/>
        <v/>
      </c>
      <c r="AG144" t="str">
        <f t="shared" si="16"/>
        <v/>
      </c>
      <c r="AH144" t="str">
        <f t="shared" si="17"/>
        <v/>
      </c>
    </row>
    <row r="145" spans="1:34" x14ac:dyDescent="0.45">
      <c r="A145" t="str">
        <f>IF(Moteur!D145="","",Moteur!D145)</f>
        <v/>
      </c>
      <c r="B145" t="str">
        <f>IF(Moteur!B145="","",Moteur!B145)</f>
        <v/>
      </c>
      <c r="C145" t="str">
        <f>IF(Moteur!F145="","",Moteur!F145)</f>
        <v/>
      </c>
      <c r="D145" t="str">
        <f>IF(Moteur!G145="","",Moteur!G145)</f>
        <v/>
      </c>
      <c r="E145" t="str">
        <f>IF(Moteur!H145="","",Moteur!H145)</f>
        <v/>
      </c>
      <c r="F145" t="str">
        <f>IF(Moteur!E145="","",Moteur!E145)</f>
        <v/>
      </c>
      <c r="G145" t="str">
        <f>IF($A145="","",SUMIFS(Allocation2!$H$1:$H$175,Allocation2!$C$1:$C$175,$A145,Allocation2!$D$1:$D$175,$C145,Allocation2!$E$1:$E$175,$D145,Allocation2!$F$1:$F$175,$E145,Allocation2!$G$1:$G$175,"2026"))</f>
        <v/>
      </c>
      <c r="H145" t="str">
        <f>IF($A145="","",SUMIFS(Allocation2!$N$1:$N$175,Allocation2!$C$1:$C$175,$A145,Allocation2!$D$1:$D$175,$C145,Allocation2!$E$1:$E$175,$D145,Allocation2!$F$1:$F$175,$E145,Allocation2!$G$1:$G$175,"2026"))</f>
        <v/>
      </c>
      <c r="I145" t="str">
        <f>IF($A145="","",SUMIFS(Allocation2!$P$1:$P$175,Allocation2!$C$1:$C$175,$A145,Allocation2!$D$1:$D$175,$C145,Allocation2!$E$1:$E$175,$D145,Allocation2!$F$1:$F$175,$E145,Allocation2!$G$1:$G$175,"2026"))</f>
        <v/>
      </c>
      <c r="J145" t="str">
        <f>IF($A145="","",SUMIFS(Allocation2!$W$1:$W$175,Allocation2!$C$1:$C$175,$A145,Allocation2!$D$1:$D$175,$C145,Allocation2!$E$1:$E$175,$D145,Allocation2!$F$1:$F$175,$E145,Allocation2!$G$1:$G$175,"2026"))</f>
        <v/>
      </c>
      <c r="K145" t="str">
        <f>IF($A145="","",SUMIFS(Allocation2!$X$1:$X$175,Allocation2!$C$1:$C$175,$A145,Allocation2!$D$1:$D$175,$C145,Allocation2!$E$1:$E$175,$D145,Allocation2!$F$1:$F$175,$E145,Allocation2!$G$1:$G$175,"2026"))</f>
        <v/>
      </c>
      <c r="L145" t="str">
        <f>IF($A145="","",SUMIFS(Allocation2!$Y$1:$Y$175,Allocation2!$C$1:$C$175,$A145,Allocation2!$D$1:$D$175,$C145,Allocation2!$E$1:$E$175,$D145,Allocation2!$F$1:$F$175,$E145,Allocation2!$G$1:$G$175,"2026"))</f>
        <v/>
      </c>
      <c r="M145" t="str">
        <f>IF($A145="","",SUMIFS(Allocation2!$V$1:$V$175,Allocation2!$C$1:$C$175,$A145,Allocation2!$D$1:$D$175,$C145,Allocation2!$E$1:$E$175,$D145,Allocation2!$F$1:$F$175,$E145,Allocation2!$G$1:$G$175,"2026"))</f>
        <v/>
      </c>
      <c r="N145" t="str">
        <f t="shared" si="12"/>
        <v/>
      </c>
      <c r="O145" t="str">
        <f>IF($A145="","",SUMIFS(Campagne!$D$1:$D$15,Campagne!$C$1:$C$15,$A145))</f>
        <v/>
      </c>
      <c r="P145" t="str">
        <f>IF($A145="","",SUMIFS(Campagne!$E$1:$E$15,Campagne!$C$1:$C$15,$A145))</f>
        <v/>
      </c>
      <c r="Q145" t="str">
        <f>IF($A145="","",SUMIFS(Campagne!$F$1:$F$15,Campagne!$C$1:$C$15,$A145))</f>
        <v/>
      </c>
      <c r="R145" t="str">
        <f>IF($A145="","",SUMIFS(Campagne!$K$1:$K$15,Campagne!$C$1:$C$15,$A145))</f>
        <v/>
      </c>
      <c r="S145" t="str">
        <f>IF($A145="","",SUMIFS(Campagne!$M$1:$M$15,Campagne!$C$1:$C$15,$A145))</f>
        <v/>
      </c>
      <c r="T145" t="str">
        <f>IF($A145="","",SUMIFS(PIL!$K$15:$K$28,PIL!$A$15:$A$28,$A145)*SUMIFS(PIL!$J$15:$J$28,PIL!$A$15:$A$28,$A145)*(SUM(PIL!$K$15:$K$28)/SUMPRODUCT(PIL!$K$15:$K$28,PIL!$J$15:$J$28)))</f>
        <v/>
      </c>
      <c r="U145" t="str">
        <f>IF($A145="","",SUMIFS(PIL!$K$15:$K$28,PIL!$A$15:$A$28,$A145))</f>
        <v/>
      </c>
      <c r="V145" t="str">
        <f>IF($A145="","",IF($B145="V01",cad!$C$23,IF($B145="V02",cad!$D$23,cad!$E$23)))</f>
        <v/>
      </c>
      <c r="W145" t="str">
        <f>IF($A145="","",IF($B145="V01",cad!$C$24,IF($B145="V02",cad!$D$24,cad!$E$24)))</f>
        <v/>
      </c>
      <c r="X145" t="str">
        <f>IF($A145="","",IF($B145="V01",cad!$C$25,IF($B145="V02",cad!$D$25,cad!$E$25)))</f>
        <v/>
      </c>
      <c r="Y145" t="str">
        <f>IF($A145="","",IF($B145="V01",cad!$C$26,IF($B145="V02",cad!$D$26,cad!$E$26)))</f>
        <v/>
      </c>
      <c r="Z145" t="str">
        <f>IF($A145="","",IF($B145="V01",cad!$C$27,IF($B145="V02",cad!$D$27,cad!$E$27)))</f>
        <v/>
      </c>
      <c r="AA145" t="str">
        <f>IF($A145="","",IF($B145="V01",cad!$C$28,IF($B145="V02",cad!$D$28,cad!$E$28)))</f>
        <v/>
      </c>
      <c r="AB145" t="str">
        <f>IF($A145="","",IF($B145="V01",cad!$C$39,IF($B145="V02",cad!$D$39,cad!$E$39)))</f>
        <v/>
      </c>
      <c r="AC145" t="str">
        <f>IF($A145="","",IF($F145="MBWAY",cad!$J$12,IF($F145="ISCOM",cad!$J$13,IF($F145="IPAC",cad!$J$14,IF($F145="PIGIER",cad!$J$15,cad!$J$16)))))</f>
        <v/>
      </c>
      <c r="AD145" t="str">
        <f t="shared" si="13"/>
        <v/>
      </c>
      <c r="AE145" t="str">
        <f t="shared" si="14"/>
        <v/>
      </c>
      <c r="AF145" t="str">
        <f t="shared" si="15"/>
        <v/>
      </c>
      <c r="AG145" t="str">
        <f t="shared" si="16"/>
        <v/>
      </c>
      <c r="AH145" t="str">
        <f t="shared" si="17"/>
        <v/>
      </c>
    </row>
    <row r="146" spans="1:34" x14ac:dyDescent="0.45">
      <c r="A146" t="str">
        <f>IF(Moteur!D146="","",Moteur!D146)</f>
        <v/>
      </c>
      <c r="B146" t="str">
        <f>IF(Moteur!B146="","",Moteur!B146)</f>
        <v/>
      </c>
      <c r="C146" t="str">
        <f>IF(Moteur!F146="","",Moteur!F146)</f>
        <v/>
      </c>
      <c r="D146" t="str">
        <f>IF(Moteur!G146="","",Moteur!G146)</f>
        <v/>
      </c>
      <c r="E146" t="str">
        <f>IF(Moteur!H146="","",Moteur!H146)</f>
        <v/>
      </c>
      <c r="F146" t="str">
        <f>IF(Moteur!E146="","",Moteur!E146)</f>
        <v/>
      </c>
      <c r="G146" t="str">
        <f>IF($A146="","",SUMIFS(Allocation2!$H$1:$H$175,Allocation2!$C$1:$C$175,$A146,Allocation2!$D$1:$D$175,$C146,Allocation2!$E$1:$E$175,$D146,Allocation2!$F$1:$F$175,$E146,Allocation2!$G$1:$G$175,"2026"))</f>
        <v/>
      </c>
      <c r="H146" t="str">
        <f>IF($A146="","",SUMIFS(Allocation2!$N$1:$N$175,Allocation2!$C$1:$C$175,$A146,Allocation2!$D$1:$D$175,$C146,Allocation2!$E$1:$E$175,$D146,Allocation2!$F$1:$F$175,$E146,Allocation2!$G$1:$G$175,"2026"))</f>
        <v/>
      </c>
      <c r="I146" t="str">
        <f>IF($A146="","",SUMIFS(Allocation2!$P$1:$P$175,Allocation2!$C$1:$C$175,$A146,Allocation2!$D$1:$D$175,$C146,Allocation2!$E$1:$E$175,$D146,Allocation2!$F$1:$F$175,$E146,Allocation2!$G$1:$G$175,"2026"))</f>
        <v/>
      </c>
      <c r="J146" t="str">
        <f>IF($A146="","",SUMIFS(Allocation2!$W$1:$W$175,Allocation2!$C$1:$C$175,$A146,Allocation2!$D$1:$D$175,$C146,Allocation2!$E$1:$E$175,$D146,Allocation2!$F$1:$F$175,$E146,Allocation2!$G$1:$G$175,"2026"))</f>
        <v/>
      </c>
      <c r="K146" t="str">
        <f>IF($A146="","",SUMIFS(Allocation2!$X$1:$X$175,Allocation2!$C$1:$C$175,$A146,Allocation2!$D$1:$D$175,$C146,Allocation2!$E$1:$E$175,$D146,Allocation2!$F$1:$F$175,$E146,Allocation2!$G$1:$G$175,"2026"))</f>
        <v/>
      </c>
      <c r="L146" t="str">
        <f>IF($A146="","",SUMIFS(Allocation2!$Y$1:$Y$175,Allocation2!$C$1:$C$175,$A146,Allocation2!$D$1:$D$175,$C146,Allocation2!$E$1:$E$175,$D146,Allocation2!$F$1:$F$175,$E146,Allocation2!$G$1:$G$175,"2026"))</f>
        <v/>
      </c>
      <c r="M146" t="str">
        <f>IF($A146="","",SUMIFS(Allocation2!$V$1:$V$175,Allocation2!$C$1:$C$175,$A146,Allocation2!$D$1:$D$175,$C146,Allocation2!$E$1:$E$175,$D146,Allocation2!$F$1:$F$175,$E146,Allocation2!$G$1:$G$175,"2026"))</f>
        <v/>
      </c>
      <c r="N146" t="str">
        <f t="shared" si="12"/>
        <v/>
      </c>
      <c r="O146" t="str">
        <f>IF($A146="","",SUMIFS(Campagne!$D$1:$D$15,Campagne!$C$1:$C$15,$A146))</f>
        <v/>
      </c>
      <c r="P146" t="str">
        <f>IF($A146="","",SUMIFS(Campagne!$E$1:$E$15,Campagne!$C$1:$C$15,$A146))</f>
        <v/>
      </c>
      <c r="Q146" t="str">
        <f>IF($A146="","",SUMIFS(Campagne!$F$1:$F$15,Campagne!$C$1:$C$15,$A146))</f>
        <v/>
      </c>
      <c r="R146" t="str">
        <f>IF($A146="","",SUMIFS(Campagne!$K$1:$K$15,Campagne!$C$1:$C$15,$A146))</f>
        <v/>
      </c>
      <c r="S146" t="str">
        <f>IF($A146="","",SUMIFS(Campagne!$M$1:$M$15,Campagne!$C$1:$C$15,$A146))</f>
        <v/>
      </c>
      <c r="T146" t="str">
        <f>IF($A146="","",SUMIFS(PIL!$K$15:$K$28,PIL!$A$15:$A$28,$A146)*SUMIFS(PIL!$J$15:$J$28,PIL!$A$15:$A$28,$A146)*(SUM(PIL!$K$15:$K$28)/SUMPRODUCT(PIL!$K$15:$K$28,PIL!$J$15:$J$28)))</f>
        <v/>
      </c>
      <c r="U146" t="str">
        <f>IF($A146="","",SUMIFS(PIL!$K$15:$K$28,PIL!$A$15:$A$28,$A146))</f>
        <v/>
      </c>
      <c r="V146" t="str">
        <f>IF($A146="","",IF($B146="V01",cad!$C$23,IF($B146="V02",cad!$D$23,cad!$E$23)))</f>
        <v/>
      </c>
      <c r="W146" t="str">
        <f>IF($A146="","",IF($B146="V01",cad!$C$24,IF($B146="V02",cad!$D$24,cad!$E$24)))</f>
        <v/>
      </c>
      <c r="X146" t="str">
        <f>IF($A146="","",IF($B146="V01",cad!$C$25,IF($B146="V02",cad!$D$25,cad!$E$25)))</f>
        <v/>
      </c>
      <c r="Y146" t="str">
        <f>IF($A146="","",IF($B146="V01",cad!$C$26,IF($B146="V02",cad!$D$26,cad!$E$26)))</f>
        <v/>
      </c>
      <c r="Z146" t="str">
        <f>IF($A146="","",IF($B146="V01",cad!$C$27,IF($B146="V02",cad!$D$27,cad!$E$27)))</f>
        <v/>
      </c>
      <c r="AA146" t="str">
        <f>IF($A146="","",IF($B146="V01",cad!$C$28,IF($B146="V02",cad!$D$28,cad!$E$28)))</f>
        <v/>
      </c>
      <c r="AB146" t="str">
        <f>IF($A146="","",IF($B146="V01",cad!$C$39,IF($B146="V02",cad!$D$39,cad!$E$39)))</f>
        <v/>
      </c>
      <c r="AC146" t="str">
        <f>IF($A146="","",IF($F146="MBWAY",cad!$J$12,IF($F146="ISCOM",cad!$J$13,IF($F146="IPAC",cad!$J$14,IF($F146="PIGIER",cad!$J$15,cad!$J$16)))))</f>
        <v/>
      </c>
      <c r="AD146" t="str">
        <f t="shared" si="13"/>
        <v/>
      </c>
      <c r="AE146" t="str">
        <f t="shared" si="14"/>
        <v/>
      </c>
      <c r="AF146" t="str">
        <f t="shared" si="15"/>
        <v/>
      </c>
      <c r="AG146" t="str">
        <f t="shared" si="16"/>
        <v/>
      </c>
      <c r="AH146" t="str">
        <f t="shared" si="17"/>
        <v/>
      </c>
    </row>
    <row r="147" spans="1:34" x14ac:dyDescent="0.45">
      <c r="A147" t="str">
        <f>IF(Moteur!D147="","",Moteur!D147)</f>
        <v/>
      </c>
      <c r="B147" t="str">
        <f>IF(Moteur!B147="","",Moteur!B147)</f>
        <v/>
      </c>
      <c r="C147" t="str">
        <f>IF(Moteur!F147="","",Moteur!F147)</f>
        <v/>
      </c>
      <c r="D147" t="str">
        <f>IF(Moteur!G147="","",Moteur!G147)</f>
        <v/>
      </c>
      <c r="E147" t="str">
        <f>IF(Moteur!H147="","",Moteur!H147)</f>
        <v/>
      </c>
      <c r="F147" t="str">
        <f>IF(Moteur!E147="","",Moteur!E147)</f>
        <v/>
      </c>
      <c r="G147" t="str">
        <f>IF($A147="","",SUMIFS(Allocation2!$H$1:$H$175,Allocation2!$C$1:$C$175,$A147,Allocation2!$D$1:$D$175,$C147,Allocation2!$E$1:$E$175,$D147,Allocation2!$F$1:$F$175,$E147,Allocation2!$G$1:$G$175,"2026"))</f>
        <v/>
      </c>
      <c r="H147" t="str">
        <f>IF($A147="","",SUMIFS(Allocation2!$N$1:$N$175,Allocation2!$C$1:$C$175,$A147,Allocation2!$D$1:$D$175,$C147,Allocation2!$E$1:$E$175,$D147,Allocation2!$F$1:$F$175,$E147,Allocation2!$G$1:$G$175,"2026"))</f>
        <v/>
      </c>
      <c r="I147" t="str">
        <f>IF($A147="","",SUMIFS(Allocation2!$P$1:$P$175,Allocation2!$C$1:$C$175,$A147,Allocation2!$D$1:$D$175,$C147,Allocation2!$E$1:$E$175,$D147,Allocation2!$F$1:$F$175,$E147,Allocation2!$G$1:$G$175,"2026"))</f>
        <v/>
      </c>
      <c r="J147" t="str">
        <f>IF($A147="","",SUMIFS(Allocation2!$W$1:$W$175,Allocation2!$C$1:$C$175,$A147,Allocation2!$D$1:$D$175,$C147,Allocation2!$E$1:$E$175,$D147,Allocation2!$F$1:$F$175,$E147,Allocation2!$G$1:$G$175,"2026"))</f>
        <v/>
      </c>
      <c r="K147" t="str">
        <f>IF($A147="","",SUMIFS(Allocation2!$X$1:$X$175,Allocation2!$C$1:$C$175,$A147,Allocation2!$D$1:$D$175,$C147,Allocation2!$E$1:$E$175,$D147,Allocation2!$F$1:$F$175,$E147,Allocation2!$G$1:$G$175,"2026"))</f>
        <v/>
      </c>
      <c r="L147" t="str">
        <f>IF($A147="","",SUMIFS(Allocation2!$Y$1:$Y$175,Allocation2!$C$1:$C$175,$A147,Allocation2!$D$1:$D$175,$C147,Allocation2!$E$1:$E$175,$D147,Allocation2!$F$1:$F$175,$E147,Allocation2!$G$1:$G$175,"2026"))</f>
        <v/>
      </c>
      <c r="M147" t="str">
        <f>IF($A147="","",SUMIFS(Allocation2!$V$1:$V$175,Allocation2!$C$1:$C$175,$A147,Allocation2!$D$1:$D$175,$C147,Allocation2!$E$1:$E$175,$D147,Allocation2!$F$1:$F$175,$E147,Allocation2!$G$1:$G$175,"2026"))</f>
        <v/>
      </c>
      <c r="N147" t="str">
        <f t="shared" si="12"/>
        <v/>
      </c>
      <c r="O147" t="str">
        <f>IF($A147="","",SUMIFS(Campagne!$D$1:$D$15,Campagne!$C$1:$C$15,$A147))</f>
        <v/>
      </c>
      <c r="P147" t="str">
        <f>IF($A147="","",SUMIFS(Campagne!$E$1:$E$15,Campagne!$C$1:$C$15,$A147))</f>
        <v/>
      </c>
      <c r="Q147" t="str">
        <f>IF($A147="","",SUMIFS(Campagne!$F$1:$F$15,Campagne!$C$1:$C$15,$A147))</f>
        <v/>
      </c>
      <c r="R147" t="str">
        <f>IF($A147="","",SUMIFS(Campagne!$K$1:$K$15,Campagne!$C$1:$C$15,$A147))</f>
        <v/>
      </c>
      <c r="S147" t="str">
        <f>IF($A147="","",SUMIFS(Campagne!$M$1:$M$15,Campagne!$C$1:$C$15,$A147))</f>
        <v/>
      </c>
      <c r="T147" t="str">
        <f>IF($A147="","",SUMIFS(PIL!$K$15:$K$28,PIL!$A$15:$A$28,$A147)*SUMIFS(PIL!$J$15:$J$28,PIL!$A$15:$A$28,$A147)*(SUM(PIL!$K$15:$K$28)/SUMPRODUCT(PIL!$K$15:$K$28,PIL!$J$15:$J$28)))</f>
        <v/>
      </c>
      <c r="U147" t="str">
        <f>IF($A147="","",SUMIFS(PIL!$K$15:$K$28,PIL!$A$15:$A$28,$A147))</f>
        <v/>
      </c>
      <c r="V147" t="str">
        <f>IF($A147="","",IF($B147="V01",cad!$C$23,IF($B147="V02",cad!$D$23,cad!$E$23)))</f>
        <v/>
      </c>
      <c r="W147" t="str">
        <f>IF($A147="","",IF($B147="V01",cad!$C$24,IF($B147="V02",cad!$D$24,cad!$E$24)))</f>
        <v/>
      </c>
      <c r="X147" t="str">
        <f>IF($A147="","",IF($B147="V01",cad!$C$25,IF($B147="V02",cad!$D$25,cad!$E$25)))</f>
        <v/>
      </c>
      <c r="Y147" t="str">
        <f>IF($A147="","",IF($B147="V01",cad!$C$26,IF($B147="V02",cad!$D$26,cad!$E$26)))</f>
        <v/>
      </c>
      <c r="Z147" t="str">
        <f>IF($A147="","",IF($B147="V01",cad!$C$27,IF($B147="V02",cad!$D$27,cad!$E$27)))</f>
        <v/>
      </c>
      <c r="AA147" t="str">
        <f>IF($A147="","",IF($B147="V01",cad!$C$28,IF($B147="V02",cad!$D$28,cad!$E$28)))</f>
        <v/>
      </c>
      <c r="AB147" t="str">
        <f>IF($A147="","",IF($B147="V01",cad!$C$39,IF($B147="V02",cad!$D$39,cad!$E$39)))</f>
        <v/>
      </c>
      <c r="AC147" t="str">
        <f>IF($A147="","",IF($F147="MBWAY",cad!$J$12,IF($F147="ISCOM",cad!$J$13,IF($F147="IPAC",cad!$J$14,IF($F147="PIGIER",cad!$J$15,cad!$J$16)))))</f>
        <v/>
      </c>
      <c r="AD147" t="str">
        <f t="shared" si="13"/>
        <v/>
      </c>
      <c r="AE147" t="str">
        <f t="shared" si="14"/>
        <v/>
      </c>
      <c r="AF147" t="str">
        <f t="shared" si="15"/>
        <v/>
      </c>
      <c r="AG147" t="str">
        <f t="shared" si="16"/>
        <v/>
      </c>
      <c r="AH147" t="str">
        <f t="shared" si="17"/>
        <v/>
      </c>
    </row>
    <row r="148" spans="1:34" x14ac:dyDescent="0.45">
      <c r="A148" t="str">
        <f>IF(Moteur!D148="","",Moteur!D148)</f>
        <v/>
      </c>
      <c r="B148" t="str">
        <f>IF(Moteur!B148="","",Moteur!B148)</f>
        <v/>
      </c>
      <c r="C148" t="str">
        <f>IF(Moteur!F148="","",Moteur!F148)</f>
        <v/>
      </c>
      <c r="D148" t="str">
        <f>IF(Moteur!G148="","",Moteur!G148)</f>
        <v/>
      </c>
      <c r="E148" t="str">
        <f>IF(Moteur!H148="","",Moteur!H148)</f>
        <v/>
      </c>
      <c r="F148" t="str">
        <f>IF(Moteur!E148="","",Moteur!E148)</f>
        <v/>
      </c>
      <c r="G148" t="str">
        <f>IF($A148="","",SUMIFS(Allocation2!$H$1:$H$175,Allocation2!$C$1:$C$175,$A148,Allocation2!$D$1:$D$175,$C148,Allocation2!$E$1:$E$175,$D148,Allocation2!$F$1:$F$175,$E148,Allocation2!$G$1:$G$175,"2026"))</f>
        <v/>
      </c>
      <c r="H148" t="str">
        <f>IF($A148="","",SUMIFS(Allocation2!$N$1:$N$175,Allocation2!$C$1:$C$175,$A148,Allocation2!$D$1:$D$175,$C148,Allocation2!$E$1:$E$175,$D148,Allocation2!$F$1:$F$175,$E148,Allocation2!$G$1:$G$175,"2026"))</f>
        <v/>
      </c>
      <c r="I148" t="str">
        <f>IF($A148="","",SUMIFS(Allocation2!$P$1:$P$175,Allocation2!$C$1:$C$175,$A148,Allocation2!$D$1:$D$175,$C148,Allocation2!$E$1:$E$175,$D148,Allocation2!$F$1:$F$175,$E148,Allocation2!$G$1:$G$175,"2026"))</f>
        <v/>
      </c>
      <c r="J148" t="str">
        <f>IF($A148="","",SUMIFS(Allocation2!$W$1:$W$175,Allocation2!$C$1:$C$175,$A148,Allocation2!$D$1:$D$175,$C148,Allocation2!$E$1:$E$175,$D148,Allocation2!$F$1:$F$175,$E148,Allocation2!$G$1:$G$175,"2026"))</f>
        <v/>
      </c>
      <c r="K148" t="str">
        <f>IF($A148="","",SUMIFS(Allocation2!$X$1:$X$175,Allocation2!$C$1:$C$175,$A148,Allocation2!$D$1:$D$175,$C148,Allocation2!$E$1:$E$175,$D148,Allocation2!$F$1:$F$175,$E148,Allocation2!$G$1:$G$175,"2026"))</f>
        <v/>
      </c>
      <c r="L148" t="str">
        <f>IF($A148="","",SUMIFS(Allocation2!$Y$1:$Y$175,Allocation2!$C$1:$C$175,$A148,Allocation2!$D$1:$D$175,$C148,Allocation2!$E$1:$E$175,$D148,Allocation2!$F$1:$F$175,$E148,Allocation2!$G$1:$G$175,"2026"))</f>
        <v/>
      </c>
      <c r="M148" t="str">
        <f>IF($A148="","",SUMIFS(Allocation2!$V$1:$V$175,Allocation2!$C$1:$C$175,$A148,Allocation2!$D$1:$D$175,$C148,Allocation2!$E$1:$E$175,$D148,Allocation2!$F$1:$F$175,$E148,Allocation2!$G$1:$G$175,"2026"))</f>
        <v/>
      </c>
      <c r="N148" t="str">
        <f t="shared" si="12"/>
        <v/>
      </c>
      <c r="O148" t="str">
        <f>IF($A148="","",SUMIFS(Campagne!$D$1:$D$15,Campagne!$C$1:$C$15,$A148))</f>
        <v/>
      </c>
      <c r="P148" t="str">
        <f>IF($A148="","",SUMIFS(Campagne!$E$1:$E$15,Campagne!$C$1:$C$15,$A148))</f>
        <v/>
      </c>
      <c r="Q148" t="str">
        <f>IF($A148="","",SUMIFS(Campagne!$F$1:$F$15,Campagne!$C$1:$C$15,$A148))</f>
        <v/>
      </c>
      <c r="R148" t="str">
        <f>IF($A148="","",SUMIFS(Campagne!$K$1:$K$15,Campagne!$C$1:$C$15,$A148))</f>
        <v/>
      </c>
      <c r="S148" t="str">
        <f>IF($A148="","",SUMIFS(Campagne!$M$1:$M$15,Campagne!$C$1:$C$15,$A148))</f>
        <v/>
      </c>
      <c r="T148" t="str">
        <f>IF($A148="","",SUMIFS(PIL!$K$15:$K$28,PIL!$A$15:$A$28,$A148)*SUMIFS(PIL!$J$15:$J$28,PIL!$A$15:$A$28,$A148)*(SUM(PIL!$K$15:$K$28)/SUMPRODUCT(PIL!$K$15:$K$28,PIL!$J$15:$J$28)))</f>
        <v/>
      </c>
      <c r="U148" t="str">
        <f>IF($A148="","",SUMIFS(PIL!$K$15:$K$28,PIL!$A$15:$A$28,$A148))</f>
        <v/>
      </c>
      <c r="V148" t="str">
        <f>IF($A148="","",IF($B148="V01",cad!$C$23,IF($B148="V02",cad!$D$23,cad!$E$23)))</f>
        <v/>
      </c>
      <c r="W148" t="str">
        <f>IF($A148="","",IF($B148="V01",cad!$C$24,IF($B148="V02",cad!$D$24,cad!$E$24)))</f>
        <v/>
      </c>
      <c r="X148" t="str">
        <f>IF($A148="","",IF($B148="V01",cad!$C$25,IF($B148="V02",cad!$D$25,cad!$E$25)))</f>
        <v/>
      </c>
      <c r="Y148" t="str">
        <f>IF($A148="","",IF($B148="V01",cad!$C$26,IF($B148="V02",cad!$D$26,cad!$E$26)))</f>
        <v/>
      </c>
      <c r="Z148" t="str">
        <f>IF($A148="","",IF($B148="V01",cad!$C$27,IF($B148="V02",cad!$D$27,cad!$E$27)))</f>
        <v/>
      </c>
      <c r="AA148" t="str">
        <f>IF($A148="","",IF($B148="V01",cad!$C$28,IF($B148="V02",cad!$D$28,cad!$E$28)))</f>
        <v/>
      </c>
      <c r="AB148" t="str">
        <f>IF($A148="","",IF($B148="V01",cad!$C$39,IF($B148="V02",cad!$D$39,cad!$E$39)))</f>
        <v/>
      </c>
      <c r="AC148" t="str">
        <f>IF($A148="","",IF($F148="MBWAY",cad!$J$12,IF($F148="ISCOM",cad!$J$13,IF($F148="IPAC",cad!$J$14,IF($F148="PIGIER",cad!$J$15,cad!$J$16)))))</f>
        <v/>
      </c>
      <c r="AD148" t="str">
        <f t="shared" si="13"/>
        <v/>
      </c>
      <c r="AE148" t="str">
        <f t="shared" si="14"/>
        <v/>
      </c>
      <c r="AF148" t="str">
        <f t="shared" si="15"/>
        <v/>
      </c>
      <c r="AG148" t="str">
        <f t="shared" si="16"/>
        <v/>
      </c>
      <c r="AH148" t="str">
        <f t="shared" si="17"/>
        <v/>
      </c>
    </row>
    <row r="149" spans="1:34" x14ac:dyDescent="0.45">
      <c r="A149" t="str">
        <f>IF(Moteur!D149="","",Moteur!D149)</f>
        <v/>
      </c>
      <c r="B149" t="str">
        <f>IF(Moteur!B149="","",Moteur!B149)</f>
        <v/>
      </c>
      <c r="C149" t="str">
        <f>IF(Moteur!F149="","",Moteur!F149)</f>
        <v/>
      </c>
      <c r="D149" t="str">
        <f>IF(Moteur!G149="","",Moteur!G149)</f>
        <v/>
      </c>
      <c r="E149" t="str">
        <f>IF(Moteur!H149="","",Moteur!H149)</f>
        <v/>
      </c>
      <c r="F149" t="str">
        <f>IF(Moteur!E149="","",Moteur!E149)</f>
        <v/>
      </c>
      <c r="G149" t="str">
        <f>IF($A149="","",SUMIFS(Allocation2!$H$1:$H$175,Allocation2!$C$1:$C$175,$A149,Allocation2!$D$1:$D$175,$C149,Allocation2!$E$1:$E$175,$D149,Allocation2!$F$1:$F$175,$E149,Allocation2!$G$1:$G$175,"2026"))</f>
        <v/>
      </c>
      <c r="H149" t="str">
        <f>IF($A149="","",SUMIFS(Allocation2!$N$1:$N$175,Allocation2!$C$1:$C$175,$A149,Allocation2!$D$1:$D$175,$C149,Allocation2!$E$1:$E$175,$D149,Allocation2!$F$1:$F$175,$E149,Allocation2!$G$1:$G$175,"2026"))</f>
        <v/>
      </c>
      <c r="I149" t="str">
        <f>IF($A149="","",SUMIFS(Allocation2!$P$1:$P$175,Allocation2!$C$1:$C$175,$A149,Allocation2!$D$1:$D$175,$C149,Allocation2!$E$1:$E$175,$D149,Allocation2!$F$1:$F$175,$E149,Allocation2!$G$1:$G$175,"2026"))</f>
        <v/>
      </c>
      <c r="J149" t="str">
        <f>IF($A149="","",SUMIFS(Allocation2!$W$1:$W$175,Allocation2!$C$1:$C$175,$A149,Allocation2!$D$1:$D$175,$C149,Allocation2!$E$1:$E$175,$D149,Allocation2!$F$1:$F$175,$E149,Allocation2!$G$1:$G$175,"2026"))</f>
        <v/>
      </c>
      <c r="K149" t="str">
        <f>IF($A149="","",SUMIFS(Allocation2!$X$1:$X$175,Allocation2!$C$1:$C$175,$A149,Allocation2!$D$1:$D$175,$C149,Allocation2!$E$1:$E$175,$D149,Allocation2!$F$1:$F$175,$E149,Allocation2!$G$1:$G$175,"2026"))</f>
        <v/>
      </c>
      <c r="L149" t="str">
        <f>IF($A149="","",SUMIFS(Allocation2!$Y$1:$Y$175,Allocation2!$C$1:$C$175,$A149,Allocation2!$D$1:$D$175,$C149,Allocation2!$E$1:$E$175,$D149,Allocation2!$F$1:$F$175,$E149,Allocation2!$G$1:$G$175,"2026"))</f>
        <v/>
      </c>
      <c r="M149" t="str">
        <f>IF($A149="","",SUMIFS(Allocation2!$V$1:$V$175,Allocation2!$C$1:$C$175,$A149,Allocation2!$D$1:$D$175,$C149,Allocation2!$E$1:$E$175,$D149,Allocation2!$F$1:$F$175,$E149,Allocation2!$G$1:$G$175,"2026"))</f>
        <v/>
      </c>
      <c r="N149" t="str">
        <f t="shared" si="12"/>
        <v/>
      </c>
      <c r="O149" t="str">
        <f>IF($A149="","",SUMIFS(Campagne!$D$1:$D$15,Campagne!$C$1:$C$15,$A149))</f>
        <v/>
      </c>
      <c r="P149" t="str">
        <f>IF($A149="","",SUMIFS(Campagne!$E$1:$E$15,Campagne!$C$1:$C$15,$A149))</f>
        <v/>
      </c>
      <c r="Q149" t="str">
        <f>IF($A149="","",SUMIFS(Campagne!$F$1:$F$15,Campagne!$C$1:$C$15,$A149))</f>
        <v/>
      </c>
      <c r="R149" t="str">
        <f>IF($A149="","",SUMIFS(Campagne!$K$1:$K$15,Campagne!$C$1:$C$15,$A149))</f>
        <v/>
      </c>
      <c r="S149" t="str">
        <f>IF($A149="","",SUMIFS(Campagne!$M$1:$M$15,Campagne!$C$1:$C$15,$A149))</f>
        <v/>
      </c>
      <c r="T149" t="str">
        <f>IF($A149="","",SUMIFS(PIL!$K$15:$K$28,PIL!$A$15:$A$28,$A149)*SUMIFS(PIL!$J$15:$J$28,PIL!$A$15:$A$28,$A149)*(SUM(PIL!$K$15:$K$28)/SUMPRODUCT(PIL!$K$15:$K$28,PIL!$J$15:$J$28)))</f>
        <v/>
      </c>
      <c r="U149" t="str">
        <f>IF($A149="","",SUMIFS(PIL!$K$15:$K$28,PIL!$A$15:$A$28,$A149))</f>
        <v/>
      </c>
      <c r="V149" t="str">
        <f>IF($A149="","",IF($B149="V01",cad!$C$23,IF($B149="V02",cad!$D$23,cad!$E$23)))</f>
        <v/>
      </c>
      <c r="W149" t="str">
        <f>IF($A149="","",IF($B149="V01",cad!$C$24,IF($B149="V02",cad!$D$24,cad!$E$24)))</f>
        <v/>
      </c>
      <c r="X149" t="str">
        <f>IF($A149="","",IF($B149="V01",cad!$C$25,IF($B149="V02",cad!$D$25,cad!$E$25)))</f>
        <v/>
      </c>
      <c r="Y149" t="str">
        <f>IF($A149="","",IF($B149="V01",cad!$C$26,IF($B149="V02",cad!$D$26,cad!$E$26)))</f>
        <v/>
      </c>
      <c r="Z149" t="str">
        <f>IF($A149="","",IF($B149="V01",cad!$C$27,IF($B149="V02",cad!$D$27,cad!$E$27)))</f>
        <v/>
      </c>
      <c r="AA149" t="str">
        <f>IF($A149="","",IF($B149="V01",cad!$C$28,IF($B149="V02",cad!$D$28,cad!$E$28)))</f>
        <v/>
      </c>
      <c r="AB149" t="str">
        <f>IF($A149="","",IF($B149="V01",cad!$C$39,IF($B149="V02",cad!$D$39,cad!$E$39)))</f>
        <v/>
      </c>
      <c r="AC149" t="str">
        <f>IF($A149="","",IF($F149="MBWAY",cad!$J$12,IF($F149="ISCOM",cad!$J$13,IF($F149="IPAC",cad!$J$14,IF($F149="PIGIER",cad!$J$15,cad!$J$16)))))</f>
        <v/>
      </c>
      <c r="AD149" t="str">
        <f t="shared" si="13"/>
        <v/>
      </c>
      <c r="AE149" t="str">
        <f t="shared" si="14"/>
        <v/>
      </c>
      <c r="AF149" t="str">
        <f t="shared" si="15"/>
        <v/>
      </c>
      <c r="AG149" t="str">
        <f t="shared" si="16"/>
        <v/>
      </c>
      <c r="AH149" t="str">
        <f t="shared" si="17"/>
        <v/>
      </c>
    </row>
    <row r="150" spans="1:34" x14ac:dyDescent="0.45">
      <c r="A150" t="str">
        <f>IF(Moteur!D150="","",Moteur!D150)</f>
        <v/>
      </c>
      <c r="B150" t="str">
        <f>IF(Moteur!B150="","",Moteur!B150)</f>
        <v/>
      </c>
      <c r="C150" t="str">
        <f>IF(Moteur!F150="","",Moteur!F150)</f>
        <v/>
      </c>
      <c r="D150" t="str">
        <f>IF(Moteur!G150="","",Moteur!G150)</f>
        <v/>
      </c>
      <c r="E150" t="str">
        <f>IF(Moteur!H150="","",Moteur!H150)</f>
        <v/>
      </c>
      <c r="F150" t="str">
        <f>IF(Moteur!E150="","",Moteur!E150)</f>
        <v/>
      </c>
      <c r="G150" t="str">
        <f>IF($A150="","",SUMIFS(Allocation2!$H$1:$H$175,Allocation2!$C$1:$C$175,$A150,Allocation2!$D$1:$D$175,$C150,Allocation2!$E$1:$E$175,$D150,Allocation2!$F$1:$F$175,$E150,Allocation2!$G$1:$G$175,"2026"))</f>
        <v/>
      </c>
      <c r="H150" t="str">
        <f>IF($A150="","",SUMIFS(Allocation2!$N$1:$N$175,Allocation2!$C$1:$C$175,$A150,Allocation2!$D$1:$D$175,$C150,Allocation2!$E$1:$E$175,$D150,Allocation2!$F$1:$F$175,$E150,Allocation2!$G$1:$G$175,"2026"))</f>
        <v/>
      </c>
      <c r="I150" t="str">
        <f>IF($A150="","",SUMIFS(Allocation2!$P$1:$P$175,Allocation2!$C$1:$C$175,$A150,Allocation2!$D$1:$D$175,$C150,Allocation2!$E$1:$E$175,$D150,Allocation2!$F$1:$F$175,$E150,Allocation2!$G$1:$G$175,"2026"))</f>
        <v/>
      </c>
      <c r="J150" t="str">
        <f>IF($A150="","",SUMIFS(Allocation2!$W$1:$W$175,Allocation2!$C$1:$C$175,$A150,Allocation2!$D$1:$D$175,$C150,Allocation2!$E$1:$E$175,$D150,Allocation2!$F$1:$F$175,$E150,Allocation2!$G$1:$G$175,"2026"))</f>
        <v/>
      </c>
      <c r="K150" t="str">
        <f>IF($A150="","",SUMIFS(Allocation2!$X$1:$X$175,Allocation2!$C$1:$C$175,$A150,Allocation2!$D$1:$D$175,$C150,Allocation2!$E$1:$E$175,$D150,Allocation2!$F$1:$F$175,$E150,Allocation2!$G$1:$G$175,"2026"))</f>
        <v/>
      </c>
      <c r="L150" t="str">
        <f>IF($A150="","",SUMIFS(Allocation2!$Y$1:$Y$175,Allocation2!$C$1:$C$175,$A150,Allocation2!$D$1:$D$175,$C150,Allocation2!$E$1:$E$175,$D150,Allocation2!$F$1:$F$175,$E150,Allocation2!$G$1:$G$175,"2026"))</f>
        <v/>
      </c>
      <c r="M150" t="str">
        <f>IF($A150="","",SUMIFS(Allocation2!$V$1:$V$175,Allocation2!$C$1:$C$175,$A150,Allocation2!$D$1:$D$175,$C150,Allocation2!$E$1:$E$175,$D150,Allocation2!$F$1:$F$175,$E150,Allocation2!$G$1:$G$175,"2026"))</f>
        <v/>
      </c>
      <c r="N150" t="str">
        <f t="shared" si="12"/>
        <v/>
      </c>
      <c r="O150" t="str">
        <f>IF($A150="","",SUMIFS(Campagne!$D$1:$D$15,Campagne!$C$1:$C$15,$A150))</f>
        <v/>
      </c>
      <c r="P150" t="str">
        <f>IF($A150="","",SUMIFS(Campagne!$E$1:$E$15,Campagne!$C$1:$C$15,$A150))</f>
        <v/>
      </c>
      <c r="Q150" t="str">
        <f>IF($A150="","",SUMIFS(Campagne!$F$1:$F$15,Campagne!$C$1:$C$15,$A150))</f>
        <v/>
      </c>
      <c r="R150" t="str">
        <f>IF($A150="","",SUMIFS(Campagne!$K$1:$K$15,Campagne!$C$1:$C$15,$A150))</f>
        <v/>
      </c>
      <c r="S150" t="str">
        <f>IF($A150="","",SUMIFS(Campagne!$M$1:$M$15,Campagne!$C$1:$C$15,$A150))</f>
        <v/>
      </c>
      <c r="T150" t="str">
        <f>IF($A150="","",SUMIFS(PIL!$K$15:$K$28,PIL!$A$15:$A$28,$A150)*SUMIFS(PIL!$J$15:$J$28,PIL!$A$15:$A$28,$A150)*(SUM(PIL!$K$15:$K$28)/SUMPRODUCT(PIL!$K$15:$K$28,PIL!$J$15:$J$28)))</f>
        <v/>
      </c>
      <c r="U150" t="str">
        <f>IF($A150="","",SUMIFS(PIL!$K$15:$K$28,PIL!$A$15:$A$28,$A150))</f>
        <v/>
      </c>
      <c r="V150" t="str">
        <f>IF($A150="","",IF($B150="V01",cad!$C$23,IF($B150="V02",cad!$D$23,cad!$E$23)))</f>
        <v/>
      </c>
      <c r="W150" t="str">
        <f>IF($A150="","",IF($B150="V01",cad!$C$24,IF($B150="V02",cad!$D$24,cad!$E$24)))</f>
        <v/>
      </c>
      <c r="X150" t="str">
        <f>IF($A150="","",IF($B150="V01",cad!$C$25,IF($B150="V02",cad!$D$25,cad!$E$25)))</f>
        <v/>
      </c>
      <c r="Y150" t="str">
        <f>IF($A150="","",IF($B150="V01",cad!$C$26,IF($B150="V02",cad!$D$26,cad!$E$26)))</f>
        <v/>
      </c>
      <c r="Z150" t="str">
        <f>IF($A150="","",IF($B150="V01",cad!$C$27,IF($B150="V02",cad!$D$27,cad!$E$27)))</f>
        <v/>
      </c>
      <c r="AA150" t="str">
        <f>IF($A150="","",IF($B150="V01",cad!$C$28,IF($B150="V02",cad!$D$28,cad!$E$28)))</f>
        <v/>
      </c>
      <c r="AB150" t="str">
        <f>IF($A150="","",IF($B150="V01",cad!$C$39,IF($B150="V02",cad!$D$39,cad!$E$39)))</f>
        <v/>
      </c>
      <c r="AC150" t="str">
        <f>IF($A150="","",IF($F150="MBWAY",cad!$J$12,IF($F150="ISCOM",cad!$J$13,IF($F150="IPAC",cad!$J$14,IF($F150="PIGIER",cad!$J$15,cad!$J$16)))))</f>
        <v/>
      </c>
      <c r="AD150" t="str">
        <f t="shared" si="13"/>
        <v/>
      </c>
      <c r="AE150" t="str">
        <f t="shared" si="14"/>
        <v/>
      </c>
      <c r="AF150" t="str">
        <f t="shared" si="15"/>
        <v/>
      </c>
      <c r="AG150" t="str">
        <f t="shared" si="16"/>
        <v/>
      </c>
      <c r="AH150" t="str">
        <f t="shared" si="17"/>
        <v/>
      </c>
    </row>
    <row r="151" spans="1:34" x14ac:dyDescent="0.45">
      <c r="A151" t="str">
        <f>IF(Moteur!D151="","",Moteur!D151)</f>
        <v/>
      </c>
      <c r="B151" t="str">
        <f>IF(Moteur!B151="","",Moteur!B151)</f>
        <v/>
      </c>
      <c r="C151" t="str">
        <f>IF(Moteur!F151="","",Moteur!F151)</f>
        <v/>
      </c>
      <c r="D151" t="str">
        <f>IF(Moteur!G151="","",Moteur!G151)</f>
        <v/>
      </c>
      <c r="E151" t="str">
        <f>IF(Moteur!H151="","",Moteur!H151)</f>
        <v/>
      </c>
      <c r="F151" t="str">
        <f>IF(Moteur!E151="","",Moteur!E151)</f>
        <v/>
      </c>
      <c r="G151" t="str">
        <f>IF($A151="","",SUMIFS(Allocation2!$H$1:$H$175,Allocation2!$C$1:$C$175,$A151,Allocation2!$D$1:$D$175,$C151,Allocation2!$E$1:$E$175,$D151,Allocation2!$F$1:$F$175,$E151,Allocation2!$G$1:$G$175,"2026"))</f>
        <v/>
      </c>
      <c r="H151" t="str">
        <f>IF($A151="","",SUMIFS(Allocation2!$N$1:$N$175,Allocation2!$C$1:$C$175,$A151,Allocation2!$D$1:$D$175,$C151,Allocation2!$E$1:$E$175,$D151,Allocation2!$F$1:$F$175,$E151,Allocation2!$G$1:$G$175,"2026"))</f>
        <v/>
      </c>
      <c r="I151" t="str">
        <f>IF($A151="","",SUMIFS(Allocation2!$P$1:$P$175,Allocation2!$C$1:$C$175,$A151,Allocation2!$D$1:$D$175,$C151,Allocation2!$E$1:$E$175,$D151,Allocation2!$F$1:$F$175,$E151,Allocation2!$G$1:$G$175,"2026"))</f>
        <v/>
      </c>
      <c r="J151" t="str">
        <f>IF($A151="","",SUMIFS(Allocation2!$W$1:$W$175,Allocation2!$C$1:$C$175,$A151,Allocation2!$D$1:$D$175,$C151,Allocation2!$E$1:$E$175,$D151,Allocation2!$F$1:$F$175,$E151,Allocation2!$G$1:$G$175,"2026"))</f>
        <v/>
      </c>
      <c r="K151" t="str">
        <f>IF($A151="","",SUMIFS(Allocation2!$X$1:$X$175,Allocation2!$C$1:$C$175,$A151,Allocation2!$D$1:$D$175,$C151,Allocation2!$E$1:$E$175,$D151,Allocation2!$F$1:$F$175,$E151,Allocation2!$G$1:$G$175,"2026"))</f>
        <v/>
      </c>
      <c r="L151" t="str">
        <f>IF($A151="","",SUMIFS(Allocation2!$Y$1:$Y$175,Allocation2!$C$1:$C$175,$A151,Allocation2!$D$1:$D$175,$C151,Allocation2!$E$1:$E$175,$D151,Allocation2!$F$1:$F$175,$E151,Allocation2!$G$1:$G$175,"2026"))</f>
        <v/>
      </c>
      <c r="M151" t="str">
        <f>IF($A151="","",SUMIFS(Allocation2!$V$1:$V$175,Allocation2!$C$1:$C$175,$A151,Allocation2!$D$1:$D$175,$C151,Allocation2!$E$1:$E$175,$D151,Allocation2!$F$1:$F$175,$E151,Allocation2!$G$1:$G$175,"2026"))</f>
        <v/>
      </c>
      <c r="N151" t="str">
        <f t="shared" si="12"/>
        <v/>
      </c>
      <c r="O151" t="str">
        <f>IF($A151="","",SUMIFS(Campagne!$D$1:$D$15,Campagne!$C$1:$C$15,$A151))</f>
        <v/>
      </c>
      <c r="P151" t="str">
        <f>IF($A151="","",SUMIFS(Campagne!$E$1:$E$15,Campagne!$C$1:$C$15,$A151))</f>
        <v/>
      </c>
      <c r="Q151" t="str">
        <f>IF($A151="","",SUMIFS(Campagne!$F$1:$F$15,Campagne!$C$1:$C$15,$A151))</f>
        <v/>
      </c>
      <c r="R151" t="str">
        <f>IF($A151="","",SUMIFS(Campagne!$K$1:$K$15,Campagne!$C$1:$C$15,$A151))</f>
        <v/>
      </c>
      <c r="S151" t="str">
        <f>IF($A151="","",SUMIFS(Campagne!$M$1:$M$15,Campagne!$C$1:$C$15,$A151))</f>
        <v/>
      </c>
      <c r="T151" t="str">
        <f>IF($A151="","",SUMIFS(PIL!$K$15:$K$28,PIL!$A$15:$A$28,$A151)*SUMIFS(PIL!$J$15:$J$28,PIL!$A$15:$A$28,$A151)*(SUM(PIL!$K$15:$K$28)/SUMPRODUCT(PIL!$K$15:$K$28,PIL!$J$15:$J$28)))</f>
        <v/>
      </c>
      <c r="U151" t="str">
        <f>IF($A151="","",SUMIFS(PIL!$K$15:$K$28,PIL!$A$15:$A$28,$A151))</f>
        <v/>
      </c>
      <c r="V151" t="str">
        <f>IF($A151="","",IF($B151="V01",cad!$C$23,IF($B151="V02",cad!$D$23,cad!$E$23)))</f>
        <v/>
      </c>
      <c r="W151" t="str">
        <f>IF($A151="","",IF($B151="V01",cad!$C$24,IF($B151="V02",cad!$D$24,cad!$E$24)))</f>
        <v/>
      </c>
      <c r="X151" t="str">
        <f>IF($A151="","",IF($B151="V01",cad!$C$25,IF($B151="V02",cad!$D$25,cad!$E$25)))</f>
        <v/>
      </c>
      <c r="Y151" t="str">
        <f>IF($A151="","",IF($B151="V01",cad!$C$26,IF($B151="V02",cad!$D$26,cad!$E$26)))</f>
        <v/>
      </c>
      <c r="Z151" t="str">
        <f>IF($A151="","",IF($B151="V01",cad!$C$27,IF($B151="V02",cad!$D$27,cad!$E$27)))</f>
        <v/>
      </c>
      <c r="AA151" t="str">
        <f>IF($A151="","",IF($B151="V01",cad!$C$28,IF($B151="V02",cad!$D$28,cad!$E$28)))</f>
        <v/>
      </c>
      <c r="AB151" t="str">
        <f>IF($A151="","",IF($B151="V01",cad!$C$39,IF($B151="V02",cad!$D$39,cad!$E$39)))</f>
        <v/>
      </c>
      <c r="AC151" t="str">
        <f>IF($A151="","",IF($F151="MBWAY",cad!$J$12,IF($F151="ISCOM",cad!$J$13,IF($F151="IPAC",cad!$J$14,IF($F151="PIGIER",cad!$J$15,cad!$J$16)))))</f>
        <v/>
      </c>
      <c r="AD151" t="str">
        <f t="shared" si="13"/>
        <v/>
      </c>
      <c r="AE151" t="str">
        <f t="shared" si="14"/>
        <v/>
      </c>
      <c r="AF151" t="str">
        <f t="shared" si="15"/>
        <v/>
      </c>
      <c r="AG151" t="str">
        <f t="shared" si="16"/>
        <v/>
      </c>
      <c r="AH151" t="str">
        <f t="shared" si="17"/>
        <v/>
      </c>
    </row>
    <row r="152" spans="1:34" x14ac:dyDescent="0.45">
      <c r="A152" t="str">
        <f>IF(Moteur!D152="","",Moteur!D152)</f>
        <v/>
      </c>
      <c r="B152" t="str">
        <f>IF(Moteur!B152="","",Moteur!B152)</f>
        <v/>
      </c>
      <c r="C152" t="str">
        <f>IF(Moteur!F152="","",Moteur!F152)</f>
        <v/>
      </c>
      <c r="D152" t="str">
        <f>IF(Moteur!G152="","",Moteur!G152)</f>
        <v/>
      </c>
      <c r="E152" t="str">
        <f>IF(Moteur!H152="","",Moteur!H152)</f>
        <v/>
      </c>
      <c r="F152" t="str">
        <f>IF(Moteur!E152="","",Moteur!E152)</f>
        <v/>
      </c>
      <c r="G152" t="str">
        <f>IF($A152="","",SUMIFS(Allocation2!$H$1:$H$175,Allocation2!$C$1:$C$175,$A152,Allocation2!$D$1:$D$175,$C152,Allocation2!$E$1:$E$175,$D152,Allocation2!$F$1:$F$175,$E152,Allocation2!$G$1:$G$175,"2026"))</f>
        <v/>
      </c>
      <c r="H152" t="str">
        <f>IF($A152="","",SUMIFS(Allocation2!$N$1:$N$175,Allocation2!$C$1:$C$175,$A152,Allocation2!$D$1:$D$175,$C152,Allocation2!$E$1:$E$175,$D152,Allocation2!$F$1:$F$175,$E152,Allocation2!$G$1:$G$175,"2026"))</f>
        <v/>
      </c>
      <c r="I152" t="str">
        <f>IF($A152="","",SUMIFS(Allocation2!$P$1:$P$175,Allocation2!$C$1:$C$175,$A152,Allocation2!$D$1:$D$175,$C152,Allocation2!$E$1:$E$175,$D152,Allocation2!$F$1:$F$175,$E152,Allocation2!$G$1:$G$175,"2026"))</f>
        <v/>
      </c>
      <c r="J152" t="str">
        <f>IF($A152="","",SUMIFS(Allocation2!$W$1:$W$175,Allocation2!$C$1:$C$175,$A152,Allocation2!$D$1:$D$175,$C152,Allocation2!$E$1:$E$175,$D152,Allocation2!$F$1:$F$175,$E152,Allocation2!$G$1:$G$175,"2026"))</f>
        <v/>
      </c>
      <c r="K152" t="str">
        <f>IF($A152="","",SUMIFS(Allocation2!$X$1:$X$175,Allocation2!$C$1:$C$175,$A152,Allocation2!$D$1:$D$175,$C152,Allocation2!$E$1:$E$175,$D152,Allocation2!$F$1:$F$175,$E152,Allocation2!$G$1:$G$175,"2026"))</f>
        <v/>
      </c>
      <c r="L152" t="str">
        <f>IF($A152="","",SUMIFS(Allocation2!$Y$1:$Y$175,Allocation2!$C$1:$C$175,$A152,Allocation2!$D$1:$D$175,$C152,Allocation2!$E$1:$E$175,$D152,Allocation2!$F$1:$F$175,$E152,Allocation2!$G$1:$G$175,"2026"))</f>
        <v/>
      </c>
      <c r="M152" t="str">
        <f>IF($A152="","",SUMIFS(Allocation2!$V$1:$V$175,Allocation2!$C$1:$C$175,$A152,Allocation2!$D$1:$D$175,$C152,Allocation2!$E$1:$E$175,$D152,Allocation2!$F$1:$F$175,$E152,Allocation2!$G$1:$G$175,"2026"))</f>
        <v/>
      </c>
      <c r="N152" t="str">
        <f t="shared" si="12"/>
        <v/>
      </c>
      <c r="O152" t="str">
        <f>IF($A152="","",SUMIFS(Campagne!$D$1:$D$15,Campagne!$C$1:$C$15,$A152))</f>
        <v/>
      </c>
      <c r="P152" t="str">
        <f>IF($A152="","",SUMIFS(Campagne!$E$1:$E$15,Campagne!$C$1:$C$15,$A152))</f>
        <v/>
      </c>
      <c r="Q152" t="str">
        <f>IF($A152="","",SUMIFS(Campagne!$F$1:$F$15,Campagne!$C$1:$C$15,$A152))</f>
        <v/>
      </c>
      <c r="R152" t="str">
        <f>IF($A152="","",SUMIFS(Campagne!$K$1:$K$15,Campagne!$C$1:$C$15,$A152))</f>
        <v/>
      </c>
      <c r="S152" t="str">
        <f>IF($A152="","",SUMIFS(Campagne!$M$1:$M$15,Campagne!$C$1:$C$15,$A152))</f>
        <v/>
      </c>
      <c r="T152" t="str">
        <f>IF($A152="","",SUMIFS(PIL!$K$15:$K$28,PIL!$A$15:$A$28,$A152)*SUMIFS(PIL!$J$15:$J$28,PIL!$A$15:$A$28,$A152)*(SUM(PIL!$K$15:$K$28)/SUMPRODUCT(PIL!$K$15:$K$28,PIL!$J$15:$J$28)))</f>
        <v/>
      </c>
      <c r="U152" t="str">
        <f>IF($A152="","",SUMIFS(PIL!$K$15:$K$28,PIL!$A$15:$A$28,$A152))</f>
        <v/>
      </c>
      <c r="V152" t="str">
        <f>IF($A152="","",IF($B152="V01",cad!$C$23,IF($B152="V02",cad!$D$23,cad!$E$23)))</f>
        <v/>
      </c>
      <c r="W152" t="str">
        <f>IF($A152="","",IF($B152="V01",cad!$C$24,IF($B152="V02",cad!$D$24,cad!$E$24)))</f>
        <v/>
      </c>
      <c r="X152" t="str">
        <f>IF($A152="","",IF($B152="V01",cad!$C$25,IF($B152="V02",cad!$D$25,cad!$E$25)))</f>
        <v/>
      </c>
      <c r="Y152" t="str">
        <f>IF($A152="","",IF($B152="V01",cad!$C$26,IF($B152="V02",cad!$D$26,cad!$E$26)))</f>
        <v/>
      </c>
      <c r="Z152" t="str">
        <f>IF($A152="","",IF($B152="V01",cad!$C$27,IF($B152="V02",cad!$D$27,cad!$E$27)))</f>
        <v/>
      </c>
      <c r="AA152" t="str">
        <f>IF($A152="","",IF($B152="V01",cad!$C$28,IF($B152="V02",cad!$D$28,cad!$E$28)))</f>
        <v/>
      </c>
      <c r="AB152" t="str">
        <f>IF($A152="","",IF($B152="V01",cad!$C$39,IF($B152="V02",cad!$D$39,cad!$E$39)))</f>
        <v/>
      </c>
      <c r="AC152" t="str">
        <f>IF($A152="","",IF($F152="MBWAY",cad!$J$12,IF($F152="ISCOM",cad!$J$13,IF($F152="IPAC",cad!$J$14,IF($F152="PIGIER",cad!$J$15,cad!$J$16)))))</f>
        <v/>
      </c>
      <c r="AD152" t="str">
        <f t="shared" si="13"/>
        <v/>
      </c>
      <c r="AE152" t="str">
        <f t="shared" si="14"/>
        <v/>
      </c>
      <c r="AF152" t="str">
        <f t="shared" si="15"/>
        <v/>
      </c>
      <c r="AG152" t="str">
        <f t="shared" si="16"/>
        <v/>
      </c>
      <c r="AH152" t="str">
        <f t="shared" si="17"/>
        <v/>
      </c>
    </row>
    <row r="153" spans="1:34" x14ac:dyDescent="0.45">
      <c r="A153" t="str">
        <f>IF(Moteur!D153="","",Moteur!D153)</f>
        <v/>
      </c>
      <c r="B153" t="str">
        <f>IF(Moteur!B153="","",Moteur!B153)</f>
        <v/>
      </c>
      <c r="C153" t="str">
        <f>IF(Moteur!F153="","",Moteur!F153)</f>
        <v/>
      </c>
      <c r="D153" t="str">
        <f>IF(Moteur!G153="","",Moteur!G153)</f>
        <v/>
      </c>
      <c r="E153" t="str">
        <f>IF(Moteur!H153="","",Moteur!H153)</f>
        <v/>
      </c>
      <c r="F153" t="str">
        <f>IF(Moteur!E153="","",Moteur!E153)</f>
        <v/>
      </c>
      <c r="G153" t="str">
        <f>IF($A153="","",SUMIFS(Allocation2!$H$1:$H$175,Allocation2!$C$1:$C$175,$A153,Allocation2!$D$1:$D$175,$C153,Allocation2!$E$1:$E$175,$D153,Allocation2!$F$1:$F$175,$E153,Allocation2!$G$1:$G$175,"2026"))</f>
        <v/>
      </c>
      <c r="H153" t="str">
        <f>IF($A153="","",SUMIFS(Allocation2!$N$1:$N$175,Allocation2!$C$1:$C$175,$A153,Allocation2!$D$1:$D$175,$C153,Allocation2!$E$1:$E$175,$D153,Allocation2!$F$1:$F$175,$E153,Allocation2!$G$1:$G$175,"2026"))</f>
        <v/>
      </c>
      <c r="I153" t="str">
        <f>IF($A153="","",SUMIFS(Allocation2!$P$1:$P$175,Allocation2!$C$1:$C$175,$A153,Allocation2!$D$1:$D$175,$C153,Allocation2!$E$1:$E$175,$D153,Allocation2!$F$1:$F$175,$E153,Allocation2!$G$1:$G$175,"2026"))</f>
        <v/>
      </c>
      <c r="J153" t="str">
        <f>IF($A153="","",SUMIFS(Allocation2!$W$1:$W$175,Allocation2!$C$1:$C$175,$A153,Allocation2!$D$1:$D$175,$C153,Allocation2!$E$1:$E$175,$D153,Allocation2!$F$1:$F$175,$E153,Allocation2!$G$1:$G$175,"2026"))</f>
        <v/>
      </c>
      <c r="K153" t="str">
        <f>IF($A153="","",SUMIFS(Allocation2!$X$1:$X$175,Allocation2!$C$1:$C$175,$A153,Allocation2!$D$1:$D$175,$C153,Allocation2!$E$1:$E$175,$D153,Allocation2!$F$1:$F$175,$E153,Allocation2!$G$1:$G$175,"2026"))</f>
        <v/>
      </c>
      <c r="L153" t="str">
        <f>IF($A153="","",SUMIFS(Allocation2!$Y$1:$Y$175,Allocation2!$C$1:$C$175,$A153,Allocation2!$D$1:$D$175,$C153,Allocation2!$E$1:$E$175,$D153,Allocation2!$F$1:$F$175,$E153,Allocation2!$G$1:$G$175,"2026"))</f>
        <v/>
      </c>
      <c r="M153" t="str">
        <f>IF($A153="","",SUMIFS(Allocation2!$V$1:$V$175,Allocation2!$C$1:$C$175,$A153,Allocation2!$D$1:$D$175,$C153,Allocation2!$E$1:$E$175,$D153,Allocation2!$F$1:$F$175,$E153,Allocation2!$G$1:$G$175,"2026"))</f>
        <v/>
      </c>
      <c r="N153" t="str">
        <f t="shared" si="12"/>
        <v/>
      </c>
      <c r="O153" t="str">
        <f>IF($A153="","",SUMIFS(Campagne!$D$1:$D$15,Campagne!$C$1:$C$15,$A153))</f>
        <v/>
      </c>
      <c r="P153" t="str">
        <f>IF($A153="","",SUMIFS(Campagne!$E$1:$E$15,Campagne!$C$1:$C$15,$A153))</f>
        <v/>
      </c>
      <c r="Q153" t="str">
        <f>IF($A153="","",SUMIFS(Campagne!$F$1:$F$15,Campagne!$C$1:$C$15,$A153))</f>
        <v/>
      </c>
      <c r="R153" t="str">
        <f>IF($A153="","",SUMIFS(Campagne!$K$1:$K$15,Campagne!$C$1:$C$15,$A153))</f>
        <v/>
      </c>
      <c r="S153" t="str">
        <f>IF($A153="","",SUMIFS(Campagne!$M$1:$M$15,Campagne!$C$1:$C$15,$A153))</f>
        <v/>
      </c>
      <c r="T153" t="str">
        <f>IF($A153="","",SUMIFS(PIL!$K$15:$K$28,PIL!$A$15:$A$28,$A153)*SUMIFS(PIL!$J$15:$J$28,PIL!$A$15:$A$28,$A153)*(SUM(PIL!$K$15:$K$28)/SUMPRODUCT(PIL!$K$15:$K$28,PIL!$J$15:$J$28)))</f>
        <v/>
      </c>
      <c r="U153" t="str">
        <f>IF($A153="","",SUMIFS(PIL!$K$15:$K$28,PIL!$A$15:$A$28,$A153))</f>
        <v/>
      </c>
      <c r="V153" t="str">
        <f>IF($A153="","",IF($B153="V01",cad!$C$23,IF($B153="V02",cad!$D$23,cad!$E$23)))</f>
        <v/>
      </c>
      <c r="W153" t="str">
        <f>IF($A153="","",IF($B153="V01",cad!$C$24,IF($B153="V02",cad!$D$24,cad!$E$24)))</f>
        <v/>
      </c>
      <c r="X153" t="str">
        <f>IF($A153="","",IF($B153="V01",cad!$C$25,IF($B153="V02",cad!$D$25,cad!$E$25)))</f>
        <v/>
      </c>
      <c r="Y153" t="str">
        <f>IF($A153="","",IF($B153="V01",cad!$C$26,IF($B153="V02",cad!$D$26,cad!$E$26)))</f>
        <v/>
      </c>
      <c r="Z153" t="str">
        <f>IF($A153="","",IF($B153="V01",cad!$C$27,IF($B153="V02",cad!$D$27,cad!$E$27)))</f>
        <v/>
      </c>
      <c r="AA153" t="str">
        <f>IF($A153="","",IF($B153="V01",cad!$C$28,IF($B153="V02",cad!$D$28,cad!$E$28)))</f>
        <v/>
      </c>
      <c r="AB153" t="str">
        <f>IF($A153="","",IF($B153="V01",cad!$C$39,IF($B153="V02",cad!$D$39,cad!$E$39)))</f>
        <v/>
      </c>
      <c r="AC153" t="str">
        <f>IF($A153="","",IF($F153="MBWAY",cad!$J$12,IF($F153="ISCOM",cad!$J$13,IF($F153="IPAC",cad!$J$14,IF($F153="PIGIER",cad!$J$15,cad!$J$16)))))</f>
        <v/>
      </c>
      <c r="AD153" t="str">
        <f t="shared" si="13"/>
        <v/>
      </c>
      <c r="AE153" t="str">
        <f t="shared" si="14"/>
        <v/>
      </c>
      <c r="AF153" t="str">
        <f t="shared" si="15"/>
        <v/>
      </c>
      <c r="AG153" t="str">
        <f t="shared" si="16"/>
        <v/>
      </c>
      <c r="AH153" t="str">
        <f t="shared" si="17"/>
        <v/>
      </c>
    </row>
    <row r="154" spans="1:34" x14ac:dyDescent="0.45">
      <c r="A154" t="str">
        <f>IF(Moteur!D154="","",Moteur!D154)</f>
        <v/>
      </c>
      <c r="B154" t="str">
        <f>IF(Moteur!B154="","",Moteur!B154)</f>
        <v/>
      </c>
      <c r="C154" t="str">
        <f>IF(Moteur!F154="","",Moteur!F154)</f>
        <v/>
      </c>
      <c r="D154" t="str">
        <f>IF(Moteur!G154="","",Moteur!G154)</f>
        <v/>
      </c>
      <c r="E154" t="str">
        <f>IF(Moteur!H154="","",Moteur!H154)</f>
        <v/>
      </c>
      <c r="F154" t="str">
        <f>IF(Moteur!E154="","",Moteur!E154)</f>
        <v/>
      </c>
      <c r="G154" t="str">
        <f>IF($A154="","",SUMIFS(Allocation2!$H$1:$H$175,Allocation2!$C$1:$C$175,$A154,Allocation2!$D$1:$D$175,$C154,Allocation2!$E$1:$E$175,$D154,Allocation2!$F$1:$F$175,$E154,Allocation2!$G$1:$G$175,"2026"))</f>
        <v/>
      </c>
      <c r="H154" t="str">
        <f>IF($A154="","",SUMIFS(Allocation2!$N$1:$N$175,Allocation2!$C$1:$C$175,$A154,Allocation2!$D$1:$D$175,$C154,Allocation2!$E$1:$E$175,$D154,Allocation2!$F$1:$F$175,$E154,Allocation2!$G$1:$G$175,"2026"))</f>
        <v/>
      </c>
      <c r="I154" t="str">
        <f>IF($A154="","",SUMIFS(Allocation2!$P$1:$P$175,Allocation2!$C$1:$C$175,$A154,Allocation2!$D$1:$D$175,$C154,Allocation2!$E$1:$E$175,$D154,Allocation2!$F$1:$F$175,$E154,Allocation2!$G$1:$G$175,"2026"))</f>
        <v/>
      </c>
      <c r="J154" t="str">
        <f>IF($A154="","",SUMIFS(Allocation2!$W$1:$W$175,Allocation2!$C$1:$C$175,$A154,Allocation2!$D$1:$D$175,$C154,Allocation2!$E$1:$E$175,$D154,Allocation2!$F$1:$F$175,$E154,Allocation2!$G$1:$G$175,"2026"))</f>
        <v/>
      </c>
      <c r="K154" t="str">
        <f>IF($A154="","",SUMIFS(Allocation2!$X$1:$X$175,Allocation2!$C$1:$C$175,$A154,Allocation2!$D$1:$D$175,$C154,Allocation2!$E$1:$E$175,$D154,Allocation2!$F$1:$F$175,$E154,Allocation2!$G$1:$G$175,"2026"))</f>
        <v/>
      </c>
      <c r="L154" t="str">
        <f>IF($A154="","",SUMIFS(Allocation2!$Y$1:$Y$175,Allocation2!$C$1:$C$175,$A154,Allocation2!$D$1:$D$175,$C154,Allocation2!$E$1:$E$175,$D154,Allocation2!$F$1:$F$175,$E154,Allocation2!$G$1:$G$175,"2026"))</f>
        <v/>
      </c>
      <c r="M154" t="str">
        <f>IF($A154="","",SUMIFS(Allocation2!$V$1:$V$175,Allocation2!$C$1:$C$175,$A154,Allocation2!$D$1:$D$175,$C154,Allocation2!$E$1:$E$175,$D154,Allocation2!$F$1:$F$175,$E154,Allocation2!$G$1:$G$175,"2026"))</f>
        <v/>
      </c>
      <c r="N154" t="str">
        <f t="shared" si="12"/>
        <v/>
      </c>
      <c r="O154" t="str">
        <f>IF($A154="","",SUMIFS(Campagne!$D$1:$D$15,Campagne!$C$1:$C$15,$A154))</f>
        <v/>
      </c>
      <c r="P154" t="str">
        <f>IF($A154="","",SUMIFS(Campagne!$E$1:$E$15,Campagne!$C$1:$C$15,$A154))</f>
        <v/>
      </c>
      <c r="Q154" t="str">
        <f>IF($A154="","",SUMIFS(Campagne!$F$1:$F$15,Campagne!$C$1:$C$15,$A154))</f>
        <v/>
      </c>
      <c r="R154" t="str">
        <f>IF($A154="","",SUMIFS(Campagne!$K$1:$K$15,Campagne!$C$1:$C$15,$A154))</f>
        <v/>
      </c>
      <c r="S154" t="str">
        <f>IF($A154="","",SUMIFS(Campagne!$M$1:$M$15,Campagne!$C$1:$C$15,$A154))</f>
        <v/>
      </c>
      <c r="T154" t="str">
        <f>IF($A154="","",SUMIFS(PIL!$K$15:$K$28,PIL!$A$15:$A$28,$A154)*SUMIFS(PIL!$J$15:$J$28,PIL!$A$15:$A$28,$A154)*(SUM(PIL!$K$15:$K$28)/SUMPRODUCT(PIL!$K$15:$K$28,PIL!$J$15:$J$28)))</f>
        <v/>
      </c>
      <c r="U154" t="str">
        <f>IF($A154="","",SUMIFS(PIL!$K$15:$K$28,PIL!$A$15:$A$28,$A154))</f>
        <v/>
      </c>
      <c r="V154" t="str">
        <f>IF($A154="","",IF($B154="V01",cad!$C$23,IF($B154="V02",cad!$D$23,cad!$E$23)))</f>
        <v/>
      </c>
      <c r="W154" t="str">
        <f>IF($A154="","",IF($B154="V01",cad!$C$24,IF($B154="V02",cad!$D$24,cad!$E$24)))</f>
        <v/>
      </c>
      <c r="X154" t="str">
        <f>IF($A154="","",IF($B154="V01",cad!$C$25,IF($B154="V02",cad!$D$25,cad!$E$25)))</f>
        <v/>
      </c>
      <c r="Y154" t="str">
        <f>IF($A154="","",IF($B154="V01",cad!$C$26,IF($B154="V02",cad!$D$26,cad!$E$26)))</f>
        <v/>
      </c>
      <c r="Z154" t="str">
        <f>IF($A154="","",IF($B154="V01",cad!$C$27,IF($B154="V02",cad!$D$27,cad!$E$27)))</f>
        <v/>
      </c>
      <c r="AA154" t="str">
        <f>IF($A154="","",IF($B154="V01",cad!$C$28,IF($B154="V02",cad!$D$28,cad!$E$28)))</f>
        <v/>
      </c>
      <c r="AB154" t="str">
        <f>IF($A154="","",IF($B154="V01",cad!$C$39,IF($B154="V02",cad!$D$39,cad!$E$39)))</f>
        <v/>
      </c>
      <c r="AC154" t="str">
        <f>IF($A154="","",IF($F154="MBWAY",cad!$J$12,IF($F154="ISCOM",cad!$J$13,IF($F154="IPAC",cad!$J$14,IF($F154="PIGIER",cad!$J$15,cad!$J$16)))))</f>
        <v/>
      </c>
      <c r="AD154" t="str">
        <f t="shared" si="13"/>
        <v/>
      </c>
      <c r="AE154" t="str">
        <f t="shared" si="14"/>
        <v/>
      </c>
      <c r="AF154" t="str">
        <f t="shared" si="15"/>
        <v/>
      </c>
      <c r="AG154" t="str">
        <f t="shared" si="16"/>
        <v/>
      </c>
      <c r="AH154" t="str">
        <f t="shared" si="17"/>
        <v/>
      </c>
    </row>
    <row r="155" spans="1:34" x14ac:dyDescent="0.45">
      <c r="A155" t="str">
        <f>IF(Moteur!D155="","",Moteur!D155)</f>
        <v/>
      </c>
      <c r="B155" t="str">
        <f>IF(Moteur!B155="","",Moteur!B155)</f>
        <v/>
      </c>
      <c r="C155" t="str">
        <f>IF(Moteur!F155="","",Moteur!F155)</f>
        <v/>
      </c>
      <c r="D155" t="str">
        <f>IF(Moteur!G155="","",Moteur!G155)</f>
        <v/>
      </c>
      <c r="E155" t="str">
        <f>IF(Moteur!H155="","",Moteur!H155)</f>
        <v/>
      </c>
      <c r="F155" t="str">
        <f>IF(Moteur!E155="","",Moteur!E155)</f>
        <v/>
      </c>
      <c r="G155" t="str">
        <f>IF($A155="","",SUMIFS(Allocation2!$H$1:$H$175,Allocation2!$C$1:$C$175,$A155,Allocation2!$D$1:$D$175,$C155,Allocation2!$E$1:$E$175,$D155,Allocation2!$F$1:$F$175,$E155,Allocation2!$G$1:$G$175,"2026"))</f>
        <v/>
      </c>
      <c r="H155" t="str">
        <f>IF($A155="","",SUMIFS(Allocation2!$N$1:$N$175,Allocation2!$C$1:$C$175,$A155,Allocation2!$D$1:$D$175,$C155,Allocation2!$E$1:$E$175,$D155,Allocation2!$F$1:$F$175,$E155,Allocation2!$G$1:$G$175,"2026"))</f>
        <v/>
      </c>
      <c r="I155" t="str">
        <f>IF($A155="","",SUMIFS(Allocation2!$P$1:$P$175,Allocation2!$C$1:$C$175,$A155,Allocation2!$D$1:$D$175,$C155,Allocation2!$E$1:$E$175,$D155,Allocation2!$F$1:$F$175,$E155,Allocation2!$G$1:$G$175,"2026"))</f>
        <v/>
      </c>
      <c r="J155" t="str">
        <f>IF($A155="","",SUMIFS(Allocation2!$W$1:$W$175,Allocation2!$C$1:$C$175,$A155,Allocation2!$D$1:$D$175,$C155,Allocation2!$E$1:$E$175,$D155,Allocation2!$F$1:$F$175,$E155,Allocation2!$G$1:$G$175,"2026"))</f>
        <v/>
      </c>
      <c r="K155" t="str">
        <f>IF($A155="","",SUMIFS(Allocation2!$X$1:$X$175,Allocation2!$C$1:$C$175,$A155,Allocation2!$D$1:$D$175,$C155,Allocation2!$E$1:$E$175,$D155,Allocation2!$F$1:$F$175,$E155,Allocation2!$G$1:$G$175,"2026"))</f>
        <v/>
      </c>
      <c r="L155" t="str">
        <f>IF($A155="","",SUMIFS(Allocation2!$Y$1:$Y$175,Allocation2!$C$1:$C$175,$A155,Allocation2!$D$1:$D$175,$C155,Allocation2!$E$1:$E$175,$D155,Allocation2!$F$1:$F$175,$E155,Allocation2!$G$1:$G$175,"2026"))</f>
        <v/>
      </c>
      <c r="M155" t="str">
        <f>IF($A155="","",SUMIFS(Allocation2!$V$1:$V$175,Allocation2!$C$1:$C$175,$A155,Allocation2!$D$1:$D$175,$C155,Allocation2!$E$1:$E$175,$D155,Allocation2!$F$1:$F$175,$E155,Allocation2!$G$1:$G$175,"2026"))</f>
        <v/>
      </c>
      <c r="N155" t="str">
        <f t="shared" si="12"/>
        <v/>
      </c>
      <c r="O155" t="str">
        <f>IF($A155="","",SUMIFS(Campagne!$D$1:$D$15,Campagne!$C$1:$C$15,$A155))</f>
        <v/>
      </c>
      <c r="P155" t="str">
        <f>IF($A155="","",SUMIFS(Campagne!$E$1:$E$15,Campagne!$C$1:$C$15,$A155))</f>
        <v/>
      </c>
      <c r="Q155" t="str">
        <f>IF($A155="","",SUMIFS(Campagne!$F$1:$F$15,Campagne!$C$1:$C$15,$A155))</f>
        <v/>
      </c>
      <c r="R155" t="str">
        <f>IF($A155="","",SUMIFS(Campagne!$K$1:$K$15,Campagne!$C$1:$C$15,$A155))</f>
        <v/>
      </c>
      <c r="S155" t="str">
        <f>IF($A155="","",SUMIFS(Campagne!$M$1:$M$15,Campagne!$C$1:$C$15,$A155))</f>
        <v/>
      </c>
      <c r="T155" t="str">
        <f>IF($A155="","",SUMIFS(PIL!$K$15:$K$28,PIL!$A$15:$A$28,$A155)*SUMIFS(PIL!$J$15:$J$28,PIL!$A$15:$A$28,$A155)*(SUM(PIL!$K$15:$K$28)/SUMPRODUCT(PIL!$K$15:$K$28,PIL!$J$15:$J$28)))</f>
        <v/>
      </c>
      <c r="U155" t="str">
        <f>IF($A155="","",SUMIFS(PIL!$K$15:$K$28,PIL!$A$15:$A$28,$A155))</f>
        <v/>
      </c>
      <c r="V155" t="str">
        <f>IF($A155="","",IF($B155="V01",cad!$C$23,IF($B155="V02",cad!$D$23,cad!$E$23)))</f>
        <v/>
      </c>
      <c r="W155" t="str">
        <f>IF($A155="","",IF($B155="V01",cad!$C$24,IF($B155="V02",cad!$D$24,cad!$E$24)))</f>
        <v/>
      </c>
      <c r="X155" t="str">
        <f>IF($A155="","",IF($B155="V01",cad!$C$25,IF($B155="V02",cad!$D$25,cad!$E$25)))</f>
        <v/>
      </c>
      <c r="Y155" t="str">
        <f>IF($A155="","",IF($B155="V01",cad!$C$26,IF($B155="V02",cad!$D$26,cad!$E$26)))</f>
        <v/>
      </c>
      <c r="Z155" t="str">
        <f>IF($A155="","",IF($B155="V01",cad!$C$27,IF($B155="V02",cad!$D$27,cad!$E$27)))</f>
        <v/>
      </c>
      <c r="AA155" t="str">
        <f>IF($A155="","",IF($B155="V01",cad!$C$28,IF($B155="V02",cad!$D$28,cad!$E$28)))</f>
        <v/>
      </c>
      <c r="AB155" t="str">
        <f>IF($A155="","",IF($B155="V01",cad!$C$39,IF($B155="V02",cad!$D$39,cad!$E$39)))</f>
        <v/>
      </c>
      <c r="AC155" t="str">
        <f>IF($A155="","",IF($F155="MBWAY",cad!$J$12,IF($F155="ISCOM",cad!$J$13,IF($F155="IPAC",cad!$J$14,IF($F155="PIGIER",cad!$J$15,cad!$J$16)))))</f>
        <v/>
      </c>
      <c r="AD155" t="str">
        <f t="shared" si="13"/>
        <v/>
      </c>
      <c r="AE155" t="str">
        <f t="shared" si="14"/>
        <v/>
      </c>
      <c r="AF155" t="str">
        <f t="shared" si="15"/>
        <v/>
      </c>
      <c r="AG155" t="str">
        <f t="shared" si="16"/>
        <v/>
      </c>
      <c r="AH155" t="str">
        <f t="shared" si="17"/>
        <v/>
      </c>
    </row>
    <row r="156" spans="1:34" x14ac:dyDescent="0.45">
      <c r="A156" t="str">
        <f>IF(Moteur!D156="","",Moteur!D156)</f>
        <v/>
      </c>
      <c r="B156" t="str">
        <f>IF(Moteur!B156="","",Moteur!B156)</f>
        <v/>
      </c>
      <c r="C156" t="str">
        <f>IF(Moteur!F156="","",Moteur!F156)</f>
        <v/>
      </c>
      <c r="D156" t="str">
        <f>IF(Moteur!G156="","",Moteur!G156)</f>
        <v/>
      </c>
      <c r="E156" t="str">
        <f>IF(Moteur!H156="","",Moteur!H156)</f>
        <v/>
      </c>
      <c r="F156" t="str">
        <f>IF(Moteur!E156="","",Moteur!E156)</f>
        <v/>
      </c>
      <c r="G156" t="str">
        <f>IF($A156="","",SUMIFS(Allocation2!$H$1:$H$175,Allocation2!$C$1:$C$175,$A156,Allocation2!$D$1:$D$175,$C156,Allocation2!$E$1:$E$175,$D156,Allocation2!$F$1:$F$175,$E156,Allocation2!$G$1:$G$175,"2026"))</f>
        <v/>
      </c>
      <c r="H156" t="str">
        <f>IF($A156="","",SUMIFS(Allocation2!$N$1:$N$175,Allocation2!$C$1:$C$175,$A156,Allocation2!$D$1:$D$175,$C156,Allocation2!$E$1:$E$175,$D156,Allocation2!$F$1:$F$175,$E156,Allocation2!$G$1:$G$175,"2026"))</f>
        <v/>
      </c>
      <c r="I156" t="str">
        <f>IF($A156="","",SUMIFS(Allocation2!$P$1:$P$175,Allocation2!$C$1:$C$175,$A156,Allocation2!$D$1:$D$175,$C156,Allocation2!$E$1:$E$175,$D156,Allocation2!$F$1:$F$175,$E156,Allocation2!$G$1:$G$175,"2026"))</f>
        <v/>
      </c>
      <c r="J156" t="str">
        <f>IF($A156="","",SUMIFS(Allocation2!$W$1:$W$175,Allocation2!$C$1:$C$175,$A156,Allocation2!$D$1:$D$175,$C156,Allocation2!$E$1:$E$175,$D156,Allocation2!$F$1:$F$175,$E156,Allocation2!$G$1:$G$175,"2026"))</f>
        <v/>
      </c>
      <c r="K156" t="str">
        <f>IF($A156="","",SUMIFS(Allocation2!$X$1:$X$175,Allocation2!$C$1:$C$175,$A156,Allocation2!$D$1:$D$175,$C156,Allocation2!$E$1:$E$175,$D156,Allocation2!$F$1:$F$175,$E156,Allocation2!$G$1:$G$175,"2026"))</f>
        <v/>
      </c>
      <c r="L156" t="str">
        <f>IF($A156="","",SUMIFS(Allocation2!$Y$1:$Y$175,Allocation2!$C$1:$C$175,$A156,Allocation2!$D$1:$D$175,$C156,Allocation2!$E$1:$E$175,$D156,Allocation2!$F$1:$F$175,$E156,Allocation2!$G$1:$G$175,"2026"))</f>
        <v/>
      </c>
      <c r="M156" t="str">
        <f>IF($A156="","",SUMIFS(Allocation2!$V$1:$V$175,Allocation2!$C$1:$C$175,$A156,Allocation2!$D$1:$D$175,$C156,Allocation2!$E$1:$E$175,$D156,Allocation2!$F$1:$F$175,$E156,Allocation2!$G$1:$G$175,"2026"))</f>
        <v/>
      </c>
      <c r="N156" t="str">
        <f t="shared" si="12"/>
        <v/>
      </c>
      <c r="O156" t="str">
        <f>IF($A156="","",SUMIFS(Campagne!$D$1:$D$15,Campagne!$C$1:$C$15,$A156))</f>
        <v/>
      </c>
      <c r="P156" t="str">
        <f>IF($A156="","",SUMIFS(Campagne!$E$1:$E$15,Campagne!$C$1:$C$15,$A156))</f>
        <v/>
      </c>
      <c r="Q156" t="str">
        <f>IF($A156="","",SUMIFS(Campagne!$F$1:$F$15,Campagne!$C$1:$C$15,$A156))</f>
        <v/>
      </c>
      <c r="R156" t="str">
        <f>IF($A156="","",SUMIFS(Campagne!$K$1:$K$15,Campagne!$C$1:$C$15,$A156))</f>
        <v/>
      </c>
      <c r="S156" t="str">
        <f>IF($A156="","",SUMIFS(Campagne!$M$1:$M$15,Campagne!$C$1:$C$15,$A156))</f>
        <v/>
      </c>
      <c r="T156" t="str">
        <f>IF($A156="","",SUMIFS(PIL!$K$15:$K$28,PIL!$A$15:$A$28,$A156)*SUMIFS(PIL!$J$15:$J$28,PIL!$A$15:$A$28,$A156)*(SUM(PIL!$K$15:$K$28)/SUMPRODUCT(PIL!$K$15:$K$28,PIL!$J$15:$J$28)))</f>
        <v/>
      </c>
      <c r="U156" t="str">
        <f>IF($A156="","",SUMIFS(PIL!$K$15:$K$28,PIL!$A$15:$A$28,$A156))</f>
        <v/>
      </c>
      <c r="V156" t="str">
        <f>IF($A156="","",IF($B156="V01",cad!$C$23,IF($B156="V02",cad!$D$23,cad!$E$23)))</f>
        <v/>
      </c>
      <c r="W156" t="str">
        <f>IF($A156="","",IF($B156="V01",cad!$C$24,IF($B156="V02",cad!$D$24,cad!$E$24)))</f>
        <v/>
      </c>
      <c r="X156" t="str">
        <f>IF($A156="","",IF($B156="V01",cad!$C$25,IF($B156="V02",cad!$D$25,cad!$E$25)))</f>
        <v/>
      </c>
      <c r="Y156" t="str">
        <f>IF($A156="","",IF($B156="V01",cad!$C$26,IF($B156="V02",cad!$D$26,cad!$E$26)))</f>
        <v/>
      </c>
      <c r="Z156" t="str">
        <f>IF($A156="","",IF($B156="V01",cad!$C$27,IF($B156="V02",cad!$D$27,cad!$E$27)))</f>
        <v/>
      </c>
      <c r="AA156" t="str">
        <f>IF($A156="","",IF($B156="V01",cad!$C$28,IF($B156="V02",cad!$D$28,cad!$E$28)))</f>
        <v/>
      </c>
      <c r="AB156" t="str">
        <f>IF($A156="","",IF($B156="V01",cad!$C$39,IF($B156="V02",cad!$D$39,cad!$E$39)))</f>
        <v/>
      </c>
      <c r="AC156" t="str">
        <f>IF($A156="","",IF($F156="MBWAY",cad!$J$12,IF($F156="ISCOM",cad!$J$13,IF($F156="IPAC",cad!$J$14,IF($F156="PIGIER",cad!$J$15,cad!$J$16)))))</f>
        <v/>
      </c>
      <c r="AD156" t="str">
        <f t="shared" si="13"/>
        <v/>
      </c>
      <c r="AE156" t="str">
        <f t="shared" si="14"/>
        <v/>
      </c>
      <c r="AF156" t="str">
        <f t="shared" si="15"/>
        <v/>
      </c>
      <c r="AG156" t="str">
        <f t="shared" si="16"/>
        <v/>
      </c>
      <c r="AH156" t="str">
        <f t="shared" si="17"/>
        <v/>
      </c>
    </row>
    <row r="157" spans="1:34" x14ac:dyDescent="0.45">
      <c r="A157" t="str">
        <f>IF(Moteur!D157="","",Moteur!D157)</f>
        <v/>
      </c>
      <c r="B157" t="str">
        <f>IF(Moteur!B157="","",Moteur!B157)</f>
        <v/>
      </c>
      <c r="C157" t="str">
        <f>IF(Moteur!F157="","",Moteur!F157)</f>
        <v/>
      </c>
      <c r="D157" t="str">
        <f>IF(Moteur!G157="","",Moteur!G157)</f>
        <v/>
      </c>
      <c r="E157" t="str">
        <f>IF(Moteur!H157="","",Moteur!H157)</f>
        <v/>
      </c>
      <c r="F157" t="str">
        <f>IF(Moteur!E157="","",Moteur!E157)</f>
        <v/>
      </c>
      <c r="G157" t="str">
        <f>IF($A157="","",SUMIFS(Allocation2!$H$1:$H$175,Allocation2!$C$1:$C$175,$A157,Allocation2!$D$1:$D$175,$C157,Allocation2!$E$1:$E$175,$D157,Allocation2!$F$1:$F$175,$E157,Allocation2!$G$1:$G$175,"2026"))</f>
        <v/>
      </c>
      <c r="H157" t="str">
        <f>IF($A157="","",SUMIFS(Allocation2!$N$1:$N$175,Allocation2!$C$1:$C$175,$A157,Allocation2!$D$1:$D$175,$C157,Allocation2!$E$1:$E$175,$D157,Allocation2!$F$1:$F$175,$E157,Allocation2!$G$1:$G$175,"2026"))</f>
        <v/>
      </c>
      <c r="I157" t="str">
        <f>IF($A157="","",SUMIFS(Allocation2!$P$1:$P$175,Allocation2!$C$1:$C$175,$A157,Allocation2!$D$1:$D$175,$C157,Allocation2!$E$1:$E$175,$D157,Allocation2!$F$1:$F$175,$E157,Allocation2!$G$1:$G$175,"2026"))</f>
        <v/>
      </c>
      <c r="J157" t="str">
        <f>IF($A157="","",SUMIFS(Allocation2!$W$1:$W$175,Allocation2!$C$1:$C$175,$A157,Allocation2!$D$1:$D$175,$C157,Allocation2!$E$1:$E$175,$D157,Allocation2!$F$1:$F$175,$E157,Allocation2!$G$1:$G$175,"2026"))</f>
        <v/>
      </c>
      <c r="K157" t="str">
        <f>IF($A157="","",SUMIFS(Allocation2!$X$1:$X$175,Allocation2!$C$1:$C$175,$A157,Allocation2!$D$1:$D$175,$C157,Allocation2!$E$1:$E$175,$D157,Allocation2!$F$1:$F$175,$E157,Allocation2!$G$1:$G$175,"2026"))</f>
        <v/>
      </c>
      <c r="L157" t="str">
        <f>IF($A157="","",SUMIFS(Allocation2!$Y$1:$Y$175,Allocation2!$C$1:$C$175,$A157,Allocation2!$D$1:$D$175,$C157,Allocation2!$E$1:$E$175,$D157,Allocation2!$F$1:$F$175,$E157,Allocation2!$G$1:$G$175,"2026"))</f>
        <v/>
      </c>
      <c r="M157" t="str">
        <f>IF($A157="","",SUMIFS(Allocation2!$V$1:$V$175,Allocation2!$C$1:$C$175,$A157,Allocation2!$D$1:$D$175,$C157,Allocation2!$E$1:$E$175,$D157,Allocation2!$F$1:$F$175,$E157,Allocation2!$G$1:$G$175,"2026"))</f>
        <v/>
      </c>
      <c r="N157" t="str">
        <f t="shared" si="12"/>
        <v/>
      </c>
      <c r="O157" t="str">
        <f>IF($A157="","",SUMIFS(Campagne!$D$1:$D$15,Campagne!$C$1:$C$15,$A157))</f>
        <v/>
      </c>
      <c r="P157" t="str">
        <f>IF($A157="","",SUMIFS(Campagne!$E$1:$E$15,Campagne!$C$1:$C$15,$A157))</f>
        <v/>
      </c>
      <c r="Q157" t="str">
        <f>IF($A157="","",SUMIFS(Campagne!$F$1:$F$15,Campagne!$C$1:$C$15,$A157))</f>
        <v/>
      </c>
      <c r="R157" t="str">
        <f>IF($A157="","",SUMIFS(Campagne!$K$1:$K$15,Campagne!$C$1:$C$15,$A157))</f>
        <v/>
      </c>
      <c r="S157" t="str">
        <f>IF($A157="","",SUMIFS(Campagne!$M$1:$M$15,Campagne!$C$1:$C$15,$A157))</f>
        <v/>
      </c>
      <c r="T157" t="str">
        <f>IF($A157="","",SUMIFS(PIL!$K$15:$K$28,PIL!$A$15:$A$28,$A157)*SUMIFS(PIL!$J$15:$J$28,PIL!$A$15:$A$28,$A157)*(SUM(PIL!$K$15:$K$28)/SUMPRODUCT(PIL!$K$15:$K$28,PIL!$J$15:$J$28)))</f>
        <v/>
      </c>
      <c r="U157" t="str">
        <f>IF($A157="","",SUMIFS(PIL!$K$15:$K$28,PIL!$A$15:$A$28,$A157))</f>
        <v/>
      </c>
      <c r="V157" t="str">
        <f>IF($A157="","",IF($B157="V01",cad!$C$23,IF($B157="V02",cad!$D$23,cad!$E$23)))</f>
        <v/>
      </c>
      <c r="W157" t="str">
        <f>IF($A157="","",IF($B157="V01",cad!$C$24,IF($B157="V02",cad!$D$24,cad!$E$24)))</f>
        <v/>
      </c>
      <c r="X157" t="str">
        <f>IF($A157="","",IF($B157="V01",cad!$C$25,IF($B157="V02",cad!$D$25,cad!$E$25)))</f>
        <v/>
      </c>
      <c r="Y157" t="str">
        <f>IF($A157="","",IF($B157="V01",cad!$C$26,IF($B157="V02",cad!$D$26,cad!$E$26)))</f>
        <v/>
      </c>
      <c r="Z157" t="str">
        <f>IF($A157="","",IF($B157="V01",cad!$C$27,IF($B157="V02",cad!$D$27,cad!$E$27)))</f>
        <v/>
      </c>
      <c r="AA157" t="str">
        <f>IF($A157="","",IF($B157="V01",cad!$C$28,IF($B157="V02",cad!$D$28,cad!$E$28)))</f>
        <v/>
      </c>
      <c r="AB157" t="str">
        <f>IF($A157="","",IF($B157="V01",cad!$C$39,IF($B157="V02",cad!$D$39,cad!$E$39)))</f>
        <v/>
      </c>
      <c r="AC157" t="str">
        <f>IF($A157="","",IF($F157="MBWAY",cad!$J$12,IF($F157="ISCOM",cad!$J$13,IF($F157="IPAC",cad!$J$14,IF($F157="PIGIER",cad!$J$15,cad!$J$16)))))</f>
        <v/>
      </c>
      <c r="AD157" t="str">
        <f t="shared" si="13"/>
        <v/>
      </c>
      <c r="AE157" t="str">
        <f t="shared" si="14"/>
        <v/>
      </c>
      <c r="AF157" t="str">
        <f t="shared" si="15"/>
        <v/>
      </c>
      <c r="AG157" t="str">
        <f t="shared" si="16"/>
        <v/>
      </c>
      <c r="AH157" t="str">
        <f t="shared" si="17"/>
        <v/>
      </c>
    </row>
    <row r="158" spans="1:34" x14ac:dyDescent="0.45">
      <c r="A158" t="str">
        <f>IF(Moteur!D158="","",Moteur!D158)</f>
        <v/>
      </c>
      <c r="B158" t="str">
        <f>IF(Moteur!B158="","",Moteur!B158)</f>
        <v/>
      </c>
      <c r="C158" t="str">
        <f>IF(Moteur!F158="","",Moteur!F158)</f>
        <v/>
      </c>
      <c r="D158" t="str">
        <f>IF(Moteur!G158="","",Moteur!G158)</f>
        <v/>
      </c>
      <c r="E158" t="str">
        <f>IF(Moteur!H158="","",Moteur!H158)</f>
        <v/>
      </c>
      <c r="F158" t="str">
        <f>IF(Moteur!E158="","",Moteur!E158)</f>
        <v/>
      </c>
      <c r="G158" t="str">
        <f>IF($A158="","",SUMIFS(Allocation2!$H$1:$H$175,Allocation2!$C$1:$C$175,$A158,Allocation2!$D$1:$D$175,$C158,Allocation2!$E$1:$E$175,$D158,Allocation2!$F$1:$F$175,$E158,Allocation2!$G$1:$G$175,"2026"))</f>
        <v/>
      </c>
      <c r="H158" t="str">
        <f>IF($A158="","",SUMIFS(Allocation2!$N$1:$N$175,Allocation2!$C$1:$C$175,$A158,Allocation2!$D$1:$D$175,$C158,Allocation2!$E$1:$E$175,$D158,Allocation2!$F$1:$F$175,$E158,Allocation2!$G$1:$G$175,"2026"))</f>
        <v/>
      </c>
      <c r="I158" t="str">
        <f>IF($A158="","",SUMIFS(Allocation2!$P$1:$P$175,Allocation2!$C$1:$C$175,$A158,Allocation2!$D$1:$D$175,$C158,Allocation2!$E$1:$E$175,$D158,Allocation2!$F$1:$F$175,$E158,Allocation2!$G$1:$G$175,"2026"))</f>
        <v/>
      </c>
      <c r="J158" t="str">
        <f>IF($A158="","",SUMIFS(Allocation2!$W$1:$W$175,Allocation2!$C$1:$C$175,$A158,Allocation2!$D$1:$D$175,$C158,Allocation2!$E$1:$E$175,$D158,Allocation2!$F$1:$F$175,$E158,Allocation2!$G$1:$G$175,"2026"))</f>
        <v/>
      </c>
      <c r="K158" t="str">
        <f>IF($A158="","",SUMIFS(Allocation2!$X$1:$X$175,Allocation2!$C$1:$C$175,$A158,Allocation2!$D$1:$D$175,$C158,Allocation2!$E$1:$E$175,$D158,Allocation2!$F$1:$F$175,$E158,Allocation2!$G$1:$G$175,"2026"))</f>
        <v/>
      </c>
      <c r="L158" t="str">
        <f>IF($A158="","",SUMIFS(Allocation2!$Y$1:$Y$175,Allocation2!$C$1:$C$175,$A158,Allocation2!$D$1:$D$175,$C158,Allocation2!$E$1:$E$175,$D158,Allocation2!$F$1:$F$175,$E158,Allocation2!$G$1:$G$175,"2026"))</f>
        <v/>
      </c>
      <c r="M158" t="str">
        <f>IF($A158="","",SUMIFS(Allocation2!$V$1:$V$175,Allocation2!$C$1:$C$175,$A158,Allocation2!$D$1:$D$175,$C158,Allocation2!$E$1:$E$175,$D158,Allocation2!$F$1:$F$175,$E158,Allocation2!$G$1:$G$175,"2026"))</f>
        <v/>
      </c>
      <c r="N158" t="str">
        <f t="shared" si="12"/>
        <v/>
      </c>
      <c r="O158" t="str">
        <f>IF($A158="","",SUMIFS(Campagne!$D$1:$D$15,Campagne!$C$1:$C$15,$A158))</f>
        <v/>
      </c>
      <c r="P158" t="str">
        <f>IF($A158="","",SUMIFS(Campagne!$E$1:$E$15,Campagne!$C$1:$C$15,$A158))</f>
        <v/>
      </c>
      <c r="Q158" t="str">
        <f>IF($A158="","",SUMIFS(Campagne!$F$1:$F$15,Campagne!$C$1:$C$15,$A158))</f>
        <v/>
      </c>
      <c r="R158" t="str">
        <f>IF($A158="","",SUMIFS(Campagne!$K$1:$K$15,Campagne!$C$1:$C$15,$A158))</f>
        <v/>
      </c>
      <c r="S158" t="str">
        <f>IF($A158="","",SUMIFS(Campagne!$M$1:$M$15,Campagne!$C$1:$C$15,$A158))</f>
        <v/>
      </c>
      <c r="T158" t="str">
        <f>IF($A158="","",SUMIFS(PIL!$K$15:$K$28,PIL!$A$15:$A$28,$A158)*SUMIFS(PIL!$J$15:$J$28,PIL!$A$15:$A$28,$A158)*(SUM(PIL!$K$15:$K$28)/SUMPRODUCT(PIL!$K$15:$K$28,PIL!$J$15:$J$28)))</f>
        <v/>
      </c>
      <c r="U158" t="str">
        <f>IF($A158="","",SUMIFS(PIL!$K$15:$K$28,PIL!$A$15:$A$28,$A158))</f>
        <v/>
      </c>
      <c r="V158" t="str">
        <f>IF($A158="","",IF($B158="V01",cad!$C$23,IF($B158="V02",cad!$D$23,cad!$E$23)))</f>
        <v/>
      </c>
      <c r="W158" t="str">
        <f>IF($A158="","",IF($B158="V01",cad!$C$24,IF($B158="V02",cad!$D$24,cad!$E$24)))</f>
        <v/>
      </c>
      <c r="X158" t="str">
        <f>IF($A158="","",IF($B158="V01",cad!$C$25,IF($B158="V02",cad!$D$25,cad!$E$25)))</f>
        <v/>
      </c>
      <c r="Y158" t="str">
        <f>IF($A158="","",IF($B158="V01",cad!$C$26,IF($B158="V02",cad!$D$26,cad!$E$26)))</f>
        <v/>
      </c>
      <c r="Z158" t="str">
        <f>IF($A158="","",IF($B158="V01",cad!$C$27,IF($B158="V02",cad!$D$27,cad!$E$27)))</f>
        <v/>
      </c>
      <c r="AA158" t="str">
        <f>IF($A158="","",IF($B158="V01",cad!$C$28,IF($B158="V02",cad!$D$28,cad!$E$28)))</f>
        <v/>
      </c>
      <c r="AB158" t="str">
        <f>IF($A158="","",IF($B158="V01",cad!$C$39,IF($B158="V02",cad!$D$39,cad!$E$39)))</f>
        <v/>
      </c>
      <c r="AC158" t="str">
        <f>IF($A158="","",IF($F158="MBWAY",cad!$J$12,IF($F158="ISCOM",cad!$J$13,IF($F158="IPAC",cad!$J$14,IF($F158="PIGIER",cad!$J$15,cad!$J$16)))))</f>
        <v/>
      </c>
      <c r="AD158" t="str">
        <f t="shared" si="13"/>
        <v/>
      </c>
      <c r="AE158" t="str">
        <f t="shared" si="14"/>
        <v/>
      </c>
      <c r="AF158" t="str">
        <f t="shared" si="15"/>
        <v/>
      </c>
      <c r="AG158" t="str">
        <f t="shared" si="16"/>
        <v/>
      </c>
      <c r="AH158" t="str">
        <f t="shared" si="17"/>
        <v/>
      </c>
    </row>
    <row r="159" spans="1:34" x14ac:dyDescent="0.45">
      <c r="A159" t="str">
        <f>IF(Moteur!D159="","",Moteur!D159)</f>
        <v/>
      </c>
      <c r="B159" t="str">
        <f>IF(Moteur!B159="","",Moteur!B159)</f>
        <v/>
      </c>
      <c r="C159" t="str">
        <f>IF(Moteur!F159="","",Moteur!F159)</f>
        <v/>
      </c>
      <c r="D159" t="str">
        <f>IF(Moteur!G159="","",Moteur!G159)</f>
        <v/>
      </c>
      <c r="E159" t="str">
        <f>IF(Moteur!H159="","",Moteur!H159)</f>
        <v/>
      </c>
      <c r="F159" t="str">
        <f>IF(Moteur!E159="","",Moteur!E159)</f>
        <v/>
      </c>
      <c r="G159" t="str">
        <f>IF($A159="","",SUMIFS(Allocation2!$H$1:$H$175,Allocation2!$C$1:$C$175,$A159,Allocation2!$D$1:$D$175,$C159,Allocation2!$E$1:$E$175,$D159,Allocation2!$F$1:$F$175,$E159,Allocation2!$G$1:$G$175,"2026"))</f>
        <v/>
      </c>
      <c r="H159" t="str">
        <f>IF($A159="","",SUMIFS(Allocation2!$N$1:$N$175,Allocation2!$C$1:$C$175,$A159,Allocation2!$D$1:$D$175,$C159,Allocation2!$E$1:$E$175,$D159,Allocation2!$F$1:$F$175,$E159,Allocation2!$G$1:$G$175,"2026"))</f>
        <v/>
      </c>
      <c r="I159" t="str">
        <f>IF($A159="","",SUMIFS(Allocation2!$P$1:$P$175,Allocation2!$C$1:$C$175,$A159,Allocation2!$D$1:$D$175,$C159,Allocation2!$E$1:$E$175,$D159,Allocation2!$F$1:$F$175,$E159,Allocation2!$G$1:$G$175,"2026"))</f>
        <v/>
      </c>
      <c r="J159" t="str">
        <f>IF($A159="","",SUMIFS(Allocation2!$W$1:$W$175,Allocation2!$C$1:$C$175,$A159,Allocation2!$D$1:$D$175,$C159,Allocation2!$E$1:$E$175,$D159,Allocation2!$F$1:$F$175,$E159,Allocation2!$G$1:$G$175,"2026"))</f>
        <v/>
      </c>
      <c r="K159" t="str">
        <f>IF($A159="","",SUMIFS(Allocation2!$X$1:$X$175,Allocation2!$C$1:$C$175,$A159,Allocation2!$D$1:$D$175,$C159,Allocation2!$E$1:$E$175,$D159,Allocation2!$F$1:$F$175,$E159,Allocation2!$G$1:$G$175,"2026"))</f>
        <v/>
      </c>
      <c r="L159" t="str">
        <f>IF($A159="","",SUMIFS(Allocation2!$Y$1:$Y$175,Allocation2!$C$1:$C$175,$A159,Allocation2!$D$1:$D$175,$C159,Allocation2!$E$1:$E$175,$D159,Allocation2!$F$1:$F$175,$E159,Allocation2!$G$1:$G$175,"2026"))</f>
        <v/>
      </c>
      <c r="M159" t="str">
        <f>IF($A159="","",SUMIFS(Allocation2!$V$1:$V$175,Allocation2!$C$1:$C$175,$A159,Allocation2!$D$1:$D$175,$C159,Allocation2!$E$1:$E$175,$D159,Allocation2!$F$1:$F$175,$E159,Allocation2!$G$1:$G$175,"2026"))</f>
        <v/>
      </c>
      <c r="N159" t="str">
        <f t="shared" si="12"/>
        <v/>
      </c>
      <c r="O159" t="str">
        <f>IF($A159="","",SUMIFS(Campagne!$D$1:$D$15,Campagne!$C$1:$C$15,$A159))</f>
        <v/>
      </c>
      <c r="P159" t="str">
        <f>IF($A159="","",SUMIFS(Campagne!$E$1:$E$15,Campagne!$C$1:$C$15,$A159))</f>
        <v/>
      </c>
      <c r="Q159" t="str">
        <f>IF($A159="","",SUMIFS(Campagne!$F$1:$F$15,Campagne!$C$1:$C$15,$A159))</f>
        <v/>
      </c>
      <c r="R159" t="str">
        <f>IF($A159="","",SUMIFS(Campagne!$K$1:$K$15,Campagne!$C$1:$C$15,$A159))</f>
        <v/>
      </c>
      <c r="S159" t="str">
        <f>IF($A159="","",SUMIFS(Campagne!$M$1:$M$15,Campagne!$C$1:$C$15,$A159))</f>
        <v/>
      </c>
      <c r="T159" t="str">
        <f>IF($A159="","",SUMIFS(PIL!$K$15:$K$28,PIL!$A$15:$A$28,$A159)*SUMIFS(PIL!$J$15:$J$28,PIL!$A$15:$A$28,$A159)*(SUM(PIL!$K$15:$K$28)/SUMPRODUCT(PIL!$K$15:$K$28,PIL!$J$15:$J$28)))</f>
        <v/>
      </c>
      <c r="U159" t="str">
        <f>IF($A159="","",SUMIFS(PIL!$K$15:$K$28,PIL!$A$15:$A$28,$A159))</f>
        <v/>
      </c>
      <c r="V159" t="str">
        <f>IF($A159="","",IF($B159="V01",cad!$C$23,IF($B159="V02",cad!$D$23,cad!$E$23)))</f>
        <v/>
      </c>
      <c r="W159" t="str">
        <f>IF($A159="","",IF($B159="V01",cad!$C$24,IF($B159="V02",cad!$D$24,cad!$E$24)))</f>
        <v/>
      </c>
      <c r="X159" t="str">
        <f>IF($A159="","",IF($B159="V01",cad!$C$25,IF($B159="V02",cad!$D$25,cad!$E$25)))</f>
        <v/>
      </c>
      <c r="Y159" t="str">
        <f>IF($A159="","",IF($B159="V01",cad!$C$26,IF($B159="V02",cad!$D$26,cad!$E$26)))</f>
        <v/>
      </c>
      <c r="Z159" t="str">
        <f>IF($A159="","",IF($B159="V01",cad!$C$27,IF($B159="V02",cad!$D$27,cad!$E$27)))</f>
        <v/>
      </c>
      <c r="AA159" t="str">
        <f>IF($A159="","",IF($B159="V01",cad!$C$28,IF($B159="V02",cad!$D$28,cad!$E$28)))</f>
        <v/>
      </c>
      <c r="AB159" t="str">
        <f>IF($A159="","",IF($B159="V01",cad!$C$39,IF($B159="V02",cad!$D$39,cad!$E$39)))</f>
        <v/>
      </c>
      <c r="AC159" t="str">
        <f>IF($A159="","",IF($F159="MBWAY",cad!$J$12,IF($F159="ISCOM",cad!$J$13,IF($F159="IPAC",cad!$J$14,IF($F159="PIGIER",cad!$J$15,cad!$J$16)))))</f>
        <v/>
      </c>
      <c r="AD159" t="str">
        <f t="shared" si="13"/>
        <v/>
      </c>
      <c r="AE159" t="str">
        <f t="shared" si="14"/>
        <v/>
      </c>
      <c r="AF159" t="str">
        <f t="shared" si="15"/>
        <v/>
      </c>
      <c r="AG159" t="str">
        <f t="shared" si="16"/>
        <v/>
      </c>
      <c r="AH159" t="str">
        <f t="shared" si="17"/>
        <v/>
      </c>
    </row>
    <row r="160" spans="1:34" x14ac:dyDescent="0.45">
      <c r="A160" t="str">
        <f>IF(Moteur!D160="","",Moteur!D160)</f>
        <v/>
      </c>
      <c r="B160" t="str">
        <f>IF(Moteur!B160="","",Moteur!B160)</f>
        <v/>
      </c>
      <c r="C160" t="str">
        <f>IF(Moteur!F160="","",Moteur!F160)</f>
        <v/>
      </c>
      <c r="D160" t="str">
        <f>IF(Moteur!G160="","",Moteur!G160)</f>
        <v/>
      </c>
      <c r="E160" t="str">
        <f>IF(Moteur!H160="","",Moteur!H160)</f>
        <v/>
      </c>
      <c r="F160" t="str">
        <f>IF(Moteur!E160="","",Moteur!E160)</f>
        <v/>
      </c>
      <c r="G160" t="str">
        <f>IF($A160="","",SUMIFS(Allocation2!$H$1:$H$175,Allocation2!$C$1:$C$175,$A160,Allocation2!$D$1:$D$175,$C160,Allocation2!$E$1:$E$175,$D160,Allocation2!$F$1:$F$175,$E160,Allocation2!$G$1:$G$175,"2026"))</f>
        <v/>
      </c>
      <c r="H160" t="str">
        <f>IF($A160="","",SUMIFS(Allocation2!$N$1:$N$175,Allocation2!$C$1:$C$175,$A160,Allocation2!$D$1:$D$175,$C160,Allocation2!$E$1:$E$175,$D160,Allocation2!$F$1:$F$175,$E160,Allocation2!$G$1:$G$175,"2026"))</f>
        <v/>
      </c>
      <c r="I160" t="str">
        <f>IF($A160="","",SUMIFS(Allocation2!$P$1:$P$175,Allocation2!$C$1:$C$175,$A160,Allocation2!$D$1:$D$175,$C160,Allocation2!$E$1:$E$175,$D160,Allocation2!$F$1:$F$175,$E160,Allocation2!$G$1:$G$175,"2026"))</f>
        <v/>
      </c>
      <c r="J160" t="str">
        <f>IF($A160="","",SUMIFS(Allocation2!$W$1:$W$175,Allocation2!$C$1:$C$175,$A160,Allocation2!$D$1:$D$175,$C160,Allocation2!$E$1:$E$175,$D160,Allocation2!$F$1:$F$175,$E160,Allocation2!$G$1:$G$175,"2026"))</f>
        <v/>
      </c>
      <c r="K160" t="str">
        <f>IF($A160="","",SUMIFS(Allocation2!$X$1:$X$175,Allocation2!$C$1:$C$175,$A160,Allocation2!$D$1:$D$175,$C160,Allocation2!$E$1:$E$175,$D160,Allocation2!$F$1:$F$175,$E160,Allocation2!$G$1:$G$175,"2026"))</f>
        <v/>
      </c>
      <c r="L160" t="str">
        <f>IF($A160="","",SUMIFS(Allocation2!$Y$1:$Y$175,Allocation2!$C$1:$C$175,$A160,Allocation2!$D$1:$D$175,$C160,Allocation2!$E$1:$E$175,$D160,Allocation2!$F$1:$F$175,$E160,Allocation2!$G$1:$G$175,"2026"))</f>
        <v/>
      </c>
      <c r="M160" t="str">
        <f>IF($A160="","",SUMIFS(Allocation2!$V$1:$V$175,Allocation2!$C$1:$C$175,$A160,Allocation2!$D$1:$D$175,$C160,Allocation2!$E$1:$E$175,$D160,Allocation2!$F$1:$F$175,$E160,Allocation2!$G$1:$G$175,"2026"))</f>
        <v/>
      </c>
      <c r="N160" t="str">
        <f t="shared" si="12"/>
        <v/>
      </c>
      <c r="O160" t="str">
        <f>IF($A160="","",SUMIFS(Campagne!$D$1:$D$15,Campagne!$C$1:$C$15,$A160))</f>
        <v/>
      </c>
      <c r="P160" t="str">
        <f>IF($A160="","",SUMIFS(Campagne!$E$1:$E$15,Campagne!$C$1:$C$15,$A160))</f>
        <v/>
      </c>
      <c r="Q160" t="str">
        <f>IF($A160="","",SUMIFS(Campagne!$F$1:$F$15,Campagne!$C$1:$C$15,$A160))</f>
        <v/>
      </c>
      <c r="R160" t="str">
        <f>IF($A160="","",SUMIFS(Campagne!$K$1:$K$15,Campagne!$C$1:$C$15,$A160))</f>
        <v/>
      </c>
      <c r="S160" t="str">
        <f>IF($A160="","",SUMIFS(Campagne!$M$1:$M$15,Campagne!$C$1:$C$15,$A160))</f>
        <v/>
      </c>
      <c r="T160" t="str">
        <f>IF($A160="","",SUMIFS(PIL!$K$15:$K$28,PIL!$A$15:$A$28,$A160)*SUMIFS(PIL!$J$15:$J$28,PIL!$A$15:$A$28,$A160)*(SUM(PIL!$K$15:$K$28)/SUMPRODUCT(PIL!$K$15:$K$28,PIL!$J$15:$J$28)))</f>
        <v/>
      </c>
      <c r="U160" t="str">
        <f>IF($A160="","",SUMIFS(PIL!$K$15:$K$28,PIL!$A$15:$A$28,$A160))</f>
        <v/>
      </c>
      <c r="V160" t="str">
        <f>IF($A160="","",IF($B160="V01",cad!$C$23,IF($B160="V02",cad!$D$23,cad!$E$23)))</f>
        <v/>
      </c>
      <c r="W160" t="str">
        <f>IF($A160="","",IF($B160="V01",cad!$C$24,IF($B160="V02",cad!$D$24,cad!$E$24)))</f>
        <v/>
      </c>
      <c r="X160" t="str">
        <f>IF($A160="","",IF($B160="V01",cad!$C$25,IF($B160="V02",cad!$D$25,cad!$E$25)))</f>
        <v/>
      </c>
      <c r="Y160" t="str">
        <f>IF($A160="","",IF($B160="V01",cad!$C$26,IF($B160="V02",cad!$D$26,cad!$E$26)))</f>
        <v/>
      </c>
      <c r="Z160" t="str">
        <f>IF($A160="","",IF($B160="V01",cad!$C$27,IF($B160="V02",cad!$D$27,cad!$E$27)))</f>
        <v/>
      </c>
      <c r="AA160" t="str">
        <f>IF($A160="","",IF($B160="V01",cad!$C$28,IF($B160="V02",cad!$D$28,cad!$E$28)))</f>
        <v/>
      </c>
      <c r="AB160" t="str">
        <f>IF($A160="","",IF($B160="V01",cad!$C$39,IF($B160="V02",cad!$D$39,cad!$E$39)))</f>
        <v/>
      </c>
      <c r="AC160" t="str">
        <f>IF($A160="","",IF($F160="MBWAY",cad!$J$12,IF($F160="ISCOM",cad!$J$13,IF($F160="IPAC",cad!$J$14,IF($F160="PIGIER",cad!$J$15,cad!$J$16)))))</f>
        <v/>
      </c>
      <c r="AD160" t="str">
        <f t="shared" si="13"/>
        <v/>
      </c>
      <c r="AE160" t="str">
        <f t="shared" si="14"/>
        <v/>
      </c>
      <c r="AF160" t="str">
        <f t="shared" si="15"/>
        <v/>
      </c>
      <c r="AG160" t="str">
        <f t="shared" si="16"/>
        <v/>
      </c>
      <c r="AH160" t="str">
        <f t="shared" si="17"/>
        <v/>
      </c>
    </row>
    <row r="161" spans="1:34" x14ac:dyDescent="0.45">
      <c r="A161" t="str">
        <f>IF(Moteur!D161="","",Moteur!D161)</f>
        <v/>
      </c>
      <c r="B161" t="str">
        <f>IF(Moteur!B161="","",Moteur!B161)</f>
        <v/>
      </c>
      <c r="C161" t="str">
        <f>IF(Moteur!F161="","",Moteur!F161)</f>
        <v/>
      </c>
      <c r="D161" t="str">
        <f>IF(Moteur!G161="","",Moteur!G161)</f>
        <v/>
      </c>
      <c r="E161" t="str">
        <f>IF(Moteur!H161="","",Moteur!H161)</f>
        <v/>
      </c>
      <c r="F161" t="str">
        <f>IF(Moteur!E161="","",Moteur!E161)</f>
        <v/>
      </c>
      <c r="G161" t="str">
        <f>IF($A161="","",SUMIFS(Allocation2!$H$1:$H$175,Allocation2!$C$1:$C$175,$A161,Allocation2!$D$1:$D$175,$C161,Allocation2!$E$1:$E$175,$D161,Allocation2!$F$1:$F$175,$E161,Allocation2!$G$1:$G$175,"2026"))</f>
        <v/>
      </c>
      <c r="H161" t="str">
        <f>IF($A161="","",SUMIFS(Allocation2!$N$1:$N$175,Allocation2!$C$1:$C$175,$A161,Allocation2!$D$1:$D$175,$C161,Allocation2!$E$1:$E$175,$D161,Allocation2!$F$1:$F$175,$E161,Allocation2!$G$1:$G$175,"2026"))</f>
        <v/>
      </c>
      <c r="I161" t="str">
        <f>IF($A161="","",SUMIFS(Allocation2!$P$1:$P$175,Allocation2!$C$1:$C$175,$A161,Allocation2!$D$1:$D$175,$C161,Allocation2!$E$1:$E$175,$D161,Allocation2!$F$1:$F$175,$E161,Allocation2!$G$1:$G$175,"2026"))</f>
        <v/>
      </c>
      <c r="J161" t="str">
        <f>IF($A161="","",SUMIFS(Allocation2!$W$1:$W$175,Allocation2!$C$1:$C$175,$A161,Allocation2!$D$1:$D$175,$C161,Allocation2!$E$1:$E$175,$D161,Allocation2!$F$1:$F$175,$E161,Allocation2!$G$1:$G$175,"2026"))</f>
        <v/>
      </c>
      <c r="K161" t="str">
        <f>IF($A161="","",SUMIFS(Allocation2!$X$1:$X$175,Allocation2!$C$1:$C$175,$A161,Allocation2!$D$1:$D$175,$C161,Allocation2!$E$1:$E$175,$D161,Allocation2!$F$1:$F$175,$E161,Allocation2!$G$1:$G$175,"2026"))</f>
        <v/>
      </c>
      <c r="L161" t="str">
        <f>IF($A161="","",SUMIFS(Allocation2!$Y$1:$Y$175,Allocation2!$C$1:$C$175,$A161,Allocation2!$D$1:$D$175,$C161,Allocation2!$E$1:$E$175,$D161,Allocation2!$F$1:$F$175,$E161,Allocation2!$G$1:$G$175,"2026"))</f>
        <v/>
      </c>
      <c r="M161" t="str">
        <f>IF($A161="","",SUMIFS(Allocation2!$V$1:$V$175,Allocation2!$C$1:$C$175,$A161,Allocation2!$D$1:$D$175,$C161,Allocation2!$E$1:$E$175,$D161,Allocation2!$F$1:$F$175,$E161,Allocation2!$G$1:$G$175,"2026"))</f>
        <v/>
      </c>
      <c r="N161" t="str">
        <f t="shared" si="12"/>
        <v/>
      </c>
      <c r="O161" t="str">
        <f>IF($A161="","",SUMIFS(Campagne!$D$1:$D$15,Campagne!$C$1:$C$15,$A161))</f>
        <v/>
      </c>
      <c r="P161" t="str">
        <f>IF($A161="","",SUMIFS(Campagne!$E$1:$E$15,Campagne!$C$1:$C$15,$A161))</f>
        <v/>
      </c>
      <c r="Q161" t="str">
        <f>IF($A161="","",SUMIFS(Campagne!$F$1:$F$15,Campagne!$C$1:$C$15,$A161))</f>
        <v/>
      </c>
      <c r="R161" t="str">
        <f>IF($A161="","",SUMIFS(Campagne!$K$1:$K$15,Campagne!$C$1:$C$15,$A161))</f>
        <v/>
      </c>
      <c r="S161" t="str">
        <f>IF($A161="","",SUMIFS(Campagne!$M$1:$M$15,Campagne!$C$1:$C$15,$A161))</f>
        <v/>
      </c>
      <c r="T161" t="str">
        <f>IF($A161="","",SUMIFS(PIL!$K$15:$K$28,PIL!$A$15:$A$28,$A161)*SUMIFS(PIL!$J$15:$J$28,PIL!$A$15:$A$28,$A161)*(SUM(PIL!$K$15:$K$28)/SUMPRODUCT(PIL!$K$15:$K$28,PIL!$J$15:$J$28)))</f>
        <v/>
      </c>
      <c r="U161" t="str">
        <f>IF($A161="","",SUMIFS(PIL!$K$15:$K$28,PIL!$A$15:$A$28,$A161))</f>
        <v/>
      </c>
      <c r="V161" t="str">
        <f>IF($A161="","",IF($B161="V01",cad!$C$23,IF($B161="V02",cad!$D$23,cad!$E$23)))</f>
        <v/>
      </c>
      <c r="W161" t="str">
        <f>IF($A161="","",IF($B161="V01",cad!$C$24,IF($B161="V02",cad!$D$24,cad!$E$24)))</f>
        <v/>
      </c>
      <c r="X161" t="str">
        <f>IF($A161="","",IF($B161="V01",cad!$C$25,IF($B161="V02",cad!$D$25,cad!$E$25)))</f>
        <v/>
      </c>
      <c r="Y161" t="str">
        <f>IF($A161="","",IF($B161="V01",cad!$C$26,IF($B161="V02",cad!$D$26,cad!$E$26)))</f>
        <v/>
      </c>
      <c r="Z161" t="str">
        <f>IF($A161="","",IF($B161="V01",cad!$C$27,IF($B161="V02",cad!$D$27,cad!$E$27)))</f>
        <v/>
      </c>
      <c r="AA161" t="str">
        <f>IF($A161="","",IF($B161="V01",cad!$C$28,IF($B161="V02",cad!$D$28,cad!$E$28)))</f>
        <v/>
      </c>
      <c r="AB161" t="str">
        <f>IF($A161="","",IF($B161="V01",cad!$C$39,IF($B161="V02",cad!$D$39,cad!$E$39)))</f>
        <v/>
      </c>
      <c r="AC161" t="str">
        <f>IF($A161="","",IF($F161="MBWAY",cad!$J$12,IF($F161="ISCOM",cad!$J$13,IF($F161="IPAC",cad!$J$14,IF($F161="PIGIER",cad!$J$15,cad!$J$16)))))</f>
        <v/>
      </c>
      <c r="AD161" t="str">
        <f t="shared" si="13"/>
        <v/>
      </c>
      <c r="AE161" t="str">
        <f t="shared" si="14"/>
        <v/>
      </c>
      <c r="AF161" t="str">
        <f t="shared" si="15"/>
        <v/>
      </c>
      <c r="AG161" t="str">
        <f t="shared" si="16"/>
        <v/>
      </c>
      <c r="AH161" t="str">
        <f t="shared" si="17"/>
        <v/>
      </c>
    </row>
    <row r="162" spans="1:34" x14ac:dyDescent="0.45">
      <c r="A162" t="str">
        <f>IF(Moteur!D162="","",Moteur!D162)</f>
        <v/>
      </c>
      <c r="B162" t="str">
        <f>IF(Moteur!B162="","",Moteur!B162)</f>
        <v/>
      </c>
      <c r="C162" t="str">
        <f>IF(Moteur!F162="","",Moteur!F162)</f>
        <v/>
      </c>
      <c r="D162" t="str">
        <f>IF(Moteur!G162="","",Moteur!G162)</f>
        <v/>
      </c>
      <c r="E162" t="str">
        <f>IF(Moteur!H162="","",Moteur!H162)</f>
        <v/>
      </c>
      <c r="F162" t="str">
        <f>IF(Moteur!E162="","",Moteur!E162)</f>
        <v/>
      </c>
      <c r="G162" t="str">
        <f>IF($A162="","",SUMIFS(Allocation2!$H$1:$H$175,Allocation2!$C$1:$C$175,$A162,Allocation2!$D$1:$D$175,$C162,Allocation2!$E$1:$E$175,$D162,Allocation2!$F$1:$F$175,$E162,Allocation2!$G$1:$G$175,"2026"))</f>
        <v/>
      </c>
      <c r="H162" t="str">
        <f>IF($A162="","",SUMIFS(Allocation2!$N$1:$N$175,Allocation2!$C$1:$C$175,$A162,Allocation2!$D$1:$D$175,$C162,Allocation2!$E$1:$E$175,$D162,Allocation2!$F$1:$F$175,$E162,Allocation2!$G$1:$G$175,"2026"))</f>
        <v/>
      </c>
      <c r="I162" t="str">
        <f>IF($A162="","",SUMIFS(Allocation2!$P$1:$P$175,Allocation2!$C$1:$C$175,$A162,Allocation2!$D$1:$D$175,$C162,Allocation2!$E$1:$E$175,$D162,Allocation2!$F$1:$F$175,$E162,Allocation2!$G$1:$G$175,"2026"))</f>
        <v/>
      </c>
      <c r="J162" t="str">
        <f>IF($A162="","",SUMIFS(Allocation2!$W$1:$W$175,Allocation2!$C$1:$C$175,$A162,Allocation2!$D$1:$D$175,$C162,Allocation2!$E$1:$E$175,$D162,Allocation2!$F$1:$F$175,$E162,Allocation2!$G$1:$G$175,"2026"))</f>
        <v/>
      </c>
      <c r="K162" t="str">
        <f>IF($A162="","",SUMIFS(Allocation2!$X$1:$X$175,Allocation2!$C$1:$C$175,$A162,Allocation2!$D$1:$D$175,$C162,Allocation2!$E$1:$E$175,$D162,Allocation2!$F$1:$F$175,$E162,Allocation2!$G$1:$G$175,"2026"))</f>
        <v/>
      </c>
      <c r="L162" t="str">
        <f>IF($A162="","",SUMIFS(Allocation2!$Y$1:$Y$175,Allocation2!$C$1:$C$175,$A162,Allocation2!$D$1:$D$175,$C162,Allocation2!$E$1:$E$175,$D162,Allocation2!$F$1:$F$175,$E162,Allocation2!$G$1:$G$175,"2026"))</f>
        <v/>
      </c>
      <c r="M162" t="str">
        <f>IF($A162="","",SUMIFS(Allocation2!$V$1:$V$175,Allocation2!$C$1:$C$175,$A162,Allocation2!$D$1:$D$175,$C162,Allocation2!$E$1:$E$175,$D162,Allocation2!$F$1:$F$175,$E162,Allocation2!$G$1:$G$175,"2026"))</f>
        <v/>
      </c>
      <c r="N162" t="str">
        <f t="shared" si="12"/>
        <v/>
      </c>
      <c r="O162" t="str">
        <f>IF($A162="","",SUMIFS(Campagne!$D$1:$D$15,Campagne!$C$1:$C$15,$A162))</f>
        <v/>
      </c>
      <c r="P162" t="str">
        <f>IF($A162="","",SUMIFS(Campagne!$E$1:$E$15,Campagne!$C$1:$C$15,$A162))</f>
        <v/>
      </c>
      <c r="Q162" t="str">
        <f>IF($A162="","",SUMIFS(Campagne!$F$1:$F$15,Campagne!$C$1:$C$15,$A162))</f>
        <v/>
      </c>
      <c r="R162" t="str">
        <f>IF($A162="","",SUMIFS(Campagne!$K$1:$K$15,Campagne!$C$1:$C$15,$A162))</f>
        <v/>
      </c>
      <c r="S162" t="str">
        <f>IF($A162="","",SUMIFS(Campagne!$M$1:$M$15,Campagne!$C$1:$C$15,$A162))</f>
        <v/>
      </c>
      <c r="T162" t="str">
        <f>IF($A162="","",SUMIFS(PIL!$K$15:$K$28,PIL!$A$15:$A$28,$A162)*SUMIFS(PIL!$J$15:$J$28,PIL!$A$15:$A$28,$A162)*(SUM(PIL!$K$15:$K$28)/SUMPRODUCT(PIL!$K$15:$K$28,PIL!$J$15:$J$28)))</f>
        <v/>
      </c>
      <c r="U162" t="str">
        <f>IF($A162="","",SUMIFS(PIL!$K$15:$K$28,PIL!$A$15:$A$28,$A162))</f>
        <v/>
      </c>
      <c r="V162" t="str">
        <f>IF($A162="","",IF($B162="V01",cad!$C$23,IF($B162="V02",cad!$D$23,cad!$E$23)))</f>
        <v/>
      </c>
      <c r="W162" t="str">
        <f>IF($A162="","",IF($B162="V01",cad!$C$24,IF($B162="V02",cad!$D$24,cad!$E$24)))</f>
        <v/>
      </c>
      <c r="X162" t="str">
        <f>IF($A162="","",IF($B162="V01",cad!$C$25,IF($B162="V02",cad!$D$25,cad!$E$25)))</f>
        <v/>
      </c>
      <c r="Y162" t="str">
        <f>IF($A162="","",IF($B162="V01",cad!$C$26,IF($B162="V02",cad!$D$26,cad!$E$26)))</f>
        <v/>
      </c>
      <c r="Z162" t="str">
        <f>IF($A162="","",IF($B162="V01",cad!$C$27,IF($B162="V02",cad!$D$27,cad!$E$27)))</f>
        <v/>
      </c>
      <c r="AA162" t="str">
        <f>IF($A162="","",IF($B162="V01",cad!$C$28,IF($B162="V02",cad!$D$28,cad!$E$28)))</f>
        <v/>
      </c>
      <c r="AB162" t="str">
        <f>IF($A162="","",IF($B162="V01",cad!$C$39,IF($B162="V02",cad!$D$39,cad!$E$39)))</f>
        <v/>
      </c>
      <c r="AC162" t="str">
        <f>IF($A162="","",IF($F162="MBWAY",cad!$J$12,IF($F162="ISCOM",cad!$J$13,IF($F162="IPAC",cad!$J$14,IF($F162="PIGIER",cad!$J$15,cad!$J$16)))))</f>
        <v/>
      </c>
      <c r="AD162" t="str">
        <f t="shared" si="13"/>
        <v/>
      </c>
      <c r="AE162" t="str">
        <f t="shared" si="14"/>
        <v/>
      </c>
      <c r="AF162" t="str">
        <f t="shared" si="15"/>
        <v/>
      </c>
      <c r="AG162" t="str">
        <f t="shared" si="16"/>
        <v/>
      </c>
      <c r="AH162" t="str">
        <f t="shared" si="17"/>
        <v/>
      </c>
    </row>
    <row r="163" spans="1:34" x14ac:dyDescent="0.45">
      <c r="A163" t="str">
        <f>IF(Moteur!D163="","",Moteur!D163)</f>
        <v/>
      </c>
      <c r="B163" t="str">
        <f>IF(Moteur!B163="","",Moteur!B163)</f>
        <v/>
      </c>
      <c r="C163" t="str">
        <f>IF(Moteur!F163="","",Moteur!F163)</f>
        <v/>
      </c>
      <c r="D163" t="str">
        <f>IF(Moteur!G163="","",Moteur!G163)</f>
        <v/>
      </c>
      <c r="E163" t="str">
        <f>IF(Moteur!H163="","",Moteur!H163)</f>
        <v/>
      </c>
      <c r="F163" t="str">
        <f>IF(Moteur!E163="","",Moteur!E163)</f>
        <v/>
      </c>
      <c r="G163" t="str">
        <f>IF($A163="","",SUMIFS(Allocation2!$H$1:$H$175,Allocation2!$C$1:$C$175,$A163,Allocation2!$D$1:$D$175,$C163,Allocation2!$E$1:$E$175,$D163,Allocation2!$F$1:$F$175,$E163,Allocation2!$G$1:$G$175,"2026"))</f>
        <v/>
      </c>
      <c r="H163" t="str">
        <f>IF($A163="","",SUMIFS(Allocation2!$N$1:$N$175,Allocation2!$C$1:$C$175,$A163,Allocation2!$D$1:$D$175,$C163,Allocation2!$E$1:$E$175,$D163,Allocation2!$F$1:$F$175,$E163,Allocation2!$G$1:$G$175,"2026"))</f>
        <v/>
      </c>
      <c r="I163" t="str">
        <f>IF($A163="","",SUMIFS(Allocation2!$P$1:$P$175,Allocation2!$C$1:$C$175,$A163,Allocation2!$D$1:$D$175,$C163,Allocation2!$E$1:$E$175,$D163,Allocation2!$F$1:$F$175,$E163,Allocation2!$G$1:$G$175,"2026"))</f>
        <v/>
      </c>
      <c r="J163" t="str">
        <f>IF($A163="","",SUMIFS(Allocation2!$W$1:$W$175,Allocation2!$C$1:$C$175,$A163,Allocation2!$D$1:$D$175,$C163,Allocation2!$E$1:$E$175,$D163,Allocation2!$F$1:$F$175,$E163,Allocation2!$G$1:$G$175,"2026"))</f>
        <v/>
      </c>
      <c r="K163" t="str">
        <f>IF($A163="","",SUMIFS(Allocation2!$X$1:$X$175,Allocation2!$C$1:$C$175,$A163,Allocation2!$D$1:$D$175,$C163,Allocation2!$E$1:$E$175,$D163,Allocation2!$F$1:$F$175,$E163,Allocation2!$G$1:$G$175,"2026"))</f>
        <v/>
      </c>
      <c r="L163" t="str">
        <f>IF($A163="","",SUMIFS(Allocation2!$Y$1:$Y$175,Allocation2!$C$1:$C$175,$A163,Allocation2!$D$1:$D$175,$C163,Allocation2!$E$1:$E$175,$D163,Allocation2!$F$1:$F$175,$E163,Allocation2!$G$1:$G$175,"2026"))</f>
        <v/>
      </c>
      <c r="M163" t="str">
        <f>IF($A163="","",SUMIFS(Allocation2!$V$1:$V$175,Allocation2!$C$1:$C$175,$A163,Allocation2!$D$1:$D$175,$C163,Allocation2!$E$1:$E$175,$D163,Allocation2!$F$1:$F$175,$E163,Allocation2!$G$1:$G$175,"2026"))</f>
        <v/>
      </c>
      <c r="N163" t="str">
        <f t="shared" si="12"/>
        <v/>
      </c>
      <c r="O163" t="str">
        <f>IF($A163="","",SUMIFS(Campagne!$D$1:$D$15,Campagne!$C$1:$C$15,$A163))</f>
        <v/>
      </c>
      <c r="P163" t="str">
        <f>IF($A163="","",SUMIFS(Campagne!$E$1:$E$15,Campagne!$C$1:$C$15,$A163))</f>
        <v/>
      </c>
      <c r="Q163" t="str">
        <f>IF($A163="","",SUMIFS(Campagne!$F$1:$F$15,Campagne!$C$1:$C$15,$A163))</f>
        <v/>
      </c>
      <c r="R163" t="str">
        <f>IF($A163="","",SUMIFS(Campagne!$K$1:$K$15,Campagne!$C$1:$C$15,$A163))</f>
        <v/>
      </c>
      <c r="S163" t="str">
        <f>IF($A163="","",SUMIFS(Campagne!$M$1:$M$15,Campagne!$C$1:$C$15,$A163))</f>
        <v/>
      </c>
      <c r="T163" t="str">
        <f>IF($A163="","",SUMIFS(PIL!$K$15:$K$28,PIL!$A$15:$A$28,$A163)*SUMIFS(PIL!$J$15:$J$28,PIL!$A$15:$A$28,$A163)*(SUM(PIL!$K$15:$K$28)/SUMPRODUCT(PIL!$K$15:$K$28,PIL!$J$15:$J$28)))</f>
        <v/>
      </c>
      <c r="U163" t="str">
        <f>IF($A163="","",SUMIFS(PIL!$K$15:$K$28,PIL!$A$15:$A$28,$A163))</f>
        <v/>
      </c>
      <c r="V163" t="str">
        <f>IF($A163="","",IF($B163="V01",cad!$C$23,IF($B163="V02",cad!$D$23,cad!$E$23)))</f>
        <v/>
      </c>
      <c r="W163" t="str">
        <f>IF($A163="","",IF($B163="V01",cad!$C$24,IF($B163="V02",cad!$D$24,cad!$E$24)))</f>
        <v/>
      </c>
      <c r="X163" t="str">
        <f>IF($A163="","",IF($B163="V01",cad!$C$25,IF($B163="V02",cad!$D$25,cad!$E$25)))</f>
        <v/>
      </c>
      <c r="Y163" t="str">
        <f>IF($A163="","",IF($B163="V01",cad!$C$26,IF($B163="V02",cad!$D$26,cad!$E$26)))</f>
        <v/>
      </c>
      <c r="Z163" t="str">
        <f>IF($A163="","",IF($B163="V01",cad!$C$27,IF($B163="V02",cad!$D$27,cad!$E$27)))</f>
        <v/>
      </c>
      <c r="AA163" t="str">
        <f>IF($A163="","",IF($B163="V01",cad!$C$28,IF($B163="V02",cad!$D$28,cad!$E$28)))</f>
        <v/>
      </c>
      <c r="AB163" t="str">
        <f>IF($A163="","",IF($B163="V01",cad!$C$39,IF($B163="V02",cad!$D$39,cad!$E$39)))</f>
        <v/>
      </c>
      <c r="AC163" t="str">
        <f>IF($A163="","",IF($F163="MBWAY",cad!$J$12,IF($F163="ISCOM",cad!$J$13,IF($F163="IPAC",cad!$J$14,IF($F163="PIGIER",cad!$J$15,cad!$J$16)))))</f>
        <v/>
      </c>
      <c r="AD163" t="str">
        <f t="shared" si="13"/>
        <v/>
      </c>
      <c r="AE163" t="str">
        <f t="shared" si="14"/>
        <v/>
      </c>
      <c r="AF163" t="str">
        <f t="shared" si="15"/>
        <v/>
      </c>
      <c r="AG163" t="str">
        <f t="shared" si="16"/>
        <v/>
      </c>
      <c r="AH163" t="str">
        <f t="shared" si="17"/>
        <v/>
      </c>
    </row>
    <row r="164" spans="1:34" x14ac:dyDescent="0.45">
      <c r="A164" t="str">
        <f>IF(Moteur!D164="","",Moteur!D164)</f>
        <v/>
      </c>
      <c r="B164" t="str">
        <f>IF(Moteur!B164="","",Moteur!B164)</f>
        <v/>
      </c>
      <c r="C164" t="str">
        <f>IF(Moteur!F164="","",Moteur!F164)</f>
        <v/>
      </c>
      <c r="D164" t="str">
        <f>IF(Moteur!G164="","",Moteur!G164)</f>
        <v/>
      </c>
      <c r="E164" t="str">
        <f>IF(Moteur!H164="","",Moteur!H164)</f>
        <v/>
      </c>
      <c r="F164" t="str">
        <f>IF(Moteur!E164="","",Moteur!E164)</f>
        <v/>
      </c>
      <c r="G164" t="str">
        <f>IF($A164="","",SUMIFS(Allocation2!$H$1:$H$175,Allocation2!$C$1:$C$175,$A164,Allocation2!$D$1:$D$175,$C164,Allocation2!$E$1:$E$175,$D164,Allocation2!$F$1:$F$175,$E164,Allocation2!$G$1:$G$175,"2026"))</f>
        <v/>
      </c>
      <c r="H164" t="str">
        <f>IF($A164="","",SUMIFS(Allocation2!$N$1:$N$175,Allocation2!$C$1:$C$175,$A164,Allocation2!$D$1:$D$175,$C164,Allocation2!$E$1:$E$175,$D164,Allocation2!$F$1:$F$175,$E164,Allocation2!$G$1:$G$175,"2026"))</f>
        <v/>
      </c>
      <c r="I164" t="str">
        <f>IF($A164="","",SUMIFS(Allocation2!$P$1:$P$175,Allocation2!$C$1:$C$175,$A164,Allocation2!$D$1:$D$175,$C164,Allocation2!$E$1:$E$175,$D164,Allocation2!$F$1:$F$175,$E164,Allocation2!$G$1:$G$175,"2026"))</f>
        <v/>
      </c>
      <c r="J164" t="str">
        <f>IF($A164="","",SUMIFS(Allocation2!$W$1:$W$175,Allocation2!$C$1:$C$175,$A164,Allocation2!$D$1:$D$175,$C164,Allocation2!$E$1:$E$175,$D164,Allocation2!$F$1:$F$175,$E164,Allocation2!$G$1:$G$175,"2026"))</f>
        <v/>
      </c>
      <c r="K164" t="str">
        <f>IF($A164="","",SUMIFS(Allocation2!$X$1:$X$175,Allocation2!$C$1:$C$175,$A164,Allocation2!$D$1:$D$175,$C164,Allocation2!$E$1:$E$175,$D164,Allocation2!$F$1:$F$175,$E164,Allocation2!$G$1:$G$175,"2026"))</f>
        <v/>
      </c>
      <c r="L164" t="str">
        <f>IF($A164="","",SUMIFS(Allocation2!$Y$1:$Y$175,Allocation2!$C$1:$C$175,$A164,Allocation2!$D$1:$D$175,$C164,Allocation2!$E$1:$E$175,$D164,Allocation2!$F$1:$F$175,$E164,Allocation2!$G$1:$G$175,"2026"))</f>
        <v/>
      </c>
      <c r="M164" t="str">
        <f>IF($A164="","",SUMIFS(Allocation2!$V$1:$V$175,Allocation2!$C$1:$C$175,$A164,Allocation2!$D$1:$D$175,$C164,Allocation2!$E$1:$E$175,$D164,Allocation2!$F$1:$F$175,$E164,Allocation2!$G$1:$G$175,"2026"))</f>
        <v/>
      </c>
      <c r="N164" t="str">
        <f t="shared" si="12"/>
        <v/>
      </c>
      <c r="O164" t="str">
        <f>IF($A164="","",SUMIFS(Campagne!$D$1:$D$15,Campagne!$C$1:$C$15,$A164))</f>
        <v/>
      </c>
      <c r="P164" t="str">
        <f>IF($A164="","",SUMIFS(Campagne!$E$1:$E$15,Campagne!$C$1:$C$15,$A164))</f>
        <v/>
      </c>
      <c r="Q164" t="str">
        <f>IF($A164="","",SUMIFS(Campagne!$F$1:$F$15,Campagne!$C$1:$C$15,$A164))</f>
        <v/>
      </c>
      <c r="R164" t="str">
        <f>IF($A164="","",SUMIFS(Campagne!$K$1:$K$15,Campagne!$C$1:$C$15,$A164))</f>
        <v/>
      </c>
      <c r="S164" t="str">
        <f>IF($A164="","",SUMIFS(Campagne!$M$1:$M$15,Campagne!$C$1:$C$15,$A164))</f>
        <v/>
      </c>
      <c r="T164" t="str">
        <f>IF($A164="","",SUMIFS(PIL!$K$15:$K$28,PIL!$A$15:$A$28,$A164)*SUMIFS(PIL!$J$15:$J$28,PIL!$A$15:$A$28,$A164)*(SUM(PIL!$K$15:$K$28)/SUMPRODUCT(PIL!$K$15:$K$28,PIL!$J$15:$J$28)))</f>
        <v/>
      </c>
      <c r="U164" t="str">
        <f>IF($A164="","",SUMIFS(PIL!$K$15:$K$28,PIL!$A$15:$A$28,$A164))</f>
        <v/>
      </c>
      <c r="V164" t="str">
        <f>IF($A164="","",IF($B164="V01",cad!$C$23,IF($B164="V02",cad!$D$23,cad!$E$23)))</f>
        <v/>
      </c>
      <c r="W164" t="str">
        <f>IF($A164="","",IF($B164="V01",cad!$C$24,IF($B164="V02",cad!$D$24,cad!$E$24)))</f>
        <v/>
      </c>
      <c r="X164" t="str">
        <f>IF($A164="","",IF($B164="V01",cad!$C$25,IF($B164="V02",cad!$D$25,cad!$E$25)))</f>
        <v/>
      </c>
      <c r="Y164" t="str">
        <f>IF($A164="","",IF($B164="V01",cad!$C$26,IF($B164="V02",cad!$D$26,cad!$E$26)))</f>
        <v/>
      </c>
      <c r="Z164" t="str">
        <f>IF($A164="","",IF($B164="V01",cad!$C$27,IF($B164="V02",cad!$D$27,cad!$E$27)))</f>
        <v/>
      </c>
      <c r="AA164" t="str">
        <f>IF($A164="","",IF($B164="V01",cad!$C$28,IF($B164="V02",cad!$D$28,cad!$E$28)))</f>
        <v/>
      </c>
      <c r="AB164" t="str">
        <f>IF($A164="","",IF($B164="V01",cad!$C$39,IF($B164="V02",cad!$D$39,cad!$E$39)))</f>
        <v/>
      </c>
      <c r="AC164" t="str">
        <f>IF($A164="","",IF($F164="MBWAY",cad!$J$12,IF($F164="ISCOM",cad!$J$13,IF($F164="IPAC",cad!$J$14,IF($F164="PIGIER",cad!$J$15,cad!$J$16)))))</f>
        <v/>
      </c>
      <c r="AD164" t="str">
        <f t="shared" si="13"/>
        <v/>
      </c>
      <c r="AE164" t="str">
        <f t="shared" si="14"/>
        <v/>
      </c>
      <c r="AF164" t="str">
        <f t="shared" si="15"/>
        <v/>
      </c>
      <c r="AG164" t="str">
        <f t="shared" si="16"/>
        <v/>
      </c>
      <c r="AH164" t="str">
        <f t="shared" si="17"/>
        <v/>
      </c>
    </row>
    <row r="165" spans="1:34" x14ac:dyDescent="0.45">
      <c r="A165" t="str">
        <f>IF(Moteur!D165="","",Moteur!D165)</f>
        <v/>
      </c>
      <c r="B165" t="str">
        <f>IF(Moteur!B165="","",Moteur!B165)</f>
        <v/>
      </c>
      <c r="C165" t="str">
        <f>IF(Moteur!F165="","",Moteur!F165)</f>
        <v/>
      </c>
      <c r="D165" t="str">
        <f>IF(Moteur!G165="","",Moteur!G165)</f>
        <v/>
      </c>
      <c r="E165" t="str">
        <f>IF(Moteur!H165="","",Moteur!H165)</f>
        <v/>
      </c>
      <c r="F165" t="str">
        <f>IF(Moteur!E165="","",Moteur!E165)</f>
        <v/>
      </c>
      <c r="G165" t="str">
        <f>IF($A165="","",SUMIFS(Allocation2!$H$1:$H$175,Allocation2!$C$1:$C$175,$A165,Allocation2!$D$1:$D$175,$C165,Allocation2!$E$1:$E$175,$D165,Allocation2!$F$1:$F$175,$E165,Allocation2!$G$1:$G$175,"2026"))</f>
        <v/>
      </c>
      <c r="H165" t="str">
        <f>IF($A165="","",SUMIFS(Allocation2!$N$1:$N$175,Allocation2!$C$1:$C$175,$A165,Allocation2!$D$1:$D$175,$C165,Allocation2!$E$1:$E$175,$D165,Allocation2!$F$1:$F$175,$E165,Allocation2!$G$1:$G$175,"2026"))</f>
        <v/>
      </c>
      <c r="I165" t="str">
        <f>IF($A165="","",SUMIFS(Allocation2!$P$1:$P$175,Allocation2!$C$1:$C$175,$A165,Allocation2!$D$1:$D$175,$C165,Allocation2!$E$1:$E$175,$D165,Allocation2!$F$1:$F$175,$E165,Allocation2!$G$1:$G$175,"2026"))</f>
        <v/>
      </c>
      <c r="J165" t="str">
        <f>IF($A165="","",SUMIFS(Allocation2!$W$1:$W$175,Allocation2!$C$1:$C$175,$A165,Allocation2!$D$1:$D$175,$C165,Allocation2!$E$1:$E$175,$D165,Allocation2!$F$1:$F$175,$E165,Allocation2!$G$1:$G$175,"2026"))</f>
        <v/>
      </c>
      <c r="K165" t="str">
        <f>IF($A165="","",SUMIFS(Allocation2!$X$1:$X$175,Allocation2!$C$1:$C$175,$A165,Allocation2!$D$1:$D$175,$C165,Allocation2!$E$1:$E$175,$D165,Allocation2!$F$1:$F$175,$E165,Allocation2!$G$1:$G$175,"2026"))</f>
        <v/>
      </c>
      <c r="L165" t="str">
        <f>IF($A165="","",SUMIFS(Allocation2!$Y$1:$Y$175,Allocation2!$C$1:$C$175,$A165,Allocation2!$D$1:$D$175,$C165,Allocation2!$E$1:$E$175,$D165,Allocation2!$F$1:$F$175,$E165,Allocation2!$G$1:$G$175,"2026"))</f>
        <v/>
      </c>
      <c r="M165" t="str">
        <f>IF($A165="","",SUMIFS(Allocation2!$V$1:$V$175,Allocation2!$C$1:$C$175,$A165,Allocation2!$D$1:$D$175,$C165,Allocation2!$E$1:$E$175,$D165,Allocation2!$F$1:$F$175,$E165,Allocation2!$G$1:$G$175,"2026"))</f>
        <v/>
      </c>
      <c r="N165" t="str">
        <f t="shared" si="12"/>
        <v/>
      </c>
      <c r="O165" t="str">
        <f>IF($A165="","",SUMIFS(Campagne!$D$1:$D$15,Campagne!$C$1:$C$15,$A165))</f>
        <v/>
      </c>
      <c r="P165" t="str">
        <f>IF($A165="","",SUMIFS(Campagne!$E$1:$E$15,Campagne!$C$1:$C$15,$A165))</f>
        <v/>
      </c>
      <c r="Q165" t="str">
        <f>IF($A165="","",SUMIFS(Campagne!$F$1:$F$15,Campagne!$C$1:$C$15,$A165))</f>
        <v/>
      </c>
      <c r="R165" t="str">
        <f>IF($A165="","",SUMIFS(Campagne!$K$1:$K$15,Campagne!$C$1:$C$15,$A165))</f>
        <v/>
      </c>
      <c r="S165" t="str">
        <f>IF($A165="","",SUMIFS(Campagne!$M$1:$M$15,Campagne!$C$1:$C$15,$A165))</f>
        <v/>
      </c>
      <c r="T165" t="str">
        <f>IF($A165="","",SUMIFS(PIL!$K$15:$K$28,PIL!$A$15:$A$28,$A165)*SUMIFS(PIL!$J$15:$J$28,PIL!$A$15:$A$28,$A165)*(SUM(PIL!$K$15:$K$28)/SUMPRODUCT(PIL!$K$15:$K$28,PIL!$J$15:$J$28)))</f>
        <v/>
      </c>
      <c r="U165" t="str">
        <f>IF($A165="","",SUMIFS(PIL!$K$15:$K$28,PIL!$A$15:$A$28,$A165))</f>
        <v/>
      </c>
      <c r="V165" t="str">
        <f>IF($A165="","",IF($B165="V01",cad!$C$23,IF($B165="V02",cad!$D$23,cad!$E$23)))</f>
        <v/>
      </c>
      <c r="W165" t="str">
        <f>IF($A165="","",IF($B165="V01",cad!$C$24,IF($B165="V02",cad!$D$24,cad!$E$24)))</f>
        <v/>
      </c>
      <c r="X165" t="str">
        <f>IF($A165="","",IF($B165="V01",cad!$C$25,IF($B165="V02",cad!$D$25,cad!$E$25)))</f>
        <v/>
      </c>
      <c r="Y165" t="str">
        <f>IF($A165="","",IF($B165="V01",cad!$C$26,IF($B165="V02",cad!$D$26,cad!$E$26)))</f>
        <v/>
      </c>
      <c r="Z165" t="str">
        <f>IF($A165="","",IF($B165="V01",cad!$C$27,IF($B165="V02",cad!$D$27,cad!$E$27)))</f>
        <v/>
      </c>
      <c r="AA165" t="str">
        <f>IF($A165="","",IF($B165="V01",cad!$C$28,IF($B165="V02",cad!$D$28,cad!$E$28)))</f>
        <v/>
      </c>
      <c r="AB165" t="str">
        <f>IF($A165="","",IF($B165="V01",cad!$C$39,IF($B165="V02",cad!$D$39,cad!$E$39)))</f>
        <v/>
      </c>
      <c r="AC165" t="str">
        <f>IF($A165="","",IF($F165="MBWAY",cad!$J$12,IF($F165="ISCOM",cad!$J$13,IF($F165="IPAC",cad!$J$14,IF($F165="PIGIER",cad!$J$15,cad!$J$16)))))</f>
        <v/>
      </c>
      <c r="AD165" t="str">
        <f t="shared" si="13"/>
        <v/>
      </c>
      <c r="AE165" t="str">
        <f t="shared" si="14"/>
        <v/>
      </c>
      <c r="AF165" t="str">
        <f t="shared" si="15"/>
        <v/>
      </c>
      <c r="AG165" t="str">
        <f t="shared" si="16"/>
        <v/>
      </c>
      <c r="AH165" t="str">
        <f t="shared" si="17"/>
        <v/>
      </c>
    </row>
    <row r="166" spans="1:34" x14ac:dyDescent="0.45">
      <c r="A166" t="str">
        <f>IF(Moteur!D166="","",Moteur!D166)</f>
        <v/>
      </c>
      <c r="B166" t="str">
        <f>IF(Moteur!B166="","",Moteur!B166)</f>
        <v/>
      </c>
      <c r="C166" t="str">
        <f>IF(Moteur!F166="","",Moteur!F166)</f>
        <v/>
      </c>
      <c r="D166" t="str">
        <f>IF(Moteur!G166="","",Moteur!G166)</f>
        <v/>
      </c>
      <c r="E166" t="str">
        <f>IF(Moteur!H166="","",Moteur!H166)</f>
        <v/>
      </c>
      <c r="F166" t="str">
        <f>IF(Moteur!E166="","",Moteur!E166)</f>
        <v/>
      </c>
      <c r="G166" t="str">
        <f>IF($A166="","",SUMIFS(Allocation2!$H$1:$H$175,Allocation2!$C$1:$C$175,$A166,Allocation2!$D$1:$D$175,$C166,Allocation2!$E$1:$E$175,$D166,Allocation2!$F$1:$F$175,$E166,Allocation2!$G$1:$G$175,"2026"))</f>
        <v/>
      </c>
      <c r="H166" t="str">
        <f>IF($A166="","",SUMIFS(Allocation2!$N$1:$N$175,Allocation2!$C$1:$C$175,$A166,Allocation2!$D$1:$D$175,$C166,Allocation2!$E$1:$E$175,$D166,Allocation2!$F$1:$F$175,$E166,Allocation2!$G$1:$G$175,"2026"))</f>
        <v/>
      </c>
      <c r="I166" t="str">
        <f>IF($A166="","",SUMIFS(Allocation2!$P$1:$P$175,Allocation2!$C$1:$C$175,$A166,Allocation2!$D$1:$D$175,$C166,Allocation2!$E$1:$E$175,$D166,Allocation2!$F$1:$F$175,$E166,Allocation2!$G$1:$G$175,"2026"))</f>
        <v/>
      </c>
      <c r="J166" t="str">
        <f>IF($A166="","",SUMIFS(Allocation2!$W$1:$W$175,Allocation2!$C$1:$C$175,$A166,Allocation2!$D$1:$D$175,$C166,Allocation2!$E$1:$E$175,$D166,Allocation2!$F$1:$F$175,$E166,Allocation2!$G$1:$G$175,"2026"))</f>
        <v/>
      </c>
      <c r="K166" t="str">
        <f>IF($A166="","",SUMIFS(Allocation2!$X$1:$X$175,Allocation2!$C$1:$C$175,$A166,Allocation2!$D$1:$D$175,$C166,Allocation2!$E$1:$E$175,$D166,Allocation2!$F$1:$F$175,$E166,Allocation2!$G$1:$G$175,"2026"))</f>
        <v/>
      </c>
      <c r="L166" t="str">
        <f>IF($A166="","",SUMIFS(Allocation2!$Y$1:$Y$175,Allocation2!$C$1:$C$175,$A166,Allocation2!$D$1:$D$175,$C166,Allocation2!$E$1:$E$175,$D166,Allocation2!$F$1:$F$175,$E166,Allocation2!$G$1:$G$175,"2026"))</f>
        <v/>
      </c>
      <c r="M166" t="str">
        <f>IF($A166="","",SUMIFS(Allocation2!$V$1:$V$175,Allocation2!$C$1:$C$175,$A166,Allocation2!$D$1:$D$175,$C166,Allocation2!$E$1:$E$175,$D166,Allocation2!$F$1:$F$175,$E166,Allocation2!$G$1:$G$175,"2026"))</f>
        <v/>
      </c>
      <c r="N166" t="str">
        <f t="shared" si="12"/>
        <v/>
      </c>
      <c r="O166" t="str">
        <f>IF($A166="","",SUMIFS(Campagne!$D$1:$D$15,Campagne!$C$1:$C$15,$A166))</f>
        <v/>
      </c>
      <c r="P166" t="str">
        <f>IF($A166="","",SUMIFS(Campagne!$E$1:$E$15,Campagne!$C$1:$C$15,$A166))</f>
        <v/>
      </c>
      <c r="Q166" t="str">
        <f>IF($A166="","",SUMIFS(Campagne!$F$1:$F$15,Campagne!$C$1:$C$15,$A166))</f>
        <v/>
      </c>
      <c r="R166" t="str">
        <f>IF($A166="","",SUMIFS(Campagne!$K$1:$K$15,Campagne!$C$1:$C$15,$A166))</f>
        <v/>
      </c>
      <c r="S166" t="str">
        <f>IF($A166="","",SUMIFS(Campagne!$M$1:$M$15,Campagne!$C$1:$C$15,$A166))</f>
        <v/>
      </c>
      <c r="T166" t="str">
        <f>IF($A166="","",SUMIFS(PIL!$K$15:$K$28,PIL!$A$15:$A$28,$A166)*SUMIFS(PIL!$J$15:$J$28,PIL!$A$15:$A$28,$A166)*(SUM(PIL!$K$15:$K$28)/SUMPRODUCT(PIL!$K$15:$K$28,PIL!$J$15:$J$28)))</f>
        <v/>
      </c>
      <c r="U166" t="str">
        <f>IF($A166="","",SUMIFS(PIL!$K$15:$K$28,PIL!$A$15:$A$28,$A166))</f>
        <v/>
      </c>
      <c r="V166" t="str">
        <f>IF($A166="","",IF($B166="V01",cad!$C$23,IF($B166="V02",cad!$D$23,cad!$E$23)))</f>
        <v/>
      </c>
      <c r="W166" t="str">
        <f>IF($A166="","",IF($B166="V01",cad!$C$24,IF($B166="V02",cad!$D$24,cad!$E$24)))</f>
        <v/>
      </c>
      <c r="X166" t="str">
        <f>IF($A166="","",IF($B166="V01",cad!$C$25,IF($B166="V02",cad!$D$25,cad!$E$25)))</f>
        <v/>
      </c>
      <c r="Y166" t="str">
        <f>IF($A166="","",IF($B166="V01",cad!$C$26,IF($B166="V02",cad!$D$26,cad!$E$26)))</f>
        <v/>
      </c>
      <c r="Z166" t="str">
        <f>IF($A166="","",IF($B166="V01",cad!$C$27,IF($B166="V02",cad!$D$27,cad!$E$27)))</f>
        <v/>
      </c>
      <c r="AA166" t="str">
        <f>IF($A166="","",IF($B166="V01",cad!$C$28,IF($B166="V02",cad!$D$28,cad!$E$28)))</f>
        <v/>
      </c>
      <c r="AB166" t="str">
        <f>IF($A166="","",IF($B166="V01",cad!$C$39,IF($B166="V02",cad!$D$39,cad!$E$39)))</f>
        <v/>
      </c>
      <c r="AC166" t="str">
        <f>IF($A166="","",IF($F166="MBWAY",cad!$J$12,IF($F166="ISCOM",cad!$J$13,IF($F166="IPAC",cad!$J$14,IF($F166="PIGIER",cad!$J$15,cad!$J$16)))))</f>
        <v/>
      </c>
      <c r="AD166" t="str">
        <f t="shared" si="13"/>
        <v/>
      </c>
      <c r="AE166" t="str">
        <f t="shared" si="14"/>
        <v/>
      </c>
      <c r="AF166" t="str">
        <f t="shared" si="15"/>
        <v/>
      </c>
      <c r="AG166" t="str">
        <f t="shared" si="16"/>
        <v/>
      </c>
      <c r="AH166" t="str">
        <f t="shared" si="17"/>
        <v/>
      </c>
    </row>
    <row r="167" spans="1:34" x14ac:dyDescent="0.45">
      <c r="A167" t="str">
        <f>IF(Moteur!D167="","",Moteur!D167)</f>
        <v/>
      </c>
      <c r="B167" t="str">
        <f>IF(Moteur!B167="","",Moteur!B167)</f>
        <v/>
      </c>
      <c r="C167" t="str">
        <f>IF(Moteur!F167="","",Moteur!F167)</f>
        <v/>
      </c>
      <c r="D167" t="str">
        <f>IF(Moteur!G167="","",Moteur!G167)</f>
        <v/>
      </c>
      <c r="E167" t="str">
        <f>IF(Moteur!H167="","",Moteur!H167)</f>
        <v/>
      </c>
      <c r="F167" t="str">
        <f>IF(Moteur!E167="","",Moteur!E167)</f>
        <v/>
      </c>
      <c r="G167" t="str">
        <f>IF($A167="","",SUMIFS(Allocation2!$H$1:$H$175,Allocation2!$C$1:$C$175,$A167,Allocation2!$D$1:$D$175,$C167,Allocation2!$E$1:$E$175,$D167,Allocation2!$F$1:$F$175,$E167,Allocation2!$G$1:$G$175,"2026"))</f>
        <v/>
      </c>
      <c r="H167" t="str">
        <f>IF($A167="","",SUMIFS(Allocation2!$N$1:$N$175,Allocation2!$C$1:$C$175,$A167,Allocation2!$D$1:$D$175,$C167,Allocation2!$E$1:$E$175,$D167,Allocation2!$F$1:$F$175,$E167,Allocation2!$G$1:$G$175,"2026"))</f>
        <v/>
      </c>
      <c r="I167" t="str">
        <f>IF($A167="","",SUMIFS(Allocation2!$P$1:$P$175,Allocation2!$C$1:$C$175,$A167,Allocation2!$D$1:$D$175,$C167,Allocation2!$E$1:$E$175,$D167,Allocation2!$F$1:$F$175,$E167,Allocation2!$G$1:$G$175,"2026"))</f>
        <v/>
      </c>
      <c r="J167" t="str">
        <f>IF($A167="","",SUMIFS(Allocation2!$W$1:$W$175,Allocation2!$C$1:$C$175,$A167,Allocation2!$D$1:$D$175,$C167,Allocation2!$E$1:$E$175,$D167,Allocation2!$F$1:$F$175,$E167,Allocation2!$G$1:$G$175,"2026"))</f>
        <v/>
      </c>
      <c r="K167" t="str">
        <f>IF($A167="","",SUMIFS(Allocation2!$X$1:$X$175,Allocation2!$C$1:$C$175,$A167,Allocation2!$D$1:$D$175,$C167,Allocation2!$E$1:$E$175,$D167,Allocation2!$F$1:$F$175,$E167,Allocation2!$G$1:$G$175,"2026"))</f>
        <v/>
      </c>
      <c r="L167" t="str">
        <f>IF($A167="","",SUMIFS(Allocation2!$Y$1:$Y$175,Allocation2!$C$1:$C$175,$A167,Allocation2!$D$1:$D$175,$C167,Allocation2!$E$1:$E$175,$D167,Allocation2!$F$1:$F$175,$E167,Allocation2!$G$1:$G$175,"2026"))</f>
        <v/>
      </c>
      <c r="M167" t="str">
        <f>IF($A167="","",SUMIFS(Allocation2!$V$1:$V$175,Allocation2!$C$1:$C$175,$A167,Allocation2!$D$1:$D$175,$C167,Allocation2!$E$1:$E$175,$D167,Allocation2!$F$1:$F$175,$E167,Allocation2!$G$1:$G$175,"2026"))</f>
        <v/>
      </c>
      <c r="N167" t="str">
        <f t="shared" si="12"/>
        <v/>
      </c>
      <c r="O167" t="str">
        <f>IF($A167="","",SUMIFS(Campagne!$D$1:$D$15,Campagne!$C$1:$C$15,$A167))</f>
        <v/>
      </c>
      <c r="P167" t="str">
        <f>IF($A167="","",SUMIFS(Campagne!$E$1:$E$15,Campagne!$C$1:$C$15,$A167))</f>
        <v/>
      </c>
      <c r="Q167" t="str">
        <f>IF($A167="","",SUMIFS(Campagne!$F$1:$F$15,Campagne!$C$1:$C$15,$A167))</f>
        <v/>
      </c>
      <c r="R167" t="str">
        <f>IF($A167="","",SUMIFS(Campagne!$K$1:$K$15,Campagne!$C$1:$C$15,$A167))</f>
        <v/>
      </c>
      <c r="S167" t="str">
        <f>IF($A167="","",SUMIFS(Campagne!$M$1:$M$15,Campagne!$C$1:$C$15,$A167))</f>
        <v/>
      </c>
      <c r="T167" t="str">
        <f>IF($A167="","",SUMIFS(PIL!$K$15:$K$28,PIL!$A$15:$A$28,$A167)*SUMIFS(PIL!$J$15:$J$28,PIL!$A$15:$A$28,$A167)*(SUM(PIL!$K$15:$K$28)/SUMPRODUCT(PIL!$K$15:$K$28,PIL!$J$15:$J$28)))</f>
        <v/>
      </c>
      <c r="U167" t="str">
        <f>IF($A167="","",SUMIFS(PIL!$K$15:$K$28,PIL!$A$15:$A$28,$A167))</f>
        <v/>
      </c>
      <c r="V167" t="str">
        <f>IF($A167="","",IF($B167="V01",cad!$C$23,IF($B167="V02",cad!$D$23,cad!$E$23)))</f>
        <v/>
      </c>
      <c r="W167" t="str">
        <f>IF($A167="","",IF($B167="V01",cad!$C$24,IF($B167="V02",cad!$D$24,cad!$E$24)))</f>
        <v/>
      </c>
      <c r="X167" t="str">
        <f>IF($A167="","",IF($B167="V01",cad!$C$25,IF($B167="V02",cad!$D$25,cad!$E$25)))</f>
        <v/>
      </c>
      <c r="Y167" t="str">
        <f>IF($A167="","",IF($B167="V01",cad!$C$26,IF($B167="V02",cad!$D$26,cad!$E$26)))</f>
        <v/>
      </c>
      <c r="Z167" t="str">
        <f>IF($A167="","",IF($B167="V01",cad!$C$27,IF($B167="V02",cad!$D$27,cad!$E$27)))</f>
        <v/>
      </c>
      <c r="AA167" t="str">
        <f>IF($A167="","",IF($B167="V01",cad!$C$28,IF($B167="V02",cad!$D$28,cad!$E$28)))</f>
        <v/>
      </c>
      <c r="AB167" t="str">
        <f>IF($A167="","",IF($B167="V01",cad!$C$39,IF($B167="V02",cad!$D$39,cad!$E$39)))</f>
        <v/>
      </c>
      <c r="AC167" t="str">
        <f>IF($A167="","",IF($F167="MBWAY",cad!$J$12,IF($F167="ISCOM",cad!$J$13,IF($F167="IPAC",cad!$J$14,IF($F167="PIGIER",cad!$J$15,cad!$J$16)))))</f>
        <v/>
      </c>
      <c r="AD167" t="str">
        <f t="shared" si="13"/>
        <v/>
      </c>
      <c r="AE167" t="str">
        <f t="shared" si="14"/>
        <v/>
      </c>
      <c r="AF167" t="str">
        <f t="shared" si="15"/>
        <v/>
      </c>
      <c r="AG167" t="str">
        <f t="shared" si="16"/>
        <v/>
      </c>
      <c r="AH167" t="str">
        <f t="shared" si="17"/>
        <v/>
      </c>
    </row>
    <row r="168" spans="1:34" x14ac:dyDescent="0.45">
      <c r="A168" t="str">
        <f>IF(Moteur!D168="","",Moteur!D168)</f>
        <v/>
      </c>
      <c r="B168" t="str">
        <f>IF(Moteur!B168="","",Moteur!B168)</f>
        <v/>
      </c>
      <c r="C168" t="str">
        <f>IF(Moteur!F168="","",Moteur!F168)</f>
        <v/>
      </c>
      <c r="D168" t="str">
        <f>IF(Moteur!G168="","",Moteur!G168)</f>
        <v/>
      </c>
      <c r="E168" t="str">
        <f>IF(Moteur!H168="","",Moteur!H168)</f>
        <v/>
      </c>
      <c r="F168" t="str">
        <f>IF(Moteur!E168="","",Moteur!E168)</f>
        <v/>
      </c>
      <c r="G168" t="str">
        <f>IF($A168="","",SUMIFS(Allocation2!$H$1:$H$175,Allocation2!$C$1:$C$175,$A168,Allocation2!$D$1:$D$175,$C168,Allocation2!$E$1:$E$175,$D168,Allocation2!$F$1:$F$175,$E168,Allocation2!$G$1:$G$175,"2026"))</f>
        <v/>
      </c>
      <c r="H168" t="str">
        <f>IF($A168="","",SUMIFS(Allocation2!$N$1:$N$175,Allocation2!$C$1:$C$175,$A168,Allocation2!$D$1:$D$175,$C168,Allocation2!$E$1:$E$175,$D168,Allocation2!$F$1:$F$175,$E168,Allocation2!$G$1:$G$175,"2026"))</f>
        <v/>
      </c>
      <c r="I168" t="str">
        <f>IF($A168="","",SUMIFS(Allocation2!$P$1:$P$175,Allocation2!$C$1:$C$175,$A168,Allocation2!$D$1:$D$175,$C168,Allocation2!$E$1:$E$175,$D168,Allocation2!$F$1:$F$175,$E168,Allocation2!$G$1:$G$175,"2026"))</f>
        <v/>
      </c>
      <c r="J168" t="str">
        <f>IF($A168="","",SUMIFS(Allocation2!$W$1:$W$175,Allocation2!$C$1:$C$175,$A168,Allocation2!$D$1:$D$175,$C168,Allocation2!$E$1:$E$175,$D168,Allocation2!$F$1:$F$175,$E168,Allocation2!$G$1:$G$175,"2026"))</f>
        <v/>
      </c>
      <c r="K168" t="str">
        <f>IF($A168="","",SUMIFS(Allocation2!$X$1:$X$175,Allocation2!$C$1:$C$175,$A168,Allocation2!$D$1:$D$175,$C168,Allocation2!$E$1:$E$175,$D168,Allocation2!$F$1:$F$175,$E168,Allocation2!$G$1:$G$175,"2026"))</f>
        <v/>
      </c>
      <c r="L168" t="str">
        <f>IF($A168="","",SUMIFS(Allocation2!$Y$1:$Y$175,Allocation2!$C$1:$C$175,$A168,Allocation2!$D$1:$D$175,$C168,Allocation2!$E$1:$E$175,$D168,Allocation2!$F$1:$F$175,$E168,Allocation2!$G$1:$G$175,"2026"))</f>
        <v/>
      </c>
      <c r="M168" t="str">
        <f>IF($A168="","",SUMIFS(Allocation2!$V$1:$V$175,Allocation2!$C$1:$C$175,$A168,Allocation2!$D$1:$D$175,$C168,Allocation2!$E$1:$E$175,$D168,Allocation2!$F$1:$F$175,$E168,Allocation2!$G$1:$G$175,"2026"))</f>
        <v/>
      </c>
      <c r="N168" t="str">
        <f t="shared" si="12"/>
        <v/>
      </c>
      <c r="O168" t="str">
        <f>IF($A168="","",SUMIFS(Campagne!$D$1:$D$15,Campagne!$C$1:$C$15,$A168))</f>
        <v/>
      </c>
      <c r="P168" t="str">
        <f>IF($A168="","",SUMIFS(Campagne!$E$1:$E$15,Campagne!$C$1:$C$15,$A168))</f>
        <v/>
      </c>
      <c r="Q168" t="str">
        <f>IF($A168="","",SUMIFS(Campagne!$F$1:$F$15,Campagne!$C$1:$C$15,$A168))</f>
        <v/>
      </c>
      <c r="R168" t="str">
        <f>IF($A168="","",SUMIFS(Campagne!$K$1:$K$15,Campagne!$C$1:$C$15,$A168))</f>
        <v/>
      </c>
      <c r="S168" t="str">
        <f>IF($A168="","",SUMIFS(Campagne!$M$1:$M$15,Campagne!$C$1:$C$15,$A168))</f>
        <v/>
      </c>
      <c r="T168" t="str">
        <f>IF($A168="","",SUMIFS(PIL!$K$15:$K$28,PIL!$A$15:$A$28,$A168)*SUMIFS(PIL!$J$15:$J$28,PIL!$A$15:$A$28,$A168)*(SUM(PIL!$K$15:$K$28)/SUMPRODUCT(PIL!$K$15:$K$28,PIL!$J$15:$J$28)))</f>
        <v/>
      </c>
      <c r="U168" t="str">
        <f>IF($A168="","",SUMIFS(PIL!$K$15:$K$28,PIL!$A$15:$A$28,$A168))</f>
        <v/>
      </c>
      <c r="V168" t="str">
        <f>IF($A168="","",IF($B168="V01",cad!$C$23,IF($B168="V02",cad!$D$23,cad!$E$23)))</f>
        <v/>
      </c>
      <c r="W168" t="str">
        <f>IF($A168="","",IF($B168="V01",cad!$C$24,IF($B168="V02",cad!$D$24,cad!$E$24)))</f>
        <v/>
      </c>
      <c r="X168" t="str">
        <f>IF($A168="","",IF($B168="V01",cad!$C$25,IF($B168="V02",cad!$D$25,cad!$E$25)))</f>
        <v/>
      </c>
      <c r="Y168" t="str">
        <f>IF($A168="","",IF($B168="V01",cad!$C$26,IF($B168="V02",cad!$D$26,cad!$E$26)))</f>
        <v/>
      </c>
      <c r="Z168" t="str">
        <f>IF($A168="","",IF($B168="V01",cad!$C$27,IF($B168="V02",cad!$D$27,cad!$E$27)))</f>
        <v/>
      </c>
      <c r="AA168" t="str">
        <f>IF($A168="","",IF($B168="V01",cad!$C$28,IF($B168="V02",cad!$D$28,cad!$E$28)))</f>
        <v/>
      </c>
      <c r="AB168" t="str">
        <f>IF($A168="","",IF($B168="V01",cad!$C$39,IF($B168="V02",cad!$D$39,cad!$E$39)))</f>
        <v/>
      </c>
      <c r="AC168" t="str">
        <f>IF($A168="","",IF($F168="MBWAY",cad!$J$12,IF($F168="ISCOM",cad!$J$13,IF($F168="IPAC",cad!$J$14,IF($F168="PIGIER",cad!$J$15,cad!$J$16)))))</f>
        <v/>
      </c>
      <c r="AD168" t="str">
        <f t="shared" si="13"/>
        <v/>
      </c>
      <c r="AE168" t="str">
        <f t="shared" si="14"/>
        <v/>
      </c>
      <c r="AF168" t="str">
        <f t="shared" si="15"/>
        <v/>
      </c>
      <c r="AG168" t="str">
        <f t="shared" si="16"/>
        <v/>
      </c>
      <c r="AH168" t="str">
        <f t="shared" si="17"/>
        <v/>
      </c>
    </row>
    <row r="169" spans="1:34" x14ac:dyDescent="0.45">
      <c r="A169" t="str">
        <f>IF(Moteur!D169="","",Moteur!D169)</f>
        <v/>
      </c>
      <c r="B169" t="str">
        <f>IF(Moteur!B169="","",Moteur!B169)</f>
        <v/>
      </c>
      <c r="C169" t="str">
        <f>IF(Moteur!F169="","",Moteur!F169)</f>
        <v/>
      </c>
      <c r="D169" t="str">
        <f>IF(Moteur!G169="","",Moteur!G169)</f>
        <v/>
      </c>
      <c r="E169" t="str">
        <f>IF(Moteur!H169="","",Moteur!H169)</f>
        <v/>
      </c>
      <c r="F169" t="str">
        <f>IF(Moteur!E169="","",Moteur!E169)</f>
        <v/>
      </c>
      <c r="G169" t="str">
        <f>IF($A169="","",SUMIFS(Allocation2!$H$1:$H$175,Allocation2!$C$1:$C$175,$A169,Allocation2!$D$1:$D$175,$C169,Allocation2!$E$1:$E$175,$D169,Allocation2!$F$1:$F$175,$E169,Allocation2!$G$1:$G$175,"2026"))</f>
        <v/>
      </c>
      <c r="H169" t="str">
        <f>IF($A169="","",SUMIFS(Allocation2!$N$1:$N$175,Allocation2!$C$1:$C$175,$A169,Allocation2!$D$1:$D$175,$C169,Allocation2!$E$1:$E$175,$D169,Allocation2!$F$1:$F$175,$E169,Allocation2!$G$1:$G$175,"2026"))</f>
        <v/>
      </c>
      <c r="I169" t="str">
        <f>IF($A169="","",SUMIFS(Allocation2!$P$1:$P$175,Allocation2!$C$1:$C$175,$A169,Allocation2!$D$1:$D$175,$C169,Allocation2!$E$1:$E$175,$D169,Allocation2!$F$1:$F$175,$E169,Allocation2!$G$1:$G$175,"2026"))</f>
        <v/>
      </c>
      <c r="J169" t="str">
        <f>IF($A169="","",SUMIFS(Allocation2!$W$1:$W$175,Allocation2!$C$1:$C$175,$A169,Allocation2!$D$1:$D$175,$C169,Allocation2!$E$1:$E$175,$D169,Allocation2!$F$1:$F$175,$E169,Allocation2!$G$1:$G$175,"2026"))</f>
        <v/>
      </c>
      <c r="K169" t="str">
        <f>IF($A169="","",SUMIFS(Allocation2!$X$1:$X$175,Allocation2!$C$1:$C$175,$A169,Allocation2!$D$1:$D$175,$C169,Allocation2!$E$1:$E$175,$D169,Allocation2!$F$1:$F$175,$E169,Allocation2!$G$1:$G$175,"2026"))</f>
        <v/>
      </c>
      <c r="L169" t="str">
        <f>IF($A169="","",SUMIFS(Allocation2!$Y$1:$Y$175,Allocation2!$C$1:$C$175,$A169,Allocation2!$D$1:$D$175,$C169,Allocation2!$E$1:$E$175,$D169,Allocation2!$F$1:$F$175,$E169,Allocation2!$G$1:$G$175,"2026"))</f>
        <v/>
      </c>
      <c r="M169" t="str">
        <f>IF($A169="","",SUMIFS(Allocation2!$V$1:$V$175,Allocation2!$C$1:$C$175,$A169,Allocation2!$D$1:$D$175,$C169,Allocation2!$E$1:$E$175,$D169,Allocation2!$F$1:$F$175,$E169,Allocation2!$G$1:$G$175,"2026"))</f>
        <v/>
      </c>
      <c r="N169" t="str">
        <f t="shared" si="12"/>
        <v/>
      </c>
      <c r="O169" t="str">
        <f>IF($A169="","",SUMIFS(Campagne!$D$1:$D$15,Campagne!$C$1:$C$15,$A169))</f>
        <v/>
      </c>
      <c r="P169" t="str">
        <f>IF($A169="","",SUMIFS(Campagne!$E$1:$E$15,Campagne!$C$1:$C$15,$A169))</f>
        <v/>
      </c>
      <c r="Q169" t="str">
        <f>IF($A169="","",SUMIFS(Campagne!$F$1:$F$15,Campagne!$C$1:$C$15,$A169))</f>
        <v/>
      </c>
      <c r="R169" t="str">
        <f>IF($A169="","",SUMIFS(Campagne!$K$1:$K$15,Campagne!$C$1:$C$15,$A169))</f>
        <v/>
      </c>
      <c r="S169" t="str">
        <f>IF($A169="","",SUMIFS(Campagne!$M$1:$M$15,Campagne!$C$1:$C$15,$A169))</f>
        <v/>
      </c>
      <c r="T169" t="str">
        <f>IF($A169="","",SUMIFS(PIL!$K$15:$K$28,PIL!$A$15:$A$28,$A169)*SUMIFS(PIL!$J$15:$J$28,PIL!$A$15:$A$28,$A169)*(SUM(PIL!$K$15:$K$28)/SUMPRODUCT(PIL!$K$15:$K$28,PIL!$J$15:$J$28)))</f>
        <v/>
      </c>
      <c r="U169" t="str">
        <f>IF($A169="","",SUMIFS(PIL!$K$15:$K$28,PIL!$A$15:$A$28,$A169))</f>
        <v/>
      </c>
      <c r="V169" t="str">
        <f>IF($A169="","",IF($B169="V01",cad!$C$23,IF($B169="V02",cad!$D$23,cad!$E$23)))</f>
        <v/>
      </c>
      <c r="W169" t="str">
        <f>IF($A169="","",IF($B169="V01",cad!$C$24,IF($B169="V02",cad!$D$24,cad!$E$24)))</f>
        <v/>
      </c>
      <c r="X169" t="str">
        <f>IF($A169="","",IF($B169="V01",cad!$C$25,IF($B169="V02",cad!$D$25,cad!$E$25)))</f>
        <v/>
      </c>
      <c r="Y169" t="str">
        <f>IF($A169="","",IF($B169="V01",cad!$C$26,IF($B169="V02",cad!$D$26,cad!$E$26)))</f>
        <v/>
      </c>
      <c r="Z169" t="str">
        <f>IF($A169="","",IF($B169="V01",cad!$C$27,IF($B169="V02",cad!$D$27,cad!$E$27)))</f>
        <v/>
      </c>
      <c r="AA169" t="str">
        <f>IF($A169="","",IF($B169="V01",cad!$C$28,IF($B169="V02",cad!$D$28,cad!$E$28)))</f>
        <v/>
      </c>
      <c r="AB169" t="str">
        <f>IF($A169="","",IF($B169="V01",cad!$C$39,IF($B169="V02",cad!$D$39,cad!$E$39)))</f>
        <v/>
      </c>
      <c r="AC169" t="str">
        <f>IF($A169="","",IF($F169="MBWAY",cad!$J$12,IF($F169="ISCOM",cad!$J$13,IF($F169="IPAC",cad!$J$14,IF($F169="PIGIER",cad!$J$15,cad!$J$16)))))</f>
        <v/>
      </c>
      <c r="AD169" t="str">
        <f t="shared" si="13"/>
        <v/>
      </c>
      <c r="AE169" t="str">
        <f t="shared" si="14"/>
        <v/>
      </c>
      <c r="AF169" t="str">
        <f t="shared" si="15"/>
        <v/>
      </c>
      <c r="AG169" t="str">
        <f t="shared" si="16"/>
        <v/>
      </c>
      <c r="AH169" t="str">
        <f t="shared" si="17"/>
        <v/>
      </c>
    </row>
    <row r="170" spans="1:34" x14ac:dyDescent="0.45">
      <c r="A170" t="str">
        <f>IF(Moteur!D170="","",Moteur!D170)</f>
        <v/>
      </c>
      <c r="B170" t="str">
        <f>IF(Moteur!B170="","",Moteur!B170)</f>
        <v/>
      </c>
      <c r="C170" t="str">
        <f>IF(Moteur!F170="","",Moteur!F170)</f>
        <v/>
      </c>
      <c r="D170" t="str">
        <f>IF(Moteur!G170="","",Moteur!G170)</f>
        <v/>
      </c>
      <c r="E170" t="str">
        <f>IF(Moteur!H170="","",Moteur!H170)</f>
        <v/>
      </c>
      <c r="F170" t="str">
        <f>IF(Moteur!E170="","",Moteur!E170)</f>
        <v/>
      </c>
      <c r="G170" t="str">
        <f>IF($A170="","",SUMIFS(Allocation2!$H$1:$H$175,Allocation2!$C$1:$C$175,$A170,Allocation2!$D$1:$D$175,$C170,Allocation2!$E$1:$E$175,$D170,Allocation2!$F$1:$F$175,$E170,Allocation2!$G$1:$G$175,"2026"))</f>
        <v/>
      </c>
      <c r="H170" t="str">
        <f>IF($A170="","",SUMIFS(Allocation2!$N$1:$N$175,Allocation2!$C$1:$C$175,$A170,Allocation2!$D$1:$D$175,$C170,Allocation2!$E$1:$E$175,$D170,Allocation2!$F$1:$F$175,$E170,Allocation2!$G$1:$G$175,"2026"))</f>
        <v/>
      </c>
      <c r="I170" t="str">
        <f>IF($A170="","",SUMIFS(Allocation2!$P$1:$P$175,Allocation2!$C$1:$C$175,$A170,Allocation2!$D$1:$D$175,$C170,Allocation2!$E$1:$E$175,$D170,Allocation2!$F$1:$F$175,$E170,Allocation2!$G$1:$G$175,"2026"))</f>
        <v/>
      </c>
      <c r="J170" t="str">
        <f>IF($A170="","",SUMIFS(Allocation2!$W$1:$W$175,Allocation2!$C$1:$C$175,$A170,Allocation2!$D$1:$D$175,$C170,Allocation2!$E$1:$E$175,$D170,Allocation2!$F$1:$F$175,$E170,Allocation2!$G$1:$G$175,"2026"))</f>
        <v/>
      </c>
      <c r="K170" t="str">
        <f>IF($A170="","",SUMIFS(Allocation2!$X$1:$X$175,Allocation2!$C$1:$C$175,$A170,Allocation2!$D$1:$D$175,$C170,Allocation2!$E$1:$E$175,$D170,Allocation2!$F$1:$F$175,$E170,Allocation2!$G$1:$G$175,"2026"))</f>
        <v/>
      </c>
      <c r="L170" t="str">
        <f>IF($A170="","",SUMIFS(Allocation2!$Y$1:$Y$175,Allocation2!$C$1:$C$175,$A170,Allocation2!$D$1:$D$175,$C170,Allocation2!$E$1:$E$175,$D170,Allocation2!$F$1:$F$175,$E170,Allocation2!$G$1:$G$175,"2026"))</f>
        <v/>
      </c>
      <c r="M170" t="str">
        <f>IF($A170="","",SUMIFS(Allocation2!$V$1:$V$175,Allocation2!$C$1:$C$175,$A170,Allocation2!$D$1:$D$175,$C170,Allocation2!$E$1:$E$175,$D170,Allocation2!$F$1:$F$175,$E170,Allocation2!$G$1:$G$175,"2026"))</f>
        <v/>
      </c>
      <c r="N170" t="str">
        <f t="shared" si="12"/>
        <v/>
      </c>
      <c r="O170" t="str">
        <f>IF($A170="","",SUMIFS(Campagne!$D$1:$D$15,Campagne!$C$1:$C$15,$A170))</f>
        <v/>
      </c>
      <c r="P170" t="str">
        <f>IF($A170="","",SUMIFS(Campagne!$E$1:$E$15,Campagne!$C$1:$C$15,$A170))</f>
        <v/>
      </c>
      <c r="Q170" t="str">
        <f>IF($A170="","",SUMIFS(Campagne!$F$1:$F$15,Campagne!$C$1:$C$15,$A170))</f>
        <v/>
      </c>
      <c r="R170" t="str">
        <f>IF($A170="","",SUMIFS(Campagne!$K$1:$K$15,Campagne!$C$1:$C$15,$A170))</f>
        <v/>
      </c>
      <c r="S170" t="str">
        <f>IF($A170="","",SUMIFS(Campagne!$M$1:$M$15,Campagne!$C$1:$C$15,$A170))</f>
        <v/>
      </c>
      <c r="T170" t="str">
        <f>IF($A170="","",SUMIFS(PIL!$K$15:$K$28,PIL!$A$15:$A$28,$A170)*SUMIFS(PIL!$J$15:$J$28,PIL!$A$15:$A$28,$A170)*(SUM(PIL!$K$15:$K$28)/SUMPRODUCT(PIL!$K$15:$K$28,PIL!$J$15:$J$28)))</f>
        <v/>
      </c>
      <c r="U170" t="str">
        <f>IF($A170="","",SUMIFS(PIL!$K$15:$K$28,PIL!$A$15:$A$28,$A170))</f>
        <v/>
      </c>
      <c r="V170" t="str">
        <f>IF($A170="","",IF($B170="V01",cad!$C$23,IF($B170="V02",cad!$D$23,cad!$E$23)))</f>
        <v/>
      </c>
      <c r="W170" t="str">
        <f>IF($A170="","",IF($B170="V01",cad!$C$24,IF($B170="V02",cad!$D$24,cad!$E$24)))</f>
        <v/>
      </c>
      <c r="X170" t="str">
        <f>IF($A170="","",IF($B170="V01",cad!$C$25,IF($B170="V02",cad!$D$25,cad!$E$25)))</f>
        <v/>
      </c>
      <c r="Y170" t="str">
        <f>IF($A170="","",IF($B170="V01",cad!$C$26,IF($B170="V02",cad!$D$26,cad!$E$26)))</f>
        <v/>
      </c>
      <c r="Z170" t="str">
        <f>IF($A170="","",IF($B170="V01",cad!$C$27,IF($B170="V02",cad!$D$27,cad!$E$27)))</f>
        <v/>
      </c>
      <c r="AA170" t="str">
        <f>IF($A170="","",IF($B170="V01",cad!$C$28,IF($B170="V02",cad!$D$28,cad!$E$28)))</f>
        <v/>
      </c>
      <c r="AB170" t="str">
        <f>IF($A170="","",IF($B170="V01",cad!$C$39,IF($B170="V02",cad!$D$39,cad!$E$39)))</f>
        <v/>
      </c>
      <c r="AC170" t="str">
        <f>IF($A170="","",IF($F170="MBWAY",cad!$J$12,IF($F170="ISCOM",cad!$J$13,IF($F170="IPAC",cad!$J$14,IF($F170="PIGIER",cad!$J$15,cad!$J$16)))))</f>
        <v/>
      </c>
      <c r="AD170" t="str">
        <f t="shared" si="13"/>
        <v/>
      </c>
      <c r="AE170" t="str">
        <f t="shared" si="14"/>
        <v/>
      </c>
      <c r="AF170" t="str">
        <f t="shared" si="15"/>
        <v/>
      </c>
      <c r="AG170" t="str">
        <f t="shared" si="16"/>
        <v/>
      </c>
      <c r="AH170" t="str">
        <f t="shared" si="17"/>
        <v/>
      </c>
    </row>
    <row r="171" spans="1:34" x14ac:dyDescent="0.45">
      <c r="A171" t="str">
        <f>IF(Moteur!D171="","",Moteur!D171)</f>
        <v/>
      </c>
      <c r="B171" t="str">
        <f>IF(Moteur!B171="","",Moteur!B171)</f>
        <v/>
      </c>
      <c r="C171" t="str">
        <f>IF(Moteur!F171="","",Moteur!F171)</f>
        <v/>
      </c>
      <c r="D171" t="str">
        <f>IF(Moteur!G171="","",Moteur!G171)</f>
        <v/>
      </c>
      <c r="E171" t="str">
        <f>IF(Moteur!H171="","",Moteur!H171)</f>
        <v/>
      </c>
      <c r="F171" t="str">
        <f>IF(Moteur!E171="","",Moteur!E171)</f>
        <v/>
      </c>
      <c r="G171" t="str">
        <f>IF($A171="","",SUMIFS(Allocation2!$H$1:$H$175,Allocation2!$C$1:$C$175,$A171,Allocation2!$D$1:$D$175,$C171,Allocation2!$E$1:$E$175,$D171,Allocation2!$F$1:$F$175,$E171,Allocation2!$G$1:$G$175,"2026"))</f>
        <v/>
      </c>
      <c r="H171" t="str">
        <f>IF($A171="","",SUMIFS(Allocation2!$N$1:$N$175,Allocation2!$C$1:$C$175,$A171,Allocation2!$D$1:$D$175,$C171,Allocation2!$E$1:$E$175,$D171,Allocation2!$F$1:$F$175,$E171,Allocation2!$G$1:$G$175,"2026"))</f>
        <v/>
      </c>
      <c r="I171" t="str">
        <f>IF($A171="","",SUMIFS(Allocation2!$P$1:$P$175,Allocation2!$C$1:$C$175,$A171,Allocation2!$D$1:$D$175,$C171,Allocation2!$E$1:$E$175,$D171,Allocation2!$F$1:$F$175,$E171,Allocation2!$G$1:$G$175,"2026"))</f>
        <v/>
      </c>
      <c r="J171" t="str">
        <f>IF($A171="","",SUMIFS(Allocation2!$W$1:$W$175,Allocation2!$C$1:$C$175,$A171,Allocation2!$D$1:$D$175,$C171,Allocation2!$E$1:$E$175,$D171,Allocation2!$F$1:$F$175,$E171,Allocation2!$G$1:$G$175,"2026"))</f>
        <v/>
      </c>
      <c r="K171" t="str">
        <f>IF($A171="","",SUMIFS(Allocation2!$X$1:$X$175,Allocation2!$C$1:$C$175,$A171,Allocation2!$D$1:$D$175,$C171,Allocation2!$E$1:$E$175,$D171,Allocation2!$F$1:$F$175,$E171,Allocation2!$G$1:$G$175,"2026"))</f>
        <v/>
      </c>
      <c r="L171" t="str">
        <f>IF($A171="","",SUMIFS(Allocation2!$Y$1:$Y$175,Allocation2!$C$1:$C$175,$A171,Allocation2!$D$1:$D$175,$C171,Allocation2!$E$1:$E$175,$D171,Allocation2!$F$1:$F$175,$E171,Allocation2!$G$1:$G$175,"2026"))</f>
        <v/>
      </c>
      <c r="M171" t="str">
        <f>IF($A171="","",SUMIFS(Allocation2!$V$1:$V$175,Allocation2!$C$1:$C$175,$A171,Allocation2!$D$1:$D$175,$C171,Allocation2!$E$1:$E$175,$D171,Allocation2!$F$1:$F$175,$E171,Allocation2!$G$1:$G$175,"2026"))</f>
        <v/>
      </c>
      <c r="N171" t="str">
        <f t="shared" si="12"/>
        <v/>
      </c>
      <c r="O171" t="str">
        <f>IF($A171="","",SUMIFS(Campagne!$D$1:$D$15,Campagne!$C$1:$C$15,$A171))</f>
        <v/>
      </c>
      <c r="P171" t="str">
        <f>IF($A171="","",SUMIFS(Campagne!$E$1:$E$15,Campagne!$C$1:$C$15,$A171))</f>
        <v/>
      </c>
      <c r="Q171" t="str">
        <f>IF($A171="","",SUMIFS(Campagne!$F$1:$F$15,Campagne!$C$1:$C$15,$A171))</f>
        <v/>
      </c>
      <c r="R171" t="str">
        <f>IF($A171="","",SUMIFS(Campagne!$K$1:$K$15,Campagne!$C$1:$C$15,$A171))</f>
        <v/>
      </c>
      <c r="S171" t="str">
        <f>IF($A171="","",SUMIFS(Campagne!$M$1:$M$15,Campagne!$C$1:$C$15,$A171))</f>
        <v/>
      </c>
      <c r="T171" t="str">
        <f>IF($A171="","",SUMIFS(PIL!$K$15:$K$28,PIL!$A$15:$A$28,$A171)*SUMIFS(PIL!$J$15:$J$28,PIL!$A$15:$A$28,$A171)*(SUM(PIL!$K$15:$K$28)/SUMPRODUCT(PIL!$K$15:$K$28,PIL!$J$15:$J$28)))</f>
        <v/>
      </c>
      <c r="U171" t="str">
        <f>IF($A171="","",SUMIFS(PIL!$K$15:$K$28,PIL!$A$15:$A$28,$A171))</f>
        <v/>
      </c>
      <c r="V171" t="str">
        <f>IF($A171="","",IF($B171="V01",cad!$C$23,IF($B171="V02",cad!$D$23,cad!$E$23)))</f>
        <v/>
      </c>
      <c r="W171" t="str">
        <f>IF($A171="","",IF($B171="V01",cad!$C$24,IF($B171="V02",cad!$D$24,cad!$E$24)))</f>
        <v/>
      </c>
      <c r="X171" t="str">
        <f>IF($A171="","",IF($B171="V01",cad!$C$25,IF($B171="V02",cad!$D$25,cad!$E$25)))</f>
        <v/>
      </c>
      <c r="Y171" t="str">
        <f>IF($A171="","",IF($B171="V01",cad!$C$26,IF($B171="V02",cad!$D$26,cad!$E$26)))</f>
        <v/>
      </c>
      <c r="Z171" t="str">
        <f>IF($A171="","",IF($B171="V01",cad!$C$27,IF($B171="V02",cad!$D$27,cad!$E$27)))</f>
        <v/>
      </c>
      <c r="AA171" t="str">
        <f>IF($A171="","",IF($B171="V01",cad!$C$28,IF($B171="V02",cad!$D$28,cad!$E$28)))</f>
        <v/>
      </c>
      <c r="AB171" t="str">
        <f>IF($A171="","",IF($B171="V01",cad!$C$39,IF($B171="V02",cad!$D$39,cad!$E$39)))</f>
        <v/>
      </c>
      <c r="AC171" t="str">
        <f>IF($A171="","",IF($F171="MBWAY",cad!$J$12,IF($F171="ISCOM",cad!$J$13,IF($F171="IPAC",cad!$J$14,IF($F171="PIGIER",cad!$J$15,cad!$J$16)))))</f>
        <v/>
      </c>
      <c r="AD171" t="str">
        <f t="shared" si="13"/>
        <v/>
      </c>
      <c r="AE171" t="str">
        <f t="shared" si="14"/>
        <v/>
      </c>
      <c r="AF171" t="str">
        <f t="shared" si="15"/>
        <v/>
      </c>
      <c r="AG171" t="str">
        <f t="shared" si="16"/>
        <v/>
      </c>
      <c r="AH171" t="str">
        <f t="shared" si="17"/>
        <v/>
      </c>
    </row>
    <row r="172" spans="1:34" x14ac:dyDescent="0.45">
      <c r="A172" t="str">
        <f>IF(Moteur!D172="","",Moteur!D172)</f>
        <v/>
      </c>
      <c r="B172" t="str">
        <f>IF(Moteur!B172="","",Moteur!B172)</f>
        <v/>
      </c>
      <c r="C172" t="str">
        <f>IF(Moteur!F172="","",Moteur!F172)</f>
        <v/>
      </c>
      <c r="D172" t="str">
        <f>IF(Moteur!G172="","",Moteur!G172)</f>
        <v/>
      </c>
      <c r="E172" t="str">
        <f>IF(Moteur!H172="","",Moteur!H172)</f>
        <v/>
      </c>
      <c r="F172" t="str">
        <f>IF(Moteur!E172="","",Moteur!E172)</f>
        <v/>
      </c>
      <c r="G172" t="str">
        <f>IF($A172="","",SUMIFS(Allocation2!$H$1:$H$175,Allocation2!$C$1:$C$175,$A172,Allocation2!$D$1:$D$175,$C172,Allocation2!$E$1:$E$175,$D172,Allocation2!$F$1:$F$175,$E172,Allocation2!$G$1:$G$175,"2026"))</f>
        <v/>
      </c>
      <c r="H172" t="str">
        <f>IF($A172="","",SUMIFS(Allocation2!$N$1:$N$175,Allocation2!$C$1:$C$175,$A172,Allocation2!$D$1:$D$175,$C172,Allocation2!$E$1:$E$175,$D172,Allocation2!$F$1:$F$175,$E172,Allocation2!$G$1:$G$175,"2026"))</f>
        <v/>
      </c>
      <c r="I172" t="str">
        <f>IF($A172="","",SUMIFS(Allocation2!$P$1:$P$175,Allocation2!$C$1:$C$175,$A172,Allocation2!$D$1:$D$175,$C172,Allocation2!$E$1:$E$175,$D172,Allocation2!$F$1:$F$175,$E172,Allocation2!$G$1:$G$175,"2026"))</f>
        <v/>
      </c>
      <c r="J172" t="str">
        <f>IF($A172="","",SUMIFS(Allocation2!$W$1:$W$175,Allocation2!$C$1:$C$175,$A172,Allocation2!$D$1:$D$175,$C172,Allocation2!$E$1:$E$175,$D172,Allocation2!$F$1:$F$175,$E172,Allocation2!$G$1:$G$175,"2026"))</f>
        <v/>
      </c>
      <c r="K172" t="str">
        <f>IF($A172="","",SUMIFS(Allocation2!$X$1:$X$175,Allocation2!$C$1:$C$175,$A172,Allocation2!$D$1:$D$175,$C172,Allocation2!$E$1:$E$175,$D172,Allocation2!$F$1:$F$175,$E172,Allocation2!$G$1:$G$175,"2026"))</f>
        <v/>
      </c>
      <c r="L172" t="str">
        <f>IF($A172="","",SUMIFS(Allocation2!$Y$1:$Y$175,Allocation2!$C$1:$C$175,$A172,Allocation2!$D$1:$D$175,$C172,Allocation2!$E$1:$E$175,$D172,Allocation2!$F$1:$F$175,$E172,Allocation2!$G$1:$G$175,"2026"))</f>
        <v/>
      </c>
      <c r="M172" t="str">
        <f>IF($A172="","",SUMIFS(Allocation2!$V$1:$V$175,Allocation2!$C$1:$C$175,$A172,Allocation2!$D$1:$D$175,$C172,Allocation2!$E$1:$E$175,$D172,Allocation2!$F$1:$F$175,$E172,Allocation2!$G$1:$G$175,"2026"))</f>
        <v/>
      </c>
      <c r="N172" t="str">
        <f t="shared" si="12"/>
        <v/>
      </c>
      <c r="O172" t="str">
        <f>IF($A172="","",SUMIFS(Campagne!$D$1:$D$15,Campagne!$C$1:$C$15,$A172))</f>
        <v/>
      </c>
      <c r="P172" t="str">
        <f>IF($A172="","",SUMIFS(Campagne!$E$1:$E$15,Campagne!$C$1:$C$15,$A172))</f>
        <v/>
      </c>
      <c r="Q172" t="str">
        <f>IF($A172="","",SUMIFS(Campagne!$F$1:$F$15,Campagne!$C$1:$C$15,$A172))</f>
        <v/>
      </c>
      <c r="R172" t="str">
        <f>IF($A172="","",SUMIFS(Campagne!$K$1:$K$15,Campagne!$C$1:$C$15,$A172))</f>
        <v/>
      </c>
      <c r="S172" t="str">
        <f>IF($A172="","",SUMIFS(Campagne!$M$1:$M$15,Campagne!$C$1:$C$15,$A172))</f>
        <v/>
      </c>
      <c r="T172" t="str">
        <f>IF($A172="","",SUMIFS(PIL!$K$15:$K$28,PIL!$A$15:$A$28,$A172)*SUMIFS(PIL!$J$15:$J$28,PIL!$A$15:$A$28,$A172)*(SUM(PIL!$K$15:$K$28)/SUMPRODUCT(PIL!$K$15:$K$28,PIL!$J$15:$J$28)))</f>
        <v/>
      </c>
      <c r="U172" t="str">
        <f>IF($A172="","",SUMIFS(PIL!$K$15:$K$28,PIL!$A$15:$A$28,$A172))</f>
        <v/>
      </c>
      <c r="V172" t="str">
        <f>IF($A172="","",IF($B172="V01",cad!$C$23,IF($B172="V02",cad!$D$23,cad!$E$23)))</f>
        <v/>
      </c>
      <c r="W172" t="str">
        <f>IF($A172="","",IF($B172="V01",cad!$C$24,IF($B172="V02",cad!$D$24,cad!$E$24)))</f>
        <v/>
      </c>
      <c r="X172" t="str">
        <f>IF($A172="","",IF($B172="V01",cad!$C$25,IF($B172="V02",cad!$D$25,cad!$E$25)))</f>
        <v/>
      </c>
      <c r="Y172" t="str">
        <f>IF($A172="","",IF($B172="V01",cad!$C$26,IF($B172="V02",cad!$D$26,cad!$E$26)))</f>
        <v/>
      </c>
      <c r="Z172" t="str">
        <f>IF($A172="","",IF($B172="V01",cad!$C$27,IF($B172="V02",cad!$D$27,cad!$E$27)))</f>
        <v/>
      </c>
      <c r="AA172" t="str">
        <f>IF($A172="","",IF($B172="V01",cad!$C$28,IF($B172="V02",cad!$D$28,cad!$E$28)))</f>
        <v/>
      </c>
      <c r="AB172" t="str">
        <f>IF($A172="","",IF($B172="V01",cad!$C$39,IF($B172="V02",cad!$D$39,cad!$E$39)))</f>
        <v/>
      </c>
      <c r="AC172" t="str">
        <f>IF($A172="","",IF($F172="MBWAY",cad!$J$12,IF($F172="ISCOM",cad!$J$13,IF($F172="IPAC",cad!$J$14,IF($F172="PIGIER",cad!$J$15,cad!$J$16)))))</f>
        <v/>
      </c>
      <c r="AD172" t="str">
        <f t="shared" si="13"/>
        <v/>
      </c>
      <c r="AE172" t="str">
        <f t="shared" si="14"/>
        <v/>
      </c>
      <c r="AF172" t="str">
        <f t="shared" si="15"/>
        <v/>
      </c>
      <c r="AG172" t="str">
        <f t="shared" si="16"/>
        <v/>
      </c>
      <c r="AH172" t="str">
        <f t="shared" si="17"/>
        <v/>
      </c>
    </row>
    <row r="173" spans="1:34" x14ac:dyDescent="0.45">
      <c r="A173" t="str">
        <f>IF(Moteur!D173="","",Moteur!D173)</f>
        <v/>
      </c>
      <c r="B173" t="str">
        <f>IF(Moteur!B173="","",Moteur!B173)</f>
        <v/>
      </c>
      <c r="C173" t="str">
        <f>IF(Moteur!F173="","",Moteur!F173)</f>
        <v/>
      </c>
      <c r="D173" t="str">
        <f>IF(Moteur!G173="","",Moteur!G173)</f>
        <v/>
      </c>
      <c r="E173" t="str">
        <f>IF(Moteur!H173="","",Moteur!H173)</f>
        <v/>
      </c>
      <c r="F173" t="str">
        <f>IF(Moteur!E173="","",Moteur!E173)</f>
        <v/>
      </c>
      <c r="G173" t="str">
        <f>IF($A173="","",SUMIFS(Allocation2!$H$1:$H$175,Allocation2!$C$1:$C$175,$A173,Allocation2!$D$1:$D$175,$C173,Allocation2!$E$1:$E$175,$D173,Allocation2!$F$1:$F$175,$E173,Allocation2!$G$1:$G$175,"2026"))</f>
        <v/>
      </c>
      <c r="H173" t="str">
        <f>IF($A173="","",SUMIFS(Allocation2!$N$1:$N$175,Allocation2!$C$1:$C$175,$A173,Allocation2!$D$1:$D$175,$C173,Allocation2!$E$1:$E$175,$D173,Allocation2!$F$1:$F$175,$E173,Allocation2!$G$1:$G$175,"2026"))</f>
        <v/>
      </c>
      <c r="I173" t="str">
        <f>IF($A173="","",SUMIFS(Allocation2!$P$1:$P$175,Allocation2!$C$1:$C$175,$A173,Allocation2!$D$1:$D$175,$C173,Allocation2!$E$1:$E$175,$D173,Allocation2!$F$1:$F$175,$E173,Allocation2!$G$1:$G$175,"2026"))</f>
        <v/>
      </c>
      <c r="J173" t="str">
        <f>IF($A173="","",SUMIFS(Allocation2!$W$1:$W$175,Allocation2!$C$1:$C$175,$A173,Allocation2!$D$1:$D$175,$C173,Allocation2!$E$1:$E$175,$D173,Allocation2!$F$1:$F$175,$E173,Allocation2!$G$1:$G$175,"2026"))</f>
        <v/>
      </c>
      <c r="K173" t="str">
        <f>IF($A173="","",SUMIFS(Allocation2!$X$1:$X$175,Allocation2!$C$1:$C$175,$A173,Allocation2!$D$1:$D$175,$C173,Allocation2!$E$1:$E$175,$D173,Allocation2!$F$1:$F$175,$E173,Allocation2!$G$1:$G$175,"2026"))</f>
        <v/>
      </c>
      <c r="L173" t="str">
        <f>IF($A173="","",SUMIFS(Allocation2!$Y$1:$Y$175,Allocation2!$C$1:$C$175,$A173,Allocation2!$D$1:$D$175,$C173,Allocation2!$E$1:$E$175,$D173,Allocation2!$F$1:$F$175,$E173,Allocation2!$G$1:$G$175,"2026"))</f>
        <v/>
      </c>
      <c r="M173" t="str">
        <f>IF($A173="","",SUMIFS(Allocation2!$V$1:$V$175,Allocation2!$C$1:$C$175,$A173,Allocation2!$D$1:$D$175,$C173,Allocation2!$E$1:$E$175,$D173,Allocation2!$F$1:$F$175,$E173,Allocation2!$G$1:$G$175,"2026"))</f>
        <v/>
      </c>
      <c r="N173" t="str">
        <f t="shared" si="12"/>
        <v/>
      </c>
      <c r="O173" t="str">
        <f>IF($A173="","",SUMIFS(Campagne!$D$1:$D$15,Campagne!$C$1:$C$15,$A173))</f>
        <v/>
      </c>
      <c r="P173" t="str">
        <f>IF($A173="","",SUMIFS(Campagne!$E$1:$E$15,Campagne!$C$1:$C$15,$A173))</f>
        <v/>
      </c>
      <c r="Q173" t="str">
        <f>IF($A173="","",SUMIFS(Campagne!$F$1:$F$15,Campagne!$C$1:$C$15,$A173))</f>
        <v/>
      </c>
      <c r="R173" t="str">
        <f>IF($A173="","",SUMIFS(Campagne!$K$1:$K$15,Campagne!$C$1:$C$15,$A173))</f>
        <v/>
      </c>
      <c r="S173" t="str">
        <f>IF($A173="","",SUMIFS(Campagne!$M$1:$M$15,Campagne!$C$1:$C$15,$A173))</f>
        <v/>
      </c>
      <c r="T173" t="str">
        <f>IF($A173="","",SUMIFS(PIL!$K$15:$K$28,PIL!$A$15:$A$28,$A173)*SUMIFS(PIL!$J$15:$J$28,PIL!$A$15:$A$28,$A173)*(SUM(PIL!$K$15:$K$28)/SUMPRODUCT(PIL!$K$15:$K$28,PIL!$J$15:$J$28)))</f>
        <v/>
      </c>
      <c r="U173" t="str">
        <f>IF($A173="","",SUMIFS(PIL!$K$15:$K$28,PIL!$A$15:$A$28,$A173))</f>
        <v/>
      </c>
      <c r="V173" t="str">
        <f>IF($A173="","",IF($B173="V01",cad!$C$23,IF($B173="V02",cad!$D$23,cad!$E$23)))</f>
        <v/>
      </c>
      <c r="W173" t="str">
        <f>IF($A173="","",IF($B173="V01",cad!$C$24,IF($B173="V02",cad!$D$24,cad!$E$24)))</f>
        <v/>
      </c>
      <c r="X173" t="str">
        <f>IF($A173="","",IF($B173="V01",cad!$C$25,IF($B173="V02",cad!$D$25,cad!$E$25)))</f>
        <v/>
      </c>
      <c r="Y173" t="str">
        <f>IF($A173="","",IF($B173="V01",cad!$C$26,IF($B173="V02",cad!$D$26,cad!$E$26)))</f>
        <v/>
      </c>
      <c r="Z173" t="str">
        <f>IF($A173="","",IF($B173="V01",cad!$C$27,IF($B173="V02",cad!$D$27,cad!$E$27)))</f>
        <v/>
      </c>
      <c r="AA173" t="str">
        <f>IF($A173="","",IF($B173="V01",cad!$C$28,IF($B173="V02",cad!$D$28,cad!$E$28)))</f>
        <v/>
      </c>
      <c r="AB173" t="str">
        <f>IF($A173="","",IF($B173="V01",cad!$C$39,IF($B173="V02",cad!$D$39,cad!$E$39)))</f>
        <v/>
      </c>
      <c r="AC173" t="str">
        <f>IF($A173="","",IF($F173="MBWAY",cad!$J$12,IF($F173="ISCOM",cad!$J$13,IF($F173="IPAC",cad!$J$14,IF($F173="PIGIER",cad!$J$15,cad!$J$16)))))</f>
        <v/>
      </c>
      <c r="AD173" t="str">
        <f t="shared" si="13"/>
        <v/>
      </c>
      <c r="AE173" t="str">
        <f t="shared" si="14"/>
        <v/>
      </c>
      <c r="AF173" t="str">
        <f t="shared" si="15"/>
        <v/>
      </c>
      <c r="AG173" t="str">
        <f t="shared" si="16"/>
        <v/>
      </c>
      <c r="AH173" t="str">
        <f t="shared" si="17"/>
        <v/>
      </c>
    </row>
    <row r="174" spans="1:34" x14ac:dyDescent="0.45">
      <c r="A174" t="str">
        <f>IF(Moteur!D174="","",Moteur!D174)</f>
        <v/>
      </c>
      <c r="B174" t="str">
        <f>IF(Moteur!B174="","",Moteur!B174)</f>
        <v/>
      </c>
      <c r="C174" t="str">
        <f>IF(Moteur!F174="","",Moteur!F174)</f>
        <v/>
      </c>
      <c r="D174" t="str">
        <f>IF(Moteur!G174="","",Moteur!G174)</f>
        <v/>
      </c>
      <c r="E174" t="str">
        <f>IF(Moteur!H174="","",Moteur!H174)</f>
        <v/>
      </c>
      <c r="F174" t="str">
        <f>IF(Moteur!E174="","",Moteur!E174)</f>
        <v/>
      </c>
      <c r="G174" t="str">
        <f>IF($A174="","",SUMIFS(Allocation2!$H$1:$H$175,Allocation2!$C$1:$C$175,$A174,Allocation2!$D$1:$D$175,$C174,Allocation2!$E$1:$E$175,$D174,Allocation2!$F$1:$F$175,$E174,Allocation2!$G$1:$G$175,"2026"))</f>
        <v/>
      </c>
      <c r="H174" t="str">
        <f>IF($A174="","",SUMIFS(Allocation2!$N$1:$N$175,Allocation2!$C$1:$C$175,$A174,Allocation2!$D$1:$D$175,$C174,Allocation2!$E$1:$E$175,$D174,Allocation2!$F$1:$F$175,$E174,Allocation2!$G$1:$G$175,"2026"))</f>
        <v/>
      </c>
      <c r="I174" t="str">
        <f>IF($A174="","",SUMIFS(Allocation2!$P$1:$P$175,Allocation2!$C$1:$C$175,$A174,Allocation2!$D$1:$D$175,$C174,Allocation2!$E$1:$E$175,$D174,Allocation2!$F$1:$F$175,$E174,Allocation2!$G$1:$G$175,"2026"))</f>
        <v/>
      </c>
      <c r="J174" t="str">
        <f>IF($A174="","",SUMIFS(Allocation2!$W$1:$W$175,Allocation2!$C$1:$C$175,$A174,Allocation2!$D$1:$D$175,$C174,Allocation2!$E$1:$E$175,$D174,Allocation2!$F$1:$F$175,$E174,Allocation2!$G$1:$G$175,"2026"))</f>
        <v/>
      </c>
      <c r="K174" t="str">
        <f>IF($A174="","",SUMIFS(Allocation2!$X$1:$X$175,Allocation2!$C$1:$C$175,$A174,Allocation2!$D$1:$D$175,$C174,Allocation2!$E$1:$E$175,$D174,Allocation2!$F$1:$F$175,$E174,Allocation2!$G$1:$G$175,"2026"))</f>
        <v/>
      </c>
      <c r="L174" t="str">
        <f>IF($A174="","",SUMIFS(Allocation2!$Y$1:$Y$175,Allocation2!$C$1:$C$175,$A174,Allocation2!$D$1:$D$175,$C174,Allocation2!$E$1:$E$175,$D174,Allocation2!$F$1:$F$175,$E174,Allocation2!$G$1:$G$175,"2026"))</f>
        <v/>
      </c>
      <c r="M174" t="str">
        <f>IF($A174="","",SUMIFS(Allocation2!$V$1:$V$175,Allocation2!$C$1:$C$175,$A174,Allocation2!$D$1:$D$175,$C174,Allocation2!$E$1:$E$175,$D174,Allocation2!$F$1:$F$175,$E174,Allocation2!$G$1:$G$175,"2026"))</f>
        <v/>
      </c>
      <c r="N174" t="str">
        <f t="shared" si="12"/>
        <v/>
      </c>
      <c r="O174" t="str">
        <f>IF($A174="","",SUMIFS(Campagne!$D$1:$D$15,Campagne!$C$1:$C$15,$A174))</f>
        <v/>
      </c>
      <c r="P174" t="str">
        <f>IF($A174="","",SUMIFS(Campagne!$E$1:$E$15,Campagne!$C$1:$C$15,$A174))</f>
        <v/>
      </c>
      <c r="Q174" t="str">
        <f>IF($A174="","",SUMIFS(Campagne!$F$1:$F$15,Campagne!$C$1:$C$15,$A174))</f>
        <v/>
      </c>
      <c r="R174" t="str">
        <f>IF($A174="","",SUMIFS(Campagne!$K$1:$K$15,Campagne!$C$1:$C$15,$A174))</f>
        <v/>
      </c>
      <c r="S174" t="str">
        <f>IF($A174="","",SUMIFS(Campagne!$M$1:$M$15,Campagne!$C$1:$C$15,$A174))</f>
        <v/>
      </c>
      <c r="T174" t="str">
        <f>IF($A174="","",SUMIFS(PIL!$K$15:$K$28,PIL!$A$15:$A$28,$A174)*SUMIFS(PIL!$J$15:$J$28,PIL!$A$15:$A$28,$A174)*(SUM(PIL!$K$15:$K$28)/SUMPRODUCT(PIL!$K$15:$K$28,PIL!$J$15:$J$28)))</f>
        <v/>
      </c>
      <c r="U174" t="str">
        <f>IF($A174="","",SUMIFS(PIL!$K$15:$K$28,PIL!$A$15:$A$28,$A174))</f>
        <v/>
      </c>
      <c r="V174" t="str">
        <f>IF($A174="","",IF($B174="V01",cad!$C$23,IF($B174="V02",cad!$D$23,cad!$E$23)))</f>
        <v/>
      </c>
      <c r="W174" t="str">
        <f>IF($A174="","",IF($B174="V01",cad!$C$24,IF($B174="V02",cad!$D$24,cad!$E$24)))</f>
        <v/>
      </c>
      <c r="X174" t="str">
        <f>IF($A174="","",IF($B174="V01",cad!$C$25,IF($B174="V02",cad!$D$25,cad!$E$25)))</f>
        <v/>
      </c>
      <c r="Y174" t="str">
        <f>IF($A174="","",IF($B174="V01",cad!$C$26,IF($B174="V02",cad!$D$26,cad!$E$26)))</f>
        <v/>
      </c>
      <c r="Z174" t="str">
        <f>IF($A174="","",IF($B174="V01",cad!$C$27,IF($B174="V02",cad!$D$27,cad!$E$27)))</f>
        <v/>
      </c>
      <c r="AA174" t="str">
        <f>IF($A174="","",IF($B174="V01",cad!$C$28,IF($B174="V02",cad!$D$28,cad!$E$28)))</f>
        <v/>
      </c>
      <c r="AB174" t="str">
        <f>IF($A174="","",IF($B174="V01",cad!$C$39,IF($B174="V02",cad!$D$39,cad!$E$39)))</f>
        <v/>
      </c>
      <c r="AC174" t="str">
        <f>IF($A174="","",IF($F174="MBWAY",cad!$J$12,IF($F174="ISCOM",cad!$J$13,IF($F174="IPAC",cad!$J$14,IF($F174="PIGIER",cad!$J$15,cad!$J$16)))))</f>
        <v/>
      </c>
      <c r="AD174" t="str">
        <f t="shared" si="13"/>
        <v/>
      </c>
      <c r="AE174" t="str">
        <f t="shared" si="14"/>
        <v/>
      </c>
      <c r="AF174" t="str">
        <f t="shared" si="15"/>
        <v/>
      </c>
      <c r="AG174" t="str">
        <f t="shared" si="16"/>
        <v/>
      </c>
      <c r="AH174" t="str">
        <f t="shared" si="17"/>
        <v/>
      </c>
    </row>
    <row r="175" spans="1:34" x14ac:dyDescent="0.45">
      <c r="A175" t="str">
        <f>IF(Moteur!D175="","",Moteur!D175)</f>
        <v/>
      </c>
      <c r="B175" t="str">
        <f>IF(Moteur!B175="","",Moteur!B175)</f>
        <v/>
      </c>
      <c r="C175" t="str">
        <f>IF(Moteur!F175="","",Moteur!F175)</f>
        <v/>
      </c>
      <c r="D175" t="str">
        <f>IF(Moteur!G175="","",Moteur!G175)</f>
        <v/>
      </c>
      <c r="E175" t="str">
        <f>IF(Moteur!H175="","",Moteur!H175)</f>
        <v/>
      </c>
      <c r="F175" t="str">
        <f>IF(Moteur!E175="","",Moteur!E175)</f>
        <v/>
      </c>
      <c r="G175" t="str">
        <f>IF($A175="","",SUMIFS(Allocation2!$H$1:$H$175,Allocation2!$C$1:$C$175,$A175,Allocation2!$D$1:$D$175,$C175,Allocation2!$E$1:$E$175,$D175,Allocation2!$F$1:$F$175,$E175,Allocation2!$G$1:$G$175,"2026"))</f>
        <v/>
      </c>
      <c r="H175" t="str">
        <f>IF($A175="","",SUMIFS(Allocation2!$N$1:$N$175,Allocation2!$C$1:$C$175,$A175,Allocation2!$D$1:$D$175,$C175,Allocation2!$E$1:$E$175,$D175,Allocation2!$F$1:$F$175,$E175,Allocation2!$G$1:$G$175,"2026"))</f>
        <v/>
      </c>
      <c r="I175" t="str">
        <f>IF($A175="","",SUMIFS(Allocation2!$P$1:$P$175,Allocation2!$C$1:$C$175,$A175,Allocation2!$D$1:$D$175,$C175,Allocation2!$E$1:$E$175,$D175,Allocation2!$F$1:$F$175,$E175,Allocation2!$G$1:$G$175,"2026"))</f>
        <v/>
      </c>
      <c r="J175" t="str">
        <f>IF($A175="","",SUMIFS(Allocation2!$W$1:$W$175,Allocation2!$C$1:$C$175,$A175,Allocation2!$D$1:$D$175,$C175,Allocation2!$E$1:$E$175,$D175,Allocation2!$F$1:$F$175,$E175,Allocation2!$G$1:$G$175,"2026"))</f>
        <v/>
      </c>
      <c r="K175" t="str">
        <f>IF($A175="","",SUMIFS(Allocation2!$X$1:$X$175,Allocation2!$C$1:$C$175,$A175,Allocation2!$D$1:$D$175,$C175,Allocation2!$E$1:$E$175,$D175,Allocation2!$F$1:$F$175,$E175,Allocation2!$G$1:$G$175,"2026"))</f>
        <v/>
      </c>
      <c r="L175" t="str">
        <f>IF($A175="","",SUMIFS(Allocation2!$Y$1:$Y$175,Allocation2!$C$1:$C$175,$A175,Allocation2!$D$1:$D$175,$C175,Allocation2!$E$1:$E$175,$D175,Allocation2!$F$1:$F$175,$E175,Allocation2!$G$1:$G$175,"2026"))</f>
        <v/>
      </c>
      <c r="M175" t="str">
        <f>IF($A175="","",SUMIFS(Allocation2!$V$1:$V$175,Allocation2!$C$1:$C$175,$A175,Allocation2!$D$1:$D$175,$C175,Allocation2!$E$1:$E$175,$D175,Allocation2!$F$1:$F$175,$E175,Allocation2!$G$1:$G$175,"2026"))</f>
        <v/>
      </c>
      <c r="N175" t="str">
        <f t="shared" si="12"/>
        <v/>
      </c>
      <c r="O175" t="str">
        <f>IF($A175="","",SUMIFS(Campagne!$D$1:$D$15,Campagne!$C$1:$C$15,$A175))</f>
        <v/>
      </c>
      <c r="P175" t="str">
        <f>IF($A175="","",SUMIFS(Campagne!$E$1:$E$15,Campagne!$C$1:$C$15,$A175))</f>
        <v/>
      </c>
      <c r="Q175" t="str">
        <f>IF($A175="","",SUMIFS(Campagne!$F$1:$F$15,Campagne!$C$1:$C$15,$A175))</f>
        <v/>
      </c>
      <c r="R175" t="str">
        <f>IF($A175="","",SUMIFS(Campagne!$K$1:$K$15,Campagne!$C$1:$C$15,$A175))</f>
        <v/>
      </c>
      <c r="S175" t="str">
        <f>IF($A175="","",SUMIFS(Campagne!$M$1:$M$15,Campagne!$C$1:$C$15,$A175))</f>
        <v/>
      </c>
      <c r="T175" t="str">
        <f>IF($A175="","",SUMIFS(PIL!$K$15:$K$28,PIL!$A$15:$A$28,$A175)*SUMIFS(PIL!$J$15:$J$28,PIL!$A$15:$A$28,$A175)*(SUM(PIL!$K$15:$K$28)/SUMPRODUCT(PIL!$K$15:$K$28,PIL!$J$15:$J$28)))</f>
        <v/>
      </c>
      <c r="U175" t="str">
        <f>IF($A175="","",SUMIFS(PIL!$K$15:$K$28,PIL!$A$15:$A$28,$A175))</f>
        <v/>
      </c>
      <c r="V175" t="str">
        <f>IF($A175="","",IF($B175="V01",cad!$C$23,IF($B175="V02",cad!$D$23,cad!$E$23)))</f>
        <v/>
      </c>
      <c r="W175" t="str">
        <f>IF($A175="","",IF($B175="V01",cad!$C$24,IF($B175="V02",cad!$D$24,cad!$E$24)))</f>
        <v/>
      </c>
      <c r="X175" t="str">
        <f>IF($A175="","",IF($B175="V01",cad!$C$25,IF($B175="V02",cad!$D$25,cad!$E$25)))</f>
        <v/>
      </c>
      <c r="Y175" t="str">
        <f>IF($A175="","",IF($B175="V01",cad!$C$26,IF($B175="V02",cad!$D$26,cad!$E$26)))</f>
        <v/>
      </c>
      <c r="Z175" t="str">
        <f>IF($A175="","",IF($B175="V01",cad!$C$27,IF($B175="V02",cad!$D$27,cad!$E$27)))</f>
        <v/>
      </c>
      <c r="AA175" t="str">
        <f>IF($A175="","",IF($B175="V01",cad!$C$28,IF($B175="V02",cad!$D$28,cad!$E$28)))</f>
        <v/>
      </c>
      <c r="AB175" t="str">
        <f>IF($A175="","",IF($B175="V01",cad!$C$39,IF($B175="V02",cad!$D$39,cad!$E$39)))</f>
        <v/>
      </c>
      <c r="AC175" t="str">
        <f>IF($A175="","",IF($F175="MBWAY",cad!$J$12,IF($F175="ISCOM",cad!$J$13,IF($F175="IPAC",cad!$J$14,IF($F175="PIGIER",cad!$J$15,cad!$J$16)))))</f>
        <v/>
      </c>
      <c r="AD175" t="str">
        <f t="shared" si="13"/>
        <v/>
      </c>
      <c r="AE175" t="str">
        <f t="shared" si="14"/>
        <v/>
      </c>
      <c r="AF175" t="str">
        <f t="shared" si="15"/>
        <v/>
      </c>
      <c r="AG175" t="str">
        <f t="shared" si="16"/>
        <v/>
      </c>
      <c r="AH175" t="str">
        <f t="shared" si="17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B2" sqref="B2"/>
    </sheetView>
  </sheetViews>
  <sheetFormatPr baseColWidth="10" defaultColWidth="9.06640625" defaultRowHeight="14.25" x14ac:dyDescent="0.45"/>
  <sheetData>
    <row r="1" spans="1:22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219</v>
      </c>
      <c r="H1" t="s">
        <v>220</v>
      </c>
      <c r="I1" t="s">
        <v>235</v>
      </c>
      <c r="J1" t="s">
        <v>236</v>
      </c>
      <c r="K1" t="s">
        <v>237</v>
      </c>
      <c r="L1" t="s">
        <v>238</v>
      </c>
      <c r="M1" t="s">
        <v>128</v>
      </c>
      <c r="N1" t="s">
        <v>239</v>
      </c>
      <c r="O1" t="s">
        <v>240</v>
      </c>
      <c r="P1" t="s">
        <v>241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0</v>
      </c>
      <c r="T1" t="s">
        <v>242</v>
      </c>
      <c r="V1" t="s">
        <v>228</v>
      </c>
    </row>
    <row r="2" spans="1:22" x14ac:dyDescent="0.45">
      <c r="A2">
        <f>IF(PNL!A2="","",PNL!A2)</f>
        <v>1000</v>
      </c>
      <c r="B2">
        <f>IF(PNL!B2="","",PNL!B2)</f>
        <v>1000</v>
      </c>
      <c r="C2">
        <f>IF(PNL!C2="","",PNL!C2)</f>
        <v>1000</v>
      </c>
      <c r="D2">
        <f>IF(PNL!D2="","",PNL!D2)</f>
        <v>1000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IF($A2="","",IF($D2="V01",cad!$C$23,IF($D2="V02",cad!$D$23,cad!$E$23)))</f>
        <v>-0.05</v>
      </c>
      <c r="H2">
        <f>IF($A2="","",IF($D2="V01",cad!$C$24,IF($D2="V02",cad!$D$24,cad!$E$24)))</f>
        <v>-0.05</v>
      </c>
      <c r="I2">
        <f>IF($A2="","",IF($D2="V01",cad!$C$32,IF($D2="V02",cad!$D$32,cad!$E$32)))</f>
        <v>0.03</v>
      </c>
      <c r="J2">
        <f>IF($A2="","",IF($D2="V01",cad!$C$33,IF($D2="V02",cad!$D$33,cad!$E$33)))</f>
        <v>0.03</v>
      </c>
      <c r="K2">
        <f>IF($A2="","",IF($D2="V01",cad!$C$34,IF($D2="V02",cad!$D$34,cad!$E$34)))</f>
        <v>0.05</v>
      </c>
      <c r="L2">
        <f>IF($A2="","",IF($D2="V01",cad!$C$35,IF($D2="V02",cad!$D$35,cad!$E$35)))</f>
        <v>0</v>
      </c>
      <c r="M2">
        <f>IF($A2="","",IF($D2="V01",cad!$C$36,IF($D2="V02",cad!$D$36,cad!$E$36)))</f>
        <v>0.04</v>
      </c>
      <c r="N2" t="e">
        <f t="shared" ref="N2:N65" si="1">IF($A2="","",IF($D2="V01",$R$2,IF($D2="V02",$R$3,$R$4)))</f>
        <v>#DIV/0!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1</v>
      </c>
      <c r="P2">
        <f>IF($A2="","",IF($E2=1,$F2*$O2,PNL!G2))</f>
        <v>1000</v>
      </c>
      <c r="R2" t="e">
        <f>SUMIFS(Moteur!$R$1:$R$175,Moteur!$B$1:$B$175,"V01")/$R$1</f>
        <v>#DIV/0!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/>
      </c>
      <c r="B3" t="str">
        <f>IF(PNL!B3="","",PNL!B3)</f>
        <v/>
      </c>
      <c r="C3" t="str">
        <f>IF(PNL!C3="","",PNL!C3)</f>
        <v/>
      </c>
      <c r="D3" t="str">
        <f>IF(PNL!D3="","",PNL!D3)</f>
        <v/>
      </c>
      <c r="E3" t="str">
        <f t="shared" si="0"/>
        <v/>
      </c>
      <c r="F3" t="str">
        <f>IF($A3="","",IF($E3=1,SUMIFS(Compta!$F$1:$F$675,Compta!$A$1:$A$675,$A3,Compta!$B$1:$B$675,$B3,Compta!$C$1:$C$675,"2026"),0))</f>
        <v/>
      </c>
      <c r="G3" t="str">
        <f>IF($A3="","",IF($D3="V01",cad!$C$23,IF($D3="V02",cad!$D$23,cad!$E$23)))</f>
        <v/>
      </c>
      <c r="H3" t="str">
        <f>IF($A3="","",IF($D3="V01",cad!$C$24,IF($D3="V02",cad!$D$24,cad!$E$24)))</f>
        <v/>
      </c>
      <c r="I3" t="str">
        <f>IF($A3="","",IF($D3="V01",cad!$C$32,IF($D3="V02",cad!$D$32,cad!$E$32)))</f>
        <v/>
      </c>
      <c r="J3" t="str">
        <f>IF($A3="","",IF($D3="V01",cad!$C$33,IF($D3="V02",cad!$D$33,cad!$E$33)))</f>
        <v/>
      </c>
      <c r="K3" t="str">
        <f>IF($A3="","",IF($D3="V01",cad!$C$34,IF($D3="V02",cad!$D$34,cad!$E$34)))</f>
        <v/>
      </c>
      <c r="L3" t="str">
        <f>IF($A3="","",IF($D3="V01",cad!$C$35,IF($D3="V02",cad!$D$35,cad!$E$35)))</f>
        <v/>
      </c>
      <c r="M3" t="str">
        <f>IF($A3="","",IF($D3="V01",cad!$C$36,IF($D3="V02",cad!$D$36,cad!$E$36)))</f>
        <v/>
      </c>
      <c r="N3" t="str">
        <f t="shared" si="1"/>
        <v/>
      </c>
      <c r="O3" t="str">
        <f t="shared" si="2"/>
        <v/>
      </c>
      <c r="P3" t="str">
        <f>IF($A3="","",IF($E3=1,$F3*$O3,PNL!G3))</f>
        <v/>
      </c>
      <c r="R3" t="e">
        <f>SUMIFS(Moteur!$R$1:$R$175,Moteur!$B$1:$B$175,"V02")/$R$1</f>
        <v>#DIV/0!</v>
      </c>
      <c r="T3" t="str">
        <f t="shared" si="3"/>
        <v/>
      </c>
    </row>
    <row r="4" spans="1:22" x14ac:dyDescent="0.45">
      <c r="A4" t="str">
        <f>IF(PNL!A4="","",PNL!A4)</f>
        <v/>
      </c>
      <c r="B4" t="str">
        <f>IF(PNL!B4="","",PNL!B4)</f>
        <v/>
      </c>
      <c r="C4" t="str">
        <f>IF(PNL!C4="","",PNL!C4)</f>
        <v/>
      </c>
      <c r="D4" t="str">
        <f>IF(PNL!D4="","",PNL!D4)</f>
        <v/>
      </c>
      <c r="E4" t="str">
        <f t="shared" si="0"/>
        <v/>
      </c>
      <c r="F4" t="str">
        <f>IF($A4="","",IF($E4=1,SUMIFS(Compta!$F$1:$F$675,Compta!$A$1:$A$675,$A4,Compta!$B$1:$B$675,$B4,Compta!$C$1:$C$675,"2026"),0))</f>
        <v/>
      </c>
      <c r="G4" t="str">
        <f>IF($A4="","",IF($D4="V01",cad!$C$23,IF($D4="V02",cad!$D$23,cad!$E$23)))</f>
        <v/>
      </c>
      <c r="H4" t="str">
        <f>IF($A4="","",IF($D4="V01",cad!$C$24,IF($D4="V02",cad!$D$24,cad!$E$24)))</f>
        <v/>
      </c>
      <c r="I4" t="str">
        <f>IF($A4="","",IF($D4="V01",cad!$C$32,IF($D4="V02",cad!$D$32,cad!$E$32)))</f>
        <v/>
      </c>
      <c r="J4" t="str">
        <f>IF($A4="","",IF($D4="V01",cad!$C$33,IF($D4="V02",cad!$D$33,cad!$E$33)))</f>
        <v/>
      </c>
      <c r="K4" t="str">
        <f>IF($A4="","",IF($D4="V01",cad!$C$34,IF($D4="V02",cad!$D$34,cad!$E$34)))</f>
        <v/>
      </c>
      <c r="L4" t="str">
        <f>IF($A4="","",IF($D4="V01",cad!$C$35,IF($D4="V02",cad!$D$35,cad!$E$35)))</f>
        <v/>
      </c>
      <c r="M4" t="str">
        <f>IF($A4="","",IF($D4="V01",cad!$C$36,IF($D4="V02",cad!$D$36,cad!$E$36)))</f>
        <v/>
      </c>
      <c r="N4" t="str">
        <f t="shared" si="1"/>
        <v/>
      </c>
      <c r="O4" t="str">
        <f t="shared" si="2"/>
        <v/>
      </c>
      <c r="P4" t="str">
        <f>IF($A4="","",IF($E4=1,$F4*$O4,PNL!G4))</f>
        <v/>
      </c>
      <c r="R4" t="e">
        <f>SUMIFS(Moteur!$R$1:$R$175,Moteur!$B$1:$B$175,"V03")/$R$1</f>
        <v>#DIV/0!</v>
      </c>
      <c r="T4" t="str">
        <f t="shared" si="3"/>
        <v/>
      </c>
    </row>
    <row r="5" spans="1:22" x14ac:dyDescent="0.45">
      <c r="A5" t="str">
        <f>IF(PNL!A5="","",PNL!A5)</f>
        <v/>
      </c>
      <c r="B5" t="str">
        <f>IF(PNL!B5="","",PNL!B5)</f>
        <v/>
      </c>
      <c r="C5" t="str">
        <f>IF(PNL!C5="","",PNL!C5)</f>
        <v/>
      </c>
      <c r="D5" t="str">
        <f>IF(PNL!D5="","",PNL!D5)</f>
        <v/>
      </c>
      <c r="E5" t="str">
        <f t="shared" si="0"/>
        <v/>
      </c>
      <c r="F5" t="str">
        <f>IF($A5="","",IF($E5=1,SUMIFS(Compta!$F$1:$F$675,Compta!$A$1:$A$675,$A5,Compta!$B$1:$B$675,$B5,Compta!$C$1:$C$675,"2026"),0))</f>
        <v/>
      </c>
      <c r="G5" t="str">
        <f>IF($A5="","",IF($D5="V01",cad!$C$23,IF($D5="V02",cad!$D$23,cad!$E$23)))</f>
        <v/>
      </c>
      <c r="H5" t="str">
        <f>IF($A5="","",IF($D5="V01",cad!$C$24,IF($D5="V02",cad!$D$24,cad!$E$24)))</f>
        <v/>
      </c>
      <c r="I5" t="str">
        <f>IF($A5="","",IF($D5="V01",cad!$C$32,IF($D5="V02",cad!$D$32,cad!$E$32)))</f>
        <v/>
      </c>
      <c r="J5" t="str">
        <f>IF($A5="","",IF($D5="V01",cad!$C$33,IF($D5="V02",cad!$D$33,cad!$E$33)))</f>
        <v/>
      </c>
      <c r="K5" t="str">
        <f>IF($A5="","",IF($D5="V01",cad!$C$34,IF($D5="V02",cad!$D$34,cad!$E$34)))</f>
        <v/>
      </c>
      <c r="L5" t="str">
        <f>IF($A5="","",IF($D5="V01",cad!$C$35,IF($D5="V02",cad!$D$35,cad!$E$35)))</f>
        <v/>
      </c>
      <c r="M5" t="str">
        <f>IF($A5="","",IF($D5="V01",cad!$C$36,IF($D5="V02",cad!$D$36,cad!$E$36)))</f>
        <v/>
      </c>
      <c r="N5" t="str">
        <f t="shared" si="1"/>
        <v/>
      </c>
      <c r="O5" t="str">
        <f t="shared" si="2"/>
        <v/>
      </c>
      <c r="P5" t="str">
        <f>IF($A5="","",IF($E5=1,$F5*$O5,PNL!G5))</f>
        <v/>
      </c>
      <c r="T5" t="str">
        <f t="shared" si="3"/>
        <v/>
      </c>
    </row>
    <row r="6" spans="1:22" x14ac:dyDescent="0.45">
      <c r="A6" t="str">
        <f>IF(PNL!A6="","",PNL!A6)</f>
        <v/>
      </c>
      <c r="B6" t="str">
        <f>IF(PNL!B6="","",PNL!B6)</f>
        <v/>
      </c>
      <c r="C6" t="str">
        <f>IF(PNL!C6="","",PNL!C6)</f>
        <v/>
      </c>
      <c r="D6" t="str">
        <f>IF(PNL!D6="","",PNL!D6)</f>
        <v/>
      </c>
      <c r="E6" t="str">
        <f t="shared" si="0"/>
        <v/>
      </c>
      <c r="F6" t="str">
        <f>IF($A6="","",IF($E6=1,SUMIFS(Compta!$F$1:$F$675,Compta!$A$1:$A$675,$A6,Compta!$B$1:$B$675,$B6,Compta!$C$1:$C$675,"2026"),0))</f>
        <v/>
      </c>
      <c r="G6" t="str">
        <f>IF($A6="","",IF($D6="V01",cad!$C$23,IF($D6="V02",cad!$D$23,cad!$E$23)))</f>
        <v/>
      </c>
      <c r="H6" t="str">
        <f>IF($A6="","",IF($D6="V01",cad!$C$24,IF($D6="V02",cad!$D$24,cad!$E$24)))</f>
        <v/>
      </c>
      <c r="I6" t="str">
        <f>IF($A6="","",IF($D6="V01",cad!$C$32,IF($D6="V02",cad!$D$32,cad!$E$32)))</f>
        <v/>
      </c>
      <c r="J6" t="str">
        <f>IF($A6="","",IF($D6="V01",cad!$C$33,IF($D6="V02",cad!$D$33,cad!$E$33)))</f>
        <v/>
      </c>
      <c r="K6" t="str">
        <f>IF($A6="","",IF($D6="V01",cad!$C$34,IF($D6="V02",cad!$D$34,cad!$E$34)))</f>
        <v/>
      </c>
      <c r="L6" t="str">
        <f>IF($A6="","",IF($D6="V01",cad!$C$35,IF($D6="V02",cad!$D$35,cad!$E$35)))</f>
        <v/>
      </c>
      <c r="M6" t="str">
        <f>IF($A6="","",IF($D6="V01",cad!$C$36,IF($D6="V02",cad!$D$36,cad!$E$36)))</f>
        <v/>
      </c>
      <c r="N6" t="str">
        <f t="shared" si="1"/>
        <v/>
      </c>
      <c r="O6" t="str">
        <f t="shared" si="2"/>
        <v/>
      </c>
      <c r="P6" t="str">
        <f>IF($A6="","",IF($E6=1,$F6*$O6,PNL!G6))</f>
        <v/>
      </c>
      <c r="T6" t="str">
        <f t="shared" si="3"/>
        <v/>
      </c>
    </row>
    <row r="7" spans="1:22" x14ac:dyDescent="0.45">
      <c r="A7" t="str">
        <f>IF(PNL!A7="","",PNL!A7)</f>
        <v/>
      </c>
      <c r="B7" t="str">
        <f>IF(PNL!B7="","",PNL!B7)</f>
        <v/>
      </c>
      <c r="C7" t="str">
        <f>IF(PNL!C7="","",PNL!C7)</f>
        <v/>
      </c>
      <c r="D7" t="str">
        <f>IF(PNL!D7="","",PNL!D7)</f>
        <v/>
      </c>
      <c r="E7" t="str">
        <f t="shared" si="0"/>
        <v/>
      </c>
      <c r="F7" t="str">
        <f>IF($A7="","",IF($E7=1,SUMIFS(Compta!$F$1:$F$675,Compta!$A$1:$A$675,$A7,Compta!$B$1:$B$675,$B7,Compta!$C$1:$C$675,"2026"),0))</f>
        <v/>
      </c>
      <c r="G7" t="str">
        <f>IF($A7="","",IF($D7="V01",cad!$C$23,IF($D7="V02",cad!$D$23,cad!$E$23)))</f>
        <v/>
      </c>
      <c r="H7" t="str">
        <f>IF($A7="","",IF($D7="V01",cad!$C$24,IF($D7="V02",cad!$D$24,cad!$E$24)))</f>
        <v/>
      </c>
      <c r="I7" t="str">
        <f>IF($A7="","",IF($D7="V01",cad!$C$32,IF($D7="V02",cad!$D$32,cad!$E$32)))</f>
        <v/>
      </c>
      <c r="J7" t="str">
        <f>IF($A7="","",IF($D7="V01",cad!$C$33,IF($D7="V02",cad!$D$33,cad!$E$33)))</f>
        <v/>
      </c>
      <c r="K7" t="str">
        <f>IF($A7="","",IF($D7="V01",cad!$C$34,IF($D7="V02",cad!$D$34,cad!$E$34)))</f>
        <v/>
      </c>
      <c r="L7" t="str">
        <f>IF($A7="","",IF($D7="V01",cad!$C$35,IF($D7="V02",cad!$D$35,cad!$E$35)))</f>
        <v/>
      </c>
      <c r="M7" t="str">
        <f>IF($A7="","",IF($D7="V01",cad!$C$36,IF($D7="V02",cad!$D$36,cad!$E$36)))</f>
        <v/>
      </c>
      <c r="N7" t="str">
        <f t="shared" si="1"/>
        <v/>
      </c>
      <c r="O7" t="str">
        <f t="shared" si="2"/>
        <v/>
      </c>
      <c r="P7" t="str">
        <f>IF($A7="","",IF($E7=1,$F7*$O7,PNL!G7))</f>
        <v/>
      </c>
      <c r="T7" t="str">
        <f t="shared" si="3"/>
        <v/>
      </c>
    </row>
    <row r="8" spans="1:22" x14ac:dyDescent="0.45">
      <c r="A8" t="str">
        <f>IF(PNL!A8="","",PNL!A8)</f>
        <v/>
      </c>
      <c r="B8" t="str">
        <f>IF(PNL!B8="","",PNL!B8)</f>
        <v/>
      </c>
      <c r="C8" t="str">
        <f>IF(PNL!C8="","",PNL!C8)</f>
        <v/>
      </c>
      <c r="D8" t="str">
        <f>IF(PNL!D8="","",PNL!D8)</f>
        <v/>
      </c>
      <c r="E8" t="str">
        <f t="shared" si="0"/>
        <v/>
      </c>
      <c r="F8" t="str">
        <f>IF($A8="","",IF($E8=1,SUMIFS(Compta!$F$1:$F$675,Compta!$A$1:$A$675,$A8,Compta!$B$1:$B$675,$B8,Compta!$C$1:$C$675,"2026"),0))</f>
        <v/>
      </c>
      <c r="G8" t="str">
        <f>IF($A8="","",IF($D8="V01",cad!$C$23,IF($D8="V02",cad!$D$23,cad!$E$23)))</f>
        <v/>
      </c>
      <c r="H8" t="str">
        <f>IF($A8="","",IF($D8="V01",cad!$C$24,IF($D8="V02",cad!$D$24,cad!$E$24)))</f>
        <v/>
      </c>
      <c r="I8" t="str">
        <f>IF($A8="","",IF($D8="V01",cad!$C$32,IF($D8="V02",cad!$D$32,cad!$E$32)))</f>
        <v/>
      </c>
      <c r="J8" t="str">
        <f>IF($A8="","",IF($D8="V01",cad!$C$33,IF($D8="V02",cad!$D$33,cad!$E$33)))</f>
        <v/>
      </c>
      <c r="K8" t="str">
        <f>IF($A8="","",IF($D8="V01",cad!$C$34,IF($D8="V02",cad!$D$34,cad!$E$34)))</f>
        <v/>
      </c>
      <c r="L8" t="str">
        <f>IF($A8="","",IF($D8="V01",cad!$C$35,IF($D8="V02",cad!$D$35,cad!$E$35)))</f>
        <v/>
      </c>
      <c r="M8" t="str">
        <f>IF($A8="","",IF($D8="V01",cad!$C$36,IF($D8="V02",cad!$D$36,cad!$E$36)))</f>
        <v/>
      </c>
      <c r="N8" t="str">
        <f t="shared" si="1"/>
        <v/>
      </c>
      <c r="O8" t="str">
        <f t="shared" si="2"/>
        <v/>
      </c>
      <c r="P8" t="str">
        <f>IF($A8="","",IF($E8=1,$F8*$O8,PNL!G8))</f>
        <v/>
      </c>
      <c r="T8" t="str">
        <f t="shared" si="3"/>
        <v/>
      </c>
    </row>
    <row r="9" spans="1:22" x14ac:dyDescent="0.45">
      <c r="A9" t="str">
        <f>IF(PNL!A9="","",PNL!A9)</f>
        <v/>
      </c>
      <c r="B9" t="str">
        <f>IF(PNL!B9="","",PNL!B9)</f>
        <v/>
      </c>
      <c r="C9" t="str">
        <f>IF(PNL!C9="","",PNL!C9)</f>
        <v/>
      </c>
      <c r="D9" t="str">
        <f>IF(PNL!D9="","",PNL!D9)</f>
        <v/>
      </c>
      <c r="E9" t="str">
        <f t="shared" si="0"/>
        <v/>
      </c>
      <c r="F9" t="str">
        <f>IF($A9="","",IF($E9=1,SUMIFS(Compta!$F$1:$F$675,Compta!$A$1:$A$675,$A9,Compta!$B$1:$B$675,$B9,Compta!$C$1:$C$675,"2026"),0))</f>
        <v/>
      </c>
      <c r="G9" t="str">
        <f>IF($A9="","",IF($D9="V01",cad!$C$23,IF($D9="V02",cad!$D$23,cad!$E$23)))</f>
        <v/>
      </c>
      <c r="H9" t="str">
        <f>IF($A9="","",IF($D9="V01",cad!$C$24,IF($D9="V02",cad!$D$24,cad!$E$24)))</f>
        <v/>
      </c>
      <c r="I9" t="str">
        <f>IF($A9="","",IF($D9="V01",cad!$C$32,IF($D9="V02",cad!$D$32,cad!$E$32)))</f>
        <v/>
      </c>
      <c r="J9" t="str">
        <f>IF($A9="","",IF($D9="V01",cad!$C$33,IF($D9="V02",cad!$D$33,cad!$E$33)))</f>
        <v/>
      </c>
      <c r="K9" t="str">
        <f>IF($A9="","",IF($D9="V01",cad!$C$34,IF($D9="V02",cad!$D$34,cad!$E$34)))</f>
        <v/>
      </c>
      <c r="L9" t="str">
        <f>IF($A9="","",IF($D9="V01",cad!$C$35,IF($D9="V02",cad!$D$35,cad!$E$35)))</f>
        <v/>
      </c>
      <c r="M9" t="str">
        <f>IF($A9="","",IF($D9="V01",cad!$C$36,IF($D9="V02",cad!$D$36,cad!$E$36)))</f>
        <v/>
      </c>
      <c r="N9" t="str">
        <f t="shared" si="1"/>
        <v/>
      </c>
      <c r="O9" t="str">
        <f t="shared" si="2"/>
        <v/>
      </c>
      <c r="P9" t="str">
        <f>IF($A9="","",IF($E9=1,$F9*$O9,PNL!G9))</f>
        <v/>
      </c>
      <c r="T9" t="str">
        <f t="shared" si="3"/>
        <v/>
      </c>
    </row>
    <row r="10" spans="1:22" x14ac:dyDescent="0.45">
      <c r="A10" t="str">
        <f>IF(PNL!A10="","",PNL!A10)</f>
        <v/>
      </c>
      <c r="B10" t="str">
        <f>IF(PNL!B10="","",PNL!B10)</f>
        <v/>
      </c>
      <c r="C10" t="str">
        <f>IF(PNL!C10="","",PNL!C10)</f>
        <v/>
      </c>
      <c r="D10" t="str">
        <f>IF(PNL!D10="","",PNL!D10)</f>
        <v/>
      </c>
      <c r="E10" t="str">
        <f t="shared" si="0"/>
        <v/>
      </c>
      <c r="F10" t="str">
        <f>IF($A10="","",IF($E10=1,SUMIFS(Compta!$F$1:$F$675,Compta!$A$1:$A$675,$A10,Compta!$B$1:$B$675,$B10,Compta!$C$1:$C$675,"2026"),0))</f>
        <v/>
      </c>
      <c r="G10" t="str">
        <f>IF($A10="","",IF($D10="V01",cad!$C$23,IF($D10="V02",cad!$D$23,cad!$E$23)))</f>
        <v/>
      </c>
      <c r="H10" t="str">
        <f>IF($A10="","",IF($D10="V01",cad!$C$24,IF($D10="V02",cad!$D$24,cad!$E$24)))</f>
        <v/>
      </c>
      <c r="I10" t="str">
        <f>IF($A10="","",IF($D10="V01",cad!$C$32,IF($D10="V02",cad!$D$32,cad!$E$32)))</f>
        <v/>
      </c>
      <c r="J10" t="str">
        <f>IF($A10="","",IF($D10="V01",cad!$C$33,IF($D10="V02",cad!$D$33,cad!$E$33)))</f>
        <v/>
      </c>
      <c r="K10" t="str">
        <f>IF($A10="","",IF($D10="V01",cad!$C$34,IF($D10="V02",cad!$D$34,cad!$E$34)))</f>
        <v/>
      </c>
      <c r="L10" t="str">
        <f>IF($A10="","",IF($D10="V01",cad!$C$35,IF($D10="V02",cad!$D$35,cad!$E$35)))</f>
        <v/>
      </c>
      <c r="M10" t="str">
        <f>IF($A10="","",IF($D10="V01",cad!$C$36,IF($D10="V02",cad!$D$36,cad!$E$36)))</f>
        <v/>
      </c>
      <c r="N10" t="str">
        <f t="shared" si="1"/>
        <v/>
      </c>
      <c r="O10" t="str">
        <f t="shared" si="2"/>
        <v/>
      </c>
      <c r="P10" t="str">
        <f>IF($A10="","",IF($E10=1,$F10*$O10,PNL!G10))</f>
        <v/>
      </c>
      <c r="T10" t="str">
        <f t="shared" si="3"/>
        <v/>
      </c>
    </row>
    <row r="11" spans="1:22" x14ac:dyDescent="0.45">
      <c r="A11" t="str">
        <f>IF(PNL!A11="","",PNL!A11)</f>
        <v/>
      </c>
      <c r="B11" t="str">
        <f>IF(PNL!B11="","",PNL!B11)</f>
        <v/>
      </c>
      <c r="C11" t="str">
        <f>IF(PNL!C11="","",PNL!C11)</f>
        <v/>
      </c>
      <c r="D11" t="str">
        <f>IF(PNL!D11="","",PNL!D11)</f>
        <v/>
      </c>
      <c r="E11" t="str">
        <f t="shared" si="0"/>
        <v/>
      </c>
      <c r="F11" t="str">
        <f>IF($A11="","",IF($E11=1,SUMIFS(Compta!$F$1:$F$675,Compta!$A$1:$A$675,$A11,Compta!$B$1:$B$675,$B11,Compta!$C$1:$C$675,"2026"),0))</f>
        <v/>
      </c>
      <c r="G11" t="str">
        <f>IF($A11="","",IF($D11="V01",cad!$C$23,IF($D11="V02",cad!$D$23,cad!$E$23)))</f>
        <v/>
      </c>
      <c r="H11" t="str">
        <f>IF($A11="","",IF($D11="V01",cad!$C$24,IF($D11="V02",cad!$D$24,cad!$E$24)))</f>
        <v/>
      </c>
      <c r="I11" t="str">
        <f>IF($A11="","",IF($D11="V01",cad!$C$32,IF($D11="V02",cad!$D$32,cad!$E$32)))</f>
        <v/>
      </c>
      <c r="J11" t="str">
        <f>IF($A11="","",IF($D11="V01",cad!$C$33,IF($D11="V02",cad!$D$33,cad!$E$33)))</f>
        <v/>
      </c>
      <c r="K11" t="str">
        <f>IF($A11="","",IF($D11="V01",cad!$C$34,IF($D11="V02",cad!$D$34,cad!$E$34)))</f>
        <v/>
      </c>
      <c r="L11" t="str">
        <f>IF($A11="","",IF($D11="V01",cad!$C$35,IF($D11="V02",cad!$D$35,cad!$E$35)))</f>
        <v/>
      </c>
      <c r="M11" t="str">
        <f>IF($A11="","",IF($D11="V01",cad!$C$36,IF($D11="V02",cad!$D$36,cad!$E$36)))</f>
        <v/>
      </c>
      <c r="N11" t="str">
        <f t="shared" si="1"/>
        <v/>
      </c>
      <c r="O11" t="str">
        <f t="shared" si="2"/>
        <v/>
      </c>
      <c r="P11" t="str">
        <f>IF($A11="","",IF($E11=1,$F11*$O11,PNL!G11))</f>
        <v/>
      </c>
      <c r="T11" t="str">
        <f t="shared" si="3"/>
        <v/>
      </c>
    </row>
    <row r="12" spans="1:22" x14ac:dyDescent="0.45">
      <c r="A12" t="str">
        <f>IF(PNL!A12="","",PNL!A12)</f>
        <v/>
      </c>
      <c r="B12" t="str">
        <f>IF(PNL!B12="","",PNL!B12)</f>
        <v/>
      </c>
      <c r="C12" t="str">
        <f>IF(PNL!C12="","",PNL!C12)</f>
        <v/>
      </c>
      <c r="D12" t="str">
        <f>IF(PNL!D12="","",PNL!D12)</f>
        <v/>
      </c>
      <c r="E12" t="str">
        <f t="shared" si="0"/>
        <v/>
      </c>
      <c r="F12" t="str">
        <f>IF($A12="","",IF($E12=1,SUMIFS(Compta!$F$1:$F$675,Compta!$A$1:$A$675,$A12,Compta!$B$1:$B$675,$B12,Compta!$C$1:$C$675,"2026"),0))</f>
        <v/>
      </c>
      <c r="G12" t="str">
        <f>IF($A12="","",IF($D12="V01",cad!$C$23,IF($D12="V02",cad!$D$23,cad!$E$23)))</f>
        <v/>
      </c>
      <c r="H12" t="str">
        <f>IF($A12="","",IF($D12="V01",cad!$C$24,IF($D12="V02",cad!$D$24,cad!$E$24)))</f>
        <v/>
      </c>
      <c r="I12" t="str">
        <f>IF($A12="","",IF($D12="V01",cad!$C$32,IF($D12="V02",cad!$D$32,cad!$E$32)))</f>
        <v/>
      </c>
      <c r="J12" t="str">
        <f>IF($A12="","",IF($D12="V01",cad!$C$33,IF($D12="V02",cad!$D$33,cad!$E$33)))</f>
        <v/>
      </c>
      <c r="K12" t="str">
        <f>IF($A12="","",IF($D12="V01",cad!$C$34,IF($D12="V02",cad!$D$34,cad!$E$34)))</f>
        <v/>
      </c>
      <c r="L12" t="str">
        <f>IF($A12="","",IF($D12="V01",cad!$C$35,IF($D12="V02",cad!$D$35,cad!$E$35)))</f>
        <v/>
      </c>
      <c r="M12" t="str">
        <f>IF($A12="","",IF($D12="V01",cad!$C$36,IF($D12="V02",cad!$D$36,cad!$E$36)))</f>
        <v/>
      </c>
      <c r="N12" t="str">
        <f t="shared" si="1"/>
        <v/>
      </c>
      <c r="O12" t="str">
        <f t="shared" si="2"/>
        <v/>
      </c>
      <c r="P12" t="str">
        <f>IF($A12="","",IF($E12=1,$F12*$O12,PNL!G12))</f>
        <v/>
      </c>
      <c r="T12" t="str">
        <f t="shared" si="3"/>
        <v/>
      </c>
    </row>
    <row r="13" spans="1:22" x14ac:dyDescent="0.45">
      <c r="A13" t="str">
        <f>IF(PNL!A13="","",PNL!A13)</f>
        <v/>
      </c>
      <c r="B13" t="str">
        <f>IF(PNL!B13="","",PNL!B13)</f>
        <v/>
      </c>
      <c r="C13" t="str">
        <f>IF(PNL!C13="","",PNL!C13)</f>
        <v/>
      </c>
      <c r="D13" t="str">
        <f>IF(PNL!D13="","",PNL!D13)</f>
        <v/>
      </c>
      <c r="E13" t="str">
        <f t="shared" si="0"/>
        <v/>
      </c>
      <c r="F13" t="str">
        <f>IF($A13="","",IF($E13=1,SUMIFS(Compta!$F$1:$F$675,Compta!$A$1:$A$675,$A13,Compta!$B$1:$B$675,$B13,Compta!$C$1:$C$675,"2026"),0))</f>
        <v/>
      </c>
      <c r="G13" t="str">
        <f>IF($A13="","",IF($D13="V01",cad!$C$23,IF($D13="V02",cad!$D$23,cad!$E$23)))</f>
        <v/>
      </c>
      <c r="H13" t="str">
        <f>IF($A13="","",IF($D13="V01",cad!$C$24,IF($D13="V02",cad!$D$24,cad!$E$24)))</f>
        <v/>
      </c>
      <c r="I13" t="str">
        <f>IF($A13="","",IF($D13="V01",cad!$C$32,IF($D13="V02",cad!$D$32,cad!$E$32)))</f>
        <v/>
      </c>
      <c r="J13" t="str">
        <f>IF($A13="","",IF($D13="V01",cad!$C$33,IF($D13="V02",cad!$D$33,cad!$E$33)))</f>
        <v/>
      </c>
      <c r="K13" t="str">
        <f>IF($A13="","",IF($D13="V01",cad!$C$34,IF($D13="V02",cad!$D$34,cad!$E$34)))</f>
        <v/>
      </c>
      <c r="L13" t="str">
        <f>IF($A13="","",IF($D13="V01",cad!$C$35,IF($D13="V02",cad!$D$35,cad!$E$35)))</f>
        <v/>
      </c>
      <c r="M13" t="str">
        <f>IF($A13="","",IF($D13="V01",cad!$C$36,IF($D13="V02",cad!$D$36,cad!$E$36)))</f>
        <v/>
      </c>
      <c r="N13" t="str">
        <f t="shared" si="1"/>
        <v/>
      </c>
      <c r="O13" t="str">
        <f t="shared" si="2"/>
        <v/>
      </c>
      <c r="P13" t="str">
        <f>IF($A13="","",IF($E13=1,$F13*$O13,PNL!G13))</f>
        <v/>
      </c>
      <c r="T13" t="str">
        <f t="shared" si="3"/>
        <v/>
      </c>
    </row>
    <row r="14" spans="1:22" x14ac:dyDescent="0.45">
      <c r="A14" t="str">
        <f>IF(PNL!A14="","",PNL!A14)</f>
        <v/>
      </c>
      <c r="B14" t="str">
        <f>IF(PNL!B14="","",PNL!B14)</f>
        <v/>
      </c>
      <c r="C14" t="str">
        <f>IF(PNL!C14="","",PNL!C14)</f>
        <v/>
      </c>
      <c r="D14" t="str">
        <f>IF(PNL!D14="","",PNL!D14)</f>
        <v/>
      </c>
      <c r="E14" t="str">
        <f t="shared" si="0"/>
        <v/>
      </c>
      <c r="F14" t="str">
        <f>IF($A14="","",IF($E14=1,SUMIFS(Compta!$F$1:$F$675,Compta!$A$1:$A$675,$A14,Compta!$B$1:$B$675,$B14,Compta!$C$1:$C$675,"2026"),0))</f>
        <v/>
      </c>
      <c r="G14" t="str">
        <f>IF($A14="","",IF($D14="V01",cad!$C$23,IF($D14="V02",cad!$D$23,cad!$E$23)))</f>
        <v/>
      </c>
      <c r="H14" t="str">
        <f>IF($A14="","",IF($D14="V01",cad!$C$24,IF($D14="V02",cad!$D$24,cad!$E$24)))</f>
        <v/>
      </c>
      <c r="I14" t="str">
        <f>IF($A14="","",IF($D14="V01",cad!$C$32,IF($D14="V02",cad!$D$32,cad!$E$32)))</f>
        <v/>
      </c>
      <c r="J14" t="str">
        <f>IF($A14="","",IF($D14="V01",cad!$C$33,IF($D14="V02",cad!$D$33,cad!$E$33)))</f>
        <v/>
      </c>
      <c r="K14" t="str">
        <f>IF($A14="","",IF($D14="V01",cad!$C$34,IF($D14="V02",cad!$D$34,cad!$E$34)))</f>
        <v/>
      </c>
      <c r="L14" t="str">
        <f>IF($A14="","",IF($D14="V01",cad!$C$35,IF($D14="V02",cad!$D$35,cad!$E$35)))</f>
        <v/>
      </c>
      <c r="M14" t="str">
        <f>IF($A14="","",IF($D14="V01",cad!$C$36,IF($D14="V02",cad!$D$36,cad!$E$36)))</f>
        <v/>
      </c>
      <c r="N14" t="str">
        <f t="shared" si="1"/>
        <v/>
      </c>
      <c r="O14" t="str">
        <f t="shared" si="2"/>
        <v/>
      </c>
      <c r="P14" t="str">
        <f>IF($A14="","",IF($E14=1,$F14*$O14,PNL!G14))</f>
        <v/>
      </c>
      <c r="T14" t="str">
        <f t="shared" si="3"/>
        <v/>
      </c>
    </row>
    <row r="15" spans="1:22" x14ac:dyDescent="0.45">
      <c r="A15" t="str">
        <f>IF(PNL!A15="","",PNL!A15)</f>
        <v/>
      </c>
      <c r="B15" t="str">
        <f>IF(PNL!B15="","",PNL!B15)</f>
        <v/>
      </c>
      <c r="C15" t="str">
        <f>IF(PNL!C15="","",PNL!C15)</f>
        <v/>
      </c>
      <c r="D15" t="str">
        <f>IF(PNL!D15="","",PNL!D15)</f>
        <v/>
      </c>
      <c r="E15" t="str">
        <f t="shared" si="0"/>
        <v/>
      </c>
      <c r="F15" t="str">
        <f>IF($A15="","",IF($E15=1,SUMIFS(Compta!$F$1:$F$675,Compta!$A$1:$A$675,$A15,Compta!$B$1:$B$675,$B15,Compta!$C$1:$C$675,"2026"),0))</f>
        <v/>
      </c>
      <c r="G15" t="str">
        <f>IF($A15="","",IF($D15="V01",cad!$C$23,IF($D15="V02",cad!$D$23,cad!$E$23)))</f>
        <v/>
      </c>
      <c r="H15" t="str">
        <f>IF($A15="","",IF($D15="V01",cad!$C$24,IF($D15="V02",cad!$D$24,cad!$E$24)))</f>
        <v/>
      </c>
      <c r="I15" t="str">
        <f>IF($A15="","",IF($D15="V01",cad!$C$32,IF($D15="V02",cad!$D$32,cad!$E$32)))</f>
        <v/>
      </c>
      <c r="J15" t="str">
        <f>IF($A15="","",IF($D15="V01",cad!$C$33,IF($D15="V02",cad!$D$33,cad!$E$33)))</f>
        <v/>
      </c>
      <c r="K15" t="str">
        <f>IF($A15="","",IF($D15="V01",cad!$C$34,IF($D15="V02",cad!$D$34,cad!$E$34)))</f>
        <v/>
      </c>
      <c r="L15" t="str">
        <f>IF($A15="","",IF($D15="V01",cad!$C$35,IF($D15="V02",cad!$D$35,cad!$E$35)))</f>
        <v/>
      </c>
      <c r="M15" t="str">
        <f>IF($A15="","",IF($D15="V01",cad!$C$36,IF($D15="V02",cad!$D$36,cad!$E$36)))</f>
        <v/>
      </c>
      <c r="N15" t="str">
        <f t="shared" si="1"/>
        <v/>
      </c>
      <c r="O15" t="str">
        <f t="shared" si="2"/>
        <v/>
      </c>
      <c r="P15" t="str">
        <f>IF($A15="","",IF($E15=1,$F15*$O15,PNL!G15))</f>
        <v/>
      </c>
      <c r="T15" t="str">
        <f t="shared" si="3"/>
        <v/>
      </c>
    </row>
    <row r="16" spans="1:22" x14ac:dyDescent="0.45">
      <c r="A16" t="str">
        <f>IF(PNL!A16="","",PNL!A16)</f>
        <v/>
      </c>
      <c r="B16" t="str">
        <f>IF(PNL!B16="","",PNL!B16)</f>
        <v/>
      </c>
      <c r="C16" t="str">
        <f>IF(PNL!C16="","",PNL!C16)</f>
        <v/>
      </c>
      <c r="D16" t="str">
        <f>IF(PNL!D16="","",PNL!D16)</f>
        <v/>
      </c>
      <c r="E16" t="str">
        <f t="shared" si="0"/>
        <v/>
      </c>
      <c r="F16" t="str">
        <f>IF($A16="","",IF($E16=1,SUMIFS(Compta!$F$1:$F$675,Compta!$A$1:$A$675,$A16,Compta!$B$1:$B$675,$B16,Compta!$C$1:$C$675,"2026"),0))</f>
        <v/>
      </c>
      <c r="G16" t="str">
        <f>IF($A16="","",IF($D16="V01",cad!$C$23,IF($D16="V02",cad!$D$23,cad!$E$23)))</f>
        <v/>
      </c>
      <c r="H16" t="str">
        <f>IF($A16="","",IF($D16="V01",cad!$C$24,IF($D16="V02",cad!$D$24,cad!$E$24)))</f>
        <v/>
      </c>
      <c r="I16" t="str">
        <f>IF($A16="","",IF($D16="V01",cad!$C$32,IF($D16="V02",cad!$D$32,cad!$E$32)))</f>
        <v/>
      </c>
      <c r="J16" t="str">
        <f>IF($A16="","",IF($D16="V01",cad!$C$33,IF($D16="V02",cad!$D$33,cad!$E$33)))</f>
        <v/>
      </c>
      <c r="K16" t="str">
        <f>IF($A16="","",IF($D16="V01",cad!$C$34,IF($D16="V02",cad!$D$34,cad!$E$34)))</f>
        <v/>
      </c>
      <c r="L16" t="str">
        <f>IF($A16="","",IF($D16="V01",cad!$C$35,IF($D16="V02",cad!$D$35,cad!$E$35)))</f>
        <v/>
      </c>
      <c r="M16" t="str">
        <f>IF($A16="","",IF($D16="V01",cad!$C$36,IF($D16="V02",cad!$D$36,cad!$E$36)))</f>
        <v/>
      </c>
      <c r="N16" t="str">
        <f t="shared" si="1"/>
        <v/>
      </c>
      <c r="O16" t="str">
        <f t="shared" si="2"/>
        <v/>
      </c>
      <c r="P16" t="str">
        <f>IF($A16="","",IF($E16=1,$F16*$O16,PNL!G16))</f>
        <v/>
      </c>
      <c r="T16" t="str">
        <f t="shared" si="3"/>
        <v/>
      </c>
    </row>
    <row r="17" spans="1:20" x14ac:dyDescent="0.45">
      <c r="A17" t="str">
        <f>IF(PNL!A17="","",PNL!A17)</f>
        <v/>
      </c>
      <c r="B17" t="str">
        <f>IF(PNL!B17="","",PNL!B17)</f>
        <v/>
      </c>
      <c r="C17" t="str">
        <f>IF(PNL!C17="","",PNL!C17)</f>
        <v/>
      </c>
      <c r="D17" t="str">
        <f>IF(PNL!D17="","",PNL!D17)</f>
        <v/>
      </c>
      <c r="E17" t="str">
        <f t="shared" si="0"/>
        <v/>
      </c>
      <c r="F17" t="str">
        <f>IF($A17="","",IF($E17=1,SUMIFS(Compta!$F$1:$F$675,Compta!$A$1:$A$675,$A17,Compta!$B$1:$B$675,$B17,Compta!$C$1:$C$675,"2026"),0))</f>
        <v/>
      </c>
      <c r="G17" t="str">
        <f>IF($A17="","",IF($D17="V01",cad!$C$23,IF($D17="V02",cad!$D$23,cad!$E$23)))</f>
        <v/>
      </c>
      <c r="H17" t="str">
        <f>IF($A17="","",IF($D17="V01",cad!$C$24,IF($D17="V02",cad!$D$24,cad!$E$24)))</f>
        <v/>
      </c>
      <c r="I17" t="str">
        <f>IF($A17="","",IF($D17="V01",cad!$C$32,IF($D17="V02",cad!$D$32,cad!$E$32)))</f>
        <v/>
      </c>
      <c r="J17" t="str">
        <f>IF($A17="","",IF($D17="V01",cad!$C$33,IF($D17="V02",cad!$D$33,cad!$E$33)))</f>
        <v/>
      </c>
      <c r="K17" t="str">
        <f>IF($A17="","",IF($D17="V01",cad!$C$34,IF($D17="V02",cad!$D$34,cad!$E$34)))</f>
        <v/>
      </c>
      <c r="L17" t="str">
        <f>IF($A17="","",IF($D17="V01",cad!$C$35,IF($D17="V02",cad!$D$35,cad!$E$35)))</f>
        <v/>
      </c>
      <c r="M17" t="str">
        <f>IF($A17="","",IF($D17="V01",cad!$C$36,IF($D17="V02",cad!$D$36,cad!$E$36)))</f>
        <v/>
      </c>
      <c r="N17" t="str">
        <f t="shared" si="1"/>
        <v/>
      </c>
      <c r="O17" t="str">
        <f t="shared" si="2"/>
        <v/>
      </c>
      <c r="P17" t="str">
        <f>IF($A17="","",IF($E17=1,$F17*$O17,PNL!G17))</f>
        <v/>
      </c>
      <c r="T17" t="str">
        <f t="shared" si="3"/>
        <v/>
      </c>
    </row>
    <row r="18" spans="1:20" x14ac:dyDescent="0.45">
      <c r="A18" t="str">
        <f>IF(PNL!A18="","",PNL!A18)</f>
        <v/>
      </c>
      <c r="B18" t="str">
        <f>IF(PNL!B18="","",PNL!B18)</f>
        <v/>
      </c>
      <c r="C18" t="str">
        <f>IF(PNL!C18="","",PNL!C18)</f>
        <v/>
      </c>
      <c r="D18" t="str">
        <f>IF(PNL!D18="","",PNL!D18)</f>
        <v/>
      </c>
      <c r="E18" t="str">
        <f t="shared" si="0"/>
        <v/>
      </c>
      <c r="F18" t="str">
        <f>IF($A18="","",IF($E18=1,SUMIFS(Compta!$F$1:$F$675,Compta!$A$1:$A$675,$A18,Compta!$B$1:$B$675,$B18,Compta!$C$1:$C$675,"2026"),0))</f>
        <v/>
      </c>
      <c r="G18" t="str">
        <f>IF($A18="","",IF($D18="V01",cad!$C$23,IF($D18="V02",cad!$D$23,cad!$E$23)))</f>
        <v/>
      </c>
      <c r="H18" t="str">
        <f>IF($A18="","",IF($D18="V01",cad!$C$24,IF($D18="V02",cad!$D$24,cad!$E$24)))</f>
        <v/>
      </c>
      <c r="I18" t="str">
        <f>IF($A18="","",IF($D18="V01",cad!$C$32,IF($D18="V02",cad!$D$32,cad!$E$32)))</f>
        <v/>
      </c>
      <c r="J18" t="str">
        <f>IF($A18="","",IF($D18="V01",cad!$C$33,IF($D18="V02",cad!$D$33,cad!$E$33)))</f>
        <v/>
      </c>
      <c r="K18" t="str">
        <f>IF($A18="","",IF($D18="V01",cad!$C$34,IF($D18="V02",cad!$D$34,cad!$E$34)))</f>
        <v/>
      </c>
      <c r="L18" t="str">
        <f>IF($A18="","",IF($D18="V01",cad!$C$35,IF($D18="V02",cad!$D$35,cad!$E$35)))</f>
        <v/>
      </c>
      <c r="M18" t="str">
        <f>IF($A18="","",IF($D18="V01",cad!$C$36,IF($D18="V02",cad!$D$36,cad!$E$36)))</f>
        <v/>
      </c>
      <c r="N18" t="str">
        <f t="shared" si="1"/>
        <v/>
      </c>
      <c r="O18" t="str">
        <f t="shared" si="2"/>
        <v/>
      </c>
      <c r="P18" t="str">
        <f>IF($A18="","",IF($E18=1,$F18*$O18,PNL!G18))</f>
        <v/>
      </c>
      <c r="T18" t="str">
        <f t="shared" si="3"/>
        <v/>
      </c>
    </row>
    <row r="19" spans="1:20" x14ac:dyDescent="0.45">
      <c r="A19" t="str">
        <f>IF(PNL!A19="","",PNL!A19)</f>
        <v/>
      </c>
      <c r="B19" t="str">
        <f>IF(PNL!B19="","",PNL!B19)</f>
        <v/>
      </c>
      <c r="C19" t="str">
        <f>IF(PNL!C19="","",PNL!C19)</f>
        <v/>
      </c>
      <c r="D19" t="str">
        <f>IF(PNL!D19="","",PNL!D19)</f>
        <v/>
      </c>
      <c r="E19" t="str">
        <f t="shared" si="0"/>
        <v/>
      </c>
      <c r="F19" t="str">
        <f>IF($A19="","",IF($E19=1,SUMIFS(Compta!$F$1:$F$675,Compta!$A$1:$A$675,$A19,Compta!$B$1:$B$675,$B19,Compta!$C$1:$C$675,"2026"),0))</f>
        <v/>
      </c>
      <c r="G19" t="str">
        <f>IF($A19="","",IF($D19="V01",cad!$C$23,IF($D19="V02",cad!$D$23,cad!$E$23)))</f>
        <v/>
      </c>
      <c r="H19" t="str">
        <f>IF($A19="","",IF($D19="V01",cad!$C$24,IF($D19="V02",cad!$D$24,cad!$E$24)))</f>
        <v/>
      </c>
      <c r="I19" t="str">
        <f>IF($A19="","",IF($D19="V01",cad!$C$32,IF($D19="V02",cad!$D$32,cad!$E$32)))</f>
        <v/>
      </c>
      <c r="J19" t="str">
        <f>IF($A19="","",IF($D19="V01",cad!$C$33,IF($D19="V02",cad!$D$33,cad!$E$33)))</f>
        <v/>
      </c>
      <c r="K19" t="str">
        <f>IF($A19="","",IF($D19="V01",cad!$C$34,IF($D19="V02",cad!$D$34,cad!$E$34)))</f>
        <v/>
      </c>
      <c r="L19" t="str">
        <f>IF($A19="","",IF($D19="V01",cad!$C$35,IF($D19="V02",cad!$D$35,cad!$E$35)))</f>
        <v/>
      </c>
      <c r="M19" t="str">
        <f>IF($A19="","",IF($D19="V01",cad!$C$36,IF($D19="V02",cad!$D$36,cad!$E$36)))</f>
        <v/>
      </c>
      <c r="N19" t="str">
        <f t="shared" si="1"/>
        <v/>
      </c>
      <c r="O19" t="str">
        <f t="shared" si="2"/>
        <v/>
      </c>
      <c r="P19" t="str">
        <f>IF($A19="","",IF($E19=1,$F19*$O19,PNL!G19))</f>
        <v/>
      </c>
      <c r="T19" t="str">
        <f t="shared" si="3"/>
        <v/>
      </c>
    </row>
    <row r="20" spans="1:20" x14ac:dyDescent="0.45">
      <c r="A20" t="str">
        <f>IF(PNL!A20="","",PNL!A20)</f>
        <v/>
      </c>
      <c r="B20" t="str">
        <f>IF(PNL!B20="","",PNL!B20)</f>
        <v/>
      </c>
      <c r="C20" t="str">
        <f>IF(PNL!C20="","",PNL!C20)</f>
        <v/>
      </c>
      <c r="D20" t="str">
        <f>IF(PNL!D20="","",PNL!D20)</f>
        <v/>
      </c>
      <c r="E20" t="str">
        <f t="shared" si="0"/>
        <v/>
      </c>
      <c r="F20" t="str">
        <f>IF($A20="","",IF($E20=1,SUMIFS(Compta!$F$1:$F$675,Compta!$A$1:$A$675,$A20,Compta!$B$1:$B$675,$B20,Compta!$C$1:$C$675,"2026"),0))</f>
        <v/>
      </c>
      <c r="G20" t="str">
        <f>IF($A20="","",IF($D20="V01",cad!$C$23,IF($D20="V02",cad!$D$23,cad!$E$23)))</f>
        <v/>
      </c>
      <c r="H20" t="str">
        <f>IF($A20="","",IF($D20="V01",cad!$C$24,IF($D20="V02",cad!$D$24,cad!$E$24)))</f>
        <v/>
      </c>
      <c r="I20" t="str">
        <f>IF($A20="","",IF($D20="V01",cad!$C$32,IF($D20="V02",cad!$D$32,cad!$E$32)))</f>
        <v/>
      </c>
      <c r="J20" t="str">
        <f>IF($A20="","",IF($D20="V01",cad!$C$33,IF($D20="V02",cad!$D$33,cad!$E$33)))</f>
        <v/>
      </c>
      <c r="K20" t="str">
        <f>IF($A20="","",IF($D20="V01",cad!$C$34,IF($D20="V02",cad!$D$34,cad!$E$34)))</f>
        <v/>
      </c>
      <c r="L20" t="str">
        <f>IF($A20="","",IF($D20="V01",cad!$C$35,IF($D20="V02",cad!$D$35,cad!$E$35)))</f>
        <v/>
      </c>
      <c r="M20" t="str">
        <f>IF($A20="","",IF($D20="V01",cad!$C$36,IF($D20="V02",cad!$D$36,cad!$E$36)))</f>
        <v/>
      </c>
      <c r="N20" t="str">
        <f t="shared" si="1"/>
        <v/>
      </c>
      <c r="O20" t="str">
        <f t="shared" si="2"/>
        <v/>
      </c>
      <c r="P20" t="str">
        <f>IF($A20="","",IF($E20=1,$F20*$O20,PNL!G20))</f>
        <v/>
      </c>
      <c r="T20" t="str">
        <f t="shared" si="3"/>
        <v/>
      </c>
    </row>
    <row r="21" spans="1:20" x14ac:dyDescent="0.45">
      <c r="A21" t="str">
        <f>IF(PNL!A21="","",PNL!A21)</f>
        <v/>
      </c>
      <c r="B21" t="str">
        <f>IF(PNL!B21="","",PNL!B21)</f>
        <v/>
      </c>
      <c r="C21" t="str">
        <f>IF(PNL!C21="","",PNL!C21)</f>
        <v/>
      </c>
      <c r="D21" t="str">
        <f>IF(PNL!D21="","",PNL!D21)</f>
        <v/>
      </c>
      <c r="E21" t="str">
        <f t="shared" si="0"/>
        <v/>
      </c>
      <c r="F21" t="str">
        <f>IF($A21="","",IF($E21=1,SUMIFS(Compta!$F$1:$F$675,Compta!$A$1:$A$675,$A21,Compta!$B$1:$B$675,$B21,Compta!$C$1:$C$675,"2026"),0))</f>
        <v/>
      </c>
      <c r="G21" t="str">
        <f>IF($A21="","",IF($D21="V01",cad!$C$23,IF($D21="V02",cad!$D$23,cad!$E$23)))</f>
        <v/>
      </c>
      <c r="H21" t="str">
        <f>IF($A21="","",IF($D21="V01",cad!$C$24,IF($D21="V02",cad!$D$24,cad!$E$24)))</f>
        <v/>
      </c>
      <c r="I21" t="str">
        <f>IF($A21="","",IF($D21="V01",cad!$C$32,IF($D21="V02",cad!$D$32,cad!$E$32)))</f>
        <v/>
      </c>
      <c r="J21" t="str">
        <f>IF($A21="","",IF($D21="V01",cad!$C$33,IF($D21="V02",cad!$D$33,cad!$E$33)))</f>
        <v/>
      </c>
      <c r="K21" t="str">
        <f>IF($A21="","",IF($D21="V01",cad!$C$34,IF($D21="V02",cad!$D$34,cad!$E$34)))</f>
        <v/>
      </c>
      <c r="L21" t="str">
        <f>IF($A21="","",IF($D21="V01",cad!$C$35,IF($D21="V02",cad!$D$35,cad!$E$35)))</f>
        <v/>
      </c>
      <c r="M21" t="str">
        <f>IF($A21="","",IF($D21="V01",cad!$C$36,IF($D21="V02",cad!$D$36,cad!$E$36)))</f>
        <v/>
      </c>
      <c r="N21" t="str">
        <f t="shared" si="1"/>
        <v/>
      </c>
      <c r="O21" t="str">
        <f t="shared" si="2"/>
        <v/>
      </c>
      <c r="P21" t="str">
        <f>IF($A21="","",IF($E21=1,$F21*$O21,PNL!G21))</f>
        <v/>
      </c>
      <c r="T21" t="str">
        <f t="shared" si="3"/>
        <v/>
      </c>
    </row>
    <row r="22" spans="1:20" x14ac:dyDescent="0.45">
      <c r="A22" t="str">
        <f>IF(PNL!A22="","",PNL!A22)</f>
        <v/>
      </c>
      <c r="B22" t="str">
        <f>IF(PNL!B22="","",PNL!B22)</f>
        <v/>
      </c>
      <c r="C22" t="str">
        <f>IF(PNL!C22="","",PNL!C22)</f>
        <v/>
      </c>
      <c r="D22" t="str">
        <f>IF(PNL!D22="","",PNL!D22)</f>
        <v/>
      </c>
      <c r="E22" t="str">
        <f t="shared" si="0"/>
        <v/>
      </c>
      <c r="F22" t="str">
        <f>IF($A22="","",IF($E22=1,SUMIFS(Compta!$F$1:$F$675,Compta!$A$1:$A$675,$A22,Compta!$B$1:$B$675,$B22,Compta!$C$1:$C$675,"2026"),0))</f>
        <v/>
      </c>
      <c r="G22" t="str">
        <f>IF($A22="","",IF($D22="V01",cad!$C$23,IF($D22="V02",cad!$D$23,cad!$E$23)))</f>
        <v/>
      </c>
      <c r="H22" t="str">
        <f>IF($A22="","",IF($D22="V01",cad!$C$24,IF($D22="V02",cad!$D$24,cad!$E$24)))</f>
        <v/>
      </c>
      <c r="I22" t="str">
        <f>IF($A22="","",IF($D22="V01",cad!$C$32,IF($D22="V02",cad!$D$32,cad!$E$32)))</f>
        <v/>
      </c>
      <c r="J22" t="str">
        <f>IF($A22="","",IF($D22="V01",cad!$C$33,IF($D22="V02",cad!$D$33,cad!$E$33)))</f>
        <v/>
      </c>
      <c r="K22" t="str">
        <f>IF($A22="","",IF($D22="V01",cad!$C$34,IF($D22="V02",cad!$D$34,cad!$E$34)))</f>
        <v/>
      </c>
      <c r="L22" t="str">
        <f>IF($A22="","",IF($D22="V01",cad!$C$35,IF($D22="V02",cad!$D$35,cad!$E$35)))</f>
        <v/>
      </c>
      <c r="M22" t="str">
        <f>IF($A22="","",IF($D22="V01",cad!$C$36,IF($D22="V02",cad!$D$36,cad!$E$36)))</f>
        <v/>
      </c>
      <c r="N22" t="str">
        <f t="shared" si="1"/>
        <v/>
      </c>
      <c r="O22" t="str">
        <f t="shared" si="2"/>
        <v/>
      </c>
      <c r="P22" t="str">
        <f>IF($A22="","",IF($E22=1,$F22*$O22,PNL!G22))</f>
        <v/>
      </c>
      <c r="T22" t="str">
        <f t="shared" si="3"/>
        <v/>
      </c>
    </row>
    <row r="23" spans="1:20" x14ac:dyDescent="0.45">
      <c r="A23" t="str">
        <f>IF(PNL!A23="","",PNL!A23)</f>
        <v/>
      </c>
      <c r="B23" t="str">
        <f>IF(PNL!B23="","",PNL!B23)</f>
        <v/>
      </c>
      <c r="C23" t="str">
        <f>IF(PNL!C23="","",PNL!C23)</f>
        <v/>
      </c>
      <c r="D23" t="str">
        <f>IF(PNL!D23="","",PNL!D23)</f>
        <v/>
      </c>
      <c r="E23" t="str">
        <f t="shared" si="0"/>
        <v/>
      </c>
      <c r="F23" t="str">
        <f>IF($A23="","",IF($E23=1,SUMIFS(Compta!$F$1:$F$675,Compta!$A$1:$A$675,$A23,Compta!$B$1:$B$675,$B23,Compta!$C$1:$C$675,"2026"),0))</f>
        <v/>
      </c>
      <c r="G23" t="str">
        <f>IF($A23="","",IF($D23="V01",cad!$C$23,IF($D23="V02",cad!$D$23,cad!$E$23)))</f>
        <v/>
      </c>
      <c r="H23" t="str">
        <f>IF($A23="","",IF($D23="V01",cad!$C$24,IF($D23="V02",cad!$D$24,cad!$E$24)))</f>
        <v/>
      </c>
      <c r="I23" t="str">
        <f>IF($A23="","",IF($D23="V01",cad!$C$32,IF($D23="V02",cad!$D$32,cad!$E$32)))</f>
        <v/>
      </c>
      <c r="J23" t="str">
        <f>IF($A23="","",IF($D23="V01",cad!$C$33,IF($D23="V02",cad!$D$33,cad!$E$33)))</f>
        <v/>
      </c>
      <c r="K23" t="str">
        <f>IF($A23="","",IF($D23="V01",cad!$C$34,IF($D23="V02",cad!$D$34,cad!$E$34)))</f>
        <v/>
      </c>
      <c r="L23" t="str">
        <f>IF($A23="","",IF($D23="V01",cad!$C$35,IF($D23="V02",cad!$D$35,cad!$E$35)))</f>
        <v/>
      </c>
      <c r="M23" t="str">
        <f>IF($A23="","",IF($D23="V01",cad!$C$36,IF($D23="V02",cad!$D$36,cad!$E$36)))</f>
        <v/>
      </c>
      <c r="N23" t="str">
        <f t="shared" si="1"/>
        <v/>
      </c>
      <c r="O23" t="str">
        <f t="shared" si="2"/>
        <v/>
      </c>
      <c r="P23" t="str">
        <f>IF($A23="","",IF($E23=1,$F23*$O23,PNL!G23))</f>
        <v/>
      </c>
      <c r="T23" t="str">
        <f t="shared" si="3"/>
        <v/>
      </c>
    </row>
    <row r="24" spans="1:20" x14ac:dyDescent="0.45">
      <c r="A24" t="str">
        <f>IF(PNL!A24="","",PNL!A24)</f>
        <v/>
      </c>
      <c r="B24" t="str">
        <f>IF(PNL!B24="","",PNL!B24)</f>
        <v/>
      </c>
      <c r="C24" t="str">
        <f>IF(PNL!C24="","",PNL!C24)</f>
        <v/>
      </c>
      <c r="D24" t="str">
        <f>IF(PNL!D24="","",PNL!D24)</f>
        <v/>
      </c>
      <c r="E24" t="str">
        <f t="shared" si="0"/>
        <v/>
      </c>
      <c r="F24" t="str">
        <f>IF($A24="","",IF($E24=1,SUMIFS(Compta!$F$1:$F$675,Compta!$A$1:$A$675,$A24,Compta!$B$1:$B$675,$B24,Compta!$C$1:$C$675,"2026"),0))</f>
        <v/>
      </c>
      <c r="G24" t="str">
        <f>IF($A24="","",IF($D24="V01",cad!$C$23,IF($D24="V02",cad!$D$23,cad!$E$23)))</f>
        <v/>
      </c>
      <c r="H24" t="str">
        <f>IF($A24="","",IF($D24="V01",cad!$C$24,IF($D24="V02",cad!$D$24,cad!$E$24)))</f>
        <v/>
      </c>
      <c r="I24" t="str">
        <f>IF($A24="","",IF($D24="V01",cad!$C$32,IF($D24="V02",cad!$D$32,cad!$E$32)))</f>
        <v/>
      </c>
      <c r="J24" t="str">
        <f>IF($A24="","",IF($D24="V01",cad!$C$33,IF($D24="V02",cad!$D$33,cad!$E$33)))</f>
        <v/>
      </c>
      <c r="K24" t="str">
        <f>IF($A24="","",IF($D24="V01",cad!$C$34,IF($D24="V02",cad!$D$34,cad!$E$34)))</f>
        <v/>
      </c>
      <c r="L24" t="str">
        <f>IF($A24="","",IF($D24="V01",cad!$C$35,IF($D24="V02",cad!$D$35,cad!$E$35)))</f>
        <v/>
      </c>
      <c r="M24" t="str">
        <f>IF($A24="","",IF($D24="V01",cad!$C$36,IF($D24="V02",cad!$D$36,cad!$E$36)))</f>
        <v/>
      </c>
      <c r="N24" t="str">
        <f t="shared" si="1"/>
        <v/>
      </c>
      <c r="O24" t="str">
        <f t="shared" si="2"/>
        <v/>
      </c>
      <c r="P24" t="str">
        <f>IF($A24="","",IF($E24=1,$F24*$O24,PNL!G24))</f>
        <v/>
      </c>
      <c r="T24" t="str">
        <f t="shared" si="3"/>
        <v/>
      </c>
    </row>
    <row r="25" spans="1:20" x14ac:dyDescent="0.45">
      <c r="A25" t="str">
        <f>IF(PNL!A25="","",PNL!A25)</f>
        <v/>
      </c>
      <c r="B25" t="str">
        <f>IF(PNL!B25="","",PNL!B25)</f>
        <v/>
      </c>
      <c r="C25" t="str">
        <f>IF(PNL!C25="","",PNL!C25)</f>
        <v/>
      </c>
      <c r="D25" t="str">
        <f>IF(PNL!D25="","",PNL!D25)</f>
        <v/>
      </c>
      <c r="E25" t="str">
        <f t="shared" si="0"/>
        <v/>
      </c>
      <c r="F25" t="str">
        <f>IF($A25="","",IF($E25=1,SUMIFS(Compta!$F$1:$F$675,Compta!$A$1:$A$675,$A25,Compta!$B$1:$B$675,$B25,Compta!$C$1:$C$675,"2026"),0))</f>
        <v/>
      </c>
      <c r="G25" t="str">
        <f>IF($A25="","",IF($D25="V01",cad!$C$23,IF($D25="V02",cad!$D$23,cad!$E$23)))</f>
        <v/>
      </c>
      <c r="H25" t="str">
        <f>IF($A25="","",IF($D25="V01",cad!$C$24,IF($D25="V02",cad!$D$24,cad!$E$24)))</f>
        <v/>
      </c>
      <c r="I25" t="str">
        <f>IF($A25="","",IF($D25="V01",cad!$C$32,IF($D25="V02",cad!$D$32,cad!$E$32)))</f>
        <v/>
      </c>
      <c r="J25" t="str">
        <f>IF($A25="","",IF($D25="V01",cad!$C$33,IF($D25="V02",cad!$D$33,cad!$E$33)))</f>
        <v/>
      </c>
      <c r="K25" t="str">
        <f>IF($A25="","",IF($D25="V01",cad!$C$34,IF($D25="V02",cad!$D$34,cad!$E$34)))</f>
        <v/>
      </c>
      <c r="L25" t="str">
        <f>IF($A25="","",IF($D25="V01",cad!$C$35,IF($D25="V02",cad!$D$35,cad!$E$35)))</f>
        <v/>
      </c>
      <c r="M25" t="str">
        <f>IF($A25="","",IF($D25="V01",cad!$C$36,IF($D25="V02",cad!$D$36,cad!$E$36)))</f>
        <v/>
      </c>
      <c r="N25" t="str">
        <f t="shared" si="1"/>
        <v/>
      </c>
      <c r="O25" t="str">
        <f t="shared" si="2"/>
        <v/>
      </c>
      <c r="P25" t="str">
        <f>IF($A25="","",IF($E25=1,$F25*$O25,PNL!G25))</f>
        <v/>
      </c>
      <c r="T25" t="str">
        <f t="shared" si="3"/>
        <v/>
      </c>
    </row>
    <row r="26" spans="1:20" x14ac:dyDescent="0.45">
      <c r="A26" t="str">
        <f>IF(PNL!A26="","",PNL!A26)</f>
        <v/>
      </c>
      <c r="B26" t="str">
        <f>IF(PNL!B26="","",PNL!B26)</f>
        <v/>
      </c>
      <c r="C26" t="str">
        <f>IF(PNL!C26="","",PNL!C26)</f>
        <v/>
      </c>
      <c r="D26" t="str">
        <f>IF(PNL!D26="","",PNL!D26)</f>
        <v/>
      </c>
      <c r="E26" t="str">
        <f t="shared" si="0"/>
        <v/>
      </c>
      <c r="F26" t="str">
        <f>IF($A26="","",IF($E26=1,SUMIFS(Compta!$F$1:$F$675,Compta!$A$1:$A$675,$A26,Compta!$B$1:$B$675,$B26,Compta!$C$1:$C$675,"2026"),0))</f>
        <v/>
      </c>
      <c r="G26" t="str">
        <f>IF($A26="","",IF($D26="V01",cad!$C$23,IF($D26="V02",cad!$D$23,cad!$E$23)))</f>
        <v/>
      </c>
      <c r="H26" t="str">
        <f>IF($A26="","",IF($D26="V01",cad!$C$24,IF($D26="V02",cad!$D$24,cad!$E$24)))</f>
        <v/>
      </c>
      <c r="I26" t="str">
        <f>IF($A26="","",IF($D26="V01",cad!$C$32,IF($D26="V02",cad!$D$32,cad!$E$32)))</f>
        <v/>
      </c>
      <c r="J26" t="str">
        <f>IF($A26="","",IF($D26="V01",cad!$C$33,IF($D26="V02",cad!$D$33,cad!$E$33)))</f>
        <v/>
      </c>
      <c r="K26" t="str">
        <f>IF($A26="","",IF($D26="V01",cad!$C$34,IF($D26="V02",cad!$D$34,cad!$E$34)))</f>
        <v/>
      </c>
      <c r="L26" t="str">
        <f>IF($A26="","",IF($D26="V01",cad!$C$35,IF($D26="V02",cad!$D$35,cad!$E$35)))</f>
        <v/>
      </c>
      <c r="M26" t="str">
        <f>IF($A26="","",IF($D26="V01",cad!$C$36,IF($D26="V02",cad!$D$36,cad!$E$36)))</f>
        <v/>
      </c>
      <c r="N26" t="str">
        <f t="shared" si="1"/>
        <v/>
      </c>
      <c r="O26" t="str">
        <f t="shared" si="2"/>
        <v/>
      </c>
      <c r="P26" t="str">
        <f>IF($A26="","",IF($E26=1,$F26*$O26,PNL!G26))</f>
        <v/>
      </c>
      <c r="T26" t="str">
        <f t="shared" si="3"/>
        <v/>
      </c>
    </row>
    <row r="27" spans="1:20" x14ac:dyDescent="0.45">
      <c r="A27" t="str">
        <f>IF(PNL!A27="","",PNL!A27)</f>
        <v/>
      </c>
      <c r="B27" t="str">
        <f>IF(PNL!B27="","",PNL!B27)</f>
        <v/>
      </c>
      <c r="C27" t="str">
        <f>IF(PNL!C27="","",PNL!C27)</f>
        <v/>
      </c>
      <c r="D27" t="str">
        <f>IF(PNL!D27="","",PNL!D27)</f>
        <v/>
      </c>
      <c r="E27" t="str">
        <f t="shared" si="0"/>
        <v/>
      </c>
      <c r="F27" t="str">
        <f>IF($A27="","",IF($E27=1,SUMIFS(Compta!$F$1:$F$675,Compta!$A$1:$A$675,$A27,Compta!$B$1:$B$675,$B27,Compta!$C$1:$C$675,"2026"),0))</f>
        <v/>
      </c>
      <c r="G27" t="str">
        <f>IF($A27="","",IF($D27="V01",cad!$C$23,IF($D27="V02",cad!$D$23,cad!$E$23)))</f>
        <v/>
      </c>
      <c r="H27" t="str">
        <f>IF($A27="","",IF($D27="V01",cad!$C$24,IF($D27="V02",cad!$D$24,cad!$E$24)))</f>
        <v/>
      </c>
      <c r="I27" t="str">
        <f>IF($A27="","",IF($D27="V01",cad!$C$32,IF($D27="V02",cad!$D$32,cad!$E$32)))</f>
        <v/>
      </c>
      <c r="J27" t="str">
        <f>IF($A27="","",IF($D27="V01",cad!$C$33,IF($D27="V02",cad!$D$33,cad!$E$33)))</f>
        <v/>
      </c>
      <c r="K27" t="str">
        <f>IF($A27="","",IF($D27="V01",cad!$C$34,IF($D27="V02",cad!$D$34,cad!$E$34)))</f>
        <v/>
      </c>
      <c r="L27" t="str">
        <f>IF($A27="","",IF($D27="V01",cad!$C$35,IF($D27="V02",cad!$D$35,cad!$E$35)))</f>
        <v/>
      </c>
      <c r="M27" t="str">
        <f>IF($A27="","",IF($D27="V01",cad!$C$36,IF($D27="V02",cad!$D$36,cad!$E$36)))</f>
        <v/>
      </c>
      <c r="N27" t="str">
        <f t="shared" si="1"/>
        <v/>
      </c>
      <c r="O27" t="str">
        <f t="shared" si="2"/>
        <v/>
      </c>
      <c r="P27" t="str">
        <f>IF($A27="","",IF($E27=1,$F27*$O27,PNL!G27))</f>
        <v/>
      </c>
      <c r="T27" t="str">
        <f t="shared" si="3"/>
        <v/>
      </c>
    </row>
    <row r="28" spans="1:20" x14ac:dyDescent="0.45">
      <c r="A28" t="str">
        <f>IF(PNL!A28="","",PNL!A28)</f>
        <v/>
      </c>
      <c r="B28" t="str">
        <f>IF(PNL!B28="","",PNL!B28)</f>
        <v/>
      </c>
      <c r="C28" t="str">
        <f>IF(PNL!C28="","",PNL!C28)</f>
        <v/>
      </c>
      <c r="D28" t="str">
        <f>IF(PNL!D28="","",PNL!D28)</f>
        <v/>
      </c>
      <c r="E28" t="str">
        <f t="shared" si="0"/>
        <v/>
      </c>
      <c r="F28" t="str">
        <f>IF($A28="","",IF($E28=1,SUMIFS(Compta!$F$1:$F$675,Compta!$A$1:$A$675,$A28,Compta!$B$1:$B$675,$B28,Compta!$C$1:$C$675,"2026"),0))</f>
        <v/>
      </c>
      <c r="G28" t="str">
        <f>IF($A28="","",IF($D28="V01",cad!$C$23,IF($D28="V02",cad!$D$23,cad!$E$23)))</f>
        <v/>
      </c>
      <c r="H28" t="str">
        <f>IF($A28="","",IF($D28="V01",cad!$C$24,IF($D28="V02",cad!$D$24,cad!$E$24)))</f>
        <v/>
      </c>
      <c r="I28" t="str">
        <f>IF($A28="","",IF($D28="V01",cad!$C$32,IF($D28="V02",cad!$D$32,cad!$E$32)))</f>
        <v/>
      </c>
      <c r="J28" t="str">
        <f>IF($A28="","",IF($D28="V01",cad!$C$33,IF($D28="V02",cad!$D$33,cad!$E$33)))</f>
        <v/>
      </c>
      <c r="K28" t="str">
        <f>IF($A28="","",IF($D28="V01",cad!$C$34,IF($D28="V02",cad!$D$34,cad!$E$34)))</f>
        <v/>
      </c>
      <c r="L28" t="str">
        <f>IF($A28="","",IF($D28="V01",cad!$C$35,IF($D28="V02",cad!$D$35,cad!$E$35)))</f>
        <v/>
      </c>
      <c r="M28" t="str">
        <f>IF($A28="","",IF($D28="V01",cad!$C$36,IF($D28="V02",cad!$D$36,cad!$E$36)))</f>
        <v/>
      </c>
      <c r="N28" t="str">
        <f t="shared" si="1"/>
        <v/>
      </c>
      <c r="O28" t="str">
        <f t="shared" si="2"/>
        <v/>
      </c>
      <c r="P28" t="str">
        <f>IF($A28="","",IF($E28=1,$F28*$O28,PNL!G28))</f>
        <v/>
      </c>
      <c r="T28" t="str">
        <f t="shared" si="3"/>
        <v/>
      </c>
    </row>
    <row r="29" spans="1:20" x14ac:dyDescent="0.45">
      <c r="A29" t="str">
        <f>IF(PNL!A29="","",PNL!A29)</f>
        <v/>
      </c>
      <c r="B29" t="str">
        <f>IF(PNL!B29="","",PNL!B29)</f>
        <v/>
      </c>
      <c r="C29" t="str">
        <f>IF(PNL!C29="","",PNL!C29)</f>
        <v/>
      </c>
      <c r="D29" t="str">
        <f>IF(PNL!D29="","",PNL!D29)</f>
        <v/>
      </c>
      <c r="E29" t="str">
        <f t="shared" si="0"/>
        <v/>
      </c>
      <c r="F29" t="str">
        <f>IF($A29="","",IF($E29=1,SUMIFS(Compta!$F$1:$F$675,Compta!$A$1:$A$675,$A29,Compta!$B$1:$B$675,$B29,Compta!$C$1:$C$675,"2026"),0))</f>
        <v/>
      </c>
      <c r="G29" t="str">
        <f>IF($A29="","",IF($D29="V01",cad!$C$23,IF($D29="V02",cad!$D$23,cad!$E$23)))</f>
        <v/>
      </c>
      <c r="H29" t="str">
        <f>IF($A29="","",IF($D29="V01",cad!$C$24,IF($D29="V02",cad!$D$24,cad!$E$24)))</f>
        <v/>
      </c>
      <c r="I29" t="str">
        <f>IF($A29="","",IF($D29="V01",cad!$C$32,IF($D29="V02",cad!$D$32,cad!$E$32)))</f>
        <v/>
      </c>
      <c r="J29" t="str">
        <f>IF($A29="","",IF($D29="V01",cad!$C$33,IF($D29="V02",cad!$D$33,cad!$E$33)))</f>
        <v/>
      </c>
      <c r="K29" t="str">
        <f>IF($A29="","",IF($D29="V01",cad!$C$34,IF($D29="V02",cad!$D$34,cad!$E$34)))</f>
        <v/>
      </c>
      <c r="L29" t="str">
        <f>IF($A29="","",IF($D29="V01",cad!$C$35,IF($D29="V02",cad!$D$35,cad!$E$35)))</f>
        <v/>
      </c>
      <c r="M29" t="str">
        <f>IF($A29="","",IF($D29="V01",cad!$C$36,IF($D29="V02",cad!$D$36,cad!$E$36)))</f>
        <v/>
      </c>
      <c r="N29" t="str">
        <f t="shared" si="1"/>
        <v/>
      </c>
      <c r="O29" t="str">
        <f t="shared" si="2"/>
        <v/>
      </c>
      <c r="P29" t="str">
        <f>IF($A29="","",IF($E29=1,$F29*$O29,PNL!G29))</f>
        <v/>
      </c>
      <c r="T29" t="str">
        <f t="shared" si="3"/>
        <v/>
      </c>
    </row>
    <row r="30" spans="1:20" x14ac:dyDescent="0.45">
      <c r="A30" t="str">
        <f>IF(PNL!A30="","",PNL!A30)</f>
        <v/>
      </c>
      <c r="B30" t="str">
        <f>IF(PNL!B30="","",PNL!B30)</f>
        <v/>
      </c>
      <c r="C30" t="str">
        <f>IF(PNL!C30="","",PNL!C30)</f>
        <v/>
      </c>
      <c r="D30" t="str">
        <f>IF(PNL!D30="","",PNL!D30)</f>
        <v/>
      </c>
      <c r="E30" t="str">
        <f t="shared" si="0"/>
        <v/>
      </c>
      <c r="F30" t="str">
        <f>IF($A30="","",IF($E30=1,SUMIFS(Compta!$F$1:$F$675,Compta!$A$1:$A$675,$A30,Compta!$B$1:$B$675,$B30,Compta!$C$1:$C$675,"2026"),0))</f>
        <v/>
      </c>
      <c r="G30" t="str">
        <f>IF($A30="","",IF($D30="V01",cad!$C$23,IF($D30="V02",cad!$D$23,cad!$E$23)))</f>
        <v/>
      </c>
      <c r="H30" t="str">
        <f>IF($A30="","",IF($D30="V01",cad!$C$24,IF($D30="V02",cad!$D$24,cad!$E$24)))</f>
        <v/>
      </c>
      <c r="I30" t="str">
        <f>IF($A30="","",IF($D30="V01",cad!$C$32,IF($D30="V02",cad!$D$32,cad!$E$32)))</f>
        <v/>
      </c>
      <c r="J30" t="str">
        <f>IF($A30="","",IF($D30="V01",cad!$C$33,IF($D30="V02",cad!$D$33,cad!$E$33)))</f>
        <v/>
      </c>
      <c r="K30" t="str">
        <f>IF($A30="","",IF($D30="V01",cad!$C$34,IF($D30="V02",cad!$D$34,cad!$E$34)))</f>
        <v/>
      </c>
      <c r="L30" t="str">
        <f>IF($A30="","",IF($D30="V01",cad!$C$35,IF($D30="V02",cad!$D$35,cad!$E$35)))</f>
        <v/>
      </c>
      <c r="M30" t="str">
        <f>IF($A30="","",IF($D30="V01",cad!$C$36,IF($D30="V02",cad!$D$36,cad!$E$36)))</f>
        <v/>
      </c>
      <c r="N30" t="str">
        <f t="shared" si="1"/>
        <v/>
      </c>
      <c r="O30" t="str">
        <f t="shared" si="2"/>
        <v/>
      </c>
      <c r="P30" t="str">
        <f>IF($A30="","",IF($E30=1,$F30*$O30,PNL!G30))</f>
        <v/>
      </c>
      <c r="T30" t="str">
        <f t="shared" si="3"/>
        <v/>
      </c>
    </row>
    <row r="31" spans="1:20" x14ac:dyDescent="0.45">
      <c r="A31" t="str">
        <f>IF(PNL!A31="","",PNL!A31)</f>
        <v/>
      </c>
      <c r="B31" t="str">
        <f>IF(PNL!B31="","",PNL!B31)</f>
        <v/>
      </c>
      <c r="C31" t="str">
        <f>IF(PNL!C31="","",PNL!C31)</f>
        <v/>
      </c>
      <c r="D31" t="str">
        <f>IF(PNL!D31="","",PNL!D31)</f>
        <v/>
      </c>
      <c r="E31" t="str">
        <f t="shared" si="0"/>
        <v/>
      </c>
      <c r="F31" t="str">
        <f>IF($A31="","",IF($E31=1,SUMIFS(Compta!$F$1:$F$675,Compta!$A$1:$A$675,$A31,Compta!$B$1:$B$675,$B31,Compta!$C$1:$C$675,"2026"),0))</f>
        <v/>
      </c>
      <c r="G31" t="str">
        <f>IF($A31="","",IF($D31="V01",cad!$C$23,IF($D31="V02",cad!$D$23,cad!$E$23)))</f>
        <v/>
      </c>
      <c r="H31" t="str">
        <f>IF($A31="","",IF($D31="V01",cad!$C$24,IF($D31="V02",cad!$D$24,cad!$E$24)))</f>
        <v/>
      </c>
      <c r="I31" t="str">
        <f>IF($A31="","",IF($D31="V01",cad!$C$32,IF($D31="V02",cad!$D$32,cad!$E$32)))</f>
        <v/>
      </c>
      <c r="J31" t="str">
        <f>IF($A31="","",IF($D31="V01",cad!$C$33,IF($D31="V02",cad!$D$33,cad!$E$33)))</f>
        <v/>
      </c>
      <c r="K31" t="str">
        <f>IF($A31="","",IF($D31="V01",cad!$C$34,IF($D31="V02",cad!$D$34,cad!$E$34)))</f>
        <v/>
      </c>
      <c r="L31" t="str">
        <f>IF($A31="","",IF($D31="V01",cad!$C$35,IF($D31="V02",cad!$D$35,cad!$E$35)))</f>
        <v/>
      </c>
      <c r="M31" t="str">
        <f>IF($A31="","",IF($D31="V01",cad!$C$36,IF($D31="V02",cad!$D$36,cad!$E$36)))</f>
        <v/>
      </c>
      <c r="N31" t="str">
        <f t="shared" si="1"/>
        <v/>
      </c>
      <c r="O31" t="str">
        <f t="shared" si="2"/>
        <v/>
      </c>
      <c r="P31" t="str">
        <f>IF($A31="","",IF($E31=1,$F31*$O31,PNL!G31))</f>
        <v/>
      </c>
      <c r="T31" t="str">
        <f t="shared" si="3"/>
        <v/>
      </c>
    </row>
    <row r="32" spans="1:20" x14ac:dyDescent="0.45">
      <c r="A32" t="str">
        <f>IF(PNL!A32="","",PNL!A32)</f>
        <v/>
      </c>
      <c r="B32" t="str">
        <f>IF(PNL!B32="","",PNL!B32)</f>
        <v/>
      </c>
      <c r="C32" t="str">
        <f>IF(PNL!C32="","",PNL!C32)</f>
        <v/>
      </c>
      <c r="D32" t="str">
        <f>IF(PNL!D32="","",PNL!D32)</f>
        <v/>
      </c>
      <c r="E32" t="str">
        <f t="shared" si="0"/>
        <v/>
      </c>
      <c r="F32" t="str">
        <f>IF($A32="","",IF($E32=1,SUMIFS(Compta!$F$1:$F$675,Compta!$A$1:$A$675,$A32,Compta!$B$1:$B$675,$B32,Compta!$C$1:$C$675,"2026"),0))</f>
        <v/>
      </c>
      <c r="G32" t="str">
        <f>IF($A32="","",IF($D32="V01",cad!$C$23,IF($D32="V02",cad!$D$23,cad!$E$23)))</f>
        <v/>
      </c>
      <c r="H32" t="str">
        <f>IF($A32="","",IF($D32="V01",cad!$C$24,IF($D32="V02",cad!$D$24,cad!$E$24)))</f>
        <v/>
      </c>
      <c r="I32" t="str">
        <f>IF($A32="","",IF($D32="V01",cad!$C$32,IF($D32="V02",cad!$D$32,cad!$E$32)))</f>
        <v/>
      </c>
      <c r="J32" t="str">
        <f>IF($A32="","",IF($D32="V01",cad!$C$33,IF($D32="V02",cad!$D$33,cad!$E$33)))</f>
        <v/>
      </c>
      <c r="K32" t="str">
        <f>IF($A32="","",IF($D32="V01",cad!$C$34,IF($D32="V02",cad!$D$34,cad!$E$34)))</f>
        <v/>
      </c>
      <c r="L32" t="str">
        <f>IF($A32="","",IF($D32="V01",cad!$C$35,IF($D32="V02",cad!$D$35,cad!$E$35)))</f>
        <v/>
      </c>
      <c r="M32" t="str">
        <f>IF($A32="","",IF($D32="V01",cad!$C$36,IF($D32="V02",cad!$D$36,cad!$E$36)))</f>
        <v/>
      </c>
      <c r="N32" t="str">
        <f t="shared" si="1"/>
        <v/>
      </c>
      <c r="O32" t="str">
        <f t="shared" si="2"/>
        <v/>
      </c>
      <c r="P32" t="str">
        <f>IF($A32="","",IF($E32=1,$F32*$O32,PNL!G32))</f>
        <v/>
      </c>
      <c r="T32" t="str">
        <f t="shared" si="3"/>
        <v/>
      </c>
    </row>
    <row r="33" spans="1:20" x14ac:dyDescent="0.45">
      <c r="A33" t="str">
        <f>IF(PNL!A33="","",PNL!A33)</f>
        <v/>
      </c>
      <c r="B33" t="str">
        <f>IF(PNL!B33="","",PNL!B33)</f>
        <v/>
      </c>
      <c r="C33" t="str">
        <f>IF(PNL!C33="","",PNL!C33)</f>
        <v/>
      </c>
      <c r="D33" t="str">
        <f>IF(PNL!D33="","",PNL!D33)</f>
        <v/>
      </c>
      <c r="E33" t="str">
        <f t="shared" si="0"/>
        <v/>
      </c>
      <c r="F33" t="str">
        <f>IF($A33="","",IF($E33=1,SUMIFS(Compta!$F$1:$F$675,Compta!$A$1:$A$675,$A33,Compta!$B$1:$B$675,$B33,Compta!$C$1:$C$675,"2026"),0))</f>
        <v/>
      </c>
      <c r="G33" t="str">
        <f>IF($A33="","",IF($D33="V01",cad!$C$23,IF($D33="V02",cad!$D$23,cad!$E$23)))</f>
        <v/>
      </c>
      <c r="H33" t="str">
        <f>IF($A33="","",IF($D33="V01",cad!$C$24,IF($D33="V02",cad!$D$24,cad!$E$24)))</f>
        <v/>
      </c>
      <c r="I33" t="str">
        <f>IF($A33="","",IF($D33="V01",cad!$C$32,IF($D33="V02",cad!$D$32,cad!$E$32)))</f>
        <v/>
      </c>
      <c r="J33" t="str">
        <f>IF($A33="","",IF($D33="V01",cad!$C$33,IF($D33="V02",cad!$D$33,cad!$E$33)))</f>
        <v/>
      </c>
      <c r="K33" t="str">
        <f>IF($A33="","",IF($D33="V01",cad!$C$34,IF($D33="V02",cad!$D$34,cad!$E$34)))</f>
        <v/>
      </c>
      <c r="L33" t="str">
        <f>IF($A33="","",IF($D33="V01",cad!$C$35,IF($D33="V02",cad!$D$35,cad!$E$35)))</f>
        <v/>
      </c>
      <c r="M33" t="str">
        <f>IF($A33="","",IF($D33="V01",cad!$C$36,IF($D33="V02",cad!$D$36,cad!$E$36)))</f>
        <v/>
      </c>
      <c r="N33" t="str">
        <f t="shared" si="1"/>
        <v/>
      </c>
      <c r="O33" t="str">
        <f t="shared" si="2"/>
        <v/>
      </c>
      <c r="P33" t="str">
        <f>IF($A33="","",IF($E33=1,$F33*$O33,PNL!G33))</f>
        <v/>
      </c>
      <c r="T33" t="str">
        <f t="shared" si="3"/>
        <v/>
      </c>
    </row>
    <row r="34" spans="1:20" x14ac:dyDescent="0.45">
      <c r="A34" t="str">
        <f>IF(PNL!A34="","",PNL!A34)</f>
        <v/>
      </c>
      <c r="B34" t="str">
        <f>IF(PNL!B34="","",PNL!B34)</f>
        <v/>
      </c>
      <c r="C34" t="str">
        <f>IF(PNL!C34="","",PNL!C34)</f>
        <v/>
      </c>
      <c r="D34" t="str">
        <f>IF(PNL!D34="","",PNL!D34)</f>
        <v/>
      </c>
      <c r="E34" t="str">
        <f t="shared" si="0"/>
        <v/>
      </c>
      <c r="F34" t="str">
        <f>IF($A34="","",IF($E34=1,SUMIFS(Compta!$F$1:$F$675,Compta!$A$1:$A$675,$A34,Compta!$B$1:$B$675,$B34,Compta!$C$1:$C$675,"2026"),0))</f>
        <v/>
      </c>
      <c r="G34" t="str">
        <f>IF($A34="","",IF($D34="V01",cad!$C$23,IF($D34="V02",cad!$D$23,cad!$E$23)))</f>
        <v/>
      </c>
      <c r="H34" t="str">
        <f>IF($A34="","",IF($D34="V01",cad!$C$24,IF($D34="V02",cad!$D$24,cad!$E$24)))</f>
        <v/>
      </c>
      <c r="I34" t="str">
        <f>IF($A34="","",IF($D34="V01",cad!$C$32,IF($D34="V02",cad!$D$32,cad!$E$32)))</f>
        <v/>
      </c>
      <c r="J34" t="str">
        <f>IF($A34="","",IF($D34="V01",cad!$C$33,IF($D34="V02",cad!$D$33,cad!$E$33)))</f>
        <v/>
      </c>
      <c r="K34" t="str">
        <f>IF($A34="","",IF($D34="V01",cad!$C$34,IF($D34="V02",cad!$D$34,cad!$E$34)))</f>
        <v/>
      </c>
      <c r="L34" t="str">
        <f>IF($A34="","",IF($D34="V01",cad!$C$35,IF($D34="V02",cad!$D$35,cad!$E$35)))</f>
        <v/>
      </c>
      <c r="M34" t="str">
        <f>IF($A34="","",IF($D34="V01",cad!$C$36,IF($D34="V02",cad!$D$36,cad!$E$36)))</f>
        <v/>
      </c>
      <c r="N34" t="str">
        <f t="shared" si="1"/>
        <v/>
      </c>
      <c r="O34" t="str">
        <f t="shared" si="2"/>
        <v/>
      </c>
      <c r="P34" t="str">
        <f>IF($A34="","",IF($E34=1,$F34*$O34,PNL!G34))</f>
        <v/>
      </c>
      <c r="T34" t="str">
        <f t="shared" si="3"/>
        <v/>
      </c>
    </row>
    <row r="35" spans="1:20" x14ac:dyDescent="0.45">
      <c r="A35" t="str">
        <f>IF(PNL!A35="","",PNL!A35)</f>
        <v/>
      </c>
      <c r="B35" t="str">
        <f>IF(PNL!B35="","",PNL!B35)</f>
        <v/>
      </c>
      <c r="C35" t="str">
        <f>IF(PNL!C35="","",PNL!C35)</f>
        <v/>
      </c>
      <c r="D35" t="str">
        <f>IF(PNL!D35="","",PNL!D35)</f>
        <v/>
      </c>
      <c r="E35" t="str">
        <f t="shared" si="0"/>
        <v/>
      </c>
      <c r="F35" t="str">
        <f>IF($A35="","",IF($E35=1,SUMIFS(Compta!$F$1:$F$675,Compta!$A$1:$A$675,$A35,Compta!$B$1:$B$675,$B35,Compta!$C$1:$C$675,"2026"),0))</f>
        <v/>
      </c>
      <c r="G35" t="str">
        <f>IF($A35="","",IF($D35="V01",cad!$C$23,IF($D35="V02",cad!$D$23,cad!$E$23)))</f>
        <v/>
      </c>
      <c r="H35" t="str">
        <f>IF($A35="","",IF($D35="V01",cad!$C$24,IF($D35="V02",cad!$D$24,cad!$E$24)))</f>
        <v/>
      </c>
      <c r="I35" t="str">
        <f>IF($A35="","",IF($D35="V01",cad!$C$32,IF($D35="V02",cad!$D$32,cad!$E$32)))</f>
        <v/>
      </c>
      <c r="J35" t="str">
        <f>IF($A35="","",IF($D35="V01",cad!$C$33,IF($D35="V02",cad!$D$33,cad!$E$33)))</f>
        <v/>
      </c>
      <c r="K35" t="str">
        <f>IF($A35="","",IF($D35="V01",cad!$C$34,IF($D35="V02",cad!$D$34,cad!$E$34)))</f>
        <v/>
      </c>
      <c r="L35" t="str">
        <f>IF($A35="","",IF($D35="V01",cad!$C$35,IF($D35="V02",cad!$D$35,cad!$E$35)))</f>
        <v/>
      </c>
      <c r="M35" t="str">
        <f>IF($A35="","",IF($D35="V01",cad!$C$36,IF($D35="V02",cad!$D$36,cad!$E$36)))</f>
        <v/>
      </c>
      <c r="N35" t="str">
        <f t="shared" si="1"/>
        <v/>
      </c>
      <c r="O35" t="str">
        <f t="shared" si="2"/>
        <v/>
      </c>
      <c r="P35" t="str">
        <f>IF($A35="","",IF($E35=1,$F35*$O35,PNL!G35))</f>
        <v/>
      </c>
      <c r="T35" t="str">
        <f t="shared" si="3"/>
        <v/>
      </c>
    </row>
    <row r="36" spans="1:20" x14ac:dyDescent="0.45">
      <c r="A36" t="str">
        <f>IF(PNL!A36="","",PNL!A36)</f>
        <v/>
      </c>
      <c r="B36" t="str">
        <f>IF(PNL!B36="","",PNL!B36)</f>
        <v/>
      </c>
      <c r="C36" t="str">
        <f>IF(PNL!C36="","",PNL!C36)</f>
        <v/>
      </c>
      <c r="D36" t="str">
        <f>IF(PNL!D36="","",PNL!D36)</f>
        <v/>
      </c>
      <c r="E36" t="str">
        <f t="shared" si="0"/>
        <v/>
      </c>
      <c r="F36" t="str">
        <f>IF($A36="","",IF($E36=1,SUMIFS(Compta!$F$1:$F$675,Compta!$A$1:$A$675,$A36,Compta!$B$1:$B$675,$B36,Compta!$C$1:$C$675,"2026"),0))</f>
        <v/>
      </c>
      <c r="G36" t="str">
        <f>IF($A36="","",IF($D36="V01",cad!$C$23,IF($D36="V02",cad!$D$23,cad!$E$23)))</f>
        <v/>
      </c>
      <c r="H36" t="str">
        <f>IF($A36="","",IF($D36="V01",cad!$C$24,IF($D36="V02",cad!$D$24,cad!$E$24)))</f>
        <v/>
      </c>
      <c r="I36" t="str">
        <f>IF($A36="","",IF($D36="V01",cad!$C$32,IF($D36="V02",cad!$D$32,cad!$E$32)))</f>
        <v/>
      </c>
      <c r="J36" t="str">
        <f>IF($A36="","",IF($D36="V01",cad!$C$33,IF($D36="V02",cad!$D$33,cad!$E$33)))</f>
        <v/>
      </c>
      <c r="K36" t="str">
        <f>IF($A36="","",IF($D36="V01",cad!$C$34,IF($D36="V02",cad!$D$34,cad!$E$34)))</f>
        <v/>
      </c>
      <c r="L36" t="str">
        <f>IF($A36="","",IF($D36="V01",cad!$C$35,IF($D36="V02",cad!$D$35,cad!$E$35)))</f>
        <v/>
      </c>
      <c r="M36" t="str">
        <f>IF($A36="","",IF($D36="V01",cad!$C$36,IF($D36="V02",cad!$D$36,cad!$E$36)))</f>
        <v/>
      </c>
      <c r="N36" t="str">
        <f t="shared" si="1"/>
        <v/>
      </c>
      <c r="O36" t="str">
        <f t="shared" si="2"/>
        <v/>
      </c>
      <c r="P36" t="str">
        <f>IF($A36="","",IF($E36=1,$F36*$O36,PNL!G36))</f>
        <v/>
      </c>
      <c r="T36" t="str">
        <f t="shared" si="3"/>
        <v/>
      </c>
    </row>
    <row r="37" spans="1:20" x14ac:dyDescent="0.45">
      <c r="A37" t="str">
        <f>IF(PNL!A37="","",PNL!A37)</f>
        <v/>
      </c>
      <c r="B37" t="str">
        <f>IF(PNL!B37="","",PNL!B37)</f>
        <v/>
      </c>
      <c r="C37" t="str">
        <f>IF(PNL!C37="","",PNL!C37)</f>
        <v/>
      </c>
      <c r="D37" t="str">
        <f>IF(PNL!D37="","",PNL!D37)</f>
        <v/>
      </c>
      <c r="E37" t="str">
        <f t="shared" si="0"/>
        <v/>
      </c>
      <c r="F37" t="str">
        <f>IF($A37="","",IF($E37=1,SUMIFS(Compta!$F$1:$F$675,Compta!$A$1:$A$675,$A37,Compta!$B$1:$B$675,$B37,Compta!$C$1:$C$675,"2026"),0))</f>
        <v/>
      </c>
      <c r="G37" t="str">
        <f>IF($A37="","",IF($D37="V01",cad!$C$23,IF($D37="V02",cad!$D$23,cad!$E$23)))</f>
        <v/>
      </c>
      <c r="H37" t="str">
        <f>IF($A37="","",IF($D37="V01",cad!$C$24,IF($D37="V02",cad!$D$24,cad!$E$24)))</f>
        <v/>
      </c>
      <c r="I37" t="str">
        <f>IF($A37="","",IF($D37="V01",cad!$C$32,IF($D37="V02",cad!$D$32,cad!$E$32)))</f>
        <v/>
      </c>
      <c r="J37" t="str">
        <f>IF($A37="","",IF($D37="V01",cad!$C$33,IF($D37="V02",cad!$D$33,cad!$E$33)))</f>
        <v/>
      </c>
      <c r="K37" t="str">
        <f>IF($A37="","",IF($D37="V01",cad!$C$34,IF($D37="V02",cad!$D$34,cad!$E$34)))</f>
        <v/>
      </c>
      <c r="L37" t="str">
        <f>IF($A37="","",IF($D37="V01",cad!$C$35,IF($D37="V02",cad!$D$35,cad!$E$35)))</f>
        <v/>
      </c>
      <c r="M37" t="str">
        <f>IF($A37="","",IF($D37="V01",cad!$C$36,IF($D37="V02",cad!$D$36,cad!$E$36)))</f>
        <v/>
      </c>
      <c r="N37" t="str">
        <f t="shared" si="1"/>
        <v/>
      </c>
      <c r="O37" t="str">
        <f t="shared" si="2"/>
        <v/>
      </c>
      <c r="P37" t="str">
        <f>IF($A37="","",IF($E37=1,$F37*$O37,PNL!G37))</f>
        <v/>
      </c>
      <c r="T37" t="str">
        <f t="shared" si="3"/>
        <v/>
      </c>
    </row>
    <row r="38" spans="1:20" x14ac:dyDescent="0.45">
      <c r="A38" t="str">
        <f>IF(PNL!A38="","",PNL!A38)</f>
        <v/>
      </c>
      <c r="B38" t="str">
        <f>IF(PNL!B38="","",PNL!B38)</f>
        <v/>
      </c>
      <c r="C38" t="str">
        <f>IF(PNL!C38="","",PNL!C38)</f>
        <v/>
      </c>
      <c r="D38" t="str">
        <f>IF(PNL!D38="","",PNL!D38)</f>
        <v/>
      </c>
      <c r="E38" t="str">
        <f t="shared" si="0"/>
        <v/>
      </c>
      <c r="F38" t="str">
        <f>IF($A38="","",IF($E38=1,SUMIFS(Compta!$F$1:$F$675,Compta!$A$1:$A$675,$A38,Compta!$B$1:$B$675,$B38,Compta!$C$1:$C$675,"2026"),0))</f>
        <v/>
      </c>
      <c r="G38" t="str">
        <f>IF($A38="","",IF($D38="V01",cad!$C$23,IF($D38="V02",cad!$D$23,cad!$E$23)))</f>
        <v/>
      </c>
      <c r="H38" t="str">
        <f>IF($A38="","",IF($D38="V01",cad!$C$24,IF($D38="V02",cad!$D$24,cad!$E$24)))</f>
        <v/>
      </c>
      <c r="I38" t="str">
        <f>IF($A38="","",IF($D38="V01",cad!$C$32,IF($D38="V02",cad!$D$32,cad!$E$32)))</f>
        <v/>
      </c>
      <c r="J38" t="str">
        <f>IF($A38="","",IF($D38="V01",cad!$C$33,IF($D38="V02",cad!$D$33,cad!$E$33)))</f>
        <v/>
      </c>
      <c r="K38" t="str">
        <f>IF($A38="","",IF($D38="V01",cad!$C$34,IF($D38="V02",cad!$D$34,cad!$E$34)))</f>
        <v/>
      </c>
      <c r="L38" t="str">
        <f>IF($A38="","",IF($D38="V01",cad!$C$35,IF($D38="V02",cad!$D$35,cad!$E$35)))</f>
        <v/>
      </c>
      <c r="M38" t="str">
        <f>IF($A38="","",IF($D38="V01",cad!$C$36,IF($D38="V02",cad!$D$36,cad!$E$36)))</f>
        <v/>
      </c>
      <c r="N38" t="str">
        <f t="shared" si="1"/>
        <v/>
      </c>
      <c r="O38" t="str">
        <f t="shared" si="2"/>
        <v/>
      </c>
      <c r="P38" t="str">
        <f>IF($A38="","",IF($E38=1,$F38*$O38,PNL!G38))</f>
        <v/>
      </c>
      <c r="T38" t="str">
        <f t="shared" si="3"/>
        <v/>
      </c>
    </row>
    <row r="39" spans="1:20" x14ac:dyDescent="0.45">
      <c r="A39" t="str">
        <f>IF(PNL!A39="","",PNL!A39)</f>
        <v/>
      </c>
      <c r="B39" t="str">
        <f>IF(PNL!B39="","",PNL!B39)</f>
        <v/>
      </c>
      <c r="C39" t="str">
        <f>IF(PNL!C39="","",PNL!C39)</f>
        <v/>
      </c>
      <c r="D39" t="str">
        <f>IF(PNL!D39="","",PNL!D39)</f>
        <v/>
      </c>
      <c r="E39" t="str">
        <f t="shared" si="0"/>
        <v/>
      </c>
      <c r="F39" t="str">
        <f>IF($A39="","",IF($E39=1,SUMIFS(Compta!$F$1:$F$675,Compta!$A$1:$A$675,$A39,Compta!$B$1:$B$675,$B39,Compta!$C$1:$C$675,"2026"),0))</f>
        <v/>
      </c>
      <c r="G39" t="str">
        <f>IF($A39="","",IF($D39="V01",cad!$C$23,IF($D39="V02",cad!$D$23,cad!$E$23)))</f>
        <v/>
      </c>
      <c r="H39" t="str">
        <f>IF($A39="","",IF($D39="V01",cad!$C$24,IF($D39="V02",cad!$D$24,cad!$E$24)))</f>
        <v/>
      </c>
      <c r="I39" t="str">
        <f>IF($A39="","",IF($D39="V01",cad!$C$32,IF($D39="V02",cad!$D$32,cad!$E$32)))</f>
        <v/>
      </c>
      <c r="J39" t="str">
        <f>IF($A39="","",IF($D39="V01",cad!$C$33,IF($D39="V02",cad!$D$33,cad!$E$33)))</f>
        <v/>
      </c>
      <c r="K39" t="str">
        <f>IF($A39="","",IF($D39="V01",cad!$C$34,IF($D39="V02",cad!$D$34,cad!$E$34)))</f>
        <v/>
      </c>
      <c r="L39" t="str">
        <f>IF($A39="","",IF($D39="V01",cad!$C$35,IF($D39="V02",cad!$D$35,cad!$E$35)))</f>
        <v/>
      </c>
      <c r="M39" t="str">
        <f>IF($A39="","",IF($D39="V01",cad!$C$36,IF($D39="V02",cad!$D$36,cad!$E$36)))</f>
        <v/>
      </c>
      <c r="N39" t="str">
        <f t="shared" si="1"/>
        <v/>
      </c>
      <c r="O39" t="str">
        <f t="shared" si="2"/>
        <v/>
      </c>
      <c r="P39" t="str">
        <f>IF($A39="","",IF($E39=1,$F39*$O39,PNL!G39))</f>
        <v/>
      </c>
      <c r="T39" t="str">
        <f t="shared" si="3"/>
        <v/>
      </c>
    </row>
    <row r="40" spans="1:20" x14ac:dyDescent="0.45">
      <c r="A40" t="str">
        <f>IF(PNL!A40="","",PNL!A40)</f>
        <v/>
      </c>
      <c r="B40" t="str">
        <f>IF(PNL!B40="","",PNL!B40)</f>
        <v/>
      </c>
      <c r="C40" t="str">
        <f>IF(PNL!C40="","",PNL!C40)</f>
        <v/>
      </c>
      <c r="D40" t="str">
        <f>IF(PNL!D40="","",PNL!D40)</f>
        <v/>
      </c>
      <c r="E40" t="str">
        <f t="shared" si="0"/>
        <v/>
      </c>
      <c r="F40" t="str">
        <f>IF($A40="","",IF($E40=1,SUMIFS(Compta!$F$1:$F$675,Compta!$A$1:$A$675,$A40,Compta!$B$1:$B$675,$B40,Compta!$C$1:$C$675,"2026"),0))</f>
        <v/>
      </c>
      <c r="G40" t="str">
        <f>IF($A40="","",IF($D40="V01",cad!$C$23,IF($D40="V02",cad!$D$23,cad!$E$23)))</f>
        <v/>
      </c>
      <c r="H40" t="str">
        <f>IF($A40="","",IF($D40="V01",cad!$C$24,IF($D40="V02",cad!$D$24,cad!$E$24)))</f>
        <v/>
      </c>
      <c r="I40" t="str">
        <f>IF($A40="","",IF($D40="V01",cad!$C$32,IF($D40="V02",cad!$D$32,cad!$E$32)))</f>
        <v/>
      </c>
      <c r="J40" t="str">
        <f>IF($A40="","",IF($D40="V01",cad!$C$33,IF($D40="V02",cad!$D$33,cad!$E$33)))</f>
        <v/>
      </c>
      <c r="K40" t="str">
        <f>IF($A40="","",IF($D40="V01",cad!$C$34,IF($D40="V02",cad!$D$34,cad!$E$34)))</f>
        <v/>
      </c>
      <c r="L40" t="str">
        <f>IF($A40="","",IF($D40="V01",cad!$C$35,IF($D40="V02",cad!$D$35,cad!$E$35)))</f>
        <v/>
      </c>
      <c r="M40" t="str">
        <f>IF($A40="","",IF($D40="V01",cad!$C$36,IF($D40="V02",cad!$D$36,cad!$E$36)))</f>
        <v/>
      </c>
      <c r="N40" t="str">
        <f t="shared" si="1"/>
        <v/>
      </c>
      <c r="O40" t="str">
        <f t="shared" si="2"/>
        <v/>
      </c>
      <c r="P40" t="str">
        <f>IF($A40="","",IF($E40=1,$F40*$O40,PNL!G40))</f>
        <v/>
      </c>
      <c r="T40" t="str">
        <f t="shared" si="3"/>
        <v/>
      </c>
    </row>
    <row r="41" spans="1:20" x14ac:dyDescent="0.45">
      <c r="A41" t="str">
        <f>IF(PNL!A41="","",PNL!A41)</f>
        <v/>
      </c>
      <c r="B41" t="str">
        <f>IF(PNL!B41="","",PNL!B41)</f>
        <v/>
      </c>
      <c r="C41" t="str">
        <f>IF(PNL!C41="","",PNL!C41)</f>
        <v/>
      </c>
      <c r="D41" t="str">
        <f>IF(PNL!D41="","",PNL!D41)</f>
        <v/>
      </c>
      <c r="E41" t="str">
        <f t="shared" si="0"/>
        <v/>
      </c>
      <c r="F41" t="str">
        <f>IF($A41="","",IF($E41=1,SUMIFS(Compta!$F$1:$F$675,Compta!$A$1:$A$675,$A41,Compta!$B$1:$B$675,$B41,Compta!$C$1:$C$675,"2026"),0))</f>
        <v/>
      </c>
      <c r="G41" t="str">
        <f>IF($A41="","",IF($D41="V01",cad!$C$23,IF($D41="V02",cad!$D$23,cad!$E$23)))</f>
        <v/>
      </c>
      <c r="H41" t="str">
        <f>IF($A41="","",IF($D41="V01",cad!$C$24,IF($D41="V02",cad!$D$24,cad!$E$24)))</f>
        <v/>
      </c>
      <c r="I41" t="str">
        <f>IF($A41="","",IF($D41="V01",cad!$C$32,IF($D41="V02",cad!$D$32,cad!$E$32)))</f>
        <v/>
      </c>
      <c r="J41" t="str">
        <f>IF($A41="","",IF($D41="V01",cad!$C$33,IF($D41="V02",cad!$D$33,cad!$E$33)))</f>
        <v/>
      </c>
      <c r="K41" t="str">
        <f>IF($A41="","",IF($D41="V01",cad!$C$34,IF($D41="V02",cad!$D$34,cad!$E$34)))</f>
        <v/>
      </c>
      <c r="L41" t="str">
        <f>IF($A41="","",IF($D41="V01",cad!$C$35,IF($D41="V02",cad!$D$35,cad!$E$35)))</f>
        <v/>
      </c>
      <c r="M41" t="str">
        <f>IF($A41="","",IF($D41="V01",cad!$C$36,IF($D41="V02",cad!$D$36,cad!$E$36)))</f>
        <v/>
      </c>
      <c r="N41" t="str">
        <f t="shared" si="1"/>
        <v/>
      </c>
      <c r="O41" t="str">
        <f t="shared" si="2"/>
        <v/>
      </c>
      <c r="P41" t="str">
        <f>IF($A41="","",IF($E41=1,$F41*$O41,PNL!G41))</f>
        <v/>
      </c>
      <c r="T41" t="str">
        <f t="shared" si="3"/>
        <v/>
      </c>
    </row>
    <row r="42" spans="1:20" x14ac:dyDescent="0.45">
      <c r="A42" t="str">
        <f>IF(PNL!A42="","",PNL!A42)</f>
        <v/>
      </c>
      <c r="B42" t="str">
        <f>IF(PNL!B42="","",PNL!B42)</f>
        <v/>
      </c>
      <c r="C42" t="str">
        <f>IF(PNL!C42="","",PNL!C42)</f>
        <v/>
      </c>
      <c r="D42" t="str">
        <f>IF(PNL!D42="","",PNL!D42)</f>
        <v/>
      </c>
      <c r="E42" t="str">
        <f t="shared" si="0"/>
        <v/>
      </c>
      <c r="F42" t="str">
        <f>IF($A42="","",IF($E42=1,SUMIFS(Compta!$F$1:$F$675,Compta!$A$1:$A$675,$A42,Compta!$B$1:$B$675,$B42,Compta!$C$1:$C$675,"2026"),0))</f>
        <v/>
      </c>
      <c r="G42" t="str">
        <f>IF($A42="","",IF($D42="V01",cad!$C$23,IF($D42="V02",cad!$D$23,cad!$E$23)))</f>
        <v/>
      </c>
      <c r="H42" t="str">
        <f>IF($A42="","",IF($D42="V01",cad!$C$24,IF($D42="V02",cad!$D$24,cad!$E$24)))</f>
        <v/>
      </c>
      <c r="I42" t="str">
        <f>IF($A42="","",IF($D42="V01",cad!$C$32,IF($D42="V02",cad!$D$32,cad!$E$32)))</f>
        <v/>
      </c>
      <c r="J42" t="str">
        <f>IF($A42="","",IF($D42="V01",cad!$C$33,IF($D42="V02",cad!$D$33,cad!$E$33)))</f>
        <v/>
      </c>
      <c r="K42" t="str">
        <f>IF($A42="","",IF($D42="V01",cad!$C$34,IF($D42="V02",cad!$D$34,cad!$E$34)))</f>
        <v/>
      </c>
      <c r="L42" t="str">
        <f>IF($A42="","",IF($D42="V01",cad!$C$35,IF($D42="V02",cad!$D$35,cad!$E$35)))</f>
        <v/>
      </c>
      <c r="M42" t="str">
        <f>IF($A42="","",IF($D42="V01",cad!$C$36,IF($D42="V02",cad!$D$36,cad!$E$36)))</f>
        <v/>
      </c>
      <c r="N42" t="str">
        <f t="shared" si="1"/>
        <v/>
      </c>
      <c r="O42" t="str">
        <f t="shared" si="2"/>
        <v/>
      </c>
      <c r="P42" t="str">
        <f>IF($A42="","",IF($E42=1,$F42*$O42,PNL!G42))</f>
        <v/>
      </c>
      <c r="T42" t="str">
        <f t="shared" si="3"/>
        <v/>
      </c>
    </row>
    <row r="43" spans="1:20" x14ac:dyDescent="0.45">
      <c r="A43" t="str">
        <f>IF(PNL!A43="","",PNL!A43)</f>
        <v/>
      </c>
      <c r="B43" t="str">
        <f>IF(PNL!B43="","",PNL!B43)</f>
        <v/>
      </c>
      <c r="C43" t="str">
        <f>IF(PNL!C43="","",PNL!C43)</f>
        <v/>
      </c>
      <c r="D43" t="str">
        <f>IF(PNL!D43="","",PNL!D43)</f>
        <v/>
      </c>
      <c r="E43" t="str">
        <f t="shared" si="0"/>
        <v/>
      </c>
      <c r="F43" t="str">
        <f>IF($A43="","",IF($E43=1,SUMIFS(Compta!$F$1:$F$675,Compta!$A$1:$A$675,$A43,Compta!$B$1:$B$675,$B43,Compta!$C$1:$C$675,"2026"),0))</f>
        <v/>
      </c>
      <c r="G43" t="str">
        <f>IF($A43="","",IF($D43="V01",cad!$C$23,IF($D43="V02",cad!$D$23,cad!$E$23)))</f>
        <v/>
      </c>
      <c r="H43" t="str">
        <f>IF($A43="","",IF($D43="V01",cad!$C$24,IF($D43="V02",cad!$D$24,cad!$E$24)))</f>
        <v/>
      </c>
      <c r="I43" t="str">
        <f>IF($A43="","",IF($D43="V01",cad!$C$32,IF($D43="V02",cad!$D$32,cad!$E$32)))</f>
        <v/>
      </c>
      <c r="J43" t="str">
        <f>IF($A43="","",IF($D43="V01",cad!$C$33,IF($D43="V02",cad!$D$33,cad!$E$33)))</f>
        <v/>
      </c>
      <c r="K43" t="str">
        <f>IF($A43="","",IF($D43="V01",cad!$C$34,IF($D43="V02",cad!$D$34,cad!$E$34)))</f>
        <v/>
      </c>
      <c r="L43" t="str">
        <f>IF($A43="","",IF($D43="V01",cad!$C$35,IF($D43="V02",cad!$D$35,cad!$E$35)))</f>
        <v/>
      </c>
      <c r="M43" t="str">
        <f>IF($A43="","",IF($D43="V01",cad!$C$36,IF($D43="V02",cad!$D$36,cad!$E$36)))</f>
        <v/>
      </c>
      <c r="N43" t="str">
        <f t="shared" si="1"/>
        <v/>
      </c>
      <c r="O43" t="str">
        <f t="shared" si="2"/>
        <v/>
      </c>
      <c r="P43" t="str">
        <f>IF($A43="","",IF($E43=1,$F43*$O43,PNL!G43))</f>
        <v/>
      </c>
      <c r="T43" t="str">
        <f t="shared" si="3"/>
        <v/>
      </c>
    </row>
    <row r="44" spans="1:20" x14ac:dyDescent="0.45">
      <c r="A44" t="str">
        <f>IF(PNL!A44="","",PNL!A44)</f>
        <v/>
      </c>
      <c r="B44" t="str">
        <f>IF(PNL!B44="","",PNL!B44)</f>
        <v/>
      </c>
      <c r="C44" t="str">
        <f>IF(PNL!C44="","",PNL!C44)</f>
        <v/>
      </c>
      <c r="D44" t="str">
        <f>IF(PNL!D44="","",PNL!D44)</f>
        <v/>
      </c>
      <c r="E44" t="str">
        <f t="shared" si="0"/>
        <v/>
      </c>
      <c r="F44" t="str">
        <f>IF($A44="","",IF($E44=1,SUMIFS(Compta!$F$1:$F$675,Compta!$A$1:$A$675,$A44,Compta!$B$1:$B$675,$B44,Compta!$C$1:$C$675,"2026"),0))</f>
        <v/>
      </c>
      <c r="G44" t="str">
        <f>IF($A44="","",IF($D44="V01",cad!$C$23,IF($D44="V02",cad!$D$23,cad!$E$23)))</f>
        <v/>
      </c>
      <c r="H44" t="str">
        <f>IF($A44="","",IF($D44="V01",cad!$C$24,IF($D44="V02",cad!$D$24,cad!$E$24)))</f>
        <v/>
      </c>
      <c r="I44" t="str">
        <f>IF($A44="","",IF($D44="V01",cad!$C$32,IF($D44="V02",cad!$D$32,cad!$E$32)))</f>
        <v/>
      </c>
      <c r="J44" t="str">
        <f>IF($A44="","",IF($D44="V01",cad!$C$33,IF($D44="V02",cad!$D$33,cad!$E$33)))</f>
        <v/>
      </c>
      <c r="K44" t="str">
        <f>IF($A44="","",IF($D44="V01",cad!$C$34,IF($D44="V02",cad!$D$34,cad!$E$34)))</f>
        <v/>
      </c>
      <c r="L44" t="str">
        <f>IF($A44="","",IF($D44="V01",cad!$C$35,IF($D44="V02",cad!$D$35,cad!$E$35)))</f>
        <v/>
      </c>
      <c r="M44" t="str">
        <f>IF($A44="","",IF($D44="V01",cad!$C$36,IF($D44="V02",cad!$D$36,cad!$E$36)))</f>
        <v/>
      </c>
      <c r="N44" t="str">
        <f t="shared" si="1"/>
        <v/>
      </c>
      <c r="O44" t="str">
        <f t="shared" si="2"/>
        <v/>
      </c>
      <c r="P44" t="str">
        <f>IF($A44="","",IF($E44=1,$F44*$O44,PNL!G44))</f>
        <v/>
      </c>
      <c r="T44" t="str">
        <f t="shared" si="3"/>
        <v/>
      </c>
    </row>
    <row r="45" spans="1:20" x14ac:dyDescent="0.45">
      <c r="A45" t="str">
        <f>IF(PNL!A45="","",PNL!A45)</f>
        <v/>
      </c>
      <c r="B45" t="str">
        <f>IF(PNL!B45="","",PNL!B45)</f>
        <v/>
      </c>
      <c r="C45" t="str">
        <f>IF(PNL!C45="","",PNL!C45)</f>
        <v/>
      </c>
      <c r="D45" t="str">
        <f>IF(PNL!D45="","",PNL!D45)</f>
        <v/>
      </c>
      <c r="E45" t="str">
        <f t="shared" si="0"/>
        <v/>
      </c>
      <c r="F45" t="str">
        <f>IF($A45="","",IF($E45=1,SUMIFS(Compta!$F$1:$F$675,Compta!$A$1:$A$675,$A45,Compta!$B$1:$B$675,$B45,Compta!$C$1:$C$675,"2026"),0))</f>
        <v/>
      </c>
      <c r="G45" t="str">
        <f>IF($A45="","",IF($D45="V01",cad!$C$23,IF($D45="V02",cad!$D$23,cad!$E$23)))</f>
        <v/>
      </c>
      <c r="H45" t="str">
        <f>IF($A45="","",IF($D45="V01",cad!$C$24,IF($D45="V02",cad!$D$24,cad!$E$24)))</f>
        <v/>
      </c>
      <c r="I45" t="str">
        <f>IF($A45="","",IF($D45="V01",cad!$C$32,IF($D45="V02",cad!$D$32,cad!$E$32)))</f>
        <v/>
      </c>
      <c r="J45" t="str">
        <f>IF($A45="","",IF($D45="V01",cad!$C$33,IF($D45="V02",cad!$D$33,cad!$E$33)))</f>
        <v/>
      </c>
      <c r="K45" t="str">
        <f>IF($A45="","",IF($D45="V01",cad!$C$34,IF($D45="V02",cad!$D$34,cad!$E$34)))</f>
        <v/>
      </c>
      <c r="L45" t="str">
        <f>IF($A45="","",IF($D45="V01",cad!$C$35,IF($D45="V02",cad!$D$35,cad!$E$35)))</f>
        <v/>
      </c>
      <c r="M45" t="str">
        <f>IF($A45="","",IF($D45="V01",cad!$C$36,IF($D45="V02",cad!$D$36,cad!$E$36)))</f>
        <v/>
      </c>
      <c r="N45" t="str">
        <f t="shared" si="1"/>
        <v/>
      </c>
      <c r="O45" t="str">
        <f t="shared" si="2"/>
        <v/>
      </c>
      <c r="P45" t="str">
        <f>IF($A45="","",IF($E45=1,$F45*$O45,PNL!G45))</f>
        <v/>
      </c>
      <c r="T45" t="str">
        <f t="shared" si="3"/>
        <v/>
      </c>
    </row>
    <row r="46" spans="1:20" x14ac:dyDescent="0.45">
      <c r="A46" t="str">
        <f>IF(PNL!A46="","",PNL!A46)</f>
        <v/>
      </c>
      <c r="B46" t="str">
        <f>IF(PNL!B46="","",PNL!B46)</f>
        <v/>
      </c>
      <c r="C46" t="str">
        <f>IF(PNL!C46="","",PNL!C46)</f>
        <v/>
      </c>
      <c r="D46" t="str">
        <f>IF(PNL!D46="","",PNL!D46)</f>
        <v/>
      </c>
      <c r="E46" t="str">
        <f t="shared" si="0"/>
        <v/>
      </c>
      <c r="F46" t="str">
        <f>IF($A46="","",IF($E46=1,SUMIFS(Compta!$F$1:$F$675,Compta!$A$1:$A$675,$A46,Compta!$B$1:$B$675,$B46,Compta!$C$1:$C$675,"2026"),0))</f>
        <v/>
      </c>
      <c r="G46" t="str">
        <f>IF($A46="","",IF($D46="V01",cad!$C$23,IF($D46="V02",cad!$D$23,cad!$E$23)))</f>
        <v/>
      </c>
      <c r="H46" t="str">
        <f>IF($A46="","",IF($D46="V01",cad!$C$24,IF($D46="V02",cad!$D$24,cad!$E$24)))</f>
        <v/>
      </c>
      <c r="I46" t="str">
        <f>IF($A46="","",IF($D46="V01",cad!$C$32,IF($D46="V02",cad!$D$32,cad!$E$32)))</f>
        <v/>
      </c>
      <c r="J46" t="str">
        <f>IF($A46="","",IF($D46="V01",cad!$C$33,IF($D46="V02",cad!$D$33,cad!$E$33)))</f>
        <v/>
      </c>
      <c r="K46" t="str">
        <f>IF($A46="","",IF($D46="V01",cad!$C$34,IF($D46="V02",cad!$D$34,cad!$E$34)))</f>
        <v/>
      </c>
      <c r="L46" t="str">
        <f>IF($A46="","",IF($D46="V01",cad!$C$35,IF($D46="V02",cad!$D$35,cad!$E$35)))</f>
        <v/>
      </c>
      <c r="M46" t="str">
        <f>IF($A46="","",IF($D46="V01",cad!$C$36,IF($D46="V02",cad!$D$36,cad!$E$36)))</f>
        <v/>
      </c>
      <c r="N46" t="str">
        <f t="shared" si="1"/>
        <v/>
      </c>
      <c r="O46" t="str">
        <f t="shared" si="2"/>
        <v/>
      </c>
      <c r="P46" t="str">
        <f>IF($A46="","",IF($E46=1,$F46*$O46,PNL!G46))</f>
        <v/>
      </c>
      <c r="T46" t="str">
        <f t="shared" si="3"/>
        <v/>
      </c>
    </row>
    <row r="47" spans="1:20" x14ac:dyDescent="0.45">
      <c r="A47" t="str">
        <f>IF(PNL!A47="","",PNL!A47)</f>
        <v/>
      </c>
      <c r="B47" t="str">
        <f>IF(PNL!B47="","",PNL!B47)</f>
        <v/>
      </c>
      <c r="C47" t="str">
        <f>IF(PNL!C47="","",PNL!C47)</f>
        <v/>
      </c>
      <c r="D47" t="str">
        <f>IF(PNL!D47="","",PNL!D47)</f>
        <v/>
      </c>
      <c r="E47" t="str">
        <f t="shared" si="0"/>
        <v/>
      </c>
      <c r="F47" t="str">
        <f>IF($A47="","",IF($E47=1,SUMIFS(Compta!$F$1:$F$675,Compta!$A$1:$A$675,$A47,Compta!$B$1:$B$675,$B47,Compta!$C$1:$C$675,"2026"),0))</f>
        <v/>
      </c>
      <c r="G47" t="str">
        <f>IF($A47="","",IF($D47="V01",cad!$C$23,IF($D47="V02",cad!$D$23,cad!$E$23)))</f>
        <v/>
      </c>
      <c r="H47" t="str">
        <f>IF($A47="","",IF($D47="V01",cad!$C$24,IF($D47="V02",cad!$D$24,cad!$E$24)))</f>
        <v/>
      </c>
      <c r="I47" t="str">
        <f>IF($A47="","",IF($D47="V01",cad!$C$32,IF($D47="V02",cad!$D$32,cad!$E$32)))</f>
        <v/>
      </c>
      <c r="J47" t="str">
        <f>IF($A47="","",IF($D47="V01",cad!$C$33,IF($D47="V02",cad!$D$33,cad!$E$33)))</f>
        <v/>
      </c>
      <c r="K47" t="str">
        <f>IF($A47="","",IF($D47="V01",cad!$C$34,IF($D47="V02",cad!$D$34,cad!$E$34)))</f>
        <v/>
      </c>
      <c r="L47" t="str">
        <f>IF($A47="","",IF($D47="V01",cad!$C$35,IF($D47="V02",cad!$D$35,cad!$E$35)))</f>
        <v/>
      </c>
      <c r="M47" t="str">
        <f>IF($A47="","",IF($D47="V01",cad!$C$36,IF($D47="V02",cad!$D$36,cad!$E$36)))</f>
        <v/>
      </c>
      <c r="N47" t="str">
        <f t="shared" si="1"/>
        <v/>
      </c>
      <c r="O47" t="str">
        <f t="shared" si="2"/>
        <v/>
      </c>
      <c r="P47" t="str">
        <f>IF($A47="","",IF($E47=1,$F47*$O47,PNL!G47))</f>
        <v/>
      </c>
      <c r="T47" t="str">
        <f t="shared" si="3"/>
        <v/>
      </c>
    </row>
    <row r="48" spans="1:20" x14ac:dyDescent="0.45">
      <c r="A48" t="str">
        <f>IF(PNL!A48="","",PNL!A48)</f>
        <v/>
      </c>
      <c r="B48" t="str">
        <f>IF(PNL!B48="","",PNL!B48)</f>
        <v/>
      </c>
      <c r="C48" t="str">
        <f>IF(PNL!C48="","",PNL!C48)</f>
        <v/>
      </c>
      <c r="D48" t="str">
        <f>IF(PNL!D48="","",PNL!D48)</f>
        <v/>
      </c>
      <c r="E48" t="str">
        <f t="shared" si="0"/>
        <v/>
      </c>
      <c r="F48" t="str">
        <f>IF($A48="","",IF($E48=1,SUMIFS(Compta!$F$1:$F$675,Compta!$A$1:$A$675,$A48,Compta!$B$1:$B$675,$B48,Compta!$C$1:$C$675,"2026"),0))</f>
        <v/>
      </c>
      <c r="G48" t="str">
        <f>IF($A48="","",IF($D48="V01",cad!$C$23,IF($D48="V02",cad!$D$23,cad!$E$23)))</f>
        <v/>
      </c>
      <c r="H48" t="str">
        <f>IF($A48="","",IF($D48="V01",cad!$C$24,IF($D48="V02",cad!$D$24,cad!$E$24)))</f>
        <v/>
      </c>
      <c r="I48" t="str">
        <f>IF($A48="","",IF($D48="V01",cad!$C$32,IF($D48="V02",cad!$D$32,cad!$E$32)))</f>
        <v/>
      </c>
      <c r="J48" t="str">
        <f>IF($A48="","",IF($D48="V01",cad!$C$33,IF($D48="V02",cad!$D$33,cad!$E$33)))</f>
        <v/>
      </c>
      <c r="K48" t="str">
        <f>IF($A48="","",IF($D48="V01",cad!$C$34,IF($D48="V02",cad!$D$34,cad!$E$34)))</f>
        <v/>
      </c>
      <c r="L48" t="str">
        <f>IF($A48="","",IF($D48="V01",cad!$C$35,IF($D48="V02",cad!$D$35,cad!$E$35)))</f>
        <v/>
      </c>
      <c r="M48" t="str">
        <f>IF($A48="","",IF($D48="V01",cad!$C$36,IF($D48="V02",cad!$D$36,cad!$E$36)))</f>
        <v/>
      </c>
      <c r="N48" t="str">
        <f t="shared" si="1"/>
        <v/>
      </c>
      <c r="O48" t="str">
        <f t="shared" si="2"/>
        <v/>
      </c>
      <c r="P48" t="str">
        <f>IF($A48="","",IF($E48=1,$F48*$O48,PNL!G48))</f>
        <v/>
      </c>
      <c r="T48" t="str">
        <f t="shared" si="3"/>
        <v/>
      </c>
    </row>
    <row r="49" spans="1:20" x14ac:dyDescent="0.45">
      <c r="A49" t="str">
        <f>IF(PNL!A49="","",PNL!A49)</f>
        <v/>
      </c>
      <c r="B49" t="str">
        <f>IF(PNL!B49="","",PNL!B49)</f>
        <v/>
      </c>
      <c r="C49" t="str">
        <f>IF(PNL!C49="","",PNL!C49)</f>
        <v/>
      </c>
      <c r="D49" t="str">
        <f>IF(PNL!D49="","",PNL!D49)</f>
        <v/>
      </c>
      <c r="E49" t="str">
        <f t="shared" si="0"/>
        <v/>
      </c>
      <c r="F49" t="str">
        <f>IF($A49="","",IF($E49=1,SUMIFS(Compta!$F$1:$F$675,Compta!$A$1:$A$675,$A49,Compta!$B$1:$B$675,$B49,Compta!$C$1:$C$675,"2026"),0))</f>
        <v/>
      </c>
      <c r="G49" t="str">
        <f>IF($A49="","",IF($D49="V01",cad!$C$23,IF($D49="V02",cad!$D$23,cad!$E$23)))</f>
        <v/>
      </c>
      <c r="H49" t="str">
        <f>IF($A49="","",IF($D49="V01",cad!$C$24,IF($D49="V02",cad!$D$24,cad!$E$24)))</f>
        <v/>
      </c>
      <c r="I49" t="str">
        <f>IF($A49="","",IF($D49="V01",cad!$C$32,IF($D49="V02",cad!$D$32,cad!$E$32)))</f>
        <v/>
      </c>
      <c r="J49" t="str">
        <f>IF($A49="","",IF($D49="V01",cad!$C$33,IF($D49="V02",cad!$D$33,cad!$E$33)))</f>
        <v/>
      </c>
      <c r="K49" t="str">
        <f>IF($A49="","",IF($D49="V01",cad!$C$34,IF($D49="V02",cad!$D$34,cad!$E$34)))</f>
        <v/>
      </c>
      <c r="L49" t="str">
        <f>IF($A49="","",IF($D49="V01",cad!$C$35,IF($D49="V02",cad!$D$35,cad!$E$35)))</f>
        <v/>
      </c>
      <c r="M49" t="str">
        <f>IF($A49="","",IF($D49="V01",cad!$C$36,IF($D49="V02",cad!$D$36,cad!$E$36)))</f>
        <v/>
      </c>
      <c r="N49" t="str">
        <f t="shared" si="1"/>
        <v/>
      </c>
      <c r="O49" t="str">
        <f t="shared" si="2"/>
        <v/>
      </c>
      <c r="P49" t="str">
        <f>IF($A49="","",IF($E49=1,$F49*$O49,PNL!G49))</f>
        <v/>
      </c>
      <c r="T49" t="str">
        <f t="shared" si="3"/>
        <v/>
      </c>
    </row>
    <row r="50" spans="1:20" x14ac:dyDescent="0.45">
      <c r="A50" t="str">
        <f>IF(PNL!A50="","",PNL!A50)</f>
        <v/>
      </c>
      <c r="B50" t="str">
        <f>IF(PNL!B50="","",PNL!B50)</f>
        <v/>
      </c>
      <c r="C50" t="str">
        <f>IF(PNL!C50="","",PNL!C50)</f>
        <v/>
      </c>
      <c r="D50" t="str">
        <f>IF(PNL!D50="","",PNL!D50)</f>
        <v/>
      </c>
      <c r="E50" t="str">
        <f t="shared" si="0"/>
        <v/>
      </c>
      <c r="F50" t="str">
        <f>IF($A50="","",IF($E50=1,SUMIFS(Compta!$F$1:$F$675,Compta!$A$1:$A$675,$A50,Compta!$B$1:$B$675,$B50,Compta!$C$1:$C$675,"2026"),0))</f>
        <v/>
      </c>
      <c r="G50" t="str">
        <f>IF($A50="","",IF($D50="V01",cad!$C$23,IF($D50="V02",cad!$D$23,cad!$E$23)))</f>
        <v/>
      </c>
      <c r="H50" t="str">
        <f>IF($A50="","",IF($D50="V01",cad!$C$24,IF($D50="V02",cad!$D$24,cad!$E$24)))</f>
        <v/>
      </c>
      <c r="I50" t="str">
        <f>IF($A50="","",IF($D50="V01",cad!$C$32,IF($D50="V02",cad!$D$32,cad!$E$32)))</f>
        <v/>
      </c>
      <c r="J50" t="str">
        <f>IF($A50="","",IF($D50="V01",cad!$C$33,IF($D50="V02",cad!$D$33,cad!$E$33)))</f>
        <v/>
      </c>
      <c r="K50" t="str">
        <f>IF($A50="","",IF($D50="V01",cad!$C$34,IF($D50="V02",cad!$D$34,cad!$E$34)))</f>
        <v/>
      </c>
      <c r="L50" t="str">
        <f>IF($A50="","",IF($D50="V01",cad!$C$35,IF($D50="V02",cad!$D$35,cad!$E$35)))</f>
        <v/>
      </c>
      <c r="M50" t="str">
        <f>IF($A50="","",IF($D50="V01",cad!$C$36,IF($D50="V02",cad!$D$36,cad!$E$36)))</f>
        <v/>
      </c>
      <c r="N50" t="str">
        <f t="shared" si="1"/>
        <v/>
      </c>
      <c r="O50" t="str">
        <f t="shared" si="2"/>
        <v/>
      </c>
      <c r="P50" t="str">
        <f>IF($A50="","",IF($E50=1,$F50*$O50,PNL!G50))</f>
        <v/>
      </c>
      <c r="T50" t="str">
        <f t="shared" si="3"/>
        <v/>
      </c>
    </row>
    <row r="51" spans="1:20" x14ac:dyDescent="0.45">
      <c r="A51" t="str">
        <f>IF(PNL!A51="","",PNL!A51)</f>
        <v/>
      </c>
      <c r="B51" t="str">
        <f>IF(PNL!B51="","",PNL!B51)</f>
        <v/>
      </c>
      <c r="C51" t="str">
        <f>IF(PNL!C51="","",PNL!C51)</f>
        <v/>
      </c>
      <c r="D51" t="str">
        <f>IF(PNL!D51="","",PNL!D51)</f>
        <v/>
      </c>
      <c r="E51" t="str">
        <f t="shared" si="0"/>
        <v/>
      </c>
      <c r="F51" t="str">
        <f>IF($A51="","",IF($E51=1,SUMIFS(Compta!$F$1:$F$675,Compta!$A$1:$A$675,$A51,Compta!$B$1:$B$675,$B51,Compta!$C$1:$C$675,"2026"),0))</f>
        <v/>
      </c>
      <c r="G51" t="str">
        <f>IF($A51="","",IF($D51="V01",cad!$C$23,IF($D51="V02",cad!$D$23,cad!$E$23)))</f>
        <v/>
      </c>
      <c r="H51" t="str">
        <f>IF($A51="","",IF($D51="V01",cad!$C$24,IF($D51="V02",cad!$D$24,cad!$E$24)))</f>
        <v/>
      </c>
      <c r="I51" t="str">
        <f>IF($A51="","",IF($D51="V01",cad!$C$32,IF($D51="V02",cad!$D$32,cad!$E$32)))</f>
        <v/>
      </c>
      <c r="J51" t="str">
        <f>IF($A51="","",IF($D51="V01",cad!$C$33,IF($D51="V02",cad!$D$33,cad!$E$33)))</f>
        <v/>
      </c>
      <c r="K51" t="str">
        <f>IF($A51="","",IF($D51="V01",cad!$C$34,IF($D51="V02",cad!$D$34,cad!$E$34)))</f>
        <v/>
      </c>
      <c r="L51" t="str">
        <f>IF($A51="","",IF($D51="V01",cad!$C$35,IF($D51="V02",cad!$D$35,cad!$E$35)))</f>
        <v/>
      </c>
      <c r="M51" t="str">
        <f>IF($A51="","",IF($D51="V01",cad!$C$36,IF($D51="V02",cad!$D$36,cad!$E$36)))</f>
        <v/>
      </c>
      <c r="N51" t="str">
        <f t="shared" si="1"/>
        <v/>
      </c>
      <c r="O51" t="str">
        <f t="shared" si="2"/>
        <v/>
      </c>
      <c r="P51" t="str">
        <f>IF($A51="","",IF($E51=1,$F51*$O51,PNL!G51))</f>
        <v/>
      </c>
      <c r="T51" t="str">
        <f t="shared" si="3"/>
        <v/>
      </c>
    </row>
    <row r="52" spans="1:20" x14ac:dyDescent="0.45">
      <c r="A52" t="str">
        <f>IF(PNL!A52="","",PNL!A52)</f>
        <v/>
      </c>
      <c r="B52" t="str">
        <f>IF(PNL!B52="","",PNL!B52)</f>
        <v/>
      </c>
      <c r="C52" t="str">
        <f>IF(PNL!C52="","",PNL!C52)</f>
        <v/>
      </c>
      <c r="D52" t="str">
        <f>IF(PNL!D52="","",PNL!D52)</f>
        <v/>
      </c>
      <c r="E52" t="str">
        <f t="shared" si="0"/>
        <v/>
      </c>
      <c r="F52" t="str">
        <f>IF($A52="","",IF($E52=1,SUMIFS(Compta!$F$1:$F$675,Compta!$A$1:$A$675,$A52,Compta!$B$1:$B$675,$B52,Compta!$C$1:$C$675,"2026"),0))</f>
        <v/>
      </c>
      <c r="G52" t="str">
        <f>IF($A52="","",IF($D52="V01",cad!$C$23,IF($D52="V02",cad!$D$23,cad!$E$23)))</f>
        <v/>
      </c>
      <c r="H52" t="str">
        <f>IF($A52="","",IF($D52="V01",cad!$C$24,IF($D52="V02",cad!$D$24,cad!$E$24)))</f>
        <v/>
      </c>
      <c r="I52" t="str">
        <f>IF($A52="","",IF($D52="V01",cad!$C$32,IF($D52="V02",cad!$D$32,cad!$E$32)))</f>
        <v/>
      </c>
      <c r="J52" t="str">
        <f>IF($A52="","",IF($D52="V01",cad!$C$33,IF($D52="V02",cad!$D$33,cad!$E$33)))</f>
        <v/>
      </c>
      <c r="K52" t="str">
        <f>IF($A52="","",IF($D52="V01",cad!$C$34,IF($D52="V02",cad!$D$34,cad!$E$34)))</f>
        <v/>
      </c>
      <c r="L52" t="str">
        <f>IF($A52="","",IF($D52="V01",cad!$C$35,IF($D52="V02",cad!$D$35,cad!$E$35)))</f>
        <v/>
      </c>
      <c r="M52" t="str">
        <f>IF($A52="","",IF($D52="V01",cad!$C$36,IF($D52="V02",cad!$D$36,cad!$E$36)))</f>
        <v/>
      </c>
      <c r="N52" t="str">
        <f t="shared" si="1"/>
        <v/>
      </c>
      <c r="O52" t="str">
        <f t="shared" si="2"/>
        <v/>
      </c>
      <c r="P52" t="str">
        <f>IF($A52="","",IF($E52=1,$F52*$O52,PNL!G52))</f>
        <v/>
      </c>
      <c r="T52" t="str">
        <f t="shared" si="3"/>
        <v/>
      </c>
    </row>
    <row r="53" spans="1:20" x14ac:dyDescent="0.45">
      <c r="A53" t="str">
        <f>IF(PNL!A53="","",PNL!A53)</f>
        <v/>
      </c>
      <c r="B53" t="str">
        <f>IF(PNL!B53="","",PNL!B53)</f>
        <v/>
      </c>
      <c r="C53" t="str">
        <f>IF(PNL!C53="","",PNL!C53)</f>
        <v/>
      </c>
      <c r="D53" t="str">
        <f>IF(PNL!D53="","",PNL!D53)</f>
        <v/>
      </c>
      <c r="E53" t="str">
        <f t="shared" si="0"/>
        <v/>
      </c>
      <c r="F53" t="str">
        <f>IF($A53="","",IF($E53=1,SUMIFS(Compta!$F$1:$F$675,Compta!$A$1:$A$675,$A53,Compta!$B$1:$B$675,$B53,Compta!$C$1:$C$675,"2026"),0))</f>
        <v/>
      </c>
      <c r="G53" t="str">
        <f>IF($A53="","",IF($D53="V01",cad!$C$23,IF($D53="V02",cad!$D$23,cad!$E$23)))</f>
        <v/>
      </c>
      <c r="H53" t="str">
        <f>IF($A53="","",IF($D53="V01",cad!$C$24,IF($D53="V02",cad!$D$24,cad!$E$24)))</f>
        <v/>
      </c>
      <c r="I53" t="str">
        <f>IF($A53="","",IF($D53="V01",cad!$C$32,IF($D53="V02",cad!$D$32,cad!$E$32)))</f>
        <v/>
      </c>
      <c r="J53" t="str">
        <f>IF($A53="","",IF($D53="V01",cad!$C$33,IF($D53="V02",cad!$D$33,cad!$E$33)))</f>
        <v/>
      </c>
      <c r="K53" t="str">
        <f>IF($A53="","",IF($D53="V01",cad!$C$34,IF($D53="V02",cad!$D$34,cad!$E$34)))</f>
        <v/>
      </c>
      <c r="L53" t="str">
        <f>IF($A53="","",IF($D53="V01",cad!$C$35,IF($D53="V02",cad!$D$35,cad!$E$35)))</f>
        <v/>
      </c>
      <c r="M53" t="str">
        <f>IF($A53="","",IF($D53="V01",cad!$C$36,IF($D53="V02",cad!$D$36,cad!$E$36)))</f>
        <v/>
      </c>
      <c r="N53" t="str">
        <f t="shared" si="1"/>
        <v/>
      </c>
      <c r="O53" t="str">
        <f t="shared" si="2"/>
        <v/>
      </c>
      <c r="P53" t="str">
        <f>IF($A53="","",IF($E53=1,$F53*$O53,PNL!G53))</f>
        <v/>
      </c>
      <c r="T53" t="str">
        <f t="shared" si="3"/>
        <v/>
      </c>
    </row>
    <row r="54" spans="1:20" x14ac:dyDescent="0.45">
      <c r="A54" t="str">
        <f>IF(PNL!A54="","",PNL!A54)</f>
        <v/>
      </c>
      <c r="B54" t="str">
        <f>IF(PNL!B54="","",PNL!B54)</f>
        <v/>
      </c>
      <c r="C54" t="str">
        <f>IF(PNL!C54="","",PNL!C54)</f>
        <v/>
      </c>
      <c r="D54" t="str">
        <f>IF(PNL!D54="","",PNL!D54)</f>
        <v/>
      </c>
      <c r="E54" t="str">
        <f t="shared" si="0"/>
        <v/>
      </c>
      <c r="F54" t="str">
        <f>IF($A54="","",IF($E54=1,SUMIFS(Compta!$F$1:$F$675,Compta!$A$1:$A$675,$A54,Compta!$B$1:$B$675,$B54,Compta!$C$1:$C$675,"2026"),0))</f>
        <v/>
      </c>
      <c r="G54" t="str">
        <f>IF($A54="","",IF($D54="V01",cad!$C$23,IF($D54="V02",cad!$D$23,cad!$E$23)))</f>
        <v/>
      </c>
      <c r="H54" t="str">
        <f>IF($A54="","",IF($D54="V01",cad!$C$24,IF($D54="V02",cad!$D$24,cad!$E$24)))</f>
        <v/>
      </c>
      <c r="I54" t="str">
        <f>IF($A54="","",IF($D54="V01",cad!$C$32,IF($D54="V02",cad!$D$32,cad!$E$32)))</f>
        <v/>
      </c>
      <c r="J54" t="str">
        <f>IF($A54="","",IF($D54="V01",cad!$C$33,IF($D54="V02",cad!$D$33,cad!$E$33)))</f>
        <v/>
      </c>
      <c r="K54" t="str">
        <f>IF($A54="","",IF($D54="V01",cad!$C$34,IF($D54="V02",cad!$D$34,cad!$E$34)))</f>
        <v/>
      </c>
      <c r="L54" t="str">
        <f>IF($A54="","",IF($D54="V01",cad!$C$35,IF($D54="V02",cad!$D$35,cad!$E$35)))</f>
        <v/>
      </c>
      <c r="M54" t="str">
        <f>IF($A54="","",IF($D54="V01",cad!$C$36,IF($D54="V02",cad!$D$36,cad!$E$36)))</f>
        <v/>
      </c>
      <c r="N54" t="str">
        <f t="shared" si="1"/>
        <v/>
      </c>
      <c r="O54" t="str">
        <f t="shared" si="2"/>
        <v/>
      </c>
      <c r="P54" t="str">
        <f>IF($A54="","",IF($E54=1,$F54*$O54,PNL!G54))</f>
        <v/>
      </c>
      <c r="T54" t="str">
        <f t="shared" si="3"/>
        <v/>
      </c>
    </row>
    <row r="55" spans="1:20" x14ac:dyDescent="0.45">
      <c r="A55" t="str">
        <f>IF(PNL!A55="","",PNL!A55)</f>
        <v/>
      </c>
      <c r="B55" t="str">
        <f>IF(PNL!B55="","",PNL!B55)</f>
        <v/>
      </c>
      <c r="C55" t="str">
        <f>IF(PNL!C55="","",PNL!C55)</f>
        <v/>
      </c>
      <c r="D55" t="str">
        <f>IF(PNL!D55="","",PNL!D55)</f>
        <v/>
      </c>
      <c r="E55" t="str">
        <f t="shared" si="0"/>
        <v/>
      </c>
      <c r="F55" t="str">
        <f>IF($A55="","",IF($E55=1,SUMIFS(Compta!$F$1:$F$675,Compta!$A$1:$A$675,$A55,Compta!$B$1:$B$675,$B55,Compta!$C$1:$C$675,"2026"),0))</f>
        <v/>
      </c>
      <c r="G55" t="str">
        <f>IF($A55="","",IF($D55="V01",cad!$C$23,IF($D55="V02",cad!$D$23,cad!$E$23)))</f>
        <v/>
      </c>
      <c r="H55" t="str">
        <f>IF($A55="","",IF($D55="V01",cad!$C$24,IF($D55="V02",cad!$D$24,cad!$E$24)))</f>
        <v/>
      </c>
      <c r="I55" t="str">
        <f>IF($A55="","",IF($D55="V01",cad!$C$32,IF($D55="V02",cad!$D$32,cad!$E$32)))</f>
        <v/>
      </c>
      <c r="J55" t="str">
        <f>IF($A55="","",IF($D55="V01",cad!$C$33,IF($D55="V02",cad!$D$33,cad!$E$33)))</f>
        <v/>
      </c>
      <c r="K55" t="str">
        <f>IF($A55="","",IF($D55="V01",cad!$C$34,IF($D55="V02",cad!$D$34,cad!$E$34)))</f>
        <v/>
      </c>
      <c r="L55" t="str">
        <f>IF($A55="","",IF($D55="V01",cad!$C$35,IF($D55="V02",cad!$D$35,cad!$E$35)))</f>
        <v/>
      </c>
      <c r="M55" t="str">
        <f>IF($A55="","",IF($D55="V01",cad!$C$36,IF($D55="V02",cad!$D$36,cad!$E$36)))</f>
        <v/>
      </c>
      <c r="N55" t="str">
        <f t="shared" si="1"/>
        <v/>
      </c>
      <c r="O55" t="str">
        <f t="shared" si="2"/>
        <v/>
      </c>
      <c r="P55" t="str">
        <f>IF($A55="","",IF($E55=1,$F55*$O55,PNL!G55))</f>
        <v/>
      </c>
      <c r="T55" t="str">
        <f t="shared" si="3"/>
        <v/>
      </c>
    </row>
    <row r="56" spans="1:20" x14ac:dyDescent="0.45">
      <c r="A56" t="str">
        <f>IF(PNL!A56="","",PNL!A56)</f>
        <v/>
      </c>
      <c r="B56" t="str">
        <f>IF(PNL!B56="","",PNL!B56)</f>
        <v/>
      </c>
      <c r="C56" t="str">
        <f>IF(PNL!C56="","",PNL!C56)</f>
        <v/>
      </c>
      <c r="D56" t="str">
        <f>IF(PNL!D56="","",PNL!D56)</f>
        <v/>
      </c>
      <c r="E56" t="str">
        <f t="shared" si="0"/>
        <v/>
      </c>
      <c r="F56" t="str">
        <f>IF($A56="","",IF($E56=1,SUMIFS(Compta!$F$1:$F$675,Compta!$A$1:$A$675,$A56,Compta!$B$1:$B$675,$B56,Compta!$C$1:$C$675,"2026"),0))</f>
        <v/>
      </c>
      <c r="G56" t="str">
        <f>IF($A56="","",IF($D56="V01",cad!$C$23,IF($D56="V02",cad!$D$23,cad!$E$23)))</f>
        <v/>
      </c>
      <c r="H56" t="str">
        <f>IF($A56="","",IF($D56="V01",cad!$C$24,IF($D56="V02",cad!$D$24,cad!$E$24)))</f>
        <v/>
      </c>
      <c r="I56" t="str">
        <f>IF($A56="","",IF($D56="V01",cad!$C$32,IF($D56="V02",cad!$D$32,cad!$E$32)))</f>
        <v/>
      </c>
      <c r="J56" t="str">
        <f>IF($A56="","",IF($D56="V01",cad!$C$33,IF($D56="V02",cad!$D$33,cad!$E$33)))</f>
        <v/>
      </c>
      <c r="K56" t="str">
        <f>IF($A56="","",IF($D56="V01",cad!$C$34,IF($D56="V02",cad!$D$34,cad!$E$34)))</f>
        <v/>
      </c>
      <c r="L56" t="str">
        <f>IF($A56="","",IF($D56="V01",cad!$C$35,IF($D56="V02",cad!$D$35,cad!$E$35)))</f>
        <v/>
      </c>
      <c r="M56" t="str">
        <f>IF($A56="","",IF($D56="V01",cad!$C$36,IF($D56="V02",cad!$D$36,cad!$E$36)))</f>
        <v/>
      </c>
      <c r="N56" t="str">
        <f t="shared" si="1"/>
        <v/>
      </c>
      <c r="O56" t="str">
        <f t="shared" si="2"/>
        <v/>
      </c>
      <c r="P56" t="str">
        <f>IF($A56="","",IF($E56=1,$F56*$O56,PNL!G56))</f>
        <v/>
      </c>
      <c r="T56" t="str">
        <f t="shared" si="3"/>
        <v/>
      </c>
    </row>
    <row r="57" spans="1:20" x14ac:dyDescent="0.45">
      <c r="A57" t="str">
        <f>IF(PNL!A57="","",PNL!A57)</f>
        <v/>
      </c>
      <c r="B57" t="str">
        <f>IF(PNL!B57="","",PNL!B57)</f>
        <v/>
      </c>
      <c r="C57" t="str">
        <f>IF(PNL!C57="","",PNL!C57)</f>
        <v/>
      </c>
      <c r="D57" t="str">
        <f>IF(PNL!D57="","",PNL!D57)</f>
        <v/>
      </c>
      <c r="E57" t="str">
        <f t="shared" si="0"/>
        <v/>
      </c>
      <c r="F57" t="str">
        <f>IF($A57="","",IF($E57=1,SUMIFS(Compta!$F$1:$F$675,Compta!$A$1:$A$675,$A57,Compta!$B$1:$B$675,$B57,Compta!$C$1:$C$675,"2026"),0))</f>
        <v/>
      </c>
      <c r="G57" t="str">
        <f>IF($A57="","",IF($D57="V01",cad!$C$23,IF($D57="V02",cad!$D$23,cad!$E$23)))</f>
        <v/>
      </c>
      <c r="H57" t="str">
        <f>IF($A57="","",IF($D57="V01",cad!$C$24,IF($D57="V02",cad!$D$24,cad!$E$24)))</f>
        <v/>
      </c>
      <c r="I57" t="str">
        <f>IF($A57="","",IF($D57="V01",cad!$C$32,IF($D57="V02",cad!$D$32,cad!$E$32)))</f>
        <v/>
      </c>
      <c r="J57" t="str">
        <f>IF($A57="","",IF($D57="V01",cad!$C$33,IF($D57="V02",cad!$D$33,cad!$E$33)))</f>
        <v/>
      </c>
      <c r="K57" t="str">
        <f>IF($A57="","",IF($D57="V01",cad!$C$34,IF($D57="V02",cad!$D$34,cad!$E$34)))</f>
        <v/>
      </c>
      <c r="L57" t="str">
        <f>IF($A57="","",IF($D57="V01",cad!$C$35,IF($D57="V02",cad!$D$35,cad!$E$35)))</f>
        <v/>
      </c>
      <c r="M57" t="str">
        <f>IF($A57="","",IF($D57="V01",cad!$C$36,IF($D57="V02",cad!$D$36,cad!$E$36)))</f>
        <v/>
      </c>
      <c r="N57" t="str">
        <f t="shared" si="1"/>
        <v/>
      </c>
      <c r="O57" t="str">
        <f t="shared" si="2"/>
        <v/>
      </c>
      <c r="P57" t="str">
        <f>IF($A57="","",IF($E57=1,$F57*$O57,PNL!G57))</f>
        <v/>
      </c>
      <c r="T57" t="str">
        <f t="shared" si="3"/>
        <v/>
      </c>
    </row>
    <row r="58" spans="1:20" x14ac:dyDescent="0.45">
      <c r="A58" t="str">
        <f>IF(PNL!A58="","",PNL!A58)</f>
        <v/>
      </c>
      <c r="B58" t="str">
        <f>IF(PNL!B58="","",PNL!B58)</f>
        <v/>
      </c>
      <c r="C58" t="str">
        <f>IF(PNL!C58="","",PNL!C58)</f>
        <v/>
      </c>
      <c r="D58" t="str">
        <f>IF(PNL!D58="","",PNL!D58)</f>
        <v/>
      </c>
      <c r="E58" t="str">
        <f t="shared" si="0"/>
        <v/>
      </c>
      <c r="F58" t="str">
        <f>IF($A58="","",IF($E58=1,SUMIFS(Compta!$F$1:$F$675,Compta!$A$1:$A$675,$A58,Compta!$B$1:$B$675,$B58,Compta!$C$1:$C$675,"2026"),0))</f>
        <v/>
      </c>
      <c r="G58" t="str">
        <f>IF($A58="","",IF($D58="V01",cad!$C$23,IF($D58="V02",cad!$D$23,cad!$E$23)))</f>
        <v/>
      </c>
      <c r="H58" t="str">
        <f>IF($A58="","",IF($D58="V01",cad!$C$24,IF($D58="V02",cad!$D$24,cad!$E$24)))</f>
        <v/>
      </c>
      <c r="I58" t="str">
        <f>IF($A58="","",IF($D58="V01",cad!$C$32,IF($D58="V02",cad!$D$32,cad!$E$32)))</f>
        <v/>
      </c>
      <c r="J58" t="str">
        <f>IF($A58="","",IF($D58="V01",cad!$C$33,IF($D58="V02",cad!$D$33,cad!$E$33)))</f>
        <v/>
      </c>
      <c r="K58" t="str">
        <f>IF($A58="","",IF($D58="V01",cad!$C$34,IF($D58="V02",cad!$D$34,cad!$E$34)))</f>
        <v/>
      </c>
      <c r="L58" t="str">
        <f>IF($A58="","",IF($D58="V01",cad!$C$35,IF($D58="V02",cad!$D$35,cad!$E$35)))</f>
        <v/>
      </c>
      <c r="M58" t="str">
        <f>IF($A58="","",IF($D58="V01",cad!$C$36,IF($D58="V02",cad!$D$36,cad!$E$36)))</f>
        <v/>
      </c>
      <c r="N58" t="str">
        <f t="shared" si="1"/>
        <v/>
      </c>
      <c r="O58" t="str">
        <f t="shared" si="2"/>
        <v/>
      </c>
      <c r="P58" t="str">
        <f>IF($A58="","",IF($E58=1,$F58*$O58,PNL!G58))</f>
        <v/>
      </c>
      <c r="T58" t="str">
        <f t="shared" si="3"/>
        <v/>
      </c>
    </row>
    <row r="59" spans="1:20" x14ac:dyDescent="0.45">
      <c r="A59" t="str">
        <f>IF(PNL!A59="","",PNL!A59)</f>
        <v/>
      </c>
      <c r="B59" t="str">
        <f>IF(PNL!B59="","",PNL!B59)</f>
        <v/>
      </c>
      <c r="C59" t="str">
        <f>IF(PNL!C59="","",PNL!C59)</f>
        <v/>
      </c>
      <c r="D59" t="str">
        <f>IF(PNL!D59="","",PNL!D59)</f>
        <v/>
      </c>
      <c r="E59" t="str">
        <f t="shared" si="0"/>
        <v/>
      </c>
      <c r="F59" t="str">
        <f>IF($A59="","",IF($E59=1,SUMIFS(Compta!$F$1:$F$675,Compta!$A$1:$A$675,$A59,Compta!$B$1:$B$675,$B59,Compta!$C$1:$C$675,"2026"),0))</f>
        <v/>
      </c>
      <c r="G59" t="str">
        <f>IF($A59="","",IF($D59="V01",cad!$C$23,IF($D59="V02",cad!$D$23,cad!$E$23)))</f>
        <v/>
      </c>
      <c r="H59" t="str">
        <f>IF($A59="","",IF($D59="V01",cad!$C$24,IF($D59="V02",cad!$D$24,cad!$E$24)))</f>
        <v/>
      </c>
      <c r="I59" t="str">
        <f>IF($A59="","",IF($D59="V01",cad!$C$32,IF($D59="V02",cad!$D$32,cad!$E$32)))</f>
        <v/>
      </c>
      <c r="J59" t="str">
        <f>IF($A59="","",IF($D59="V01",cad!$C$33,IF($D59="V02",cad!$D$33,cad!$E$33)))</f>
        <v/>
      </c>
      <c r="K59" t="str">
        <f>IF($A59="","",IF($D59="V01",cad!$C$34,IF($D59="V02",cad!$D$34,cad!$E$34)))</f>
        <v/>
      </c>
      <c r="L59" t="str">
        <f>IF($A59="","",IF($D59="V01",cad!$C$35,IF($D59="V02",cad!$D$35,cad!$E$35)))</f>
        <v/>
      </c>
      <c r="M59" t="str">
        <f>IF($A59="","",IF($D59="V01",cad!$C$36,IF($D59="V02",cad!$D$36,cad!$E$36)))</f>
        <v/>
      </c>
      <c r="N59" t="str">
        <f t="shared" si="1"/>
        <v/>
      </c>
      <c r="O59" t="str">
        <f t="shared" si="2"/>
        <v/>
      </c>
      <c r="P59" t="str">
        <f>IF($A59="","",IF($E59=1,$F59*$O59,PNL!G59))</f>
        <v/>
      </c>
      <c r="T59" t="str">
        <f t="shared" si="3"/>
        <v/>
      </c>
    </row>
    <row r="60" spans="1:20" x14ac:dyDescent="0.45">
      <c r="A60" t="str">
        <f>IF(PNL!A60="","",PNL!A60)</f>
        <v/>
      </c>
      <c r="B60" t="str">
        <f>IF(PNL!B60="","",PNL!B60)</f>
        <v/>
      </c>
      <c r="C60" t="str">
        <f>IF(PNL!C60="","",PNL!C60)</f>
        <v/>
      </c>
      <c r="D60" t="str">
        <f>IF(PNL!D60="","",PNL!D60)</f>
        <v/>
      </c>
      <c r="E60" t="str">
        <f t="shared" si="0"/>
        <v/>
      </c>
      <c r="F60" t="str">
        <f>IF($A60="","",IF($E60=1,SUMIFS(Compta!$F$1:$F$675,Compta!$A$1:$A$675,$A60,Compta!$B$1:$B$675,$B60,Compta!$C$1:$C$675,"2026"),0))</f>
        <v/>
      </c>
      <c r="G60" t="str">
        <f>IF($A60="","",IF($D60="V01",cad!$C$23,IF($D60="V02",cad!$D$23,cad!$E$23)))</f>
        <v/>
      </c>
      <c r="H60" t="str">
        <f>IF($A60="","",IF($D60="V01",cad!$C$24,IF($D60="V02",cad!$D$24,cad!$E$24)))</f>
        <v/>
      </c>
      <c r="I60" t="str">
        <f>IF($A60="","",IF($D60="V01",cad!$C$32,IF($D60="V02",cad!$D$32,cad!$E$32)))</f>
        <v/>
      </c>
      <c r="J60" t="str">
        <f>IF($A60="","",IF($D60="V01",cad!$C$33,IF($D60="V02",cad!$D$33,cad!$E$33)))</f>
        <v/>
      </c>
      <c r="K60" t="str">
        <f>IF($A60="","",IF($D60="V01",cad!$C$34,IF($D60="V02",cad!$D$34,cad!$E$34)))</f>
        <v/>
      </c>
      <c r="L60" t="str">
        <f>IF($A60="","",IF($D60="V01",cad!$C$35,IF($D60="V02",cad!$D$35,cad!$E$35)))</f>
        <v/>
      </c>
      <c r="M60" t="str">
        <f>IF($A60="","",IF($D60="V01",cad!$C$36,IF($D60="V02",cad!$D$36,cad!$E$36)))</f>
        <v/>
      </c>
      <c r="N60" t="str">
        <f t="shared" si="1"/>
        <v/>
      </c>
      <c r="O60" t="str">
        <f t="shared" si="2"/>
        <v/>
      </c>
      <c r="P60" t="str">
        <f>IF($A60="","",IF($E60=1,$F60*$O60,PNL!G60))</f>
        <v/>
      </c>
      <c r="T60" t="str">
        <f t="shared" si="3"/>
        <v/>
      </c>
    </row>
    <row r="61" spans="1:20" x14ac:dyDescent="0.45">
      <c r="A61" t="str">
        <f>IF(PNL!A61="","",PNL!A61)</f>
        <v/>
      </c>
      <c r="B61" t="str">
        <f>IF(PNL!B61="","",PNL!B61)</f>
        <v/>
      </c>
      <c r="C61" t="str">
        <f>IF(PNL!C61="","",PNL!C61)</f>
        <v/>
      </c>
      <c r="D61" t="str">
        <f>IF(PNL!D61="","",PNL!D61)</f>
        <v/>
      </c>
      <c r="E61" t="str">
        <f t="shared" si="0"/>
        <v/>
      </c>
      <c r="F61" t="str">
        <f>IF($A61="","",IF($E61=1,SUMIFS(Compta!$F$1:$F$675,Compta!$A$1:$A$675,$A61,Compta!$B$1:$B$675,$B61,Compta!$C$1:$C$675,"2026"),0))</f>
        <v/>
      </c>
      <c r="G61" t="str">
        <f>IF($A61="","",IF($D61="V01",cad!$C$23,IF($D61="V02",cad!$D$23,cad!$E$23)))</f>
        <v/>
      </c>
      <c r="H61" t="str">
        <f>IF($A61="","",IF($D61="V01",cad!$C$24,IF($D61="V02",cad!$D$24,cad!$E$24)))</f>
        <v/>
      </c>
      <c r="I61" t="str">
        <f>IF($A61="","",IF($D61="V01",cad!$C$32,IF($D61="V02",cad!$D$32,cad!$E$32)))</f>
        <v/>
      </c>
      <c r="J61" t="str">
        <f>IF($A61="","",IF($D61="V01",cad!$C$33,IF($D61="V02",cad!$D$33,cad!$E$33)))</f>
        <v/>
      </c>
      <c r="K61" t="str">
        <f>IF($A61="","",IF($D61="V01",cad!$C$34,IF($D61="V02",cad!$D$34,cad!$E$34)))</f>
        <v/>
      </c>
      <c r="L61" t="str">
        <f>IF($A61="","",IF($D61="V01",cad!$C$35,IF($D61="V02",cad!$D$35,cad!$E$35)))</f>
        <v/>
      </c>
      <c r="M61" t="str">
        <f>IF($A61="","",IF($D61="V01",cad!$C$36,IF($D61="V02",cad!$D$36,cad!$E$36)))</f>
        <v/>
      </c>
      <c r="N61" t="str">
        <f t="shared" si="1"/>
        <v/>
      </c>
      <c r="O61" t="str">
        <f t="shared" si="2"/>
        <v/>
      </c>
      <c r="P61" t="str">
        <f>IF($A61="","",IF($E61=1,$F61*$O61,PNL!G61))</f>
        <v/>
      </c>
      <c r="T61" t="str">
        <f t="shared" si="3"/>
        <v/>
      </c>
    </row>
    <row r="62" spans="1:20" x14ac:dyDescent="0.45">
      <c r="A62" t="str">
        <f>IF(PNL!A62="","",PNL!A62)</f>
        <v/>
      </c>
      <c r="B62" t="str">
        <f>IF(PNL!B62="","",PNL!B62)</f>
        <v/>
      </c>
      <c r="C62" t="str">
        <f>IF(PNL!C62="","",PNL!C62)</f>
        <v/>
      </c>
      <c r="D62" t="str">
        <f>IF(PNL!D62="","",PNL!D62)</f>
        <v/>
      </c>
      <c r="E62" t="str">
        <f t="shared" si="0"/>
        <v/>
      </c>
      <c r="F62" t="str">
        <f>IF($A62="","",IF($E62=1,SUMIFS(Compta!$F$1:$F$675,Compta!$A$1:$A$675,$A62,Compta!$B$1:$B$675,$B62,Compta!$C$1:$C$675,"2026"),0))</f>
        <v/>
      </c>
      <c r="G62" t="str">
        <f>IF($A62="","",IF($D62="V01",cad!$C$23,IF($D62="V02",cad!$D$23,cad!$E$23)))</f>
        <v/>
      </c>
      <c r="H62" t="str">
        <f>IF($A62="","",IF($D62="V01",cad!$C$24,IF($D62="V02",cad!$D$24,cad!$E$24)))</f>
        <v/>
      </c>
      <c r="I62" t="str">
        <f>IF($A62="","",IF($D62="V01",cad!$C$32,IF($D62="V02",cad!$D$32,cad!$E$32)))</f>
        <v/>
      </c>
      <c r="J62" t="str">
        <f>IF($A62="","",IF($D62="V01",cad!$C$33,IF($D62="V02",cad!$D$33,cad!$E$33)))</f>
        <v/>
      </c>
      <c r="K62" t="str">
        <f>IF($A62="","",IF($D62="V01",cad!$C$34,IF($D62="V02",cad!$D$34,cad!$E$34)))</f>
        <v/>
      </c>
      <c r="L62" t="str">
        <f>IF($A62="","",IF($D62="V01",cad!$C$35,IF($D62="V02",cad!$D$35,cad!$E$35)))</f>
        <v/>
      </c>
      <c r="M62" t="str">
        <f>IF($A62="","",IF($D62="V01",cad!$C$36,IF($D62="V02",cad!$D$36,cad!$E$36)))</f>
        <v/>
      </c>
      <c r="N62" t="str">
        <f t="shared" si="1"/>
        <v/>
      </c>
      <c r="O62" t="str">
        <f t="shared" si="2"/>
        <v/>
      </c>
      <c r="P62" t="str">
        <f>IF($A62="","",IF($E62=1,$F62*$O62,PNL!G62))</f>
        <v/>
      </c>
      <c r="T62" t="str">
        <f t="shared" si="3"/>
        <v/>
      </c>
    </row>
    <row r="63" spans="1:20" x14ac:dyDescent="0.45">
      <c r="A63" t="str">
        <f>IF(PNL!A63="","",PNL!A63)</f>
        <v/>
      </c>
      <c r="B63" t="str">
        <f>IF(PNL!B63="","",PNL!B63)</f>
        <v/>
      </c>
      <c r="C63" t="str">
        <f>IF(PNL!C63="","",PNL!C63)</f>
        <v/>
      </c>
      <c r="D63" t="str">
        <f>IF(PNL!D63="","",PNL!D63)</f>
        <v/>
      </c>
      <c r="E63" t="str">
        <f t="shared" si="0"/>
        <v/>
      </c>
      <c r="F63" t="str">
        <f>IF($A63="","",IF($E63=1,SUMIFS(Compta!$F$1:$F$675,Compta!$A$1:$A$675,$A63,Compta!$B$1:$B$675,$B63,Compta!$C$1:$C$675,"2026"),0))</f>
        <v/>
      </c>
      <c r="G63" t="str">
        <f>IF($A63="","",IF($D63="V01",cad!$C$23,IF($D63="V02",cad!$D$23,cad!$E$23)))</f>
        <v/>
      </c>
      <c r="H63" t="str">
        <f>IF($A63="","",IF($D63="V01",cad!$C$24,IF($D63="V02",cad!$D$24,cad!$E$24)))</f>
        <v/>
      </c>
      <c r="I63" t="str">
        <f>IF($A63="","",IF($D63="V01",cad!$C$32,IF($D63="V02",cad!$D$32,cad!$E$32)))</f>
        <v/>
      </c>
      <c r="J63" t="str">
        <f>IF($A63="","",IF($D63="V01",cad!$C$33,IF($D63="V02",cad!$D$33,cad!$E$33)))</f>
        <v/>
      </c>
      <c r="K63" t="str">
        <f>IF($A63="","",IF($D63="V01",cad!$C$34,IF($D63="V02",cad!$D$34,cad!$E$34)))</f>
        <v/>
      </c>
      <c r="L63" t="str">
        <f>IF($A63="","",IF($D63="V01",cad!$C$35,IF($D63="V02",cad!$D$35,cad!$E$35)))</f>
        <v/>
      </c>
      <c r="M63" t="str">
        <f>IF($A63="","",IF($D63="V01",cad!$C$36,IF($D63="V02",cad!$D$36,cad!$E$36)))</f>
        <v/>
      </c>
      <c r="N63" t="str">
        <f t="shared" si="1"/>
        <v/>
      </c>
      <c r="O63" t="str">
        <f t="shared" si="2"/>
        <v/>
      </c>
      <c r="P63" t="str">
        <f>IF($A63="","",IF($E63=1,$F63*$O63,PNL!G63))</f>
        <v/>
      </c>
      <c r="T63" t="str">
        <f t="shared" si="3"/>
        <v/>
      </c>
    </row>
    <row r="64" spans="1:20" x14ac:dyDescent="0.45">
      <c r="A64" t="str">
        <f>IF(PNL!A64="","",PNL!A64)</f>
        <v/>
      </c>
      <c r="B64" t="str">
        <f>IF(PNL!B64="","",PNL!B64)</f>
        <v/>
      </c>
      <c r="C64" t="str">
        <f>IF(PNL!C64="","",PNL!C64)</f>
        <v/>
      </c>
      <c r="D64" t="str">
        <f>IF(PNL!D64="","",PNL!D64)</f>
        <v/>
      </c>
      <c r="E64" t="str">
        <f t="shared" si="0"/>
        <v/>
      </c>
      <c r="F64" t="str">
        <f>IF($A64="","",IF($E64=1,SUMIFS(Compta!$F$1:$F$675,Compta!$A$1:$A$675,$A64,Compta!$B$1:$B$675,$B64,Compta!$C$1:$C$675,"2026"),0))</f>
        <v/>
      </c>
      <c r="G64" t="str">
        <f>IF($A64="","",IF($D64="V01",cad!$C$23,IF($D64="V02",cad!$D$23,cad!$E$23)))</f>
        <v/>
      </c>
      <c r="H64" t="str">
        <f>IF($A64="","",IF($D64="V01",cad!$C$24,IF($D64="V02",cad!$D$24,cad!$E$24)))</f>
        <v/>
      </c>
      <c r="I64" t="str">
        <f>IF($A64="","",IF($D64="V01",cad!$C$32,IF($D64="V02",cad!$D$32,cad!$E$32)))</f>
        <v/>
      </c>
      <c r="J64" t="str">
        <f>IF($A64="","",IF($D64="V01",cad!$C$33,IF($D64="V02",cad!$D$33,cad!$E$33)))</f>
        <v/>
      </c>
      <c r="K64" t="str">
        <f>IF($A64="","",IF($D64="V01",cad!$C$34,IF($D64="V02",cad!$D$34,cad!$E$34)))</f>
        <v/>
      </c>
      <c r="L64" t="str">
        <f>IF($A64="","",IF($D64="V01",cad!$C$35,IF($D64="V02",cad!$D$35,cad!$E$35)))</f>
        <v/>
      </c>
      <c r="M64" t="str">
        <f>IF($A64="","",IF($D64="V01",cad!$C$36,IF($D64="V02",cad!$D$36,cad!$E$36)))</f>
        <v/>
      </c>
      <c r="N64" t="str">
        <f t="shared" si="1"/>
        <v/>
      </c>
      <c r="O64" t="str">
        <f t="shared" si="2"/>
        <v/>
      </c>
      <c r="P64" t="str">
        <f>IF($A64="","",IF($E64=1,$F64*$O64,PNL!G64))</f>
        <v/>
      </c>
      <c r="T64" t="str">
        <f t="shared" si="3"/>
        <v/>
      </c>
    </row>
    <row r="65" spans="1:20" x14ac:dyDescent="0.45">
      <c r="A65" t="str">
        <f>IF(PNL!A65="","",PNL!A65)</f>
        <v/>
      </c>
      <c r="B65" t="str">
        <f>IF(PNL!B65="","",PNL!B65)</f>
        <v/>
      </c>
      <c r="C65" t="str">
        <f>IF(PNL!C65="","",PNL!C65)</f>
        <v/>
      </c>
      <c r="D65" t="str">
        <f>IF(PNL!D65="","",PNL!D65)</f>
        <v/>
      </c>
      <c r="E65" t="str">
        <f t="shared" si="0"/>
        <v/>
      </c>
      <c r="F65" t="str">
        <f>IF($A65="","",IF($E65=1,SUMIFS(Compta!$F$1:$F$675,Compta!$A$1:$A$675,$A65,Compta!$B$1:$B$675,$B65,Compta!$C$1:$C$675,"2026"),0))</f>
        <v/>
      </c>
      <c r="G65" t="str">
        <f>IF($A65="","",IF($D65="V01",cad!$C$23,IF($D65="V02",cad!$D$23,cad!$E$23)))</f>
        <v/>
      </c>
      <c r="H65" t="str">
        <f>IF($A65="","",IF($D65="V01",cad!$C$24,IF($D65="V02",cad!$D$24,cad!$E$24)))</f>
        <v/>
      </c>
      <c r="I65" t="str">
        <f>IF($A65="","",IF($D65="V01",cad!$C$32,IF($D65="V02",cad!$D$32,cad!$E$32)))</f>
        <v/>
      </c>
      <c r="J65" t="str">
        <f>IF($A65="","",IF($D65="V01",cad!$C$33,IF($D65="V02",cad!$D$33,cad!$E$33)))</f>
        <v/>
      </c>
      <c r="K65" t="str">
        <f>IF($A65="","",IF($D65="V01",cad!$C$34,IF($D65="V02",cad!$D$34,cad!$E$34)))</f>
        <v/>
      </c>
      <c r="L65" t="str">
        <f>IF($A65="","",IF($D65="V01",cad!$C$35,IF($D65="V02",cad!$D$35,cad!$E$35)))</f>
        <v/>
      </c>
      <c r="M65" t="str">
        <f>IF($A65="","",IF($D65="V01",cad!$C$36,IF($D65="V02",cad!$D$36,cad!$E$36)))</f>
        <v/>
      </c>
      <c r="N65" t="str">
        <f t="shared" si="1"/>
        <v/>
      </c>
      <c r="O65" t="str">
        <f t="shared" si="2"/>
        <v/>
      </c>
      <c r="P65" t="str">
        <f>IF($A65="","",IF($E65=1,$F65*$O65,PNL!G65))</f>
        <v/>
      </c>
      <c r="T65" t="str">
        <f t="shared" si="3"/>
        <v/>
      </c>
    </row>
    <row r="66" spans="1:20" x14ac:dyDescent="0.45">
      <c r="A66" t="str">
        <f>IF(PNL!A66="","",PNL!A66)</f>
        <v/>
      </c>
      <c r="B66" t="str">
        <f>IF(PNL!B66="","",PNL!B66)</f>
        <v/>
      </c>
      <c r="C66" t="str">
        <f>IF(PNL!C66="","",PNL!C66)</f>
        <v/>
      </c>
      <c r="D66" t="str">
        <f>IF(PNL!D66="","",PNL!D66)</f>
        <v/>
      </c>
      <c r="E66" t="str">
        <f t="shared" ref="E66:E129" si="4">IF($A66="","",IF(AND($C66="2027",OR($D66="V01",$D66="V02",$D66="V03")),1,0))</f>
        <v/>
      </c>
      <c r="F66" t="str">
        <f>IF($A66="","",IF($E66=1,SUMIFS(Compta!$F$1:$F$675,Compta!$A$1:$A$675,$A66,Compta!$B$1:$B$675,$B66,Compta!$C$1:$C$675,"2026"),0))</f>
        <v/>
      </c>
      <c r="G66" t="str">
        <f>IF($A66="","",IF($D66="V01",cad!$C$23,IF($D66="V02",cad!$D$23,cad!$E$23)))</f>
        <v/>
      </c>
      <c r="H66" t="str">
        <f>IF($A66="","",IF($D66="V01",cad!$C$24,IF($D66="V02",cad!$D$24,cad!$E$24)))</f>
        <v/>
      </c>
      <c r="I66" t="str">
        <f>IF($A66="","",IF($D66="V01",cad!$C$32,IF($D66="V02",cad!$D$32,cad!$E$32)))</f>
        <v/>
      </c>
      <c r="J66" t="str">
        <f>IF($A66="","",IF($D66="V01",cad!$C$33,IF($D66="V02",cad!$D$33,cad!$E$33)))</f>
        <v/>
      </c>
      <c r="K66" t="str">
        <f>IF($A66="","",IF($D66="V01",cad!$C$34,IF($D66="V02",cad!$D$34,cad!$E$34)))</f>
        <v/>
      </c>
      <c r="L66" t="str">
        <f>IF($A66="","",IF($D66="V01",cad!$C$35,IF($D66="V02",cad!$D$35,cad!$E$35)))</f>
        <v/>
      </c>
      <c r="M66" t="str">
        <f>IF($A66="","",IF($D66="V01",cad!$C$36,IF($D66="V02",cad!$D$36,cad!$E$36)))</f>
        <v/>
      </c>
      <c r="N66" t="str">
        <f t="shared" ref="N66:N129" si="5">IF($A66="","",IF($D66="V01",$R$2,IF($D66="V02",$R$3,$R$4)))</f>
        <v/>
      </c>
      <c r="O66" t="str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 t="str">
        <f>IF($A66="","",IF($E66=1,$F66*$O66,PNL!G66))</f>
        <v/>
      </c>
      <c r="T66" t="str">
        <f t="shared" ref="T66:T129" si="7">IF($A66="","",IF($E66=1,IF(OR($B66="7062",$B66="706",$B66="708"),$P66,IF(AND(LEFT($B66,1)="6",$B66&lt;&gt;"6811"),-$P66,0)),0))</f>
        <v/>
      </c>
    </row>
    <row r="67" spans="1:20" x14ac:dyDescent="0.45">
      <c r="A67" t="str">
        <f>IF(PNL!A67="","",PNL!A67)</f>
        <v/>
      </c>
      <c r="B67" t="str">
        <f>IF(PNL!B67="","",PNL!B67)</f>
        <v/>
      </c>
      <c r="C67" t="str">
        <f>IF(PNL!C67="","",PNL!C67)</f>
        <v/>
      </c>
      <c r="D67" t="str">
        <f>IF(PNL!D67="","",PNL!D67)</f>
        <v/>
      </c>
      <c r="E67" t="str">
        <f t="shared" si="4"/>
        <v/>
      </c>
      <c r="F67" t="str">
        <f>IF($A67="","",IF($E67=1,SUMIFS(Compta!$F$1:$F$675,Compta!$A$1:$A$675,$A67,Compta!$B$1:$B$675,$B67,Compta!$C$1:$C$675,"2026"),0))</f>
        <v/>
      </c>
      <c r="G67" t="str">
        <f>IF($A67="","",IF($D67="V01",cad!$C$23,IF($D67="V02",cad!$D$23,cad!$E$23)))</f>
        <v/>
      </c>
      <c r="H67" t="str">
        <f>IF($A67="","",IF($D67="V01",cad!$C$24,IF($D67="V02",cad!$D$24,cad!$E$24)))</f>
        <v/>
      </c>
      <c r="I67" t="str">
        <f>IF($A67="","",IF($D67="V01",cad!$C$32,IF($D67="V02",cad!$D$32,cad!$E$32)))</f>
        <v/>
      </c>
      <c r="J67" t="str">
        <f>IF($A67="","",IF($D67="V01",cad!$C$33,IF($D67="V02",cad!$D$33,cad!$E$33)))</f>
        <v/>
      </c>
      <c r="K67" t="str">
        <f>IF($A67="","",IF($D67="V01",cad!$C$34,IF($D67="V02",cad!$D$34,cad!$E$34)))</f>
        <v/>
      </c>
      <c r="L67" t="str">
        <f>IF($A67="","",IF($D67="V01",cad!$C$35,IF($D67="V02",cad!$D$35,cad!$E$35)))</f>
        <v/>
      </c>
      <c r="M67" t="str">
        <f>IF($A67="","",IF($D67="V01",cad!$C$36,IF($D67="V02",cad!$D$36,cad!$E$36)))</f>
        <v/>
      </c>
      <c r="N67" t="str">
        <f t="shared" si="5"/>
        <v/>
      </c>
      <c r="O67" t="str">
        <f t="shared" si="6"/>
        <v/>
      </c>
      <c r="P67" t="str">
        <f>IF($A67="","",IF($E67=1,$F67*$O67,PNL!G67))</f>
        <v/>
      </c>
      <c r="T67" t="str">
        <f t="shared" si="7"/>
        <v/>
      </c>
    </row>
    <row r="68" spans="1:20" x14ac:dyDescent="0.45">
      <c r="A68" t="str">
        <f>IF(PNL!A68="","",PNL!A68)</f>
        <v/>
      </c>
      <c r="B68" t="str">
        <f>IF(PNL!B68="","",PNL!B68)</f>
        <v/>
      </c>
      <c r="C68" t="str">
        <f>IF(PNL!C68="","",PNL!C68)</f>
        <v/>
      </c>
      <c r="D68" t="str">
        <f>IF(PNL!D68="","",PNL!D68)</f>
        <v/>
      </c>
      <c r="E68" t="str">
        <f t="shared" si="4"/>
        <v/>
      </c>
      <c r="F68" t="str">
        <f>IF($A68="","",IF($E68=1,SUMIFS(Compta!$F$1:$F$675,Compta!$A$1:$A$675,$A68,Compta!$B$1:$B$675,$B68,Compta!$C$1:$C$675,"2026"),0))</f>
        <v/>
      </c>
      <c r="G68" t="str">
        <f>IF($A68="","",IF($D68="V01",cad!$C$23,IF($D68="V02",cad!$D$23,cad!$E$23)))</f>
        <v/>
      </c>
      <c r="H68" t="str">
        <f>IF($A68="","",IF($D68="V01",cad!$C$24,IF($D68="V02",cad!$D$24,cad!$E$24)))</f>
        <v/>
      </c>
      <c r="I68" t="str">
        <f>IF($A68="","",IF($D68="V01",cad!$C$32,IF($D68="V02",cad!$D$32,cad!$E$32)))</f>
        <v/>
      </c>
      <c r="J68" t="str">
        <f>IF($A68="","",IF($D68="V01",cad!$C$33,IF($D68="V02",cad!$D$33,cad!$E$33)))</f>
        <v/>
      </c>
      <c r="K68" t="str">
        <f>IF($A68="","",IF($D68="V01",cad!$C$34,IF($D68="V02",cad!$D$34,cad!$E$34)))</f>
        <v/>
      </c>
      <c r="L68" t="str">
        <f>IF($A68="","",IF($D68="V01",cad!$C$35,IF($D68="V02",cad!$D$35,cad!$E$35)))</f>
        <v/>
      </c>
      <c r="M68" t="str">
        <f>IF($A68="","",IF($D68="V01",cad!$C$36,IF($D68="V02",cad!$D$36,cad!$E$36)))</f>
        <v/>
      </c>
      <c r="N68" t="str">
        <f t="shared" si="5"/>
        <v/>
      </c>
      <c r="O68" t="str">
        <f t="shared" si="6"/>
        <v/>
      </c>
      <c r="P68" t="str">
        <f>IF($A68="","",IF($E68=1,$F68*$O68,PNL!G68))</f>
        <v/>
      </c>
      <c r="T68" t="str">
        <f t="shared" si="7"/>
        <v/>
      </c>
    </row>
    <row r="69" spans="1:20" x14ac:dyDescent="0.45">
      <c r="A69" t="str">
        <f>IF(PNL!A69="","",PNL!A69)</f>
        <v/>
      </c>
      <c r="B69" t="str">
        <f>IF(PNL!B69="","",PNL!B69)</f>
        <v/>
      </c>
      <c r="C69" t="str">
        <f>IF(PNL!C69="","",PNL!C69)</f>
        <v/>
      </c>
      <c r="D69" t="str">
        <f>IF(PNL!D69="","",PNL!D69)</f>
        <v/>
      </c>
      <c r="E69" t="str">
        <f t="shared" si="4"/>
        <v/>
      </c>
      <c r="F69" t="str">
        <f>IF($A69="","",IF($E69=1,SUMIFS(Compta!$F$1:$F$675,Compta!$A$1:$A$675,$A69,Compta!$B$1:$B$675,$B69,Compta!$C$1:$C$675,"2026"),0))</f>
        <v/>
      </c>
      <c r="G69" t="str">
        <f>IF($A69="","",IF($D69="V01",cad!$C$23,IF($D69="V02",cad!$D$23,cad!$E$23)))</f>
        <v/>
      </c>
      <c r="H69" t="str">
        <f>IF($A69="","",IF($D69="V01",cad!$C$24,IF($D69="V02",cad!$D$24,cad!$E$24)))</f>
        <v/>
      </c>
      <c r="I69" t="str">
        <f>IF($A69="","",IF($D69="V01",cad!$C$32,IF($D69="V02",cad!$D$32,cad!$E$32)))</f>
        <v/>
      </c>
      <c r="J69" t="str">
        <f>IF($A69="","",IF($D69="V01",cad!$C$33,IF($D69="V02",cad!$D$33,cad!$E$33)))</f>
        <v/>
      </c>
      <c r="K69" t="str">
        <f>IF($A69="","",IF($D69="V01",cad!$C$34,IF($D69="V02",cad!$D$34,cad!$E$34)))</f>
        <v/>
      </c>
      <c r="L69" t="str">
        <f>IF($A69="","",IF($D69="V01",cad!$C$35,IF($D69="V02",cad!$D$35,cad!$E$35)))</f>
        <v/>
      </c>
      <c r="M69" t="str">
        <f>IF($A69="","",IF($D69="V01",cad!$C$36,IF($D69="V02",cad!$D$36,cad!$E$36)))</f>
        <v/>
      </c>
      <c r="N69" t="str">
        <f t="shared" si="5"/>
        <v/>
      </c>
      <c r="O69" t="str">
        <f t="shared" si="6"/>
        <v/>
      </c>
      <c r="P69" t="str">
        <f>IF($A69="","",IF($E69=1,$F69*$O69,PNL!G69))</f>
        <v/>
      </c>
      <c r="T69" t="str">
        <f t="shared" si="7"/>
        <v/>
      </c>
    </row>
    <row r="70" spans="1:20" x14ac:dyDescent="0.45">
      <c r="A70" t="str">
        <f>IF(PNL!A70="","",PNL!A70)</f>
        <v/>
      </c>
      <c r="B70" t="str">
        <f>IF(PNL!B70="","",PNL!B70)</f>
        <v/>
      </c>
      <c r="C70" t="str">
        <f>IF(PNL!C70="","",PNL!C70)</f>
        <v/>
      </c>
      <c r="D70" t="str">
        <f>IF(PNL!D70="","",PNL!D70)</f>
        <v/>
      </c>
      <c r="E70" t="str">
        <f t="shared" si="4"/>
        <v/>
      </c>
      <c r="F70" t="str">
        <f>IF($A70="","",IF($E70=1,SUMIFS(Compta!$F$1:$F$675,Compta!$A$1:$A$675,$A70,Compta!$B$1:$B$675,$B70,Compta!$C$1:$C$675,"2026"),0))</f>
        <v/>
      </c>
      <c r="G70" t="str">
        <f>IF($A70="","",IF($D70="V01",cad!$C$23,IF($D70="V02",cad!$D$23,cad!$E$23)))</f>
        <v/>
      </c>
      <c r="H70" t="str">
        <f>IF($A70="","",IF($D70="V01",cad!$C$24,IF($D70="V02",cad!$D$24,cad!$E$24)))</f>
        <v/>
      </c>
      <c r="I70" t="str">
        <f>IF($A70="","",IF($D70="V01",cad!$C$32,IF($D70="V02",cad!$D$32,cad!$E$32)))</f>
        <v/>
      </c>
      <c r="J70" t="str">
        <f>IF($A70="","",IF($D70="V01",cad!$C$33,IF($D70="V02",cad!$D$33,cad!$E$33)))</f>
        <v/>
      </c>
      <c r="K70" t="str">
        <f>IF($A70="","",IF($D70="V01",cad!$C$34,IF($D70="V02",cad!$D$34,cad!$E$34)))</f>
        <v/>
      </c>
      <c r="L70" t="str">
        <f>IF($A70="","",IF($D70="V01",cad!$C$35,IF($D70="V02",cad!$D$35,cad!$E$35)))</f>
        <v/>
      </c>
      <c r="M70" t="str">
        <f>IF($A70="","",IF($D70="V01",cad!$C$36,IF($D70="V02",cad!$D$36,cad!$E$36)))</f>
        <v/>
      </c>
      <c r="N70" t="str">
        <f t="shared" si="5"/>
        <v/>
      </c>
      <c r="O70" t="str">
        <f t="shared" si="6"/>
        <v/>
      </c>
      <c r="P70" t="str">
        <f>IF($A70="","",IF($E70=1,$F70*$O70,PNL!G70))</f>
        <v/>
      </c>
      <c r="T70" t="str">
        <f t="shared" si="7"/>
        <v/>
      </c>
    </row>
    <row r="71" spans="1:20" x14ac:dyDescent="0.45">
      <c r="A71" t="str">
        <f>IF(PNL!A71="","",PNL!A71)</f>
        <v/>
      </c>
      <c r="B71" t="str">
        <f>IF(PNL!B71="","",PNL!B71)</f>
        <v/>
      </c>
      <c r="C71" t="str">
        <f>IF(PNL!C71="","",PNL!C71)</f>
        <v/>
      </c>
      <c r="D71" t="str">
        <f>IF(PNL!D71="","",PNL!D71)</f>
        <v/>
      </c>
      <c r="E71" t="str">
        <f t="shared" si="4"/>
        <v/>
      </c>
      <c r="F71" t="str">
        <f>IF($A71="","",IF($E71=1,SUMIFS(Compta!$F$1:$F$675,Compta!$A$1:$A$675,$A71,Compta!$B$1:$B$675,$B71,Compta!$C$1:$C$675,"2026"),0))</f>
        <v/>
      </c>
      <c r="G71" t="str">
        <f>IF($A71="","",IF($D71="V01",cad!$C$23,IF($D71="V02",cad!$D$23,cad!$E$23)))</f>
        <v/>
      </c>
      <c r="H71" t="str">
        <f>IF($A71="","",IF($D71="V01",cad!$C$24,IF($D71="V02",cad!$D$24,cad!$E$24)))</f>
        <v/>
      </c>
      <c r="I71" t="str">
        <f>IF($A71="","",IF($D71="V01",cad!$C$32,IF($D71="V02",cad!$D$32,cad!$E$32)))</f>
        <v/>
      </c>
      <c r="J71" t="str">
        <f>IF($A71="","",IF($D71="V01",cad!$C$33,IF($D71="V02",cad!$D$33,cad!$E$33)))</f>
        <v/>
      </c>
      <c r="K71" t="str">
        <f>IF($A71="","",IF($D71="V01",cad!$C$34,IF($D71="V02",cad!$D$34,cad!$E$34)))</f>
        <v/>
      </c>
      <c r="L71" t="str">
        <f>IF($A71="","",IF($D71="V01",cad!$C$35,IF($D71="V02",cad!$D$35,cad!$E$35)))</f>
        <v/>
      </c>
      <c r="M71" t="str">
        <f>IF($A71="","",IF($D71="V01",cad!$C$36,IF($D71="V02",cad!$D$36,cad!$E$36)))</f>
        <v/>
      </c>
      <c r="N71" t="str">
        <f t="shared" si="5"/>
        <v/>
      </c>
      <c r="O71" t="str">
        <f t="shared" si="6"/>
        <v/>
      </c>
      <c r="P71" t="str">
        <f>IF($A71="","",IF($E71=1,$F71*$O71,PNL!G71))</f>
        <v/>
      </c>
      <c r="T71" t="str">
        <f t="shared" si="7"/>
        <v/>
      </c>
    </row>
    <row r="72" spans="1:20" x14ac:dyDescent="0.45">
      <c r="A72" t="str">
        <f>IF(PNL!A72="","",PNL!A72)</f>
        <v/>
      </c>
      <c r="B72" t="str">
        <f>IF(PNL!B72="","",PNL!B72)</f>
        <v/>
      </c>
      <c r="C72" t="str">
        <f>IF(PNL!C72="","",PNL!C72)</f>
        <v/>
      </c>
      <c r="D72" t="str">
        <f>IF(PNL!D72="","",PNL!D72)</f>
        <v/>
      </c>
      <c r="E72" t="str">
        <f t="shared" si="4"/>
        <v/>
      </c>
      <c r="F72" t="str">
        <f>IF($A72="","",IF($E72=1,SUMIFS(Compta!$F$1:$F$675,Compta!$A$1:$A$675,$A72,Compta!$B$1:$B$675,$B72,Compta!$C$1:$C$675,"2026"),0))</f>
        <v/>
      </c>
      <c r="G72" t="str">
        <f>IF($A72="","",IF($D72="V01",cad!$C$23,IF($D72="V02",cad!$D$23,cad!$E$23)))</f>
        <v/>
      </c>
      <c r="H72" t="str">
        <f>IF($A72="","",IF($D72="V01",cad!$C$24,IF($D72="V02",cad!$D$24,cad!$E$24)))</f>
        <v/>
      </c>
      <c r="I72" t="str">
        <f>IF($A72="","",IF($D72="V01",cad!$C$32,IF($D72="V02",cad!$D$32,cad!$E$32)))</f>
        <v/>
      </c>
      <c r="J72" t="str">
        <f>IF($A72="","",IF($D72="V01",cad!$C$33,IF($D72="V02",cad!$D$33,cad!$E$33)))</f>
        <v/>
      </c>
      <c r="K72" t="str">
        <f>IF($A72="","",IF($D72="V01",cad!$C$34,IF($D72="V02",cad!$D$34,cad!$E$34)))</f>
        <v/>
      </c>
      <c r="L72" t="str">
        <f>IF($A72="","",IF($D72="V01",cad!$C$35,IF($D72="V02",cad!$D$35,cad!$E$35)))</f>
        <v/>
      </c>
      <c r="M72" t="str">
        <f>IF($A72="","",IF($D72="V01",cad!$C$36,IF($D72="V02",cad!$D$36,cad!$E$36)))</f>
        <v/>
      </c>
      <c r="N72" t="str">
        <f t="shared" si="5"/>
        <v/>
      </c>
      <c r="O72" t="str">
        <f t="shared" si="6"/>
        <v/>
      </c>
      <c r="P72" t="str">
        <f>IF($A72="","",IF($E72=1,$F72*$O72,PNL!G72))</f>
        <v/>
      </c>
      <c r="T72" t="str">
        <f t="shared" si="7"/>
        <v/>
      </c>
    </row>
    <row r="73" spans="1:20" x14ac:dyDescent="0.45">
      <c r="A73" t="str">
        <f>IF(PNL!A73="","",PNL!A73)</f>
        <v/>
      </c>
      <c r="B73" t="str">
        <f>IF(PNL!B73="","",PNL!B73)</f>
        <v/>
      </c>
      <c r="C73" t="str">
        <f>IF(PNL!C73="","",PNL!C73)</f>
        <v/>
      </c>
      <c r="D73" t="str">
        <f>IF(PNL!D73="","",PNL!D73)</f>
        <v/>
      </c>
      <c r="E73" t="str">
        <f t="shared" si="4"/>
        <v/>
      </c>
      <c r="F73" t="str">
        <f>IF($A73="","",IF($E73=1,SUMIFS(Compta!$F$1:$F$675,Compta!$A$1:$A$675,$A73,Compta!$B$1:$B$675,$B73,Compta!$C$1:$C$675,"2026"),0))</f>
        <v/>
      </c>
      <c r="G73" t="str">
        <f>IF($A73="","",IF($D73="V01",cad!$C$23,IF($D73="V02",cad!$D$23,cad!$E$23)))</f>
        <v/>
      </c>
      <c r="H73" t="str">
        <f>IF($A73="","",IF($D73="V01",cad!$C$24,IF($D73="V02",cad!$D$24,cad!$E$24)))</f>
        <v/>
      </c>
      <c r="I73" t="str">
        <f>IF($A73="","",IF($D73="V01",cad!$C$32,IF($D73="V02",cad!$D$32,cad!$E$32)))</f>
        <v/>
      </c>
      <c r="J73" t="str">
        <f>IF($A73="","",IF($D73="V01",cad!$C$33,IF($D73="V02",cad!$D$33,cad!$E$33)))</f>
        <v/>
      </c>
      <c r="K73" t="str">
        <f>IF($A73="","",IF($D73="V01",cad!$C$34,IF($D73="V02",cad!$D$34,cad!$E$34)))</f>
        <v/>
      </c>
      <c r="L73" t="str">
        <f>IF($A73="","",IF($D73="V01",cad!$C$35,IF($D73="V02",cad!$D$35,cad!$E$35)))</f>
        <v/>
      </c>
      <c r="M73" t="str">
        <f>IF($A73="","",IF($D73="V01",cad!$C$36,IF($D73="V02",cad!$D$36,cad!$E$36)))</f>
        <v/>
      </c>
      <c r="N73" t="str">
        <f t="shared" si="5"/>
        <v/>
      </c>
      <c r="O73" t="str">
        <f t="shared" si="6"/>
        <v/>
      </c>
      <c r="P73" t="str">
        <f>IF($A73="","",IF($E73=1,$F73*$O73,PNL!G73))</f>
        <v/>
      </c>
      <c r="T73" t="str">
        <f t="shared" si="7"/>
        <v/>
      </c>
    </row>
    <row r="74" spans="1:20" x14ac:dyDescent="0.45">
      <c r="A74" t="str">
        <f>IF(PNL!A74="","",PNL!A74)</f>
        <v/>
      </c>
      <c r="B74" t="str">
        <f>IF(PNL!B74="","",PNL!B74)</f>
        <v/>
      </c>
      <c r="C74" t="str">
        <f>IF(PNL!C74="","",PNL!C74)</f>
        <v/>
      </c>
      <c r="D74" t="str">
        <f>IF(PNL!D74="","",PNL!D74)</f>
        <v/>
      </c>
      <c r="E74" t="str">
        <f t="shared" si="4"/>
        <v/>
      </c>
      <c r="F74" t="str">
        <f>IF($A74="","",IF($E74=1,SUMIFS(Compta!$F$1:$F$675,Compta!$A$1:$A$675,$A74,Compta!$B$1:$B$675,$B74,Compta!$C$1:$C$675,"2026"),0))</f>
        <v/>
      </c>
      <c r="G74" t="str">
        <f>IF($A74="","",IF($D74="V01",cad!$C$23,IF($D74="V02",cad!$D$23,cad!$E$23)))</f>
        <v/>
      </c>
      <c r="H74" t="str">
        <f>IF($A74="","",IF($D74="V01",cad!$C$24,IF($D74="V02",cad!$D$24,cad!$E$24)))</f>
        <v/>
      </c>
      <c r="I74" t="str">
        <f>IF($A74="","",IF($D74="V01",cad!$C$32,IF($D74="V02",cad!$D$32,cad!$E$32)))</f>
        <v/>
      </c>
      <c r="J74" t="str">
        <f>IF($A74="","",IF($D74="V01",cad!$C$33,IF($D74="V02",cad!$D$33,cad!$E$33)))</f>
        <v/>
      </c>
      <c r="K74" t="str">
        <f>IF($A74="","",IF($D74="V01",cad!$C$34,IF($D74="V02",cad!$D$34,cad!$E$34)))</f>
        <v/>
      </c>
      <c r="L74" t="str">
        <f>IF($A74="","",IF($D74="V01",cad!$C$35,IF($D74="V02",cad!$D$35,cad!$E$35)))</f>
        <v/>
      </c>
      <c r="M74" t="str">
        <f>IF($A74="","",IF($D74="V01",cad!$C$36,IF($D74="V02",cad!$D$36,cad!$E$36)))</f>
        <v/>
      </c>
      <c r="N74" t="str">
        <f t="shared" si="5"/>
        <v/>
      </c>
      <c r="O74" t="str">
        <f t="shared" si="6"/>
        <v/>
      </c>
      <c r="P74" t="str">
        <f>IF($A74="","",IF($E74=1,$F74*$O74,PNL!G74))</f>
        <v/>
      </c>
      <c r="T74" t="str">
        <f t="shared" si="7"/>
        <v/>
      </c>
    </row>
    <row r="75" spans="1:20" x14ac:dyDescent="0.45">
      <c r="A75" t="str">
        <f>IF(PNL!A75="","",PNL!A75)</f>
        <v/>
      </c>
      <c r="B75" t="str">
        <f>IF(PNL!B75="","",PNL!B75)</f>
        <v/>
      </c>
      <c r="C75" t="str">
        <f>IF(PNL!C75="","",PNL!C75)</f>
        <v/>
      </c>
      <c r="D75" t="str">
        <f>IF(PNL!D75="","",PNL!D75)</f>
        <v/>
      </c>
      <c r="E75" t="str">
        <f t="shared" si="4"/>
        <v/>
      </c>
      <c r="F75" t="str">
        <f>IF($A75="","",IF($E75=1,SUMIFS(Compta!$F$1:$F$675,Compta!$A$1:$A$675,$A75,Compta!$B$1:$B$675,$B75,Compta!$C$1:$C$675,"2026"),0))</f>
        <v/>
      </c>
      <c r="G75" t="str">
        <f>IF($A75="","",IF($D75="V01",cad!$C$23,IF($D75="V02",cad!$D$23,cad!$E$23)))</f>
        <v/>
      </c>
      <c r="H75" t="str">
        <f>IF($A75="","",IF($D75="V01",cad!$C$24,IF($D75="V02",cad!$D$24,cad!$E$24)))</f>
        <v/>
      </c>
      <c r="I75" t="str">
        <f>IF($A75="","",IF($D75="V01",cad!$C$32,IF($D75="V02",cad!$D$32,cad!$E$32)))</f>
        <v/>
      </c>
      <c r="J75" t="str">
        <f>IF($A75="","",IF($D75="V01",cad!$C$33,IF($D75="V02",cad!$D$33,cad!$E$33)))</f>
        <v/>
      </c>
      <c r="K75" t="str">
        <f>IF($A75="","",IF($D75="V01",cad!$C$34,IF($D75="V02",cad!$D$34,cad!$E$34)))</f>
        <v/>
      </c>
      <c r="L75" t="str">
        <f>IF($A75="","",IF($D75="V01",cad!$C$35,IF($D75="V02",cad!$D$35,cad!$E$35)))</f>
        <v/>
      </c>
      <c r="M75" t="str">
        <f>IF($A75="","",IF($D75="V01",cad!$C$36,IF($D75="V02",cad!$D$36,cad!$E$36)))</f>
        <v/>
      </c>
      <c r="N75" t="str">
        <f t="shared" si="5"/>
        <v/>
      </c>
      <c r="O75" t="str">
        <f t="shared" si="6"/>
        <v/>
      </c>
      <c r="P75" t="str">
        <f>IF($A75="","",IF($E75=1,$F75*$O75,PNL!G75))</f>
        <v/>
      </c>
      <c r="T75" t="str">
        <f t="shared" si="7"/>
        <v/>
      </c>
    </row>
    <row r="76" spans="1:20" x14ac:dyDescent="0.45">
      <c r="A76" t="str">
        <f>IF(PNL!A76="","",PNL!A76)</f>
        <v/>
      </c>
      <c r="B76" t="str">
        <f>IF(PNL!B76="","",PNL!B76)</f>
        <v/>
      </c>
      <c r="C76" t="str">
        <f>IF(PNL!C76="","",PNL!C76)</f>
        <v/>
      </c>
      <c r="D76" t="str">
        <f>IF(PNL!D76="","",PNL!D76)</f>
        <v/>
      </c>
      <c r="E76" t="str">
        <f t="shared" si="4"/>
        <v/>
      </c>
      <c r="F76" t="str">
        <f>IF($A76="","",IF($E76=1,SUMIFS(Compta!$F$1:$F$675,Compta!$A$1:$A$675,$A76,Compta!$B$1:$B$675,$B76,Compta!$C$1:$C$675,"2026"),0))</f>
        <v/>
      </c>
      <c r="G76" t="str">
        <f>IF($A76="","",IF($D76="V01",cad!$C$23,IF($D76="V02",cad!$D$23,cad!$E$23)))</f>
        <v/>
      </c>
      <c r="H76" t="str">
        <f>IF($A76="","",IF($D76="V01",cad!$C$24,IF($D76="V02",cad!$D$24,cad!$E$24)))</f>
        <v/>
      </c>
      <c r="I76" t="str">
        <f>IF($A76="","",IF($D76="V01",cad!$C$32,IF($D76="V02",cad!$D$32,cad!$E$32)))</f>
        <v/>
      </c>
      <c r="J76" t="str">
        <f>IF($A76="","",IF($D76="V01",cad!$C$33,IF($D76="V02",cad!$D$33,cad!$E$33)))</f>
        <v/>
      </c>
      <c r="K76" t="str">
        <f>IF($A76="","",IF($D76="V01",cad!$C$34,IF($D76="V02",cad!$D$34,cad!$E$34)))</f>
        <v/>
      </c>
      <c r="L76" t="str">
        <f>IF($A76="","",IF($D76="V01",cad!$C$35,IF($D76="V02",cad!$D$35,cad!$E$35)))</f>
        <v/>
      </c>
      <c r="M76" t="str">
        <f>IF($A76="","",IF($D76="V01",cad!$C$36,IF($D76="V02",cad!$D$36,cad!$E$36)))</f>
        <v/>
      </c>
      <c r="N76" t="str">
        <f t="shared" si="5"/>
        <v/>
      </c>
      <c r="O76" t="str">
        <f t="shared" si="6"/>
        <v/>
      </c>
      <c r="P76" t="str">
        <f>IF($A76="","",IF($E76=1,$F76*$O76,PNL!G76))</f>
        <v/>
      </c>
      <c r="T76" t="str">
        <f t="shared" si="7"/>
        <v/>
      </c>
    </row>
    <row r="77" spans="1:20" x14ac:dyDescent="0.45">
      <c r="A77" t="str">
        <f>IF(PNL!A77="","",PNL!A77)</f>
        <v/>
      </c>
      <c r="B77" t="str">
        <f>IF(PNL!B77="","",PNL!B77)</f>
        <v/>
      </c>
      <c r="C77" t="str">
        <f>IF(PNL!C77="","",PNL!C77)</f>
        <v/>
      </c>
      <c r="D77" t="str">
        <f>IF(PNL!D77="","",PNL!D77)</f>
        <v/>
      </c>
      <c r="E77" t="str">
        <f t="shared" si="4"/>
        <v/>
      </c>
      <c r="F77" t="str">
        <f>IF($A77="","",IF($E77=1,SUMIFS(Compta!$F$1:$F$675,Compta!$A$1:$A$675,$A77,Compta!$B$1:$B$675,$B77,Compta!$C$1:$C$675,"2026"),0))</f>
        <v/>
      </c>
      <c r="G77" t="str">
        <f>IF($A77="","",IF($D77="V01",cad!$C$23,IF($D77="V02",cad!$D$23,cad!$E$23)))</f>
        <v/>
      </c>
      <c r="H77" t="str">
        <f>IF($A77="","",IF($D77="V01",cad!$C$24,IF($D77="V02",cad!$D$24,cad!$E$24)))</f>
        <v/>
      </c>
      <c r="I77" t="str">
        <f>IF($A77="","",IF($D77="V01",cad!$C$32,IF($D77="V02",cad!$D$32,cad!$E$32)))</f>
        <v/>
      </c>
      <c r="J77" t="str">
        <f>IF($A77="","",IF($D77="V01",cad!$C$33,IF($D77="V02",cad!$D$33,cad!$E$33)))</f>
        <v/>
      </c>
      <c r="K77" t="str">
        <f>IF($A77="","",IF($D77="V01",cad!$C$34,IF($D77="V02",cad!$D$34,cad!$E$34)))</f>
        <v/>
      </c>
      <c r="L77" t="str">
        <f>IF($A77="","",IF($D77="V01",cad!$C$35,IF($D77="V02",cad!$D$35,cad!$E$35)))</f>
        <v/>
      </c>
      <c r="M77" t="str">
        <f>IF($A77="","",IF($D77="V01",cad!$C$36,IF($D77="V02",cad!$D$36,cad!$E$36)))</f>
        <v/>
      </c>
      <c r="N77" t="str">
        <f t="shared" si="5"/>
        <v/>
      </c>
      <c r="O77" t="str">
        <f t="shared" si="6"/>
        <v/>
      </c>
      <c r="P77" t="str">
        <f>IF($A77="","",IF($E77=1,$F77*$O77,PNL!G77))</f>
        <v/>
      </c>
      <c r="T77" t="str">
        <f t="shared" si="7"/>
        <v/>
      </c>
    </row>
    <row r="78" spans="1:20" x14ac:dyDescent="0.45">
      <c r="A78" t="str">
        <f>IF(PNL!A78="","",PNL!A78)</f>
        <v/>
      </c>
      <c r="B78" t="str">
        <f>IF(PNL!B78="","",PNL!B78)</f>
        <v/>
      </c>
      <c r="C78" t="str">
        <f>IF(PNL!C78="","",PNL!C78)</f>
        <v/>
      </c>
      <c r="D78" t="str">
        <f>IF(PNL!D78="","",PNL!D78)</f>
        <v/>
      </c>
      <c r="E78" t="str">
        <f t="shared" si="4"/>
        <v/>
      </c>
      <c r="F78" t="str">
        <f>IF($A78="","",IF($E78=1,SUMIFS(Compta!$F$1:$F$675,Compta!$A$1:$A$675,$A78,Compta!$B$1:$B$675,$B78,Compta!$C$1:$C$675,"2026"),0))</f>
        <v/>
      </c>
      <c r="G78" t="str">
        <f>IF($A78="","",IF($D78="V01",cad!$C$23,IF($D78="V02",cad!$D$23,cad!$E$23)))</f>
        <v/>
      </c>
      <c r="H78" t="str">
        <f>IF($A78="","",IF($D78="V01",cad!$C$24,IF($D78="V02",cad!$D$24,cad!$E$24)))</f>
        <v/>
      </c>
      <c r="I78" t="str">
        <f>IF($A78="","",IF($D78="V01",cad!$C$32,IF($D78="V02",cad!$D$32,cad!$E$32)))</f>
        <v/>
      </c>
      <c r="J78" t="str">
        <f>IF($A78="","",IF($D78="V01",cad!$C$33,IF($D78="V02",cad!$D$33,cad!$E$33)))</f>
        <v/>
      </c>
      <c r="K78" t="str">
        <f>IF($A78="","",IF($D78="V01",cad!$C$34,IF($D78="V02",cad!$D$34,cad!$E$34)))</f>
        <v/>
      </c>
      <c r="L78" t="str">
        <f>IF($A78="","",IF($D78="V01",cad!$C$35,IF($D78="V02",cad!$D$35,cad!$E$35)))</f>
        <v/>
      </c>
      <c r="M78" t="str">
        <f>IF($A78="","",IF($D78="V01",cad!$C$36,IF($D78="V02",cad!$D$36,cad!$E$36)))</f>
        <v/>
      </c>
      <c r="N78" t="str">
        <f t="shared" si="5"/>
        <v/>
      </c>
      <c r="O78" t="str">
        <f t="shared" si="6"/>
        <v/>
      </c>
      <c r="P78" t="str">
        <f>IF($A78="","",IF($E78=1,$F78*$O78,PNL!G78))</f>
        <v/>
      </c>
      <c r="T78" t="str">
        <f t="shared" si="7"/>
        <v/>
      </c>
    </row>
    <row r="79" spans="1:20" x14ac:dyDescent="0.45">
      <c r="A79" t="str">
        <f>IF(PNL!A79="","",PNL!A79)</f>
        <v/>
      </c>
      <c r="B79" t="str">
        <f>IF(PNL!B79="","",PNL!B79)</f>
        <v/>
      </c>
      <c r="C79" t="str">
        <f>IF(PNL!C79="","",PNL!C79)</f>
        <v/>
      </c>
      <c r="D79" t="str">
        <f>IF(PNL!D79="","",PNL!D79)</f>
        <v/>
      </c>
      <c r="E79" t="str">
        <f t="shared" si="4"/>
        <v/>
      </c>
      <c r="F79" t="str">
        <f>IF($A79="","",IF($E79=1,SUMIFS(Compta!$F$1:$F$675,Compta!$A$1:$A$675,$A79,Compta!$B$1:$B$675,$B79,Compta!$C$1:$C$675,"2026"),0))</f>
        <v/>
      </c>
      <c r="G79" t="str">
        <f>IF($A79="","",IF($D79="V01",cad!$C$23,IF($D79="V02",cad!$D$23,cad!$E$23)))</f>
        <v/>
      </c>
      <c r="H79" t="str">
        <f>IF($A79="","",IF($D79="V01",cad!$C$24,IF($D79="V02",cad!$D$24,cad!$E$24)))</f>
        <v/>
      </c>
      <c r="I79" t="str">
        <f>IF($A79="","",IF($D79="V01",cad!$C$32,IF($D79="V02",cad!$D$32,cad!$E$32)))</f>
        <v/>
      </c>
      <c r="J79" t="str">
        <f>IF($A79="","",IF($D79="V01",cad!$C$33,IF($D79="V02",cad!$D$33,cad!$E$33)))</f>
        <v/>
      </c>
      <c r="K79" t="str">
        <f>IF($A79="","",IF($D79="V01",cad!$C$34,IF($D79="V02",cad!$D$34,cad!$E$34)))</f>
        <v/>
      </c>
      <c r="L79" t="str">
        <f>IF($A79="","",IF($D79="V01",cad!$C$35,IF($D79="V02",cad!$D$35,cad!$E$35)))</f>
        <v/>
      </c>
      <c r="M79" t="str">
        <f>IF($A79="","",IF($D79="V01",cad!$C$36,IF($D79="V02",cad!$D$36,cad!$E$36)))</f>
        <v/>
      </c>
      <c r="N79" t="str">
        <f t="shared" si="5"/>
        <v/>
      </c>
      <c r="O79" t="str">
        <f t="shared" si="6"/>
        <v/>
      </c>
      <c r="P79" t="str">
        <f>IF($A79="","",IF($E79=1,$F79*$O79,PNL!G79))</f>
        <v/>
      </c>
      <c r="T79" t="str">
        <f t="shared" si="7"/>
        <v/>
      </c>
    </row>
    <row r="80" spans="1:20" x14ac:dyDescent="0.45">
      <c r="A80" t="str">
        <f>IF(PNL!A80="","",PNL!A80)</f>
        <v/>
      </c>
      <c r="B80" t="str">
        <f>IF(PNL!B80="","",PNL!B80)</f>
        <v/>
      </c>
      <c r="C80" t="str">
        <f>IF(PNL!C80="","",PNL!C80)</f>
        <v/>
      </c>
      <c r="D80" t="str">
        <f>IF(PNL!D80="","",PNL!D80)</f>
        <v/>
      </c>
      <c r="E80" t="str">
        <f t="shared" si="4"/>
        <v/>
      </c>
      <c r="F80" t="str">
        <f>IF($A80="","",IF($E80=1,SUMIFS(Compta!$F$1:$F$675,Compta!$A$1:$A$675,$A80,Compta!$B$1:$B$675,$B80,Compta!$C$1:$C$675,"2026"),0))</f>
        <v/>
      </c>
      <c r="G80" t="str">
        <f>IF($A80="","",IF($D80="V01",cad!$C$23,IF($D80="V02",cad!$D$23,cad!$E$23)))</f>
        <v/>
      </c>
      <c r="H80" t="str">
        <f>IF($A80="","",IF($D80="V01",cad!$C$24,IF($D80="V02",cad!$D$24,cad!$E$24)))</f>
        <v/>
      </c>
      <c r="I80" t="str">
        <f>IF($A80="","",IF($D80="V01",cad!$C$32,IF($D80="V02",cad!$D$32,cad!$E$32)))</f>
        <v/>
      </c>
      <c r="J80" t="str">
        <f>IF($A80="","",IF($D80="V01",cad!$C$33,IF($D80="V02",cad!$D$33,cad!$E$33)))</f>
        <v/>
      </c>
      <c r="K80" t="str">
        <f>IF($A80="","",IF($D80="V01",cad!$C$34,IF($D80="V02",cad!$D$34,cad!$E$34)))</f>
        <v/>
      </c>
      <c r="L80" t="str">
        <f>IF($A80="","",IF($D80="V01",cad!$C$35,IF($D80="V02",cad!$D$35,cad!$E$35)))</f>
        <v/>
      </c>
      <c r="M80" t="str">
        <f>IF($A80="","",IF($D80="V01",cad!$C$36,IF($D80="V02",cad!$D$36,cad!$E$36)))</f>
        <v/>
      </c>
      <c r="N80" t="str">
        <f t="shared" si="5"/>
        <v/>
      </c>
      <c r="O80" t="str">
        <f t="shared" si="6"/>
        <v/>
      </c>
      <c r="P80" t="str">
        <f>IF($A80="","",IF($E80=1,$F80*$O80,PNL!G80))</f>
        <v/>
      </c>
      <c r="T80" t="str">
        <f t="shared" si="7"/>
        <v/>
      </c>
    </row>
    <row r="81" spans="1:20" x14ac:dyDescent="0.45">
      <c r="A81" t="str">
        <f>IF(PNL!A81="","",PNL!A81)</f>
        <v/>
      </c>
      <c r="B81" t="str">
        <f>IF(PNL!B81="","",PNL!B81)</f>
        <v/>
      </c>
      <c r="C81" t="str">
        <f>IF(PNL!C81="","",PNL!C81)</f>
        <v/>
      </c>
      <c r="D81" t="str">
        <f>IF(PNL!D81="","",PNL!D81)</f>
        <v/>
      </c>
      <c r="E81" t="str">
        <f t="shared" si="4"/>
        <v/>
      </c>
      <c r="F81" t="str">
        <f>IF($A81="","",IF($E81=1,SUMIFS(Compta!$F$1:$F$675,Compta!$A$1:$A$675,$A81,Compta!$B$1:$B$675,$B81,Compta!$C$1:$C$675,"2026"),0))</f>
        <v/>
      </c>
      <c r="G81" t="str">
        <f>IF($A81="","",IF($D81="V01",cad!$C$23,IF($D81="V02",cad!$D$23,cad!$E$23)))</f>
        <v/>
      </c>
      <c r="H81" t="str">
        <f>IF($A81="","",IF($D81="V01",cad!$C$24,IF($D81="V02",cad!$D$24,cad!$E$24)))</f>
        <v/>
      </c>
      <c r="I81" t="str">
        <f>IF($A81="","",IF($D81="V01",cad!$C$32,IF($D81="V02",cad!$D$32,cad!$E$32)))</f>
        <v/>
      </c>
      <c r="J81" t="str">
        <f>IF($A81="","",IF($D81="V01",cad!$C$33,IF($D81="V02",cad!$D$33,cad!$E$33)))</f>
        <v/>
      </c>
      <c r="K81" t="str">
        <f>IF($A81="","",IF($D81="V01",cad!$C$34,IF($D81="V02",cad!$D$34,cad!$E$34)))</f>
        <v/>
      </c>
      <c r="L81" t="str">
        <f>IF($A81="","",IF($D81="V01",cad!$C$35,IF($D81="V02",cad!$D$35,cad!$E$35)))</f>
        <v/>
      </c>
      <c r="M81" t="str">
        <f>IF($A81="","",IF($D81="V01",cad!$C$36,IF($D81="V02",cad!$D$36,cad!$E$36)))</f>
        <v/>
      </c>
      <c r="N81" t="str">
        <f t="shared" si="5"/>
        <v/>
      </c>
      <c r="O81" t="str">
        <f t="shared" si="6"/>
        <v/>
      </c>
      <c r="P81" t="str">
        <f>IF($A81="","",IF($E81=1,$F81*$O81,PNL!G81))</f>
        <v/>
      </c>
      <c r="T81" t="str">
        <f t="shared" si="7"/>
        <v/>
      </c>
    </row>
    <row r="82" spans="1:20" x14ac:dyDescent="0.45">
      <c r="A82" t="str">
        <f>IF(PNL!A82="","",PNL!A82)</f>
        <v/>
      </c>
      <c r="B82" t="str">
        <f>IF(PNL!B82="","",PNL!B82)</f>
        <v/>
      </c>
      <c r="C82" t="str">
        <f>IF(PNL!C82="","",PNL!C82)</f>
        <v/>
      </c>
      <c r="D82" t="str">
        <f>IF(PNL!D82="","",PNL!D82)</f>
        <v/>
      </c>
      <c r="E82" t="str">
        <f t="shared" si="4"/>
        <v/>
      </c>
      <c r="F82" t="str">
        <f>IF($A82="","",IF($E82=1,SUMIFS(Compta!$F$1:$F$675,Compta!$A$1:$A$675,$A82,Compta!$B$1:$B$675,$B82,Compta!$C$1:$C$675,"2026"),0))</f>
        <v/>
      </c>
      <c r="G82" t="str">
        <f>IF($A82="","",IF($D82="V01",cad!$C$23,IF($D82="V02",cad!$D$23,cad!$E$23)))</f>
        <v/>
      </c>
      <c r="H82" t="str">
        <f>IF($A82="","",IF($D82="V01",cad!$C$24,IF($D82="V02",cad!$D$24,cad!$E$24)))</f>
        <v/>
      </c>
      <c r="I82" t="str">
        <f>IF($A82="","",IF($D82="V01",cad!$C$32,IF($D82="V02",cad!$D$32,cad!$E$32)))</f>
        <v/>
      </c>
      <c r="J82" t="str">
        <f>IF($A82="","",IF($D82="V01",cad!$C$33,IF($D82="V02",cad!$D$33,cad!$E$33)))</f>
        <v/>
      </c>
      <c r="K82" t="str">
        <f>IF($A82="","",IF($D82="V01",cad!$C$34,IF($D82="V02",cad!$D$34,cad!$E$34)))</f>
        <v/>
      </c>
      <c r="L82" t="str">
        <f>IF($A82="","",IF($D82="V01",cad!$C$35,IF($D82="V02",cad!$D$35,cad!$E$35)))</f>
        <v/>
      </c>
      <c r="M82" t="str">
        <f>IF($A82="","",IF($D82="V01",cad!$C$36,IF($D82="V02",cad!$D$36,cad!$E$36)))</f>
        <v/>
      </c>
      <c r="N82" t="str">
        <f t="shared" si="5"/>
        <v/>
      </c>
      <c r="O82" t="str">
        <f t="shared" si="6"/>
        <v/>
      </c>
      <c r="P82" t="str">
        <f>IF($A82="","",IF($E82=1,$F82*$O82,PNL!G82))</f>
        <v/>
      </c>
      <c r="T82" t="str">
        <f t="shared" si="7"/>
        <v/>
      </c>
    </row>
    <row r="83" spans="1:20" x14ac:dyDescent="0.45">
      <c r="A83" t="str">
        <f>IF(PNL!A83="","",PNL!A83)</f>
        <v/>
      </c>
      <c r="B83" t="str">
        <f>IF(PNL!B83="","",PNL!B83)</f>
        <v/>
      </c>
      <c r="C83" t="str">
        <f>IF(PNL!C83="","",PNL!C83)</f>
        <v/>
      </c>
      <c r="D83" t="str">
        <f>IF(PNL!D83="","",PNL!D83)</f>
        <v/>
      </c>
      <c r="E83" t="str">
        <f t="shared" si="4"/>
        <v/>
      </c>
      <c r="F83" t="str">
        <f>IF($A83="","",IF($E83=1,SUMIFS(Compta!$F$1:$F$675,Compta!$A$1:$A$675,$A83,Compta!$B$1:$B$675,$B83,Compta!$C$1:$C$675,"2026"),0))</f>
        <v/>
      </c>
      <c r="G83" t="str">
        <f>IF($A83="","",IF($D83="V01",cad!$C$23,IF($D83="V02",cad!$D$23,cad!$E$23)))</f>
        <v/>
      </c>
      <c r="H83" t="str">
        <f>IF($A83="","",IF($D83="V01",cad!$C$24,IF($D83="V02",cad!$D$24,cad!$E$24)))</f>
        <v/>
      </c>
      <c r="I83" t="str">
        <f>IF($A83="","",IF($D83="V01",cad!$C$32,IF($D83="V02",cad!$D$32,cad!$E$32)))</f>
        <v/>
      </c>
      <c r="J83" t="str">
        <f>IF($A83="","",IF($D83="V01",cad!$C$33,IF($D83="V02",cad!$D$33,cad!$E$33)))</f>
        <v/>
      </c>
      <c r="K83" t="str">
        <f>IF($A83="","",IF($D83="V01",cad!$C$34,IF($D83="V02",cad!$D$34,cad!$E$34)))</f>
        <v/>
      </c>
      <c r="L83" t="str">
        <f>IF($A83="","",IF($D83="V01",cad!$C$35,IF($D83="V02",cad!$D$35,cad!$E$35)))</f>
        <v/>
      </c>
      <c r="M83" t="str">
        <f>IF($A83="","",IF($D83="V01",cad!$C$36,IF($D83="V02",cad!$D$36,cad!$E$36)))</f>
        <v/>
      </c>
      <c r="N83" t="str">
        <f t="shared" si="5"/>
        <v/>
      </c>
      <c r="O83" t="str">
        <f t="shared" si="6"/>
        <v/>
      </c>
      <c r="P83" t="str">
        <f>IF($A83="","",IF($E83=1,$F83*$O83,PNL!G83))</f>
        <v/>
      </c>
      <c r="T83" t="str">
        <f t="shared" si="7"/>
        <v/>
      </c>
    </row>
    <row r="84" spans="1:20" x14ac:dyDescent="0.45">
      <c r="A84" t="str">
        <f>IF(PNL!A84="","",PNL!A84)</f>
        <v/>
      </c>
      <c r="B84" t="str">
        <f>IF(PNL!B84="","",PNL!B84)</f>
        <v/>
      </c>
      <c r="C84" t="str">
        <f>IF(PNL!C84="","",PNL!C84)</f>
        <v/>
      </c>
      <c r="D84" t="str">
        <f>IF(PNL!D84="","",PNL!D84)</f>
        <v/>
      </c>
      <c r="E84" t="str">
        <f t="shared" si="4"/>
        <v/>
      </c>
      <c r="F84" t="str">
        <f>IF($A84="","",IF($E84=1,SUMIFS(Compta!$F$1:$F$675,Compta!$A$1:$A$675,$A84,Compta!$B$1:$B$675,$B84,Compta!$C$1:$C$675,"2026"),0))</f>
        <v/>
      </c>
      <c r="G84" t="str">
        <f>IF($A84="","",IF($D84="V01",cad!$C$23,IF($D84="V02",cad!$D$23,cad!$E$23)))</f>
        <v/>
      </c>
      <c r="H84" t="str">
        <f>IF($A84="","",IF($D84="V01",cad!$C$24,IF($D84="V02",cad!$D$24,cad!$E$24)))</f>
        <v/>
      </c>
      <c r="I84" t="str">
        <f>IF($A84="","",IF($D84="V01",cad!$C$32,IF($D84="V02",cad!$D$32,cad!$E$32)))</f>
        <v/>
      </c>
      <c r="J84" t="str">
        <f>IF($A84="","",IF($D84="V01",cad!$C$33,IF($D84="V02",cad!$D$33,cad!$E$33)))</f>
        <v/>
      </c>
      <c r="K84" t="str">
        <f>IF($A84="","",IF($D84="V01",cad!$C$34,IF($D84="V02",cad!$D$34,cad!$E$34)))</f>
        <v/>
      </c>
      <c r="L84" t="str">
        <f>IF($A84="","",IF($D84="V01",cad!$C$35,IF($D84="V02",cad!$D$35,cad!$E$35)))</f>
        <v/>
      </c>
      <c r="M84" t="str">
        <f>IF($A84="","",IF($D84="V01",cad!$C$36,IF($D84="V02",cad!$D$36,cad!$E$36)))</f>
        <v/>
      </c>
      <c r="N84" t="str">
        <f t="shared" si="5"/>
        <v/>
      </c>
      <c r="O84" t="str">
        <f t="shared" si="6"/>
        <v/>
      </c>
      <c r="P84" t="str">
        <f>IF($A84="","",IF($E84=1,$F84*$O84,PNL!G84))</f>
        <v/>
      </c>
      <c r="T84" t="str">
        <f t="shared" si="7"/>
        <v/>
      </c>
    </row>
    <row r="85" spans="1:20" x14ac:dyDescent="0.45">
      <c r="A85" t="str">
        <f>IF(PNL!A85="","",PNL!A85)</f>
        <v/>
      </c>
      <c r="B85" t="str">
        <f>IF(PNL!B85="","",PNL!B85)</f>
        <v/>
      </c>
      <c r="C85" t="str">
        <f>IF(PNL!C85="","",PNL!C85)</f>
        <v/>
      </c>
      <c r="D85" t="str">
        <f>IF(PNL!D85="","",PNL!D85)</f>
        <v/>
      </c>
      <c r="E85" t="str">
        <f t="shared" si="4"/>
        <v/>
      </c>
      <c r="F85" t="str">
        <f>IF($A85="","",IF($E85=1,SUMIFS(Compta!$F$1:$F$675,Compta!$A$1:$A$675,$A85,Compta!$B$1:$B$675,$B85,Compta!$C$1:$C$675,"2026"),0))</f>
        <v/>
      </c>
      <c r="G85" t="str">
        <f>IF($A85="","",IF($D85="V01",cad!$C$23,IF($D85="V02",cad!$D$23,cad!$E$23)))</f>
        <v/>
      </c>
      <c r="H85" t="str">
        <f>IF($A85="","",IF($D85="V01",cad!$C$24,IF($D85="V02",cad!$D$24,cad!$E$24)))</f>
        <v/>
      </c>
      <c r="I85" t="str">
        <f>IF($A85="","",IF($D85="V01",cad!$C$32,IF($D85="V02",cad!$D$32,cad!$E$32)))</f>
        <v/>
      </c>
      <c r="J85" t="str">
        <f>IF($A85="","",IF($D85="V01",cad!$C$33,IF($D85="V02",cad!$D$33,cad!$E$33)))</f>
        <v/>
      </c>
      <c r="K85" t="str">
        <f>IF($A85="","",IF($D85="V01",cad!$C$34,IF($D85="V02",cad!$D$34,cad!$E$34)))</f>
        <v/>
      </c>
      <c r="L85" t="str">
        <f>IF($A85="","",IF($D85="V01",cad!$C$35,IF($D85="V02",cad!$D$35,cad!$E$35)))</f>
        <v/>
      </c>
      <c r="M85" t="str">
        <f>IF($A85="","",IF($D85="V01",cad!$C$36,IF($D85="V02",cad!$D$36,cad!$E$36)))</f>
        <v/>
      </c>
      <c r="N85" t="str">
        <f t="shared" si="5"/>
        <v/>
      </c>
      <c r="O85" t="str">
        <f t="shared" si="6"/>
        <v/>
      </c>
      <c r="P85" t="str">
        <f>IF($A85="","",IF($E85=1,$F85*$O85,PNL!G85))</f>
        <v/>
      </c>
      <c r="T85" t="str">
        <f t="shared" si="7"/>
        <v/>
      </c>
    </row>
    <row r="86" spans="1:20" x14ac:dyDescent="0.45">
      <c r="A86" t="str">
        <f>IF(PNL!A86="","",PNL!A86)</f>
        <v/>
      </c>
      <c r="B86" t="str">
        <f>IF(PNL!B86="","",PNL!B86)</f>
        <v/>
      </c>
      <c r="C86" t="str">
        <f>IF(PNL!C86="","",PNL!C86)</f>
        <v/>
      </c>
      <c r="D86" t="str">
        <f>IF(PNL!D86="","",PNL!D86)</f>
        <v/>
      </c>
      <c r="E86" t="str">
        <f t="shared" si="4"/>
        <v/>
      </c>
      <c r="F86" t="str">
        <f>IF($A86="","",IF($E86=1,SUMIFS(Compta!$F$1:$F$675,Compta!$A$1:$A$675,$A86,Compta!$B$1:$B$675,$B86,Compta!$C$1:$C$675,"2026"),0))</f>
        <v/>
      </c>
      <c r="G86" t="str">
        <f>IF($A86="","",IF($D86="V01",cad!$C$23,IF($D86="V02",cad!$D$23,cad!$E$23)))</f>
        <v/>
      </c>
      <c r="H86" t="str">
        <f>IF($A86="","",IF($D86="V01",cad!$C$24,IF($D86="V02",cad!$D$24,cad!$E$24)))</f>
        <v/>
      </c>
      <c r="I86" t="str">
        <f>IF($A86="","",IF($D86="V01",cad!$C$32,IF($D86="V02",cad!$D$32,cad!$E$32)))</f>
        <v/>
      </c>
      <c r="J86" t="str">
        <f>IF($A86="","",IF($D86="V01",cad!$C$33,IF($D86="V02",cad!$D$33,cad!$E$33)))</f>
        <v/>
      </c>
      <c r="K86" t="str">
        <f>IF($A86="","",IF($D86="V01",cad!$C$34,IF($D86="V02",cad!$D$34,cad!$E$34)))</f>
        <v/>
      </c>
      <c r="L86" t="str">
        <f>IF($A86="","",IF($D86="V01",cad!$C$35,IF($D86="V02",cad!$D$35,cad!$E$35)))</f>
        <v/>
      </c>
      <c r="M86" t="str">
        <f>IF($A86="","",IF($D86="V01",cad!$C$36,IF($D86="V02",cad!$D$36,cad!$E$36)))</f>
        <v/>
      </c>
      <c r="N86" t="str">
        <f t="shared" si="5"/>
        <v/>
      </c>
      <c r="O86" t="str">
        <f t="shared" si="6"/>
        <v/>
      </c>
      <c r="P86" t="str">
        <f>IF($A86="","",IF($E86=1,$F86*$O86,PNL!G86))</f>
        <v/>
      </c>
      <c r="T86" t="str">
        <f t="shared" si="7"/>
        <v/>
      </c>
    </row>
    <row r="87" spans="1:20" x14ac:dyDescent="0.45">
      <c r="A87" t="str">
        <f>IF(PNL!A87="","",PNL!A87)</f>
        <v/>
      </c>
      <c r="B87" t="str">
        <f>IF(PNL!B87="","",PNL!B87)</f>
        <v/>
      </c>
      <c r="C87" t="str">
        <f>IF(PNL!C87="","",PNL!C87)</f>
        <v/>
      </c>
      <c r="D87" t="str">
        <f>IF(PNL!D87="","",PNL!D87)</f>
        <v/>
      </c>
      <c r="E87" t="str">
        <f t="shared" si="4"/>
        <v/>
      </c>
      <c r="F87" t="str">
        <f>IF($A87="","",IF($E87=1,SUMIFS(Compta!$F$1:$F$675,Compta!$A$1:$A$675,$A87,Compta!$B$1:$B$675,$B87,Compta!$C$1:$C$675,"2026"),0))</f>
        <v/>
      </c>
      <c r="G87" t="str">
        <f>IF($A87="","",IF($D87="V01",cad!$C$23,IF($D87="V02",cad!$D$23,cad!$E$23)))</f>
        <v/>
      </c>
      <c r="H87" t="str">
        <f>IF($A87="","",IF($D87="V01",cad!$C$24,IF($D87="V02",cad!$D$24,cad!$E$24)))</f>
        <v/>
      </c>
      <c r="I87" t="str">
        <f>IF($A87="","",IF($D87="V01",cad!$C$32,IF($D87="V02",cad!$D$32,cad!$E$32)))</f>
        <v/>
      </c>
      <c r="J87" t="str">
        <f>IF($A87="","",IF($D87="V01",cad!$C$33,IF($D87="V02",cad!$D$33,cad!$E$33)))</f>
        <v/>
      </c>
      <c r="K87" t="str">
        <f>IF($A87="","",IF($D87="V01",cad!$C$34,IF($D87="V02",cad!$D$34,cad!$E$34)))</f>
        <v/>
      </c>
      <c r="L87" t="str">
        <f>IF($A87="","",IF($D87="V01",cad!$C$35,IF($D87="V02",cad!$D$35,cad!$E$35)))</f>
        <v/>
      </c>
      <c r="M87" t="str">
        <f>IF($A87="","",IF($D87="V01",cad!$C$36,IF($D87="V02",cad!$D$36,cad!$E$36)))</f>
        <v/>
      </c>
      <c r="N87" t="str">
        <f t="shared" si="5"/>
        <v/>
      </c>
      <c r="O87" t="str">
        <f t="shared" si="6"/>
        <v/>
      </c>
      <c r="P87" t="str">
        <f>IF($A87="","",IF($E87=1,$F87*$O87,PNL!G87))</f>
        <v/>
      </c>
      <c r="T87" t="str">
        <f t="shared" si="7"/>
        <v/>
      </c>
    </row>
    <row r="88" spans="1:20" x14ac:dyDescent="0.45">
      <c r="A88" t="str">
        <f>IF(PNL!A88="","",PNL!A88)</f>
        <v/>
      </c>
      <c r="B88" t="str">
        <f>IF(PNL!B88="","",PNL!B88)</f>
        <v/>
      </c>
      <c r="C88" t="str">
        <f>IF(PNL!C88="","",PNL!C88)</f>
        <v/>
      </c>
      <c r="D88" t="str">
        <f>IF(PNL!D88="","",PNL!D88)</f>
        <v/>
      </c>
      <c r="E88" t="str">
        <f t="shared" si="4"/>
        <v/>
      </c>
      <c r="F88" t="str">
        <f>IF($A88="","",IF($E88=1,SUMIFS(Compta!$F$1:$F$675,Compta!$A$1:$A$675,$A88,Compta!$B$1:$B$675,$B88,Compta!$C$1:$C$675,"2026"),0))</f>
        <v/>
      </c>
      <c r="G88" t="str">
        <f>IF($A88="","",IF($D88="V01",cad!$C$23,IF($D88="V02",cad!$D$23,cad!$E$23)))</f>
        <v/>
      </c>
      <c r="H88" t="str">
        <f>IF($A88="","",IF($D88="V01",cad!$C$24,IF($D88="V02",cad!$D$24,cad!$E$24)))</f>
        <v/>
      </c>
      <c r="I88" t="str">
        <f>IF($A88="","",IF($D88="V01",cad!$C$32,IF($D88="V02",cad!$D$32,cad!$E$32)))</f>
        <v/>
      </c>
      <c r="J88" t="str">
        <f>IF($A88="","",IF($D88="V01",cad!$C$33,IF($D88="V02",cad!$D$33,cad!$E$33)))</f>
        <v/>
      </c>
      <c r="K88" t="str">
        <f>IF($A88="","",IF($D88="V01",cad!$C$34,IF($D88="V02",cad!$D$34,cad!$E$34)))</f>
        <v/>
      </c>
      <c r="L88" t="str">
        <f>IF($A88="","",IF($D88="V01",cad!$C$35,IF($D88="V02",cad!$D$35,cad!$E$35)))</f>
        <v/>
      </c>
      <c r="M88" t="str">
        <f>IF($A88="","",IF($D88="V01",cad!$C$36,IF($D88="V02",cad!$D$36,cad!$E$36)))</f>
        <v/>
      </c>
      <c r="N88" t="str">
        <f t="shared" si="5"/>
        <v/>
      </c>
      <c r="O88" t="str">
        <f t="shared" si="6"/>
        <v/>
      </c>
      <c r="P88" t="str">
        <f>IF($A88="","",IF($E88=1,$F88*$O88,PNL!G88))</f>
        <v/>
      </c>
      <c r="T88" t="str">
        <f t="shared" si="7"/>
        <v/>
      </c>
    </row>
    <row r="89" spans="1:20" x14ac:dyDescent="0.45">
      <c r="A89" t="str">
        <f>IF(PNL!A89="","",PNL!A89)</f>
        <v/>
      </c>
      <c r="B89" t="str">
        <f>IF(PNL!B89="","",PNL!B89)</f>
        <v/>
      </c>
      <c r="C89" t="str">
        <f>IF(PNL!C89="","",PNL!C89)</f>
        <v/>
      </c>
      <c r="D89" t="str">
        <f>IF(PNL!D89="","",PNL!D89)</f>
        <v/>
      </c>
      <c r="E89" t="str">
        <f t="shared" si="4"/>
        <v/>
      </c>
      <c r="F89" t="str">
        <f>IF($A89="","",IF($E89=1,SUMIFS(Compta!$F$1:$F$675,Compta!$A$1:$A$675,$A89,Compta!$B$1:$B$675,$B89,Compta!$C$1:$C$675,"2026"),0))</f>
        <v/>
      </c>
      <c r="G89" t="str">
        <f>IF($A89="","",IF($D89="V01",cad!$C$23,IF($D89="V02",cad!$D$23,cad!$E$23)))</f>
        <v/>
      </c>
      <c r="H89" t="str">
        <f>IF($A89="","",IF($D89="V01",cad!$C$24,IF($D89="V02",cad!$D$24,cad!$E$24)))</f>
        <v/>
      </c>
      <c r="I89" t="str">
        <f>IF($A89="","",IF($D89="V01",cad!$C$32,IF($D89="V02",cad!$D$32,cad!$E$32)))</f>
        <v/>
      </c>
      <c r="J89" t="str">
        <f>IF($A89="","",IF($D89="V01",cad!$C$33,IF($D89="V02",cad!$D$33,cad!$E$33)))</f>
        <v/>
      </c>
      <c r="K89" t="str">
        <f>IF($A89="","",IF($D89="V01",cad!$C$34,IF($D89="V02",cad!$D$34,cad!$E$34)))</f>
        <v/>
      </c>
      <c r="L89" t="str">
        <f>IF($A89="","",IF($D89="V01",cad!$C$35,IF($D89="V02",cad!$D$35,cad!$E$35)))</f>
        <v/>
      </c>
      <c r="M89" t="str">
        <f>IF($A89="","",IF($D89="V01",cad!$C$36,IF($D89="V02",cad!$D$36,cad!$E$36)))</f>
        <v/>
      </c>
      <c r="N89" t="str">
        <f t="shared" si="5"/>
        <v/>
      </c>
      <c r="O89" t="str">
        <f t="shared" si="6"/>
        <v/>
      </c>
      <c r="P89" t="str">
        <f>IF($A89="","",IF($E89=1,$F89*$O89,PNL!G89))</f>
        <v/>
      </c>
      <c r="T89" t="str">
        <f t="shared" si="7"/>
        <v/>
      </c>
    </row>
    <row r="90" spans="1:20" x14ac:dyDescent="0.45">
      <c r="A90" t="str">
        <f>IF(PNL!A90="","",PNL!A90)</f>
        <v/>
      </c>
      <c r="B90" t="str">
        <f>IF(PNL!B90="","",PNL!B90)</f>
        <v/>
      </c>
      <c r="C90" t="str">
        <f>IF(PNL!C90="","",PNL!C90)</f>
        <v/>
      </c>
      <c r="D90" t="str">
        <f>IF(PNL!D90="","",PNL!D90)</f>
        <v/>
      </c>
      <c r="E90" t="str">
        <f t="shared" si="4"/>
        <v/>
      </c>
      <c r="F90" t="str">
        <f>IF($A90="","",IF($E90=1,SUMIFS(Compta!$F$1:$F$675,Compta!$A$1:$A$675,$A90,Compta!$B$1:$B$675,$B90,Compta!$C$1:$C$675,"2026"),0))</f>
        <v/>
      </c>
      <c r="G90" t="str">
        <f>IF($A90="","",IF($D90="V01",cad!$C$23,IF($D90="V02",cad!$D$23,cad!$E$23)))</f>
        <v/>
      </c>
      <c r="H90" t="str">
        <f>IF($A90="","",IF($D90="V01",cad!$C$24,IF($D90="V02",cad!$D$24,cad!$E$24)))</f>
        <v/>
      </c>
      <c r="I90" t="str">
        <f>IF($A90="","",IF($D90="V01",cad!$C$32,IF($D90="V02",cad!$D$32,cad!$E$32)))</f>
        <v/>
      </c>
      <c r="J90" t="str">
        <f>IF($A90="","",IF($D90="V01",cad!$C$33,IF($D90="V02",cad!$D$33,cad!$E$33)))</f>
        <v/>
      </c>
      <c r="K90" t="str">
        <f>IF($A90="","",IF($D90="V01",cad!$C$34,IF($D90="V02",cad!$D$34,cad!$E$34)))</f>
        <v/>
      </c>
      <c r="L90" t="str">
        <f>IF($A90="","",IF($D90="V01",cad!$C$35,IF($D90="V02",cad!$D$35,cad!$E$35)))</f>
        <v/>
      </c>
      <c r="M90" t="str">
        <f>IF($A90="","",IF($D90="V01",cad!$C$36,IF($D90="V02",cad!$D$36,cad!$E$36)))</f>
        <v/>
      </c>
      <c r="N90" t="str">
        <f t="shared" si="5"/>
        <v/>
      </c>
      <c r="O90" t="str">
        <f t="shared" si="6"/>
        <v/>
      </c>
      <c r="P90" t="str">
        <f>IF($A90="","",IF($E90=1,$F90*$O90,PNL!G90))</f>
        <v/>
      </c>
      <c r="T90" t="str">
        <f t="shared" si="7"/>
        <v/>
      </c>
    </row>
    <row r="91" spans="1:20" x14ac:dyDescent="0.45">
      <c r="A91" t="str">
        <f>IF(PNL!A91="","",PNL!A91)</f>
        <v/>
      </c>
      <c r="B91" t="str">
        <f>IF(PNL!B91="","",PNL!B91)</f>
        <v/>
      </c>
      <c r="C91" t="str">
        <f>IF(PNL!C91="","",PNL!C91)</f>
        <v/>
      </c>
      <c r="D91" t="str">
        <f>IF(PNL!D91="","",PNL!D91)</f>
        <v/>
      </c>
      <c r="E91" t="str">
        <f t="shared" si="4"/>
        <v/>
      </c>
      <c r="F91" t="str">
        <f>IF($A91="","",IF($E91=1,SUMIFS(Compta!$F$1:$F$675,Compta!$A$1:$A$675,$A91,Compta!$B$1:$B$675,$B91,Compta!$C$1:$C$675,"2026"),0))</f>
        <v/>
      </c>
      <c r="G91" t="str">
        <f>IF($A91="","",IF($D91="V01",cad!$C$23,IF($D91="V02",cad!$D$23,cad!$E$23)))</f>
        <v/>
      </c>
      <c r="H91" t="str">
        <f>IF($A91="","",IF($D91="V01",cad!$C$24,IF($D91="V02",cad!$D$24,cad!$E$24)))</f>
        <v/>
      </c>
      <c r="I91" t="str">
        <f>IF($A91="","",IF($D91="V01",cad!$C$32,IF($D91="V02",cad!$D$32,cad!$E$32)))</f>
        <v/>
      </c>
      <c r="J91" t="str">
        <f>IF($A91="","",IF($D91="V01",cad!$C$33,IF($D91="V02",cad!$D$33,cad!$E$33)))</f>
        <v/>
      </c>
      <c r="K91" t="str">
        <f>IF($A91="","",IF($D91="V01",cad!$C$34,IF($D91="V02",cad!$D$34,cad!$E$34)))</f>
        <v/>
      </c>
      <c r="L91" t="str">
        <f>IF($A91="","",IF($D91="V01",cad!$C$35,IF($D91="V02",cad!$D$35,cad!$E$35)))</f>
        <v/>
      </c>
      <c r="M91" t="str">
        <f>IF($A91="","",IF($D91="V01",cad!$C$36,IF($D91="V02",cad!$D$36,cad!$E$36)))</f>
        <v/>
      </c>
      <c r="N91" t="str">
        <f t="shared" si="5"/>
        <v/>
      </c>
      <c r="O91" t="str">
        <f t="shared" si="6"/>
        <v/>
      </c>
      <c r="P91" t="str">
        <f>IF($A91="","",IF($E91=1,$F91*$O91,PNL!G91))</f>
        <v/>
      </c>
      <c r="T91" t="str">
        <f t="shared" si="7"/>
        <v/>
      </c>
    </row>
    <row r="92" spans="1:20" x14ac:dyDescent="0.45">
      <c r="A92" t="str">
        <f>IF(PNL!A92="","",PNL!A92)</f>
        <v/>
      </c>
      <c r="B92" t="str">
        <f>IF(PNL!B92="","",PNL!B92)</f>
        <v/>
      </c>
      <c r="C92" t="str">
        <f>IF(PNL!C92="","",PNL!C92)</f>
        <v/>
      </c>
      <c r="D92" t="str">
        <f>IF(PNL!D92="","",PNL!D92)</f>
        <v/>
      </c>
      <c r="E92" t="str">
        <f t="shared" si="4"/>
        <v/>
      </c>
      <c r="F92" t="str">
        <f>IF($A92="","",IF($E92=1,SUMIFS(Compta!$F$1:$F$675,Compta!$A$1:$A$675,$A92,Compta!$B$1:$B$675,$B92,Compta!$C$1:$C$675,"2026"),0))</f>
        <v/>
      </c>
      <c r="G92" t="str">
        <f>IF($A92="","",IF($D92="V01",cad!$C$23,IF($D92="V02",cad!$D$23,cad!$E$23)))</f>
        <v/>
      </c>
      <c r="H92" t="str">
        <f>IF($A92="","",IF($D92="V01",cad!$C$24,IF($D92="V02",cad!$D$24,cad!$E$24)))</f>
        <v/>
      </c>
      <c r="I92" t="str">
        <f>IF($A92="","",IF($D92="V01",cad!$C$32,IF($D92="V02",cad!$D$32,cad!$E$32)))</f>
        <v/>
      </c>
      <c r="J92" t="str">
        <f>IF($A92="","",IF($D92="V01",cad!$C$33,IF($D92="V02",cad!$D$33,cad!$E$33)))</f>
        <v/>
      </c>
      <c r="K92" t="str">
        <f>IF($A92="","",IF($D92="V01",cad!$C$34,IF($D92="V02",cad!$D$34,cad!$E$34)))</f>
        <v/>
      </c>
      <c r="L92" t="str">
        <f>IF($A92="","",IF($D92="V01",cad!$C$35,IF($D92="V02",cad!$D$35,cad!$E$35)))</f>
        <v/>
      </c>
      <c r="M92" t="str">
        <f>IF($A92="","",IF($D92="V01",cad!$C$36,IF($D92="V02",cad!$D$36,cad!$E$36)))</f>
        <v/>
      </c>
      <c r="N92" t="str">
        <f t="shared" si="5"/>
        <v/>
      </c>
      <c r="O92" t="str">
        <f t="shared" si="6"/>
        <v/>
      </c>
      <c r="P92" t="str">
        <f>IF($A92="","",IF($E92=1,$F92*$O92,PNL!G92))</f>
        <v/>
      </c>
      <c r="T92" t="str">
        <f t="shared" si="7"/>
        <v/>
      </c>
    </row>
    <row r="93" spans="1:20" x14ac:dyDescent="0.45">
      <c r="A93" t="str">
        <f>IF(PNL!A93="","",PNL!A93)</f>
        <v/>
      </c>
      <c r="B93" t="str">
        <f>IF(PNL!B93="","",PNL!B93)</f>
        <v/>
      </c>
      <c r="C93" t="str">
        <f>IF(PNL!C93="","",PNL!C93)</f>
        <v/>
      </c>
      <c r="D93" t="str">
        <f>IF(PNL!D93="","",PNL!D93)</f>
        <v/>
      </c>
      <c r="E93" t="str">
        <f t="shared" si="4"/>
        <v/>
      </c>
      <c r="F93" t="str">
        <f>IF($A93="","",IF($E93=1,SUMIFS(Compta!$F$1:$F$675,Compta!$A$1:$A$675,$A93,Compta!$B$1:$B$675,$B93,Compta!$C$1:$C$675,"2026"),0))</f>
        <v/>
      </c>
      <c r="G93" t="str">
        <f>IF($A93="","",IF($D93="V01",cad!$C$23,IF($D93="V02",cad!$D$23,cad!$E$23)))</f>
        <v/>
      </c>
      <c r="H93" t="str">
        <f>IF($A93="","",IF($D93="V01",cad!$C$24,IF($D93="V02",cad!$D$24,cad!$E$24)))</f>
        <v/>
      </c>
      <c r="I93" t="str">
        <f>IF($A93="","",IF($D93="V01",cad!$C$32,IF($D93="V02",cad!$D$32,cad!$E$32)))</f>
        <v/>
      </c>
      <c r="J93" t="str">
        <f>IF($A93="","",IF($D93="V01",cad!$C$33,IF($D93="V02",cad!$D$33,cad!$E$33)))</f>
        <v/>
      </c>
      <c r="K93" t="str">
        <f>IF($A93="","",IF($D93="V01",cad!$C$34,IF($D93="V02",cad!$D$34,cad!$E$34)))</f>
        <v/>
      </c>
      <c r="L93" t="str">
        <f>IF($A93="","",IF($D93="V01",cad!$C$35,IF($D93="V02",cad!$D$35,cad!$E$35)))</f>
        <v/>
      </c>
      <c r="M93" t="str">
        <f>IF($A93="","",IF($D93="V01",cad!$C$36,IF($D93="V02",cad!$D$36,cad!$E$36)))</f>
        <v/>
      </c>
      <c r="N93" t="str">
        <f t="shared" si="5"/>
        <v/>
      </c>
      <c r="O93" t="str">
        <f t="shared" si="6"/>
        <v/>
      </c>
      <c r="P93" t="str">
        <f>IF($A93="","",IF($E93=1,$F93*$O93,PNL!G93))</f>
        <v/>
      </c>
      <c r="T93" t="str">
        <f t="shared" si="7"/>
        <v/>
      </c>
    </row>
    <row r="94" spans="1:20" x14ac:dyDescent="0.45">
      <c r="A94" t="str">
        <f>IF(PNL!A94="","",PNL!A94)</f>
        <v/>
      </c>
      <c r="B94" t="str">
        <f>IF(PNL!B94="","",PNL!B94)</f>
        <v/>
      </c>
      <c r="C94" t="str">
        <f>IF(PNL!C94="","",PNL!C94)</f>
        <v/>
      </c>
      <c r="D94" t="str">
        <f>IF(PNL!D94="","",PNL!D94)</f>
        <v/>
      </c>
      <c r="E94" t="str">
        <f t="shared" si="4"/>
        <v/>
      </c>
      <c r="F94" t="str">
        <f>IF($A94="","",IF($E94=1,SUMIFS(Compta!$F$1:$F$675,Compta!$A$1:$A$675,$A94,Compta!$B$1:$B$675,$B94,Compta!$C$1:$C$675,"2026"),0))</f>
        <v/>
      </c>
      <c r="G94" t="str">
        <f>IF($A94="","",IF($D94="V01",cad!$C$23,IF($D94="V02",cad!$D$23,cad!$E$23)))</f>
        <v/>
      </c>
      <c r="H94" t="str">
        <f>IF($A94="","",IF($D94="V01",cad!$C$24,IF($D94="V02",cad!$D$24,cad!$E$24)))</f>
        <v/>
      </c>
      <c r="I94" t="str">
        <f>IF($A94="","",IF($D94="V01",cad!$C$32,IF($D94="V02",cad!$D$32,cad!$E$32)))</f>
        <v/>
      </c>
      <c r="J94" t="str">
        <f>IF($A94="","",IF($D94="V01",cad!$C$33,IF($D94="V02",cad!$D$33,cad!$E$33)))</f>
        <v/>
      </c>
      <c r="K94" t="str">
        <f>IF($A94="","",IF($D94="V01",cad!$C$34,IF($D94="V02",cad!$D$34,cad!$E$34)))</f>
        <v/>
      </c>
      <c r="L94" t="str">
        <f>IF($A94="","",IF($D94="V01",cad!$C$35,IF($D94="V02",cad!$D$35,cad!$E$35)))</f>
        <v/>
      </c>
      <c r="M94" t="str">
        <f>IF($A94="","",IF($D94="V01",cad!$C$36,IF($D94="V02",cad!$D$36,cad!$E$36)))</f>
        <v/>
      </c>
      <c r="N94" t="str">
        <f t="shared" si="5"/>
        <v/>
      </c>
      <c r="O94" t="str">
        <f t="shared" si="6"/>
        <v/>
      </c>
      <c r="P94" t="str">
        <f>IF($A94="","",IF($E94=1,$F94*$O94,PNL!G94))</f>
        <v/>
      </c>
      <c r="T94" t="str">
        <f t="shared" si="7"/>
        <v/>
      </c>
    </row>
    <row r="95" spans="1:20" x14ac:dyDescent="0.45">
      <c r="A95" t="str">
        <f>IF(PNL!A95="","",PNL!A95)</f>
        <v/>
      </c>
      <c r="B95" t="str">
        <f>IF(PNL!B95="","",PNL!B95)</f>
        <v/>
      </c>
      <c r="C95" t="str">
        <f>IF(PNL!C95="","",PNL!C95)</f>
        <v/>
      </c>
      <c r="D95" t="str">
        <f>IF(PNL!D95="","",PNL!D95)</f>
        <v/>
      </c>
      <c r="E95" t="str">
        <f t="shared" si="4"/>
        <v/>
      </c>
      <c r="F95" t="str">
        <f>IF($A95="","",IF($E95=1,SUMIFS(Compta!$F$1:$F$675,Compta!$A$1:$A$675,$A95,Compta!$B$1:$B$675,$B95,Compta!$C$1:$C$675,"2026"),0))</f>
        <v/>
      </c>
      <c r="G95" t="str">
        <f>IF($A95="","",IF($D95="V01",cad!$C$23,IF($D95="V02",cad!$D$23,cad!$E$23)))</f>
        <v/>
      </c>
      <c r="H95" t="str">
        <f>IF($A95="","",IF($D95="V01",cad!$C$24,IF($D95="V02",cad!$D$24,cad!$E$24)))</f>
        <v/>
      </c>
      <c r="I95" t="str">
        <f>IF($A95="","",IF($D95="V01",cad!$C$32,IF($D95="V02",cad!$D$32,cad!$E$32)))</f>
        <v/>
      </c>
      <c r="J95" t="str">
        <f>IF($A95="","",IF($D95="V01",cad!$C$33,IF($D95="V02",cad!$D$33,cad!$E$33)))</f>
        <v/>
      </c>
      <c r="K95" t="str">
        <f>IF($A95="","",IF($D95="V01",cad!$C$34,IF($D95="V02",cad!$D$34,cad!$E$34)))</f>
        <v/>
      </c>
      <c r="L95" t="str">
        <f>IF($A95="","",IF($D95="V01",cad!$C$35,IF($D95="V02",cad!$D$35,cad!$E$35)))</f>
        <v/>
      </c>
      <c r="M95" t="str">
        <f>IF($A95="","",IF($D95="V01",cad!$C$36,IF($D95="V02",cad!$D$36,cad!$E$36)))</f>
        <v/>
      </c>
      <c r="N95" t="str">
        <f t="shared" si="5"/>
        <v/>
      </c>
      <c r="O95" t="str">
        <f t="shared" si="6"/>
        <v/>
      </c>
      <c r="P95" t="str">
        <f>IF($A95="","",IF($E95=1,$F95*$O95,PNL!G95))</f>
        <v/>
      </c>
      <c r="T95" t="str">
        <f t="shared" si="7"/>
        <v/>
      </c>
    </row>
    <row r="96" spans="1:20" x14ac:dyDescent="0.45">
      <c r="A96" t="str">
        <f>IF(PNL!A96="","",PNL!A96)</f>
        <v/>
      </c>
      <c r="B96" t="str">
        <f>IF(PNL!B96="","",PNL!B96)</f>
        <v/>
      </c>
      <c r="C96" t="str">
        <f>IF(PNL!C96="","",PNL!C96)</f>
        <v/>
      </c>
      <c r="D96" t="str">
        <f>IF(PNL!D96="","",PNL!D96)</f>
        <v/>
      </c>
      <c r="E96" t="str">
        <f t="shared" si="4"/>
        <v/>
      </c>
      <c r="F96" t="str">
        <f>IF($A96="","",IF($E96=1,SUMIFS(Compta!$F$1:$F$675,Compta!$A$1:$A$675,$A96,Compta!$B$1:$B$675,$B96,Compta!$C$1:$C$675,"2026"),0))</f>
        <v/>
      </c>
      <c r="G96" t="str">
        <f>IF($A96="","",IF($D96="V01",cad!$C$23,IF($D96="V02",cad!$D$23,cad!$E$23)))</f>
        <v/>
      </c>
      <c r="H96" t="str">
        <f>IF($A96="","",IF($D96="V01",cad!$C$24,IF($D96="V02",cad!$D$24,cad!$E$24)))</f>
        <v/>
      </c>
      <c r="I96" t="str">
        <f>IF($A96="","",IF($D96="V01",cad!$C$32,IF($D96="V02",cad!$D$32,cad!$E$32)))</f>
        <v/>
      </c>
      <c r="J96" t="str">
        <f>IF($A96="","",IF($D96="V01",cad!$C$33,IF($D96="V02",cad!$D$33,cad!$E$33)))</f>
        <v/>
      </c>
      <c r="K96" t="str">
        <f>IF($A96="","",IF($D96="V01",cad!$C$34,IF($D96="V02",cad!$D$34,cad!$E$34)))</f>
        <v/>
      </c>
      <c r="L96" t="str">
        <f>IF($A96="","",IF($D96="V01",cad!$C$35,IF($D96="V02",cad!$D$35,cad!$E$35)))</f>
        <v/>
      </c>
      <c r="M96" t="str">
        <f>IF($A96="","",IF($D96="V01",cad!$C$36,IF($D96="V02",cad!$D$36,cad!$E$36)))</f>
        <v/>
      </c>
      <c r="N96" t="str">
        <f t="shared" si="5"/>
        <v/>
      </c>
      <c r="O96" t="str">
        <f t="shared" si="6"/>
        <v/>
      </c>
      <c r="P96" t="str">
        <f>IF($A96="","",IF($E96=1,$F96*$O96,PNL!G96))</f>
        <v/>
      </c>
      <c r="T96" t="str">
        <f t="shared" si="7"/>
        <v/>
      </c>
    </row>
    <row r="97" spans="1:20" x14ac:dyDescent="0.45">
      <c r="A97" t="str">
        <f>IF(PNL!A97="","",PNL!A97)</f>
        <v/>
      </c>
      <c r="B97" t="str">
        <f>IF(PNL!B97="","",PNL!B97)</f>
        <v/>
      </c>
      <c r="C97" t="str">
        <f>IF(PNL!C97="","",PNL!C97)</f>
        <v/>
      </c>
      <c r="D97" t="str">
        <f>IF(PNL!D97="","",PNL!D97)</f>
        <v/>
      </c>
      <c r="E97" t="str">
        <f t="shared" si="4"/>
        <v/>
      </c>
      <c r="F97" t="str">
        <f>IF($A97="","",IF($E97=1,SUMIFS(Compta!$F$1:$F$675,Compta!$A$1:$A$675,$A97,Compta!$B$1:$B$675,$B97,Compta!$C$1:$C$675,"2026"),0))</f>
        <v/>
      </c>
      <c r="G97" t="str">
        <f>IF($A97="","",IF($D97="V01",cad!$C$23,IF($D97="V02",cad!$D$23,cad!$E$23)))</f>
        <v/>
      </c>
      <c r="H97" t="str">
        <f>IF($A97="","",IF($D97="V01",cad!$C$24,IF($D97="V02",cad!$D$24,cad!$E$24)))</f>
        <v/>
      </c>
      <c r="I97" t="str">
        <f>IF($A97="","",IF($D97="V01",cad!$C$32,IF($D97="V02",cad!$D$32,cad!$E$32)))</f>
        <v/>
      </c>
      <c r="J97" t="str">
        <f>IF($A97="","",IF($D97="V01",cad!$C$33,IF($D97="V02",cad!$D$33,cad!$E$33)))</f>
        <v/>
      </c>
      <c r="K97" t="str">
        <f>IF($A97="","",IF($D97="V01",cad!$C$34,IF($D97="V02",cad!$D$34,cad!$E$34)))</f>
        <v/>
      </c>
      <c r="L97" t="str">
        <f>IF($A97="","",IF($D97="V01",cad!$C$35,IF($D97="V02",cad!$D$35,cad!$E$35)))</f>
        <v/>
      </c>
      <c r="M97" t="str">
        <f>IF($A97="","",IF($D97="V01",cad!$C$36,IF($D97="V02",cad!$D$36,cad!$E$36)))</f>
        <v/>
      </c>
      <c r="N97" t="str">
        <f t="shared" si="5"/>
        <v/>
      </c>
      <c r="O97" t="str">
        <f t="shared" si="6"/>
        <v/>
      </c>
      <c r="P97" t="str">
        <f>IF($A97="","",IF($E97=1,$F97*$O97,PNL!G97))</f>
        <v/>
      </c>
      <c r="T97" t="str">
        <f t="shared" si="7"/>
        <v/>
      </c>
    </row>
    <row r="98" spans="1:20" x14ac:dyDescent="0.45">
      <c r="A98" t="str">
        <f>IF(PNL!A98="","",PNL!A98)</f>
        <v/>
      </c>
      <c r="B98" t="str">
        <f>IF(PNL!B98="","",PNL!B98)</f>
        <v/>
      </c>
      <c r="C98" t="str">
        <f>IF(PNL!C98="","",PNL!C98)</f>
        <v/>
      </c>
      <c r="D98" t="str">
        <f>IF(PNL!D98="","",PNL!D98)</f>
        <v/>
      </c>
      <c r="E98" t="str">
        <f t="shared" si="4"/>
        <v/>
      </c>
      <c r="F98" t="str">
        <f>IF($A98="","",IF($E98=1,SUMIFS(Compta!$F$1:$F$675,Compta!$A$1:$A$675,$A98,Compta!$B$1:$B$675,$B98,Compta!$C$1:$C$675,"2026"),0))</f>
        <v/>
      </c>
      <c r="G98" t="str">
        <f>IF($A98="","",IF($D98="V01",cad!$C$23,IF($D98="V02",cad!$D$23,cad!$E$23)))</f>
        <v/>
      </c>
      <c r="H98" t="str">
        <f>IF($A98="","",IF($D98="V01",cad!$C$24,IF($D98="V02",cad!$D$24,cad!$E$24)))</f>
        <v/>
      </c>
      <c r="I98" t="str">
        <f>IF($A98="","",IF($D98="V01",cad!$C$32,IF($D98="V02",cad!$D$32,cad!$E$32)))</f>
        <v/>
      </c>
      <c r="J98" t="str">
        <f>IF($A98="","",IF($D98="V01",cad!$C$33,IF($D98="V02",cad!$D$33,cad!$E$33)))</f>
        <v/>
      </c>
      <c r="K98" t="str">
        <f>IF($A98="","",IF($D98="V01",cad!$C$34,IF($D98="V02",cad!$D$34,cad!$E$34)))</f>
        <v/>
      </c>
      <c r="L98" t="str">
        <f>IF($A98="","",IF($D98="V01",cad!$C$35,IF($D98="V02",cad!$D$35,cad!$E$35)))</f>
        <v/>
      </c>
      <c r="M98" t="str">
        <f>IF($A98="","",IF($D98="V01",cad!$C$36,IF($D98="V02",cad!$D$36,cad!$E$36)))</f>
        <v/>
      </c>
      <c r="N98" t="str">
        <f t="shared" si="5"/>
        <v/>
      </c>
      <c r="O98" t="str">
        <f t="shared" si="6"/>
        <v/>
      </c>
      <c r="P98" t="str">
        <f>IF($A98="","",IF($E98=1,$F98*$O98,PNL!G98))</f>
        <v/>
      </c>
      <c r="T98" t="str">
        <f t="shared" si="7"/>
        <v/>
      </c>
    </row>
    <row r="99" spans="1:20" x14ac:dyDescent="0.45">
      <c r="A99" t="str">
        <f>IF(PNL!A99="","",PNL!A99)</f>
        <v/>
      </c>
      <c r="B99" t="str">
        <f>IF(PNL!B99="","",PNL!B99)</f>
        <v/>
      </c>
      <c r="C99" t="str">
        <f>IF(PNL!C99="","",PNL!C99)</f>
        <v/>
      </c>
      <c r="D99" t="str">
        <f>IF(PNL!D99="","",PNL!D99)</f>
        <v/>
      </c>
      <c r="E99" t="str">
        <f t="shared" si="4"/>
        <v/>
      </c>
      <c r="F99" t="str">
        <f>IF($A99="","",IF($E99=1,SUMIFS(Compta!$F$1:$F$675,Compta!$A$1:$A$675,$A99,Compta!$B$1:$B$675,$B99,Compta!$C$1:$C$675,"2026"),0))</f>
        <v/>
      </c>
      <c r="G99" t="str">
        <f>IF($A99="","",IF($D99="V01",cad!$C$23,IF($D99="V02",cad!$D$23,cad!$E$23)))</f>
        <v/>
      </c>
      <c r="H99" t="str">
        <f>IF($A99="","",IF($D99="V01",cad!$C$24,IF($D99="V02",cad!$D$24,cad!$E$24)))</f>
        <v/>
      </c>
      <c r="I99" t="str">
        <f>IF($A99="","",IF($D99="V01",cad!$C$32,IF($D99="V02",cad!$D$32,cad!$E$32)))</f>
        <v/>
      </c>
      <c r="J99" t="str">
        <f>IF($A99="","",IF($D99="V01",cad!$C$33,IF($D99="V02",cad!$D$33,cad!$E$33)))</f>
        <v/>
      </c>
      <c r="K99" t="str">
        <f>IF($A99="","",IF($D99="V01",cad!$C$34,IF($D99="V02",cad!$D$34,cad!$E$34)))</f>
        <v/>
      </c>
      <c r="L99" t="str">
        <f>IF($A99="","",IF($D99="V01",cad!$C$35,IF($D99="V02",cad!$D$35,cad!$E$35)))</f>
        <v/>
      </c>
      <c r="M99" t="str">
        <f>IF($A99="","",IF($D99="V01",cad!$C$36,IF($D99="V02",cad!$D$36,cad!$E$36)))</f>
        <v/>
      </c>
      <c r="N99" t="str">
        <f t="shared" si="5"/>
        <v/>
      </c>
      <c r="O99" t="str">
        <f t="shared" si="6"/>
        <v/>
      </c>
      <c r="P99" t="str">
        <f>IF($A99="","",IF($E99=1,$F99*$O99,PNL!G99))</f>
        <v/>
      </c>
      <c r="T99" t="str">
        <f t="shared" si="7"/>
        <v/>
      </c>
    </row>
    <row r="100" spans="1:20" x14ac:dyDescent="0.45">
      <c r="A100" t="str">
        <f>IF(PNL!A100="","",PNL!A100)</f>
        <v/>
      </c>
      <c r="B100" t="str">
        <f>IF(PNL!B100="","",PNL!B100)</f>
        <v/>
      </c>
      <c r="C100" t="str">
        <f>IF(PNL!C100="","",PNL!C100)</f>
        <v/>
      </c>
      <c r="D100" t="str">
        <f>IF(PNL!D100="","",PNL!D100)</f>
        <v/>
      </c>
      <c r="E100" t="str">
        <f t="shared" si="4"/>
        <v/>
      </c>
      <c r="F100" t="str">
        <f>IF($A100="","",IF($E100=1,SUMIFS(Compta!$F$1:$F$675,Compta!$A$1:$A$675,$A100,Compta!$B$1:$B$675,$B100,Compta!$C$1:$C$675,"2026"),0))</f>
        <v/>
      </c>
      <c r="G100" t="str">
        <f>IF($A100="","",IF($D100="V01",cad!$C$23,IF($D100="V02",cad!$D$23,cad!$E$23)))</f>
        <v/>
      </c>
      <c r="H100" t="str">
        <f>IF($A100="","",IF($D100="V01",cad!$C$24,IF($D100="V02",cad!$D$24,cad!$E$24)))</f>
        <v/>
      </c>
      <c r="I100" t="str">
        <f>IF($A100="","",IF($D100="V01",cad!$C$32,IF($D100="V02",cad!$D$32,cad!$E$32)))</f>
        <v/>
      </c>
      <c r="J100" t="str">
        <f>IF($A100="","",IF($D100="V01",cad!$C$33,IF($D100="V02",cad!$D$33,cad!$E$33)))</f>
        <v/>
      </c>
      <c r="K100" t="str">
        <f>IF($A100="","",IF($D100="V01",cad!$C$34,IF($D100="V02",cad!$D$34,cad!$E$34)))</f>
        <v/>
      </c>
      <c r="L100" t="str">
        <f>IF($A100="","",IF($D100="V01",cad!$C$35,IF($D100="V02",cad!$D$35,cad!$E$35)))</f>
        <v/>
      </c>
      <c r="M100" t="str">
        <f>IF($A100="","",IF($D100="V01",cad!$C$36,IF($D100="V02",cad!$D$36,cad!$E$36)))</f>
        <v/>
      </c>
      <c r="N100" t="str">
        <f t="shared" si="5"/>
        <v/>
      </c>
      <c r="O100" t="str">
        <f t="shared" si="6"/>
        <v/>
      </c>
      <c r="P100" t="str">
        <f>IF($A100="","",IF($E100=1,$F100*$O100,PNL!G100))</f>
        <v/>
      </c>
      <c r="T100" t="str">
        <f t="shared" si="7"/>
        <v/>
      </c>
    </row>
    <row r="101" spans="1:20" x14ac:dyDescent="0.45">
      <c r="A101" t="str">
        <f>IF(PNL!A101="","",PNL!A101)</f>
        <v/>
      </c>
      <c r="B101" t="str">
        <f>IF(PNL!B101="","",PNL!B101)</f>
        <v/>
      </c>
      <c r="C101" t="str">
        <f>IF(PNL!C101="","",PNL!C101)</f>
        <v/>
      </c>
      <c r="D101" t="str">
        <f>IF(PNL!D101="","",PNL!D101)</f>
        <v/>
      </c>
      <c r="E101" t="str">
        <f t="shared" si="4"/>
        <v/>
      </c>
      <c r="F101" t="str">
        <f>IF($A101="","",IF($E101=1,SUMIFS(Compta!$F$1:$F$675,Compta!$A$1:$A$675,$A101,Compta!$B$1:$B$675,$B101,Compta!$C$1:$C$675,"2026"),0))</f>
        <v/>
      </c>
      <c r="G101" t="str">
        <f>IF($A101="","",IF($D101="V01",cad!$C$23,IF($D101="V02",cad!$D$23,cad!$E$23)))</f>
        <v/>
      </c>
      <c r="H101" t="str">
        <f>IF($A101="","",IF($D101="V01",cad!$C$24,IF($D101="V02",cad!$D$24,cad!$E$24)))</f>
        <v/>
      </c>
      <c r="I101" t="str">
        <f>IF($A101="","",IF($D101="V01",cad!$C$32,IF($D101="V02",cad!$D$32,cad!$E$32)))</f>
        <v/>
      </c>
      <c r="J101" t="str">
        <f>IF($A101="","",IF($D101="V01",cad!$C$33,IF($D101="V02",cad!$D$33,cad!$E$33)))</f>
        <v/>
      </c>
      <c r="K101" t="str">
        <f>IF($A101="","",IF($D101="V01",cad!$C$34,IF($D101="V02",cad!$D$34,cad!$E$34)))</f>
        <v/>
      </c>
      <c r="L101" t="str">
        <f>IF($A101="","",IF($D101="V01",cad!$C$35,IF($D101="V02",cad!$D$35,cad!$E$35)))</f>
        <v/>
      </c>
      <c r="M101" t="str">
        <f>IF($A101="","",IF($D101="V01",cad!$C$36,IF($D101="V02",cad!$D$36,cad!$E$36)))</f>
        <v/>
      </c>
      <c r="N101" t="str">
        <f t="shared" si="5"/>
        <v/>
      </c>
      <c r="O101" t="str">
        <f t="shared" si="6"/>
        <v/>
      </c>
      <c r="P101" t="str">
        <f>IF($A101="","",IF($E101=1,$F101*$O101,PNL!G101))</f>
        <v/>
      </c>
      <c r="T101" t="str">
        <f t="shared" si="7"/>
        <v/>
      </c>
    </row>
    <row r="102" spans="1:20" x14ac:dyDescent="0.45">
      <c r="A102" t="str">
        <f>IF(PNL!A102="","",PNL!A102)</f>
        <v/>
      </c>
      <c r="B102" t="str">
        <f>IF(PNL!B102="","",PNL!B102)</f>
        <v/>
      </c>
      <c r="C102" t="str">
        <f>IF(PNL!C102="","",PNL!C102)</f>
        <v/>
      </c>
      <c r="D102" t="str">
        <f>IF(PNL!D102="","",PNL!D102)</f>
        <v/>
      </c>
      <c r="E102" t="str">
        <f t="shared" si="4"/>
        <v/>
      </c>
      <c r="F102" t="str">
        <f>IF($A102="","",IF($E102=1,SUMIFS(Compta!$F$1:$F$675,Compta!$A$1:$A$675,$A102,Compta!$B$1:$B$675,$B102,Compta!$C$1:$C$675,"2026"),0))</f>
        <v/>
      </c>
      <c r="G102" t="str">
        <f>IF($A102="","",IF($D102="V01",cad!$C$23,IF($D102="V02",cad!$D$23,cad!$E$23)))</f>
        <v/>
      </c>
      <c r="H102" t="str">
        <f>IF($A102="","",IF($D102="V01",cad!$C$24,IF($D102="V02",cad!$D$24,cad!$E$24)))</f>
        <v/>
      </c>
      <c r="I102" t="str">
        <f>IF($A102="","",IF($D102="V01",cad!$C$32,IF($D102="V02",cad!$D$32,cad!$E$32)))</f>
        <v/>
      </c>
      <c r="J102" t="str">
        <f>IF($A102="","",IF($D102="V01",cad!$C$33,IF($D102="V02",cad!$D$33,cad!$E$33)))</f>
        <v/>
      </c>
      <c r="K102" t="str">
        <f>IF($A102="","",IF($D102="V01",cad!$C$34,IF($D102="V02",cad!$D$34,cad!$E$34)))</f>
        <v/>
      </c>
      <c r="L102" t="str">
        <f>IF($A102="","",IF($D102="V01",cad!$C$35,IF($D102="V02",cad!$D$35,cad!$E$35)))</f>
        <v/>
      </c>
      <c r="M102" t="str">
        <f>IF($A102="","",IF($D102="V01",cad!$C$36,IF($D102="V02",cad!$D$36,cad!$E$36)))</f>
        <v/>
      </c>
      <c r="N102" t="str">
        <f t="shared" si="5"/>
        <v/>
      </c>
      <c r="O102" t="str">
        <f t="shared" si="6"/>
        <v/>
      </c>
      <c r="P102" t="str">
        <f>IF($A102="","",IF($E102=1,$F102*$O102,PNL!G102))</f>
        <v/>
      </c>
      <c r="T102" t="str">
        <f t="shared" si="7"/>
        <v/>
      </c>
    </row>
    <row r="103" spans="1:20" x14ac:dyDescent="0.45">
      <c r="A103" t="str">
        <f>IF(PNL!A103="","",PNL!A103)</f>
        <v/>
      </c>
      <c r="B103" t="str">
        <f>IF(PNL!B103="","",PNL!B103)</f>
        <v/>
      </c>
      <c r="C103" t="str">
        <f>IF(PNL!C103="","",PNL!C103)</f>
        <v/>
      </c>
      <c r="D103" t="str">
        <f>IF(PNL!D103="","",PNL!D103)</f>
        <v/>
      </c>
      <c r="E103" t="str">
        <f t="shared" si="4"/>
        <v/>
      </c>
      <c r="F103" t="str">
        <f>IF($A103="","",IF($E103=1,SUMIFS(Compta!$F$1:$F$675,Compta!$A$1:$A$675,$A103,Compta!$B$1:$B$675,$B103,Compta!$C$1:$C$675,"2026"),0))</f>
        <v/>
      </c>
      <c r="G103" t="str">
        <f>IF($A103="","",IF($D103="V01",cad!$C$23,IF($D103="V02",cad!$D$23,cad!$E$23)))</f>
        <v/>
      </c>
      <c r="H103" t="str">
        <f>IF($A103="","",IF($D103="V01",cad!$C$24,IF($D103="V02",cad!$D$24,cad!$E$24)))</f>
        <v/>
      </c>
      <c r="I103" t="str">
        <f>IF($A103="","",IF($D103="V01",cad!$C$32,IF($D103="V02",cad!$D$32,cad!$E$32)))</f>
        <v/>
      </c>
      <c r="J103" t="str">
        <f>IF($A103="","",IF($D103="V01",cad!$C$33,IF($D103="V02",cad!$D$33,cad!$E$33)))</f>
        <v/>
      </c>
      <c r="K103" t="str">
        <f>IF($A103="","",IF($D103="V01",cad!$C$34,IF($D103="V02",cad!$D$34,cad!$E$34)))</f>
        <v/>
      </c>
      <c r="L103" t="str">
        <f>IF($A103="","",IF($D103="V01",cad!$C$35,IF($D103="V02",cad!$D$35,cad!$E$35)))</f>
        <v/>
      </c>
      <c r="M103" t="str">
        <f>IF($A103="","",IF($D103="V01",cad!$C$36,IF($D103="V02",cad!$D$36,cad!$E$36)))</f>
        <v/>
      </c>
      <c r="N103" t="str">
        <f t="shared" si="5"/>
        <v/>
      </c>
      <c r="O103" t="str">
        <f t="shared" si="6"/>
        <v/>
      </c>
      <c r="P103" t="str">
        <f>IF($A103="","",IF($E103=1,$F103*$O103,PNL!G103))</f>
        <v/>
      </c>
      <c r="T103" t="str">
        <f t="shared" si="7"/>
        <v/>
      </c>
    </row>
    <row r="104" spans="1:20" x14ac:dyDescent="0.45">
      <c r="A104" t="str">
        <f>IF(PNL!A104="","",PNL!A104)</f>
        <v/>
      </c>
      <c r="B104" t="str">
        <f>IF(PNL!B104="","",PNL!B104)</f>
        <v/>
      </c>
      <c r="C104" t="str">
        <f>IF(PNL!C104="","",PNL!C104)</f>
        <v/>
      </c>
      <c r="D104" t="str">
        <f>IF(PNL!D104="","",PNL!D104)</f>
        <v/>
      </c>
      <c r="E104" t="str">
        <f t="shared" si="4"/>
        <v/>
      </c>
      <c r="F104" t="str">
        <f>IF($A104="","",IF($E104=1,SUMIFS(Compta!$F$1:$F$675,Compta!$A$1:$A$675,$A104,Compta!$B$1:$B$675,$B104,Compta!$C$1:$C$675,"2026"),0))</f>
        <v/>
      </c>
      <c r="G104" t="str">
        <f>IF($A104="","",IF($D104="V01",cad!$C$23,IF($D104="V02",cad!$D$23,cad!$E$23)))</f>
        <v/>
      </c>
      <c r="H104" t="str">
        <f>IF($A104="","",IF($D104="V01",cad!$C$24,IF($D104="V02",cad!$D$24,cad!$E$24)))</f>
        <v/>
      </c>
      <c r="I104" t="str">
        <f>IF($A104="","",IF($D104="V01",cad!$C$32,IF($D104="V02",cad!$D$32,cad!$E$32)))</f>
        <v/>
      </c>
      <c r="J104" t="str">
        <f>IF($A104="","",IF($D104="V01",cad!$C$33,IF($D104="V02",cad!$D$33,cad!$E$33)))</f>
        <v/>
      </c>
      <c r="K104" t="str">
        <f>IF($A104="","",IF($D104="V01",cad!$C$34,IF($D104="V02",cad!$D$34,cad!$E$34)))</f>
        <v/>
      </c>
      <c r="L104" t="str">
        <f>IF($A104="","",IF($D104="V01",cad!$C$35,IF($D104="V02",cad!$D$35,cad!$E$35)))</f>
        <v/>
      </c>
      <c r="M104" t="str">
        <f>IF($A104="","",IF($D104="V01",cad!$C$36,IF($D104="V02",cad!$D$36,cad!$E$36)))</f>
        <v/>
      </c>
      <c r="N104" t="str">
        <f t="shared" si="5"/>
        <v/>
      </c>
      <c r="O104" t="str">
        <f t="shared" si="6"/>
        <v/>
      </c>
      <c r="P104" t="str">
        <f>IF($A104="","",IF($E104=1,$F104*$O104,PNL!G104))</f>
        <v/>
      </c>
      <c r="T104" t="str">
        <f t="shared" si="7"/>
        <v/>
      </c>
    </row>
    <row r="105" spans="1:20" x14ac:dyDescent="0.45">
      <c r="A105" t="str">
        <f>IF(PNL!A105="","",PNL!A105)</f>
        <v/>
      </c>
      <c r="B105" t="str">
        <f>IF(PNL!B105="","",PNL!B105)</f>
        <v/>
      </c>
      <c r="C105" t="str">
        <f>IF(PNL!C105="","",PNL!C105)</f>
        <v/>
      </c>
      <c r="D105" t="str">
        <f>IF(PNL!D105="","",PNL!D105)</f>
        <v/>
      </c>
      <c r="E105" t="str">
        <f t="shared" si="4"/>
        <v/>
      </c>
      <c r="F105" t="str">
        <f>IF($A105="","",IF($E105=1,SUMIFS(Compta!$F$1:$F$675,Compta!$A$1:$A$675,$A105,Compta!$B$1:$B$675,$B105,Compta!$C$1:$C$675,"2026"),0))</f>
        <v/>
      </c>
      <c r="G105" t="str">
        <f>IF($A105="","",IF($D105="V01",cad!$C$23,IF($D105="V02",cad!$D$23,cad!$E$23)))</f>
        <v/>
      </c>
      <c r="H105" t="str">
        <f>IF($A105="","",IF($D105="V01",cad!$C$24,IF($D105="V02",cad!$D$24,cad!$E$24)))</f>
        <v/>
      </c>
      <c r="I105" t="str">
        <f>IF($A105="","",IF($D105="V01",cad!$C$32,IF($D105="V02",cad!$D$32,cad!$E$32)))</f>
        <v/>
      </c>
      <c r="J105" t="str">
        <f>IF($A105="","",IF($D105="V01",cad!$C$33,IF($D105="V02",cad!$D$33,cad!$E$33)))</f>
        <v/>
      </c>
      <c r="K105" t="str">
        <f>IF($A105="","",IF($D105="V01",cad!$C$34,IF($D105="V02",cad!$D$34,cad!$E$34)))</f>
        <v/>
      </c>
      <c r="L105" t="str">
        <f>IF($A105="","",IF($D105="V01",cad!$C$35,IF($D105="V02",cad!$D$35,cad!$E$35)))</f>
        <v/>
      </c>
      <c r="M105" t="str">
        <f>IF($A105="","",IF($D105="V01",cad!$C$36,IF($D105="V02",cad!$D$36,cad!$E$36)))</f>
        <v/>
      </c>
      <c r="N105" t="str">
        <f t="shared" si="5"/>
        <v/>
      </c>
      <c r="O105" t="str">
        <f t="shared" si="6"/>
        <v/>
      </c>
      <c r="P105" t="str">
        <f>IF($A105="","",IF($E105=1,$F105*$O105,PNL!G105))</f>
        <v/>
      </c>
      <c r="T105" t="str">
        <f t="shared" si="7"/>
        <v/>
      </c>
    </row>
    <row r="106" spans="1:20" x14ac:dyDescent="0.45">
      <c r="A106" t="str">
        <f>IF(PNL!A106="","",PNL!A106)</f>
        <v/>
      </c>
      <c r="B106" t="str">
        <f>IF(PNL!B106="","",PNL!B106)</f>
        <v/>
      </c>
      <c r="C106" t="str">
        <f>IF(PNL!C106="","",PNL!C106)</f>
        <v/>
      </c>
      <c r="D106" t="str">
        <f>IF(PNL!D106="","",PNL!D106)</f>
        <v/>
      </c>
      <c r="E106" t="str">
        <f t="shared" si="4"/>
        <v/>
      </c>
      <c r="F106" t="str">
        <f>IF($A106="","",IF($E106=1,SUMIFS(Compta!$F$1:$F$675,Compta!$A$1:$A$675,$A106,Compta!$B$1:$B$675,$B106,Compta!$C$1:$C$675,"2026"),0))</f>
        <v/>
      </c>
      <c r="G106" t="str">
        <f>IF($A106="","",IF($D106="V01",cad!$C$23,IF($D106="V02",cad!$D$23,cad!$E$23)))</f>
        <v/>
      </c>
      <c r="H106" t="str">
        <f>IF($A106="","",IF($D106="V01",cad!$C$24,IF($D106="V02",cad!$D$24,cad!$E$24)))</f>
        <v/>
      </c>
      <c r="I106" t="str">
        <f>IF($A106="","",IF($D106="V01",cad!$C$32,IF($D106="V02",cad!$D$32,cad!$E$32)))</f>
        <v/>
      </c>
      <c r="J106" t="str">
        <f>IF($A106="","",IF($D106="V01",cad!$C$33,IF($D106="V02",cad!$D$33,cad!$E$33)))</f>
        <v/>
      </c>
      <c r="K106" t="str">
        <f>IF($A106="","",IF($D106="V01",cad!$C$34,IF($D106="V02",cad!$D$34,cad!$E$34)))</f>
        <v/>
      </c>
      <c r="L106" t="str">
        <f>IF($A106="","",IF($D106="V01",cad!$C$35,IF($D106="V02",cad!$D$35,cad!$E$35)))</f>
        <v/>
      </c>
      <c r="M106" t="str">
        <f>IF($A106="","",IF($D106="V01",cad!$C$36,IF($D106="V02",cad!$D$36,cad!$E$36)))</f>
        <v/>
      </c>
      <c r="N106" t="str">
        <f t="shared" si="5"/>
        <v/>
      </c>
      <c r="O106" t="str">
        <f t="shared" si="6"/>
        <v/>
      </c>
      <c r="P106" t="str">
        <f>IF($A106="","",IF($E106=1,$F106*$O106,PNL!G106))</f>
        <v/>
      </c>
      <c r="T106" t="str">
        <f t="shared" si="7"/>
        <v/>
      </c>
    </row>
    <row r="107" spans="1:20" x14ac:dyDescent="0.45">
      <c r="A107" t="str">
        <f>IF(PNL!A107="","",PNL!A107)</f>
        <v/>
      </c>
      <c r="B107" t="str">
        <f>IF(PNL!B107="","",PNL!B107)</f>
        <v/>
      </c>
      <c r="C107" t="str">
        <f>IF(PNL!C107="","",PNL!C107)</f>
        <v/>
      </c>
      <c r="D107" t="str">
        <f>IF(PNL!D107="","",PNL!D107)</f>
        <v/>
      </c>
      <c r="E107" t="str">
        <f t="shared" si="4"/>
        <v/>
      </c>
      <c r="F107" t="str">
        <f>IF($A107="","",IF($E107=1,SUMIFS(Compta!$F$1:$F$675,Compta!$A$1:$A$675,$A107,Compta!$B$1:$B$675,$B107,Compta!$C$1:$C$675,"2026"),0))</f>
        <v/>
      </c>
      <c r="G107" t="str">
        <f>IF($A107="","",IF($D107="V01",cad!$C$23,IF($D107="V02",cad!$D$23,cad!$E$23)))</f>
        <v/>
      </c>
      <c r="H107" t="str">
        <f>IF($A107="","",IF($D107="V01",cad!$C$24,IF($D107="V02",cad!$D$24,cad!$E$24)))</f>
        <v/>
      </c>
      <c r="I107" t="str">
        <f>IF($A107="","",IF($D107="V01",cad!$C$32,IF($D107="V02",cad!$D$32,cad!$E$32)))</f>
        <v/>
      </c>
      <c r="J107" t="str">
        <f>IF($A107="","",IF($D107="V01",cad!$C$33,IF($D107="V02",cad!$D$33,cad!$E$33)))</f>
        <v/>
      </c>
      <c r="K107" t="str">
        <f>IF($A107="","",IF($D107="V01",cad!$C$34,IF($D107="V02",cad!$D$34,cad!$E$34)))</f>
        <v/>
      </c>
      <c r="L107" t="str">
        <f>IF($A107="","",IF($D107="V01",cad!$C$35,IF($D107="V02",cad!$D$35,cad!$E$35)))</f>
        <v/>
      </c>
      <c r="M107" t="str">
        <f>IF($A107="","",IF($D107="V01",cad!$C$36,IF($D107="V02",cad!$D$36,cad!$E$36)))</f>
        <v/>
      </c>
      <c r="N107" t="str">
        <f t="shared" si="5"/>
        <v/>
      </c>
      <c r="O107" t="str">
        <f t="shared" si="6"/>
        <v/>
      </c>
      <c r="P107" t="str">
        <f>IF($A107="","",IF($E107=1,$F107*$O107,PNL!G107))</f>
        <v/>
      </c>
      <c r="T107" t="str">
        <f t="shared" si="7"/>
        <v/>
      </c>
    </row>
    <row r="108" spans="1:20" x14ac:dyDescent="0.45">
      <c r="A108" t="str">
        <f>IF(PNL!A108="","",PNL!A108)</f>
        <v/>
      </c>
      <c r="B108" t="str">
        <f>IF(PNL!B108="","",PNL!B108)</f>
        <v/>
      </c>
      <c r="C108" t="str">
        <f>IF(PNL!C108="","",PNL!C108)</f>
        <v/>
      </c>
      <c r="D108" t="str">
        <f>IF(PNL!D108="","",PNL!D108)</f>
        <v/>
      </c>
      <c r="E108" t="str">
        <f t="shared" si="4"/>
        <v/>
      </c>
      <c r="F108" t="str">
        <f>IF($A108="","",IF($E108=1,SUMIFS(Compta!$F$1:$F$675,Compta!$A$1:$A$675,$A108,Compta!$B$1:$B$675,$B108,Compta!$C$1:$C$675,"2026"),0))</f>
        <v/>
      </c>
      <c r="G108" t="str">
        <f>IF($A108="","",IF($D108="V01",cad!$C$23,IF($D108="V02",cad!$D$23,cad!$E$23)))</f>
        <v/>
      </c>
      <c r="H108" t="str">
        <f>IF($A108="","",IF($D108="V01",cad!$C$24,IF($D108="V02",cad!$D$24,cad!$E$24)))</f>
        <v/>
      </c>
      <c r="I108" t="str">
        <f>IF($A108="","",IF($D108="V01",cad!$C$32,IF($D108="V02",cad!$D$32,cad!$E$32)))</f>
        <v/>
      </c>
      <c r="J108" t="str">
        <f>IF($A108="","",IF($D108="V01",cad!$C$33,IF($D108="V02",cad!$D$33,cad!$E$33)))</f>
        <v/>
      </c>
      <c r="K108" t="str">
        <f>IF($A108="","",IF($D108="V01",cad!$C$34,IF($D108="V02",cad!$D$34,cad!$E$34)))</f>
        <v/>
      </c>
      <c r="L108" t="str">
        <f>IF($A108="","",IF($D108="V01",cad!$C$35,IF($D108="V02",cad!$D$35,cad!$E$35)))</f>
        <v/>
      </c>
      <c r="M108" t="str">
        <f>IF($A108="","",IF($D108="V01",cad!$C$36,IF($D108="V02",cad!$D$36,cad!$E$36)))</f>
        <v/>
      </c>
      <c r="N108" t="str">
        <f t="shared" si="5"/>
        <v/>
      </c>
      <c r="O108" t="str">
        <f t="shared" si="6"/>
        <v/>
      </c>
      <c r="P108" t="str">
        <f>IF($A108="","",IF($E108=1,$F108*$O108,PNL!G108))</f>
        <v/>
      </c>
      <c r="T108" t="str">
        <f t="shared" si="7"/>
        <v/>
      </c>
    </row>
    <row r="109" spans="1:20" x14ac:dyDescent="0.45">
      <c r="A109" t="str">
        <f>IF(PNL!A109="","",PNL!A109)</f>
        <v/>
      </c>
      <c r="B109" t="str">
        <f>IF(PNL!B109="","",PNL!B109)</f>
        <v/>
      </c>
      <c r="C109" t="str">
        <f>IF(PNL!C109="","",PNL!C109)</f>
        <v/>
      </c>
      <c r="D109" t="str">
        <f>IF(PNL!D109="","",PNL!D109)</f>
        <v/>
      </c>
      <c r="E109" t="str">
        <f t="shared" si="4"/>
        <v/>
      </c>
      <c r="F109" t="str">
        <f>IF($A109="","",IF($E109=1,SUMIFS(Compta!$F$1:$F$675,Compta!$A$1:$A$675,$A109,Compta!$B$1:$B$675,$B109,Compta!$C$1:$C$675,"2026"),0))</f>
        <v/>
      </c>
      <c r="G109" t="str">
        <f>IF($A109="","",IF($D109="V01",cad!$C$23,IF($D109="V02",cad!$D$23,cad!$E$23)))</f>
        <v/>
      </c>
      <c r="H109" t="str">
        <f>IF($A109="","",IF($D109="V01",cad!$C$24,IF($D109="V02",cad!$D$24,cad!$E$24)))</f>
        <v/>
      </c>
      <c r="I109" t="str">
        <f>IF($A109="","",IF($D109="V01",cad!$C$32,IF($D109="V02",cad!$D$32,cad!$E$32)))</f>
        <v/>
      </c>
      <c r="J109" t="str">
        <f>IF($A109="","",IF($D109="V01",cad!$C$33,IF($D109="V02",cad!$D$33,cad!$E$33)))</f>
        <v/>
      </c>
      <c r="K109" t="str">
        <f>IF($A109="","",IF($D109="V01",cad!$C$34,IF($D109="V02",cad!$D$34,cad!$E$34)))</f>
        <v/>
      </c>
      <c r="L109" t="str">
        <f>IF($A109="","",IF($D109="V01",cad!$C$35,IF($D109="V02",cad!$D$35,cad!$E$35)))</f>
        <v/>
      </c>
      <c r="M109" t="str">
        <f>IF($A109="","",IF($D109="V01",cad!$C$36,IF($D109="V02",cad!$D$36,cad!$E$36)))</f>
        <v/>
      </c>
      <c r="N109" t="str">
        <f t="shared" si="5"/>
        <v/>
      </c>
      <c r="O109" t="str">
        <f t="shared" si="6"/>
        <v/>
      </c>
      <c r="P109" t="str">
        <f>IF($A109="","",IF($E109=1,$F109*$O109,PNL!G109))</f>
        <v/>
      </c>
      <c r="T109" t="str">
        <f t="shared" si="7"/>
        <v/>
      </c>
    </row>
    <row r="110" spans="1:20" x14ac:dyDescent="0.45">
      <c r="A110" t="str">
        <f>IF(PNL!A110="","",PNL!A110)</f>
        <v/>
      </c>
      <c r="B110" t="str">
        <f>IF(PNL!B110="","",PNL!B110)</f>
        <v/>
      </c>
      <c r="C110" t="str">
        <f>IF(PNL!C110="","",PNL!C110)</f>
        <v/>
      </c>
      <c r="D110" t="str">
        <f>IF(PNL!D110="","",PNL!D110)</f>
        <v/>
      </c>
      <c r="E110" t="str">
        <f t="shared" si="4"/>
        <v/>
      </c>
      <c r="F110" t="str">
        <f>IF($A110="","",IF($E110=1,SUMIFS(Compta!$F$1:$F$675,Compta!$A$1:$A$675,$A110,Compta!$B$1:$B$675,$B110,Compta!$C$1:$C$675,"2026"),0))</f>
        <v/>
      </c>
      <c r="G110" t="str">
        <f>IF($A110="","",IF($D110="V01",cad!$C$23,IF($D110="V02",cad!$D$23,cad!$E$23)))</f>
        <v/>
      </c>
      <c r="H110" t="str">
        <f>IF($A110="","",IF($D110="V01",cad!$C$24,IF($D110="V02",cad!$D$24,cad!$E$24)))</f>
        <v/>
      </c>
      <c r="I110" t="str">
        <f>IF($A110="","",IF($D110="V01",cad!$C$32,IF($D110="V02",cad!$D$32,cad!$E$32)))</f>
        <v/>
      </c>
      <c r="J110" t="str">
        <f>IF($A110="","",IF($D110="V01",cad!$C$33,IF($D110="V02",cad!$D$33,cad!$E$33)))</f>
        <v/>
      </c>
      <c r="K110" t="str">
        <f>IF($A110="","",IF($D110="V01",cad!$C$34,IF($D110="V02",cad!$D$34,cad!$E$34)))</f>
        <v/>
      </c>
      <c r="L110" t="str">
        <f>IF($A110="","",IF($D110="V01",cad!$C$35,IF($D110="V02",cad!$D$35,cad!$E$35)))</f>
        <v/>
      </c>
      <c r="M110" t="str">
        <f>IF($A110="","",IF($D110="V01",cad!$C$36,IF($D110="V02",cad!$D$36,cad!$E$36)))</f>
        <v/>
      </c>
      <c r="N110" t="str">
        <f t="shared" si="5"/>
        <v/>
      </c>
      <c r="O110" t="str">
        <f t="shared" si="6"/>
        <v/>
      </c>
      <c r="P110" t="str">
        <f>IF($A110="","",IF($E110=1,$F110*$O110,PNL!G110))</f>
        <v/>
      </c>
      <c r="T110" t="str">
        <f t="shared" si="7"/>
        <v/>
      </c>
    </row>
    <row r="111" spans="1:20" x14ac:dyDescent="0.45">
      <c r="A111" t="str">
        <f>IF(PNL!A111="","",PNL!A111)</f>
        <v/>
      </c>
      <c r="B111" t="str">
        <f>IF(PNL!B111="","",PNL!B111)</f>
        <v/>
      </c>
      <c r="C111" t="str">
        <f>IF(PNL!C111="","",PNL!C111)</f>
        <v/>
      </c>
      <c r="D111" t="str">
        <f>IF(PNL!D111="","",PNL!D111)</f>
        <v/>
      </c>
      <c r="E111" t="str">
        <f t="shared" si="4"/>
        <v/>
      </c>
      <c r="F111" t="str">
        <f>IF($A111="","",IF($E111=1,SUMIFS(Compta!$F$1:$F$675,Compta!$A$1:$A$675,$A111,Compta!$B$1:$B$675,$B111,Compta!$C$1:$C$675,"2026"),0))</f>
        <v/>
      </c>
      <c r="G111" t="str">
        <f>IF($A111="","",IF($D111="V01",cad!$C$23,IF($D111="V02",cad!$D$23,cad!$E$23)))</f>
        <v/>
      </c>
      <c r="H111" t="str">
        <f>IF($A111="","",IF($D111="V01",cad!$C$24,IF($D111="V02",cad!$D$24,cad!$E$24)))</f>
        <v/>
      </c>
      <c r="I111" t="str">
        <f>IF($A111="","",IF($D111="V01",cad!$C$32,IF($D111="V02",cad!$D$32,cad!$E$32)))</f>
        <v/>
      </c>
      <c r="J111" t="str">
        <f>IF($A111="","",IF($D111="V01",cad!$C$33,IF($D111="V02",cad!$D$33,cad!$E$33)))</f>
        <v/>
      </c>
      <c r="K111" t="str">
        <f>IF($A111="","",IF($D111="V01",cad!$C$34,IF($D111="V02",cad!$D$34,cad!$E$34)))</f>
        <v/>
      </c>
      <c r="L111" t="str">
        <f>IF($A111="","",IF($D111="V01",cad!$C$35,IF($D111="V02",cad!$D$35,cad!$E$35)))</f>
        <v/>
      </c>
      <c r="M111" t="str">
        <f>IF($A111="","",IF($D111="V01",cad!$C$36,IF($D111="V02",cad!$D$36,cad!$E$36)))</f>
        <v/>
      </c>
      <c r="N111" t="str">
        <f t="shared" si="5"/>
        <v/>
      </c>
      <c r="O111" t="str">
        <f t="shared" si="6"/>
        <v/>
      </c>
      <c r="P111" t="str">
        <f>IF($A111="","",IF($E111=1,$F111*$O111,PNL!G111))</f>
        <v/>
      </c>
      <c r="T111" t="str">
        <f t="shared" si="7"/>
        <v/>
      </c>
    </row>
    <row r="112" spans="1:20" x14ac:dyDescent="0.45">
      <c r="A112" t="str">
        <f>IF(PNL!A112="","",PNL!A112)</f>
        <v/>
      </c>
      <c r="B112" t="str">
        <f>IF(PNL!B112="","",PNL!B112)</f>
        <v/>
      </c>
      <c r="C112" t="str">
        <f>IF(PNL!C112="","",PNL!C112)</f>
        <v/>
      </c>
      <c r="D112" t="str">
        <f>IF(PNL!D112="","",PNL!D112)</f>
        <v/>
      </c>
      <c r="E112" t="str">
        <f t="shared" si="4"/>
        <v/>
      </c>
      <c r="F112" t="str">
        <f>IF($A112="","",IF($E112=1,SUMIFS(Compta!$F$1:$F$675,Compta!$A$1:$A$675,$A112,Compta!$B$1:$B$675,$B112,Compta!$C$1:$C$675,"2026"),0))</f>
        <v/>
      </c>
      <c r="G112" t="str">
        <f>IF($A112="","",IF($D112="V01",cad!$C$23,IF($D112="V02",cad!$D$23,cad!$E$23)))</f>
        <v/>
      </c>
      <c r="H112" t="str">
        <f>IF($A112="","",IF($D112="V01",cad!$C$24,IF($D112="V02",cad!$D$24,cad!$E$24)))</f>
        <v/>
      </c>
      <c r="I112" t="str">
        <f>IF($A112="","",IF($D112="V01",cad!$C$32,IF($D112="V02",cad!$D$32,cad!$E$32)))</f>
        <v/>
      </c>
      <c r="J112" t="str">
        <f>IF($A112="","",IF($D112="V01",cad!$C$33,IF($D112="V02",cad!$D$33,cad!$E$33)))</f>
        <v/>
      </c>
      <c r="K112" t="str">
        <f>IF($A112="","",IF($D112="V01",cad!$C$34,IF($D112="V02",cad!$D$34,cad!$E$34)))</f>
        <v/>
      </c>
      <c r="L112" t="str">
        <f>IF($A112="","",IF($D112="V01",cad!$C$35,IF($D112="V02",cad!$D$35,cad!$E$35)))</f>
        <v/>
      </c>
      <c r="M112" t="str">
        <f>IF($A112="","",IF($D112="V01",cad!$C$36,IF($D112="V02",cad!$D$36,cad!$E$36)))</f>
        <v/>
      </c>
      <c r="N112" t="str">
        <f t="shared" si="5"/>
        <v/>
      </c>
      <c r="O112" t="str">
        <f t="shared" si="6"/>
        <v/>
      </c>
      <c r="P112" t="str">
        <f>IF($A112="","",IF($E112=1,$F112*$O112,PNL!G112))</f>
        <v/>
      </c>
      <c r="T112" t="str">
        <f t="shared" si="7"/>
        <v/>
      </c>
    </row>
    <row r="113" spans="1:20" x14ac:dyDescent="0.45">
      <c r="A113" t="str">
        <f>IF(PNL!A113="","",PNL!A113)</f>
        <v/>
      </c>
      <c r="B113" t="str">
        <f>IF(PNL!B113="","",PNL!B113)</f>
        <v/>
      </c>
      <c r="C113" t="str">
        <f>IF(PNL!C113="","",PNL!C113)</f>
        <v/>
      </c>
      <c r="D113" t="str">
        <f>IF(PNL!D113="","",PNL!D113)</f>
        <v/>
      </c>
      <c r="E113" t="str">
        <f t="shared" si="4"/>
        <v/>
      </c>
      <c r="F113" t="str">
        <f>IF($A113="","",IF($E113=1,SUMIFS(Compta!$F$1:$F$675,Compta!$A$1:$A$675,$A113,Compta!$B$1:$B$675,$B113,Compta!$C$1:$C$675,"2026"),0))</f>
        <v/>
      </c>
      <c r="G113" t="str">
        <f>IF($A113="","",IF($D113="V01",cad!$C$23,IF($D113="V02",cad!$D$23,cad!$E$23)))</f>
        <v/>
      </c>
      <c r="H113" t="str">
        <f>IF($A113="","",IF($D113="V01",cad!$C$24,IF($D113="V02",cad!$D$24,cad!$E$24)))</f>
        <v/>
      </c>
      <c r="I113" t="str">
        <f>IF($A113="","",IF($D113="V01",cad!$C$32,IF($D113="V02",cad!$D$32,cad!$E$32)))</f>
        <v/>
      </c>
      <c r="J113" t="str">
        <f>IF($A113="","",IF($D113="V01",cad!$C$33,IF($D113="V02",cad!$D$33,cad!$E$33)))</f>
        <v/>
      </c>
      <c r="K113" t="str">
        <f>IF($A113="","",IF($D113="V01",cad!$C$34,IF($D113="V02",cad!$D$34,cad!$E$34)))</f>
        <v/>
      </c>
      <c r="L113" t="str">
        <f>IF($A113="","",IF($D113="V01",cad!$C$35,IF($D113="V02",cad!$D$35,cad!$E$35)))</f>
        <v/>
      </c>
      <c r="M113" t="str">
        <f>IF($A113="","",IF($D113="V01",cad!$C$36,IF($D113="V02",cad!$D$36,cad!$E$36)))</f>
        <v/>
      </c>
      <c r="N113" t="str">
        <f t="shared" si="5"/>
        <v/>
      </c>
      <c r="O113" t="str">
        <f t="shared" si="6"/>
        <v/>
      </c>
      <c r="P113" t="str">
        <f>IF($A113="","",IF($E113=1,$F113*$O113,PNL!G113))</f>
        <v/>
      </c>
      <c r="T113" t="str">
        <f t="shared" si="7"/>
        <v/>
      </c>
    </row>
    <row r="114" spans="1:20" x14ac:dyDescent="0.45">
      <c r="A114" t="str">
        <f>IF(PNL!A114="","",PNL!A114)</f>
        <v/>
      </c>
      <c r="B114" t="str">
        <f>IF(PNL!B114="","",PNL!B114)</f>
        <v/>
      </c>
      <c r="C114" t="str">
        <f>IF(PNL!C114="","",PNL!C114)</f>
        <v/>
      </c>
      <c r="D114" t="str">
        <f>IF(PNL!D114="","",PNL!D114)</f>
        <v/>
      </c>
      <c r="E114" t="str">
        <f t="shared" si="4"/>
        <v/>
      </c>
      <c r="F114" t="str">
        <f>IF($A114="","",IF($E114=1,SUMIFS(Compta!$F$1:$F$675,Compta!$A$1:$A$675,$A114,Compta!$B$1:$B$675,$B114,Compta!$C$1:$C$675,"2026"),0))</f>
        <v/>
      </c>
      <c r="G114" t="str">
        <f>IF($A114="","",IF($D114="V01",cad!$C$23,IF($D114="V02",cad!$D$23,cad!$E$23)))</f>
        <v/>
      </c>
      <c r="H114" t="str">
        <f>IF($A114="","",IF($D114="V01",cad!$C$24,IF($D114="V02",cad!$D$24,cad!$E$24)))</f>
        <v/>
      </c>
      <c r="I114" t="str">
        <f>IF($A114="","",IF($D114="V01",cad!$C$32,IF($D114="V02",cad!$D$32,cad!$E$32)))</f>
        <v/>
      </c>
      <c r="J114" t="str">
        <f>IF($A114="","",IF($D114="V01",cad!$C$33,IF($D114="V02",cad!$D$33,cad!$E$33)))</f>
        <v/>
      </c>
      <c r="K114" t="str">
        <f>IF($A114="","",IF($D114="V01",cad!$C$34,IF($D114="V02",cad!$D$34,cad!$E$34)))</f>
        <v/>
      </c>
      <c r="L114" t="str">
        <f>IF($A114="","",IF($D114="V01",cad!$C$35,IF($D114="V02",cad!$D$35,cad!$E$35)))</f>
        <v/>
      </c>
      <c r="M114" t="str">
        <f>IF($A114="","",IF($D114="V01",cad!$C$36,IF($D114="V02",cad!$D$36,cad!$E$36)))</f>
        <v/>
      </c>
      <c r="N114" t="str">
        <f t="shared" si="5"/>
        <v/>
      </c>
      <c r="O114" t="str">
        <f t="shared" si="6"/>
        <v/>
      </c>
      <c r="P114" t="str">
        <f>IF($A114="","",IF($E114=1,$F114*$O114,PNL!G114))</f>
        <v/>
      </c>
      <c r="T114" t="str">
        <f t="shared" si="7"/>
        <v/>
      </c>
    </row>
    <row r="115" spans="1:20" x14ac:dyDescent="0.45">
      <c r="A115" t="str">
        <f>IF(PNL!A115="","",PNL!A115)</f>
        <v/>
      </c>
      <c r="B115" t="str">
        <f>IF(PNL!B115="","",PNL!B115)</f>
        <v/>
      </c>
      <c r="C115" t="str">
        <f>IF(PNL!C115="","",PNL!C115)</f>
        <v/>
      </c>
      <c r="D115" t="str">
        <f>IF(PNL!D115="","",PNL!D115)</f>
        <v/>
      </c>
      <c r="E115" t="str">
        <f t="shared" si="4"/>
        <v/>
      </c>
      <c r="F115" t="str">
        <f>IF($A115="","",IF($E115=1,SUMIFS(Compta!$F$1:$F$675,Compta!$A$1:$A$675,$A115,Compta!$B$1:$B$675,$B115,Compta!$C$1:$C$675,"2026"),0))</f>
        <v/>
      </c>
      <c r="G115" t="str">
        <f>IF($A115="","",IF($D115="V01",cad!$C$23,IF($D115="V02",cad!$D$23,cad!$E$23)))</f>
        <v/>
      </c>
      <c r="H115" t="str">
        <f>IF($A115="","",IF($D115="V01",cad!$C$24,IF($D115="V02",cad!$D$24,cad!$E$24)))</f>
        <v/>
      </c>
      <c r="I115" t="str">
        <f>IF($A115="","",IF($D115="V01",cad!$C$32,IF($D115="V02",cad!$D$32,cad!$E$32)))</f>
        <v/>
      </c>
      <c r="J115" t="str">
        <f>IF($A115="","",IF($D115="V01",cad!$C$33,IF($D115="V02",cad!$D$33,cad!$E$33)))</f>
        <v/>
      </c>
      <c r="K115" t="str">
        <f>IF($A115="","",IF($D115="V01",cad!$C$34,IF($D115="V02",cad!$D$34,cad!$E$34)))</f>
        <v/>
      </c>
      <c r="L115" t="str">
        <f>IF($A115="","",IF($D115="V01",cad!$C$35,IF($D115="V02",cad!$D$35,cad!$E$35)))</f>
        <v/>
      </c>
      <c r="M115" t="str">
        <f>IF($A115="","",IF($D115="V01",cad!$C$36,IF($D115="V02",cad!$D$36,cad!$E$36)))</f>
        <v/>
      </c>
      <c r="N115" t="str">
        <f t="shared" si="5"/>
        <v/>
      </c>
      <c r="O115" t="str">
        <f t="shared" si="6"/>
        <v/>
      </c>
      <c r="P115" t="str">
        <f>IF($A115="","",IF($E115=1,$F115*$O115,PNL!G115))</f>
        <v/>
      </c>
      <c r="T115" t="str">
        <f t="shared" si="7"/>
        <v/>
      </c>
    </row>
    <row r="116" spans="1:20" x14ac:dyDescent="0.45">
      <c r="A116" t="str">
        <f>IF(PNL!A116="","",PNL!A116)</f>
        <v/>
      </c>
      <c r="B116" t="str">
        <f>IF(PNL!B116="","",PNL!B116)</f>
        <v/>
      </c>
      <c r="C116" t="str">
        <f>IF(PNL!C116="","",PNL!C116)</f>
        <v/>
      </c>
      <c r="D116" t="str">
        <f>IF(PNL!D116="","",PNL!D116)</f>
        <v/>
      </c>
      <c r="E116" t="str">
        <f t="shared" si="4"/>
        <v/>
      </c>
      <c r="F116" t="str">
        <f>IF($A116="","",IF($E116=1,SUMIFS(Compta!$F$1:$F$675,Compta!$A$1:$A$675,$A116,Compta!$B$1:$B$675,$B116,Compta!$C$1:$C$675,"2026"),0))</f>
        <v/>
      </c>
      <c r="G116" t="str">
        <f>IF($A116="","",IF($D116="V01",cad!$C$23,IF($D116="V02",cad!$D$23,cad!$E$23)))</f>
        <v/>
      </c>
      <c r="H116" t="str">
        <f>IF($A116="","",IF($D116="V01",cad!$C$24,IF($D116="V02",cad!$D$24,cad!$E$24)))</f>
        <v/>
      </c>
      <c r="I116" t="str">
        <f>IF($A116="","",IF($D116="V01",cad!$C$32,IF($D116="V02",cad!$D$32,cad!$E$32)))</f>
        <v/>
      </c>
      <c r="J116" t="str">
        <f>IF($A116="","",IF($D116="V01",cad!$C$33,IF($D116="V02",cad!$D$33,cad!$E$33)))</f>
        <v/>
      </c>
      <c r="K116" t="str">
        <f>IF($A116="","",IF($D116="V01",cad!$C$34,IF($D116="V02",cad!$D$34,cad!$E$34)))</f>
        <v/>
      </c>
      <c r="L116" t="str">
        <f>IF($A116="","",IF($D116="V01",cad!$C$35,IF($D116="V02",cad!$D$35,cad!$E$35)))</f>
        <v/>
      </c>
      <c r="M116" t="str">
        <f>IF($A116="","",IF($D116="V01",cad!$C$36,IF($D116="V02",cad!$D$36,cad!$E$36)))</f>
        <v/>
      </c>
      <c r="N116" t="str">
        <f t="shared" si="5"/>
        <v/>
      </c>
      <c r="O116" t="str">
        <f t="shared" si="6"/>
        <v/>
      </c>
      <c r="P116" t="str">
        <f>IF($A116="","",IF($E116=1,$F116*$O116,PNL!G116))</f>
        <v/>
      </c>
      <c r="T116" t="str">
        <f t="shared" si="7"/>
        <v/>
      </c>
    </row>
    <row r="117" spans="1:20" x14ac:dyDescent="0.45">
      <c r="A117" t="str">
        <f>IF(PNL!A117="","",PNL!A117)</f>
        <v/>
      </c>
      <c r="B117" t="str">
        <f>IF(PNL!B117="","",PNL!B117)</f>
        <v/>
      </c>
      <c r="C117" t="str">
        <f>IF(PNL!C117="","",PNL!C117)</f>
        <v/>
      </c>
      <c r="D117" t="str">
        <f>IF(PNL!D117="","",PNL!D117)</f>
        <v/>
      </c>
      <c r="E117" t="str">
        <f t="shared" si="4"/>
        <v/>
      </c>
      <c r="F117" t="str">
        <f>IF($A117="","",IF($E117=1,SUMIFS(Compta!$F$1:$F$675,Compta!$A$1:$A$675,$A117,Compta!$B$1:$B$675,$B117,Compta!$C$1:$C$675,"2026"),0))</f>
        <v/>
      </c>
      <c r="G117" t="str">
        <f>IF($A117="","",IF($D117="V01",cad!$C$23,IF($D117="V02",cad!$D$23,cad!$E$23)))</f>
        <v/>
      </c>
      <c r="H117" t="str">
        <f>IF($A117="","",IF($D117="V01",cad!$C$24,IF($D117="V02",cad!$D$24,cad!$E$24)))</f>
        <v/>
      </c>
      <c r="I117" t="str">
        <f>IF($A117="","",IF($D117="V01",cad!$C$32,IF($D117="V02",cad!$D$32,cad!$E$32)))</f>
        <v/>
      </c>
      <c r="J117" t="str">
        <f>IF($A117="","",IF($D117="V01",cad!$C$33,IF($D117="V02",cad!$D$33,cad!$E$33)))</f>
        <v/>
      </c>
      <c r="K117" t="str">
        <f>IF($A117="","",IF($D117="V01",cad!$C$34,IF($D117="V02",cad!$D$34,cad!$E$34)))</f>
        <v/>
      </c>
      <c r="L117" t="str">
        <f>IF($A117="","",IF($D117="V01",cad!$C$35,IF($D117="V02",cad!$D$35,cad!$E$35)))</f>
        <v/>
      </c>
      <c r="M117" t="str">
        <f>IF($A117="","",IF($D117="V01",cad!$C$36,IF($D117="V02",cad!$D$36,cad!$E$36)))</f>
        <v/>
      </c>
      <c r="N117" t="str">
        <f t="shared" si="5"/>
        <v/>
      </c>
      <c r="O117" t="str">
        <f t="shared" si="6"/>
        <v/>
      </c>
      <c r="P117" t="str">
        <f>IF($A117="","",IF($E117=1,$F117*$O117,PNL!G117))</f>
        <v/>
      </c>
      <c r="T117" t="str">
        <f t="shared" si="7"/>
        <v/>
      </c>
    </row>
    <row r="118" spans="1:20" x14ac:dyDescent="0.45">
      <c r="A118" t="str">
        <f>IF(PNL!A118="","",PNL!A118)</f>
        <v/>
      </c>
      <c r="B118" t="str">
        <f>IF(PNL!B118="","",PNL!B118)</f>
        <v/>
      </c>
      <c r="C118" t="str">
        <f>IF(PNL!C118="","",PNL!C118)</f>
        <v/>
      </c>
      <c r="D118" t="str">
        <f>IF(PNL!D118="","",PNL!D118)</f>
        <v/>
      </c>
      <c r="E118" t="str">
        <f t="shared" si="4"/>
        <v/>
      </c>
      <c r="F118" t="str">
        <f>IF($A118="","",IF($E118=1,SUMIFS(Compta!$F$1:$F$675,Compta!$A$1:$A$675,$A118,Compta!$B$1:$B$675,$B118,Compta!$C$1:$C$675,"2026"),0))</f>
        <v/>
      </c>
      <c r="G118" t="str">
        <f>IF($A118="","",IF($D118="V01",cad!$C$23,IF($D118="V02",cad!$D$23,cad!$E$23)))</f>
        <v/>
      </c>
      <c r="H118" t="str">
        <f>IF($A118="","",IF($D118="V01",cad!$C$24,IF($D118="V02",cad!$D$24,cad!$E$24)))</f>
        <v/>
      </c>
      <c r="I118" t="str">
        <f>IF($A118="","",IF($D118="V01",cad!$C$32,IF($D118="V02",cad!$D$32,cad!$E$32)))</f>
        <v/>
      </c>
      <c r="J118" t="str">
        <f>IF($A118="","",IF($D118="V01",cad!$C$33,IF($D118="V02",cad!$D$33,cad!$E$33)))</f>
        <v/>
      </c>
      <c r="K118" t="str">
        <f>IF($A118="","",IF($D118="V01",cad!$C$34,IF($D118="V02",cad!$D$34,cad!$E$34)))</f>
        <v/>
      </c>
      <c r="L118" t="str">
        <f>IF($A118="","",IF($D118="V01",cad!$C$35,IF($D118="V02",cad!$D$35,cad!$E$35)))</f>
        <v/>
      </c>
      <c r="M118" t="str">
        <f>IF($A118="","",IF($D118="V01",cad!$C$36,IF($D118="V02",cad!$D$36,cad!$E$36)))</f>
        <v/>
      </c>
      <c r="N118" t="str">
        <f t="shared" si="5"/>
        <v/>
      </c>
      <c r="O118" t="str">
        <f t="shared" si="6"/>
        <v/>
      </c>
      <c r="P118" t="str">
        <f>IF($A118="","",IF($E118=1,$F118*$O118,PNL!G118))</f>
        <v/>
      </c>
      <c r="T118" t="str">
        <f t="shared" si="7"/>
        <v/>
      </c>
    </row>
    <row r="119" spans="1:20" x14ac:dyDescent="0.45">
      <c r="A119" t="str">
        <f>IF(PNL!A119="","",PNL!A119)</f>
        <v/>
      </c>
      <c r="B119" t="str">
        <f>IF(PNL!B119="","",PNL!B119)</f>
        <v/>
      </c>
      <c r="C119" t="str">
        <f>IF(PNL!C119="","",PNL!C119)</f>
        <v/>
      </c>
      <c r="D119" t="str">
        <f>IF(PNL!D119="","",PNL!D119)</f>
        <v/>
      </c>
      <c r="E119" t="str">
        <f t="shared" si="4"/>
        <v/>
      </c>
      <c r="F119" t="str">
        <f>IF($A119="","",IF($E119=1,SUMIFS(Compta!$F$1:$F$675,Compta!$A$1:$A$675,$A119,Compta!$B$1:$B$675,$B119,Compta!$C$1:$C$675,"2026"),0))</f>
        <v/>
      </c>
      <c r="G119" t="str">
        <f>IF($A119="","",IF($D119="V01",cad!$C$23,IF($D119="V02",cad!$D$23,cad!$E$23)))</f>
        <v/>
      </c>
      <c r="H119" t="str">
        <f>IF($A119="","",IF($D119="V01",cad!$C$24,IF($D119="V02",cad!$D$24,cad!$E$24)))</f>
        <v/>
      </c>
      <c r="I119" t="str">
        <f>IF($A119="","",IF($D119="V01",cad!$C$32,IF($D119="V02",cad!$D$32,cad!$E$32)))</f>
        <v/>
      </c>
      <c r="J119" t="str">
        <f>IF($A119="","",IF($D119="V01",cad!$C$33,IF($D119="V02",cad!$D$33,cad!$E$33)))</f>
        <v/>
      </c>
      <c r="K119" t="str">
        <f>IF($A119="","",IF($D119="V01",cad!$C$34,IF($D119="V02",cad!$D$34,cad!$E$34)))</f>
        <v/>
      </c>
      <c r="L119" t="str">
        <f>IF($A119="","",IF($D119="V01",cad!$C$35,IF($D119="V02",cad!$D$35,cad!$E$35)))</f>
        <v/>
      </c>
      <c r="M119" t="str">
        <f>IF($A119="","",IF($D119="V01",cad!$C$36,IF($D119="V02",cad!$D$36,cad!$E$36)))</f>
        <v/>
      </c>
      <c r="N119" t="str">
        <f t="shared" si="5"/>
        <v/>
      </c>
      <c r="O119" t="str">
        <f t="shared" si="6"/>
        <v/>
      </c>
      <c r="P119" t="str">
        <f>IF($A119="","",IF($E119=1,$F119*$O119,PNL!G119))</f>
        <v/>
      </c>
      <c r="T119" t="str">
        <f t="shared" si="7"/>
        <v/>
      </c>
    </row>
    <row r="120" spans="1:20" x14ac:dyDescent="0.45">
      <c r="A120" t="str">
        <f>IF(PNL!A120="","",PNL!A120)</f>
        <v/>
      </c>
      <c r="B120" t="str">
        <f>IF(PNL!B120="","",PNL!B120)</f>
        <v/>
      </c>
      <c r="C120" t="str">
        <f>IF(PNL!C120="","",PNL!C120)</f>
        <v/>
      </c>
      <c r="D120" t="str">
        <f>IF(PNL!D120="","",PNL!D120)</f>
        <v/>
      </c>
      <c r="E120" t="str">
        <f t="shared" si="4"/>
        <v/>
      </c>
      <c r="F120" t="str">
        <f>IF($A120="","",IF($E120=1,SUMIFS(Compta!$F$1:$F$675,Compta!$A$1:$A$675,$A120,Compta!$B$1:$B$675,$B120,Compta!$C$1:$C$675,"2026"),0))</f>
        <v/>
      </c>
      <c r="G120" t="str">
        <f>IF($A120="","",IF($D120="V01",cad!$C$23,IF($D120="V02",cad!$D$23,cad!$E$23)))</f>
        <v/>
      </c>
      <c r="H120" t="str">
        <f>IF($A120="","",IF($D120="V01",cad!$C$24,IF($D120="V02",cad!$D$24,cad!$E$24)))</f>
        <v/>
      </c>
      <c r="I120" t="str">
        <f>IF($A120="","",IF($D120="V01",cad!$C$32,IF($D120="V02",cad!$D$32,cad!$E$32)))</f>
        <v/>
      </c>
      <c r="J120" t="str">
        <f>IF($A120="","",IF($D120="V01",cad!$C$33,IF($D120="V02",cad!$D$33,cad!$E$33)))</f>
        <v/>
      </c>
      <c r="K120" t="str">
        <f>IF($A120="","",IF($D120="V01",cad!$C$34,IF($D120="V02",cad!$D$34,cad!$E$34)))</f>
        <v/>
      </c>
      <c r="L120" t="str">
        <f>IF($A120="","",IF($D120="V01",cad!$C$35,IF($D120="V02",cad!$D$35,cad!$E$35)))</f>
        <v/>
      </c>
      <c r="M120" t="str">
        <f>IF($A120="","",IF($D120="V01",cad!$C$36,IF($D120="V02",cad!$D$36,cad!$E$36)))</f>
        <v/>
      </c>
      <c r="N120" t="str">
        <f t="shared" si="5"/>
        <v/>
      </c>
      <c r="O120" t="str">
        <f t="shared" si="6"/>
        <v/>
      </c>
      <c r="P120" t="str">
        <f>IF($A120="","",IF($E120=1,$F120*$O120,PNL!G120))</f>
        <v/>
      </c>
      <c r="T120" t="str">
        <f t="shared" si="7"/>
        <v/>
      </c>
    </row>
    <row r="121" spans="1:20" x14ac:dyDescent="0.45">
      <c r="A121" t="str">
        <f>IF(PNL!A121="","",PNL!A121)</f>
        <v/>
      </c>
      <c r="B121" t="str">
        <f>IF(PNL!B121="","",PNL!B121)</f>
        <v/>
      </c>
      <c r="C121" t="str">
        <f>IF(PNL!C121="","",PNL!C121)</f>
        <v/>
      </c>
      <c r="D121" t="str">
        <f>IF(PNL!D121="","",PNL!D121)</f>
        <v/>
      </c>
      <c r="E121" t="str">
        <f t="shared" si="4"/>
        <v/>
      </c>
      <c r="F121" t="str">
        <f>IF($A121="","",IF($E121=1,SUMIFS(Compta!$F$1:$F$675,Compta!$A$1:$A$675,$A121,Compta!$B$1:$B$675,$B121,Compta!$C$1:$C$675,"2026"),0))</f>
        <v/>
      </c>
      <c r="G121" t="str">
        <f>IF($A121="","",IF($D121="V01",cad!$C$23,IF($D121="V02",cad!$D$23,cad!$E$23)))</f>
        <v/>
      </c>
      <c r="H121" t="str">
        <f>IF($A121="","",IF($D121="V01",cad!$C$24,IF($D121="V02",cad!$D$24,cad!$E$24)))</f>
        <v/>
      </c>
      <c r="I121" t="str">
        <f>IF($A121="","",IF($D121="V01",cad!$C$32,IF($D121="V02",cad!$D$32,cad!$E$32)))</f>
        <v/>
      </c>
      <c r="J121" t="str">
        <f>IF($A121="","",IF($D121="V01",cad!$C$33,IF($D121="V02",cad!$D$33,cad!$E$33)))</f>
        <v/>
      </c>
      <c r="K121" t="str">
        <f>IF($A121="","",IF($D121="V01",cad!$C$34,IF($D121="V02",cad!$D$34,cad!$E$34)))</f>
        <v/>
      </c>
      <c r="L121" t="str">
        <f>IF($A121="","",IF($D121="V01",cad!$C$35,IF($D121="V02",cad!$D$35,cad!$E$35)))</f>
        <v/>
      </c>
      <c r="M121" t="str">
        <f>IF($A121="","",IF($D121="V01",cad!$C$36,IF($D121="V02",cad!$D$36,cad!$E$36)))</f>
        <v/>
      </c>
      <c r="N121" t="str">
        <f t="shared" si="5"/>
        <v/>
      </c>
      <c r="O121" t="str">
        <f t="shared" si="6"/>
        <v/>
      </c>
      <c r="P121" t="str">
        <f>IF($A121="","",IF($E121=1,$F121*$O121,PNL!G121))</f>
        <v/>
      </c>
      <c r="T121" t="str">
        <f t="shared" si="7"/>
        <v/>
      </c>
    </row>
    <row r="122" spans="1:20" x14ac:dyDescent="0.45">
      <c r="A122" t="str">
        <f>IF(PNL!A122="","",PNL!A122)</f>
        <v/>
      </c>
      <c r="B122" t="str">
        <f>IF(PNL!B122="","",PNL!B122)</f>
        <v/>
      </c>
      <c r="C122" t="str">
        <f>IF(PNL!C122="","",PNL!C122)</f>
        <v/>
      </c>
      <c r="D122" t="str">
        <f>IF(PNL!D122="","",PNL!D122)</f>
        <v/>
      </c>
      <c r="E122" t="str">
        <f t="shared" si="4"/>
        <v/>
      </c>
      <c r="F122" t="str">
        <f>IF($A122="","",IF($E122=1,SUMIFS(Compta!$F$1:$F$675,Compta!$A$1:$A$675,$A122,Compta!$B$1:$B$675,$B122,Compta!$C$1:$C$675,"2026"),0))</f>
        <v/>
      </c>
      <c r="G122" t="str">
        <f>IF($A122="","",IF($D122="V01",cad!$C$23,IF($D122="V02",cad!$D$23,cad!$E$23)))</f>
        <v/>
      </c>
      <c r="H122" t="str">
        <f>IF($A122="","",IF($D122="V01",cad!$C$24,IF($D122="V02",cad!$D$24,cad!$E$24)))</f>
        <v/>
      </c>
      <c r="I122" t="str">
        <f>IF($A122="","",IF($D122="V01",cad!$C$32,IF($D122="V02",cad!$D$32,cad!$E$32)))</f>
        <v/>
      </c>
      <c r="J122" t="str">
        <f>IF($A122="","",IF($D122="V01",cad!$C$33,IF($D122="V02",cad!$D$33,cad!$E$33)))</f>
        <v/>
      </c>
      <c r="K122" t="str">
        <f>IF($A122="","",IF($D122="V01",cad!$C$34,IF($D122="V02",cad!$D$34,cad!$E$34)))</f>
        <v/>
      </c>
      <c r="L122" t="str">
        <f>IF($A122="","",IF($D122="V01",cad!$C$35,IF($D122="V02",cad!$D$35,cad!$E$35)))</f>
        <v/>
      </c>
      <c r="M122" t="str">
        <f>IF($A122="","",IF($D122="V01",cad!$C$36,IF($D122="V02",cad!$D$36,cad!$E$36)))</f>
        <v/>
      </c>
      <c r="N122" t="str">
        <f t="shared" si="5"/>
        <v/>
      </c>
      <c r="O122" t="str">
        <f t="shared" si="6"/>
        <v/>
      </c>
      <c r="P122" t="str">
        <f>IF($A122="","",IF($E122=1,$F122*$O122,PNL!G122))</f>
        <v/>
      </c>
      <c r="T122" t="str">
        <f t="shared" si="7"/>
        <v/>
      </c>
    </row>
    <row r="123" spans="1:20" x14ac:dyDescent="0.45">
      <c r="A123" t="str">
        <f>IF(PNL!A123="","",PNL!A123)</f>
        <v/>
      </c>
      <c r="B123" t="str">
        <f>IF(PNL!B123="","",PNL!B123)</f>
        <v/>
      </c>
      <c r="C123" t="str">
        <f>IF(PNL!C123="","",PNL!C123)</f>
        <v/>
      </c>
      <c r="D123" t="str">
        <f>IF(PNL!D123="","",PNL!D123)</f>
        <v/>
      </c>
      <c r="E123" t="str">
        <f t="shared" si="4"/>
        <v/>
      </c>
      <c r="F123" t="str">
        <f>IF($A123="","",IF($E123=1,SUMIFS(Compta!$F$1:$F$675,Compta!$A$1:$A$675,$A123,Compta!$B$1:$B$675,$B123,Compta!$C$1:$C$675,"2026"),0))</f>
        <v/>
      </c>
      <c r="G123" t="str">
        <f>IF($A123="","",IF($D123="V01",cad!$C$23,IF($D123="V02",cad!$D$23,cad!$E$23)))</f>
        <v/>
      </c>
      <c r="H123" t="str">
        <f>IF($A123="","",IF($D123="V01",cad!$C$24,IF($D123="V02",cad!$D$24,cad!$E$24)))</f>
        <v/>
      </c>
      <c r="I123" t="str">
        <f>IF($A123="","",IF($D123="V01",cad!$C$32,IF($D123="V02",cad!$D$32,cad!$E$32)))</f>
        <v/>
      </c>
      <c r="J123" t="str">
        <f>IF($A123="","",IF($D123="V01",cad!$C$33,IF($D123="V02",cad!$D$33,cad!$E$33)))</f>
        <v/>
      </c>
      <c r="K123" t="str">
        <f>IF($A123="","",IF($D123="V01",cad!$C$34,IF($D123="V02",cad!$D$34,cad!$E$34)))</f>
        <v/>
      </c>
      <c r="L123" t="str">
        <f>IF($A123="","",IF($D123="V01",cad!$C$35,IF($D123="V02",cad!$D$35,cad!$E$35)))</f>
        <v/>
      </c>
      <c r="M123" t="str">
        <f>IF($A123="","",IF($D123="V01",cad!$C$36,IF($D123="V02",cad!$D$36,cad!$E$36)))</f>
        <v/>
      </c>
      <c r="N123" t="str">
        <f t="shared" si="5"/>
        <v/>
      </c>
      <c r="O123" t="str">
        <f t="shared" si="6"/>
        <v/>
      </c>
      <c r="P123" t="str">
        <f>IF($A123="","",IF($E123=1,$F123*$O123,PNL!G123))</f>
        <v/>
      </c>
      <c r="T123" t="str">
        <f t="shared" si="7"/>
        <v/>
      </c>
    </row>
    <row r="124" spans="1:20" x14ac:dyDescent="0.45">
      <c r="A124" t="str">
        <f>IF(PNL!A124="","",PNL!A124)</f>
        <v/>
      </c>
      <c r="B124" t="str">
        <f>IF(PNL!B124="","",PNL!B124)</f>
        <v/>
      </c>
      <c r="C124" t="str">
        <f>IF(PNL!C124="","",PNL!C124)</f>
        <v/>
      </c>
      <c r="D124" t="str">
        <f>IF(PNL!D124="","",PNL!D124)</f>
        <v/>
      </c>
      <c r="E124" t="str">
        <f t="shared" si="4"/>
        <v/>
      </c>
      <c r="F124" t="str">
        <f>IF($A124="","",IF($E124=1,SUMIFS(Compta!$F$1:$F$675,Compta!$A$1:$A$675,$A124,Compta!$B$1:$B$675,$B124,Compta!$C$1:$C$675,"2026"),0))</f>
        <v/>
      </c>
      <c r="G124" t="str">
        <f>IF($A124="","",IF($D124="V01",cad!$C$23,IF($D124="V02",cad!$D$23,cad!$E$23)))</f>
        <v/>
      </c>
      <c r="H124" t="str">
        <f>IF($A124="","",IF($D124="V01",cad!$C$24,IF($D124="V02",cad!$D$24,cad!$E$24)))</f>
        <v/>
      </c>
      <c r="I124" t="str">
        <f>IF($A124="","",IF($D124="V01",cad!$C$32,IF($D124="V02",cad!$D$32,cad!$E$32)))</f>
        <v/>
      </c>
      <c r="J124" t="str">
        <f>IF($A124="","",IF($D124="V01",cad!$C$33,IF($D124="V02",cad!$D$33,cad!$E$33)))</f>
        <v/>
      </c>
      <c r="K124" t="str">
        <f>IF($A124="","",IF($D124="V01",cad!$C$34,IF($D124="V02",cad!$D$34,cad!$E$34)))</f>
        <v/>
      </c>
      <c r="L124" t="str">
        <f>IF($A124="","",IF($D124="V01",cad!$C$35,IF($D124="V02",cad!$D$35,cad!$E$35)))</f>
        <v/>
      </c>
      <c r="M124" t="str">
        <f>IF($A124="","",IF($D124="V01",cad!$C$36,IF($D124="V02",cad!$D$36,cad!$E$36)))</f>
        <v/>
      </c>
      <c r="N124" t="str">
        <f t="shared" si="5"/>
        <v/>
      </c>
      <c r="O124" t="str">
        <f t="shared" si="6"/>
        <v/>
      </c>
      <c r="P124" t="str">
        <f>IF($A124="","",IF($E124=1,$F124*$O124,PNL!G124))</f>
        <v/>
      </c>
      <c r="T124" t="str">
        <f t="shared" si="7"/>
        <v/>
      </c>
    </row>
    <row r="125" spans="1:20" x14ac:dyDescent="0.45">
      <c r="A125" t="str">
        <f>IF(PNL!A125="","",PNL!A125)</f>
        <v/>
      </c>
      <c r="B125" t="str">
        <f>IF(PNL!B125="","",PNL!B125)</f>
        <v/>
      </c>
      <c r="C125" t="str">
        <f>IF(PNL!C125="","",PNL!C125)</f>
        <v/>
      </c>
      <c r="D125" t="str">
        <f>IF(PNL!D125="","",PNL!D125)</f>
        <v/>
      </c>
      <c r="E125" t="str">
        <f t="shared" si="4"/>
        <v/>
      </c>
      <c r="F125" t="str">
        <f>IF($A125="","",IF($E125=1,SUMIFS(Compta!$F$1:$F$675,Compta!$A$1:$A$675,$A125,Compta!$B$1:$B$675,$B125,Compta!$C$1:$C$675,"2026"),0))</f>
        <v/>
      </c>
      <c r="G125" t="str">
        <f>IF($A125="","",IF($D125="V01",cad!$C$23,IF($D125="V02",cad!$D$23,cad!$E$23)))</f>
        <v/>
      </c>
      <c r="H125" t="str">
        <f>IF($A125="","",IF($D125="V01",cad!$C$24,IF($D125="V02",cad!$D$24,cad!$E$24)))</f>
        <v/>
      </c>
      <c r="I125" t="str">
        <f>IF($A125="","",IF($D125="V01",cad!$C$32,IF($D125="V02",cad!$D$32,cad!$E$32)))</f>
        <v/>
      </c>
      <c r="J125" t="str">
        <f>IF($A125="","",IF($D125="V01",cad!$C$33,IF($D125="V02",cad!$D$33,cad!$E$33)))</f>
        <v/>
      </c>
      <c r="K125" t="str">
        <f>IF($A125="","",IF($D125="V01",cad!$C$34,IF($D125="V02",cad!$D$34,cad!$E$34)))</f>
        <v/>
      </c>
      <c r="L125" t="str">
        <f>IF($A125="","",IF($D125="V01",cad!$C$35,IF($D125="V02",cad!$D$35,cad!$E$35)))</f>
        <v/>
      </c>
      <c r="M125" t="str">
        <f>IF($A125="","",IF($D125="V01",cad!$C$36,IF($D125="V02",cad!$D$36,cad!$E$36)))</f>
        <v/>
      </c>
      <c r="N125" t="str">
        <f t="shared" si="5"/>
        <v/>
      </c>
      <c r="O125" t="str">
        <f t="shared" si="6"/>
        <v/>
      </c>
      <c r="P125" t="str">
        <f>IF($A125="","",IF($E125=1,$F125*$O125,PNL!G125))</f>
        <v/>
      </c>
      <c r="T125" t="str">
        <f t="shared" si="7"/>
        <v/>
      </c>
    </row>
    <row r="126" spans="1:20" x14ac:dyDescent="0.45">
      <c r="A126" t="str">
        <f>IF(PNL!A126="","",PNL!A126)</f>
        <v/>
      </c>
      <c r="B126" t="str">
        <f>IF(PNL!B126="","",PNL!B126)</f>
        <v/>
      </c>
      <c r="C126" t="str">
        <f>IF(PNL!C126="","",PNL!C126)</f>
        <v/>
      </c>
      <c r="D126" t="str">
        <f>IF(PNL!D126="","",PNL!D126)</f>
        <v/>
      </c>
      <c r="E126" t="str">
        <f t="shared" si="4"/>
        <v/>
      </c>
      <c r="F126" t="str">
        <f>IF($A126="","",IF($E126=1,SUMIFS(Compta!$F$1:$F$675,Compta!$A$1:$A$675,$A126,Compta!$B$1:$B$675,$B126,Compta!$C$1:$C$675,"2026"),0))</f>
        <v/>
      </c>
      <c r="G126" t="str">
        <f>IF($A126="","",IF($D126="V01",cad!$C$23,IF($D126="V02",cad!$D$23,cad!$E$23)))</f>
        <v/>
      </c>
      <c r="H126" t="str">
        <f>IF($A126="","",IF($D126="V01",cad!$C$24,IF($D126="V02",cad!$D$24,cad!$E$24)))</f>
        <v/>
      </c>
      <c r="I126" t="str">
        <f>IF($A126="","",IF($D126="V01",cad!$C$32,IF($D126="V02",cad!$D$32,cad!$E$32)))</f>
        <v/>
      </c>
      <c r="J126" t="str">
        <f>IF($A126="","",IF($D126="V01",cad!$C$33,IF($D126="V02",cad!$D$33,cad!$E$33)))</f>
        <v/>
      </c>
      <c r="K126" t="str">
        <f>IF($A126="","",IF($D126="V01",cad!$C$34,IF($D126="V02",cad!$D$34,cad!$E$34)))</f>
        <v/>
      </c>
      <c r="L126" t="str">
        <f>IF($A126="","",IF($D126="V01",cad!$C$35,IF($D126="V02",cad!$D$35,cad!$E$35)))</f>
        <v/>
      </c>
      <c r="M126" t="str">
        <f>IF($A126="","",IF($D126="V01",cad!$C$36,IF($D126="V02",cad!$D$36,cad!$E$36)))</f>
        <v/>
      </c>
      <c r="N126" t="str">
        <f t="shared" si="5"/>
        <v/>
      </c>
      <c r="O126" t="str">
        <f t="shared" si="6"/>
        <v/>
      </c>
      <c r="P126" t="str">
        <f>IF($A126="","",IF($E126=1,$F126*$O126,PNL!G126))</f>
        <v/>
      </c>
      <c r="T126" t="str">
        <f t="shared" si="7"/>
        <v/>
      </c>
    </row>
    <row r="127" spans="1:20" x14ac:dyDescent="0.45">
      <c r="A127" t="str">
        <f>IF(PNL!A127="","",PNL!A127)</f>
        <v/>
      </c>
      <c r="B127" t="str">
        <f>IF(PNL!B127="","",PNL!B127)</f>
        <v/>
      </c>
      <c r="C127" t="str">
        <f>IF(PNL!C127="","",PNL!C127)</f>
        <v/>
      </c>
      <c r="D127" t="str">
        <f>IF(PNL!D127="","",PNL!D127)</f>
        <v/>
      </c>
      <c r="E127" t="str">
        <f t="shared" si="4"/>
        <v/>
      </c>
      <c r="F127" t="str">
        <f>IF($A127="","",IF($E127=1,SUMIFS(Compta!$F$1:$F$675,Compta!$A$1:$A$675,$A127,Compta!$B$1:$B$675,$B127,Compta!$C$1:$C$675,"2026"),0))</f>
        <v/>
      </c>
      <c r="G127" t="str">
        <f>IF($A127="","",IF($D127="V01",cad!$C$23,IF($D127="V02",cad!$D$23,cad!$E$23)))</f>
        <v/>
      </c>
      <c r="H127" t="str">
        <f>IF($A127="","",IF($D127="V01",cad!$C$24,IF($D127="V02",cad!$D$24,cad!$E$24)))</f>
        <v/>
      </c>
      <c r="I127" t="str">
        <f>IF($A127="","",IF($D127="V01",cad!$C$32,IF($D127="V02",cad!$D$32,cad!$E$32)))</f>
        <v/>
      </c>
      <c r="J127" t="str">
        <f>IF($A127="","",IF($D127="V01",cad!$C$33,IF($D127="V02",cad!$D$33,cad!$E$33)))</f>
        <v/>
      </c>
      <c r="K127" t="str">
        <f>IF($A127="","",IF($D127="V01",cad!$C$34,IF($D127="V02",cad!$D$34,cad!$E$34)))</f>
        <v/>
      </c>
      <c r="L127" t="str">
        <f>IF($A127="","",IF($D127="V01",cad!$C$35,IF($D127="V02",cad!$D$35,cad!$E$35)))</f>
        <v/>
      </c>
      <c r="M127" t="str">
        <f>IF($A127="","",IF($D127="V01",cad!$C$36,IF($D127="V02",cad!$D$36,cad!$E$36)))</f>
        <v/>
      </c>
      <c r="N127" t="str">
        <f t="shared" si="5"/>
        <v/>
      </c>
      <c r="O127" t="str">
        <f t="shared" si="6"/>
        <v/>
      </c>
      <c r="P127" t="str">
        <f>IF($A127="","",IF($E127=1,$F127*$O127,PNL!G127))</f>
        <v/>
      </c>
      <c r="T127" t="str">
        <f t="shared" si="7"/>
        <v/>
      </c>
    </row>
    <row r="128" spans="1:20" x14ac:dyDescent="0.45">
      <c r="A128" t="str">
        <f>IF(PNL!A128="","",PNL!A128)</f>
        <v/>
      </c>
      <c r="B128" t="str">
        <f>IF(PNL!B128="","",PNL!B128)</f>
        <v/>
      </c>
      <c r="C128" t="str">
        <f>IF(PNL!C128="","",PNL!C128)</f>
        <v/>
      </c>
      <c r="D128" t="str">
        <f>IF(PNL!D128="","",PNL!D128)</f>
        <v/>
      </c>
      <c r="E128" t="str">
        <f t="shared" si="4"/>
        <v/>
      </c>
      <c r="F128" t="str">
        <f>IF($A128="","",IF($E128=1,SUMIFS(Compta!$F$1:$F$675,Compta!$A$1:$A$675,$A128,Compta!$B$1:$B$675,$B128,Compta!$C$1:$C$675,"2026"),0))</f>
        <v/>
      </c>
      <c r="G128" t="str">
        <f>IF($A128="","",IF($D128="V01",cad!$C$23,IF($D128="V02",cad!$D$23,cad!$E$23)))</f>
        <v/>
      </c>
      <c r="H128" t="str">
        <f>IF($A128="","",IF($D128="V01",cad!$C$24,IF($D128="V02",cad!$D$24,cad!$E$24)))</f>
        <v/>
      </c>
      <c r="I128" t="str">
        <f>IF($A128="","",IF($D128="V01",cad!$C$32,IF($D128="V02",cad!$D$32,cad!$E$32)))</f>
        <v/>
      </c>
      <c r="J128" t="str">
        <f>IF($A128="","",IF($D128="V01",cad!$C$33,IF($D128="V02",cad!$D$33,cad!$E$33)))</f>
        <v/>
      </c>
      <c r="K128" t="str">
        <f>IF($A128="","",IF($D128="V01",cad!$C$34,IF($D128="V02",cad!$D$34,cad!$E$34)))</f>
        <v/>
      </c>
      <c r="L128" t="str">
        <f>IF($A128="","",IF($D128="V01",cad!$C$35,IF($D128="V02",cad!$D$35,cad!$E$35)))</f>
        <v/>
      </c>
      <c r="M128" t="str">
        <f>IF($A128="","",IF($D128="V01",cad!$C$36,IF($D128="V02",cad!$D$36,cad!$E$36)))</f>
        <v/>
      </c>
      <c r="N128" t="str">
        <f t="shared" si="5"/>
        <v/>
      </c>
      <c r="O128" t="str">
        <f t="shared" si="6"/>
        <v/>
      </c>
      <c r="P128" t="str">
        <f>IF($A128="","",IF($E128=1,$F128*$O128,PNL!G128))</f>
        <v/>
      </c>
      <c r="T128" t="str">
        <f t="shared" si="7"/>
        <v/>
      </c>
    </row>
    <row r="129" spans="1:20" x14ac:dyDescent="0.45">
      <c r="A129" t="str">
        <f>IF(PNL!A129="","",PNL!A129)</f>
        <v/>
      </c>
      <c r="B129" t="str">
        <f>IF(PNL!B129="","",PNL!B129)</f>
        <v/>
      </c>
      <c r="C129" t="str">
        <f>IF(PNL!C129="","",PNL!C129)</f>
        <v/>
      </c>
      <c r="D129" t="str">
        <f>IF(PNL!D129="","",PNL!D129)</f>
        <v/>
      </c>
      <c r="E129" t="str">
        <f t="shared" si="4"/>
        <v/>
      </c>
      <c r="F129" t="str">
        <f>IF($A129="","",IF($E129=1,SUMIFS(Compta!$F$1:$F$675,Compta!$A$1:$A$675,$A129,Compta!$B$1:$B$675,$B129,Compta!$C$1:$C$675,"2026"),0))</f>
        <v/>
      </c>
      <c r="G129" t="str">
        <f>IF($A129="","",IF($D129="V01",cad!$C$23,IF($D129="V02",cad!$D$23,cad!$E$23)))</f>
        <v/>
      </c>
      <c r="H129" t="str">
        <f>IF($A129="","",IF($D129="V01",cad!$C$24,IF($D129="V02",cad!$D$24,cad!$E$24)))</f>
        <v/>
      </c>
      <c r="I129" t="str">
        <f>IF($A129="","",IF($D129="V01",cad!$C$32,IF($D129="V02",cad!$D$32,cad!$E$32)))</f>
        <v/>
      </c>
      <c r="J129" t="str">
        <f>IF($A129="","",IF($D129="V01",cad!$C$33,IF($D129="V02",cad!$D$33,cad!$E$33)))</f>
        <v/>
      </c>
      <c r="K129" t="str">
        <f>IF($A129="","",IF($D129="V01",cad!$C$34,IF($D129="V02",cad!$D$34,cad!$E$34)))</f>
        <v/>
      </c>
      <c r="L129" t="str">
        <f>IF($A129="","",IF($D129="V01",cad!$C$35,IF($D129="V02",cad!$D$35,cad!$E$35)))</f>
        <v/>
      </c>
      <c r="M129" t="str">
        <f>IF($A129="","",IF($D129="V01",cad!$C$36,IF($D129="V02",cad!$D$36,cad!$E$36)))</f>
        <v/>
      </c>
      <c r="N129" t="str">
        <f t="shared" si="5"/>
        <v/>
      </c>
      <c r="O129" t="str">
        <f t="shared" si="6"/>
        <v/>
      </c>
      <c r="P129" t="str">
        <f>IF($A129="","",IF($E129=1,$F129*$O129,PNL!G129))</f>
        <v/>
      </c>
      <c r="T129" t="str">
        <f t="shared" si="7"/>
        <v/>
      </c>
    </row>
    <row r="130" spans="1:20" x14ac:dyDescent="0.45">
      <c r="A130" t="str">
        <f>IF(PNL!A130="","",PNL!A130)</f>
        <v/>
      </c>
      <c r="B130" t="str">
        <f>IF(PNL!B130="","",PNL!B130)</f>
        <v/>
      </c>
      <c r="C130" t="str">
        <f>IF(PNL!C130="","",PNL!C130)</f>
        <v/>
      </c>
      <c r="D130" t="str">
        <f>IF(PNL!D130="","",PNL!D130)</f>
        <v/>
      </c>
      <c r="E130" t="str">
        <f t="shared" ref="E130:E193" si="8">IF($A130="","",IF(AND($C130="2027",OR($D130="V01",$D130="V02",$D130="V03")),1,0))</f>
        <v/>
      </c>
      <c r="F130" t="str">
        <f>IF($A130="","",IF($E130=1,SUMIFS(Compta!$F$1:$F$675,Compta!$A$1:$A$675,$A130,Compta!$B$1:$B$675,$B130,Compta!$C$1:$C$675,"2026"),0))</f>
        <v/>
      </c>
      <c r="G130" t="str">
        <f>IF($A130="","",IF($D130="V01",cad!$C$23,IF($D130="V02",cad!$D$23,cad!$E$23)))</f>
        <v/>
      </c>
      <c r="H130" t="str">
        <f>IF($A130="","",IF($D130="V01",cad!$C$24,IF($D130="V02",cad!$D$24,cad!$E$24)))</f>
        <v/>
      </c>
      <c r="I130" t="str">
        <f>IF($A130="","",IF($D130="V01",cad!$C$32,IF($D130="V02",cad!$D$32,cad!$E$32)))</f>
        <v/>
      </c>
      <c r="J130" t="str">
        <f>IF($A130="","",IF($D130="V01",cad!$C$33,IF($D130="V02",cad!$D$33,cad!$E$33)))</f>
        <v/>
      </c>
      <c r="K130" t="str">
        <f>IF($A130="","",IF($D130="V01",cad!$C$34,IF($D130="V02",cad!$D$34,cad!$E$34)))</f>
        <v/>
      </c>
      <c r="L130" t="str">
        <f>IF($A130="","",IF($D130="V01",cad!$C$35,IF($D130="V02",cad!$D$35,cad!$E$35)))</f>
        <v/>
      </c>
      <c r="M130" t="str">
        <f>IF($A130="","",IF($D130="V01",cad!$C$36,IF($D130="V02",cad!$D$36,cad!$E$36)))</f>
        <v/>
      </c>
      <c r="N130" t="str">
        <f t="shared" ref="N130:N193" si="9">IF($A130="","",IF($D130="V01",$R$2,IF($D130="V02",$R$3,$R$4)))</f>
        <v/>
      </c>
      <c r="O130" t="str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 t="str">
        <f>IF($A130="","",IF($E130=1,$F130*$O130,PNL!G130))</f>
        <v/>
      </c>
      <c r="T130" t="str">
        <f t="shared" ref="T130:T193" si="11">IF($A130="","",IF($E130=1,IF(OR($B130="7062",$B130="706",$B130="708"),$P130,IF(AND(LEFT($B130,1)="6",$B130&lt;&gt;"6811"),-$P130,0)),0))</f>
        <v/>
      </c>
    </row>
    <row r="131" spans="1:20" x14ac:dyDescent="0.45">
      <c r="A131" t="str">
        <f>IF(PNL!A131="","",PNL!A131)</f>
        <v/>
      </c>
      <c r="B131" t="str">
        <f>IF(PNL!B131="","",PNL!B131)</f>
        <v/>
      </c>
      <c r="C131" t="str">
        <f>IF(PNL!C131="","",PNL!C131)</f>
        <v/>
      </c>
      <c r="D131" t="str">
        <f>IF(PNL!D131="","",PNL!D131)</f>
        <v/>
      </c>
      <c r="E131" t="str">
        <f t="shared" si="8"/>
        <v/>
      </c>
      <c r="F131" t="str">
        <f>IF($A131="","",IF($E131=1,SUMIFS(Compta!$F$1:$F$675,Compta!$A$1:$A$675,$A131,Compta!$B$1:$B$675,$B131,Compta!$C$1:$C$675,"2026"),0))</f>
        <v/>
      </c>
      <c r="G131" t="str">
        <f>IF($A131="","",IF($D131="V01",cad!$C$23,IF($D131="V02",cad!$D$23,cad!$E$23)))</f>
        <v/>
      </c>
      <c r="H131" t="str">
        <f>IF($A131="","",IF($D131="V01",cad!$C$24,IF($D131="V02",cad!$D$24,cad!$E$24)))</f>
        <v/>
      </c>
      <c r="I131" t="str">
        <f>IF($A131="","",IF($D131="V01",cad!$C$32,IF($D131="V02",cad!$D$32,cad!$E$32)))</f>
        <v/>
      </c>
      <c r="J131" t="str">
        <f>IF($A131="","",IF($D131="V01",cad!$C$33,IF($D131="V02",cad!$D$33,cad!$E$33)))</f>
        <v/>
      </c>
      <c r="K131" t="str">
        <f>IF($A131="","",IF($D131="V01",cad!$C$34,IF($D131="V02",cad!$D$34,cad!$E$34)))</f>
        <v/>
      </c>
      <c r="L131" t="str">
        <f>IF($A131="","",IF($D131="V01",cad!$C$35,IF($D131="V02",cad!$D$35,cad!$E$35)))</f>
        <v/>
      </c>
      <c r="M131" t="str">
        <f>IF($A131="","",IF($D131="V01",cad!$C$36,IF($D131="V02",cad!$D$36,cad!$E$36)))</f>
        <v/>
      </c>
      <c r="N131" t="str">
        <f t="shared" si="9"/>
        <v/>
      </c>
      <c r="O131" t="str">
        <f t="shared" si="10"/>
        <v/>
      </c>
      <c r="P131" t="str">
        <f>IF($A131="","",IF($E131=1,$F131*$O131,PNL!G131))</f>
        <v/>
      </c>
      <c r="T131" t="str">
        <f t="shared" si="11"/>
        <v/>
      </c>
    </row>
    <row r="132" spans="1:20" x14ac:dyDescent="0.45">
      <c r="A132" t="str">
        <f>IF(PNL!A132="","",PNL!A132)</f>
        <v/>
      </c>
      <c r="B132" t="str">
        <f>IF(PNL!B132="","",PNL!B132)</f>
        <v/>
      </c>
      <c r="C132" t="str">
        <f>IF(PNL!C132="","",PNL!C132)</f>
        <v/>
      </c>
      <c r="D132" t="str">
        <f>IF(PNL!D132="","",PNL!D132)</f>
        <v/>
      </c>
      <c r="E132" t="str">
        <f t="shared" si="8"/>
        <v/>
      </c>
      <c r="F132" t="str">
        <f>IF($A132="","",IF($E132=1,SUMIFS(Compta!$F$1:$F$675,Compta!$A$1:$A$675,$A132,Compta!$B$1:$B$675,$B132,Compta!$C$1:$C$675,"2026"),0))</f>
        <v/>
      </c>
      <c r="G132" t="str">
        <f>IF($A132="","",IF($D132="V01",cad!$C$23,IF($D132="V02",cad!$D$23,cad!$E$23)))</f>
        <v/>
      </c>
      <c r="H132" t="str">
        <f>IF($A132="","",IF($D132="V01",cad!$C$24,IF($D132="V02",cad!$D$24,cad!$E$24)))</f>
        <v/>
      </c>
      <c r="I132" t="str">
        <f>IF($A132="","",IF($D132="V01",cad!$C$32,IF($D132="V02",cad!$D$32,cad!$E$32)))</f>
        <v/>
      </c>
      <c r="J132" t="str">
        <f>IF($A132="","",IF($D132="V01",cad!$C$33,IF($D132="V02",cad!$D$33,cad!$E$33)))</f>
        <v/>
      </c>
      <c r="K132" t="str">
        <f>IF($A132="","",IF($D132="V01",cad!$C$34,IF($D132="V02",cad!$D$34,cad!$E$34)))</f>
        <v/>
      </c>
      <c r="L132" t="str">
        <f>IF($A132="","",IF($D132="V01",cad!$C$35,IF($D132="V02",cad!$D$35,cad!$E$35)))</f>
        <v/>
      </c>
      <c r="M132" t="str">
        <f>IF($A132="","",IF($D132="V01",cad!$C$36,IF($D132="V02",cad!$D$36,cad!$E$36)))</f>
        <v/>
      </c>
      <c r="N132" t="str">
        <f t="shared" si="9"/>
        <v/>
      </c>
      <c r="O132" t="str">
        <f t="shared" si="10"/>
        <v/>
      </c>
      <c r="P132" t="str">
        <f>IF($A132="","",IF($E132=1,$F132*$O132,PNL!G132))</f>
        <v/>
      </c>
      <c r="T132" t="str">
        <f t="shared" si="11"/>
        <v/>
      </c>
    </row>
    <row r="133" spans="1:20" x14ac:dyDescent="0.45">
      <c r="A133" t="str">
        <f>IF(PNL!A133="","",PNL!A133)</f>
        <v/>
      </c>
      <c r="B133" t="str">
        <f>IF(PNL!B133="","",PNL!B133)</f>
        <v/>
      </c>
      <c r="C133" t="str">
        <f>IF(PNL!C133="","",PNL!C133)</f>
        <v/>
      </c>
      <c r="D133" t="str">
        <f>IF(PNL!D133="","",PNL!D133)</f>
        <v/>
      </c>
      <c r="E133" t="str">
        <f t="shared" si="8"/>
        <v/>
      </c>
      <c r="F133" t="str">
        <f>IF($A133="","",IF($E133=1,SUMIFS(Compta!$F$1:$F$675,Compta!$A$1:$A$675,$A133,Compta!$B$1:$B$675,$B133,Compta!$C$1:$C$675,"2026"),0))</f>
        <v/>
      </c>
      <c r="G133" t="str">
        <f>IF($A133="","",IF($D133="V01",cad!$C$23,IF($D133="V02",cad!$D$23,cad!$E$23)))</f>
        <v/>
      </c>
      <c r="H133" t="str">
        <f>IF($A133="","",IF($D133="V01",cad!$C$24,IF($D133="V02",cad!$D$24,cad!$E$24)))</f>
        <v/>
      </c>
      <c r="I133" t="str">
        <f>IF($A133="","",IF($D133="V01",cad!$C$32,IF($D133="V02",cad!$D$32,cad!$E$32)))</f>
        <v/>
      </c>
      <c r="J133" t="str">
        <f>IF($A133="","",IF($D133="V01",cad!$C$33,IF($D133="V02",cad!$D$33,cad!$E$33)))</f>
        <v/>
      </c>
      <c r="K133" t="str">
        <f>IF($A133="","",IF($D133="V01",cad!$C$34,IF($D133="V02",cad!$D$34,cad!$E$34)))</f>
        <v/>
      </c>
      <c r="L133" t="str">
        <f>IF($A133="","",IF($D133="V01",cad!$C$35,IF($D133="V02",cad!$D$35,cad!$E$35)))</f>
        <v/>
      </c>
      <c r="M133" t="str">
        <f>IF($A133="","",IF($D133="V01",cad!$C$36,IF($D133="V02",cad!$D$36,cad!$E$36)))</f>
        <v/>
      </c>
      <c r="N133" t="str">
        <f t="shared" si="9"/>
        <v/>
      </c>
      <c r="O133" t="str">
        <f t="shared" si="10"/>
        <v/>
      </c>
      <c r="P133" t="str">
        <f>IF($A133="","",IF($E133=1,$F133*$O133,PNL!G133))</f>
        <v/>
      </c>
      <c r="T133" t="str">
        <f t="shared" si="11"/>
        <v/>
      </c>
    </row>
    <row r="134" spans="1:20" x14ac:dyDescent="0.45">
      <c r="A134" t="str">
        <f>IF(PNL!A134="","",PNL!A134)</f>
        <v/>
      </c>
      <c r="B134" t="str">
        <f>IF(PNL!B134="","",PNL!B134)</f>
        <v/>
      </c>
      <c r="C134" t="str">
        <f>IF(PNL!C134="","",PNL!C134)</f>
        <v/>
      </c>
      <c r="D134" t="str">
        <f>IF(PNL!D134="","",PNL!D134)</f>
        <v/>
      </c>
      <c r="E134" t="str">
        <f t="shared" si="8"/>
        <v/>
      </c>
      <c r="F134" t="str">
        <f>IF($A134="","",IF($E134=1,SUMIFS(Compta!$F$1:$F$675,Compta!$A$1:$A$675,$A134,Compta!$B$1:$B$675,$B134,Compta!$C$1:$C$675,"2026"),0))</f>
        <v/>
      </c>
      <c r="G134" t="str">
        <f>IF($A134="","",IF($D134="V01",cad!$C$23,IF($D134="V02",cad!$D$23,cad!$E$23)))</f>
        <v/>
      </c>
      <c r="H134" t="str">
        <f>IF($A134="","",IF($D134="V01",cad!$C$24,IF($D134="V02",cad!$D$24,cad!$E$24)))</f>
        <v/>
      </c>
      <c r="I134" t="str">
        <f>IF($A134="","",IF($D134="V01",cad!$C$32,IF($D134="V02",cad!$D$32,cad!$E$32)))</f>
        <v/>
      </c>
      <c r="J134" t="str">
        <f>IF($A134="","",IF($D134="V01",cad!$C$33,IF($D134="V02",cad!$D$33,cad!$E$33)))</f>
        <v/>
      </c>
      <c r="K134" t="str">
        <f>IF($A134="","",IF($D134="V01",cad!$C$34,IF($D134="V02",cad!$D$34,cad!$E$34)))</f>
        <v/>
      </c>
      <c r="L134" t="str">
        <f>IF($A134="","",IF($D134="V01",cad!$C$35,IF($D134="V02",cad!$D$35,cad!$E$35)))</f>
        <v/>
      </c>
      <c r="M134" t="str">
        <f>IF($A134="","",IF($D134="V01",cad!$C$36,IF($D134="V02",cad!$D$36,cad!$E$36)))</f>
        <v/>
      </c>
      <c r="N134" t="str">
        <f t="shared" si="9"/>
        <v/>
      </c>
      <c r="O134" t="str">
        <f t="shared" si="10"/>
        <v/>
      </c>
      <c r="P134" t="str">
        <f>IF($A134="","",IF($E134=1,$F134*$O134,PNL!G134))</f>
        <v/>
      </c>
      <c r="T134" t="str">
        <f t="shared" si="11"/>
        <v/>
      </c>
    </row>
    <row r="135" spans="1:20" x14ac:dyDescent="0.45">
      <c r="A135" t="str">
        <f>IF(PNL!A135="","",PNL!A135)</f>
        <v/>
      </c>
      <c r="B135" t="str">
        <f>IF(PNL!B135="","",PNL!B135)</f>
        <v/>
      </c>
      <c r="C135" t="str">
        <f>IF(PNL!C135="","",PNL!C135)</f>
        <v/>
      </c>
      <c r="D135" t="str">
        <f>IF(PNL!D135="","",PNL!D135)</f>
        <v/>
      </c>
      <c r="E135" t="str">
        <f t="shared" si="8"/>
        <v/>
      </c>
      <c r="F135" t="str">
        <f>IF($A135="","",IF($E135=1,SUMIFS(Compta!$F$1:$F$675,Compta!$A$1:$A$675,$A135,Compta!$B$1:$B$675,$B135,Compta!$C$1:$C$675,"2026"),0))</f>
        <v/>
      </c>
      <c r="G135" t="str">
        <f>IF($A135="","",IF($D135="V01",cad!$C$23,IF($D135="V02",cad!$D$23,cad!$E$23)))</f>
        <v/>
      </c>
      <c r="H135" t="str">
        <f>IF($A135="","",IF($D135="V01",cad!$C$24,IF($D135="V02",cad!$D$24,cad!$E$24)))</f>
        <v/>
      </c>
      <c r="I135" t="str">
        <f>IF($A135="","",IF($D135="V01",cad!$C$32,IF($D135="V02",cad!$D$32,cad!$E$32)))</f>
        <v/>
      </c>
      <c r="J135" t="str">
        <f>IF($A135="","",IF($D135="V01",cad!$C$33,IF($D135="V02",cad!$D$33,cad!$E$33)))</f>
        <v/>
      </c>
      <c r="K135" t="str">
        <f>IF($A135="","",IF($D135="V01",cad!$C$34,IF($D135="V02",cad!$D$34,cad!$E$34)))</f>
        <v/>
      </c>
      <c r="L135" t="str">
        <f>IF($A135="","",IF($D135="V01",cad!$C$35,IF($D135="V02",cad!$D$35,cad!$E$35)))</f>
        <v/>
      </c>
      <c r="M135" t="str">
        <f>IF($A135="","",IF($D135="V01",cad!$C$36,IF($D135="V02",cad!$D$36,cad!$E$36)))</f>
        <v/>
      </c>
      <c r="N135" t="str">
        <f t="shared" si="9"/>
        <v/>
      </c>
      <c r="O135" t="str">
        <f t="shared" si="10"/>
        <v/>
      </c>
      <c r="P135" t="str">
        <f>IF($A135="","",IF($E135=1,$F135*$O135,PNL!G135))</f>
        <v/>
      </c>
      <c r="T135" t="str">
        <f t="shared" si="11"/>
        <v/>
      </c>
    </row>
    <row r="136" spans="1:20" x14ac:dyDescent="0.45">
      <c r="A136" t="str">
        <f>IF(PNL!A136="","",PNL!A136)</f>
        <v/>
      </c>
      <c r="B136" t="str">
        <f>IF(PNL!B136="","",PNL!B136)</f>
        <v/>
      </c>
      <c r="C136" t="str">
        <f>IF(PNL!C136="","",PNL!C136)</f>
        <v/>
      </c>
      <c r="D136" t="str">
        <f>IF(PNL!D136="","",PNL!D136)</f>
        <v/>
      </c>
      <c r="E136" t="str">
        <f t="shared" si="8"/>
        <v/>
      </c>
      <c r="F136" t="str">
        <f>IF($A136="","",IF($E136=1,SUMIFS(Compta!$F$1:$F$675,Compta!$A$1:$A$675,$A136,Compta!$B$1:$B$675,$B136,Compta!$C$1:$C$675,"2026"),0))</f>
        <v/>
      </c>
      <c r="G136" t="str">
        <f>IF($A136="","",IF($D136="V01",cad!$C$23,IF($D136="V02",cad!$D$23,cad!$E$23)))</f>
        <v/>
      </c>
      <c r="H136" t="str">
        <f>IF($A136="","",IF($D136="V01",cad!$C$24,IF($D136="V02",cad!$D$24,cad!$E$24)))</f>
        <v/>
      </c>
      <c r="I136" t="str">
        <f>IF($A136="","",IF($D136="V01",cad!$C$32,IF($D136="V02",cad!$D$32,cad!$E$32)))</f>
        <v/>
      </c>
      <c r="J136" t="str">
        <f>IF($A136="","",IF($D136="V01",cad!$C$33,IF($D136="V02",cad!$D$33,cad!$E$33)))</f>
        <v/>
      </c>
      <c r="K136" t="str">
        <f>IF($A136="","",IF($D136="V01",cad!$C$34,IF($D136="V02",cad!$D$34,cad!$E$34)))</f>
        <v/>
      </c>
      <c r="L136" t="str">
        <f>IF($A136="","",IF($D136="V01",cad!$C$35,IF($D136="V02",cad!$D$35,cad!$E$35)))</f>
        <v/>
      </c>
      <c r="M136" t="str">
        <f>IF($A136="","",IF($D136="V01",cad!$C$36,IF($D136="V02",cad!$D$36,cad!$E$36)))</f>
        <v/>
      </c>
      <c r="N136" t="str">
        <f t="shared" si="9"/>
        <v/>
      </c>
      <c r="O136" t="str">
        <f t="shared" si="10"/>
        <v/>
      </c>
      <c r="P136" t="str">
        <f>IF($A136="","",IF($E136=1,$F136*$O136,PNL!G136))</f>
        <v/>
      </c>
      <c r="T136" t="str">
        <f t="shared" si="11"/>
        <v/>
      </c>
    </row>
    <row r="137" spans="1:20" x14ac:dyDescent="0.45">
      <c r="A137" t="str">
        <f>IF(PNL!A137="","",PNL!A137)</f>
        <v/>
      </c>
      <c r="B137" t="str">
        <f>IF(PNL!B137="","",PNL!B137)</f>
        <v/>
      </c>
      <c r="C137" t="str">
        <f>IF(PNL!C137="","",PNL!C137)</f>
        <v/>
      </c>
      <c r="D137" t="str">
        <f>IF(PNL!D137="","",PNL!D137)</f>
        <v/>
      </c>
      <c r="E137" t="str">
        <f t="shared" si="8"/>
        <v/>
      </c>
      <c r="F137" t="str">
        <f>IF($A137="","",IF($E137=1,SUMIFS(Compta!$F$1:$F$675,Compta!$A$1:$A$675,$A137,Compta!$B$1:$B$675,$B137,Compta!$C$1:$C$675,"2026"),0))</f>
        <v/>
      </c>
      <c r="G137" t="str">
        <f>IF($A137="","",IF($D137="V01",cad!$C$23,IF($D137="V02",cad!$D$23,cad!$E$23)))</f>
        <v/>
      </c>
      <c r="H137" t="str">
        <f>IF($A137="","",IF($D137="V01",cad!$C$24,IF($D137="V02",cad!$D$24,cad!$E$24)))</f>
        <v/>
      </c>
      <c r="I137" t="str">
        <f>IF($A137="","",IF($D137="V01",cad!$C$32,IF($D137="V02",cad!$D$32,cad!$E$32)))</f>
        <v/>
      </c>
      <c r="J137" t="str">
        <f>IF($A137="","",IF($D137="V01",cad!$C$33,IF($D137="V02",cad!$D$33,cad!$E$33)))</f>
        <v/>
      </c>
      <c r="K137" t="str">
        <f>IF($A137="","",IF($D137="V01",cad!$C$34,IF($D137="V02",cad!$D$34,cad!$E$34)))</f>
        <v/>
      </c>
      <c r="L137" t="str">
        <f>IF($A137="","",IF($D137="V01",cad!$C$35,IF($D137="V02",cad!$D$35,cad!$E$35)))</f>
        <v/>
      </c>
      <c r="M137" t="str">
        <f>IF($A137="","",IF($D137="V01",cad!$C$36,IF($D137="V02",cad!$D$36,cad!$E$36)))</f>
        <v/>
      </c>
      <c r="N137" t="str">
        <f t="shared" si="9"/>
        <v/>
      </c>
      <c r="O137" t="str">
        <f t="shared" si="10"/>
        <v/>
      </c>
      <c r="P137" t="str">
        <f>IF($A137="","",IF($E137=1,$F137*$O137,PNL!G137))</f>
        <v/>
      </c>
      <c r="T137" t="str">
        <f t="shared" si="11"/>
        <v/>
      </c>
    </row>
    <row r="138" spans="1:20" x14ac:dyDescent="0.45">
      <c r="A138" t="str">
        <f>IF(PNL!A138="","",PNL!A138)</f>
        <v/>
      </c>
      <c r="B138" t="str">
        <f>IF(PNL!B138="","",PNL!B138)</f>
        <v/>
      </c>
      <c r="C138" t="str">
        <f>IF(PNL!C138="","",PNL!C138)</f>
        <v/>
      </c>
      <c r="D138" t="str">
        <f>IF(PNL!D138="","",PNL!D138)</f>
        <v/>
      </c>
      <c r="E138" t="str">
        <f t="shared" si="8"/>
        <v/>
      </c>
      <c r="F138" t="str">
        <f>IF($A138="","",IF($E138=1,SUMIFS(Compta!$F$1:$F$675,Compta!$A$1:$A$675,$A138,Compta!$B$1:$B$675,$B138,Compta!$C$1:$C$675,"2026"),0))</f>
        <v/>
      </c>
      <c r="G138" t="str">
        <f>IF($A138="","",IF($D138="V01",cad!$C$23,IF($D138="V02",cad!$D$23,cad!$E$23)))</f>
        <v/>
      </c>
      <c r="H138" t="str">
        <f>IF($A138="","",IF($D138="V01",cad!$C$24,IF($D138="V02",cad!$D$24,cad!$E$24)))</f>
        <v/>
      </c>
      <c r="I138" t="str">
        <f>IF($A138="","",IF($D138="V01",cad!$C$32,IF($D138="V02",cad!$D$32,cad!$E$32)))</f>
        <v/>
      </c>
      <c r="J138" t="str">
        <f>IF($A138="","",IF($D138="V01",cad!$C$33,IF($D138="V02",cad!$D$33,cad!$E$33)))</f>
        <v/>
      </c>
      <c r="K138" t="str">
        <f>IF($A138="","",IF($D138="V01",cad!$C$34,IF($D138="V02",cad!$D$34,cad!$E$34)))</f>
        <v/>
      </c>
      <c r="L138" t="str">
        <f>IF($A138="","",IF($D138="V01",cad!$C$35,IF($D138="V02",cad!$D$35,cad!$E$35)))</f>
        <v/>
      </c>
      <c r="M138" t="str">
        <f>IF($A138="","",IF($D138="V01",cad!$C$36,IF($D138="V02",cad!$D$36,cad!$E$36)))</f>
        <v/>
      </c>
      <c r="N138" t="str">
        <f t="shared" si="9"/>
        <v/>
      </c>
      <c r="O138" t="str">
        <f t="shared" si="10"/>
        <v/>
      </c>
      <c r="P138" t="str">
        <f>IF($A138="","",IF($E138=1,$F138*$O138,PNL!G138))</f>
        <v/>
      </c>
      <c r="T138" t="str">
        <f t="shared" si="11"/>
        <v/>
      </c>
    </row>
    <row r="139" spans="1:20" x14ac:dyDescent="0.45">
      <c r="A139" t="str">
        <f>IF(PNL!A139="","",PNL!A139)</f>
        <v/>
      </c>
      <c r="B139" t="str">
        <f>IF(PNL!B139="","",PNL!B139)</f>
        <v/>
      </c>
      <c r="C139" t="str">
        <f>IF(PNL!C139="","",PNL!C139)</f>
        <v/>
      </c>
      <c r="D139" t="str">
        <f>IF(PNL!D139="","",PNL!D139)</f>
        <v/>
      </c>
      <c r="E139" t="str">
        <f t="shared" si="8"/>
        <v/>
      </c>
      <c r="F139" t="str">
        <f>IF($A139="","",IF($E139=1,SUMIFS(Compta!$F$1:$F$675,Compta!$A$1:$A$675,$A139,Compta!$B$1:$B$675,$B139,Compta!$C$1:$C$675,"2026"),0))</f>
        <v/>
      </c>
      <c r="G139" t="str">
        <f>IF($A139="","",IF($D139="V01",cad!$C$23,IF($D139="V02",cad!$D$23,cad!$E$23)))</f>
        <v/>
      </c>
      <c r="H139" t="str">
        <f>IF($A139="","",IF($D139="V01",cad!$C$24,IF($D139="V02",cad!$D$24,cad!$E$24)))</f>
        <v/>
      </c>
      <c r="I139" t="str">
        <f>IF($A139="","",IF($D139="V01",cad!$C$32,IF($D139="V02",cad!$D$32,cad!$E$32)))</f>
        <v/>
      </c>
      <c r="J139" t="str">
        <f>IF($A139="","",IF($D139="V01",cad!$C$33,IF($D139="V02",cad!$D$33,cad!$E$33)))</f>
        <v/>
      </c>
      <c r="K139" t="str">
        <f>IF($A139="","",IF($D139="V01",cad!$C$34,IF($D139="V02",cad!$D$34,cad!$E$34)))</f>
        <v/>
      </c>
      <c r="L139" t="str">
        <f>IF($A139="","",IF($D139="V01",cad!$C$35,IF($D139="V02",cad!$D$35,cad!$E$35)))</f>
        <v/>
      </c>
      <c r="M139" t="str">
        <f>IF($A139="","",IF($D139="V01",cad!$C$36,IF($D139="V02",cad!$D$36,cad!$E$36)))</f>
        <v/>
      </c>
      <c r="N139" t="str">
        <f t="shared" si="9"/>
        <v/>
      </c>
      <c r="O139" t="str">
        <f t="shared" si="10"/>
        <v/>
      </c>
      <c r="P139" t="str">
        <f>IF($A139="","",IF($E139=1,$F139*$O139,PNL!G139))</f>
        <v/>
      </c>
      <c r="T139" t="str">
        <f t="shared" si="11"/>
        <v/>
      </c>
    </row>
    <row r="140" spans="1:20" x14ac:dyDescent="0.45">
      <c r="A140" t="str">
        <f>IF(PNL!A140="","",PNL!A140)</f>
        <v/>
      </c>
      <c r="B140" t="str">
        <f>IF(PNL!B140="","",PNL!B140)</f>
        <v/>
      </c>
      <c r="C140" t="str">
        <f>IF(PNL!C140="","",PNL!C140)</f>
        <v/>
      </c>
      <c r="D140" t="str">
        <f>IF(PNL!D140="","",PNL!D140)</f>
        <v/>
      </c>
      <c r="E140" t="str">
        <f t="shared" si="8"/>
        <v/>
      </c>
      <c r="F140" t="str">
        <f>IF($A140="","",IF($E140=1,SUMIFS(Compta!$F$1:$F$675,Compta!$A$1:$A$675,$A140,Compta!$B$1:$B$675,$B140,Compta!$C$1:$C$675,"2026"),0))</f>
        <v/>
      </c>
      <c r="G140" t="str">
        <f>IF($A140="","",IF($D140="V01",cad!$C$23,IF($D140="V02",cad!$D$23,cad!$E$23)))</f>
        <v/>
      </c>
      <c r="H140" t="str">
        <f>IF($A140="","",IF($D140="V01",cad!$C$24,IF($D140="V02",cad!$D$24,cad!$E$24)))</f>
        <v/>
      </c>
      <c r="I140" t="str">
        <f>IF($A140="","",IF($D140="V01",cad!$C$32,IF($D140="V02",cad!$D$32,cad!$E$32)))</f>
        <v/>
      </c>
      <c r="J140" t="str">
        <f>IF($A140="","",IF($D140="V01",cad!$C$33,IF($D140="V02",cad!$D$33,cad!$E$33)))</f>
        <v/>
      </c>
      <c r="K140" t="str">
        <f>IF($A140="","",IF($D140="V01",cad!$C$34,IF($D140="V02",cad!$D$34,cad!$E$34)))</f>
        <v/>
      </c>
      <c r="L140" t="str">
        <f>IF($A140="","",IF($D140="V01",cad!$C$35,IF($D140="V02",cad!$D$35,cad!$E$35)))</f>
        <v/>
      </c>
      <c r="M140" t="str">
        <f>IF($A140="","",IF($D140="V01",cad!$C$36,IF($D140="V02",cad!$D$36,cad!$E$36)))</f>
        <v/>
      </c>
      <c r="N140" t="str">
        <f t="shared" si="9"/>
        <v/>
      </c>
      <c r="O140" t="str">
        <f t="shared" si="10"/>
        <v/>
      </c>
      <c r="P140" t="str">
        <f>IF($A140="","",IF($E140=1,$F140*$O140,PNL!G140))</f>
        <v/>
      </c>
      <c r="T140" t="str">
        <f t="shared" si="11"/>
        <v/>
      </c>
    </row>
    <row r="141" spans="1:20" x14ac:dyDescent="0.45">
      <c r="A141" t="str">
        <f>IF(PNL!A141="","",PNL!A141)</f>
        <v/>
      </c>
      <c r="B141" t="str">
        <f>IF(PNL!B141="","",PNL!B141)</f>
        <v/>
      </c>
      <c r="C141" t="str">
        <f>IF(PNL!C141="","",PNL!C141)</f>
        <v/>
      </c>
      <c r="D141" t="str">
        <f>IF(PNL!D141="","",PNL!D141)</f>
        <v/>
      </c>
      <c r="E141" t="str">
        <f t="shared" si="8"/>
        <v/>
      </c>
      <c r="F141" t="str">
        <f>IF($A141="","",IF($E141=1,SUMIFS(Compta!$F$1:$F$675,Compta!$A$1:$A$675,$A141,Compta!$B$1:$B$675,$B141,Compta!$C$1:$C$675,"2026"),0))</f>
        <v/>
      </c>
      <c r="G141" t="str">
        <f>IF($A141="","",IF($D141="V01",cad!$C$23,IF($D141="V02",cad!$D$23,cad!$E$23)))</f>
        <v/>
      </c>
      <c r="H141" t="str">
        <f>IF($A141="","",IF($D141="V01",cad!$C$24,IF($D141="V02",cad!$D$24,cad!$E$24)))</f>
        <v/>
      </c>
      <c r="I141" t="str">
        <f>IF($A141="","",IF($D141="V01",cad!$C$32,IF($D141="V02",cad!$D$32,cad!$E$32)))</f>
        <v/>
      </c>
      <c r="J141" t="str">
        <f>IF($A141="","",IF($D141="V01",cad!$C$33,IF($D141="V02",cad!$D$33,cad!$E$33)))</f>
        <v/>
      </c>
      <c r="K141" t="str">
        <f>IF($A141="","",IF($D141="V01",cad!$C$34,IF($D141="V02",cad!$D$34,cad!$E$34)))</f>
        <v/>
      </c>
      <c r="L141" t="str">
        <f>IF($A141="","",IF($D141="V01",cad!$C$35,IF($D141="V02",cad!$D$35,cad!$E$35)))</f>
        <v/>
      </c>
      <c r="M141" t="str">
        <f>IF($A141="","",IF($D141="V01",cad!$C$36,IF($D141="V02",cad!$D$36,cad!$E$36)))</f>
        <v/>
      </c>
      <c r="N141" t="str">
        <f t="shared" si="9"/>
        <v/>
      </c>
      <c r="O141" t="str">
        <f t="shared" si="10"/>
        <v/>
      </c>
      <c r="P141" t="str">
        <f>IF($A141="","",IF($E141=1,$F141*$O141,PNL!G141))</f>
        <v/>
      </c>
      <c r="T141" t="str">
        <f t="shared" si="11"/>
        <v/>
      </c>
    </row>
    <row r="142" spans="1:20" x14ac:dyDescent="0.45">
      <c r="A142" t="str">
        <f>IF(PNL!A142="","",PNL!A142)</f>
        <v/>
      </c>
      <c r="B142" t="str">
        <f>IF(PNL!B142="","",PNL!B142)</f>
        <v/>
      </c>
      <c r="C142" t="str">
        <f>IF(PNL!C142="","",PNL!C142)</f>
        <v/>
      </c>
      <c r="D142" t="str">
        <f>IF(PNL!D142="","",PNL!D142)</f>
        <v/>
      </c>
      <c r="E142" t="str">
        <f t="shared" si="8"/>
        <v/>
      </c>
      <c r="F142" t="str">
        <f>IF($A142="","",IF($E142=1,SUMIFS(Compta!$F$1:$F$675,Compta!$A$1:$A$675,$A142,Compta!$B$1:$B$675,$B142,Compta!$C$1:$C$675,"2026"),0))</f>
        <v/>
      </c>
      <c r="G142" t="str">
        <f>IF($A142="","",IF($D142="V01",cad!$C$23,IF($D142="V02",cad!$D$23,cad!$E$23)))</f>
        <v/>
      </c>
      <c r="H142" t="str">
        <f>IF($A142="","",IF($D142="V01",cad!$C$24,IF($D142="V02",cad!$D$24,cad!$E$24)))</f>
        <v/>
      </c>
      <c r="I142" t="str">
        <f>IF($A142="","",IF($D142="V01",cad!$C$32,IF($D142="V02",cad!$D$32,cad!$E$32)))</f>
        <v/>
      </c>
      <c r="J142" t="str">
        <f>IF($A142="","",IF($D142="V01",cad!$C$33,IF($D142="V02",cad!$D$33,cad!$E$33)))</f>
        <v/>
      </c>
      <c r="K142" t="str">
        <f>IF($A142="","",IF($D142="V01",cad!$C$34,IF($D142="V02",cad!$D$34,cad!$E$34)))</f>
        <v/>
      </c>
      <c r="L142" t="str">
        <f>IF($A142="","",IF($D142="V01",cad!$C$35,IF($D142="V02",cad!$D$35,cad!$E$35)))</f>
        <v/>
      </c>
      <c r="M142" t="str">
        <f>IF($A142="","",IF($D142="V01",cad!$C$36,IF($D142="V02",cad!$D$36,cad!$E$36)))</f>
        <v/>
      </c>
      <c r="N142" t="str">
        <f t="shared" si="9"/>
        <v/>
      </c>
      <c r="O142" t="str">
        <f t="shared" si="10"/>
        <v/>
      </c>
      <c r="P142" t="str">
        <f>IF($A142="","",IF($E142=1,$F142*$O142,PNL!G142))</f>
        <v/>
      </c>
      <c r="T142" t="str">
        <f t="shared" si="11"/>
        <v/>
      </c>
    </row>
    <row r="143" spans="1:20" x14ac:dyDescent="0.45">
      <c r="A143" t="str">
        <f>IF(PNL!A143="","",PNL!A143)</f>
        <v/>
      </c>
      <c r="B143" t="str">
        <f>IF(PNL!B143="","",PNL!B143)</f>
        <v/>
      </c>
      <c r="C143" t="str">
        <f>IF(PNL!C143="","",PNL!C143)</f>
        <v/>
      </c>
      <c r="D143" t="str">
        <f>IF(PNL!D143="","",PNL!D143)</f>
        <v/>
      </c>
      <c r="E143" t="str">
        <f t="shared" si="8"/>
        <v/>
      </c>
      <c r="F143" t="str">
        <f>IF($A143="","",IF($E143=1,SUMIFS(Compta!$F$1:$F$675,Compta!$A$1:$A$675,$A143,Compta!$B$1:$B$675,$B143,Compta!$C$1:$C$675,"2026"),0))</f>
        <v/>
      </c>
      <c r="G143" t="str">
        <f>IF($A143="","",IF($D143="V01",cad!$C$23,IF($D143="V02",cad!$D$23,cad!$E$23)))</f>
        <v/>
      </c>
      <c r="H143" t="str">
        <f>IF($A143="","",IF($D143="V01",cad!$C$24,IF($D143="V02",cad!$D$24,cad!$E$24)))</f>
        <v/>
      </c>
      <c r="I143" t="str">
        <f>IF($A143="","",IF($D143="V01",cad!$C$32,IF($D143="V02",cad!$D$32,cad!$E$32)))</f>
        <v/>
      </c>
      <c r="J143" t="str">
        <f>IF($A143="","",IF($D143="V01",cad!$C$33,IF($D143="V02",cad!$D$33,cad!$E$33)))</f>
        <v/>
      </c>
      <c r="K143" t="str">
        <f>IF($A143="","",IF($D143="V01",cad!$C$34,IF($D143="V02",cad!$D$34,cad!$E$34)))</f>
        <v/>
      </c>
      <c r="L143" t="str">
        <f>IF($A143="","",IF($D143="V01",cad!$C$35,IF($D143="V02",cad!$D$35,cad!$E$35)))</f>
        <v/>
      </c>
      <c r="M143" t="str">
        <f>IF($A143="","",IF($D143="V01",cad!$C$36,IF($D143="V02",cad!$D$36,cad!$E$36)))</f>
        <v/>
      </c>
      <c r="N143" t="str">
        <f t="shared" si="9"/>
        <v/>
      </c>
      <c r="O143" t="str">
        <f t="shared" si="10"/>
        <v/>
      </c>
      <c r="P143" t="str">
        <f>IF($A143="","",IF($E143=1,$F143*$O143,PNL!G143))</f>
        <v/>
      </c>
      <c r="T143" t="str">
        <f t="shared" si="11"/>
        <v/>
      </c>
    </row>
    <row r="144" spans="1:20" x14ac:dyDescent="0.45">
      <c r="A144" t="str">
        <f>IF(PNL!A144="","",PNL!A144)</f>
        <v/>
      </c>
      <c r="B144" t="str">
        <f>IF(PNL!B144="","",PNL!B144)</f>
        <v/>
      </c>
      <c r="C144" t="str">
        <f>IF(PNL!C144="","",PNL!C144)</f>
        <v/>
      </c>
      <c r="D144" t="str">
        <f>IF(PNL!D144="","",PNL!D144)</f>
        <v/>
      </c>
      <c r="E144" t="str">
        <f t="shared" si="8"/>
        <v/>
      </c>
      <c r="F144" t="str">
        <f>IF($A144="","",IF($E144=1,SUMIFS(Compta!$F$1:$F$675,Compta!$A$1:$A$675,$A144,Compta!$B$1:$B$675,$B144,Compta!$C$1:$C$675,"2026"),0))</f>
        <v/>
      </c>
      <c r="G144" t="str">
        <f>IF($A144="","",IF($D144="V01",cad!$C$23,IF($D144="V02",cad!$D$23,cad!$E$23)))</f>
        <v/>
      </c>
      <c r="H144" t="str">
        <f>IF($A144="","",IF($D144="V01",cad!$C$24,IF($D144="V02",cad!$D$24,cad!$E$24)))</f>
        <v/>
      </c>
      <c r="I144" t="str">
        <f>IF($A144="","",IF($D144="V01",cad!$C$32,IF($D144="V02",cad!$D$32,cad!$E$32)))</f>
        <v/>
      </c>
      <c r="J144" t="str">
        <f>IF($A144="","",IF($D144="V01",cad!$C$33,IF($D144="V02",cad!$D$33,cad!$E$33)))</f>
        <v/>
      </c>
      <c r="K144" t="str">
        <f>IF($A144="","",IF($D144="V01",cad!$C$34,IF($D144="V02",cad!$D$34,cad!$E$34)))</f>
        <v/>
      </c>
      <c r="L144" t="str">
        <f>IF($A144="","",IF($D144="V01",cad!$C$35,IF($D144="V02",cad!$D$35,cad!$E$35)))</f>
        <v/>
      </c>
      <c r="M144" t="str">
        <f>IF($A144="","",IF($D144="V01",cad!$C$36,IF($D144="V02",cad!$D$36,cad!$E$36)))</f>
        <v/>
      </c>
      <c r="N144" t="str">
        <f t="shared" si="9"/>
        <v/>
      </c>
      <c r="O144" t="str">
        <f t="shared" si="10"/>
        <v/>
      </c>
      <c r="P144" t="str">
        <f>IF($A144="","",IF($E144=1,$F144*$O144,PNL!G144))</f>
        <v/>
      </c>
      <c r="T144" t="str">
        <f t="shared" si="11"/>
        <v/>
      </c>
    </row>
    <row r="145" spans="1:20" x14ac:dyDescent="0.45">
      <c r="A145" t="str">
        <f>IF(PNL!A145="","",PNL!A145)</f>
        <v/>
      </c>
      <c r="B145" t="str">
        <f>IF(PNL!B145="","",PNL!B145)</f>
        <v/>
      </c>
      <c r="C145" t="str">
        <f>IF(PNL!C145="","",PNL!C145)</f>
        <v/>
      </c>
      <c r="D145" t="str">
        <f>IF(PNL!D145="","",PNL!D145)</f>
        <v/>
      </c>
      <c r="E145" t="str">
        <f t="shared" si="8"/>
        <v/>
      </c>
      <c r="F145" t="str">
        <f>IF($A145="","",IF($E145=1,SUMIFS(Compta!$F$1:$F$675,Compta!$A$1:$A$675,$A145,Compta!$B$1:$B$675,$B145,Compta!$C$1:$C$675,"2026"),0))</f>
        <v/>
      </c>
      <c r="G145" t="str">
        <f>IF($A145="","",IF($D145="V01",cad!$C$23,IF($D145="V02",cad!$D$23,cad!$E$23)))</f>
        <v/>
      </c>
      <c r="H145" t="str">
        <f>IF($A145="","",IF($D145="V01",cad!$C$24,IF($D145="V02",cad!$D$24,cad!$E$24)))</f>
        <v/>
      </c>
      <c r="I145" t="str">
        <f>IF($A145="","",IF($D145="V01",cad!$C$32,IF($D145="V02",cad!$D$32,cad!$E$32)))</f>
        <v/>
      </c>
      <c r="J145" t="str">
        <f>IF($A145="","",IF($D145="V01",cad!$C$33,IF($D145="V02",cad!$D$33,cad!$E$33)))</f>
        <v/>
      </c>
      <c r="K145" t="str">
        <f>IF($A145="","",IF($D145="V01",cad!$C$34,IF($D145="V02",cad!$D$34,cad!$E$34)))</f>
        <v/>
      </c>
      <c r="L145" t="str">
        <f>IF($A145="","",IF($D145="V01",cad!$C$35,IF($D145="V02",cad!$D$35,cad!$E$35)))</f>
        <v/>
      </c>
      <c r="M145" t="str">
        <f>IF($A145="","",IF($D145="V01",cad!$C$36,IF($D145="V02",cad!$D$36,cad!$E$36)))</f>
        <v/>
      </c>
      <c r="N145" t="str">
        <f t="shared" si="9"/>
        <v/>
      </c>
      <c r="O145" t="str">
        <f t="shared" si="10"/>
        <v/>
      </c>
      <c r="P145" t="str">
        <f>IF($A145="","",IF($E145=1,$F145*$O145,PNL!G145))</f>
        <v/>
      </c>
      <c r="T145" t="str">
        <f t="shared" si="11"/>
        <v/>
      </c>
    </row>
    <row r="146" spans="1:20" x14ac:dyDescent="0.45">
      <c r="A146" t="str">
        <f>IF(PNL!A146="","",PNL!A146)</f>
        <v/>
      </c>
      <c r="B146" t="str">
        <f>IF(PNL!B146="","",PNL!B146)</f>
        <v/>
      </c>
      <c r="C146" t="str">
        <f>IF(PNL!C146="","",PNL!C146)</f>
        <v/>
      </c>
      <c r="D146" t="str">
        <f>IF(PNL!D146="","",PNL!D146)</f>
        <v/>
      </c>
      <c r="E146" t="str">
        <f t="shared" si="8"/>
        <v/>
      </c>
      <c r="F146" t="str">
        <f>IF($A146="","",IF($E146=1,SUMIFS(Compta!$F$1:$F$675,Compta!$A$1:$A$675,$A146,Compta!$B$1:$B$675,$B146,Compta!$C$1:$C$675,"2026"),0))</f>
        <v/>
      </c>
      <c r="G146" t="str">
        <f>IF($A146="","",IF($D146="V01",cad!$C$23,IF($D146="V02",cad!$D$23,cad!$E$23)))</f>
        <v/>
      </c>
      <c r="H146" t="str">
        <f>IF($A146="","",IF($D146="V01",cad!$C$24,IF($D146="V02",cad!$D$24,cad!$E$24)))</f>
        <v/>
      </c>
      <c r="I146" t="str">
        <f>IF($A146="","",IF($D146="V01",cad!$C$32,IF($D146="V02",cad!$D$32,cad!$E$32)))</f>
        <v/>
      </c>
      <c r="J146" t="str">
        <f>IF($A146="","",IF($D146="V01",cad!$C$33,IF($D146="V02",cad!$D$33,cad!$E$33)))</f>
        <v/>
      </c>
      <c r="K146" t="str">
        <f>IF($A146="","",IF($D146="V01",cad!$C$34,IF($D146="V02",cad!$D$34,cad!$E$34)))</f>
        <v/>
      </c>
      <c r="L146" t="str">
        <f>IF($A146="","",IF($D146="V01",cad!$C$35,IF($D146="V02",cad!$D$35,cad!$E$35)))</f>
        <v/>
      </c>
      <c r="M146" t="str">
        <f>IF($A146="","",IF($D146="V01",cad!$C$36,IF($D146="V02",cad!$D$36,cad!$E$36)))</f>
        <v/>
      </c>
      <c r="N146" t="str">
        <f t="shared" si="9"/>
        <v/>
      </c>
      <c r="O146" t="str">
        <f t="shared" si="10"/>
        <v/>
      </c>
      <c r="P146" t="str">
        <f>IF($A146="","",IF($E146=1,$F146*$O146,PNL!G146))</f>
        <v/>
      </c>
      <c r="T146" t="str">
        <f t="shared" si="11"/>
        <v/>
      </c>
    </row>
    <row r="147" spans="1:20" x14ac:dyDescent="0.45">
      <c r="A147" t="str">
        <f>IF(PNL!A147="","",PNL!A147)</f>
        <v/>
      </c>
      <c r="B147" t="str">
        <f>IF(PNL!B147="","",PNL!B147)</f>
        <v/>
      </c>
      <c r="C147" t="str">
        <f>IF(PNL!C147="","",PNL!C147)</f>
        <v/>
      </c>
      <c r="D147" t="str">
        <f>IF(PNL!D147="","",PNL!D147)</f>
        <v/>
      </c>
      <c r="E147" t="str">
        <f t="shared" si="8"/>
        <v/>
      </c>
      <c r="F147" t="str">
        <f>IF($A147="","",IF($E147=1,SUMIFS(Compta!$F$1:$F$675,Compta!$A$1:$A$675,$A147,Compta!$B$1:$B$675,$B147,Compta!$C$1:$C$675,"2026"),0))</f>
        <v/>
      </c>
      <c r="G147" t="str">
        <f>IF($A147="","",IF($D147="V01",cad!$C$23,IF($D147="V02",cad!$D$23,cad!$E$23)))</f>
        <v/>
      </c>
      <c r="H147" t="str">
        <f>IF($A147="","",IF($D147="V01",cad!$C$24,IF($D147="V02",cad!$D$24,cad!$E$24)))</f>
        <v/>
      </c>
      <c r="I147" t="str">
        <f>IF($A147="","",IF($D147="V01",cad!$C$32,IF($D147="V02",cad!$D$32,cad!$E$32)))</f>
        <v/>
      </c>
      <c r="J147" t="str">
        <f>IF($A147="","",IF($D147="V01",cad!$C$33,IF($D147="V02",cad!$D$33,cad!$E$33)))</f>
        <v/>
      </c>
      <c r="K147" t="str">
        <f>IF($A147="","",IF($D147="V01",cad!$C$34,IF($D147="V02",cad!$D$34,cad!$E$34)))</f>
        <v/>
      </c>
      <c r="L147" t="str">
        <f>IF($A147="","",IF($D147="V01",cad!$C$35,IF($D147="V02",cad!$D$35,cad!$E$35)))</f>
        <v/>
      </c>
      <c r="M147" t="str">
        <f>IF($A147="","",IF($D147="V01",cad!$C$36,IF($D147="V02",cad!$D$36,cad!$E$36)))</f>
        <v/>
      </c>
      <c r="N147" t="str">
        <f t="shared" si="9"/>
        <v/>
      </c>
      <c r="O147" t="str">
        <f t="shared" si="10"/>
        <v/>
      </c>
      <c r="P147" t="str">
        <f>IF($A147="","",IF($E147=1,$F147*$O147,PNL!G147))</f>
        <v/>
      </c>
      <c r="T147" t="str">
        <f t="shared" si="11"/>
        <v/>
      </c>
    </row>
    <row r="148" spans="1:20" x14ac:dyDescent="0.45">
      <c r="A148" t="str">
        <f>IF(PNL!A148="","",PNL!A148)</f>
        <v/>
      </c>
      <c r="B148" t="str">
        <f>IF(PNL!B148="","",PNL!B148)</f>
        <v/>
      </c>
      <c r="C148" t="str">
        <f>IF(PNL!C148="","",PNL!C148)</f>
        <v/>
      </c>
      <c r="D148" t="str">
        <f>IF(PNL!D148="","",PNL!D148)</f>
        <v/>
      </c>
      <c r="E148" t="str">
        <f t="shared" si="8"/>
        <v/>
      </c>
      <c r="F148" t="str">
        <f>IF($A148="","",IF($E148=1,SUMIFS(Compta!$F$1:$F$675,Compta!$A$1:$A$675,$A148,Compta!$B$1:$B$675,$B148,Compta!$C$1:$C$675,"2026"),0))</f>
        <v/>
      </c>
      <c r="G148" t="str">
        <f>IF($A148="","",IF($D148="V01",cad!$C$23,IF($D148="V02",cad!$D$23,cad!$E$23)))</f>
        <v/>
      </c>
      <c r="H148" t="str">
        <f>IF($A148="","",IF($D148="V01",cad!$C$24,IF($D148="V02",cad!$D$24,cad!$E$24)))</f>
        <v/>
      </c>
      <c r="I148" t="str">
        <f>IF($A148="","",IF($D148="V01",cad!$C$32,IF($D148="V02",cad!$D$32,cad!$E$32)))</f>
        <v/>
      </c>
      <c r="J148" t="str">
        <f>IF($A148="","",IF($D148="V01",cad!$C$33,IF($D148="V02",cad!$D$33,cad!$E$33)))</f>
        <v/>
      </c>
      <c r="K148" t="str">
        <f>IF($A148="","",IF($D148="V01",cad!$C$34,IF($D148="V02",cad!$D$34,cad!$E$34)))</f>
        <v/>
      </c>
      <c r="L148" t="str">
        <f>IF($A148="","",IF($D148="V01",cad!$C$35,IF($D148="V02",cad!$D$35,cad!$E$35)))</f>
        <v/>
      </c>
      <c r="M148" t="str">
        <f>IF($A148="","",IF($D148="V01",cad!$C$36,IF($D148="V02",cad!$D$36,cad!$E$36)))</f>
        <v/>
      </c>
      <c r="N148" t="str">
        <f t="shared" si="9"/>
        <v/>
      </c>
      <c r="O148" t="str">
        <f t="shared" si="10"/>
        <v/>
      </c>
      <c r="P148" t="str">
        <f>IF($A148="","",IF($E148=1,$F148*$O148,PNL!G148))</f>
        <v/>
      </c>
      <c r="T148" t="str">
        <f t="shared" si="11"/>
        <v/>
      </c>
    </row>
    <row r="149" spans="1:20" x14ac:dyDescent="0.45">
      <c r="A149" t="str">
        <f>IF(PNL!A149="","",PNL!A149)</f>
        <v/>
      </c>
      <c r="B149" t="str">
        <f>IF(PNL!B149="","",PNL!B149)</f>
        <v/>
      </c>
      <c r="C149" t="str">
        <f>IF(PNL!C149="","",PNL!C149)</f>
        <v/>
      </c>
      <c r="D149" t="str">
        <f>IF(PNL!D149="","",PNL!D149)</f>
        <v/>
      </c>
      <c r="E149" t="str">
        <f t="shared" si="8"/>
        <v/>
      </c>
      <c r="F149" t="str">
        <f>IF($A149="","",IF($E149=1,SUMIFS(Compta!$F$1:$F$675,Compta!$A$1:$A$675,$A149,Compta!$B$1:$B$675,$B149,Compta!$C$1:$C$675,"2026"),0))</f>
        <v/>
      </c>
      <c r="G149" t="str">
        <f>IF($A149="","",IF($D149="V01",cad!$C$23,IF($D149="V02",cad!$D$23,cad!$E$23)))</f>
        <v/>
      </c>
      <c r="H149" t="str">
        <f>IF($A149="","",IF($D149="V01",cad!$C$24,IF($D149="V02",cad!$D$24,cad!$E$24)))</f>
        <v/>
      </c>
      <c r="I149" t="str">
        <f>IF($A149="","",IF($D149="V01",cad!$C$32,IF($D149="V02",cad!$D$32,cad!$E$32)))</f>
        <v/>
      </c>
      <c r="J149" t="str">
        <f>IF($A149="","",IF($D149="V01",cad!$C$33,IF($D149="V02",cad!$D$33,cad!$E$33)))</f>
        <v/>
      </c>
      <c r="K149" t="str">
        <f>IF($A149="","",IF($D149="V01",cad!$C$34,IF($D149="V02",cad!$D$34,cad!$E$34)))</f>
        <v/>
      </c>
      <c r="L149" t="str">
        <f>IF($A149="","",IF($D149="V01",cad!$C$35,IF($D149="V02",cad!$D$35,cad!$E$35)))</f>
        <v/>
      </c>
      <c r="M149" t="str">
        <f>IF($A149="","",IF($D149="V01",cad!$C$36,IF($D149="V02",cad!$D$36,cad!$E$36)))</f>
        <v/>
      </c>
      <c r="N149" t="str">
        <f t="shared" si="9"/>
        <v/>
      </c>
      <c r="O149" t="str">
        <f t="shared" si="10"/>
        <v/>
      </c>
      <c r="P149" t="str">
        <f>IF($A149="","",IF($E149=1,$F149*$O149,PNL!G149))</f>
        <v/>
      </c>
      <c r="T149" t="str">
        <f t="shared" si="11"/>
        <v/>
      </c>
    </row>
    <row r="150" spans="1:20" x14ac:dyDescent="0.45">
      <c r="A150" t="str">
        <f>IF(PNL!A150="","",PNL!A150)</f>
        <v/>
      </c>
      <c r="B150" t="str">
        <f>IF(PNL!B150="","",PNL!B150)</f>
        <v/>
      </c>
      <c r="C150" t="str">
        <f>IF(PNL!C150="","",PNL!C150)</f>
        <v/>
      </c>
      <c r="D150" t="str">
        <f>IF(PNL!D150="","",PNL!D150)</f>
        <v/>
      </c>
      <c r="E150" t="str">
        <f t="shared" si="8"/>
        <v/>
      </c>
      <c r="F150" t="str">
        <f>IF($A150="","",IF($E150=1,SUMIFS(Compta!$F$1:$F$675,Compta!$A$1:$A$675,$A150,Compta!$B$1:$B$675,$B150,Compta!$C$1:$C$675,"2026"),0))</f>
        <v/>
      </c>
      <c r="G150" t="str">
        <f>IF($A150="","",IF($D150="V01",cad!$C$23,IF($D150="V02",cad!$D$23,cad!$E$23)))</f>
        <v/>
      </c>
      <c r="H150" t="str">
        <f>IF($A150="","",IF($D150="V01",cad!$C$24,IF($D150="V02",cad!$D$24,cad!$E$24)))</f>
        <v/>
      </c>
      <c r="I150" t="str">
        <f>IF($A150="","",IF($D150="V01",cad!$C$32,IF($D150="V02",cad!$D$32,cad!$E$32)))</f>
        <v/>
      </c>
      <c r="J150" t="str">
        <f>IF($A150="","",IF($D150="V01",cad!$C$33,IF($D150="V02",cad!$D$33,cad!$E$33)))</f>
        <v/>
      </c>
      <c r="K150" t="str">
        <f>IF($A150="","",IF($D150="V01",cad!$C$34,IF($D150="V02",cad!$D$34,cad!$E$34)))</f>
        <v/>
      </c>
      <c r="L150" t="str">
        <f>IF($A150="","",IF($D150="V01",cad!$C$35,IF($D150="V02",cad!$D$35,cad!$E$35)))</f>
        <v/>
      </c>
      <c r="M150" t="str">
        <f>IF($A150="","",IF($D150="V01",cad!$C$36,IF($D150="V02",cad!$D$36,cad!$E$36)))</f>
        <v/>
      </c>
      <c r="N150" t="str">
        <f t="shared" si="9"/>
        <v/>
      </c>
      <c r="O150" t="str">
        <f t="shared" si="10"/>
        <v/>
      </c>
      <c r="P150" t="str">
        <f>IF($A150="","",IF($E150=1,$F150*$O150,PNL!G150))</f>
        <v/>
      </c>
      <c r="T150" t="str">
        <f t="shared" si="11"/>
        <v/>
      </c>
    </row>
    <row r="151" spans="1:20" x14ac:dyDescent="0.45">
      <c r="A151" t="str">
        <f>IF(PNL!A151="","",PNL!A151)</f>
        <v/>
      </c>
      <c r="B151" t="str">
        <f>IF(PNL!B151="","",PNL!B151)</f>
        <v/>
      </c>
      <c r="C151" t="str">
        <f>IF(PNL!C151="","",PNL!C151)</f>
        <v/>
      </c>
      <c r="D151" t="str">
        <f>IF(PNL!D151="","",PNL!D151)</f>
        <v/>
      </c>
      <c r="E151" t="str">
        <f t="shared" si="8"/>
        <v/>
      </c>
      <c r="F151" t="str">
        <f>IF($A151="","",IF($E151=1,SUMIFS(Compta!$F$1:$F$675,Compta!$A$1:$A$675,$A151,Compta!$B$1:$B$675,$B151,Compta!$C$1:$C$675,"2026"),0))</f>
        <v/>
      </c>
      <c r="G151" t="str">
        <f>IF($A151="","",IF($D151="V01",cad!$C$23,IF($D151="V02",cad!$D$23,cad!$E$23)))</f>
        <v/>
      </c>
      <c r="H151" t="str">
        <f>IF($A151="","",IF($D151="V01",cad!$C$24,IF($D151="V02",cad!$D$24,cad!$E$24)))</f>
        <v/>
      </c>
      <c r="I151" t="str">
        <f>IF($A151="","",IF($D151="V01",cad!$C$32,IF($D151="V02",cad!$D$32,cad!$E$32)))</f>
        <v/>
      </c>
      <c r="J151" t="str">
        <f>IF($A151="","",IF($D151="V01",cad!$C$33,IF($D151="V02",cad!$D$33,cad!$E$33)))</f>
        <v/>
      </c>
      <c r="K151" t="str">
        <f>IF($A151="","",IF($D151="V01",cad!$C$34,IF($D151="V02",cad!$D$34,cad!$E$34)))</f>
        <v/>
      </c>
      <c r="L151" t="str">
        <f>IF($A151="","",IF($D151="V01",cad!$C$35,IF($D151="V02",cad!$D$35,cad!$E$35)))</f>
        <v/>
      </c>
      <c r="M151" t="str">
        <f>IF($A151="","",IF($D151="V01",cad!$C$36,IF($D151="V02",cad!$D$36,cad!$E$36)))</f>
        <v/>
      </c>
      <c r="N151" t="str">
        <f t="shared" si="9"/>
        <v/>
      </c>
      <c r="O151" t="str">
        <f t="shared" si="10"/>
        <v/>
      </c>
      <c r="P151" t="str">
        <f>IF($A151="","",IF($E151=1,$F151*$O151,PNL!G151))</f>
        <v/>
      </c>
      <c r="T151" t="str">
        <f t="shared" si="11"/>
        <v/>
      </c>
    </row>
    <row r="152" spans="1:20" x14ac:dyDescent="0.45">
      <c r="A152" t="str">
        <f>IF(PNL!A152="","",PNL!A152)</f>
        <v/>
      </c>
      <c r="B152" t="str">
        <f>IF(PNL!B152="","",PNL!B152)</f>
        <v/>
      </c>
      <c r="C152" t="str">
        <f>IF(PNL!C152="","",PNL!C152)</f>
        <v/>
      </c>
      <c r="D152" t="str">
        <f>IF(PNL!D152="","",PNL!D152)</f>
        <v/>
      </c>
      <c r="E152" t="str">
        <f t="shared" si="8"/>
        <v/>
      </c>
      <c r="F152" t="str">
        <f>IF($A152="","",IF($E152=1,SUMIFS(Compta!$F$1:$F$675,Compta!$A$1:$A$675,$A152,Compta!$B$1:$B$675,$B152,Compta!$C$1:$C$675,"2026"),0))</f>
        <v/>
      </c>
      <c r="G152" t="str">
        <f>IF($A152="","",IF($D152="V01",cad!$C$23,IF($D152="V02",cad!$D$23,cad!$E$23)))</f>
        <v/>
      </c>
      <c r="H152" t="str">
        <f>IF($A152="","",IF($D152="V01",cad!$C$24,IF($D152="V02",cad!$D$24,cad!$E$24)))</f>
        <v/>
      </c>
      <c r="I152" t="str">
        <f>IF($A152="","",IF($D152="V01",cad!$C$32,IF($D152="V02",cad!$D$32,cad!$E$32)))</f>
        <v/>
      </c>
      <c r="J152" t="str">
        <f>IF($A152="","",IF($D152="V01",cad!$C$33,IF($D152="V02",cad!$D$33,cad!$E$33)))</f>
        <v/>
      </c>
      <c r="K152" t="str">
        <f>IF($A152="","",IF($D152="V01",cad!$C$34,IF($D152="V02",cad!$D$34,cad!$E$34)))</f>
        <v/>
      </c>
      <c r="L152" t="str">
        <f>IF($A152="","",IF($D152="V01",cad!$C$35,IF($D152="V02",cad!$D$35,cad!$E$35)))</f>
        <v/>
      </c>
      <c r="M152" t="str">
        <f>IF($A152="","",IF($D152="V01",cad!$C$36,IF($D152="V02",cad!$D$36,cad!$E$36)))</f>
        <v/>
      </c>
      <c r="N152" t="str">
        <f t="shared" si="9"/>
        <v/>
      </c>
      <c r="O152" t="str">
        <f t="shared" si="10"/>
        <v/>
      </c>
      <c r="P152" t="str">
        <f>IF($A152="","",IF($E152=1,$F152*$O152,PNL!G152))</f>
        <v/>
      </c>
      <c r="T152" t="str">
        <f t="shared" si="11"/>
        <v/>
      </c>
    </row>
    <row r="153" spans="1:20" x14ac:dyDescent="0.45">
      <c r="A153" t="str">
        <f>IF(PNL!A153="","",PNL!A153)</f>
        <v/>
      </c>
      <c r="B153" t="str">
        <f>IF(PNL!B153="","",PNL!B153)</f>
        <v/>
      </c>
      <c r="C153" t="str">
        <f>IF(PNL!C153="","",PNL!C153)</f>
        <v/>
      </c>
      <c r="D153" t="str">
        <f>IF(PNL!D153="","",PNL!D153)</f>
        <v/>
      </c>
      <c r="E153" t="str">
        <f t="shared" si="8"/>
        <v/>
      </c>
      <c r="F153" t="str">
        <f>IF($A153="","",IF($E153=1,SUMIFS(Compta!$F$1:$F$675,Compta!$A$1:$A$675,$A153,Compta!$B$1:$B$675,$B153,Compta!$C$1:$C$675,"2026"),0))</f>
        <v/>
      </c>
      <c r="G153" t="str">
        <f>IF($A153="","",IF($D153="V01",cad!$C$23,IF($D153="V02",cad!$D$23,cad!$E$23)))</f>
        <v/>
      </c>
      <c r="H153" t="str">
        <f>IF($A153="","",IF($D153="V01",cad!$C$24,IF($D153="V02",cad!$D$24,cad!$E$24)))</f>
        <v/>
      </c>
      <c r="I153" t="str">
        <f>IF($A153="","",IF($D153="V01",cad!$C$32,IF($D153="V02",cad!$D$32,cad!$E$32)))</f>
        <v/>
      </c>
      <c r="J153" t="str">
        <f>IF($A153="","",IF($D153="V01",cad!$C$33,IF($D153="V02",cad!$D$33,cad!$E$33)))</f>
        <v/>
      </c>
      <c r="K153" t="str">
        <f>IF($A153="","",IF($D153="V01",cad!$C$34,IF($D153="V02",cad!$D$34,cad!$E$34)))</f>
        <v/>
      </c>
      <c r="L153" t="str">
        <f>IF($A153="","",IF($D153="V01",cad!$C$35,IF($D153="V02",cad!$D$35,cad!$E$35)))</f>
        <v/>
      </c>
      <c r="M153" t="str">
        <f>IF($A153="","",IF($D153="V01",cad!$C$36,IF($D153="V02",cad!$D$36,cad!$E$36)))</f>
        <v/>
      </c>
      <c r="N153" t="str">
        <f t="shared" si="9"/>
        <v/>
      </c>
      <c r="O153" t="str">
        <f t="shared" si="10"/>
        <v/>
      </c>
      <c r="P153" t="str">
        <f>IF($A153="","",IF($E153=1,$F153*$O153,PNL!G153))</f>
        <v/>
      </c>
      <c r="T153" t="str">
        <f t="shared" si="11"/>
        <v/>
      </c>
    </row>
    <row r="154" spans="1:20" x14ac:dyDescent="0.45">
      <c r="A154" t="str">
        <f>IF(PNL!A154="","",PNL!A154)</f>
        <v/>
      </c>
      <c r="B154" t="str">
        <f>IF(PNL!B154="","",PNL!B154)</f>
        <v/>
      </c>
      <c r="C154" t="str">
        <f>IF(PNL!C154="","",PNL!C154)</f>
        <v/>
      </c>
      <c r="D154" t="str">
        <f>IF(PNL!D154="","",PNL!D154)</f>
        <v/>
      </c>
      <c r="E154" t="str">
        <f t="shared" si="8"/>
        <v/>
      </c>
      <c r="F154" t="str">
        <f>IF($A154="","",IF($E154=1,SUMIFS(Compta!$F$1:$F$675,Compta!$A$1:$A$675,$A154,Compta!$B$1:$B$675,$B154,Compta!$C$1:$C$675,"2026"),0))</f>
        <v/>
      </c>
      <c r="G154" t="str">
        <f>IF($A154="","",IF($D154="V01",cad!$C$23,IF($D154="V02",cad!$D$23,cad!$E$23)))</f>
        <v/>
      </c>
      <c r="H154" t="str">
        <f>IF($A154="","",IF($D154="V01",cad!$C$24,IF($D154="V02",cad!$D$24,cad!$E$24)))</f>
        <v/>
      </c>
      <c r="I154" t="str">
        <f>IF($A154="","",IF($D154="V01",cad!$C$32,IF($D154="V02",cad!$D$32,cad!$E$32)))</f>
        <v/>
      </c>
      <c r="J154" t="str">
        <f>IF($A154="","",IF($D154="V01",cad!$C$33,IF($D154="V02",cad!$D$33,cad!$E$33)))</f>
        <v/>
      </c>
      <c r="K154" t="str">
        <f>IF($A154="","",IF($D154="V01",cad!$C$34,IF($D154="V02",cad!$D$34,cad!$E$34)))</f>
        <v/>
      </c>
      <c r="L154" t="str">
        <f>IF($A154="","",IF($D154="V01",cad!$C$35,IF($D154="V02",cad!$D$35,cad!$E$35)))</f>
        <v/>
      </c>
      <c r="M154" t="str">
        <f>IF($A154="","",IF($D154="V01",cad!$C$36,IF($D154="V02",cad!$D$36,cad!$E$36)))</f>
        <v/>
      </c>
      <c r="N154" t="str">
        <f t="shared" si="9"/>
        <v/>
      </c>
      <c r="O154" t="str">
        <f t="shared" si="10"/>
        <v/>
      </c>
      <c r="P154" t="str">
        <f>IF($A154="","",IF($E154=1,$F154*$O154,PNL!G154))</f>
        <v/>
      </c>
      <c r="T154" t="str">
        <f t="shared" si="11"/>
        <v/>
      </c>
    </row>
    <row r="155" spans="1:20" x14ac:dyDescent="0.45">
      <c r="A155" t="str">
        <f>IF(PNL!A155="","",PNL!A155)</f>
        <v/>
      </c>
      <c r="B155" t="str">
        <f>IF(PNL!B155="","",PNL!B155)</f>
        <v/>
      </c>
      <c r="C155" t="str">
        <f>IF(PNL!C155="","",PNL!C155)</f>
        <v/>
      </c>
      <c r="D155" t="str">
        <f>IF(PNL!D155="","",PNL!D155)</f>
        <v/>
      </c>
      <c r="E155" t="str">
        <f t="shared" si="8"/>
        <v/>
      </c>
      <c r="F155" t="str">
        <f>IF($A155="","",IF($E155=1,SUMIFS(Compta!$F$1:$F$675,Compta!$A$1:$A$675,$A155,Compta!$B$1:$B$675,$B155,Compta!$C$1:$C$675,"2026"),0))</f>
        <v/>
      </c>
      <c r="G155" t="str">
        <f>IF($A155="","",IF($D155="V01",cad!$C$23,IF($D155="V02",cad!$D$23,cad!$E$23)))</f>
        <v/>
      </c>
      <c r="H155" t="str">
        <f>IF($A155="","",IF($D155="V01",cad!$C$24,IF($D155="V02",cad!$D$24,cad!$E$24)))</f>
        <v/>
      </c>
      <c r="I155" t="str">
        <f>IF($A155="","",IF($D155="V01",cad!$C$32,IF($D155="V02",cad!$D$32,cad!$E$32)))</f>
        <v/>
      </c>
      <c r="J155" t="str">
        <f>IF($A155="","",IF($D155="V01",cad!$C$33,IF($D155="V02",cad!$D$33,cad!$E$33)))</f>
        <v/>
      </c>
      <c r="K155" t="str">
        <f>IF($A155="","",IF($D155="V01",cad!$C$34,IF($D155="V02",cad!$D$34,cad!$E$34)))</f>
        <v/>
      </c>
      <c r="L155" t="str">
        <f>IF($A155="","",IF($D155="V01",cad!$C$35,IF($D155="V02",cad!$D$35,cad!$E$35)))</f>
        <v/>
      </c>
      <c r="M155" t="str">
        <f>IF($A155="","",IF($D155="V01",cad!$C$36,IF($D155="V02",cad!$D$36,cad!$E$36)))</f>
        <v/>
      </c>
      <c r="N155" t="str">
        <f t="shared" si="9"/>
        <v/>
      </c>
      <c r="O155" t="str">
        <f t="shared" si="10"/>
        <v/>
      </c>
      <c r="P155" t="str">
        <f>IF($A155="","",IF($E155=1,$F155*$O155,PNL!G155))</f>
        <v/>
      </c>
      <c r="T155" t="str">
        <f t="shared" si="11"/>
        <v/>
      </c>
    </row>
    <row r="156" spans="1:20" x14ac:dyDescent="0.45">
      <c r="A156" t="str">
        <f>IF(PNL!A156="","",PNL!A156)</f>
        <v/>
      </c>
      <c r="B156" t="str">
        <f>IF(PNL!B156="","",PNL!B156)</f>
        <v/>
      </c>
      <c r="C156" t="str">
        <f>IF(PNL!C156="","",PNL!C156)</f>
        <v/>
      </c>
      <c r="D156" t="str">
        <f>IF(PNL!D156="","",PNL!D156)</f>
        <v/>
      </c>
      <c r="E156" t="str">
        <f t="shared" si="8"/>
        <v/>
      </c>
      <c r="F156" t="str">
        <f>IF($A156="","",IF($E156=1,SUMIFS(Compta!$F$1:$F$675,Compta!$A$1:$A$675,$A156,Compta!$B$1:$B$675,$B156,Compta!$C$1:$C$675,"2026"),0))</f>
        <v/>
      </c>
      <c r="G156" t="str">
        <f>IF($A156="","",IF($D156="V01",cad!$C$23,IF($D156="V02",cad!$D$23,cad!$E$23)))</f>
        <v/>
      </c>
      <c r="H156" t="str">
        <f>IF($A156="","",IF($D156="V01",cad!$C$24,IF($D156="V02",cad!$D$24,cad!$E$24)))</f>
        <v/>
      </c>
      <c r="I156" t="str">
        <f>IF($A156="","",IF($D156="V01",cad!$C$32,IF($D156="V02",cad!$D$32,cad!$E$32)))</f>
        <v/>
      </c>
      <c r="J156" t="str">
        <f>IF($A156="","",IF($D156="V01",cad!$C$33,IF($D156="V02",cad!$D$33,cad!$E$33)))</f>
        <v/>
      </c>
      <c r="K156" t="str">
        <f>IF($A156="","",IF($D156="V01",cad!$C$34,IF($D156="V02",cad!$D$34,cad!$E$34)))</f>
        <v/>
      </c>
      <c r="L156" t="str">
        <f>IF($A156="","",IF($D156="V01",cad!$C$35,IF($D156="V02",cad!$D$35,cad!$E$35)))</f>
        <v/>
      </c>
      <c r="M156" t="str">
        <f>IF($A156="","",IF($D156="V01",cad!$C$36,IF($D156="V02",cad!$D$36,cad!$E$36)))</f>
        <v/>
      </c>
      <c r="N156" t="str">
        <f t="shared" si="9"/>
        <v/>
      </c>
      <c r="O156" t="str">
        <f t="shared" si="10"/>
        <v/>
      </c>
      <c r="P156" t="str">
        <f>IF($A156="","",IF($E156=1,$F156*$O156,PNL!G156))</f>
        <v/>
      </c>
      <c r="T156" t="str">
        <f t="shared" si="11"/>
        <v/>
      </c>
    </row>
    <row r="157" spans="1:20" x14ac:dyDescent="0.45">
      <c r="A157" t="str">
        <f>IF(PNL!A157="","",PNL!A157)</f>
        <v/>
      </c>
      <c r="B157" t="str">
        <f>IF(PNL!B157="","",PNL!B157)</f>
        <v/>
      </c>
      <c r="C157" t="str">
        <f>IF(PNL!C157="","",PNL!C157)</f>
        <v/>
      </c>
      <c r="D157" t="str">
        <f>IF(PNL!D157="","",PNL!D157)</f>
        <v/>
      </c>
      <c r="E157" t="str">
        <f t="shared" si="8"/>
        <v/>
      </c>
      <c r="F157" t="str">
        <f>IF($A157="","",IF($E157=1,SUMIFS(Compta!$F$1:$F$675,Compta!$A$1:$A$675,$A157,Compta!$B$1:$B$675,$B157,Compta!$C$1:$C$675,"2026"),0))</f>
        <v/>
      </c>
      <c r="G157" t="str">
        <f>IF($A157="","",IF($D157="V01",cad!$C$23,IF($D157="V02",cad!$D$23,cad!$E$23)))</f>
        <v/>
      </c>
      <c r="H157" t="str">
        <f>IF($A157="","",IF($D157="V01",cad!$C$24,IF($D157="V02",cad!$D$24,cad!$E$24)))</f>
        <v/>
      </c>
      <c r="I157" t="str">
        <f>IF($A157="","",IF($D157="V01",cad!$C$32,IF($D157="V02",cad!$D$32,cad!$E$32)))</f>
        <v/>
      </c>
      <c r="J157" t="str">
        <f>IF($A157="","",IF($D157="V01",cad!$C$33,IF($D157="V02",cad!$D$33,cad!$E$33)))</f>
        <v/>
      </c>
      <c r="K157" t="str">
        <f>IF($A157="","",IF($D157="V01",cad!$C$34,IF($D157="V02",cad!$D$34,cad!$E$34)))</f>
        <v/>
      </c>
      <c r="L157" t="str">
        <f>IF($A157="","",IF($D157="V01",cad!$C$35,IF($D157="V02",cad!$D$35,cad!$E$35)))</f>
        <v/>
      </c>
      <c r="M157" t="str">
        <f>IF($A157="","",IF($D157="V01",cad!$C$36,IF($D157="V02",cad!$D$36,cad!$E$36)))</f>
        <v/>
      </c>
      <c r="N157" t="str">
        <f t="shared" si="9"/>
        <v/>
      </c>
      <c r="O157" t="str">
        <f t="shared" si="10"/>
        <v/>
      </c>
      <c r="P157" t="str">
        <f>IF($A157="","",IF($E157=1,$F157*$O157,PNL!G157))</f>
        <v/>
      </c>
      <c r="T157" t="str">
        <f t="shared" si="11"/>
        <v/>
      </c>
    </row>
    <row r="158" spans="1:20" x14ac:dyDescent="0.45">
      <c r="A158" t="str">
        <f>IF(PNL!A158="","",PNL!A158)</f>
        <v/>
      </c>
      <c r="B158" t="str">
        <f>IF(PNL!B158="","",PNL!B158)</f>
        <v/>
      </c>
      <c r="C158" t="str">
        <f>IF(PNL!C158="","",PNL!C158)</f>
        <v/>
      </c>
      <c r="D158" t="str">
        <f>IF(PNL!D158="","",PNL!D158)</f>
        <v/>
      </c>
      <c r="E158" t="str">
        <f t="shared" si="8"/>
        <v/>
      </c>
      <c r="F158" t="str">
        <f>IF($A158="","",IF($E158=1,SUMIFS(Compta!$F$1:$F$675,Compta!$A$1:$A$675,$A158,Compta!$B$1:$B$675,$B158,Compta!$C$1:$C$675,"2026"),0))</f>
        <v/>
      </c>
      <c r="G158" t="str">
        <f>IF($A158="","",IF($D158="V01",cad!$C$23,IF($D158="V02",cad!$D$23,cad!$E$23)))</f>
        <v/>
      </c>
      <c r="H158" t="str">
        <f>IF($A158="","",IF($D158="V01",cad!$C$24,IF($D158="V02",cad!$D$24,cad!$E$24)))</f>
        <v/>
      </c>
      <c r="I158" t="str">
        <f>IF($A158="","",IF($D158="V01",cad!$C$32,IF($D158="V02",cad!$D$32,cad!$E$32)))</f>
        <v/>
      </c>
      <c r="J158" t="str">
        <f>IF($A158="","",IF($D158="V01",cad!$C$33,IF($D158="V02",cad!$D$33,cad!$E$33)))</f>
        <v/>
      </c>
      <c r="K158" t="str">
        <f>IF($A158="","",IF($D158="V01",cad!$C$34,IF($D158="V02",cad!$D$34,cad!$E$34)))</f>
        <v/>
      </c>
      <c r="L158" t="str">
        <f>IF($A158="","",IF($D158="V01",cad!$C$35,IF($D158="V02",cad!$D$35,cad!$E$35)))</f>
        <v/>
      </c>
      <c r="M158" t="str">
        <f>IF($A158="","",IF($D158="V01",cad!$C$36,IF($D158="V02",cad!$D$36,cad!$E$36)))</f>
        <v/>
      </c>
      <c r="N158" t="str">
        <f t="shared" si="9"/>
        <v/>
      </c>
      <c r="O158" t="str">
        <f t="shared" si="10"/>
        <v/>
      </c>
      <c r="P158" t="str">
        <f>IF($A158="","",IF($E158=1,$F158*$O158,PNL!G158))</f>
        <v/>
      </c>
      <c r="T158" t="str">
        <f t="shared" si="11"/>
        <v/>
      </c>
    </row>
    <row r="159" spans="1:20" x14ac:dyDescent="0.45">
      <c r="A159" t="str">
        <f>IF(PNL!A159="","",PNL!A159)</f>
        <v/>
      </c>
      <c r="B159" t="str">
        <f>IF(PNL!B159="","",PNL!B159)</f>
        <v/>
      </c>
      <c r="C159" t="str">
        <f>IF(PNL!C159="","",PNL!C159)</f>
        <v/>
      </c>
      <c r="D159" t="str">
        <f>IF(PNL!D159="","",PNL!D159)</f>
        <v/>
      </c>
      <c r="E159" t="str">
        <f t="shared" si="8"/>
        <v/>
      </c>
      <c r="F159" t="str">
        <f>IF($A159="","",IF($E159=1,SUMIFS(Compta!$F$1:$F$675,Compta!$A$1:$A$675,$A159,Compta!$B$1:$B$675,$B159,Compta!$C$1:$C$675,"2026"),0))</f>
        <v/>
      </c>
      <c r="G159" t="str">
        <f>IF($A159="","",IF($D159="V01",cad!$C$23,IF($D159="V02",cad!$D$23,cad!$E$23)))</f>
        <v/>
      </c>
      <c r="H159" t="str">
        <f>IF($A159="","",IF($D159="V01",cad!$C$24,IF($D159="V02",cad!$D$24,cad!$E$24)))</f>
        <v/>
      </c>
      <c r="I159" t="str">
        <f>IF($A159="","",IF($D159="V01",cad!$C$32,IF($D159="V02",cad!$D$32,cad!$E$32)))</f>
        <v/>
      </c>
      <c r="J159" t="str">
        <f>IF($A159="","",IF($D159="V01",cad!$C$33,IF($D159="V02",cad!$D$33,cad!$E$33)))</f>
        <v/>
      </c>
      <c r="K159" t="str">
        <f>IF($A159="","",IF($D159="V01",cad!$C$34,IF($D159="V02",cad!$D$34,cad!$E$34)))</f>
        <v/>
      </c>
      <c r="L159" t="str">
        <f>IF($A159="","",IF($D159="V01",cad!$C$35,IF($D159="V02",cad!$D$35,cad!$E$35)))</f>
        <v/>
      </c>
      <c r="M159" t="str">
        <f>IF($A159="","",IF($D159="V01",cad!$C$36,IF($D159="V02",cad!$D$36,cad!$E$36)))</f>
        <v/>
      </c>
      <c r="N159" t="str">
        <f t="shared" si="9"/>
        <v/>
      </c>
      <c r="O159" t="str">
        <f t="shared" si="10"/>
        <v/>
      </c>
      <c r="P159" t="str">
        <f>IF($A159="","",IF($E159=1,$F159*$O159,PNL!G159))</f>
        <v/>
      </c>
      <c r="T159" t="str">
        <f t="shared" si="11"/>
        <v/>
      </c>
    </row>
    <row r="160" spans="1:20" x14ac:dyDescent="0.45">
      <c r="A160" t="str">
        <f>IF(PNL!A160="","",PNL!A160)</f>
        <v/>
      </c>
      <c r="B160" t="str">
        <f>IF(PNL!B160="","",PNL!B160)</f>
        <v/>
      </c>
      <c r="C160" t="str">
        <f>IF(PNL!C160="","",PNL!C160)</f>
        <v/>
      </c>
      <c r="D160" t="str">
        <f>IF(PNL!D160="","",PNL!D160)</f>
        <v/>
      </c>
      <c r="E160" t="str">
        <f t="shared" si="8"/>
        <v/>
      </c>
      <c r="F160" t="str">
        <f>IF($A160="","",IF($E160=1,SUMIFS(Compta!$F$1:$F$675,Compta!$A$1:$A$675,$A160,Compta!$B$1:$B$675,$B160,Compta!$C$1:$C$675,"2026"),0))</f>
        <v/>
      </c>
      <c r="G160" t="str">
        <f>IF($A160="","",IF($D160="V01",cad!$C$23,IF($D160="V02",cad!$D$23,cad!$E$23)))</f>
        <v/>
      </c>
      <c r="H160" t="str">
        <f>IF($A160="","",IF($D160="V01",cad!$C$24,IF($D160="V02",cad!$D$24,cad!$E$24)))</f>
        <v/>
      </c>
      <c r="I160" t="str">
        <f>IF($A160="","",IF($D160="V01",cad!$C$32,IF($D160="V02",cad!$D$32,cad!$E$32)))</f>
        <v/>
      </c>
      <c r="J160" t="str">
        <f>IF($A160="","",IF($D160="V01",cad!$C$33,IF($D160="V02",cad!$D$33,cad!$E$33)))</f>
        <v/>
      </c>
      <c r="K160" t="str">
        <f>IF($A160="","",IF($D160="V01",cad!$C$34,IF($D160="V02",cad!$D$34,cad!$E$34)))</f>
        <v/>
      </c>
      <c r="L160" t="str">
        <f>IF($A160="","",IF($D160="V01",cad!$C$35,IF($D160="V02",cad!$D$35,cad!$E$35)))</f>
        <v/>
      </c>
      <c r="M160" t="str">
        <f>IF($A160="","",IF($D160="V01",cad!$C$36,IF($D160="V02",cad!$D$36,cad!$E$36)))</f>
        <v/>
      </c>
      <c r="N160" t="str">
        <f t="shared" si="9"/>
        <v/>
      </c>
      <c r="O160" t="str">
        <f t="shared" si="10"/>
        <v/>
      </c>
      <c r="P160" t="str">
        <f>IF($A160="","",IF($E160=1,$F160*$O160,PNL!G160))</f>
        <v/>
      </c>
      <c r="T160" t="str">
        <f t="shared" si="11"/>
        <v/>
      </c>
    </row>
    <row r="161" spans="1:20" x14ac:dyDescent="0.45">
      <c r="A161" t="str">
        <f>IF(PNL!A161="","",PNL!A161)</f>
        <v/>
      </c>
      <c r="B161" t="str">
        <f>IF(PNL!B161="","",PNL!B161)</f>
        <v/>
      </c>
      <c r="C161" t="str">
        <f>IF(PNL!C161="","",PNL!C161)</f>
        <v/>
      </c>
      <c r="D161" t="str">
        <f>IF(PNL!D161="","",PNL!D161)</f>
        <v/>
      </c>
      <c r="E161" t="str">
        <f t="shared" si="8"/>
        <v/>
      </c>
      <c r="F161" t="str">
        <f>IF($A161="","",IF($E161=1,SUMIFS(Compta!$F$1:$F$675,Compta!$A$1:$A$675,$A161,Compta!$B$1:$B$675,$B161,Compta!$C$1:$C$675,"2026"),0))</f>
        <v/>
      </c>
      <c r="G161" t="str">
        <f>IF($A161="","",IF($D161="V01",cad!$C$23,IF($D161="V02",cad!$D$23,cad!$E$23)))</f>
        <v/>
      </c>
      <c r="H161" t="str">
        <f>IF($A161="","",IF($D161="V01",cad!$C$24,IF($D161="V02",cad!$D$24,cad!$E$24)))</f>
        <v/>
      </c>
      <c r="I161" t="str">
        <f>IF($A161="","",IF($D161="V01",cad!$C$32,IF($D161="V02",cad!$D$32,cad!$E$32)))</f>
        <v/>
      </c>
      <c r="J161" t="str">
        <f>IF($A161="","",IF($D161="V01",cad!$C$33,IF($D161="V02",cad!$D$33,cad!$E$33)))</f>
        <v/>
      </c>
      <c r="K161" t="str">
        <f>IF($A161="","",IF($D161="V01",cad!$C$34,IF($D161="V02",cad!$D$34,cad!$E$34)))</f>
        <v/>
      </c>
      <c r="L161" t="str">
        <f>IF($A161="","",IF($D161="V01",cad!$C$35,IF($D161="V02",cad!$D$35,cad!$E$35)))</f>
        <v/>
      </c>
      <c r="M161" t="str">
        <f>IF($A161="","",IF($D161="V01",cad!$C$36,IF($D161="V02",cad!$D$36,cad!$E$36)))</f>
        <v/>
      </c>
      <c r="N161" t="str">
        <f t="shared" si="9"/>
        <v/>
      </c>
      <c r="O161" t="str">
        <f t="shared" si="10"/>
        <v/>
      </c>
      <c r="P161" t="str">
        <f>IF($A161="","",IF($E161=1,$F161*$O161,PNL!G161))</f>
        <v/>
      </c>
      <c r="T161" t="str">
        <f t="shared" si="11"/>
        <v/>
      </c>
    </row>
    <row r="162" spans="1:20" x14ac:dyDescent="0.45">
      <c r="A162" t="str">
        <f>IF(PNL!A162="","",PNL!A162)</f>
        <v/>
      </c>
      <c r="B162" t="str">
        <f>IF(PNL!B162="","",PNL!B162)</f>
        <v/>
      </c>
      <c r="C162" t="str">
        <f>IF(PNL!C162="","",PNL!C162)</f>
        <v/>
      </c>
      <c r="D162" t="str">
        <f>IF(PNL!D162="","",PNL!D162)</f>
        <v/>
      </c>
      <c r="E162" t="str">
        <f t="shared" si="8"/>
        <v/>
      </c>
      <c r="F162" t="str">
        <f>IF($A162="","",IF($E162=1,SUMIFS(Compta!$F$1:$F$675,Compta!$A$1:$A$675,$A162,Compta!$B$1:$B$675,$B162,Compta!$C$1:$C$675,"2026"),0))</f>
        <v/>
      </c>
      <c r="G162" t="str">
        <f>IF($A162="","",IF($D162="V01",cad!$C$23,IF($D162="V02",cad!$D$23,cad!$E$23)))</f>
        <v/>
      </c>
      <c r="H162" t="str">
        <f>IF($A162="","",IF($D162="V01",cad!$C$24,IF($D162="V02",cad!$D$24,cad!$E$24)))</f>
        <v/>
      </c>
      <c r="I162" t="str">
        <f>IF($A162="","",IF($D162="V01",cad!$C$32,IF($D162="V02",cad!$D$32,cad!$E$32)))</f>
        <v/>
      </c>
      <c r="J162" t="str">
        <f>IF($A162="","",IF($D162="V01",cad!$C$33,IF($D162="V02",cad!$D$33,cad!$E$33)))</f>
        <v/>
      </c>
      <c r="K162" t="str">
        <f>IF($A162="","",IF($D162="V01",cad!$C$34,IF($D162="V02",cad!$D$34,cad!$E$34)))</f>
        <v/>
      </c>
      <c r="L162" t="str">
        <f>IF($A162="","",IF($D162="V01",cad!$C$35,IF($D162="V02",cad!$D$35,cad!$E$35)))</f>
        <v/>
      </c>
      <c r="M162" t="str">
        <f>IF($A162="","",IF($D162="V01",cad!$C$36,IF($D162="V02",cad!$D$36,cad!$E$36)))</f>
        <v/>
      </c>
      <c r="N162" t="str">
        <f t="shared" si="9"/>
        <v/>
      </c>
      <c r="O162" t="str">
        <f t="shared" si="10"/>
        <v/>
      </c>
      <c r="P162" t="str">
        <f>IF($A162="","",IF($E162=1,$F162*$O162,PNL!G162))</f>
        <v/>
      </c>
      <c r="T162" t="str">
        <f t="shared" si="11"/>
        <v/>
      </c>
    </row>
    <row r="163" spans="1:20" x14ac:dyDescent="0.45">
      <c r="A163" t="str">
        <f>IF(PNL!A163="","",PNL!A163)</f>
        <v/>
      </c>
      <c r="B163" t="str">
        <f>IF(PNL!B163="","",PNL!B163)</f>
        <v/>
      </c>
      <c r="C163" t="str">
        <f>IF(PNL!C163="","",PNL!C163)</f>
        <v/>
      </c>
      <c r="D163" t="str">
        <f>IF(PNL!D163="","",PNL!D163)</f>
        <v/>
      </c>
      <c r="E163" t="str">
        <f t="shared" si="8"/>
        <v/>
      </c>
      <c r="F163" t="str">
        <f>IF($A163="","",IF($E163=1,SUMIFS(Compta!$F$1:$F$675,Compta!$A$1:$A$675,$A163,Compta!$B$1:$B$675,$B163,Compta!$C$1:$C$675,"2026"),0))</f>
        <v/>
      </c>
      <c r="G163" t="str">
        <f>IF($A163="","",IF($D163="V01",cad!$C$23,IF($D163="V02",cad!$D$23,cad!$E$23)))</f>
        <v/>
      </c>
      <c r="H163" t="str">
        <f>IF($A163="","",IF($D163="V01",cad!$C$24,IF($D163="V02",cad!$D$24,cad!$E$24)))</f>
        <v/>
      </c>
      <c r="I163" t="str">
        <f>IF($A163="","",IF($D163="V01",cad!$C$32,IF($D163="V02",cad!$D$32,cad!$E$32)))</f>
        <v/>
      </c>
      <c r="J163" t="str">
        <f>IF($A163="","",IF($D163="V01",cad!$C$33,IF($D163="V02",cad!$D$33,cad!$E$33)))</f>
        <v/>
      </c>
      <c r="K163" t="str">
        <f>IF($A163="","",IF($D163="V01",cad!$C$34,IF($D163="V02",cad!$D$34,cad!$E$34)))</f>
        <v/>
      </c>
      <c r="L163" t="str">
        <f>IF($A163="","",IF($D163="V01",cad!$C$35,IF($D163="V02",cad!$D$35,cad!$E$35)))</f>
        <v/>
      </c>
      <c r="M163" t="str">
        <f>IF($A163="","",IF($D163="V01",cad!$C$36,IF($D163="V02",cad!$D$36,cad!$E$36)))</f>
        <v/>
      </c>
      <c r="N163" t="str">
        <f t="shared" si="9"/>
        <v/>
      </c>
      <c r="O163" t="str">
        <f t="shared" si="10"/>
        <v/>
      </c>
      <c r="P163" t="str">
        <f>IF($A163="","",IF($E163=1,$F163*$O163,PNL!G163))</f>
        <v/>
      </c>
      <c r="T163" t="str">
        <f t="shared" si="11"/>
        <v/>
      </c>
    </row>
    <row r="164" spans="1:20" x14ac:dyDescent="0.45">
      <c r="A164" t="str">
        <f>IF(PNL!A164="","",PNL!A164)</f>
        <v/>
      </c>
      <c r="B164" t="str">
        <f>IF(PNL!B164="","",PNL!B164)</f>
        <v/>
      </c>
      <c r="C164" t="str">
        <f>IF(PNL!C164="","",PNL!C164)</f>
        <v/>
      </c>
      <c r="D164" t="str">
        <f>IF(PNL!D164="","",PNL!D164)</f>
        <v/>
      </c>
      <c r="E164" t="str">
        <f t="shared" si="8"/>
        <v/>
      </c>
      <c r="F164" t="str">
        <f>IF($A164="","",IF($E164=1,SUMIFS(Compta!$F$1:$F$675,Compta!$A$1:$A$675,$A164,Compta!$B$1:$B$675,$B164,Compta!$C$1:$C$675,"2026"),0))</f>
        <v/>
      </c>
      <c r="G164" t="str">
        <f>IF($A164="","",IF($D164="V01",cad!$C$23,IF($D164="V02",cad!$D$23,cad!$E$23)))</f>
        <v/>
      </c>
      <c r="H164" t="str">
        <f>IF($A164="","",IF($D164="V01",cad!$C$24,IF($D164="V02",cad!$D$24,cad!$E$24)))</f>
        <v/>
      </c>
      <c r="I164" t="str">
        <f>IF($A164="","",IF($D164="V01",cad!$C$32,IF($D164="V02",cad!$D$32,cad!$E$32)))</f>
        <v/>
      </c>
      <c r="J164" t="str">
        <f>IF($A164="","",IF($D164="V01",cad!$C$33,IF($D164="V02",cad!$D$33,cad!$E$33)))</f>
        <v/>
      </c>
      <c r="K164" t="str">
        <f>IF($A164="","",IF($D164="V01",cad!$C$34,IF($D164="V02",cad!$D$34,cad!$E$34)))</f>
        <v/>
      </c>
      <c r="L164" t="str">
        <f>IF($A164="","",IF($D164="V01",cad!$C$35,IF($D164="V02",cad!$D$35,cad!$E$35)))</f>
        <v/>
      </c>
      <c r="M164" t="str">
        <f>IF($A164="","",IF($D164="V01",cad!$C$36,IF($D164="V02",cad!$D$36,cad!$E$36)))</f>
        <v/>
      </c>
      <c r="N164" t="str">
        <f t="shared" si="9"/>
        <v/>
      </c>
      <c r="O164" t="str">
        <f t="shared" si="10"/>
        <v/>
      </c>
      <c r="P164" t="str">
        <f>IF($A164="","",IF($E164=1,$F164*$O164,PNL!G164))</f>
        <v/>
      </c>
      <c r="T164" t="str">
        <f t="shared" si="11"/>
        <v/>
      </c>
    </row>
    <row r="165" spans="1:20" x14ac:dyDescent="0.45">
      <c r="A165" t="str">
        <f>IF(PNL!A165="","",PNL!A165)</f>
        <v/>
      </c>
      <c r="B165" t="str">
        <f>IF(PNL!B165="","",PNL!B165)</f>
        <v/>
      </c>
      <c r="C165" t="str">
        <f>IF(PNL!C165="","",PNL!C165)</f>
        <v/>
      </c>
      <c r="D165" t="str">
        <f>IF(PNL!D165="","",PNL!D165)</f>
        <v/>
      </c>
      <c r="E165" t="str">
        <f t="shared" si="8"/>
        <v/>
      </c>
      <c r="F165" t="str">
        <f>IF($A165="","",IF($E165=1,SUMIFS(Compta!$F$1:$F$675,Compta!$A$1:$A$675,$A165,Compta!$B$1:$B$675,$B165,Compta!$C$1:$C$675,"2026"),0))</f>
        <v/>
      </c>
      <c r="G165" t="str">
        <f>IF($A165="","",IF($D165="V01",cad!$C$23,IF($D165="V02",cad!$D$23,cad!$E$23)))</f>
        <v/>
      </c>
      <c r="H165" t="str">
        <f>IF($A165="","",IF($D165="V01",cad!$C$24,IF($D165="V02",cad!$D$24,cad!$E$24)))</f>
        <v/>
      </c>
      <c r="I165" t="str">
        <f>IF($A165="","",IF($D165="V01",cad!$C$32,IF($D165="V02",cad!$D$32,cad!$E$32)))</f>
        <v/>
      </c>
      <c r="J165" t="str">
        <f>IF($A165="","",IF($D165="V01",cad!$C$33,IF($D165="V02",cad!$D$33,cad!$E$33)))</f>
        <v/>
      </c>
      <c r="K165" t="str">
        <f>IF($A165="","",IF($D165="V01",cad!$C$34,IF($D165="V02",cad!$D$34,cad!$E$34)))</f>
        <v/>
      </c>
      <c r="L165" t="str">
        <f>IF($A165="","",IF($D165="V01",cad!$C$35,IF($D165="V02",cad!$D$35,cad!$E$35)))</f>
        <v/>
      </c>
      <c r="M165" t="str">
        <f>IF($A165="","",IF($D165="V01",cad!$C$36,IF($D165="V02",cad!$D$36,cad!$E$36)))</f>
        <v/>
      </c>
      <c r="N165" t="str">
        <f t="shared" si="9"/>
        <v/>
      </c>
      <c r="O165" t="str">
        <f t="shared" si="10"/>
        <v/>
      </c>
      <c r="P165" t="str">
        <f>IF($A165="","",IF($E165=1,$F165*$O165,PNL!G165))</f>
        <v/>
      </c>
      <c r="T165" t="str">
        <f t="shared" si="11"/>
        <v/>
      </c>
    </row>
    <row r="166" spans="1:20" x14ac:dyDescent="0.45">
      <c r="A166" t="str">
        <f>IF(PNL!A166="","",PNL!A166)</f>
        <v/>
      </c>
      <c r="B166" t="str">
        <f>IF(PNL!B166="","",PNL!B166)</f>
        <v/>
      </c>
      <c r="C166" t="str">
        <f>IF(PNL!C166="","",PNL!C166)</f>
        <v/>
      </c>
      <c r="D166" t="str">
        <f>IF(PNL!D166="","",PNL!D166)</f>
        <v/>
      </c>
      <c r="E166" t="str">
        <f t="shared" si="8"/>
        <v/>
      </c>
      <c r="F166" t="str">
        <f>IF($A166="","",IF($E166=1,SUMIFS(Compta!$F$1:$F$675,Compta!$A$1:$A$675,$A166,Compta!$B$1:$B$675,$B166,Compta!$C$1:$C$675,"2026"),0))</f>
        <v/>
      </c>
      <c r="G166" t="str">
        <f>IF($A166="","",IF($D166="V01",cad!$C$23,IF($D166="V02",cad!$D$23,cad!$E$23)))</f>
        <v/>
      </c>
      <c r="H166" t="str">
        <f>IF($A166="","",IF($D166="V01",cad!$C$24,IF($D166="V02",cad!$D$24,cad!$E$24)))</f>
        <v/>
      </c>
      <c r="I166" t="str">
        <f>IF($A166="","",IF($D166="V01",cad!$C$32,IF($D166="V02",cad!$D$32,cad!$E$32)))</f>
        <v/>
      </c>
      <c r="J166" t="str">
        <f>IF($A166="","",IF($D166="V01",cad!$C$33,IF($D166="V02",cad!$D$33,cad!$E$33)))</f>
        <v/>
      </c>
      <c r="K166" t="str">
        <f>IF($A166="","",IF($D166="V01",cad!$C$34,IF($D166="V02",cad!$D$34,cad!$E$34)))</f>
        <v/>
      </c>
      <c r="L166" t="str">
        <f>IF($A166="","",IF($D166="V01",cad!$C$35,IF($D166="V02",cad!$D$35,cad!$E$35)))</f>
        <v/>
      </c>
      <c r="M166" t="str">
        <f>IF($A166="","",IF($D166="V01",cad!$C$36,IF($D166="V02",cad!$D$36,cad!$E$36)))</f>
        <v/>
      </c>
      <c r="N166" t="str">
        <f t="shared" si="9"/>
        <v/>
      </c>
      <c r="O166" t="str">
        <f t="shared" si="10"/>
        <v/>
      </c>
      <c r="P166" t="str">
        <f>IF($A166="","",IF($E166=1,$F166*$O166,PNL!G166))</f>
        <v/>
      </c>
      <c r="T166" t="str">
        <f t="shared" si="11"/>
        <v/>
      </c>
    </row>
    <row r="167" spans="1:20" x14ac:dyDescent="0.45">
      <c r="A167" t="str">
        <f>IF(PNL!A167="","",PNL!A167)</f>
        <v/>
      </c>
      <c r="B167" t="str">
        <f>IF(PNL!B167="","",PNL!B167)</f>
        <v/>
      </c>
      <c r="C167" t="str">
        <f>IF(PNL!C167="","",PNL!C167)</f>
        <v/>
      </c>
      <c r="D167" t="str">
        <f>IF(PNL!D167="","",PNL!D167)</f>
        <v/>
      </c>
      <c r="E167" t="str">
        <f t="shared" si="8"/>
        <v/>
      </c>
      <c r="F167" t="str">
        <f>IF($A167="","",IF($E167=1,SUMIFS(Compta!$F$1:$F$675,Compta!$A$1:$A$675,$A167,Compta!$B$1:$B$675,$B167,Compta!$C$1:$C$675,"2026"),0))</f>
        <v/>
      </c>
      <c r="G167" t="str">
        <f>IF($A167="","",IF($D167="V01",cad!$C$23,IF($D167="V02",cad!$D$23,cad!$E$23)))</f>
        <v/>
      </c>
      <c r="H167" t="str">
        <f>IF($A167="","",IF($D167="V01",cad!$C$24,IF($D167="V02",cad!$D$24,cad!$E$24)))</f>
        <v/>
      </c>
      <c r="I167" t="str">
        <f>IF($A167="","",IF($D167="V01",cad!$C$32,IF($D167="V02",cad!$D$32,cad!$E$32)))</f>
        <v/>
      </c>
      <c r="J167" t="str">
        <f>IF($A167="","",IF($D167="V01",cad!$C$33,IF($D167="V02",cad!$D$33,cad!$E$33)))</f>
        <v/>
      </c>
      <c r="K167" t="str">
        <f>IF($A167="","",IF($D167="V01",cad!$C$34,IF($D167="V02",cad!$D$34,cad!$E$34)))</f>
        <v/>
      </c>
      <c r="L167" t="str">
        <f>IF($A167="","",IF($D167="V01",cad!$C$35,IF($D167="V02",cad!$D$35,cad!$E$35)))</f>
        <v/>
      </c>
      <c r="M167" t="str">
        <f>IF($A167="","",IF($D167="V01",cad!$C$36,IF($D167="V02",cad!$D$36,cad!$E$36)))</f>
        <v/>
      </c>
      <c r="N167" t="str">
        <f t="shared" si="9"/>
        <v/>
      </c>
      <c r="O167" t="str">
        <f t="shared" si="10"/>
        <v/>
      </c>
      <c r="P167" t="str">
        <f>IF($A167="","",IF($E167=1,$F167*$O167,PNL!G167))</f>
        <v/>
      </c>
      <c r="T167" t="str">
        <f t="shared" si="11"/>
        <v/>
      </c>
    </row>
    <row r="168" spans="1:20" x14ac:dyDescent="0.45">
      <c r="A168" t="str">
        <f>IF(PNL!A168="","",PNL!A168)</f>
        <v/>
      </c>
      <c r="B168" t="str">
        <f>IF(PNL!B168="","",PNL!B168)</f>
        <v/>
      </c>
      <c r="C168" t="str">
        <f>IF(PNL!C168="","",PNL!C168)</f>
        <v/>
      </c>
      <c r="D168" t="str">
        <f>IF(PNL!D168="","",PNL!D168)</f>
        <v/>
      </c>
      <c r="E168" t="str">
        <f t="shared" si="8"/>
        <v/>
      </c>
      <c r="F168" t="str">
        <f>IF($A168="","",IF($E168=1,SUMIFS(Compta!$F$1:$F$675,Compta!$A$1:$A$675,$A168,Compta!$B$1:$B$675,$B168,Compta!$C$1:$C$675,"2026"),0))</f>
        <v/>
      </c>
      <c r="G168" t="str">
        <f>IF($A168="","",IF($D168="V01",cad!$C$23,IF($D168="V02",cad!$D$23,cad!$E$23)))</f>
        <v/>
      </c>
      <c r="H168" t="str">
        <f>IF($A168="","",IF($D168="V01",cad!$C$24,IF($D168="V02",cad!$D$24,cad!$E$24)))</f>
        <v/>
      </c>
      <c r="I168" t="str">
        <f>IF($A168="","",IF($D168="V01",cad!$C$32,IF($D168="V02",cad!$D$32,cad!$E$32)))</f>
        <v/>
      </c>
      <c r="J168" t="str">
        <f>IF($A168="","",IF($D168="V01",cad!$C$33,IF($D168="V02",cad!$D$33,cad!$E$33)))</f>
        <v/>
      </c>
      <c r="K168" t="str">
        <f>IF($A168="","",IF($D168="V01",cad!$C$34,IF($D168="V02",cad!$D$34,cad!$E$34)))</f>
        <v/>
      </c>
      <c r="L168" t="str">
        <f>IF($A168="","",IF($D168="V01",cad!$C$35,IF($D168="V02",cad!$D$35,cad!$E$35)))</f>
        <v/>
      </c>
      <c r="M168" t="str">
        <f>IF($A168="","",IF($D168="V01",cad!$C$36,IF($D168="V02",cad!$D$36,cad!$E$36)))</f>
        <v/>
      </c>
      <c r="N168" t="str">
        <f t="shared" si="9"/>
        <v/>
      </c>
      <c r="O168" t="str">
        <f t="shared" si="10"/>
        <v/>
      </c>
      <c r="P168" t="str">
        <f>IF($A168="","",IF($E168=1,$F168*$O168,PNL!G168))</f>
        <v/>
      </c>
      <c r="T168" t="str">
        <f t="shared" si="11"/>
        <v/>
      </c>
    </row>
    <row r="169" spans="1:20" x14ac:dyDescent="0.45">
      <c r="A169" t="str">
        <f>IF(PNL!A169="","",PNL!A169)</f>
        <v/>
      </c>
      <c r="B169" t="str">
        <f>IF(PNL!B169="","",PNL!B169)</f>
        <v/>
      </c>
      <c r="C169" t="str">
        <f>IF(PNL!C169="","",PNL!C169)</f>
        <v/>
      </c>
      <c r="D169" t="str">
        <f>IF(PNL!D169="","",PNL!D169)</f>
        <v/>
      </c>
      <c r="E169" t="str">
        <f t="shared" si="8"/>
        <v/>
      </c>
      <c r="F169" t="str">
        <f>IF($A169="","",IF($E169=1,SUMIFS(Compta!$F$1:$F$675,Compta!$A$1:$A$675,$A169,Compta!$B$1:$B$675,$B169,Compta!$C$1:$C$675,"2026"),0))</f>
        <v/>
      </c>
      <c r="G169" t="str">
        <f>IF($A169="","",IF($D169="V01",cad!$C$23,IF($D169="V02",cad!$D$23,cad!$E$23)))</f>
        <v/>
      </c>
      <c r="H169" t="str">
        <f>IF($A169="","",IF($D169="V01",cad!$C$24,IF($D169="V02",cad!$D$24,cad!$E$24)))</f>
        <v/>
      </c>
      <c r="I169" t="str">
        <f>IF($A169="","",IF($D169="V01",cad!$C$32,IF($D169="V02",cad!$D$32,cad!$E$32)))</f>
        <v/>
      </c>
      <c r="J169" t="str">
        <f>IF($A169="","",IF($D169="V01",cad!$C$33,IF($D169="V02",cad!$D$33,cad!$E$33)))</f>
        <v/>
      </c>
      <c r="K169" t="str">
        <f>IF($A169="","",IF($D169="V01",cad!$C$34,IF($D169="V02",cad!$D$34,cad!$E$34)))</f>
        <v/>
      </c>
      <c r="L169" t="str">
        <f>IF($A169="","",IF($D169="V01",cad!$C$35,IF($D169="V02",cad!$D$35,cad!$E$35)))</f>
        <v/>
      </c>
      <c r="M169" t="str">
        <f>IF($A169="","",IF($D169="V01",cad!$C$36,IF($D169="V02",cad!$D$36,cad!$E$36)))</f>
        <v/>
      </c>
      <c r="N169" t="str">
        <f t="shared" si="9"/>
        <v/>
      </c>
      <c r="O169" t="str">
        <f t="shared" si="10"/>
        <v/>
      </c>
      <c r="P169" t="str">
        <f>IF($A169="","",IF($E169=1,$F169*$O169,PNL!G169))</f>
        <v/>
      </c>
      <c r="T169" t="str">
        <f t="shared" si="11"/>
        <v/>
      </c>
    </row>
    <row r="170" spans="1:20" x14ac:dyDescent="0.45">
      <c r="A170" t="str">
        <f>IF(PNL!A170="","",PNL!A170)</f>
        <v/>
      </c>
      <c r="B170" t="str">
        <f>IF(PNL!B170="","",PNL!B170)</f>
        <v/>
      </c>
      <c r="C170" t="str">
        <f>IF(PNL!C170="","",PNL!C170)</f>
        <v/>
      </c>
      <c r="D170" t="str">
        <f>IF(PNL!D170="","",PNL!D170)</f>
        <v/>
      </c>
      <c r="E170" t="str">
        <f t="shared" si="8"/>
        <v/>
      </c>
      <c r="F170" t="str">
        <f>IF($A170="","",IF($E170=1,SUMIFS(Compta!$F$1:$F$675,Compta!$A$1:$A$675,$A170,Compta!$B$1:$B$675,$B170,Compta!$C$1:$C$675,"2026"),0))</f>
        <v/>
      </c>
      <c r="G170" t="str">
        <f>IF($A170="","",IF($D170="V01",cad!$C$23,IF($D170="V02",cad!$D$23,cad!$E$23)))</f>
        <v/>
      </c>
      <c r="H170" t="str">
        <f>IF($A170="","",IF($D170="V01",cad!$C$24,IF($D170="V02",cad!$D$24,cad!$E$24)))</f>
        <v/>
      </c>
      <c r="I170" t="str">
        <f>IF($A170="","",IF($D170="V01",cad!$C$32,IF($D170="V02",cad!$D$32,cad!$E$32)))</f>
        <v/>
      </c>
      <c r="J170" t="str">
        <f>IF($A170="","",IF($D170="V01",cad!$C$33,IF($D170="V02",cad!$D$33,cad!$E$33)))</f>
        <v/>
      </c>
      <c r="K170" t="str">
        <f>IF($A170="","",IF($D170="V01",cad!$C$34,IF($D170="V02",cad!$D$34,cad!$E$34)))</f>
        <v/>
      </c>
      <c r="L170" t="str">
        <f>IF($A170="","",IF($D170="V01",cad!$C$35,IF($D170="V02",cad!$D$35,cad!$E$35)))</f>
        <v/>
      </c>
      <c r="M170" t="str">
        <f>IF($A170="","",IF($D170="V01",cad!$C$36,IF($D170="V02",cad!$D$36,cad!$E$36)))</f>
        <v/>
      </c>
      <c r="N170" t="str">
        <f t="shared" si="9"/>
        <v/>
      </c>
      <c r="O170" t="str">
        <f t="shared" si="10"/>
        <v/>
      </c>
      <c r="P170" t="str">
        <f>IF($A170="","",IF($E170=1,$F170*$O170,PNL!G170))</f>
        <v/>
      </c>
      <c r="T170" t="str">
        <f t="shared" si="11"/>
        <v/>
      </c>
    </row>
    <row r="171" spans="1:20" x14ac:dyDescent="0.45">
      <c r="A171" t="str">
        <f>IF(PNL!A171="","",PNL!A171)</f>
        <v/>
      </c>
      <c r="B171" t="str">
        <f>IF(PNL!B171="","",PNL!B171)</f>
        <v/>
      </c>
      <c r="C171" t="str">
        <f>IF(PNL!C171="","",PNL!C171)</f>
        <v/>
      </c>
      <c r="D171" t="str">
        <f>IF(PNL!D171="","",PNL!D171)</f>
        <v/>
      </c>
      <c r="E171" t="str">
        <f t="shared" si="8"/>
        <v/>
      </c>
      <c r="F171" t="str">
        <f>IF($A171="","",IF($E171=1,SUMIFS(Compta!$F$1:$F$675,Compta!$A$1:$A$675,$A171,Compta!$B$1:$B$675,$B171,Compta!$C$1:$C$675,"2026"),0))</f>
        <v/>
      </c>
      <c r="G171" t="str">
        <f>IF($A171="","",IF($D171="V01",cad!$C$23,IF($D171="V02",cad!$D$23,cad!$E$23)))</f>
        <v/>
      </c>
      <c r="H171" t="str">
        <f>IF($A171="","",IF($D171="V01",cad!$C$24,IF($D171="V02",cad!$D$24,cad!$E$24)))</f>
        <v/>
      </c>
      <c r="I171" t="str">
        <f>IF($A171="","",IF($D171="V01",cad!$C$32,IF($D171="V02",cad!$D$32,cad!$E$32)))</f>
        <v/>
      </c>
      <c r="J171" t="str">
        <f>IF($A171="","",IF($D171="V01",cad!$C$33,IF($D171="V02",cad!$D$33,cad!$E$33)))</f>
        <v/>
      </c>
      <c r="K171" t="str">
        <f>IF($A171="","",IF($D171="V01",cad!$C$34,IF($D171="V02",cad!$D$34,cad!$E$34)))</f>
        <v/>
      </c>
      <c r="L171" t="str">
        <f>IF($A171="","",IF($D171="V01",cad!$C$35,IF($D171="V02",cad!$D$35,cad!$E$35)))</f>
        <v/>
      </c>
      <c r="M171" t="str">
        <f>IF($A171="","",IF($D171="V01",cad!$C$36,IF($D171="V02",cad!$D$36,cad!$E$36)))</f>
        <v/>
      </c>
      <c r="N171" t="str">
        <f t="shared" si="9"/>
        <v/>
      </c>
      <c r="O171" t="str">
        <f t="shared" si="10"/>
        <v/>
      </c>
      <c r="P171" t="str">
        <f>IF($A171="","",IF($E171=1,$F171*$O171,PNL!G171))</f>
        <v/>
      </c>
      <c r="T171" t="str">
        <f t="shared" si="11"/>
        <v/>
      </c>
    </row>
    <row r="172" spans="1:20" x14ac:dyDescent="0.45">
      <c r="A172" t="str">
        <f>IF(PNL!A172="","",PNL!A172)</f>
        <v/>
      </c>
      <c r="B172" t="str">
        <f>IF(PNL!B172="","",PNL!B172)</f>
        <v/>
      </c>
      <c r="C172" t="str">
        <f>IF(PNL!C172="","",PNL!C172)</f>
        <v/>
      </c>
      <c r="D172" t="str">
        <f>IF(PNL!D172="","",PNL!D172)</f>
        <v/>
      </c>
      <c r="E172" t="str">
        <f t="shared" si="8"/>
        <v/>
      </c>
      <c r="F172" t="str">
        <f>IF($A172="","",IF($E172=1,SUMIFS(Compta!$F$1:$F$675,Compta!$A$1:$A$675,$A172,Compta!$B$1:$B$675,$B172,Compta!$C$1:$C$675,"2026"),0))</f>
        <v/>
      </c>
      <c r="G172" t="str">
        <f>IF($A172="","",IF($D172="V01",cad!$C$23,IF($D172="V02",cad!$D$23,cad!$E$23)))</f>
        <v/>
      </c>
      <c r="H172" t="str">
        <f>IF($A172="","",IF($D172="V01",cad!$C$24,IF($D172="V02",cad!$D$24,cad!$E$24)))</f>
        <v/>
      </c>
      <c r="I172" t="str">
        <f>IF($A172="","",IF($D172="V01",cad!$C$32,IF($D172="V02",cad!$D$32,cad!$E$32)))</f>
        <v/>
      </c>
      <c r="J172" t="str">
        <f>IF($A172="","",IF($D172="V01",cad!$C$33,IF($D172="V02",cad!$D$33,cad!$E$33)))</f>
        <v/>
      </c>
      <c r="K172" t="str">
        <f>IF($A172="","",IF($D172="V01",cad!$C$34,IF($D172="V02",cad!$D$34,cad!$E$34)))</f>
        <v/>
      </c>
      <c r="L172" t="str">
        <f>IF($A172="","",IF($D172="V01",cad!$C$35,IF($D172="V02",cad!$D$35,cad!$E$35)))</f>
        <v/>
      </c>
      <c r="M172" t="str">
        <f>IF($A172="","",IF($D172="V01",cad!$C$36,IF($D172="V02",cad!$D$36,cad!$E$36)))</f>
        <v/>
      </c>
      <c r="N172" t="str">
        <f t="shared" si="9"/>
        <v/>
      </c>
      <c r="O172" t="str">
        <f t="shared" si="10"/>
        <v/>
      </c>
      <c r="P172" t="str">
        <f>IF($A172="","",IF($E172=1,$F172*$O172,PNL!G172))</f>
        <v/>
      </c>
      <c r="T172" t="str">
        <f t="shared" si="11"/>
        <v/>
      </c>
    </row>
    <row r="173" spans="1:20" x14ac:dyDescent="0.45">
      <c r="A173" t="str">
        <f>IF(PNL!A173="","",PNL!A173)</f>
        <v/>
      </c>
      <c r="B173" t="str">
        <f>IF(PNL!B173="","",PNL!B173)</f>
        <v/>
      </c>
      <c r="C173" t="str">
        <f>IF(PNL!C173="","",PNL!C173)</f>
        <v/>
      </c>
      <c r="D173" t="str">
        <f>IF(PNL!D173="","",PNL!D173)</f>
        <v/>
      </c>
      <c r="E173" t="str">
        <f t="shared" si="8"/>
        <v/>
      </c>
      <c r="F173" t="str">
        <f>IF($A173="","",IF($E173=1,SUMIFS(Compta!$F$1:$F$675,Compta!$A$1:$A$675,$A173,Compta!$B$1:$B$675,$B173,Compta!$C$1:$C$675,"2026"),0))</f>
        <v/>
      </c>
      <c r="G173" t="str">
        <f>IF($A173="","",IF($D173="V01",cad!$C$23,IF($D173="V02",cad!$D$23,cad!$E$23)))</f>
        <v/>
      </c>
      <c r="H173" t="str">
        <f>IF($A173="","",IF($D173="V01",cad!$C$24,IF($D173="V02",cad!$D$24,cad!$E$24)))</f>
        <v/>
      </c>
      <c r="I173" t="str">
        <f>IF($A173="","",IF($D173="V01",cad!$C$32,IF($D173="V02",cad!$D$32,cad!$E$32)))</f>
        <v/>
      </c>
      <c r="J173" t="str">
        <f>IF($A173="","",IF($D173="V01",cad!$C$33,IF($D173="V02",cad!$D$33,cad!$E$33)))</f>
        <v/>
      </c>
      <c r="K173" t="str">
        <f>IF($A173="","",IF($D173="V01",cad!$C$34,IF($D173="V02",cad!$D$34,cad!$E$34)))</f>
        <v/>
      </c>
      <c r="L173" t="str">
        <f>IF($A173="","",IF($D173="V01",cad!$C$35,IF($D173="V02",cad!$D$35,cad!$E$35)))</f>
        <v/>
      </c>
      <c r="M173" t="str">
        <f>IF($A173="","",IF($D173="V01",cad!$C$36,IF($D173="V02",cad!$D$36,cad!$E$36)))</f>
        <v/>
      </c>
      <c r="N173" t="str">
        <f t="shared" si="9"/>
        <v/>
      </c>
      <c r="O173" t="str">
        <f t="shared" si="10"/>
        <v/>
      </c>
      <c r="P173" t="str">
        <f>IF($A173="","",IF($E173=1,$F173*$O173,PNL!G173))</f>
        <v/>
      </c>
      <c r="T173" t="str">
        <f t="shared" si="11"/>
        <v/>
      </c>
    </row>
    <row r="174" spans="1:20" x14ac:dyDescent="0.45">
      <c r="A174" t="str">
        <f>IF(PNL!A174="","",PNL!A174)</f>
        <v/>
      </c>
      <c r="B174" t="str">
        <f>IF(PNL!B174="","",PNL!B174)</f>
        <v/>
      </c>
      <c r="C174" t="str">
        <f>IF(PNL!C174="","",PNL!C174)</f>
        <v/>
      </c>
      <c r="D174" t="str">
        <f>IF(PNL!D174="","",PNL!D174)</f>
        <v/>
      </c>
      <c r="E174" t="str">
        <f t="shared" si="8"/>
        <v/>
      </c>
      <c r="F174" t="str">
        <f>IF($A174="","",IF($E174=1,SUMIFS(Compta!$F$1:$F$675,Compta!$A$1:$A$675,$A174,Compta!$B$1:$B$675,$B174,Compta!$C$1:$C$675,"2026"),0))</f>
        <v/>
      </c>
      <c r="G174" t="str">
        <f>IF($A174="","",IF($D174="V01",cad!$C$23,IF($D174="V02",cad!$D$23,cad!$E$23)))</f>
        <v/>
      </c>
      <c r="H174" t="str">
        <f>IF($A174="","",IF($D174="V01",cad!$C$24,IF($D174="V02",cad!$D$24,cad!$E$24)))</f>
        <v/>
      </c>
      <c r="I174" t="str">
        <f>IF($A174="","",IF($D174="V01",cad!$C$32,IF($D174="V02",cad!$D$32,cad!$E$32)))</f>
        <v/>
      </c>
      <c r="J174" t="str">
        <f>IF($A174="","",IF($D174="V01",cad!$C$33,IF($D174="V02",cad!$D$33,cad!$E$33)))</f>
        <v/>
      </c>
      <c r="K174" t="str">
        <f>IF($A174="","",IF($D174="V01",cad!$C$34,IF($D174="V02",cad!$D$34,cad!$E$34)))</f>
        <v/>
      </c>
      <c r="L174" t="str">
        <f>IF($A174="","",IF($D174="V01",cad!$C$35,IF($D174="V02",cad!$D$35,cad!$E$35)))</f>
        <v/>
      </c>
      <c r="M174" t="str">
        <f>IF($A174="","",IF($D174="V01",cad!$C$36,IF($D174="V02",cad!$D$36,cad!$E$36)))</f>
        <v/>
      </c>
      <c r="N174" t="str">
        <f t="shared" si="9"/>
        <v/>
      </c>
      <c r="O174" t="str">
        <f t="shared" si="10"/>
        <v/>
      </c>
      <c r="P174" t="str">
        <f>IF($A174="","",IF($E174=1,$F174*$O174,PNL!G174))</f>
        <v/>
      </c>
      <c r="T174" t="str">
        <f t="shared" si="11"/>
        <v/>
      </c>
    </row>
    <row r="175" spans="1:20" x14ac:dyDescent="0.45">
      <c r="A175" t="str">
        <f>IF(PNL!A175="","",PNL!A175)</f>
        <v/>
      </c>
      <c r="B175" t="str">
        <f>IF(PNL!B175="","",PNL!B175)</f>
        <v/>
      </c>
      <c r="C175" t="str">
        <f>IF(PNL!C175="","",PNL!C175)</f>
        <v/>
      </c>
      <c r="D175" t="str">
        <f>IF(PNL!D175="","",PNL!D175)</f>
        <v/>
      </c>
      <c r="E175" t="str">
        <f t="shared" si="8"/>
        <v/>
      </c>
      <c r="F175" t="str">
        <f>IF($A175="","",IF($E175=1,SUMIFS(Compta!$F$1:$F$675,Compta!$A$1:$A$675,$A175,Compta!$B$1:$B$675,$B175,Compta!$C$1:$C$675,"2026"),0))</f>
        <v/>
      </c>
      <c r="G175" t="str">
        <f>IF($A175="","",IF($D175="V01",cad!$C$23,IF($D175="V02",cad!$D$23,cad!$E$23)))</f>
        <v/>
      </c>
      <c r="H175" t="str">
        <f>IF($A175="","",IF($D175="V01",cad!$C$24,IF($D175="V02",cad!$D$24,cad!$E$24)))</f>
        <v/>
      </c>
      <c r="I175" t="str">
        <f>IF($A175="","",IF($D175="V01",cad!$C$32,IF($D175="V02",cad!$D$32,cad!$E$32)))</f>
        <v/>
      </c>
      <c r="J175" t="str">
        <f>IF($A175="","",IF($D175="V01",cad!$C$33,IF($D175="V02",cad!$D$33,cad!$E$33)))</f>
        <v/>
      </c>
      <c r="K175" t="str">
        <f>IF($A175="","",IF($D175="V01",cad!$C$34,IF($D175="V02",cad!$D$34,cad!$E$34)))</f>
        <v/>
      </c>
      <c r="L175" t="str">
        <f>IF($A175="","",IF($D175="V01",cad!$C$35,IF($D175="V02",cad!$D$35,cad!$E$35)))</f>
        <v/>
      </c>
      <c r="M175" t="str">
        <f>IF($A175="","",IF($D175="V01",cad!$C$36,IF($D175="V02",cad!$D$36,cad!$E$36)))</f>
        <v/>
      </c>
      <c r="N175" t="str">
        <f t="shared" si="9"/>
        <v/>
      </c>
      <c r="O175" t="str">
        <f t="shared" si="10"/>
        <v/>
      </c>
      <c r="P175" t="str">
        <f>IF($A175="","",IF($E175=1,$F175*$O175,PNL!G175))</f>
        <v/>
      </c>
      <c r="T175" t="str">
        <f t="shared" si="11"/>
        <v/>
      </c>
    </row>
    <row r="176" spans="1:20" x14ac:dyDescent="0.45">
      <c r="A176" t="str">
        <f>IF(PNL!A176="","",PNL!A176)</f>
        <v/>
      </c>
      <c r="B176" t="str">
        <f>IF(PNL!B176="","",PNL!B176)</f>
        <v/>
      </c>
      <c r="C176" t="str">
        <f>IF(PNL!C176="","",PNL!C176)</f>
        <v/>
      </c>
      <c r="D176" t="str">
        <f>IF(PNL!D176="","",PNL!D176)</f>
        <v/>
      </c>
      <c r="E176" t="str">
        <f t="shared" si="8"/>
        <v/>
      </c>
      <c r="F176" t="str">
        <f>IF($A176="","",IF($E176=1,SUMIFS(Compta!$F$1:$F$675,Compta!$A$1:$A$675,$A176,Compta!$B$1:$B$675,$B176,Compta!$C$1:$C$675,"2026"),0))</f>
        <v/>
      </c>
      <c r="G176" t="str">
        <f>IF($A176="","",IF($D176="V01",cad!$C$23,IF($D176="V02",cad!$D$23,cad!$E$23)))</f>
        <v/>
      </c>
      <c r="H176" t="str">
        <f>IF($A176="","",IF($D176="V01",cad!$C$24,IF($D176="V02",cad!$D$24,cad!$E$24)))</f>
        <v/>
      </c>
      <c r="I176" t="str">
        <f>IF($A176="","",IF($D176="V01",cad!$C$32,IF($D176="V02",cad!$D$32,cad!$E$32)))</f>
        <v/>
      </c>
      <c r="J176" t="str">
        <f>IF($A176="","",IF($D176="V01",cad!$C$33,IF($D176="V02",cad!$D$33,cad!$E$33)))</f>
        <v/>
      </c>
      <c r="K176" t="str">
        <f>IF($A176="","",IF($D176="V01",cad!$C$34,IF($D176="V02",cad!$D$34,cad!$E$34)))</f>
        <v/>
      </c>
      <c r="L176" t="str">
        <f>IF($A176="","",IF($D176="V01",cad!$C$35,IF($D176="V02",cad!$D$35,cad!$E$35)))</f>
        <v/>
      </c>
      <c r="M176" t="str">
        <f>IF($A176="","",IF($D176="V01",cad!$C$36,IF($D176="V02",cad!$D$36,cad!$E$36)))</f>
        <v/>
      </c>
      <c r="N176" t="str">
        <f t="shared" si="9"/>
        <v/>
      </c>
      <c r="O176" t="str">
        <f t="shared" si="10"/>
        <v/>
      </c>
      <c r="P176" t="str">
        <f>IF($A176="","",IF($E176=1,$F176*$O176,PNL!G176))</f>
        <v/>
      </c>
      <c r="T176" t="str">
        <f t="shared" si="11"/>
        <v/>
      </c>
    </row>
    <row r="177" spans="1:20" x14ac:dyDescent="0.45">
      <c r="A177" t="str">
        <f>IF(PNL!A177="","",PNL!A177)</f>
        <v/>
      </c>
      <c r="B177" t="str">
        <f>IF(PNL!B177="","",PNL!B177)</f>
        <v/>
      </c>
      <c r="C177" t="str">
        <f>IF(PNL!C177="","",PNL!C177)</f>
        <v/>
      </c>
      <c r="D177" t="str">
        <f>IF(PNL!D177="","",PNL!D177)</f>
        <v/>
      </c>
      <c r="E177" t="str">
        <f t="shared" si="8"/>
        <v/>
      </c>
      <c r="F177" t="str">
        <f>IF($A177="","",IF($E177=1,SUMIFS(Compta!$F$1:$F$675,Compta!$A$1:$A$675,$A177,Compta!$B$1:$B$675,$B177,Compta!$C$1:$C$675,"2026"),0))</f>
        <v/>
      </c>
      <c r="G177" t="str">
        <f>IF($A177="","",IF($D177="V01",cad!$C$23,IF($D177="V02",cad!$D$23,cad!$E$23)))</f>
        <v/>
      </c>
      <c r="H177" t="str">
        <f>IF($A177="","",IF($D177="V01",cad!$C$24,IF($D177="V02",cad!$D$24,cad!$E$24)))</f>
        <v/>
      </c>
      <c r="I177" t="str">
        <f>IF($A177="","",IF($D177="V01",cad!$C$32,IF($D177="V02",cad!$D$32,cad!$E$32)))</f>
        <v/>
      </c>
      <c r="J177" t="str">
        <f>IF($A177="","",IF($D177="V01",cad!$C$33,IF($D177="V02",cad!$D$33,cad!$E$33)))</f>
        <v/>
      </c>
      <c r="K177" t="str">
        <f>IF($A177="","",IF($D177="V01",cad!$C$34,IF($D177="V02",cad!$D$34,cad!$E$34)))</f>
        <v/>
      </c>
      <c r="L177" t="str">
        <f>IF($A177="","",IF($D177="V01",cad!$C$35,IF($D177="V02",cad!$D$35,cad!$E$35)))</f>
        <v/>
      </c>
      <c r="M177" t="str">
        <f>IF($A177="","",IF($D177="V01",cad!$C$36,IF($D177="V02",cad!$D$36,cad!$E$36)))</f>
        <v/>
      </c>
      <c r="N177" t="str">
        <f t="shared" si="9"/>
        <v/>
      </c>
      <c r="O177" t="str">
        <f t="shared" si="10"/>
        <v/>
      </c>
      <c r="P177" t="str">
        <f>IF($A177="","",IF($E177=1,$F177*$O177,PNL!G177))</f>
        <v/>
      </c>
      <c r="T177" t="str">
        <f t="shared" si="11"/>
        <v/>
      </c>
    </row>
    <row r="178" spans="1:20" x14ac:dyDescent="0.45">
      <c r="A178" t="str">
        <f>IF(PNL!A178="","",PNL!A178)</f>
        <v/>
      </c>
      <c r="B178" t="str">
        <f>IF(PNL!B178="","",PNL!B178)</f>
        <v/>
      </c>
      <c r="C178" t="str">
        <f>IF(PNL!C178="","",PNL!C178)</f>
        <v/>
      </c>
      <c r="D178" t="str">
        <f>IF(PNL!D178="","",PNL!D178)</f>
        <v/>
      </c>
      <c r="E178" t="str">
        <f t="shared" si="8"/>
        <v/>
      </c>
      <c r="F178" t="str">
        <f>IF($A178="","",IF($E178=1,SUMIFS(Compta!$F$1:$F$675,Compta!$A$1:$A$675,$A178,Compta!$B$1:$B$675,$B178,Compta!$C$1:$C$675,"2026"),0))</f>
        <v/>
      </c>
      <c r="G178" t="str">
        <f>IF($A178="","",IF($D178="V01",cad!$C$23,IF($D178="V02",cad!$D$23,cad!$E$23)))</f>
        <v/>
      </c>
      <c r="H178" t="str">
        <f>IF($A178="","",IF($D178="V01",cad!$C$24,IF($D178="V02",cad!$D$24,cad!$E$24)))</f>
        <v/>
      </c>
      <c r="I178" t="str">
        <f>IF($A178="","",IF($D178="V01",cad!$C$32,IF($D178="V02",cad!$D$32,cad!$E$32)))</f>
        <v/>
      </c>
      <c r="J178" t="str">
        <f>IF($A178="","",IF($D178="V01",cad!$C$33,IF($D178="V02",cad!$D$33,cad!$E$33)))</f>
        <v/>
      </c>
      <c r="K178" t="str">
        <f>IF($A178="","",IF($D178="V01",cad!$C$34,IF($D178="V02",cad!$D$34,cad!$E$34)))</f>
        <v/>
      </c>
      <c r="L178" t="str">
        <f>IF($A178="","",IF($D178="V01",cad!$C$35,IF($D178="V02",cad!$D$35,cad!$E$35)))</f>
        <v/>
      </c>
      <c r="M178" t="str">
        <f>IF($A178="","",IF($D178="V01",cad!$C$36,IF($D178="V02",cad!$D$36,cad!$E$36)))</f>
        <v/>
      </c>
      <c r="N178" t="str">
        <f t="shared" si="9"/>
        <v/>
      </c>
      <c r="O178" t="str">
        <f t="shared" si="10"/>
        <v/>
      </c>
      <c r="P178" t="str">
        <f>IF($A178="","",IF($E178=1,$F178*$O178,PNL!G178))</f>
        <v/>
      </c>
      <c r="T178" t="str">
        <f t="shared" si="11"/>
        <v/>
      </c>
    </row>
    <row r="179" spans="1:20" x14ac:dyDescent="0.45">
      <c r="A179" t="str">
        <f>IF(PNL!A179="","",PNL!A179)</f>
        <v/>
      </c>
      <c r="B179" t="str">
        <f>IF(PNL!B179="","",PNL!B179)</f>
        <v/>
      </c>
      <c r="C179" t="str">
        <f>IF(PNL!C179="","",PNL!C179)</f>
        <v/>
      </c>
      <c r="D179" t="str">
        <f>IF(PNL!D179="","",PNL!D179)</f>
        <v/>
      </c>
      <c r="E179" t="str">
        <f t="shared" si="8"/>
        <v/>
      </c>
      <c r="F179" t="str">
        <f>IF($A179="","",IF($E179=1,SUMIFS(Compta!$F$1:$F$675,Compta!$A$1:$A$675,$A179,Compta!$B$1:$B$675,$B179,Compta!$C$1:$C$675,"2026"),0))</f>
        <v/>
      </c>
      <c r="G179" t="str">
        <f>IF($A179="","",IF($D179="V01",cad!$C$23,IF($D179="V02",cad!$D$23,cad!$E$23)))</f>
        <v/>
      </c>
      <c r="H179" t="str">
        <f>IF($A179="","",IF($D179="V01",cad!$C$24,IF($D179="V02",cad!$D$24,cad!$E$24)))</f>
        <v/>
      </c>
      <c r="I179" t="str">
        <f>IF($A179="","",IF($D179="V01",cad!$C$32,IF($D179="V02",cad!$D$32,cad!$E$32)))</f>
        <v/>
      </c>
      <c r="J179" t="str">
        <f>IF($A179="","",IF($D179="V01",cad!$C$33,IF($D179="V02",cad!$D$33,cad!$E$33)))</f>
        <v/>
      </c>
      <c r="K179" t="str">
        <f>IF($A179="","",IF($D179="V01",cad!$C$34,IF($D179="V02",cad!$D$34,cad!$E$34)))</f>
        <v/>
      </c>
      <c r="L179" t="str">
        <f>IF($A179="","",IF($D179="V01",cad!$C$35,IF($D179="V02",cad!$D$35,cad!$E$35)))</f>
        <v/>
      </c>
      <c r="M179" t="str">
        <f>IF($A179="","",IF($D179="V01",cad!$C$36,IF($D179="V02",cad!$D$36,cad!$E$36)))</f>
        <v/>
      </c>
      <c r="N179" t="str">
        <f t="shared" si="9"/>
        <v/>
      </c>
      <c r="O179" t="str">
        <f t="shared" si="10"/>
        <v/>
      </c>
      <c r="P179" t="str">
        <f>IF($A179="","",IF($E179=1,$F179*$O179,PNL!G179))</f>
        <v/>
      </c>
      <c r="T179" t="str">
        <f t="shared" si="11"/>
        <v/>
      </c>
    </row>
    <row r="180" spans="1:20" x14ac:dyDescent="0.45">
      <c r="A180" t="str">
        <f>IF(PNL!A180="","",PNL!A180)</f>
        <v/>
      </c>
      <c r="B180" t="str">
        <f>IF(PNL!B180="","",PNL!B180)</f>
        <v/>
      </c>
      <c r="C180" t="str">
        <f>IF(PNL!C180="","",PNL!C180)</f>
        <v/>
      </c>
      <c r="D180" t="str">
        <f>IF(PNL!D180="","",PNL!D180)</f>
        <v/>
      </c>
      <c r="E180" t="str">
        <f t="shared" si="8"/>
        <v/>
      </c>
      <c r="F180" t="str">
        <f>IF($A180="","",IF($E180=1,SUMIFS(Compta!$F$1:$F$675,Compta!$A$1:$A$675,$A180,Compta!$B$1:$B$675,$B180,Compta!$C$1:$C$675,"2026"),0))</f>
        <v/>
      </c>
      <c r="G180" t="str">
        <f>IF($A180="","",IF($D180="V01",cad!$C$23,IF($D180="V02",cad!$D$23,cad!$E$23)))</f>
        <v/>
      </c>
      <c r="H180" t="str">
        <f>IF($A180="","",IF($D180="V01",cad!$C$24,IF($D180="V02",cad!$D$24,cad!$E$24)))</f>
        <v/>
      </c>
      <c r="I180" t="str">
        <f>IF($A180="","",IF($D180="V01",cad!$C$32,IF($D180="V02",cad!$D$32,cad!$E$32)))</f>
        <v/>
      </c>
      <c r="J180" t="str">
        <f>IF($A180="","",IF($D180="V01",cad!$C$33,IF($D180="V02",cad!$D$33,cad!$E$33)))</f>
        <v/>
      </c>
      <c r="K180" t="str">
        <f>IF($A180="","",IF($D180="V01",cad!$C$34,IF($D180="V02",cad!$D$34,cad!$E$34)))</f>
        <v/>
      </c>
      <c r="L180" t="str">
        <f>IF($A180="","",IF($D180="V01",cad!$C$35,IF($D180="V02",cad!$D$35,cad!$E$35)))</f>
        <v/>
      </c>
      <c r="M180" t="str">
        <f>IF($A180="","",IF($D180="V01",cad!$C$36,IF($D180="V02",cad!$D$36,cad!$E$36)))</f>
        <v/>
      </c>
      <c r="N180" t="str">
        <f t="shared" si="9"/>
        <v/>
      </c>
      <c r="O180" t="str">
        <f t="shared" si="10"/>
        <v/>
      </c>
      <c r="P180" t="str">
        <f>IF($A180="","",IF($E180=1,$F180*$O180,PNL!G180))</f>
        <v/>
      </c>
      <c r="T180" t="str">
        <f t="shared" si="11"/>
        <v/>
      </c>
    </row>
    <row r="181" spans="1:20" x14ac:dyDescent="0.45">
      <c r="A181" t="str">
        <f>IF(PNL!A181="","",PNL!A181)</f>
        <v/>
      </c>
      <c r="B181" t="str">
        <f>IF(PNL!B181="","",PNL!B181)</f>
        <v/>
      </c>
      <c r="C181" t="str">
        <f>IF(PNL!C181="","",PNL!C181)</f>
        <v/>
      </c>
      <c r="D181" t="str">
        <f>IF(PNL!D181="","",PNL!D181)</f>
        <v/>
      </c>
      <c r="E181" t="str">
        <f t="shared" si="8"/>
        <v/>
      </c>
      <c r="F181" t="str">
        <f>IF($A181="","",IF($E181=1,SUMIFS(Compta!$F$1:$F$675,Compta!$A$1:$A$675,$A181,Compta!$B$1:$B$675,$B181,Compta!$C$1:$C$675,"2026"),0))</f>
        <v/>
      </c>
      <c r="G181" t="str">
        <f>IF($A181="","",IF($D181="V01",cad!$C$23,IF($D181="V02",cad!$D$23,cad!$E$23)))</f>
        <v/>
      </c>
      <c r="H181" t="str">
        <f>IF($A181="","",IF($D181="V01",cad!$C$24,IF($D181="V02",cad!$D$24,cad!$E$24)))</f>
        <v/>
      </c>
      <c r="I181" t="str">
        <f>IF($A181="","",IF($D181="V01",cad!$C$32,IF($D181="V02",cad!$D$32,cad!$E$32)))</f>
        <v/>
      </c>
      <c r="J181" t="str">
        <f>IF($A181="","",IF($D181="V01",cad!$C$33,IF($D181="V02",cad!$D$33,cad!$E$33)))</f>
        <v/>
      </c>
      <c r="K181" t="str">
        <f>IF($A181="","",IF($D181="V01",cad!$C$34,IF($D181="V02",cad!$D$34,cad!$E$34)))</f>
        <v/>
      </c>
      <c r="L181" t="str">
        <f>IF($A181="","",IF($D181="V01",cad!$C$35,IF($D181="V02",cad!$D$35,cad!$E$35)))</f>
        <v/>
      </c>
      <c r="M181" t="str">
        <f>IF($A181="","",IF($D181="V01",cad!$C$36,IF($D181="V02",cad!$D$36,cad!$E$36)))</f>
        <v/>
      </c>
      <c r="N181" t="str">
        <f t="shared" si="9"/>
        <v/>
      </c>
      <c r="O181" t="str">
        <f t="shared" si="10"/>
        <v/>
      </c>
      <c r="P181" t="str">
        <f>IF($A181="","",IF($E181=1,$F181*$O181,PNL!G181))</f>
        <v/>
      </c>
      <c r="T181" t="str">
        <f t="shared" si="11"/>
        <v/>
      </c>
    </row>
    <row r="182" spans="1:20" x14ac:dyDescent="0.45">
      <c r="A182" t="str">
        <f>IF(PNL!A182="","",PNL!A182)</f>
        <v/>
      </c>
      <c r="B182" t="str">
        <f>IF(PNL!B182="","",PNL!B182)</f>
        <v/>
      </c>
      <c r="C182" t="str">
        <f>IF(PNL!C182="","",PNL!C182)</f>
        <v/>
      </c>
      <c r="D182" t="str">
        <f>IF(PNL!D182="","",PNL!D182)</f>
        <v/>
      </c>
      <c r="E182" t="str">
        <f t="shared" si="8"/>
        <v/>
      </c>
      <c r="F182" t="str">
        <f>IF($A182="","",IF($E182=1,SUMIFS(Compta!$F$1:$F$675,Compta!$A$1:$A$675,$A182,Compta!$B$1:$B$675,$B182,Compta!$C$1:$C$675,"2026"),0))</f>
        <v/>
      </c>
      <c r="G182" t="str">
        <f>IF($A182="","",IF($D182="V01",cad!$C$23,IF($D182="V02",cad!$D$23,cad!$E$23)))</f>
        <v/>
      </c>
      <c r="H182" t="str">
        <f>IF($A182="","",IF($D182="V01",cad!$C$24,IF($D182="V02",cad!$D$24,cad!$E$24)))</f>
        <v/>
      </c>
      <c r="I182" t="str">
        <f>IF($A182="","",IF($D182="V01",cad!$C$32,IF($D182="V02",cad!$D$32,cad!$E$32)))</f>
        <v/>
      </c>
      <c r="J182" t="str">
        <f>IF($A182="","",IF($D182="V01",cad!$C$33,IF($D182="V02",cad!$D$33,cad!$E$33)))</f>
        <v/>
      </c>
      <c r="K182" t="str">
        <f>IF($A182="","",IF($D182="V01",cad!$C$34,IF($D182="V02",cad!$D$34,cad!$E$34)))</f>
        <v/>
      </c>
      <c r="L182" t="str">
        <f>IF($A182="","",IF($D182="V01",cad!$C$35,IF($D182="V02",cad!$D$35,cad!$E$35)))</f>
        <v/>
      </c>
      <c r="M182" t="str">
        <f>IF($A182="","",IF($D182="V01",cad!$C$36,IF($D182="V02",cad!$D$36,cad!$E$36)))</f>
        <v/>
      </c>
      <c r="N182" t="str">
        <f t="shared" si="9"/>
        <v/>
      </c>
      <c r="O182" t="str">
        <f t="shared" si="10"/>
        <v/>
      </c>
      <c r="P182" t="str">
        <f>IF($A182="","",IF($E182=1,$F182*$O182,PNL!G182))</f>
        <v/>
      </c>
      <c r="T182" t="str">
        <f t="shared" si="11"/>
        <v/>
      </c>
    </row>
    <row r="183" spans="1:20" x14ac:dyDescent="0.45">
      <c r="A183" t="str">
        <f>IF(PNL!A183="","",PNL!A183)</f>
        <v/>
      </c>
      <c r="B183" t="str">
        <f>IF(PNL!B183="","",PNL!B183)</f>
        <v/>
      </c>
      <c r="C183" t="str">
        <f>IF(PNL!C183="","",PNL!C183)</f>
        <v/>
      </c>
      <c r="D183" t="str">
        <f>IF(PNL!D183="","",PNL!D183)</f>
        <v/>
      </c>
      <c r="E183" t="str">
        <f t="shared" si="8"/>
        <v/>
      </c>
      <c r="F183" t="str">
        <f>IF($A183="","",IF($E183=1,SUMIFS(Compta!$F$1:$F$675,Compta!$A$1:$A$675,$A183,Compta!$B$1:$B$675,$B183,Compta!$C$1:$C$675,"2026"),0))</f>
        <v/>
      </c>
      <c r="G183" t="str">
        <f>IF($A183="","",IF($D183="V01",cad!$C$23,IF($D183="V02",cad!$D$23,cad!$E$23)))</f>
        <v/>
      </c>
      <c r="H183" t="str">
        <f>IF($A183="","",IF($D183="V01",cad!$C$24,IF($D183="V02",cad!$D$24,cad!$E$24)))</f>
        <v/>
      </c>
      <c r="I183" t="str">
        <f>IF($A183="","",IF($D183="V01",cad!$C$32,IF($D183="V02",cad!$D$32,cad!$E$32)))</f>
        <v/>
      </c>
      <c r="J183" t="str">
        <f>IF($A183="","",IF($D183="V01",cad!$C$33,IF($D183="V02",cad!$D$33,cad!$E$33)))</f>
        <v/>
      </c>
      <c r="K183" t="str">
        <f>IF($A183="","",IF($D183="V01",cad!$C$34,IF($D183="V02",cad!$D$34,cad!$E$34)))</f>
        <v/>
      </c>
      <c r="L183" t="str">
        <f>IF($A183="","",IF($D183="V01",cad!$C$35,IF($D183="V02",cad!$D$35,cad!$E$35)))</f>
        <v/>
      </c>
      <c r="M183" t="str">
        <f>IF($A183="","",IF($D183="V01",cad!$C$36,IF($D183="V02",cad!$D$36,cad!$E$36)))</f>
        <v/>
      </c>
      <c r="N183" t="str">
        <f t="shared" si="9"/>
        <v/>
      </c>
      <c r="O183" t="str">
        <f t="shared" si="10"/>
        <v/>
      </c>
      <c r="P183" t="str">
        <f>IF($A183="","",IF($E183=1,$F183*$O183,PNL!G183))</f>
        <v/>
      </c>
      <c r="T183" t="str">
        <f t="shared" si="11"/>
        <v/>
      </c>
    </row>
    <row r="184" spans="1:20" x14ac:dyDescent="0.45">
      <c r="A184" t="str">
        <f>IF(PNL!A184="","",PNL!A184)</f>
        <v/>
      </c>
      <c r="B184" t="str">
        <f>IF(PNL!B184="","",PNL!B184)</f>
        <v/>
      </c>
      <c r="C184" t="str">
        <f>IF(PNL!C184="","",PNL!C184)</f>
        <v/>
      </c>
      <c r="D184" t="str">
        <f>IF(PNL!D184="","",PNL!D184)</f>
        <v/>
      </c>
      <c r="E184" t="str">
        <f t="shared" si="8"/>
        <v/>
      </c>
      <c r="F184" t="str">
        <f>IF($A184="","",IF($E184=1,SUMIFS(Compta!$F$1:$F$675,Compta!$A$1:$A$675,$A184,Compta!$B$1:$B$675,$B184,Compta!$C$1:$C$675,"2026"),0))</f>
        <v/>
      </c>
      <c r="G184" t="str">
        <f>IF($A184="","",IF($D184="V01",cad!$C$23,IF($D184="V02",cad!$D$23,cad!$E$23)))</f>
        <v/>
      </c>
      <c r="H184" t="str">
        <f>IF($A184="","",IF($D184="V01",cad!$C$24,IF($D184="V02",cad!$D$24,cad!$E$24)))</f>
        <v/>
      </c>
      <c r="I184" t="str">
        <f>IF($A184="","",IF($D184="V01",cad!$C$32,IF($D184="V02",cad!$D$32,cad!$E$32)))</f>
        <v/>
      </c>
      <c r="J184" t="str">
        <f>IF($A184="","",IF($D184="V01",cad!$C$33,IF($D184="V02",cad!$D$33,cad!$E$33)))</f>
        <v/>
      </c>
      <c r="K184" t="str">
        <f>IF($A184="","",IF($D184="V01",cad!$C$34,IF($D184="V02",cad!$D$34,cad!$E$34)))</f>
        <v/>
      </c>
      <c r="L184" t="str">
        <f>IF($A184="","",IF($D184="V01",cad!$C$35,IF($D184="V02",cad!$D$35,cad!$E$35)))</f>
        <v/>
      </c>
      <c r="M184" t="str">
        <f>IF($A184="","",IF($D184="V01",cad!$C$36,IF($D184="V02",cad!$D$36,cad!$E$36)))</f>
        <v/>
      </c>
      <c r="N184" t="str">
        <f t="shared" si="9"/>
        <v/>
      </c>
      <c r="O184" t="str">
        <f t="shared" si="10"/>
        <v/>
      </c>
      <c r="P184" t="str">
        <f>IF($A184="","",IF($E184=1,$F184*$O184,PNL!G184))</f>
        <v/>
      </c>
      <c r="T184" t="str">
        <f t="shared" si="11"/>
        <v/>
      </c>
    </row>
    <row r="185" spans="1:20" x14ac:dyDescent="0.45">
      <c r="A185" t="str">
        <f>IF(PNL!A185="","",PNL!A185)</f>
        <v/>
      </c>
      <c r="B185" t="str">
        <f>IF(PNL!B185="","",PNL!B185)</f>
        <v/>
      </c>
      <c r="C185" t="str">
        <f>IF(PNL!C185="","",PNL!C185)</f>
        <v/>
      </c>
      <c r="D185" t="str">
        <f>IF(PNL!D185="","",PNL!D185)</f>
        <v/>
      </c>
      <c r="E185" t="str">
        <f t="shared" si="8"/>
        <v/>
      </c>
      <c r="F185" t="str">
        <f>IF($A185="","",IF($E185=1,SUMIFS(Compta!$F$1:$F$675,Compta!$A$1:$A$675,$A185,Compta!$B$1:$B$675,$B185,Compta!$C$1:$C$675,"2026"),0))</f>
        <v/>
      </c>
      <c r="G185" t="str">
        <f>IF($A185="","",IF($D185="V01",cad!$C$23,IF($D185="V02",cad!$D$23,cad!$E$23)))</f>
        <v/>
      </c>
      <c r="H185" t="str">
        <f>IF($A185="","",IF($D185="V01",cad!$C$24,IF($D185="V02",cad!$D$24,cad!$E$24)))</f>
        <v/>
      </c>
      <c r="I185" t="str">
        <f>IF($A185="","",IF($D185="V01",cad!$C$32,IF($D185="V02",cad!$D$32,cad!$E$32)))</f>
        <v/>
      </c>
      <c r="J185" t="str">
        <f>IF($A185="","",IF($D185="V01",cad!$C$33,IF($D185="V02",cad!$D$33,cad!$E$33)))</f>
        <v/>
      </c>
      <c r="K185" t="str">
        <f>IF($A185="","",IF($D185="V01",cad!$C$34,IF($D185="V02",cad!$D$34,cad!$E$34)))</f>
        <v/>
      </c>
      <c r="L185" t="str">
        <f>IF($A185="","",IF($D185="V01",cad!$C$35,IF($D185="V02",cad!$D$35,cad!$E$35)))</f>
        <v/>
      </c>
      <c r="M185" t="str">
        <f>IF($A185="","",IF($D185="V01",cad!$C$36,IF($D185="V02",cad!$D$36,cad!$E$36)))</f>
        <v/>
      </c>
      <c r="N185" t="str">
        <f t="shared" si="9"/>
        <v/>
      </c>
      <c r="O185" t="str">
        <f t="shared" si="10"/>
        <v/>
      </c>
      <c r="P185" t="str">
        <f>IF($A185="","",IF($E185=1,$F185*$O185,PNL!G185))</f>
        <v/>
      </c>
      <c r="T185" t="str">
        <f t="shared" si="11"/>
        <v/>
      </c>
    </row>
    <row r="186" spans="1:20" x14ac:dyDescent="0.45">
      <c r="A186" t="str">
        <f>IF(PNL!A186="","",PNL!A186)</f>
        <v/>
      </c>
      <c r="B186" t="str">
        <f>IF(PNL!B186="","",PNL!B186)</f>
        <v/>
      </c>
      <c r="C186" t="str">
        <f>IF(PNL!C186="","",PNL!C186)</f>
        <v/>
      </c>
      <c r="D186" t="str">
        <f>IF(PNL!D186="","",PNL!D186)</f>
        <v/>
      </c>
      <c r="E186" t="str">
        <f t="shared" si="8"/>
        <v/>
      </c>
      <c r="F186" t="str">
        <f>IF($A186="","",IF($E186=1,SUMIFS(Compta!$F$1:$F$675,Compta!$A$1:$A$675,$A186,Compta!$B$1:$B$675,$B186,Compta!$C$1:$C$675,"2026"),0))</f>
        <v/>
      </c>
      <c r="G186" t="str">
        <f>IF($A186="","",IF($D186="V01",cad!$C$23,IF($D186="V02",cad!$D$23,cad!$E$23)))</f>
        <v/>
      </c>
      <c r="H186" t="str">
        <f>IF($A186="","",IF($D186="V01",cad!$C$24,IF($D186="V02",cad!$D$24,cad!$E$24)))</f>
        <v/>
      </c>
      <c r="I186" t="str">
        <f>IF($A186="","",IF($D186="V01",cad!$C$32,IF($D186="V02",cad!$D$32,cad!$E$32)))</f>
        <v/>
      </c>
      <c r="J186" t="str">
        <f>IF($A186="","",IF($D186="V01",cad!$C$33,IF($D186="V02",cad!$D$33,cad!$E$33)))</f>
        <v/>
      </c>
      <c r="K186" t="str">
        <f>IF($A186="","",IF($D186="V01",cad!$C$34,IF($D186="V02",cad!$D$34,cad!$E$34)))</f>
        <v/>
      </c>
      <c r="L186" t="str">
        <f>IF($A186="","",IF($D186="V01",cad!$C$35,IF($D186="V02",cad!$D$35,cad!$E$35)))</f>
        <v/>
      </c>
      <c r="M186" t="str">
        <f>IF($A186="","",IF($D186="V01",cad!$C$36,IF($D186="V02",cad!$D$36,cad!$E$36)))</f>
        <v/>
      </c>
      <c r="N186" t="str">
        <f t="shared" si="9"/>
        <v/>
      </c>
      <c r="O186" t="str">
        <f t="shared" si="10"/>
        <v/>
      </c>
      <c r="P186" t="str">
        <f>IF($A186="","",IF($E186=1,$F186*$O186,PNL!G186))</f>
        <v/>
      </c>
      <c r="T186" t="str">
        <f t="shared" si="11"/>
        <v/>
      </c>
    </row>
    <row r="187" spans="1:20" x14ac:dyDescent="0.45">
      <c r="A187" t="str">
        <f>IF(PNL!A187="","",PNL!A187)</f>
        <v/>
      </c>
      <c r="B187" t="str">
        <f>IF(PNL!B187="","",PNL!B187)</f>
        <v/>
      </c>
      <c r="C187" t="str">
        <f>IF(PNL!C187="","",PNL!C187)</f>
        <v/>
      </c>
      <c r="D187" t="str">
        <f>IF(PNL!D187="","",PNL!D187)</f>
        <v/>
      </c>
      <c r="E187" t="str">
        <f t="shared" si="8"/>
        <v/>
      </c>
      <c r="F187" t="str">
        <f>IF($A187="","",IF($E187=1,SUMIFS(Compta!$F$1:$F$675,Compta!$A$1:$A$675,$A187,Compta!$B$1:$B$675,$B187,Compta!$C$1:$C$675,"2026"),0))</f>
        <v/>
      </c>
      <c r="G187" t="str">
        <f>IF($A187="","",IF($D187="V01",cad!$C$23,IF($D187="V02",cad!$D$23,cad!$E$23)))</f>
        <v/>
      </c>
      <c r="H187" t="str">
        <f>IF($A187="","",IF($D187="V01",cad!$C$24,IF($D187="V02",cad!$D$24,cad!$E$24)))</f>
        <v/>
      </c>
      <c r="I187" t="str">
        <f>IF($A187="","",IF($D187="V01",cad!$C$32,IF($D187="V02",cad!$D$32,cad!$E$32)))</f>
        <v/>
      </c>
      <c r="J187" t="str">
        <f>IF($A187="","",IF($D187="V01",cad!$C$33,IF($D187="V02",cad!$D$33,cad!$E$33)))</f>
        <v/>
      </c>
      <c r="K187" t="str">
        <f>IF($A187="","",IF($D187="V01",cad!$C$34,IF($D187="V02",cad!$D$34,cad!$E$34)))</f>
        <v/>
      </c>
      <c r="L187" t="str">
        <f>IF($A187="","",IF($D187="V01",cad!$C$35,IF($D187="V02",cad!$D$35,cad!$E$35)))</f>
        <v/>
      </c>
      <c r="M187" t="str">
        <f>IF($A187="","",IF($D187="V01",cad!$C$36,IF($D187="V02",cad!$D$36,cad!$E$36)))</f>
        <v/>
      </c>
      <c r="N187" t="str">
        <f t="shared" si="9"/>
        <v/>
      </c>
      <c r="O187" t="str">
        <f t="shared" si="10"/>
        <v/>
      </c>
      <c r="P187" t="str">
        <f>IF($A187="","",IF($E187=1,$F187*$O187,PNL!G187))</f>
        <v/>
      </c>
      <c r="T187" t="str">
        <f t="shared" si="11"/>
        <v/>
      </c>
    </row>
    <row r="188" spans="1:20" x14ac:dyDescent="0.45">
      <c r="A188" t="str">
        <f>IF(PNL!A188="","",PNL!A188)</f>
        <v/>
      </c>
      <c r="B188" t="str">
        <f>IF(PNL!B188="","",PNL!B188)</f>
        <v/>
      </c>
      <c r="C188" t="str">
        <f>IF(PNL!C188="","",PNL!C188)</f>
        <v/>
      </c>
      <c r="D188" t="str">
        <f>IF(PNL!D188="","",PNL!D188)</f>
        <v/>
      </c>
      <c r="E188" t="str">
        <f t="shared" si="8"/>
        <v/>
      </c>
      <c r="F188" t="str">
        <f>IF($A188="","",IF($E188=1,SUMIFS(Compta!$F$1:$F$675,Compta!$A$1:$A$675,$A188,Compta!$B$1:$B$675,$B188,Compta!$C$1:$C$675,"2026"),0))</f>
        <v/>
      </c>
      <c r="G188" t="str">
        <f>IF($A188="","",IF($D188="V01",cad!$C$23,IF($D188="V02",cad!$D$23,cad!$E$23)))</f>
        <v/>
      </c>
      <c r="H188" t="str">
        <f>IF($A188="","",IF($D188="V01",cad!$C$24,IF($D188="V02",cad!$D$24,cad!$E$24)))</f>
        <v/>
      </c>
      <c r="I188" t="str">
        <f>IF($A188="","",IF($D188="V01",cad!$C$32,IF($D188="V02",cad!$D$32,cad!$E$32)))</f>
        <v/>
      </c>
      <c r="J188" t="str">
        <f>IF($A188="","",IF($D188="V01",cad!$C$33,IF($D188="V02",cad!$D$33,cad!$E$33)))</f>
        <v/>
      </c>
      <c r="K188" t="str">
        <f>IF($A188="","",IF($D188="V01",cad!$C$34,IF($D188="V02",cad!$D$34,cad!$E$34)))</f>
        <v/>
      </c>
      <c r="L188" t="str">
        <f>IF($A188="","",IF($D188="V01",cad!$C$35,IF($D188="V02",cad!$D$35,cad!$E$35)))</f>
        <v/>
      </c>
      <c r="M188" t="str">
        <f>IF($A188="","",IF($D188="V01",cad!$C$36,IF($D188="V02",cad!$D$36,cad!$E$36)))</f>
        <v/>
      </c>
      <c r="N188" t="str">
        <f t="shared" si="9"/>
        <v/>
      </c>
      <c r="O188" t="str">
        <f t="shared" si="10"/>
        <v/>
      </c>
      <c r="P188" t="str">
        <f>IF($A188="","",IF($E188=1,$F188*$O188,PNL!G188))</f>
        <v/>
      </c>
      <c r="T188" t="str">
        <f t="shared" si="11"/>
        <v/>
      </c>
    </row>
    <row r="189" spans="1:20" x14ac:dyDescent="0.45">
      <c r="A189" t="str">
        <f>IF(PNL!A189="","",PNL!A189)</f>
        <v/>
      </c>
      <c r="B189" t="str">
        <f>IF(PNL!B189="","",PNL!B189)</f>
        <v/>
      </c>
      <c r="C189" t="str">
        <f>IF(PNL!C189="","",PNL!C189)</f>
        <v/>
      </c>
      <c r="D189" t="str">
        <f>IF(PNL!D189="","",PNL!D189)</f>
        <v/>
      </c>
      <c r="E189" t="str">
        <f t="shared" si="8"/>
        <v/>
      </c>
      <c r="F189" t="str">
        <f>IF($A189="","",IF($E189=1,SUMIFS(Compta!$F$1:$F$675,Compta!$A$1:$A$675,$A189,Compta!$B$1:$B$675,$B189,Compta!$C$1:$C$675,"2026"),0))</f>
        <v/>
      </c>
      <c r="G189" t="str">
        <f>IF($A189="","",IF($D189="V01",cad!$C$23,IF($D189="V02",cad!$D$23,cad!$E$23)))</f>
        <v/>
      </c>
      <c r="H189" t="str">
        <f>IF($A189="","",IF($D189="V01",cad!$C$24,IF($D189="V02",cad!$D$24,cad!$E$24)))</f>
        <v/>
      </c>
      <c r="I189" t="str">
        <f>IF($A189="","",IF($D189="V01",cad!$C$32,IF($D189="V02",cad!$D$32,cad!$E$32)))</f>
        <v/>
      </c>
      <c r="J189" t="str">
        <f>IF($A189="","",IF($D189="V01",cad!$C$33,IF($D189="V02",cad!$D$33,cad!$E$33)))</f>
        <v/>
      </c>
      <c r="K189" t="str">
        <f>IF($A189="","",IF($D189="V01",cad!$C$34,IF($D189="V02",cad!$D$34,cad!$E$34)))</f>
        <v/>
      </c>
      <c r="L189" t="str">
        <f>IF($A189="","",IF($D189="V01",cad!$C$35,IF($D189="V02",cad!$D$35,cad!$E$35)))</f>
        <v/>
      </c>
      <c r="M189" t="str">
        <f>IF($A189="","",IF($D189="V01",cad!$C$36,IF($D189="V02",cad!$D$36,cad!$E$36)))</f>
        <v/>
      </c>
      <c r="N189" t="str">
        <f t="shared" si="9"/>
        <v/>
      </c>
      <c r="O189" t="str">
        <f t="shared" si="10"/>
        <v/>
      </c>
      <c r="P189" t="str">
        <f>IF($A189="","",IF($E189=1,$F189*$O189,PNL!G189))</f>
        <v/>
      </c>
      <c r="T189" t="str">
        <f t="shared" si="11"/>
        <v/>
      </c>
    </row>
    <row r="190" spans="1:20" x14ac:dyDescent="0.45">
      <c r="A190" t="str">
        <f>IF(PNL!A190="","",PNL!A190)</f>
        <v/>
      </c>
      <c r="B190" t="str">
        <f>IF(PNL!B190="","",PNL!B190)</f>
        <v/>
      </c>
      <c r="C190" t="str">
        <f>IF(PNL!C190="","",PNL!C190)</f>
        <v/>
      </c>
      <c r="D190" t="str">
        <f>IF(PNL!D190="","",PNL!D190)</f>
        <v/>
      </c>
      <c r="E190" t="str">
        <f t="shared" si="8"/>
        <v/>
      </c>
      <c r="F190" t="str">
        <f>IF($A190="","",IF($E190=1,SUMIFS(Compta!$F$1:$F$675,Compta!$A$1:$A$675,$A190,Compta!$B$1:$B$675,$B190,Compta!$C$1:$C$675,"2026"),0))</f>
        <v/>
      </c>
      <c r="G190" t="str">
        <f>IF($A190="","",IF($D190="V01",cad!$C$23,IF($D190="V02",cad!$D$23,cad!$E$23)))</f>
        <v/>
      </c>
      <c r="H190" t="str">
        <f>IF($A190="","",IF($D190="V01",cad!$C$24,IF($D190="V02",cad!$D$24,cad!$E$24)))</f>
        <v/>
      </c>
      <c r="I190" t="str">
        <f>IF($A190="","",IF($D190="V01",cad!$C$32,IF($D190="V02",cad!$D$32,cad!$E$32)))</f>
        <v/>
      </c>
      <c r="J190" t="str">
        <f>IF($A190="","",IF($D190="V01",cad!$C$33,IF($D190="V02",cad!$D$33,cad!$E$33)))</f>
        <v/>
      </c>
      <c r="K190" t="str">
        <f>IF($A190="","",IF($D190="V01",cad!$C$34,IF($D190="V02",cad!$D$34,cad!$E$34)))</f>
        <v/>
      </c>
      <c r="L190" t="str">
        <f>IF($A190="","",IF($D190="V01",cad!$C$35,IF($D190="V02",cad!$D$35,cad!$E$35)))</f>
        <v/>
      </c>
      <c r="M190" t="str">
        <f>IF($A190="","",IF($D190="V01",cad!$C$36,IF($D190="V02",cad!$D$36,cad!$E$36)))</f>
        <v/>
      </c>
      <c r="N190" t="str">
        <f t="shared" si="9"/>
        <v/>
      </c>
      <c r="O190" t="str">
        <f t="shared" si="10"/>
        <v/>
      </c>
      <c r="P190" t="str">
        <f>IF($A190="","",IF($E190=1,$F190*$O190,PNL!G190))</f>
        <v/>
      </c>
      <c r="T190" t="str">
        <f t="shared" si="11"/>
        <v/>
      </c>
    </row>
    <row r="191" spans="1:20" x14ac:dyDescent="0.45">
      <c r="A191" t="str">
        <f>IF(PNL!A191="","",PNL!A191)</f>
        <v/>
      </c>
      <c r="B191" t="str">
        <f>IF(PNL!B191="","",PNL!B191)</f>
        <v/>
      </c>
      <c r="C191" t="str">
        <f>IF(PNL!C191="","",PNL!C191)</f>
        <v/>
      </c>
      <c r="D191" t="str">
        <f>IF(PNL!D191="","",PNL!D191)</f>
        <v/>
      </c>
      <c r="E191" t="str">
        <f t="shared" si="8"/>
        <v/>
      </c>
      <c r="F191" t="str">
        <f>IF($A191="","",IF($E191=1,SUMIFS(Compta!$F$1:$F$675,Compta!$A$1:$A$675,$A191,Compta!$B$1:$B$675,$B191,Compta!$C$1:$C$675,"2026"),0))</f>
        <v/>
      </c>
      <c r="G191" t="str">
        <f>IF($A191="","",IF($D191="V01",cad!$C$23,IF($D191="V02",cad!$D$23,cad!$E$23)))</f>
        <v/>
      </c>
      <c r="H191" t="str">
        <f>IF($A191="","",IF($D191="V01",cad!$C$24,IF($D191="V02",cad!$D$24,cad!$E$24)))</f>
        <v/>
      </c>
      <c r="I191" t="str">
        <f>IF($A191="","",IF($D191="V01",cad!$C$32,IF($D191="V02",cad!$D$32,cad!$E$32)))</f>
        <v/>
      </c>
      <c r="J191" t="str">
        <f>IF($A191="","",IF($D191="V01",cad!$C$33,IF($D191="V02",cad!$D$33,cad!$E$33)))</f>
        <v/>
      </c>
      <c r="K191" t="str">
        <f>IF($A191="","",IF($D191="V01",cad!$C$34,IF($D191="V02",cad!$D$34,cad!$E$34)))</f>
        <v/>
      </c>
      <c r="L191" t="str">
        <f>IF($A191="","",IF($D191="V01",cad!$C$35,IF($D191="V02",cad!$D$35,cad!$E$35)))</f>
        <v/>
      </c>
      <c r="M191" t="str">
        <f>IF($A191="","",IF($D191="V01",cad!$C$36,IF($D191="V02",cad!$D$36,cad!$E$36)))</f>
        <v/>
      </c>
      <c r="N191" t="str">
        <f t="shared" si="9"/>
        <v/>
      </c>
      <c r="O191" t="str">
        <f t="shared" si="10"/>
        <v/>
      </c>
      <c r="P191" t="str">
        <f>IF($A191="","",IF($E191=1,$F191*$O191,PNL!G191))</f>
        <v/>
      </c>
      <c r="T191" t="str">
        <f t="shared" si="11"/>
        <v/>
      </c>
    </row>
    <row r="192" spans="1:20" x14ac:dyDescent="0.45">
      <c r="A192" t="str">
        <f>IF(PNL!A192="","",PNL!A192)</f>
        <v/>
      </c>
      <c r="B192" t="str">
        <f>IF(PNL!B192="","",PNL!B192)</f>
        <v/>
      </c>
      <c r="C192" t="str">
        <f>IF(PNL!C192="","",PNL!C192)</f>
        <v/>
      </c>
      <c r="D192" t="str">
        <f>IF(PNL!D192="","",PNL!D192)</f>
        <v/>
      </c>
      <c r="E192" t="str">
        <f t="shared" si="8"/>
        <v/>
      </c>
      <c r="F192" t="str">
        <f>IF($A192="","",IF($E192=1,SUMIFS(Compta!$F$1:$F$675,Compta!$A$1:$A$675,$A192,Compta!$B$1:$B$675,$B192,Compta!$C$1:$C$675,"2026"),0))</f>
        <v/>
      </c>
      <c r="G192" t="str">
        <f>IF($A192="","",IF($D192="V01",cad!$C$23,IF($D192="V02",cad!$D$23,cad!$E$23)))</f>
        <v/>
      </c>
      <c r="H192" t="str">
        <f>IF($A192="","",IF($D192="V01",cad!$C$24,IF($D192="V02",cad!$D$24,cad!$E$24)))</f>
        <v/>
      </c>
      <c r="I192" t="str">
        <f>IF($A192="","",IF($D192="V01",cad!$C$32,IF($D192="V02",cad!$D$32,cad!$E$32)))</f>
        <v/>
      </c>
      <c r="J192" t="str">
        <f>IF($A192="","",IF($D192="V01",cad!$C$33,IF($D192="V02",cad!$D$33,cad!$E$33)))</f>
        <v/>
      </c>
      <c r="K192" t="str">
        <f>IF($A192="","",IF($D192="V01",cad!$C$34,IF($D192="V02",cad!$D$34,cad!$E$34)))</f>
        <v/>
      </c>
      <c r="L192" t="str">
        <f>IF($A192="","",IF($D192="V01",cad!$C$35,IF($D192="V02",cad!$D$35,cad!$E$35)))</f>
        <v/>
      </c>
      <c r="M192" t="str">
        <f>IF($A192="","",IF($D192="V01",cad!$C$36,IF($D192="V02",cad!$D$36,cad!$E$36)))</f>
        <v/>
      </c>
      <c r="N192" t="str">
        <f t="shared" si="9"/>
        <v/>
      </c>
      <c r="O192" t="str">
        <f t="shared" si="10"/>
        <v/>
      </c>
      <c r="P192" t="str">
        <f>IF($A192="","",IF($E192=1,$F192*$O192,PNL!G192))</f>
        <v/>
      </c>
      <c r="T192" t="str">
        <f t="shared" si="11"/>
        <v/>
      </c>
    </row>
    <row r="193" spans="1:20" x14ac:dyDescent="0.45">
      <c r="A193" t="str">
        <f>IF(PNL!A193="","",PNL!A193)</f>
        <v/>
      </c>
      <c r="B193" t="str">
        <f>IF(PNL!B193="","",PNL!B193)</f>
        <v/>
      </c>
      <c r="C193" t="str">
        <f>IF(PNL!C193="","",PNL!C193)</f>
        <v/>
      </c>
      <c r="D193" t="str">
        <f>IF(PNL!D193="","",PNL!D193)</f>
        <v/>
      </c>
      <c r="E193" t="str">
        <f t="shared" si="8"/>
        <v/>
      </c>
      <c r="F193" t="str">
        <f>IF($A193="","",IF($E193=1,SUMIFS(Compta!$F$1:$F$675,Compta!$A$1:$A$675,$A193,Compta!$B$1:$B$675,$B193,Compta!$C$1:$C$675,"2026"),0))</f>
        <v/>
      </c>
      <c r="G193" t="str">
        <f>IF($A193="","",IF($D193="V01",cad!$C$23,IF($D193="V02",cad!$D$23,cad!$E$23)))</f>
        <v/>
      </c>
      <c r="H193" t="str">
        <f>IF($A193="","",IF($D193="V01",cad!$C$24,IF($D193="V02",cad!$D$24,cad!$E$24)))</f>
        <v/>
      </c>
      <c r="I193" t="str">
        <f>IF($A193="","",IF($D193="V01",cad!$C$32,IF($D193="V02",cad!$D$32,cad!$E$32)))</f>
        <v/>
      </c>
      <c r="J193" t="str">
        <f>IF($A193="","",IF($D193="V01",cad!$C$33,IF($D193="V02",cad!$D$33,cad!$E$33)))</f>
        <v/>
      </c>
      <c r="K193" t="str">
        <f>IF($A193="","",IF($D193="V01",cad!$C$34,IF($D193="V02",cad!$D$34,cad!$E$34)))</f>
        <v/>
      </c>
      <c r="L193" t="str">
        <f>IF($A193="","",IF($D193="V01",cad!$C$35,IF($D193="V02",cad!$D$35,cad!$E$35)))</f>
        <v/>
      </c>
      <c r="M193" t="str">
        <f>IF($A193="","",IF($D193="V01",cad!$C$36,IF($D193="V02",cad!$D$36,cad!$E$36)))</f>
        <v/>
      </c>
      <c r="N193" t="str">
        <f t="shared" si="9"/>
        <v/>
      </c>
      <c r="O193" t="str">
        <f t="shared" si="10"/>
        <v/>
      </c>
      <c r="P193" t="str">
        <f>IF($A193="","",IF($E193=1,$F193*$O193,PNL!G193))</f>
        <v/>
      </c>
      <c r="T193" t="str">
        <f t="shared" si="11"/>
        <v/>
      </c>
    </row>
    <row r="194" spans="1:20" x14ac:dyDescent="0.45">
      <c r="A194" t="str">
        <f>IF(PNL!A194="","",PNL!A194)</f>
        <v/>
      </c>
      <c r="B194" t="str">
        <f>IF(PNL!B194="","",PNL!B194)</f>
        <v/>
      </c>
      <c r="C194" t="str">
        <f>IF(PNL!C194="","",PNL!C194)</f>
        <v/>
      </c>
      <c r="D194" t="str">
        <f>IF(PNL!D194="","",PNL!D194)</f>
        <v/>
      </c>
      <c r="E194" t="str">
        <f t="shared" ref="E194:E257" si="12">IF($A194="","",IF(AND($C194="2027",OR($D194="V01",$D194="V02",$D194="V03")),1,0))</f>
        <v/>
      </c>
      <c r="F194" t="str">
        <f>IF($A194="","",IF($E194=1,SUMIFS(Compta!$F$1:$F$675,Compta!$A$1:$A$675,$A194,Compta!$B$1:$B$675,$B194,Compta!$C$1:$C$675,"2026"),0))</f>
        <v/>
      </c>
      <c r="G194" t="str">
        <f>IF($A194="","",IF($D194="V01",cad!$C$23,IF($D194="V02",cad!$D$23,cad!$E$23)))</f>
        <v/>
      </c>
      <c r="H194" t="str">
        <f>IF($A194="","",IF($D194="V01",cad!$C$24,IF($D194="V02",cad!$D$24,cad!$E$24)))</f>
        <v/>
      </c>
      <c r="I194" t="str">
        <f>IF($A194="","",IF($D194="V01",cad!$C$32,IF($D194="V02",cad!$D$32,cad!$E$32)))</f>
        <v/>
      </c>
      <c r="J194" t="str">
        <f>IF($A194="","",IF($D194="V01",cad!$C$33,IF($D194="V02",cad!$D$33,cad!$E$33)))</f>
        <v/>
      </c>
      <c r="K194" t="str">
        <f>IF($A194="","",IF($D194="V01",cad!$C$34,IF($D194="V02",cad!$D$34,cad!$E$34)))</f>
        <v/>
      </c>
      <c r="L194" t="str">
        <f>IF($A194="","",IF($D194="V01",cad!$C$35,IF($D194="V02",cad!$D$35,cad!$E$35)))</f>
        <v/>
      </c>
      <c r="M194" t="str">
        <f>IF($A194="","",IF($D194="V01",cad!$C$36,IF($D194="V02",cad!$D$36,cad!$E$36)))</f>
        <v/>
      </c>
      <c r="N194" t="str">
        <f t="shared" ref="N194:N257" si="13">IF($A194="","",IF($D194="V01",$R$2,IF($D194="V02",$R$3,$R$4)))</f>
        <v/>
      </c>
      <c r="O194" t="str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 t="str">
        <f>IF($A194="","",IF($E194=1,$F194*$O194,PNL!G194))</f>
        <v/>
      </c>
      <c r="T194" t="str">
        <f t="shared" ref="T194:T257" si="15">IF($A194="","",IF($E194=1,IF(OR($B194="7062",$B194="706",$B194="708"),$P194,IF(AND(LEFT($B194,1)="6",$B194&lt;&gt;"6811"),-$P194,0)),0))</f>
        <v/>
      </c>
    </row>
    <row r="195" spans="1:20" x14ac:dyDescent="0.45">
      <c r="A195" t="str">
        <f>IF(PNL!A195="","",PNL!A195)</f>
        <v/>
      </c>
      <c r="B195" t="str">
        <f>IF(PNL!B195="","",PNL!B195)</f>
        <v/>
      </c>
      <c r="C195" t="str">
        <f>IF(PNL!C195="","",PNL!C195)</f>
        <v/>
      </c>
      <c r="D195" t="str">
        <f>IF(PNL!D195="","",PNL!D195)</f>
        <v/>
      </c>
      <c r="E195" t="str">
        <f t="shared" si="12"/>
        <v/>
      </c>
      <c r="F195" t="str">
        <f>IF($A195="","",IF($E195=1,SUMIFS(Compta!$F$1:$F$675,Compta!$A$1:$A$675,$A195,Compta!$B$1:$B$675,$B195,Compta!$C$1:$C$675,"2026"),0))</f>
        <v/>
      </c>
      <c r="G195" t="str">
        <f>IF($A195="","",IF($D195="V01",cad!$C$23,IF($D195="V02",cad!$D$23,cad!$E$23)))</f>
        <v/>
      </c>
      <c r="H195" t="str">
        <f>IF($A195="","",IF($D195="V01",cad!$C$24,IF($D195="V02",cad!$D$24,cad!$E$24)))</f>
        <v/>
      </c>
      <c r="I195" t="str">
        <f>IF($A195="","",IF($D195="V01",cad!$C$32,IF($D195="V02",cad!$D$32,cad!$E$32)))</f>
        <v/>
      </c>
      <c r="J195" t="str">
        <f>IF($A195="","",IF($D195="V01",cad!$C$33,IF($D195="V02",cad!$D$33,cad!$E$33)))</f>
        <v/>
      </c>
      <c r="K195" t="str">
        <f>IF($A195="","",IF($D195="V01",cad!$C$34,IF($D195="V02",cad!$D$34,cad!$E$34)))</f>
        <v/>
      </c>
      <c r="L195" t="str">
        <f>IF($A195="","",IF($D195="V01",cad!$C$35,IF($D195="V02",cad!$D$35,cad!$E$35)))</f>
        <v/>
      </c>
      <c r="M195" t="str">
        <f>IF($A195="","",IF($D195="V01",cad!$C$36,IF($D195="V02",cad!$D$36,cad!$E$36)))</f>
        <v/>
      </c>
      <c r="N195" t="str">
        <f t="shared" si="13"/>
        <v/>
      </c>
      <c r="O195" t="str">
        <f t="shared" si="14"/>
        <v/>
      </c>
      <c r="P195" t="str">
        <f>IF($A195="","",IF($E195=1,$F195*$O195,PNL!G195))</f>
        <v/>
      </c>
      <c r="T195" t="str">
        <f t="shared" si="15"/>
        <v/>
      </c>
    </row>
    <row r="196" spans="1:20" x14ac:dyDescent="0.45">
      <c r="A196" t="str">
        <f>IF(PNL!A196="","",PNL!A196)</f>
        <v/>
      </c>
      <c r="B196" t="str">
        <f>IF(PNL!B196="","",PNL!B196)</f>
        <v/>
      </c>
      <c r="C196" t="str">
        <f>IF(PNL!C196="","",PNL!C196)</f>
        <v/>
      </c>
      <c r="D196" t="str">
        <f>IF(PNL!D196="","",PNL!D196)</f>
        <v/>
      </c>
      <c r="E196" t="str">
        <f t="shared" si="12"/>
        <v/>
      </c>
      <c r="F196" t="str">
        <f>IF($A196="","",IF($E196=1,SUMIFS(Compta!$F$1:$F$675,Compta!$A$1:$A$675,$A196,Compta!$B$1:$B$675,$B196,Compta!$C$1:$C$675,"2026"),0))</f>
        <v/>
      </c>
      <c r="G196" t="str">
        <f>IF($A196="","",IF($D196="V01",cad!$C$23,IF($D196="V02",cad!$D$23,cad!$E$23)))</f>
        <v/>
      </c>
      <c r="H196" t="str">
        <f>IF($A196="","",IF($D196="V01",cad!$C$24,IF($D196="V02",cad!$D$24,cad!$E$24)))</f>
        <v/>
      </c>
      <c r="I196" t="str">
        <f>IF($A196="","",IF($D196="V01",cad!$C$32,IF($D196="V02",cad!$D$32,cad!$E$32)))</f>
        <v/>
      </c>
      <c r="J196" t="str">
        <f>IF($A196="","",IF($D196="V01",cad!$C$33,IF($D196="V02",cad!$D$33,cad!$E$33)))</f>
        <v/>
      </c>
      <c r="K196" t="str">
        <f>IF($A196="","",IF($D196="V01",cad!$C$34,IF($D196="V02",cad!$D$34,cad!$E$34)))</f>
        <v/>
      </c>
      <c r="L196" t="str">
        <f>IF($A196="","",IF($D196="V01",cad!$C$35,IF($D196="V02",cad!$D$35,cad!$E$35)))</f>
        <v/>
      </c>
      <c r="M196" t="str">
        <f>IF($A196="","",IF($D196="V01",cad!$C$36,IF($D196="V02",cad!$D$36,cad!$E$36)))</f>
        <v/>
      </c>
      <c r="N196" t="str">
        <f t="shared" si="13"/>
        <v/>
      </c>
      <c r="O196" t="str">
        <f t="shared" si="14"/>
        <v/>
      </c>
      <c r="P196" t="str">
        <f>IF($A196="","",IF($E196=1,$F196*$O196,PNL!G196))</f>
        <v/>
      </c>
      <c r="T196" t="str">
        <f t="shared" si="15"/>
        <v/>
      </c>
    </row>
    <row r="197" spans="1:20" x14ac:dyDescent="0.45">
      <c r="A197" t="str">
        <f>IF(PNL!A197="","",PNL!A197)</f>
        <v/>
      </c>
      <c r="B197" t="str">
        <f>IF(PNL!B197="","",PNL!B197)</f>
        <v/>
      </c>
      <c r="C197" t="str">
        <f>IF(PNL!C197="","",PNL!C197)</f>
        <v/>
      </c>
      <c r="D197" t="str">
        <f>IF(PNL!D197="","",PNL!D197)</f>
        <v/>
      </c>
      <c r="E197" t="str">
        <f t="shared" si="12"/>
        <v/>
      </c>
      <c r="F197" t="str">
        <f>IF($A197="","",IF($E197=1,SUMIFS(Compta!$F$1:$F$675,Compta!$A$1:$A$675,$A197,Compta!$B$1:$B$675,$B197,Compta!$C$1:$C$675,"2026"),0))</f>
        <v/>
      </c>
      <c r="G197" t="str">
        <f>IF($A197="","",IF($D197="V01",cad!$C$23,IF($D197="V02",cad!$D$23,cad!$E$23)))</f>
        <v/>
      </c>
      <c r="H197" t="str">
        <f>IF($A197="","",IF($D197="V01",cad!$C$24,IF($D197="V02",cad!$D$24,cad!$E$24)))</f>
        <v/>
      </c>
      <c r="I197" t="str">
        <f>IF($A197="","",IF($D197="V01",cad!$C$32,IF($D197="V02",cad!$D$32,cad!$E$32)))</f>
        <v/>
      </c>
      <c r="J197" t="str">
        <f>IF($A197="","",IF($D197="V01",cad!$C$33,IF($D197="V02",cad!$D$33,cad!$E$33)))</f>
        <v/>
      </c>
      <c r="K197" t="str">
        <f>IF($A197="","",IF($D197="V01",cad!$C$34,IF($D197="V02",cad!$D$34,cad!$E$34)))</f>
        <v/>
      </c>
      <c r="L197" t="str">
        <f>IF($A197="","",IF($D197="V01",cad!$C$35,IF($D197="V02",cad!$D$35,cad!$E$35)))</f>
        <v/>
      </c>
      <c r="M197" t="str">
        <f>IF($A197="","",IF($D197="V01",cad!$C$36,IF($D197="V02",cad!$D$36,cad!$E$36)))</f>
        <v/>
      </c>
      <c r="N197" t="str">
        <f t="shared" si="13"/>
        <v/>
      </c>
      <c r="O197" t="str">
        <f t="shared" si="14"/>
        <v/>
      </c>
      <c r="P197" t="str">
        <f>IF($A197="","",IF($E197=1,$F197*$O197,PNL!G197))</f>
        <v/>
      </c>
      <c r="T197" t="str">
        <f t="shared" si="15"/>
        <v/>
      </c>
    </row>
    <row r="198" spans="1:20" x14ac:dyDescent="0.45">
      <c r="A198" t="str">
        <f>IF(PNL!A198="","",PNL!A198)</f>
        <v/>
      </c>
      <c r="B198" t="str">
        <f>IF(PNL!B198="","",PNL!B198)</f>
        <v/>
      </c>
      <c r="C198" t="str">
        <f>IF(PNL!C198="","",PNL!C198)</f>
        <v/>
      </c>
      <c r="D198" t="str">
        <f>IF(PNL!D198="","",PNL!D198)</f>
        <v/>
      </c>
      <c r="E198" t="str">
        <f t="shared" si="12"/>
        <v/>
      </c>
      <c r="F198" t="str">
        <f>IF($A198="","",IF($E198=1,SUMIFS(Compta!$F$1:$F$675,Compta!$A$1:$A$675,$A198,Compta!$B$1:$B$675,$B198,Compta!$C$1:$C$675,"2026"),0))</f>
        <v/>
      </c>
      <c r="G198" t="str">
        <f>IF($A198="","",IF($D198="V01",cad!$C$23,IF($D198="V02",cad!$D$23,cad!$E$23)))</f>
        <v/>
      </c>
      <c r="H198" t="str">
        <f>IF($A198="","",IF($D198="V01",cad!$C$24,IF($D198="V02",cad!$D$24,cad!$E$24)))</f>
        <v/>
      </c>
      <c r="I198" t="str">
        <f>IF($A198="","",IF($D198="V01",cad!$C$32,IF($D198="V02",cad!$D$32,cad!$E$32)))</f>
        <v/>
      </c>
      <c r="J198" t="str">
        <f>IF($A198="","",IF($D198="V01",cad!$C$33,IF($D198="V02",cad!$D$33,cad!$E$33)))</f>
        <v/>
      </c>
      <c r="K198" t="str">
        <f>IF($A198="","",IF($D198="V01",cad!$C$34,IF($D198="V02",cad!$D$34,cad!$E$34)))</f>
        <v/>
      </c>
      <c r="L198" t="str">
        <f>IF($A198="","",IF($D198="V01",cad!$C$35,IF($D198="V02",cad!$D$35,cad!$E$35)))</f>
        <v/>
      </c>
      <c r="M198" t="str">
        <f>IF($A198="","",IF($D198="V01",cad!$C$36,IF($D198="V02",cad!$D$36,cad!$E$36)))</f>
        <v/>
      </c>
      <c r="N198" t="str">
        <f t="shared" si="13"/>
        <v/>
      </c>
      <c r="O198" t="str">
        <f t="shared" si="14"/>
        <v/>
      </c>
      <c r="P198" t="str">
        <f>IF($A198="","",IF($E198=1,$F198*$O198,PNL!G198))</f>
        <v/>
      </c>
      <c r="T198" t="str">
        <f t="shared" si="15"/>
        <v/>
      </c>
    </row>
    <row r="199" spans="1:20" x14ac:dyDescent="0.45">
      <c r="A199" t="str">
        <f>IF(PNL!A199="","",PNL!A199)</f>
        <v/>
      </c>
      <c r="B199" t="str">
        <f>IF(PNL!B199="","",PNL!B199)</f>
        <v/>
      </c>
      <c r="C199" t="str">
        <f>IF(PNL!C199="","",PNL!C199)</f>
        <v/>
      </c>
      <c r="D199" t="str">
        <f>IF(PNL!D199="","",PNL!D199)</f>
        <v/>
      </c>
      <c r="E199" t="str">
        <f t="shared" si="12"/>
        <v/>
      </c>
      <c r="F199" t="str">
        <f>IF($A199="","",IF($E199=1,SUMIFS(Compta!$F$1:$F$675,Compta!$A$1:$A$675,$A199,Compta!$B$1:$B$675,$B199,Compta!$C$1:$C$675,"2026"),0))</f>
        <v/>
      </c>
      <c r="G199" t="str">
        <f>IF($A199="","",IF($D199="V01",cad!$C$23,IF($D199="V02",cad!$D$23,cad!$E$23)))</f>
        <v/>
      </c>
      <c r="H199" t="str">
        <f>IF($A199="","",IF($D199="V01",cad!$C$24,IF($D199="V02",cad!$D$24,cad!$E$24)))</f>
        <v/>
      </c>
      <c r="I199" t="str">
        <f>IF($A199="","",IF($D199="V01",cad!$C$32,IF($D199="V02",cad!$D$32,cad!$E$32)))</f>
        <v/>
      </c>
      <c r="J199" t="str">
        <f>IF($A199="","",IF($D199="V01",cad!$C$33,IF($D199="V02",cad!$D$33,cad!$E$33)))</f>
        <v/>
      </c>
      <c r="K199" t="str">
        <f>IF($A199="","",IF($D199="V01",cad!$C$34,IF($D199="V02",cad!$D$34,cad!$E$34)))</f>
        <v/>
      </c>
      <c r="L199" t="str">
        <f>IF($A199="","",IF($D199="V01",cad!$C$35,IF($D199="V02",cad!$D$35,cad!$E$35)))</f>
        <v/>
      </c>
      <c r="M199" t="str">
        <f>IF($A199="","",IF($D199="V01",cad!$C$36,IF($D199="V02",cad!$D$36,cad!$E$36)))</f>
        <v/>
      </c>
      <c r="N199" t="str">
        <f t="shared" si="13"/>
        <v/>
      </c>
      <c r="O199" t="str">
        <f t="shared" si="14"/>
        <v/>
      </c>
      <c r="P199" t="str">
        <f>IF($A199="","",IF($E199=1,$F199*$O199,PNL!G199))</f>
        <v/>
      </c>
      <c r="T199" t="str">
        <f t="shared" si="15"/>
        <v/>
      </c>
    </row>
    <row r="200" spans="1:20" x14ac:dyDescent="0.45">
      <c r="A200" t="str">
        <f>IF(PNL!A200="","",PNL!A200)</f>
        <v/>
      </c>
      <c r="B200" t="str">
        <f>IF(PNL!B200="","",PNL!B200)</f>
        <v/>
      </c>
      <c r="C200" t="str">
        <f>IF(PNL!C200="","",PNL!C200)</f>
        <v/>
      </c>
      <c r="D200" t="str">
        <f>IF(PNL!D200="","",PNL!D200)</f>
        <v/>
      </c>
      <c r="E200" t="str">
        <f t="shared" si="12"/>
        <v/>
      </c>
      <c r="F200" t="str">
        <f>IF($A200="","",IF($E200=1,SUMIFS(Compta!$F$1:$F$675,Compta!$A$1:$A$675,$A200,Compta!$B$1:$B$675,$B200,Compta!$C$1:$C$675,"2026"),0))</f>
        <v/>
      </c>
      <c r="G200" t="str">
        <f>IF($A200="","",IF($D200="V01",cad!$C$23,IF($D200="V02",cad!$D$23,cad!$E$23)))</f>
        <v/>
      </c>
      <c r="H200" t="str">
        <f>IF($A200="","",IF($D200="V01",cad!$C$24,IF($D200="V02",cad!$D$24,cad!$E$24)))</f>
        <v/>
      </c>
      <c r="I200" t="str">
        <f>IF($A200="","",IF($D200="V01",cad!$C$32,IF($D200="V02",cad!$D$32,cad!$E$32)))</f>
        <v/>
      </c>
      <c r="J200" t="str">
        <f>IF($A200="","",IF($D200="V01",cad!$C$33,IF($D200="V02",cad!$D$33,cad!$E$33)))</f>
        <v/>
      </c>
      <c r="K200" t="str">
        <f>IF($A200="","",IF($D200="V01",cad!$C$34,IF($D200="V02",cad!$D$34,cad!$E$34)))</f>
        <v/>
      </c>
      <c r="L200" t="str">
        <f>IF($A200="","",IF($D200="V01",cad!$C$35,IF($D200="V02",cad!$D$35,cad!$E$35)))</f>
        <v/>
      </c>
      <c r="M200" t="str">
        <f>IF($A200="","",IF($D200="V01",cad!$C$36,IF($D200="V02",cad!$D$36,cad!$E$36)))</f>
        <v/>
      </c>
      <c r="N200" t="str">
        <f t="shared" si="13"/>
        <v/>
      </c>
      <c r="O200" t="str">
        <f t="shared" si="14"/>
        <v/>
      </c>
      <c r="P200" t="str">
        <f>IF($A200="","",IF($E200=1,$F200*$O200,PNL!G200))</f>
        <v/>
      </c>
      <c r="T200" t="str">
        <f t="shared" si="15"/>
        <v/>
      </c>
    </row>
    <row r="201" spans="1:20" x14ac:dyDescent="0.45">
      <c r="A201" t="str">
        <f>IF(PNL!A201="","",PNL!A201)</f>
        <v/>
      </c>
      <c r="B201" t="str">
        <f>IF(PNL!B201="","",PNL!B201)</f>
        <v/>
      </c>
      <c r="C201" t="str">
        <f>IF(PNL!C201="","",PNL!C201)</f>
        <v/>
      </c>
      <c r="D201" t="str">
        <f>IF(PNL!D201="","",PNL!D201)</f>
        <v/>
      </c>
      <c r="E201" t="str">
        <f t="shared" si="12"/>
        <v/>
      </c>
      <c r="F201" t="str">
        <f>IF($A201="","",IF($E201=1,SUMIFS(Compta!$F$1:$F$675,Compta!$A$1:$A$675,$A201,Compta!$B$1:$B$675,$B201,Compta!$C$1:$C$675,"2026"),0))</f>
        <v/>
      </c>
      <c r="G201" t="str">
        <f>IF($A201="","",IF($D201="V01",cad!$C$23,IF($D201="V02",cad!$D$23,cad!$E$23)))</f>
        <v/>
      </c>
      <c r="H201" t="str">
        <f>IF($A201="","",IF($D201="V01",cad!$C$24,IF($D201="V02",cad!$D$24,cad!$E$24)))</f>
        <v/>
      </c>
      <c r="I201" t="str">
        <f>IF($A201="","",IF($D201="V01",cad!$C$32,IF($D201="V02",cad!$D$32,cad!$E$32)))</f>
        <v/>
      </c>
      <c r="J201" t="str">
        <f>IF($A201="","",IF($D201="V01",cad!$C$33,IF($D201="V02",cad!$D$33,cad!$E$33)))</f>
        <v/>
      </c>
      <c r="K201" t="str">
        <f>IF($A201="","",IF($D201="V01",cad!$C$34,IF($D201="V02",cad!$D$34,cad!$E$34)))</f>
        <v/>
      </c>
      <c r="L201" t="str">
        <f>IF($A201="","",IF($D201="V01",cad!$C$35,IF($D201="V02",cad!$D$35,cad!$E$35)))</f>
        <v/>
      </c>
      <c r="M201" t="str">
        <f>IF($A201="","",IF($D201="V01",cad!$C$36,IF($D201="V02",cad!$D$36,cad!$E$36)))</f>
        <v/>
      </c>
      <c r="N201" t="str">
        <f t="shared" si="13"/>
        <v/>
      </c>
      <c r="O201" t="str">
        <f t="shared" si="14"/>
        <v/>
      </c>
      <c r="P201" t="str">
        <f>IF($A201="","",IF($E201=1,$F201*$O201,PNL!G201))</f>
        <v/>
      </c>
      <c r="T201" t="str">
        <f t="shared" si="15"/>
        <v/>
      </c>
    </row>
    <row r="202" spans="1:20" x14ac:dyDescent="0.45">
      <c r="A202" t="str">
        <f>IF(PNL!A202="","",PNL!A202)</f>
        <v/>
      </c>
      <c r="B202" t="str">
        <f>IF(PNL!B202="","",PNL!B202)</f>
        <v/>
      </c>
      <c r="C202" t="str">
        <f>IF(PNL!C202="","",PNL!C202)</f>
        <v/>
      </c>
      <c r="D202" t="str">
        <f>IF(PNL!D202="","",PNL!D202)</f>
        <v/>
      </c>
      <c r="E202" t="str">
        <f t="shared" si="12"/>
        <v/>
      </c>
      <c r="F202" t="str">
        <f>IF($A202="","",IF($E202=1,SUMIFS(Compta!$F$1:$F$675,Compta!$A$1:$A$675,$A202,Compta!$B$1:$B$675,$B202,Compta!$C$1:$C$675,"2026"),0))</f>
        <v/>
      </c>
      <c r="G202" t="str">
        <f>IF($A202="","",IF($D202="V01",cad!$C$23,IF($D202="V02",cad!$D$23,cad!$E$23)))</f>
        <v/>
      </c>
      <c r="H202" t="str">
        <f>IF($A202="","",IF($D202="V01",cad!$C$24,IF($D202="V02",cad!$D$24,cad!$E$24)))</f>
        <v/>
      </c>
      <c r="I202" t="str">
        <f>IF($A202="","",IF($D202="V01",cad!$C$32,IF($D202="V02",cad!$D$32,cad!$E$32)))</f>
        <v/>
      </c>
      <c r="J202" t="str">
        <f>IF($A202="","",IF($D202="V01",cad!$C$33,IF($D202="V02",cad!$D$33,cad!$E$33)))</f>
        <v/>
      </c>
      <c r="K202" t="str">
        <f>IF($A202="","",IF($D202="V01",cad!$C$34,IF($D202="V02",cad!$D$34,cad!$E$34)))</f>
        <v/>
      </c>
      <c r="L202" t="str">
        <f>IF($A202="","",IF($D202="V01",cad!$C$35,IF($D202="V02",cad!$D$35,cad!$E$35)))</f>
        <v/>
      </c>
      <c r="M202" t="str">
        <f>IF($A202="","",IF($D202="V01",cad!$C$36,IF($D202="V02",cad!$D$36,cad!$E$36)))</f>
        <v/>
      </c>
      <c r="N202" t="str">
        <f t="shared" si="13"/>
        <v/>
      </c>
      <c r="O202" t="str">
        <f t="shared" si="14"/>
        <v/>
      </c>
      <c r="P202" t="str">
        <f>IF($A202="","",IF($E202=1,$F202*$O202,PNL!G202))</f>
        <v/>
      </c>
      <c r="T202" t="str">
        <f t="shared" si="15"/>
        <v/>
      </c>
    </row>
    <row r="203" spans="1:20" x14ac:dyDescent="0.45">
      <c r="A203" t="str">
        <f>IF(PNL!A203="","",PNL!A203)</f>
        <v/>
      </c>
      <c r="B203" t="str">
        <f>IF(PNL!B203="","",PNL!B203)</f>
        <v/>
      </c>
      <c r="C203" t="str">
        <f>IF(PNL!C203="","",PNL!C203)</f>
        <v/>
      </c>
      <c r="D203" t="str">
        <f>IF(PNL!D203="","",PNL!D203)</f>
        <v/>
      </c>
      <c r="E203" t="str">
        <f t="shared" si="12"/>
        <v/>
      </c>
      <c r="F203" t="str">
        <f>IF($A203="","",IF($E203=1,SUMIFS(Compta!$F$1:$F$675,Compta!$A$1:$A$675,$A203,Compta!$B$1:$B$675,$B203,Compta!$C$1:$C$675,"2026"),0))</f>
        <v/>
      </c>
      <c r="G203" t="str">
        <f>IF($A203="","",IF($D203="V01",cad!$C$23,IF($D203="V02",cad!$D$23,cad!$E$23)))</f>
        <v/>
      </c>
      <c r="H203" t="str">
        <f>IF($A203="","",IF($D203="V01",cad!$C$24,IF($D203="V02",cad!$D$24,cad!$E$24)))</f>
        <v/>
      </c>
      <c r="I203" t="str">
        <f>IF($A203="","",IF($D203="V01",cad!$C$32,IF($D203="V02",cad!$D$32,cad!$E$32)))</f>
        <v/>
      </c>
      <c r="J203" t="str">
        <f>IF($A203="","",IF($D203="V01",cad!$C$33,IF($D203="V02",cad!$D$33,cad!$E$33)))</f>
        <v/>
      </c>
      <c r="K203" t="str">
        <f>IF($A203="","",IF($D203="V01",cad!$C$34,IF($D203="V02",cad!$D$34,cad!$E$34)))</f>
        <v/>
      </c>
      <c r="L203" t="str">
        <f>IF($A203="","",IF($D203="V01",cad!$C$35,IF($D203="V02",cad!$D$35,cad!$E$35)))</f>
        <v/>
      </c>
      <c r="M203" t="str">
        <f>IF($A203="","",IF($D203="V01",cad!$C$36,IF($D203="V02",cad!$D$36,cad!$E$36)))</f>
        <v/>
      </c>
      <c r="N203" t="str">
        <f t="shared" si="13"/>
        <v/>
      </c>
      <c r="O203" t="str">
        <f t="shared" si="14"/>
        <v/>
      </c>
      <c r="P203" t="str">
        <f>IF($A203="","",IF($E203=1,$F203*$O203,PNL!G203))</f>
        <v/>
      </c>
      <c r="T203" t="str">
        <f t="shared" si="15"/>
        <v/>
      </c>
    </row>
    <row r="204" spans="1:20" x14ac:dyDescent="0.45">
      <c r="A204" t="str">
        <f>IF(PNL!A204="","",PNL!A204)</f>
        <v/>
      </c>
      <c r="B204" t="str">
        <f>IF(PNL!B204="","",PNL!B204)</f>
        <v/>
      </c>
      <c r="C204" t="str">
        <f>IF(PNL!C204="","",PNL!C204)</f>
        <v/>
      </c>
      <c r="D204" t="str">
        <f>IF(PNL!D204="","",PNL!D204)</f>
        <v/>
      </c>
      <c r="E204" t="str">
        <f t="shared" si="12"/>
        <v/>
      </c>
      <c r="F204" t="str">
        <f>IF($A204="","",IF($E204=1,SUMIFS(Compta!$F$1:$F$675,Compta!$A$1:$A$675,$A204,Compta!$B$1:$B$675,$B204,Compta!$C$1:$C$675,"2026"),0))</f>
        <v/>
      </c>
      <c r="G204" t="str">
        <f>IF($A204="","",IF($D204="V01",cad!$C$23,IF($D204="V02",cad!$D$23,cad!$E$23)))</f>
        <v/>
      </c>
      <c r="H204" t="str">
        <f>IF($A204="","",IF($D204="V01",cad!$C$24,IF($D204="V02",cad!$D$24,cad!$E$24)))</f>
        <v/>
      </c>
      <c r="I204" t="str">
        <f>IF($A204="","",IF($D204="V01",cad!$C$32,IF($D204="V02",cad!$D$32,cad!$E$32)))</f>
        <v/>
      </c>
      <c r="J204" t="str">
        <f>IF($A204="","",IF($D204="V01",cad!$C$33,IF($D204="V02",cad!$D$33,cad!$E$33)))</f>
        <v/>
      </c>
      <c r="K204" t="str">
        <f>IF($A204="","",IF($D204="V01",cad!$C$34,IF($D204="V02",cad!$D$34,cad!$E$34)))</f>
        <v/>
      </c>
      <c r="L204" t="str">
        <f>IF($A204="","",IF($D204="V01",cad!$C$35,IF($D204="V02",cad!$D$35,cad!$E$35)))</f>
        <v/>
      </c>
      <c r="M204" t="str">
        <f>IF($A204="","",IF($D204="V01",cad!$C$36,IF($D204="V02",cad!$D$36,cad!$E$36)))</f>
        <v/>
      </c>
      <c r="N204" t="str">
        <f t="shared" si="13"/>
        <v/>
      </c>
      <c r="O204" t="str">
        <f t="shared" si="14"/>
        <v/>
      </c>
      <c r="P204" t="str">
        <f>IF($A204="","",IF($E204=1,$F204*$O204,PNL!G204))</f>
        <v/>
      </c>
      <c r="T204" t="str">
        <f t="shared" si="15"/>
        <v/>
      </c>
    </row>
    <row r="205" spans="1:20" x14ac:dyDescent="0.45">
      <c r="A205" t="str">
        <f>IF(PNL!A205="","",PNL!A205)</f>
        <v/>
      </c>
      <c r="B205" t="str">
        <f>IF(PNL!B205="","",PNL!B205)</f>
        <v/>
      </c>
      <c r="C205" t="str">
        <f>IF(PNL!C205="","",PNL!C205)</f>
        <v/>
      </c>
      <c r="D205" t="str">
        <f>IF(PNL!D205="","",PNL!D205)</f>
        <v/>
      </c>
      <c r="E205" t="str">
        <f t="shared" si="12"/>
        <v/>
      </c>
      <c r="F205" t="str">
        <f>IF($A205="","",IF($E205=1,SUMIFS(Compta!$F$1:$F$675,Compta!$A$1:$A$675,$A205,Compta!$B$1:$B$675,$B205,Compta!$C$1:$C$675,"2026"),0))</f>
        <v/>
      </c>
      <c r="G205" t="str">
        <f>IF($A205="","",IF($D205="V01",cad!$C$23,IF($D205="V02",cad!$D$23,cad!$E$23)))</f>
        <v/>
      </c>
      <c r="H205" t="str">
        <f>IF($A205="","",IF($D205="V01",cad!$C$24,IF($D205="V02",cad!$D$24,cad!$E$24)))</f>
        <v/>
      </c>
      <c r="I205" t="str">
        <f>IF($A205="","",IF($D205="V01",cad!$C$32,IF($D205="V02",cad!$D$32,cad!$E$32)))</f>
        <v/>
      </c>
      <c r="J205" t="str">
        <f>IF($A205="","",IF($D205="V01",cad!$C$33,IF($D205="V02",cad!$D$33,cad!$E$33)))</f>
        <v/>
      </c>
      <c r="K205" t="str">
        <f>IF($A205="","",IF($D205="V01",cad!$C$34,IF($D205="V02",cad!$D$34,cad!$E$34)))</f>
        <v/>
      </c>
      <c r="L205" t="str">
        <f>IF($A205="","",IF($D205="V01",cad!$C$35,IF($D205="V02",cad!$D$35,cad!$E$35)))</f>
        <v/>
      </c>
      <c r="M205" t="str">
        <f>IF($A205="","",IF($D205="V01",cad!$C$36,IF($D205="V02",cad!$D$36,cad!$E$36)))</f>
        <v/>
      </c>
      <c r="N205" t="str">
        <f t="shared" si="13"/>
        <v/>
      </c>
      <c r="O205" t="str">
        <f t="shared" si="14"/>
        <v/>
      </c>
      <c r="P205" t="str">
        <f>IF($A205="","",IF($E205=1,$F205*$O205,PNL!G205))</f>
        <v/>
      </c>
      <c r="T205" t="str">
        <f t="shared" si="15"/>
        <v/>
      </c>
    </row>
    <row r="206" spans="1:20" x14ac:dyDescent="0.45">
      <c r="A206" t="str">
        <f>IF(PNL!A206="","",PNL!A206)</f>
        <v/>
      </c>
      <c r="B206" t="str">
        <f>IF(PNL!B206="","",PNL!B206)</f>
        <v/>
      </c>
      <c r="C206" t="str">
        <f>IF(PNL!C206="","",PNL!C206)</f>
        <v/>
      </c>
      <c r="D206" t="str">
        <f>IF(PNL!D206="","",PNL!D206)</f>
        <v/>
      </c>
      <c r="E206" t="str">
        <f t="shared" si="12"/>
        <v/>
      </c>
      <c r="F206" t="str">
        <f>IF($A206="","",IF($E206=1,SUMIFS(Compta!$F$1:$F$675,Compta!$A$1:$A$675,$A206,Compta!$B$1:$B$675,$B206,Compta!$C$1:$C$675,"2026"),0))</f>
        <v/>
      </c>
      <c r="G206" t="str">
        <f>IF($A206="","",IF($D206="V01",cad!$C$23,IF($D206="V02",cad!$D$23,cad!$E$23)))</f>
        <v/>
      </c>
      <c r="H206" t="str">
        <f>IF($A206="","",IF($D206="V01",cad!$C$24,IF($D206="V02",cad!$D$24,cad!$E$24)))</f>
        <v/>
      </c>
      <c r="I206" t="str">
        <f>IF($A206="","",IF($D206="V01",cad!$C$32,IF($D206="V02",cad!$D$32,cad!$E$32)))</f>
        <v/>
      </c>
      <c r="J206" t="str">
        <f>IF($A206="","",IF($D206="V01",cad!$C$33,IF($D206="V02",cad!$D$33,cad!$E$33)))</f>
        <v/>
      </c>
      <c r="K206" t="str">
        <f>IF($A206="","",IF($D206="V01",cad!$C$34,IF($D206="V02",cad!$D$34,cad!$E$34)))</f>
        <v/>
      </c>
      <c r="L206" t="str">
        <f>IF($A206="","",IF($D206="V01",cad!$C$35,IF($D206="V02",cad!$D$35,cad!$E$35)))</f>
        <v/>
      </c>
      <c r="M206" t="str">
        <f>IF($A206="","",IF($D206="V01",cad!$C$36,IF($D206="V02",cad!$D$36,cad!$E$36)))</f>
        <v/>
      </c>
      <c r="N206" t="str">
        <f t="shared" si="13"/>
        <v/>
      </c>
      <c r="O206" t="str">
        <f t="shared" si="14"/>
        <v/>
      </c>
      <c r="P206" t="str">
        <f>IF($A206="","",IF($E206=1,$F206*$O206,PNL!G206))</f>
        <v/>
      </c>
      <c r="T206" t="str">
        <f t="shared" si="15"/>
        <v/>
      </c>
    </row>
    <row r="207" spans="1:20" x14ac:dyDescent="0.45">
      <c r="A207" t="str">
        <f>IF(PNL!A207="","",PNL!A207)</f>
        <v/>
      </c>
      <c r="B207" t="str">
        <f>IF(PNL!B207="","",PNL!B207)</f>
        <v/>
      </c>
      <c r="C207" t="str">
        <f>IF(PNL!C207="","",PNL!C207)</f>
        <v/>
      </c>
      <c r="D207" t="str">
        <f>IF(PNL!D207="","",PNL!D207)</f>
        <v/>
      </c>
      <c r="E207" t="str">
        <f t="shared" si="12"/>
        <v/>
      </c>
      <c r="F207" t="str">
        <f>IF($A207="","",IF($E207=1,SUMIFS(Compta!$F$1:$F$675,Compta!$A$1:$A$675,$A207,Compta!$B$1:$B$675,$B207,Compta!$C$1:$C$675,"2026"),0))</f>
        <v/>
      </c>
      <c r="G207" t="str">
        <f>IF($A207="","",IF($D207="V01",cad!$C$23,IF($D207="V02",cad!$D$23,cad!$E$23)))</f>
        <v/>
      </c>
      <c r="H207" t="str">
        <f>IF($A207="","",IF($D207="V01",cad!$C$24,IF($D207="V02",cad!$D$24,cad!$E$24)))</f>
        <v/>
      </c>
      <c r="I207" t="str">
        <f>IF($A207="","",IF($D207="V01",cad!$C$32,IF($D207="V02",cad!$D$32,cad!$E$32)))</f>
        <v/>
      </c>
      <c r="J207" t="str">
        <f>IF($A207="","",IF($D207="V01",cad!$C$33,IF($D207="V02",cad!$D$33,cad!$E$33)))</f>
        <v/>
      </c>
      <c r="K207" t="str">
        <f>IF($A207="","",IF($D207="V01",cad!$C$34,IF($D207="V02",cad!$D$34,cad!$E$34)))</f>
        <v/>
      </c>
      <c r="L207" t="str">
        <f>IF($A207="","",IF($D207="V01",cad!$C$35,IF($D207="V02",cad!$D$35,cad!$E$35)))</f>
        <v/>
      </c>
      <c r="M207" t="str">
        <f>IF($A207="","",IF($D207="V01",cad!$C$36,IF($D207="V02",cad!$D$36,cad!$E$36)))</f>
        <v/>
      </c>
      <c r="N207" t="str">
        <f t="shared" si="13"/>
        <v/>
      </c>
      <c r="O207" t="str">
        <f t="shared" si="14"/>
        <v/>
      </c>
      <c r="P207" t="str">
        <f>IF($A207="","",IF($E207=1,$F207*$O207,PNL!G207))</f>
        <v/>
      </c>
      <c r="T207" t="str">
        <f t="shared" si="15"/>
        <v/>
      </c>
    </row>
    <row r="208" spans="1:20" x14ac:dyDescent="0.45">
      <c r="A208" t="str">
        <f>IF(PNL!A208="","",PNL!A208)</f>
        <v/>
      </c>
      <c r="B208" t="str">
        <f>IF(PNL!B208="","",PNL!B208)</f>
        <v/>
      </c>
      <c r="C208" t="str">
        <f>IF(PNL!C208="","",PNL!C208)</f>
        <v/>
      </c>
      <c r="D208" t="str">
        <f>IF(PNL!D208="","",PNL!D208)</f>
        <v/>
      </c>
      <c r="E208" t="str">
        <f t="shared" si="12"/>
        <v/>
      </c>
      <c r="F208" t="str">
        <f>IF($A208="","",IF($E208=1,SUMIFS(Compta!$F$1:$F$675,Compta!$A$1:$A$675,$A208,Compta!$B$1:$B$675,$B208,Compta!$C$1:$C$675,"2026"),0))</f>
        <v/>
      </c>
      <c r="G208" t="str">
        <f>IF($A208="","",IF($D208="V01",cad!$C$23,IF($D208="V02",cad!$D$23,cad!$E$23)))</f>
        <v/>
      </c>
      <c r="H208" t="str">
        <f>IF($A208="","",IF($D208="V01",cad!$C$24,IF($D208="V02",cad!$D$24,cad!$E$24)))</f>
        <v/>
      </c>
      <c r="I208" t="str">
        <f>IF($A208="","",IF($D208="V01",cad!$C$32,IF($D208="V02",cad!$D$32,cad!$E$32)))</f>
        <v/>
      </c>
      <c r="J208" t="str">
        <f>IF($A208="","",IF($D208="V01",cad!$C$33,IF($D208="V02",cad!$D$33,cad!$E$33)))</f>
        <v/>
      </c>
      <c r="K208" t="str">
        <f>IF($A208="","",IF($D208="V01",cad!$C$34,IF($D208="V02",cad!$D$34,cad!$E$34)))</f>
        <v/>
      </c>
      <c r="L208" t="str">
        <f>IF($A208="","",IF($D208="V01",cad!$C$35,IF($D208="V02",cad!$D$35,cad!$E$35)))</f>
        <v/>
      </c>
      <c r="M208" t="str">
        <f>IF($A208="","",IF($D208="V01",cad!$C$36,IF($D208="V02",cad!$D$36,cad!$E$36)))</f>
        <v/>
      </c>
      <c r="N208" t="str">
        <f t="shared" si="13"/>
        <v/>
      </c>
      <c r="O208" t="str">
        <f t="shared" si="14"/>
        <v/>
      </c>
      <c r="P208" t="str">
        <f>IF($A208="","",IF($E208=1,$F208*$O208,PNL!G208))</f>
        <v/>
      </c>
      <c r="T208" t="str">
        <f t="shared" si="15"/>
        <v/>
      </c>
    </row>
    <row r="209" spans="1:20" x14ac:dyDescent="0.45">
      <c r="A209" t="str">
        <f>IF(PNL!A209="","",PNL!A209)</f>
        <v/>
      </c>
      <c r="B209" t="str">
        <f>IF(PNL!B209="","",PNL!B209)</f>
        <v/>
      </c>
      <c r="C209" t="str">
        <f>IF(PNL!C209="","",PNL!C209)</f>
        <v/>
      </c>
      <c r="D209" t="str">
        <f>IF(PNL!D209="","",PNL!D209)</f>
        <v/>
      </c>
      <c r="E209" t="str">
        <f t="shared" si="12"/>
        <v/>
      </c>
      <c r="F209" t="str">
        <f>IF($A209="","",IF($E209=1,SUMIFS(Compta!$F$1:$F$675,Compta!$A$1:$A$675,$A209,Compta!$B$1:$B$675,$B209,Compta!$C$1:$C$675,"2026"),0))</f>
        <v/>
      </c>
      <c r="G209" t="str">
        <f>IF($A209="","",IF($D209="V01",cad!$C$23,IF($D209="V02",cad!$D$23,cad!$E$23)))</f>
        <v/>
      </c>
      <c r="H209" t="str">
        <f>IF($A209="","",IF($D209="V01",cad!$C$24,IF($D209="V02",cad!$D$24,cad!$E$24)))</f>
        <v/>
      </c>
      <c r="I209" t="str">
        <f>IF($A209="","",IF($D209="V01",cad!$C$32,IF($D209="V02",cad!$D$32,cad!$E$32)))</f>
        <v/>
      </c>
      <c r="J209" t="str">
        <f>IF($A209="","",IF($D209="V01",cad!$C$33,IF($D209="V02",cad!$D$33,cad!$E$33)))</f>
        <v/>
      </c>
      <c r="K209" t="str">
        <f>IF($A209="","",IF($D209="V01",cad!$C$34,IF($D209="V02",cad!$D$34,cad!$E$34)))</f>
        <v/>
      </c>
      <c r="L209" t="str">
        <f>IF($A209="","",IF($D209="V01",cad!$C$35,IF($D209="V02",cad!$D$35,cad!$E$35)))</f>
        <v/>
      </c>
      <c r="M209" t="str">
        <f>IF($A209="","",IF($D209="V01",cad!$C$36,IF($D209="V02",cad!$D$36,cad!$E$36)))</f>
        <v/>
      </c>
      <c r="N209" t="str">
        <f t="shared" si="13"/>
        <v/>
      </c>
      <c r="O209" t="str">
        <f t="shared" si="14"/>
        <v/>
      </c>
      <c r="P209" t="str">
        <f>IF($A209="","",IF($E209=1,$F209*$O209,PNL!G209))</f>
        <v/>
      </c>
      <c r="T209" t="str">
        <f t="shared" si="15"/>
        <v/>
      </c>
    </row>
    <row r="210" spans="1:20" x14ac:dyDescent="0.45">
      <c r="A210" t="str">
        <f>IF(PNL!A210="","",PNL!A210)</f>
        <v/>
      </c>
      <c r="B210" t="str">
        <f>IF(PNL!B210="","",PNL!B210)</f>
        <v/>
      </c>
      <c r="C210" t="str">
        <f>IF(PNL!C210="","",PNL!C210)</f>
        <v/>
      </c>
      <c r="D210" t="str">
        <f>IF(PNL!D210="","",PNL!D210)</f>
        <v/>
      </c>
      <c r="E210" t="str">
        <f t="shared" si="12"/>
        <v/>
      </c>
      <c r="F210" t="str">
        <f>IF($A210="","",IF($E210=1,SUMIFS(Compta!$F$1:$F$675,Compta!$A$1:$A$675,$A210,Compta!$B$1:$B$675,$B210,Compta!$C$1:$C$675,"2026"),0))</f>
        <v/>
      </c>
      <c r="G210" t="str">
        <f>IF($A210="","",IF($D210="V01",cad!$C$23,IF($D210="V02",cad!$D$23,cad!$E$23)))</f>
        <v/>
      </c>
      <c r="H210" t="str">
        <f>IF($A210="","",IF($D210="V01",cad!$C$24,IF($D210="V02",cad!$D$24,cad!$E$24)))</f>
        <v/>
      </c>
      <c r="I210" t="str">
        <f>IF($A210="","",IF($D210="V01",cad!$C$32,IF($D210="V02",cad!$D$32,cad!$E$32)))</f>
        <v/>
      </c>
      <c r="J210" t="str">
        <f>IF($A210="","",IF($D210="V01",cad!$C$33,IF($D210="V02",cad!$D$33,cad!$E$33)))</f>
        <v/>
      </c>
      <c r="K210" t="str">
        <f>IF($A210="","",IF($D210="V01",cad!$C$34,IF($D210="V02",cad!$D$34,cad!$E$34)))</f>
        <v/>
      </c>
      <c r="L210" t="str">
        <f>IF($A210="","",IF($D210="V01",cad!$C$35,IF($D210="V02",cad!$D$35,cad!$E$35)))</f>
        <v/>
      </c>
      <c r="M210" t="str">
        <f>IF($A210="","",IF($D210="V01",cad!$C$36,IF($D210="V02",cad!$D$36,cad!$E$36)))</f>
        <v/>
      </c>
      <c r="N210" t="str">
        <f t="shared" si="13"/>
        <v/>
      </c>
      <c r="O210" t="str">
        <f t="shared" si="14"/>
        <v/>
      </c>
      <c r="P210" t="str">
        <f>IF($A210="","",IF($E210=1,$F210*$O210,PNL!G210))</f>
        <v/>
      </c>
      <c r="T210" t="str">
        <f t="shared" si="15"/>
        <v/>
      </c>
    </row>
    <row r="211" spans="1:20" x14ac:dyDescent="0.45">
      <c r="A211" t="str">
        <f>IF(PNL!A211="","",PNL!A211)</f>
        <v/>
      </c>
      <c r="B211" t="str">
        <f>IF(PNL!B211="","",PNL!B211)</f>
        <v/>
      </c>
      <c r="C211" t="str">
        <f>IF(PNL!C211="","",PNL!C211)</f>
        <v/>
      </c>
      <c r="D211" t="str">
        <f>IF(PNL!D211="","",PNL!D211)</f>
        <v/>
      </c>
      <c r="E211" t="str">
        <f t="shared" si="12"/>
        <v/>
      </c>
      <c r="F211" t="str">
        <f>IF($A211="","",IF($E211=1,SUMIFS(Compta!$F$1:$F$675,Compta!$A$1:$A$675,$A211,Compta!$B$1:$B$675,$B211,Compta!$C$1:$C$675,"2026"),0))</f>
        <v/>
      </c>
      <c r="G211" t="str">
        <f>IF($A211="","",IF($D211="V01",cad!$C$23,IF($D211="V02",cad!$D$23,cad!$E$23)))</f>
        <v/>
      </c>
      <c r="H211" t="str">
        <f>IF($A211="","",IF($D211="V01",cad!$C$24,IF($D211="V02",cad!$D$24,cad!$E$24)))</f>
        <v/>
      </c>
      <c r="I211" t="str">
        <f>IF($A211="","",IF($D211="V01",cad!$C$32,IF($D211="V02",cad!$D$32,cad!$E$32)))</f>
        <v/>
      </c>
      <c r="J211" t="str">
        <f>IF($A211="","",IF($D211="V01",cad!$C$33,IF($D211="V02",cad!$D$33,cad!$E$33)))</f>
        <v/>
      </c>
      <c r="K211" t="str">
        <f>IF($A211="","",IF($D211="V01",cad!$C$34,IF($D211="V02",cad!$D$34,cad!$E$34)))</f>
        <v/>
      </c>
      <c r="L211" t="str">
        <f>IF($A211="","",IF($D211="V01",cad!$C$35,IF($D211="V02",cad!$D$35,cad!$E$35)))</f>
        <v/>
      </c>
      <c r="M211" t="str">
        <f>IF($A211="","",IF($D211="V01",cad!$C$36,IF($D211="V02",cad!$D$36,cad!$E$36)))</f>
        <v/>
      </c>
      <c r="N211" t="str">
        <f t="shared" si="13"/>
        <v/>
      </c>
      <c r="O211" t="str">
        <f t="shared" si="14"/>
        <v/>
      </c>
      <c r="P211" t="str">
        <f>IF($A211="","",IF($E211=1,$F211*$O211,PNL!G211))</f>
        <v/>
      </c>
      <c r="T211" t="str">
        <f t="shared" si="15"/>
        <v/>
      </c>
    </row>
    <row r="212" spans="1:20" x14ac:dyDescent="0.45">
      <c r="A212" t="str">
        <f>IF(PNL!A212="","",PNL!A212)</f>
        <v/>
      </c>
      <c r="B212" t="str">
        <f>IF(PNL!B212="","",PNL!B212)</f>
        <v/>
      </c>
      <c r="C212" t="str">
        <f>IF(PNL!C212="","",PNL!C212)</f>
        <v/>
      </c>
      <c r="D212" t="str">
        <f>IF(PNL!D212="","",PNL!D212)</f>
        <v/>
      </c>
      <c r="E212" t="str">
        <f t="shared" si="12"/>
        <v/>
      </c>
      <c r="F212" t="str">
        <f>IF($A212="","",IF($E212=1,SUMIFS(Compta!$F$1:$F$675,Compta!$A$1:$A$675,$A212,Compta!$B$1:$B$675,$B212,Compta!$C$1:$C$675,"2026"),0))</f>
        <v/>
      </c>
      <c r="G212" t="str">
        <f>IF($A212="","",IF($D212="V01",cad!$C$23,IF($D212="V02",cad!$D$23,cad!$E$23)))</f>
        <v/>
      </c>
      <c r="H212" t="str">
        <f>IF($A212="","",IF($D212="V01",cad!$C$24,IF($D212="V02",cad!$D$24,cad!$E$24)))</f>
        <v/>
      </c>
      <c r="I212" t="str">
        <f>IF($A212="","",IF($D212="V01",cad!$C$32,IF($D212="V02",cad!$D$32,cad!$E$32)))</f>
        <v/>
      </c>
      <c r="J212" t="str">
        <f>IF($A212="","",IF($D212="V01",cad!$C$33,IF($D212="V02",cad!$D$33,cad!$E$33)))</f>
        <v/>
      </c>
      <c r="K212" t="str">
        <f>IF($A212="","",IF($D212="V01",cad!$C$34,IF($D212="V02",cad!$D$34,cad!$E$34)))</f>
        <v/>
      </c>
      <c r="L212" t="str">
        <f>IF($A212="","",IF($D212="V01",cad!$C$35,IF($D212="V02",cad!$D$35,cad!$E$35)))</f>
        <v/>
      </c>
      <c r="M212" t="str">
        <f>IF($A212="","",IF($D212="V01",cad!$C$36,IF($D212="V02",cad!$D$36,cad!$E$36)))</f>
        <v/>
      </c>
      <c r="N212" t="str">
        <f t="shared" si="13"/>
        <v/>
      </c>
      <c r="O212" t="str">
        <f t="shared" si="14"/>
        <v/>
      </c>
      <c r="P212" t="str">
        <f>IF($A212="","",IF($E212=1,$F212*$O212,PNL!G212))</f>
        <v/>
      </c>
      <c r="T212" t="str">
        <f t="shared" si="15"/>
        <v/>
      </c>
    </row>
    <row r="213" spans="1:20" x14ac:dyDescent="0.45">
      <c r="A213" t="str">
        <f>IF(PNL!A213="","",PNL!A213)</f>
        <v/>
      </c>
      <c r="B213" t="str">
        <f>IF(PNL!B213="","",PNL!B213)</f>
        <v/>
      </c>
      <c r="C213" t="str">
        <f>IF(PNL!C213="","",PNL!C213)</f>
        <v/>
      </c>
      <c r="D213" t="str">
        <f>IF(PNL!D213="","",PNL!D213)</f>
        <v/>
      </c>
      <c r="E213" t="str">
        <f t="shared" si="12"/>
        <v/>
      </c>
      <c r="F213" t="str">
        <f>IF($A213="","",IF($E213=1,SUMIFS(Compta!$F$1:$F$675,Compta!$A$1:$A$675,$A213,Compta!$B$1:$B$675,$B213,Compta!$C$1:$C$675,"2026"),0))</f>
        <v/>
      </c>
      <c r="G213" t="str">
        <f>IF($A213="","",IF($D213="V01",cad!$C$23,IF($D213="V02",cad!$D$23,cad!$E$23)))</f>
        <v/>
      </c>
      <c r="H213" t="str">
        <f>IF($A213="","",IF($D213="V01",cad!$C$24,IF($D213="V02",cad!$D$24,cad!$E$24)))</f>
        <v/>
      </c>
      <c r="I213" t="str">
        <f>IF($A213="","",IF($D213="V01",cad!$C$32,IF($D213="V02",cad!$D$32,cad!$E$32)))</f>
        <v/>
      </c>
      <c r="J213" t="str">
        <f>IF($A213="","",IF($D213="V01",cad!$C$33,IF($D213="V02",cad!$D$33,cad!$E$33)))</f>
        <v/>
      </c>
      <c r="K213" t="str">
        <f>IF($A213="","",IF($D213="V01",cad!$C$34,IF($D213="V02",cad!$D$34,cad!$E$34)))</f>
        <v/>
      </c>
      <c r="L213" t="str">
        <f>IF($A213="","",IF($D213="V01",cad!$C$35,IF($D213="V02",cad!$D$35,cad!$E$35)))</f>
        <v/>
      </c>
      <c r="M213" t="str">
        <f>IF($A213="","",IF($D213="V01",cad!$C$36,IF($D213="V02",cad!$D$36,cad!$E$36)))</f>
        <v/>
      </c>
      <c r="N213" t="str">
        <f t="shared" si="13"/>
        <v/>
      </c>
      <c r="O213" t="str">
        <f t="shared" si="14"/>
        <v/>
      </c>
      <c r="P213" t="str">
        <f>IF($A213="","",IF($E213=1,$F213*$O213,PNL!G213))</f>
        <v/>
      </c>
      <c r="T213" t="str">
        <f t="shared" si="15"/>
        <v/>
      </c>
    </row>
    <row r="214" spans="1:20" x14ac:dyDescent="0.45">
      <c r="A214" t="str">
        <f>IF(PNL!A214="","",PNL!A214)</f>
        <v/>
      </c>
      <c r="B214" t="str">
        <f>IF(PNL!B214="","",PNL!B214)</f>
        <v/>
      </c>
      <c r="C214" t="str">
        <f>IF(PNL!C214="","",PNL!C214)</f>
        <v/>
      </c>
      <c r="D214" t="str">
        <f>IF(PNL!D214="","",PNL!D214)</f>
        <v/>
      </c>
      <c r="E214" t="str">
        <f t="shared" si="12"/>
        <v/>
      </c>
      <c r="F214" t="str">
        <f>IF($A214="","",IF($E214=1,SUMIFS(Compta!$F$1:$F$675,Compta!$A$1:$A$675,$A214,Compta!$B$1:$B$675,$B214,Compta!$C$1:$C$675,"2026"),0))</f>
        <v/>
      </c>
      <c r="G214" t="str">
        <f>IF($A214="","",IF($D214="V01",cad!$C$23,IF($D214="V02",cad!$D$23,cad!$E$23)))</f>
        <v/>
      </c>
      <c r="H214" t="str">
        <f>IF($A214="","",IF($D214="V01",cad!$C$24,IF($D214="V02",cad!$D$24,cad!$E$24)))</f>
        <v/>
      </c>
      <c r="I214" t="str">
        <f>IF($A214="","",IF($D214="V01",cad!$C$32,IF($D214="V02",cad!$D$32,cad!$E$32)))</f>
        <v/>
      </c>
      <c r="J214" t="str">
        <f>IF($A214="","",IF($D214="V01",cad!$C$33,IF($D214="V02",cad!$D$33,cad!$E$33)))</f>
        <v/>
      </c>
      <c r="K214" t="str">
        <f>IF($A214="","",IF($D214="V01",cad!$C$34,IF($D214="V02",cad!$D$34,cad!$E$34)))</f>
        <v/>
      </c>
      <c r="L214" t="str">
        <f>IF($A214="","",IF($D214="V01",cad!$C$35,IF($D214="V02",cad!$D$35,cad!$E$35)))</f>
        <v/>
      </c>
      <c r="M214" t="str">
        <f>IF($A214="","",IF($D214="V01",cad!$C$36,IF($D214="V02",cad!$D$36,cad!$E$36)))</f>
        <v/>
      </c>
      <c r="N214" t="str">
        <f t="shared" si="13"/>
        <v/>
      </c>
      <c r="O214" t="str">
        <f t="shared" si="14"/>
        <v/>
      </c>
      <c r="P214" t="str">
        <f>IF($A214="","",IF($E214=1,$F214*$O214,PNL!G214))</f>
        <v/>
      </c>
      <c r="T214" t="str">
        <f t="shared" si="15"/>
        <v/>
      </c>
    </row>
    <row r="215" spans="1:20" x14ac:dyDescent="0.45">
      <c r="A215" t="str">
        <f>IF(PNL!A215="","",PNL!A215)</f>
        <v/>
      </c>
      <c r="B215" t="str">
        <f>IF(PNL!B215="","",PNL!B215)</f>
        <v/>
      </c>
      <c r="C215" t="str">
        <f>IF(PNL!C215="","",PNL!C215)</f>
        <v/>
      </c>
      <c r="D215" t="str">
        <f>IF(PNL!D215="","",PNL!D215)</f>
        <v/>
      </c>
      <c r="E215" t="str">
        <f t="shared" si="12"/>
        <v/>
      </c>
      <c r="F215" t="str">
        <f>IF($A215="","",IF($E215=1,SUMIFS(Compta!$F$1:$F$675,Compta!$A$1:$A$675,$A215,Compta!$B$1:$B$675,$B215,Compta!$C$1:$C$675,"2026"),0))</f>
        <v/>
      </c>
      <c r="G215" t="str">
        <f>IF($A215="","",IF($D215="V01",cad!$C$23,IF($D215="V02",cad!$D$23,cad!$E$23)))</f>
        <v/>
      </c>
      <c r="H215" t="str">
        <f>IF($A215="","",IF($D215="V01",cad!$C$24,IF($D215="V02",cad!$D$24,cad!$E$24)))</f>
        <v/>
      </c>
      <c r="I215" t="str">
        <f>IF($A215="","",IF($D215="V01",cad!$C$32,IF($D215="V02",cad!$D$32,cad!$E$32)))</f>
        <v/>
      </c>
      <c r="J215" t="str">
        <f>IF($A215="","",IF($D215="V01",cad!$C$33,IF($D215="V02",cad!$D$33,cad!$E$33)))</f>
        <v/>
      </c>
      <c r="K215" t="str">
        <f>IF($A215="","",IF($D215="V01",cad!$C$34,IF($D215="V02",cad!$D$34,cad!$E$34)))</f>
        <v/>
      </c>
      <c r="L215" t="str">
        <f>IF($A215="","",IF($D215="V01",cad!$C$35,IF($D215="V02",cad!$D$35,cad!$E$35)))</f>
        <v/>
      </c>
      <c r="M215" t="str">
        <f>IF($A215="","",IF($D215="V01",cad!$C$36,IF($D215="V02",cad!$D$36,cad!$E$36)))</f>
        <v/>
      </c>
      <c r="N215" t="str">
        <f t="shared" si="13"/>
        <v/>
      </c>
      <c r="O215" t="str">
        <f t="shared" si="14"/>
        <v/>
      </c>
      <c r="P215" t="str">
        <f>IF($A215="","",IF($E215=1,$F215*$O215,PNL!G215))</f>
        <v/>
      </c>
      <c r="T215" t="str">
        <f t="shared" si="15"/>
        <v/>
      </c>
    </row>
    <row r="216" spans="1:20" x14ac:dyDescent="0.45">
      <c r="A216" t="str">
        <f>IF(PNL!A216="","",PNL!A216)</f>
        <v/>
      </c>
      <c r="B216" t="str">
        <f>IF(PNL!B216="","",PNL!B216)</f>
        <v/>
      </c>
      <c r="C216" t="str">
        <f>IF(PNL!C216="","",PNL!C216)</f>
        <v/>
      </c>
      <c r="D216" t="str">
        <f>IF(PNL!D216="","",PNL!D216)</f>
        <v/>
      </c>
      <c r="E216" t="str">
        <f t="shared" si="12"/>
        <v/>
      </c>
      <c r="F216" t="str">
        <f>IF($A216="","",IF($E216=1,SUMIFS(Compta!$F$1:$F$675,Compta!$A$1:$A$675,$A216,Compta!$B$1:$B$675,$B216,Compta!$C$1:$C$675,"2026"),0))</f>
        <v/>
      </c>
      <c r="G216" t="str">
        <f>IF($A216="","",IF($D216="V01",cad!$C$23,IF($D216="V02",cad!$D$23,cad!$E$23)))</f>
        <v/>
      </c>
      <c r="H216" t="str">
        <f>IF($A216="","",IF($D216="V01",cad!$C$24,IF($D216="V02",cad!$D$24,cad!$E$24)))</f>
        <v/>
      </c>
      <c r="I216" t="str">
        <f>IF($A216="","",IF($D216="V01",cad!$C$32,IF($D216="V02",cad!$D$32,cad!$E$32)))</f>
        <v/>
      </c>
      <c r="J216" t="str">
        <f>IF($A216="","",IF($D216="V01",cad!$C$33,IF($D216="V02",cad!$D$33,cad!$E$33)))</f>
        <v/>
      </c>
      <c r="K216" t="str">
        <f>IF($A216="","",IF($D216="V01",cad!$C$34,IF($D216="V02",cad!$D$34,cad!$E$34)))</f>
        <v/>
      </c>
      <c r="L216" t="str">
        <f>IF($A216="","",IF($D216="V01",cad!$C$35,IF($D216="V02",cad!$D$35,cad!$E$35)))</f>
        <v/>
      </c>
      <c r="M216" t="str">
        <f>IF($A216="","",IF($D216="V01",cad!$C$36,IF($D216="V02",cad!$D$36,cad!$E$36)))</f>
        <v/>
      </c>
      <c r="N216" t="str">
        <f t="shared" si="13"/>
        <v/>
      </c>
      <c r="O216" t="str">
        <f t="shared" si="14"/>
        <v/>
      </c>
      <c r="P216" t="str">
        <f>IF($A216="","",IF($E216=1,$F216*$O216,PNL!G216))</f>
        <v/>
      </c>
      <c r="T216" t="str">
        <f t="shared" si="15"/>
        <v/>
      </c>
    </row>
    <row r="217" spans="1:20" x14ac:dyDescent="0.45">
      <c r="A217" t="str">
        <f>IF(PNL!A217="","",PNL!A217)</f>
        <v/>
      </c>
      <c r="B217" t="str">
        <f>IF(PNL!B217="","",PNL!B217)</f>
        <v/>
      </c>
      <c r="C217" t="str">
        <f>IF(PNL!C217="","",PNL!C217)</f>
        <v/>
      </c>
      <c r="D217" t="str">
        <f>IF(PNL!D217="","",PNL!D217)</f>
        <v/>
      </c>
      <c r="E217" t="str">
        <f t="shared" si="12"/>
        <v/>
      </c>
      <c r="F217" t="str">
        <f>IF($A217="","",IF($E217=1,SUMIFS(Compta!$F$1:$F$675,Compta!$A$1:$A$675,$A217,Compta!$B$1:$B$675,$B217,Compta!$C$1:$C$675,"2026"),0))</f>
        <v/>
      </c>
      <c r="G217" t="str">
        <f>IF($A217="","",IF($D217="V01",cad!$C$23,IF($D217="V02",cad!$D$23,cad!$E$23)))</f>
        <v/>
      </c>
      <c r="H217" t="str">
        <f>IF($A217="","",IF($D217="V01",cad!$C$24,IF($D217="V02",cad!$D$24,cad!$E$24)))</f>
        <v/>
      </c>
      <c r="I217" t="str">
        <f>IF($A217="","",IF($D217="V01",cad!$C$32,IF($D217="V02",cad!$D$32,cad!$E$32)))</f>
        <v/>
      </c>
      <c r="J217" t="str">
        <f>IF($A217="","",IF($D217="V01",cad!$C$33,IF($D217="V02",cad!$D$33,cad!$E$33)))</f>
        <v/>
      </c>
      <c r="K217" t="str">
        <f>IF($A217="","",IF($D217="V01",cad!$C$34,IF($D217="V02",cad!$D$34,cad!$E$34)))</f>
        <v/>
      </c>
      <c r="L217" t="str">
        <f>IF($A217="","",IF($D217="V01",cad!$C$35,IF($D217="V02",cad!$D$35,cad!$E$35)))</f>
        <v/>
      </c>
      <c r="M217" t="str">
        <f>IF($A217="","",IF($D217="V01",cad!$C$36,IF($D217="V02",cad!$D$36,cad!$E$36)))</f>
        <v/>
      </c>
      <c r="N217" t="str">
        <f t="shared" si="13"/>
        <v/>
      </c>
      <c r="O217" t="str">
        <f t="shared" si="14"/>
        <v/>
      </c>
      <c r="P217" t="str">
        <f>IF($A217="","",IF($E217=1,$F217*$O217,PNL!G217))</f>
        <v/>
      </c>
      <c r="T217" t="str">
        <f t="shared" si="15"/>
        <v/>
      </c>
    </row>
    <row r="218" spans="1:20" x14ac:dyDescent="0.45">
      <c r="A218" t="str">
        <f>IF(PNL!A218="","",PNL!A218)</f>
        <v/>
      </c>
      <c r="B218" t="str">
        <f>IF(PNL!B218="","",PNL!B218)</f>
        <v/>
      </c>
      <c r="C218" t="str">
        <f>IF(PNL!C218="","",PNL!C218)</f>
        <v/>
      </c>
      <c r="D218" t="str">
        <f>IF(PNL!D218="","",PNL!D218)</f>
        <v/>
      </c>
      <c r="E218" t="str">
        <f t="shared" si="12"/>
        <v/>
      </c>
      <c r="F218" t="str">
        <f>IF($A218="","",IF($E218=1,SUMIFS(Compta!$F$1:$F$675,Compta!$A$1:$A$675,$A218,Compta!$B$1:$B$675,$B218,Compta!$C$1:$C$675,"2026"),0))</f>
        <v/>
      </c>
      <c r="G218" t="str">
        <f>IF($A218="","",IF($D218="V01",cad!$C$23,IF($D218="V02",cad!$D$23,cad!$E$23)))</f>
        <v/>
      </c>
      <c r="H218" t="str">
        <f>IF($A218="","",IF($D218="V01",cad!$C$24,IF($D218="V02",cad!$D$24,cad!$E$24)))</f>
        <v/>
      </c>
      <c r="I218" t="str">
        <f>IF($A218="","",IF($D218="V01",cad!$C$32,IF($D218="V02",cad!$D$32,cad!$E$32)))</f>
        <v/>
      </c>
      <c r="J218" t="str">
        <f>IF($A218="","",IF($D218="V01",cad!$C$33,IF($D218="V02",cad!$D$33,cad!$E$33)))</f>
        <v/>
      </c>
      <c r="K218" t="str">
        <f>IF($A218="","",IF($D218="V01",cad!$C$34,IF($D218="V02",cad!$D$34,cad!$E$34)))</f>
        <v/>
      </c>
      <c r="L218" t="str">
        <f>IF($A218="","",IF($D218="V01",cad!$C$35,IF($D218="V02",cad!$D$35,cad!$E$35)))</f>
        <v/>
      </c>
      <c r="M218" t="str">
        <f>IF($A218="","",IF($D218="V01",cad!$C$36,IF($D218="V02",cad!$D$36,cad!$E$36)))</f>
        <v/>
      </c>
      <c r="N218" t="str">
        <f t="shared" si="13"/>
        <v/>
      </c>
      <c r="O218" t="str">
        <f t="shared" si="14"/>
        <v/>
      </c>
      <c r="P218" t="str">
        <f>IF($A218="","",IF($E218=1,$F218*$O218,PNL!G218))</f>
        <v/>
      </c>
      <c r="T218" t="str">
        <f t="shared" si="15"/>
        <v/>
      </c>
    </row>
    <row r="219" spans="1:20" x14ac:dyDescent="0.45">
      <c r="A219" t="str">
        <f>IF(PNL!A219="","",PNL!A219)</f>
        <v/>
      </c>
      <c r="B219" t="str">
        <f>IF(PNL!B219="","",PNL!B219)</f>
        <v/>
      </c>
      <c r="C219" t="str">
        <f>IF(PNL!C219="","",PNL!C219)</f>
        <v/>
      </c>
      <c r="D219" t="str">
        <f>IF(PNL!D219="","",PNL!D219)</f>
        <v/>
      </c>
      <c r="E219" t="str">
        <f t="shared" si="12"/>
        <v/>
      </c>
      <c r="F219" t="str">
        <f>IF($A219="","",IF($E219=1,SUMIFS(Compta!$F$1:$F$675,Compta!$A$1:$A$675,$A219,Compta!$B$1:$B$675,$B219,Compta!$C$1:$C$675,"2026"),0))</f>
        <v/>
      </c>
      <c r="G219" t="str">
        <f>IF($A219="","",IF($D219="V01",cad!$C$23,IF($D219="V02",cad!$D$23,cad!$E$23)))</f>
        <v/>
      </c>
      <c r="H219" t="str">
        <f>IF($A219="","",IF($D219="V01",cad!$C$24,IF($D219="V02",cad!$D$24,cad!$E$24)))</f>
        <v/>
      </c>
      <c r="I219" t="str">
        <f>IF($A219="","",IF($D219="V01",cad!$C$32,IF($D219="V02",cad!$D$32,cad!$E$32)))</f>
        <v/>
      </c>
      <c r="J219" t="str">
        <f>IF($A219="","",IF($D219="V01",cad!$C$33,IF($D219="V02",cad!$D$33,cad!$E$33)))</f>
        <v/>
      </c>
      <c r="K219" t="str">
        <f>IF($A219="","",IF($D219="V01",cad!$C$34,IF($D219="V02",cad!$D$34,cad!$E$34)))</f>
        <v/>
      </c>
      <c r="L219" t="str">
        <f>IF($A219="","",IF($D219="V01",cad!$C$35,IF($D219="V02",cad!$D$35,cad!$E$35)))</f>
        <v/>
      </c>
      <c r="M219" t="str">
        <f>IF($A219="","",IF($D219="V01",cad!$C$36,IF($D219="V02",cad!$D$36,cad!$E$36)))</f>
        <v/>
      </c>
      <c r="N219" t="str">
        <f t="shared" si="13"/>
        <v/>
      </c>
      <c r="O219" t="str">
        <f t="shared" si="14"/>
        <v/>
      </c>
      <c r="P219" t="str">
        <f>IF($A219="","",IF($E219=1,$F219*$O219,PNL!G219))</f>
        <v/>
      </c>
      <c r="T219" t="str">
        <f t="shared" si="15"/>
        <v/>
      </c>
    </row>
    <row r="220" spans="1:20" x14ac:dyDescent="0.45">
      <c r="A220" t="str">
        <f>IF(PNL!A220="","",PNL!A220)</f>
        <v/>
      </c>
      <c r="B220" t="str">
        <f>IF(PNL!B220="","",PNL!B220)</f>
        <v/>
      </c>
      <c r="C220" t="str">
        <f>IF(PNL!C220="","",PNL!C220)</f>
        <v/>
      </c>
      <c r="D220" t="str">
        <f>IF(PNL!D220="","",PNL!D220)</f>
        <v/>
      </c>
      <c r="E220" t="str">
        <f t="shared" si="12"/>
        <v/>
      </c>
      <c r="F220" t="str">
        <f>IF($A220="","",IF($E220=1,SUMIFS(Compta!$F$1:$F$675,Compta!$A$1:$A$675,$A220,Compta!$B$1:$B$675,$B220,Compta!$C$1:$C$675,"2026"),0))</f>
        <v/>
      </c>
      <c r="G220" t="str">
        <f>IF($A220="","",IF($D220="V01",cad!$C$23,IF($D220="V02",cad!$D$23,cad!$E$23)))</f>
        <v/>
      </c>
      <c r="H220" t="str">
        <f>IF($A220="","",IF($D220="V01",cad!$C$24,IF($D220="V02",cad!$D$24,cad!$E$24)))</f>
        <v/>
      </c>
      <c r="I220" t="str">
        <f>IF($A220="","",IF($D220="V01",cad!$C$32,IF($D220="V02",cad!$D$32,cad!$E$32)))</f>
        <v/>
      </c>
      <c r="J220" t="str">
        <f>IF($A220="","",IF($D220="V01",cad!$C$33,IF($D220="V02",cad!$D$33,cad!$E$33)))</f>
        <v/>
      </c>
      <c r="K220" t="str">
        <f>IF($A220="","",IF($D220="V01",cad!$C$34,IF($D220="V02",cad!$D$34,cad!$E$34)))</f>
        <v/>
      </c>
      <c r="L220" t="str">
        <f>IF($A220="","",IF($D220="V01",cad!$C$35,IF($D220="V02",cad!$D$35,cad!$E$35)))</f>
        <v/>
      </c>
      <c r="M220" t="str">
        <f>IF($A220="","",IF($D220="V01",cad!$C$36,IF($D220="V02",cad!$D$36,cad!$E$36)))</f>
        <v/>
      </c>
      <c r="N220" t="str">
        <f t="shared" si="13"/>
        <v/>
      </c>
      <c r="O220" t="str">
        <f t="shared" si="14"/>
        <v/>
      </c>
      <c r="P220" t="str">
        <f>IF($A220="","",IF($E220=1,$F220*$O220,PNL!G220))</f>
        <v/>
      </c>
      <c r="T220" t="str">
        <f t="shared" si="15"/>
        <v/>
      </c>
    </row>
    <row r="221" spans="1:20" x14ac:dyDescent="0.45">
      <c r="A221" t="str">
        <f>IF(PNL!A221="","",PNL!A221)</f>
        <v/>
      </c>
      <c r="B221" t="str">
        <f>IF(PNL!B221="","",PNL!B221)</f>
        <v/>
      </c>
      <c r="C221" t="str">
        <f>IF(PNL!C221="","",PNL!C221)</f>
        <v/>
      </c>
      <c r="D221" t="str">
        <f>IF(PNL!D221="","",PNL!D221)</f>
        <v/>
      </c>
      <c r="E221" t="str">
        <f t="shared" si="12"/>
        <v/>
      </c>
      <c r="F221" t="str">
        <f>IF($A221="","",IF($E221=1,SUMIFS(Compta!$F$1:$F$675,Compta!$A$1:$A$675,$A221,Compta!$B$1:$B$675,$B221,Compta!$C$1:$C$675,"2026"),0))</f>
        <v/>
      </c>
      <c r="G221" t="str">
        <f>IF($A221="","",IF($D221="V01",cad!$C$23,IF($D221="V02",cad!$D$23,cad!$E$23)))</f>
        <v/>
      </c>
      <c r="H221" t="str">
        <f>IF($A221="","",IF($D221="V01",cad!$C$24,IF($D221="V02",cad!$D$24,cad!$E$24)))</f>
        <v/>
      </c>
      <c r="I221" t="str">
        <f>IF($A221="","",IF($D221="V01",cad!$C$32,IF($D221="V02",cad!$D$32,cad!$E$32)))</f>
        <v/>
      </c>
      <c r="J221" t="str">
        <f>IF($A221="","",IF($D221="V01",cad!$C$33,IF($D221="V02",cad!$D$33,cad!$E$33)))</f>
        <v/>
      </c>
      <c r="K221" t="str">
        <f>IF($A221="","",IF($D221="V01",cad!$C$34,IF($D221="V02",cad!$D$34,cad!$E$34)))</f>
        <v/>
      </c>
      <c r="L221" t="str">
        <f>IF($A221="","",IF($D221="V01",cad!$C$35,IF($D221="V02",cad!$D$35,cad!$E$35)))</f>
        <v/>
      </c>
      <c r="M221" t="str">
        <f>IF($A221="","",IF($D221="V01",cad!$C$36,IF($D221="V02",cad!$D$36,cad!$E$36)))</f>
        <v/>
      </c>
      <c r="N221" t="str">
        <f t="shared" si="13"/>
        <v/>
      </c>
      <c r="O221" t="str">
        <f t="shared" si="14"/>
        <v/>
      </c>
      <c r="P221" t="str">
        <f>IF($A221="","",IF($E221=1,$F221*$O221,PNL!G221))</f>
        <v/>
      </c>
      <c r="T221" t="str">
        <f t="shared" si="15"/>
        <v/>
      </c>
    </row>
    <row r="222" spans="1:20" x14ac:dyDescent="0.45">
      <c r="A222" t="str">
        <f>IF(PNL!A222="","",PNL!A222)</f>
        <v/>
      </c>
      <c r="B222" t="str">
        <f>IF(PNL!B222="","",PNL!B222)</f>
        <v/>
      </c>
      <c r="C222" t="str">
        <f>IF(PNL!C222="","",PNL!C222)</f>
        <v/>
      </c>
      <c r="D222" t="str">
        <f>IF(PNL!D222="","",PNL!D222)</f>
        <v/>
      </c>
      <c r="E222" t="str">
        <f t="shared" si="12"/>
        <v/>
      </c>
      <c r="F222" t="str">
        <f>IF($A222="","",IF($E222=1,SUMIFS(Compta!$F$1:$F$675,Compta!$A$1:$A$675,$A222,Compta!$B$1:$B$675,$B222,Compta!$C$1:$C$675,"2026"),0))</f>
        <v/>
      </c>
      <c r="G222" t="str">
        <f>IF($A222="","",IF($D222="V01",cad!$C$23,IF($D222="V02",cad!$D$23,cad!$E$23)))</f>
        <v/>
      </c>
      <c r="H222" t="str">
        <f>IF($A222="","",IF($D222="V01",cad!$C$24,IF($D222="V02",cad!$D$24,cad!$E$24)))</f>
        <v/>
      </c>
      <c r="I222" t="str">
        <f>IF($A222="","",IF($D222="V01",cad!$C$32,IF($D222="V02",cad!$D$32,cad!$E$32)))</f>
        <v/>
      </c>
      <c r="J222" t="str">
        <f>IF($A222="","",IF($D222="V01",cad!$C$33,IF($D222="V02",cad!$D$33,cad!$E$33)))</f>
        <v/>
      </c>
      <c r="K222" t="str">
        <f>IF($A222="","",IF($D222="V01",cad!$C$34,IF($D222="V02",cad!$D$34,cad!$E$34)))</f>
        <v/>
      </c>
      <c r="L222" t="str">
        <f>IF($A222="","",IF($D222="V01",cad!$C$35,IF($D222="V02",cad!$D$35,cad!$E$35)))</f>
        <v/>
      </c>
      <c r="M222" t="str">
        <f>IF($A222="","",IF($D222="V01",cad!$C$36,IF($D222="V02",cad!$D$36,cad!$E$36)))</f>
        <v/>
      </c>
      <c r="N222" t="str">
        <f t="shared" si="13"/>
        <v/>
      </c>
      <c r="O222" t="str">
        <f t="shared" si="14"/>
        <v/>
      </c>
      <c r="P222" t="str">
        <f>IF($A222="","",IF($E222=1,$F222*$O222,PNL!G222))</f>
        <v/>
      </c>
      <c r="T222" t="str">
        <f t="shared" si="15"/>
        <v/>
      </c>
    </row>
    <row r="223" spans="1:20" x14ac:dyDescent="0.45">
      <c r="A223" t="str">
        <f>IF(PNL!A223="","",PNL!A223)</f>
        <v/>
      </c>
      <c r="B223" t="str">
        <f>IF(PNL!B223="","",PNL!B223)</f>
        <v/>
      </c>
      <c r="C223" t="str">
        <f>IF(PNL!C223="","",PNL!C223)</f>
        <v/>
      </c>
      <c r="D223" t="str">
        <f>IF(PNL!D223="","",PNL!D223)</f>
        <v/>
      </c>
      <c r="E223" t="str">
        <f t="shared" si="12"/>
        <v/>
      </c>
      <c r="F223" t="str">
        <f>IF($A223="","",IF($E223=1,SUMIFS(Compta!$F$1:$F$675,Compta!$A$1:$A$675,$A223,Compta!$B$1:$B$675,$B223,Compta!$C$1:$C$675,"2026"),0))</f>
        <v/>
      </c>
      <c r="G223" t="str">
        <f>IF($A223="","",IF($D223="V01",cad!$C$23,IF($D223="V02",cad!$D$23,cad!$E$23)))</f>
        <v/>
      </c>
      <c r="H223" t="str">
        <f>IF($A223="","",IF($D223="V01",cad!$C$24,IF($D223="V02",cad!$D$24,cad!$E$24)))</f>
        <v/>
      </c>
      <c r="I223" t="str">
        <f>IF($A223="","",IF($D223="V01",cad!$C$32,IF($D223="V02",cad!$D$32,cad!$E$32)))</f>
        <v/>
      </c>
      <c r="J223" t="str">
        <f>IF($A223="","",IF($D223="V01",cad!$C$33,IF($D223="V02",cad!$D$33,cad!$E$33)))</f>
        <v/>
      </c>
      <c r="K223" t="str">
        <f>IF($A223="","",IF($D223="V01",cad!$C$34,IF($D223="V02",cad!$D$34,cad!$E$34)))</f>
        <v/>
      </c>
      <c r="L223" t="str">
        <f>IF($A223="","",IF($D223="V01",cad!$C$35,IF($D223="V02",cad!$D$35,cad!$E$35)))</f>
        <v/>
      </c>
      <c r="M223" t="str">
        <f>IF($A223="","",IF($D223="V01",cad!$C$36,IF($D223="V02",cad!$D$36,cad!$E$36)))</f>
        <v/>
      </c>
      <c r="N223" t="str">
        <f t="shared" si="13"/>
        <v/>
      </c>
      <c r="O223" t="str">
        <f t="shared" si="14"/>
        <v/>
      </c>
      <c r="P223" t="str">
        <f>IF($A223="","",IF($E223=1,$F223*$O223,PNL!G223))</f>
        <v/>
      </c>
      <c r="T223" t="str">
        <f t="shared" si="15"/>
        <v/>
      </c>
    </row>
    <row r="224" spans="1:20" x14ac:dyDescent="0.45">
      <c r="A224" t="str">
        <f>IF(PNL!A224="","",PNL!A224)</f>
        <v/>
      </c>
      <c r="B224" t="str">
        <f>IF(PNL!B224="","",PNL!B224)</f>
        <v/>
      </c>
      <c r="C224" t="str">
        <f>IF(PNL!C224="","",PNL!C224)</f>
        <v/>
      </c>
      <c r="D224" t="str">
        <f>IF(PNL!D224="","",PNL!D224)</f>
        <v/>
      </c>
      <c r="E224" t="str">
        <f t="shared" si="12"/>
        <v/>
      </c>
      <c r="F224" t="str">
        <f>IF($A224="","",IF($E224=1,SUMIFS(Compta!$F$1:$F$675,Compta!$A$1:$A$675,$A224,Compta!$B$1:$B$675,$B224,Compta!$C$1:$C$675,"2026"),0))</f>
        <v/>
      </c>
      <c r="G224" t="str">
        <f>IF($A224="","",IF($D224="V01",cad!$C$23,IF($D224="V02",cad!$D$23,cad!$E$23)))</f>
        <v/>
      </c>
      <c r="H224" t="str">
        <f>IF($A224="","",IF($D224="V01",cad!$C$24,IF($D224="V02",cad!$D$24,cad!$E$24)))</f>
        <v/>
      </c>
      <c r="I224" t="str">
        <f>IF($A224="","",IF($D224="V01",cad!$C$32,IF($D224="V02",cad!$D$32,cad!$E$32)))</f>
        <v/>
      </c>
      <c r="J224" t="str">
        <f>IF($A224="","",IF($D224="V01",cad!$C$33,IF($D224="V02",cad!$D$33,cad!$E$33)))</f>
        <v/>
      </c>
      <c r="K224" t="str">
        <f>IF($A224="","",IF($D224="V01",cad!$C$34,IF($D224="V02",cad!$D$34,cad!$E$34)))</f>
        <v/>
      </c>
      <c r="L224" t="str">
        <f>IF($A224="","",IF($D224="V01",cad!$C$35,IF($D224="V02",cad!$D$35,cad!$E$35)))</f>
        <v/>
      </c>
      <c r="M224" t="str">
        <f>IF($A224="","",IF($D224="V01",cad!$C$36,IF($D224="V02",cad!$D$36,cad!$E$36)))</f>
        <v/>
      </c>
      <c r="N224" t="str">
        <f t="shared" si="13"/>
        <v/>
      </c>
      <c r="O224" t="str">
        <f t="shared" si="14"/>
        <v/>
      </c>
      <c r="P224" t="str">
        <f>IF($A224="","",IF($E224=1,$F224*$O224,PNL!G224))</f>
        <v/>
      </c>
      <c r="T224" t="str">
        <f t="shared" si="15"/>
        <v/>
      </c>
    </row>
    <row r="225" spans="1:20" x14ac:dyDescent="0.45">
      <c r="A225" t="str">
        <f>IF(PNL!A225="","",PNL!A225)</f>
        <v/>
      </c>
      <c r="B225" t="str">
        <f>IF(PNL!B225="","",PNL!B225)</f>
        <v/>
      </c>
      <c r="C225" t="str">
        <f>IF(PNL!C225="","",PNL!C225)</f>
        <v/>
      </c>
      <c r="D225" t="str">
        <f>IF(PNL!D225="","",PNL!D225)</f>
        <v/>
      </c>
      <c r="E225" t="str">
        <f t="shared" si="12"/>
        <v/>
      </c>
      <c r="F225" t="str">
        <f>IF($A225="","",IF($E225=1,SUMIFS(Compta!$F$1:$F$675,Compta!$A$1:$A$675,$A225,Compta!$B$1:$B$675,$B225,Compta!$C$1:$C$675,"2026"),0))</f>
        <v/>
      </c>
      <c r="G225" t="str">
        <f>IF($A225="","",IF($D225="V01",cad!$C$23,IF($D225="V02",cad!$D$23,cad!$E$23)))</f>
        <v/>
      </c>
      <c r="H225" t="str">
        <f>IF($A225="","",IF($D225="V01",cad!$C$24,IF($D225="V02",cad!$D$24,cad!$E$24)))</f>
        <v/>
      </c>
      <c r="I225" t="str">
        <f>IF($A225="","",IF($D225="V01",cad!$C$32,IF($D225="V02",cad!$D$32,cad!$E$32)))</f>
        <v/>
      </c>
      <c r="J225" t="str">
        <f>IF($A225="","",IF($D225="V01",cad!$C$33,IF($D225="V02",cad!$D$33,cad!$E$33)))</f>
        <v/>
      </c>
      <c r="K225" t="str">
        <f>IF($A225="","",IF($D225="V01",cad!$C$34,IF($D225="V02",cad!$D$34,cad!$E$34)))</f>
        <v/>
      </c>
      <c r="L225" t="str">
        <f>IF($A225="","",IF($D225="V01",cad!$C$35,IF($D225="V02",cad!$D$35,cad!$E$35)))</f>
        <v/>
      </c>
      <c r="M225" t="str">
        <f>IF($A225="","",IF($D225="V01",cad!$C$36,IF($D225="V02",cad!$D$36,cad!$E$36)))</f>
        <v/>
      </c>
      <c r="N225" t="str">
        <f t="shared" si="13"/>
        <v/>
      </c>
      <c r="O225" t="str">
        <f t="shared" si="14"/>
        <v/>
      </c>
      <c r="P225" t="str">
        <f>IF($A225="","",IF($E225=1,$F225*$O225,PNL!G225))</f>
        <v/>
      </c>
      <c r="T225" t="str">
        <f t="shared" si="15"/>
        <v/>
      </c>
    </row>
    <row r="226" spans="1:20" x14ac:dyDescent="0.45">
      <c r="A226" t="str">
        <f>IF(PNL!A226="","",PNL!A226)</f>
        <v/>
      </c>
      <c r="B226" t="str">
        <f>IF(PNL!B226="","",PNL!B226)</f>
        <v/>
      </c>
      <c r="C226" t="str">
        <f>IF(PNL!C226="","",PNL!C226)</f>
        <v/>
      </c>
      <c r="D226" t="str">
        <f>IF(PNL!D226="","",PNL!D226)</f>
        <v/>
      </c>
      <c r="E226" t="str">
        <f t="shared" si="12"/>
        <v/>
      </c>
      <c r="F226" t="str">
        <f>IF($A226="","",IF($E226=1,SUMIFS(Compta!$F$1:$F$675,Compta!$A$1:$A$675,$A226,Compta!$B$1:$B$675,$B226,Compta!$C$1:$C$675,"2026"),0))</f>
        <v/>
      </c>
      <c r="G226" t="str">
        <f>IF($A226="","",IF($D226="V01",cad!$C$23,IF($D226="V02",cad!$D$23,cad!$E$23)))</f>
        <v/>
      </c>
      <c r="H226" t="str">
        <f>IF($A226="","",IF($D226="V01",cad!$C$24,IF($D226="V02",cad!$D$24,cad!$E$24)))</f>
        <v/>
      </c>
      <c r="I226" t="str">
        <f>IF($A226="","",IF($D226="V01",cad!$C$32,IF($D226="V02",cad!$D$32,cad!$E$32)))</f>
        <v/>
      </c>
      <c r="J226" t="str">
        <f>IF($A226="","",IF($D226="V01",cad!$C$33,IF($D226="V02",cad!$D$33,cad!$E$33)))</f>
        <v/>
      </c>
      <c r="K226" t="str">
        <f>IF($A226="","",IF($D226="V01",cad!$C$34,IF($D226="V02",cad!$D$34,cad!$E$34)))</f>
        <v/>
      </c>
      <c r="L226" t="str">
        <f>IF($A226="","",IF($D226="V01",cad!$C$35,IF($D226="V02",cad!$D$35,cad!$E$35)))</f>
        <v/>
      </c>
      <c r="M226" t="str">
        <f>IF($A226="","",IF($D226="V01",cad!$C$36,IF($D226="V02",cad!$D$36,cad!$E$36)))</f>
        <v/>
      </c>
      <c r="N226" t="str">
        <f t="shared" si="13"/>
        <v/>
      </c>
      <c r="O226" t="str">
        <f t="shared" si="14"/>
        <v/>
      </c>
      <c r="P226" t="str">
        <f>IF($A226="","",IF($E226=1,$F226*$O226,PNL!G226))</f>
        <v/>
      </c>
      <c r="T226" t="str">
        <f t="shared" si="15"/>
        <v/>
      </c>
    </row>
    <row r="227" spans="1:20" x14ac:dyDescent="0.45">
      <c r="A227" t="str">
        <f>IF(PNL!A227="","",PNL!A227)</f>
        <v/>
      </c>
      <c r="B227" t="str">
        <f>IF(PNL!B227="","",PNL!B227)</f>
        <v/>
      </c>
      <c r="C227" t="str">
        <f>IF(PNL!C227="","",PNL!C227)</f>
        <v/>
      </c>
      <c r="D227" t="str">
        <f>IF(PNL!D227="","",PNL!D227)</f>
        <v/>
      </c>
      <c r="E227" t="str">
        <f t="shared" si="12"/>
        <v/>
      </c>
      <c r="F227" t="str">
        <f>IF($A227="","",IF($E227=1,SUMIFS(Compta!$F$1:$F$675,Compta!$A$1:$A$675,$A227,Compta!$B$1:$B$675,$B227,Compta!$C$1:$C$675,"2026"),0))</f>
        <v/>
      </c>
      <c r="G227" t="str">
        <f>IF($A227="","",IF($D227="V01",cad!$C$23,IF($D227="V02",cad!$D$23,cad!$E$23)))</f>
        <v/>
      </c>
      <c r="H227" t="str">
        <f>IF($A227="","",IF($D227="V01",cad!$C$24,IF($D227="V02",cad!$D$24,cad!$E$24)))</f>
        <v/>
      </c>
      <c r="I227" t="str">
        <f>IF($A227="","",IF($D227="V01",cad!$C$32,IF($D227="V02",cad!$D$32,cad!$E$32)))</f>
        <v/>
      </c>
      <c r="J227" t="str">
        <f>IF($A227="","",IF($D227="V01",cad!$C$33,IF($D227="V02",cad!$D$33,cad!$E$33)))</f>
        <v/>
      </c>
      <c r="K227" t="str">
        <f>IF($A227="","",IF($D227="V01",cad!$C$34,IF($D227="V02",cad!$D$34,cad!$E$34)))</f>
        <v/>
      </c>
      <c r="L227" t="str">
        <f>IF($A227="","",IF($D227="V01",cad!$C$35,IF($D227="V02",cad!$D$35,cad!$E$35)))</f>
        <v/>
      </c>
      <c r="M227" t="str">
        <f>IF($A227="","",IF($D227="V01",cad!$C$36,IF($D227="V02",cad!$D$36,cad!$E$36)))</f>
        <v/>
      </c>
      <c r="N227" t="str">
        <f t="shared" si="13"/>
        <v/>
      </c>
      <c r="O227" t="str">
        <f t="shared" si="14"/>
        <v/>
      </c>
      <c r="P227" t="str">
        <f>IF($A227="","",IF($E227=1,$F227*$O227,PNL!G227))</f>
        <v/>
      </c>
      <c r="T227" t="str">
        <f t="shared" si="15"/>
        <v/>
      </c>
    </row>
    <row r="228" spans="1:20" x14ac:dyDescent="0.45">
      <c r="A228" t="str">
        <f>IF(PNL!A228="","",PNL!A228)</f>
        <v/>
      </c>
      <c r="B228" t="str">
        <f>IF(PNL!B228="","",PNL!B228)</f>
        <v/>
      </c>
      <c r="C228" t="str">
        <f>IF(PNL!C228="","",PNL!C228)</f>
        <v/>
      </c>
      <c r="D228" t="str">
        <f>IF(PNL!D228="","",PNL!D228)</f>
        <v/>
      </c>
      <c r="E228" t="str">
        <f t="shared" si="12"/>
        <v/>
      </c>
      <c r="F228" t="str">
        <f>IF($A228="","",IF($E228=1,SUMIFS(Compta!$F$1:$F$675,Compta!$A$1:$A$675,$A228,Compta!$B$1:$B$675,$B228,Compta!$C$1:$C$675,"2026"),0))</f>
        <v/>
      </c>
      <c r="G228" t="str">
        <f>IF($A228="","",IF($D228="V01",cad!$C$23,IF($D228="V02",cad!$D$23,cad!$E$23)))</f>
        <v/>
      </c>
      <c r="H228" t="str">
        <f>IF($A228="","",IF($D228="V01",cad!$C$24,IF($D228="V02",cad!$D$24,cad!$E$24)))</f>
        <v/>
      </c>
      <c r="I228" t="str">
        <f>IF($A228="","",IF($D228="V01",cad!$C$32,IF($D228="V02",cad!$D$32,cad!$E$32)))</f>
        <v/>
      </c>
      <c r="J228" t="str">
        <f>IF($A228="","",IF($D228="V01",cad!$C$33,IF($D228="V02",cad!$D$33,cad!$E$33)))</f>
        <v/>
      </c>
      <c r="K228" t="str">
        <f>IF($A228="","",IF($D228="V01",cad!$C$34,IF($D228="V02",cad!$D$34,cad!$E$34)))</f>
        <v/>
      </c>
      <c r="L228" t="str">
        <f>IF($A228="","",IF($D228="V01",cad!$C$35,IF($D228="V02",cad!$D$35,cad!$E$35)))</f>
        <v/>
      </c>
      <c r="M228" t="str">
        <f>IF($A228="","",IF($D228="V01",cad!$C$36,IF($D228="V02",cad!$D$36,cad!$E$36)))</f>
        <v/>
      </c>
      <c r="N228" t="str">
        <f t="shared" si="13"/>
        <v/>
      </c>
      <c r="O228" t="str">
        <f t="shared" si="14"/>
        <v/>
      </c>
      <c r="P228" t="str">
        <f>IF($A228="","",IF($E228=1,$F228*$O228,PNL!G228))</f>
        <v/>
      </c>
      <c r="T228" t="str">
        <f t="shared" si="15"/>
        <v/>
      </c>
    </row>
    <row r="229" spans="1:20" x14ac:dyDescent="0.45">
      <c r="A229" t="str">
        <f>IF(PNL!A229="","",PNL!A229)</f>
        <v/>
      </c>
      <c r="B229" t="str">
        <f>IF(PNL!B229="","",PNL!B229)</f>
        <v/>
      </c>
      <c r="C229" t="str">
        <f>IF(PNL!C229="","",PNL!C229)</f>
        <v/>
      </c>
      <c r="D229" t="str">
        <f>IF(PNL!D229="","",PNL!D229)</f>
        <v/>
      </c>
      <c r="E229" t="str">
        <f t="shared" si="12"/>
        <v/>
      </c>
      <c r="F229" t="str">
        <f>IF($A229="","",IF($E229=1,SUMIFS(Compta!$F$1:$F$675,Compta!$A$1:$A$675,$A229,Compta!$B$1:$B$675,$B229,Compta!$C$1:$C$675,"2026"),0))</f>
        <v/>
      </c>
      <c r="G229" t="str">
        <f>IF($A229="","",IF($D229="V01",cad!$C$23,IF($D229="V02",cad!$D$23,cad!$E$23)))</f>
        <v/>
      </c>
      <c r="H229" t="str">
        <f>IF($A229="","",IF($D229="V01",cad!$C$24,IF($D229="V02",cad!$D$24,cad!$E$24)))</f>
        <v/>
      </c>
      <c r="I229" t="str">
        <f>IF($A229="","",IF($D229="V01",cad!$C$32,IF($D229="V02",cad!$D$32,cad!$E$32)))</f>
        <v/>
      </c>
      <c r="J229" t="str">
        <f>IF($A229="","",IF($D229="V01",cad!$C$33,IF($D229="V02",cad!$D$33,cad!$E$33)))</f>
        <v/>
      </c>
      <c r="K229" t="str">
        <f>IF($A229="","",IF($D229="V01",cad!$C$34,IF($D229="V02",cad!$D$34,cad!$E$34)))</f>
        <v/>
      </c>
      <c r="L229" t="str">
        <f>IF($A229="","",IF($D229="V01",cad!$C$35,IF($D229="V02",cad!$D$35,cad!$E$35)))</f>
        <v/>
      </c>
      <c r="M229" t="str">
        <f>IF($A229="","",IF($D229="V01",cad!$C$36,IF($D229="V02",cad!$D$36,cad!$E$36)))</f>
        <v/>
      </c>
      <c r="N229" t="str">
        <f t="shared" si="13"/>
        <v/>
      </c>
      <c r="O229" t="str">
        <f t="shared" si="14"/>
        <v/>
      </c>
      <c r="P229" t="str">
        <f>IF($A229="","",IF($E229=1,$F229*$O229,PNL!G229))</f>
        <v/>
      </c>
      <c r="T229" t="str">
        <f t="shared" si="15"/>
        <v/>
      </c>
    </row>
    <row r="230" spans="1:20" x14ac:dyDescent="0.45">
      <c r="A230" t="str">
        <f>IF(PNL!A230="","",PNL!A230)</f>
        <v/>
      </c>
      <c r="B230" t="str">
        <f>IF(PNL!B230="","",PNL!B230)</f>
        <v/>
      </c>
      <c r="C230" t="str">
        <f>IF(PNL!C230="","",PNL!C230)</f>
        <v/>
      </c>
      <c r="D230" t="str">
        <f>IF(PNL!D230="","",PNL!D230)</f>
        <v/>
      </c>
      <c r="E230" t="str">
        <f t="shared" si="12"/>
        <v/>
      </c>
      <c r="F230" t="str">
        <f>IF($A230="","",IF($E230=1,SUMIFS(Compta!$F$1:$F$675,Compta!$A$1:$A$675,$A230,Compta!$B$1:$B$675,$B230,Compta!$C$1:$C$675,"2026"),0))</f>
        <v/>
      </c>
      <c r="G230" t="str">
        <f>IF($A230="","",IF($D230="V01",cad!$C$23,IF($D230="V02",cad!$D$23,cad!$E$23)))</f>
        <v/>
      </c>
      <c r="H230" t="str">
        <f>IF($A230="","",IF($D230="V01",cad!$C$24,IF($D230="V02",cad!$D$24,cad!$E$24)))</f>
        <v/>
      </c>
      <c r="I230" t="str">
        <f>IF($A230="","",IF($D230="V01",cad!$C$32,IF($D230="V02",cad!$D$32,cad!$E$32)))</f>
        <v/>
      </c>
      <c r="J230" t="str">
        <f>IF($A230="","",IF($D230="V01",cad!$C$33,IF($D230="V02",cad!$D$33,cad!$E$33)))</f>
        <v/>
      </c>
      <c r="K230" t="str">
        <f>IF($A230="","",IF($D230="V01",cad!$C$34,IF($D230="V02",cad!$D$34,cad!$E$34)))</f>
        <v/>
      </c>
      <c r="L230" t="str">
        <f>IF($A230="","",IF($D230="V01",cad!$C$35,IF($D230="V02",cad!$D$35,cad!$E$35)))</f>
        <v/>
      </c>
      <c r="M230" t="str">
        <f>IF($A230="","",IF($D230="V01",cad!$C$36,IF($D230="V02",cad!$D$36,cad!$E$36)))</f>
        <v/>
      </c>
      <c r="N230" t="str">
        <f t="shared" si="13"/>
        <v/>
      </c>
      <c r="O230" t="str">
        <f t="shared" si="14"/>
        <v/>
      </c>
      <c r="P230" t="str">
        <f>IF($A230="","",IF($E230=1,$F230*$O230,PNL!G230))</f>
        <v/>
      </c>
      <c r="T230" t="str">
        <f t="shared" si="15"/>
        <v/>
      </c>
    </row>
    <row r="231" spans="1:20" x14ac:dyDescent="0.45">
      <c r="A231" t="str">
        <f>IF(PNL!A231="","",PNL!A231)</f>
        <v/>
      </c>
      <c r="B231" t="str">
        <f>IF(PNL!B231="","",PNL!B231)</f>
        <v/>
      </c>
      <c r="C231" t="str">
        <f>IF(PNL!C231="","",PNL!C231)</f>
        <v/>
      </c>
      <c r="D231" t="str">
        <f>IF(PNL!D231="","",PNL!D231)</f>
        <v/>
      </c>
      <c r="E231" t="str">
        <f t="shared" si="12"/>
        <v/>
      </c>
      <c r="F231" t="str">
        <f>IF($A231="","",IF($E231=1,SUMIFS(Compta!$F$1:$F$675,Compta!$A$1:$A$675,$A231,Compta!$B$1:$B$675,$B231,Compta!$C$1:$C$675,"2026"),0))</f>
        <v/>
      </c>
      <c r="G231" t="str">
        <f>IF($A231="","",IF($D231="V01",cad!$C$23,IF($D231="V02",cad!$D$23,cad!$E$23)))</f>
        <v/>
      </c>
      <c r="H231" t="str">
        <f>IF($A231="","",IF($D231="V01",cad!$C$24,IF($D231="V02",cad!$D$24,cad!$E$24)))</f>
        <v/>
      </c>
      <c r="I231" t="str">
        <f>IF($A231="","",IF($D231="V01",cad!$C$32,IF($D231="V02",cad!$D$32,cad!$E$32)))</f>
        <v/>
      </c>
      <c r="J231" t="str">
        <f>IF($A231="","",IF($D231="V01",cad!$C$33,IF($D231="V02",cad!$D$33,cad!$E$33)))</f>
        <v/>
      </c>
      <c r="K231" t="str">
        <f>IF($A231="","",IF($D231="V01",cad!$C$34,IF($D231="V02",cad!$D$34,cad!$E$34)))</f>
        <v/>
      </c>
      <c r="L231" t="str">
        <f>IF($A231="","",IF($D231="V01",cad!$C$35,IF($D231="V02",cad!$D$35,cad!$E$35)))</f>
        <v/>
      </c>
      <c r="M231" t="str">
        <f>IF($A231="","",IF($D231="V01",cad!$C$36,IF($D231="V02",cad!$D$36,cad!$E$36)))</f>
        <v/>
      </c>
      <c r="N231" t="str">
        <f t="shared" si="13"/>
        <v/>
      </c>
      <c r="O231" t="str">
        <f t="shared" si="14"/>
        <v/>
      </c>
      <c r="P231" t="str">
        <f>IF($A231="","",IF($E231=1,$F231*$O231,PNL!G231))</f>
        <v/>
      </c>
      <c r="T231" t="str">
        <f t="shared" si="15"/>
        <v/>
      </c>
    </row>
    <row r="232" spans="1:20" x14ac:dyDescent="0.45">
      <c r="A232" t="str">
        <f>IF(PNL!A232="","",PNL!A232)</f>
        <v/>
      </c>
      <c r="B232" t="str">
        <f>IF(PNL!B232="","",PNL!B232)</f>
        <v/>
      </c>
      <c r="C232" t="str">
        <f>IF(PNL!C232="","",PNL!C232)</f>
        <v/>
      </c>
      <c r="D232" t="str">
        <f>IF(PNL!D232="","",PNL!D232)</f>
        <v/>
      </c>
      <c r="E232" t="str">
        <f t="shared" si="12"/>
        <v/>
      </c>
      <c r="F232" t="str">
        <f>IF($A232="","",IF($E232=1,SUMIFS(Compta!$F$1:$F$675,Compta!$A$1:$A$675,$A232,Compta!$B$1:$B$675,$B232,Compta!$C$1:$C$675,"2026"),0))</f>
        <v/>
      </c>
      <c r="G232" t="str">
        <f>IF($A232="","",IF($D232="V01",cad!$C$23,IF($D232="V02",cad!$D$23,cad!$E$23)))</f>
        <v/>
      </c>
      <c r="H232" t="str">
        <f>IF($A232="","",IF($D232="V01",cad!$C$24,IF($D232="V02",cad!$D$24,cad!$E$24)))</f>
        <v/>
      </c>
      <c r="I232" t="str">
        <f>IF($A232="","",IF($D232="V01",cad!$C$32,IF($D232="V02",cad!$D$32,cad!$E$32)))</f>
        <v/>
      </c>
      <c r="J232" t="str">
        <f>IF($A232="","",IF($D232="V01",cad!$C$33,IF($D232="V02",cad!$D$33,cad!$E$33)))</f>
        <v/>
      </c>
      <c r="K232" t="str">
        <f>IF($A232="","",IF($D232="V01",cad!$C$34,IF($D232="V02",cad!$D$34,cad!$E$34)))</f>
        <v/>
      </c>
      <c r="L232" t="str">
        <f>IF($A232="","",IF($D232="V01",cad!$C$35,IF($D232="V02",cad!$D$35,cad!$E$35)))</f>
        <v/>
      </c>
      <c r="M232" t="str">
        <f>IF($A232="","",IF($D232="V01",cad!$C$36,IF($D232="V02",cad!$D$36,cad!$E$36)))</f>
        <v/>
      </c>
      <c r="N232" t="str">
        <f t="shared" si="13"/>
        <v/>
      </c>
      <c r="O232" t="str">
        <f t="shared" si="14"/>
        <v/>
      </c>
      <c r="P232" t="str">
        <f>IF($A232="","",IF($E232=1,$F232*$O232,PNL!G232))</f>
        <v/>
      </c>
      <c r="T232" t="str">
        <f t="shared" si="15"/>
        <v/>
      </c>
    </row>
    <row r="233" spans="1:20" x14ac:dyDescent="0.45">
      <c r="A233" t="str">
        <f>IF(PNL!A233="","",PNL!A233)</f>
        <v/>
      </c>
      <c r="B233" t="str">
        <f>IF(PNL!B233="","",PNL!B233)</f>
        <v/>
      </c>
      <c r="C233" t="str">
        <f>IF(PNL!C233="","",PNL!C233)</f>
        <v/>
      </c>
      <c r="D233" t="str">
        <f>IF(PNL!D233="","",PNL!D233)</f>
        <v/>
      </c>
      <c r="E233" t="str">
        <f t="shared" si="12"/>
        <v/>
      </c>
      <c r="F233" t="str">
        <f>IF($A233="","",IF($E233=1,SUMIFS(Compta!$F$1:$F$675,Compta!$A$1:$A$675,$A233,Compta!$B$1:$B$675,$B233,Compta!$C$1:$C$675,"2026"),0))</f>
        <v/>
      </c>
      <c r="G233" t="str">
        <f>IF($A233="","",IF($D233="V01",cad!$C$23,IF($D233="V02",cad!$D$23,cad!$E$23)))</f>
        <v/>
      </c>
      <c r="H233" t="str">
        <f>IF($A233="","",IF($D233="V01",cad!$C$24,IF($D233="V02",cad!$D$24,cad!$E$24)))</f>
        <v/>
      </c>
      <c r="I233" t="str">
        <f>IF($A233="","",IF($D233="V01",cad!$C$32,IF($D233="V02",cad!$D$32,cad!$E$32)))</f>
        <v/>
      </c>
      <c r="J233" t="str">
        <f>IF($A233="","",IF($D233="V01",cad!$C$33,IF($D233="V02",cad!$D$33,cad!$E$33)))</f>
        <v/>
      </c>
      <c r="K233" t="str">
        <f>IF($A233="","",IF($D233="V01",cad!$C$34,IF($D233="V02",cad!$D$34,cad!$E$34)))</f>
        <v/>
      </c>
      <c r="L233" t="str">
        <f>IF($A233="","",IF($D233="V01",cad!$C$35,IF($D233="V02",cad!$D$35,cad!$E$35)))</f>
        <v/>
      </c>
      <c r="M233" t="str">
        <f>IF($A233="","",IF($D233="V01",cad!$C$36,IF($D233="V02",cad!$D$36,cad!$E$36)))</f>
        <v/>
      </c>
      <c r="N233" t="str">
        <f t="shared" si="13"/>
        <v/>
      </c>
      <c r="O233" t="str">
        <f t="shared" si="14"/>
        <v/>
      </c>
      <c r="P233" t="str">
        <f>IF($A233="","",IF($E233=1,$F233*$O233,PNL!G233))</f>
        <v/>
      </c>
      <c r="T233" t="str">
        <f t="shared" si="15"/>
        <v/>
      </c>
    </row>
    <row r="234" spans="1:20" x14ac:dyDescent="0.45">
      <c r="A234" t="str">
        <f>IF(PNL!A234="","",PNL!A234)</f>
        <v/>
      </c>
      <c r="B234" t="str">
        <f>IF(PNL!B234="","",PNL!B234)</f>
        <v/>
      </c>
      <c r="C234" t="str">
        <f>IF(PNL!C234="","",PNL!C234)</f>
        <v/>
      </c>
      <c r="D234" t="str">
        <f>IF(PNL!D234="","",PNL!D234)</f>
        <v/>
      </c>
      <c r="E234" t="str">
        <f t="shared" si="12"/>
        <v/>
      </c>
      <c r="F234" t="str">
        <f>IF($A234="","",IF($E234=1,SUMIFS(Compta!$F$1:$F$675,Compta!$A$1:$A$675,$A234,Compta!$B$1:$B$675,$B234,Compta!$C$1:$C$675,"2026"),0))</f>
        <v/>
      </c>
      <c r="G234" t="str">
        <f>IF($A234="","",IF($D234="V01",cad!$C$23,IF($D234="V02",cad!$D$23,cad!$E$23)))</f>
        <v/>
      </c>
      <c r="H234" t="str">
        <f>IF($A234="","",IF($D234="V01",cad!$C$24,IF($D234="V02",cad!$D$24,cad!$E$24)))</f>
        <v/>
      </c>
      <c r="I234" t="str">
        <f>IF($A234="","",IF($D234="V01",cad!$C$32,IF($D234="V02",cad!$D$32,cad!$E$32)))</f>
        <v/>
      </c>
      <c r="J234" t="str">
        <f>IF($A234="","",IF($D234="V01",cad!$C$33,IF($D234="V02",cad!$D$33,cad!$E$33)))</f>
        <v/>
      </c>
      <c r="K234" t="str">
        <f>IF($A234="","",IF($D234="V01",cad!$C$34,IF($D234="V02",cad!$D$34,cad!$E$34)))</f>
        <v/>
      </c>
      <c r="L234" t="str">
        <f>IF($A234="","",IF($D234="V01",cad!$C$35,IF($D234="V02",cad!$D$35,cad!$E$35)))</f>
        <v/>
      </c>
      <c r="M234" t="str">
        <f>IF($A234="","",IF($D234="V01",cad!$C$36,IF($D234="V02",cad!$D$36,cad!$E$36)))</f>
        <v/>
      </c>
      <c r="N234" t="str">
        <f t="shared" si="13"/>
        <v/>
      </c>
      <c r="O234" t="str">
        <f t="shared" si="14"/>
        <v/>
      </c>
      <c r="P234" t="str">
        <f>IF($A234="","",IF($E234=1,$F234*$O234,PNL!G234))</f>
        <v/>
      </c>
      <c r="T234" t="str">
        <f t="shared" si="15"/>
        <v/>
      </c>
    </row>
    <row r="235" spans="1:20" x14ac:dyDescent="0.45">
      <c r="A235" t="str">
        <f>IF(PNL!A235="","",PNL!A235)</f>
        <v/>
      </c>
      <c r="B235" t="str">
        <f>IF(PNL!B235="","",PNL!B235)</f>
        <v/>
      </c>
      <c r="C235" t="str">
        <f>IF(PNL!C235="","",PNL!C235)</f>
        <v/>
      </c>
      <c r="D235" t="str">
        <f>IF(PNL!D235="","",PNL!D235)</f>
        <v/>
      </c>
      <c r="E235" t="str">
        <f t="shared" si="12"/>
        <v/>
      </c>
      <c r="F235" t="str">
        <f>IF($A235="","",IF($E235=1,SUMIFS(Compta!$F$1:$F$675,Compta!$A$1:$A$675,$A235,Compta!$B$1:$B$675,$B235,Compta!$C$1:$C$675,"2026"),0))</f>
        <v/>
      </c>
      <c r="G235" t="str">
        <f>IF($A235="","",IF($D235="V01",cad!$C$23,IF($D235="V02",cad!$D$23,cad!$E$23)))</f>
        <v/>
      </c>
      <c r="H235" t="str">
        <f>IF($A235="","",IF($D235="V01",cad!$C$24,IF($D235="V02",cad!$D$24,cad!$E$24)))</f>
        <v/>
      </c>
      <c r="I235" t="str">
        <f>IF($A235="","",IF($D235="V01",cad!$C$32,IF($D235="V02",cad!$D$32,cad!$E$32)))</f>
        <v/>
      </c>
      <c r="J235" t="str">
        <f>IF($A235="","",IF($D235="V01",cad!$C$33,IF($D235="V02",cad!$D$33,cad!$E$33)))</f>
        <v/>
      </c>
      <c r="K235" t="str">
        <f>IF($A235="","",IF($D235="V01",cad!$C$34,IF($D235="V02",cad!$D$34,cad!$E$34)))</f>
        <v/>
      </c>
      <c r="L235" t="str">
        <f>IF($A235="","",IF($D235="V01",cad!$C$35,IF($D235="V02",cad!$D$35,cad!$E$35)))</f>
        <v/>
      </c>
      <c r="M235" t="str">
        <f>IF($A235="","",IF($D235="V01",cad!$C$36,IF($D235="V02",cad!$D$36,cad!$E$36)))</f>
        <v/>
      </c>
      <c r="N235" t="str">
        <f t="shared" si="13"/>
        <v/>
      </c>
      <c r="O235" t="str">
        <f t="shared" si="14"/>
        <v/>
      </c>
      <c r="P235" t="str">
        <f>IF($A235="","",IF($E235=1,$F235*$O235,PNL!G235))</f>
        <v/>
      </c>
      <c r="T235" t="str">
        <f t="shared" si="15"/>
        <v/>
      </c>
    </row>
    <row r="236" spans="1:20" x14ac:dyDescent="0.45">
      <c r="A236" t="str">
        <f>IF(PNL!A236="","",PNL!A236)</f>
        <v/>
      </c>
      <c r="B236" t="str">
        <f>IF(PNL!B236="","",PNL!B236)</f>
        <v/>
      </c>
      <c r="C236" t="str">
        <f>IF(PNL!C236="","",PNL!C236)</f>
        <v/>
      </c>
      <c r="D236" t="str">
        <f>IF(PNL!D236="","",PNL!D236)</f>
        <v/>
      </c>
      <c r="E236" t="str">
        <f t="shared" si="12"/>
        <v/>
      </c>
      <c r="F236" t="str">
        <f>IF($A236="","",IF($E236=1,SUMIFS(Compta!$F$1:$F$675,Compta!$A$1:$A$675,$A236,Compta!$B$1:$B$675,$B236,Compta!$C$1:$C$675,"2026"),0))</f>
        <v/>
      </c>
      <c r="G236" t="str">
        <f>IF($A236="","",IF($D236="V01",cad!$C$23,IF($D236="V02",cad!$D$23,cad!$E$23)))</f>
        <v/>
      </c>
      <c r="H236" t="str">
        <f>IF($A236="","",IF($D236="V01",cad!$C$24,IF($D236="V02",cad!$D$24,cad!$E$24)))</f>
        <v/>
      </c>
      <c r="I236" t="str">
        <f>IF($A236="","",IF($D236="V01",cad!$C$32,IF($D236="V02",cad!$D$32,cad!$E$32)))</f>
        <v/>
      </c>
      <c r="J236" t="str">
        <f>IF($A236="","",IF($D236="V01",cad!$C$33,IF($D236="V02",cad!$D$33,cad!$E$33)))</f>
        <v/>
      </c>
      <c r="K236" t="str">
        <f>IF($A236="","",IF($D236="V01",cad!$C$34,IF($D236="V02",cad!$D$34,cad!$E$34)))</f>
        <v/>
      </c>
      <c r="L236" t="str">
        <f>IF($A236="","",IF($D236="V01",cad!$C$35,IF($D236="V02",cad!$D$35,cad!$E$35)))</f>
        <v/>
      </c>
      <c r="M236" t="str">
        <f>IF($A236="","",IF($D236="V01",cad!$C$36,IF($D236="V02",cad!$D$36,cad!$E$36)))</f>
        <v/>
      </c>
      <c r="N236" t="str">
        <f t="shared" si="13"/>
        <v/>
      </c>
      <c r="O236" t="str">
        <f t="shared" si="14"/>
        <v/>
      </c>
      <c r="P236" t="str">
        <f>IF($A236="","",IF($E236=1,$F236*$O236,PNL!G236))</f>
        <v/>
      </c>
      <c r="T236" t="str">
        <f t="shared" si="15"/>
        <v/>
      </c>
    </row>
    <row r="237" spans="1:20" x14ac:dyDescent="0.45">
      <c r="A237" t="str">
        <f>IF(PNL!A237="","",PNL!A237)</f>
        <v/>
      </c>
      <c r="B237" t="str">
        <f>IF(PNL!B237="","",PNL!B237)</f>
        <v/>
      </c>
      <c r="C237" t="str">
        <f>IF(PNL!C237="","",PNL!C237)</f>
        <v/>
      </c>
      <c r="D237" t="str">
        <f>IF(PNL!D237="","",PNL!D237)</f>
        <v/>
      </c>
      <c r="E237" t="str">
        <f t="shared" si="12"/>
        <v/>
      </c>
      <c r="F237" t="str">
        <f>IF($A237="","",IF($E237=1,SUMIFS(Compta!$F$1:$F$675,Compta!$A$1:$A$675,$A237,Compta!$B$1:$B$675,$B237,Compta!$C$1:$C$675,"2026"),0))</f>
        <v/>
      </c>
      <c r="G237" t="str">
        <f>IF($A237="","",IF($D237="V01",cad!$C$23,IF($D237="V02",cad!$D$23,cad!$E$23)))</f>
        <v/>
      </c>
      <c r="H237" t="str">
        <f>IF($A237="","",IF($D237="V01",cad!$C$24,IF($D237="V02",cad!$D$24,cad!$E$24)))</f>
        <v/>
      </c>
      <c r="I237" t="str">
        <f>IF($A237="","",IF($D237="V01",cad!$C$32,IF($D237="V02",cad!$D$32,cad!$E$32)))</f>
        <v/>
      </c>
      <c r="J237" t="str">
        <f>IF($A237="","",IF($D237="V01",cad!$C$33,IF($D237="V02",cad!$D$33,cad!$E$33)))</f>
        <v/>
      </c>
      <c r="K237" t="str">
        <f>IF($A237="","",IF($D237="V01",cad!$C$34,IF($D237="V02",cad!$D$34,cad!$E$34)))</f>
        <v/>
      </c>
      <c r="L237" t="str">
        <f>IF($A237="","",IF($D237="V01",cad!$C$35,IF($D237="V02",cad!$D$35,cad!$E$35)))</f>
        <v/>
      </c>
      <c r="M237" t="str">
        <f>IF($A237="","",IF($D237="V01",cad!$C$36,IF($D237="V02",cad!$D$36,cad!$E$36)))</f>
        <v/>
      </c>
      <c r="N237" t="str">
        <f t="shared" si="13"/>
        <v/>
      </c>
      <c r="O237" t="str">
        <f t="shared" si="14"/>
        <v/>
      </c>
      <c r="P237" t="str">
        <f>IF($A237="","",IF($E237=1,$F237*$O237,PNL!G237))</f>
        <v/>
      </c>
      <c r="T237" t="str">
        <f t="shared" si="15"/>
        <v/>
      </c>
    </row>
    <row r="238" spans="1:20" x14ac:dyDescent="0.45">
      <c r="A238" t="str">
        <f>IF(PNL!A238="","",PNL!A238)</f>
        <v/>
      </c>
      <c r="B238" t="str">
        <f>IF(PNL!B238="","",PNL!B238)</f>
        <v/>
      </c>
      <c r="C238" t="str">
        <f>IF(PNL!C238="","",PNL!C238)</f>
        <v/>
      </c>
      <c r="D238" t="str">
        <f>IF(PNL!D238="","",PNL!D238)</f>
        <v/>
      </c>
      <c r="E238" t="str">
        <f t="shared" si="12"/>
        <v/>
      </c>
      <c r="F238" t="str">
        <f>IF($A238="","",IF($E238=1,SUMIFS(Compta!$F$1:$F$675,Compta!$A$1:$A$675,$A238,Compta!$B$1:$B$675,$B238,Compta!$C$1:$C$675,"2026"),0))</f>
        <v/>
      </c>
      <c r="G238" t="str">
        <f>IF($A238="","",IF($D238="V01",cad!$C$23,IF($D238="V02",cad!$D$23,cad!$E$23)))</f>
        <v/>
      </c>
      <c r="H238" t="str">
        <f>IF($A238="","",IF($D238="V01",cad!$C$24,IF($D238="V02",cad!$D$24,cad!$E$24)))</f>
        <v/>
      </c>
      <c r="I238" t="str">
        <f>IF($A238="","",IF($D238="V01",cad!$C$32,IF($D238="V02",cad!$D$32,cad!$E$32)))</f>
        <v/>
      </c>
      <c r="J238" t="str">
        <f>IF($A238="","",IF($D238="V01",cad!$C$33,IF($D238="V02",cad!$D$33,cad!$E$33)))</f>
        <v/>
      </c>
      <c r="K238" t="str">
        <f>IF($A238="","",IF($D238="V01",cad!$C$34,IF($D238="V02",cad!$D$34,cad!$E$34)))</f>
        <v/>
      </c>
      <c r="L238" t="str">
        <f>IF($A238="","",IF($D238="V01",cad!$C$35,IF($D238="V02",cad!$D$35,cad!$E$35)))</f>
        <v/>
      </c>
      <c r="M238" t="str">
        <f>IF($A238="","",IF($D238="V01",cad!$C$36,IF($D238="V02",cad!$D$36,cad!$E$36)))</f>
        <v/>
      </c>
      <c r="N238" t="str">
        <f t="shared" si="13"/>
        <v/>
      </c>
      <c r="O238" t="str">
        <f t="shared" si="14"/>
        <v/>
      </c>
      <c r="P238" t="str">
        <f>IF($A238="","",IF($E238=1,$F238*$O238,PNL!G238))</f>
        <v/>
      </c>
      <c r="T238" t="str">
        <f t="shared" si="15"/>
        <v/>
      </c>
    </row>
    <row r="239" spans="1:20" x14ac:dyDescent="0.45">
      <c r="A239" t="str">
        <f>IF(PNL!A239="","",PNL!A239)</f>
        <v/>
      </c>
      <c r="B239" t="str">
        <f>IF(PNL!B239="","",PNL!B239)</f>
        <v/>
      </c>
      <c r="C239" t="str">
        <f>IF(PNL!C239="","",PNL!C239)</f>
        <v/>
      </c>
      <c r="D239" t="str">
        <f>IF(PNL!D239="","",PNL!D239)</f>
        <v/>
      </c>
      <c r="E239" t="str">
        <f t="shared" si="12"/>
        <v/>
      </c>
      <c r="F239" t="str">
        <f>IF($A239="","",IF($E239=1,SUMIFS(Compta!$F$1:$F$675,Compta!$A$1:$A$675,$A239,Compta!$B$1:$B$675,$B239,Compta!$C$1:$C$675,"2026"),0))</f>
        <v/>
      </c>
      <c r="G239" t="str">
        <f>IF($A239="","",IF($D239="V01",cad!$C$23,IF($D239="V02",cad!$D$23,cad!$E$23)))</f>
        <v/>
      </c>
      <c r="H239" t="str">
        <f>IF($A239="","",IF($D239="V01",cad!$C$24,IF($D239="V02",cad!$D$24,cad!$E$24)))</f>
        <v/>
      </c>
      <c r="I239" t="str">
        <f>IF($A239="","",IF($D239="V01",cad!$C$32,IF($D239="V02",cad!$D$32,cad!$E$32)))</f>
        <v/>
      </c>
      <c r="J239" t="str">
        <f>IF($A239="","",IF($D239="V01",cad!$C$33,IF($D239="V02",cad!$D$33,cad!$E$33)))</f>
        <v/>
      </c>
      <c r="K239" t="str">
        <f>IF($A239="","",IF($D239="V01",cad!$C$34,IF($D239="V02",cad!$D$34,cad!$E$34)))</f>
        <v/>
      </c>
      <c r="L239" t="str">
        <f>IF($A239="","",IF($D239="V01",cad!$C$35,IF($D239="V02",cad!$D$35,cad!$E$35)))</f>
        <v/>
      </c>
      <c r="M239" t="str">
        <f>IF($A239="","",IF($D239="V01",cad!$C$36,IF($D239="V02",cad!$D$36,cad!$E$36)))</f>
        <v/>
      </c>
      <c r="N239" t="str">
        <f t="shared" si="13"/>
        <v/>
      </c>
      <c r="O239" t="str">
        <f t="shared" si="14"/>
        <v/>
      </c>
      <c r="P239" t="str">
        <f>IF($A239="","",IF($E239=1,$F239*$O239,PNL!G239))</f>
        <v/>
      </c>
      <c r="T239" t="str">
        <f t="shared" si="15"/>
        <v/>
      </c>
    </row>
    <row r="240" spans="1:20" x14ac:dyDescent="0.45">
      <c r="A240" t="str">
        <f>IF(PNL!A240="","",PNL!A240)</f>
        <v/>
      </c>
      <c r="B240" t="str">
        <f>IF(PNL!B240="","",PNL!B240)</f>
        <v/>
      </c>
      <c r="C240" t="str">
        <f>IF(PNL!C240="","",PNL!C240)</f>
        <v/>
      </c>
      <c r="D240" t="str">
        <f>IF(PNL!D240="","",PNL!D240)</f>
        <v/>
      </c>
      <c r="E240" t="str">
        <f t="shared" si="12"/>
        <v/>
      </c>
      <c r="F240" t="str">
        <f>IF($A240="","",IF($E240=1,SUMIFS(Compta!$F$1:$F$675,Compta!$A$1:$A$675,$A240,Compta!$B$1:$B$675,$B240,Compta!$C$1:$C$675,"2026"),0))</f>
        <v/>
      </c>
      <c r="G240" t="str">
        <f>IF($A240="","",IF($D240="V01",cad!$C$23,IF($D240="V02",cad!$D$23,cad!$E$23)))</f>
        <v/>
      </c>
      <c r="H240" t="str">
        <f>IF($A240="","",IF($D240="V01",cad!$C$24,IF($D240="V02",cad!$D$24,cad!$E$24)))</f>
        <v/>
      </c>
      <c r="I240" t="str">
        <f>IF($A240="","",IF($D240="V01",cad!$C$32,IF($D240="V02",cad!$D$32,cad!$E$32)))</f>
        <v/>
      </c>
      <c r="J240" t="str">
        <f>IF($A240="","",IF($D240="V01",cad!$C$33,IF($D240="V02",cad!$D$33,cad!$E$33)))</f>
        <v/>
      </c>
      <c r="K240" t="str">
        <f>IF($A240="","",IF($D240="V01",cad!$C$34,IF($D240="V02",cad!$D$34,cad!$E$34)))</f>
        <v/>
      </c>
      <c r="L240" t="str">
        <f>IF($A240="","",IF($D240="V01",cad!$C$35,IF($D240="V02",cad!$D$35,cad!$E$35)))</f>
        <v/>
      </c>
      <c r="M240" t="str">
        <f>IF($A240="","",IF($D240="V01",cad!$C$36,IF($D240="V02",cad!$D$36,cad!$E$36)))</f>
        <v/>
      </c>
      <c r="N240" t="str">
        <f t="shared" si="13"/>
        <v/>
      </c>
      <c r="O240" t="str">
        <f t="shared" si="14"/>
        <v/>
      </c>
      <c r="P240" t="str">
        <f>IF($A240="","",IF($E240=1,$F240*$O240,PNL!G240))</f>
        <v/>
      </c>
      <c r="T240" t="str">
        <f t="shared" si="15"/>
        <v/>
      </c>
    </row>
    <row r="241" spans="1:20" x14ac:dyDescent="0.45">
      <c r="A241" t="str">
        <f>IF(PNL!A241="","",PNL!A241)</f>
        <v/>
      </c>
      <c r="B241" t="str">
        <f>IF(PNL!B241="","",PNL!B241)</f>
        <v/>
      </c>
      <c r="C241" t="str">
        <f>IF(PNL!C241="","",PNL!C241)</f>
        <v/>
      </c>
      <c r="D241" t="str">
        <f>IF(PNL!D241="","",PNL!D241)</f>
        <v/>
      </c>
      <c r="E241" t="str">
        <f t="shared" si="12"/>
        <v/>
      </c>
      <c r="F241" t="str">
        <f>IF($A241="","",IF($E241=1,SUMIFS(Compta!$F$1:$F$675,Compta!$A$1:$A$675,$A241,Compta!$B$1:$B$675,$B241,Compta!$C$1:$C$675,"2026"),0))</f>
        <v/>
      </c>
      <c r="G241" t="str">
        <f>IF($A241="","",IF($D241="V01",cad!$C$23,IF($D241="V02",cad!$D$23,cad!$E$23)))</f>
        <v/>
      </c>
      <c r="H241" t="str">
        <f>IF($A241="","",IF($D241="V01",cad!$C$24,IF($D241="V02",cad!$D$24,cad!$E$24)))</f>
        <v/>
      </c>
      <c r="I241" t="str">
        <f>IF($A241="","",IF($D241="V01",cad!$C$32,IF($D241="V02",cad!$D$32,cad!$E$32)))</f>
        <v/>
      </c>
      <c r="J241" t="str">
        <f>IF($A241="","",IF($D241="V01",cad!$C$33,IF($D241="V02",cad!$D$33,cad!$E$33)))</f>
        <v/>
      </c>
      <c r="K241" t="str">
        <f>IF($A241="","",IF($D241="V01",cad!$C$34,IF($D241="V02",cad!$D$34,cad!$E$34)))</f>
        <v/>
      </c>
      <c r="L241" t="str">
        <f>IF($A241="","",IF($D241="V01",cad!$C$35,IF($D241="V02",cad!$D$35,cad!$E$35)))</f>
        <v/>
      </c>
      <c r="M241" t="str">
        <f>IF($A241="","",IF($D241="V01",cad!$C$36,IF($D241="V02",cad!$D$36,cad!$E$36)))</f>
        <v/>
      </c>
      <c r="N241" t="str">
        <f t="shared" si="13"/>
        <v/>
      </c>
      <c r="O241" t="str">
        <f t="shared" si="14"/>
        <v/>
      </c>
      <c r="P241" t="str">
        <f>IF($A241="","",IF($E241=1,$F241*$O241,PNL!G241))</f>
        <v/>
      </c>
      <c r="T241" t="str">
        <f t="shared" si="15"/>
        <v/>
      </c>
    </row>
    <row r="242" spans="1:20" x14ac:dyDescent="0.45">
      <c r="A242" t="str">
        <f>IF(PNL!A242="","",PNL!A242)</f>
        <v/>
      </c>
      <c r="B242" t="str">
        <f>IF(PNL!B242="","",PNL!B242)</f>
        <v/>
      </c>
      <c r="C242" t="str">
        <f>IF(PNL!C242="","",PNL!C242)</f>
        <v/>
      </c>
      <c r="D242" t="str">
        <f>IF(PNL!D242="","",PNL!D242)</f>
        <v/>
      </c>
      <c r="E242" t="str">
        <f t="shared" si="12"/>
        <v/>
      </c>
      <c r="F242" t="str">
        <f>IF($A242="","",IF($E242=1,SUMIFS(Compta!$F$1:$F$675,Compta!$A$1:$A$675,$A242,Compta!$B$1:$B$675,$B242,Compta!$C$1:$C$675,"2026"),0))</f>
        <v/>
      </c>
      <c r="G242" t="str">
        <f>IF($A242="","",IF($D242="V01",cad!$C$23,IF($D242="V02",cad!$D$23,cad!$E$23)))</f>
        <v/>
      </c>
      <c r="H242" t="str">
        <f>IF($A242="","",IF($D242="V01",cad!$C$24,IF($D242="V02",cad!$D$24,cad!$E$24)))</f>
        <v/>
      </c>
      <c r="I242" t="str">
        <f>IF($A242="","",IF($D242="V01",cad!$C$32,IF($D242="V02",cad!$D$32,cad!$E$32)))</f>
        <v/>
      </c>
      <c r="J242" t="str">
        <f>IF($A242="","",IF($D242="V01",cad!$C$33,IF($D242="V02",cad!$D$33,cad!$E$33)))</f>
        <v/>
      </c>
      <c r="K242" t="str">
        <f>IF($A242="","",IF($D242="V01",cad!$C$34,IF($D242="V02",cad!$D$34,cad!$E$34)))</f>
        <v/>
      </c>
      <c r="L242" t="str">
        <f>IF($A242="","",IF($D242="V01",cad!$C$35,IF($D242="V02",cad!$D$35,cad!$E$35)))</f>
        <v/>
      </c>
      <c r="M242" t="str">
        <f>IF($A242="","",IF($D242="V01",cad!$C$36,IF($D242="V02",cad!$D$36,cad!$E$36)))</f>
        <v/>
      </c>
      <c r="N242" t="str">
        <f t="shared" si="13"/>
        <v/>
      </c>
      <c r="O242" t="str">
        <f t="shared" si="14"/>
        <v/>
      </c>
      <c r="P242" t="str">
        <f>IF($A242="","",IF($E242=1,$F242*$O242,PNL!G242))</f>
        <v/>
      </c>
      <c r="T242" t="str">
        <f t="shared" si="15"/>
        <v/>
      </c>
    </row>
    <row r="243" spans="1:20" x14ac:dyDescent="0.45">
      <c r="A243" t="str">
        <f>IF(PNL!A243="","",PNL!A243)</f>
        <v/>
      </c>
      <c r="B243" t="str">
        <f>IF(PNL!B243="","",PNL!B243)</f>
        <v/>
      </c>
      <c r="C243" t="str">
        <f>IF(PNL!C243="","",PNL!C243)</f>
        <v/>
      </c>
      <c r="D243" t="str">
        <f>IF(PNL!D243="","",PNL!D243)</f>
        <v/>
      </c>
      <c r="E243" t="str">
        <f t="shared" si="12"/>
        <v/>
      </c>
      <c r="F243" t="str">
        <f>IF($A243="","",IF($E243=1,SUMIFS(Compta!$F$1:$F$675,Compta!$A$1:$A$675,$A243,Compta!$B$1:$B$675,$B243,Compta!$C$1:$C$675,"2026"),0))</f>
        <v/>
      </c>
      <c r="G243" t="str">
        <f>IF($A243="","",IF($D243="V01",cad!$C$23,IF($D243="V02",cad!$D$23,cad!$E$23)))</f>
        <v/>
      </c>
      <c r="H243" t="str">
        <f>IF($A243="","",IF($D243="V01",cad!$C$24,IF($D243="V02",cad!$D$24,cad!$E$24)))</f>
        <v/>
      </c>
      <c r="I243" t="str">
        <f>IF($A243="","",IF($D243="V01",cad!$C$32,IF($D243="V02",cad!$D$32,cad!$E$32)))</f>
        <v/>
      </c>
      <c r="J243" t="str">
        <f>IF($A243="","",IF($D243="V01",cad!$C$33,IF($D243="V02",cad!$D$33,cad!$E$33)))</f>
        <v/>
      </c>
      <c r="K243" t="str">
        <f>IF($A243="","",IF($D243="V01",cad!$C$34,IF($D243="V02",cad!$D$34,cad!$E$34)))</f>
        <v/>
      </c>
      <c r="L243" t="str">
        <f>IF($A243="","",IF($D243="V01",cad!$C$35,IF($D243="V02",cad!$D$35,cad!$E$35)))</f>
        <v/>
      </c>
      <c r="M243" t="str">
        <f>IF($A243="","",IF($D243="V01",cad!$C$36,IF($D243="V02",cad!$D$36,cad!$E$36)))</f>
        <v/>
      </c>
      <c r="N243" t="str">
        <f t="shared" si="13"/>
        <v/>
      </c>
      <c r="O243" t="str">
        <f t="shared" si="14"/>
        <v/>
      </c>
      <c r="P243" t="str">
        <f>IF($A243="","",IF($E243=1,$F243*$O243,PNL!G243))</f>
        <v/>
      </c>
      <c r="T243" t="str">
        <f t="shared" si="15"/>
        <v/>
      </c>
    </row>
    <row r="244" spans="1:20" x14ac:dyDescent="0.45">
      <c r="A244" t="str">
        <f>IF(PNL!A244="","",PNL!A244)</f>
        <v/>
      </c>
      <c r="B244" t="str">
        <f>IF(PNL!B244="","",PNL!B244)</f>
        <v/>
      </c>
      <c r="C244" t="str">
        <f>IF(PNL!C244="","",PNL!C244)</f>
        <v/>
      </c>
      <c r="D244" t="str">
        <f>IF(PNL!D244="","",PNL!D244)</f>
        <v/>
      </c>
      <c r="E244" t="str">
        <f t="shared" si="12"/>
        <v/>
      </c>
      <c r="F244" t="str">
        <f>IF($A244="","",IF($E244=1,SUMIFS(Compta!$F$1:$F$675,Compta!$A$1:$A$675,$A244,Compta!$B$1:$B$675,$B244,Compta!$C$1:$C$675,"2026"),0))</f>
        <v/>
      </c>
      <c r="G244" t="str">
        <f>IF($A244="","",IF($D244="V01",cad!$C$23,IF($D244="V02",cad!$D$23,cad!$E$23)))</f>
        <v/>
      </c>
      <c r="H244" t="str">
        <f>IF($A244="","",IF($D244="V01",cad!$C$24,IF($D244="V02",cad!$D$24,cad!$E$24)))</f>
        <v/>
      </c>
      <c r="I244" t="str">
        <f>IF($A244="","",IF($D244="V01",cad!$C$32,IF($D244="V02",cad!$D$32,cad!$E$32)))</f>
        <v/>
      </c>
      <c r="J244" t="str">
        <f>IF($A244="","",IF($D244="V01",cad!$C$33,IF($D244="V02",cad!$D$33,cad!$E$33)))</f>
        <v/>
      </c>
      <c r="K244" t="str">
        <f>IF($A244="","",IF($D244="V01",cad!$C$34,IF($D244="V02",cad!$D$34,cad!$E$34)))</f>
        <v/>
      </c>
      <c r="L244" t="str">
        <f>IF($A244="","",IF($D244="V01",cad!$C$35,IF($D244="V02",cad!$D$35,cad!$E$35)))</f>
        <v/>
      </c>
      <c r="M244" t="str">
        <f>IF($A244="","",IF($D244="V01",cad!$C$36,IF($D244="V02",cad!$D$36,cad!$E$36)))</f>
        <v/>
      </c>
      <c r="N244" t="str">
        <f t="shared" si="13"/>
        <v/>
      </c>
      <c r="O244" t="str">
        <f t="shared" si="14"/>
        <v/>
      </c>
      <c r="P244" t="str">
        <f>IF($A244="","",IF($E244=1,$F244*$O244,PNL!G244))</f>
        <v/>
      </c>
      <c r="T244" t="str">
        <f t="shared" si="15"/>
        <v/>
      </c>
    </row>
    <row r="245" spans="1:20" x14ac:dyDescent="0.45">
      <c r="A245" t="str">
        <f>IF(PNL!A245="","",PNL!A245)</f>
        <v/>
      </c>
      <c r="B245" t="str">
        <f>IF(PNL!B245="","",PNL!B245)</f>
        <v/>
      </c>
      <c r="C245" t="str">
        <f>IF(PNL!C245="","",PNL!C245)</f>
        <v/>
      </c>
      <c r="D245" t="str">
        <f>IF(PNL!D245="","",PNL!D245)</f>
        <v/>
      </c>
      <c r="E245" t="str">
        <f t="shared" si="12"/>
        <v/>
      </c>
      <c r="F245" t="str">
        <f>IF($A245="","",IF($E245=1,SUMIFS(Compta!$F$1:$F$675,Compta!$A$1:$A$675,$A245,Compta!$B$1:$B$675,$B245,Compta!$C$1:$C$675,"2026"),0))</f>
        <v/>
      </c>
      <c r="G245" t="str">
        <f>IF($A245="","",IF($D245="V01",cad!$C$23,IF($D245="V02",cad!$D$23,cad!$E$23)))</f>
        <v/>
      </c>
      <c r="H245" t="str">
        <f>IF($A245="","",IF($D245="V01",cad!$C$24,IF($D245="V02",cad!$D$24,cad!$E$24)))</f>
        <v/>
      </c>
      <c r="I245" t="str">
        <f>IF($A245="","",IF($D245="V01",cad!$C$32,IF($D245="V02",cad!$D$32,cad!$E$32)))</f>
        <v/>
      </c>
      <c r="J245" t="str">
        <f>IF($A245="","",IF($D245="V01",cad!$C$33,IF($D245="V02",cad!$D$33,cad!$E$33)))</f>
        <v/>
      </c>
      <c r="K245" t="str">
        <f>IF($A245="","",IF($D245="V01",cad!$C$34,IF($D245="V02",cad!$D$34,cad!$E$34)))</f>
        <v/>
      </c>
      <c r="L245" t="str">
        <f>IF($A245="","",IF($D245="V01",cad!$C$35,IF($D245="V02",cad!$D$35,cad!$E$35)))</f>
        <v/>
      </c>
      <c r="M245" t="str">
        <f>IF($A245="","",IF($D245="V01",cad!$C$36,IF($D245="V02",cad!$D$36,cad!$E$36)))</f>
        <v/>
      </c>
      <c r="N245" t="str">
        <f t="shared" si="13"/>
        <v/>
      </c>
      <c r="O245" t="str">
        <f t="shared" si="14"/>
        <v/>
      </c>
      <c r="P245" t="str">
        <f>IF($A245="","",IF($E245=1,$F245*$O245,PNL!G245))</f>
        <v/>
      </c>
      <c r="T245" t="str">
        <f t="shared" si="15"/>
        <v/>
      </c>
    </row>
    <row r="246" spans="1:20" x14ac:dyDescent="0.45">
      <c r="A246" t="str">
        <f>IF(PNL!A246="","",PNL!A246)</f>
        <v/>
      </c>
      <c r="B246" t="str">
        <f>IF(PNL!B246="","",PNL!B246)</f>
        <v/>
      </c>
      <c r="C246" t="str">
        <f>IF(PNL!C246="","",PNL!C246)</f>
        <v/>
      </c>
      <c r="D246" t="str">
        <f>IF(PNL!D246="","",PNL!D246)</f>
        <v/>
      </c>
      <c r="E246" t="str">
        <f t="shared" si="12"/>
        <v/>
      </c>
      <c r="F246" t="str">
        <f>IF($A246="","",IF($E246=1,SUMIFS(Compta!$F$1:$F$675,Compta!$A$1:$A$675,$A246,Compta!$B$1:$B$675,$B246,Compta!$C$1:$C$675,"2026"),0))</f>
        <v/>
      </c>
      <c r="G246" t="str">
        <f>IF($A246="","",IF($D246="V01",cad!$C$23,IF($D246="V02",cad!$D$23,cad!$E$23)))</f>
        <v/>
      </c>
      <c r="H246" t="str">
        <f>IF($A246="","",IF($D246="V01",cad!$C$24,IF($D246="V02",cad!$D$24,cad!$E$24)))</f>
        <v/>
      </c>
      <c r="I246" t="str">
        <f>IF($A246="","",IF($D246="V01",cad!$C$32,IF($D246="V02",cad!$D$32,cad!$E$32)))</f>
        <v/>
      </c>
      <c r="J246" t="str">
        <f>IF($A246="","",IF($D246="V01",cad!$C$33,IF($D246="V02",cad!$D$33,cad!$E$33)))</f>
        <v/>
      </c>
      <c r="K246" t="str">
        <f>IF($A246="","",IF($D246="V01",cad!$C$34,IF($D246="V02",cad!$D$34,cad!$E$34)))</f>
        <v/>
      </c>
      <c r="L246" t="str">
        <f>IF($A246="","",IF($D246="V01",cad!$C$35,IF($D246="V02",cad!$D$35,cad!$E$35)))</f>
        <v/>
      </c>
      <c r="M246" t="str">
        <f>IF($A246="","",IF($D246="V01",cad!$C$36,IF($D246="V02",cad!$D$36,cad!$E$36)))</f>
        <v/>
      </c>
      <c r="N246" t="str">
        <f t="shared" si="13"/>
        <v/>
      </c>
      <c r="O246" t="str">
        <f t="shared" si="14"/>
        <v/>
      </c>
      <c r="P246" t="str">
        <f>IF($A246="","",IF($E246=1,$F246*$O246,PNL!G246))</f>
        <v/>
      </c>
      <c r="T246" t="str">
        <f t="shared" si="15"/>
        <v/>
      </c>
    </row>
    <row r="247" spans="1:20" x14ac:dyDescent="0.45">
      <c r="A247" t="str">
        <f>IF(PNL!A247="","",PNL!A247)</f>
        <v/>
      </c>
      <c r="B247" t="str">
        <f>IF(PNL!B247="","",PNL!B247)</f>
        <v/>
      </c>
      <c r="C247" t="str">
        <f>IF(PNL!C247="","",PNL!C247)</f>
        <v/>
      </c>
      <c r="D247" t="str">
        <f>IF(PNL!D247="","",PNL!D247)</f>
        <v/>
      </c>
      <c r="E247" t="str">
        <f t="shared" si="12"/>
        <v/>
      </c>
      <c r="F247" t="str">
        <f>IF($A247="","",IF($E247=1,SUMIFS(Compta!$F$1:$F$675,Compta!$A$1:$A$675,$A247,Compta!$B$1:$B$675,$B247,Compta!$C$1:$C$675,"2026"),0))</f>
        <v/>
      </c>
      <c r="G247" t="str">
        <f>IF($A247="","",IF($D247="V01",cad!$C$23,IF($D247="V02",cad!$D$23,cad!$E$23)))</f>
        <v/>
      </c>
      <c r="H247" t="str">
        <f>IF($A247="","",IF($D247="V01",cad!$C$24,IF($D247="V02",cad!$D$24,cad!$E$24)))</f>
        <v/>
      </c>
      <c r="I247" t="str">
        <f>IF($A247="","",IF($D247="V01",cad!$C$32,IF($D247="V02",cad!$D$32,cad!$E$32)))</f>
        <v/>
      </c>
      <c r="J247" t="str">
        <f>IF($A247="","",IF($D247="V01",cad!$C$33,IF($D247="V02",cad!$D$33,cad!$E$33)))</f>
        <v/>
      </c>
      <c r="K247" t="str">
        <f>IF($A247="","",IF($D247="V01",cad!$C$34,IF($D247="V02",cad!$D$34,cad!$E$34)))</f>
        <v/>
      </c>
      <c r="L247" t="str">
        <f>IF($A247="","",IF($D247="V01",cad!$C$35,IF($D247="V02",cad!$D$35,cad!$E$35)))</f>
        <v/>
      </c>
      <c r="M247" t="str">
        <f>IF($A247="","",IF($D247="V01",cad!$C$36,IF($D247="V02",cad!$D$36,cad!$E$36)))</f>
        <v/>
      </c>
      <c r="N247" t="str">
        <f t="shared" si="13"/>
        <v/>
      </c>
      <c r="O247" t="str">
        <f t="shared" si="14"/>
        <v/>
      </c>
      <c r="P247" t="str">
        <f>IF($A247="","",IF($E247=1,$F247*$O247,PNL!G247))</f>
        <v/>
      </c>
      <c r="T247" t="str">
        <f t="shared" si="15"/>
        <v/>
      </c>
    </row>
    <row r="248" spans="1:20" x14ac:dyDescent="0.45">
      <c r="A248" t="str">
        <f>IF(PNL!A248="","",PNL!A248)</f>
        <v/>
      </c>
      <c r="B248" t="str">
        <f>IF(PNL!B248="","",PNL!B248)</f>
        <v/>
      </c>
      <c r="C248" t="str">
        <f>IF(PNL!C248="","",PNL!C248)</f>
        <v/>
      </c>
      <c r="D248" t="str">
        <f>IF(PNL!D248="","",PNL!D248)</f>
        <v/>
      </c>
      <c r="E248" t="str">
        <f t="shared" si="12"/>
        <v/>
      </c>
      <c r="F248" t="str">
        <f>IF($A248="","",IF($E248=1,SUMIFS(Compta!$F$1:$F$675,Compta!$A$1:$A$675,$A248,Compta!$B$1:$B$675,$B248,Compta!$C$1:$C$675,"2026"),0))</f>
        <v/>
      </c>
      <c r="G248" t="str">
        <f>IF($A248="","",IF($D248="V01",cad!$C$23,IF($D248="V02",cad!$D$23,cad!$E$23)))</f>
        <v/>
      </c>
      <c r="H248" t="str">
        <f>IF($A248="","",IF($D248="V01",cad!$C$24,IF($D248="V02",cad!$D$24,cad!$E$24)))</f>
        <v/>
      </c>
      <c r="I248" t="str">
        <f>IF($A248="","",IF($D248="V01",cad!$C$32,IF($D248="V02",cad!$D$32,cad!$E$32)))</f>
        <v/>
      </c>
      <c r="J248" t="str">
        <f>IF($A248="","",IF($D248="V01",cad!$C$33,IF($D248="V02",cad!$D$33,cad!$E$33)))</f>
        <v/>
      </c>
      <c r="K248" t="str">
        <f>IF($A248="","",IF($D248="V01",cad!$C$34,IF($D248="V02",cad!$D$34,cad!$E$34)))</f>
        <v/>
      </c>
      <c r="L248" t="str">
        <f>IF($A248="","",IF($D248="V01",cad!$C$35,IF($D248="V02",cad!$D$35,cad!$E$35)))</f>
        <v/>
      </c>
      <c r="M248" t="str">
        <f>IF($A248="","",IF($D248="V01",cad!$C$36,IF($D248="V02",cad!$D$36,cad!$E$36)))</f>
        <v/>
      </c>
      <c r="N248" t="str">
        <f t="shared" si="13"/>
        <v/>
      </c>
      <c r="O248" t="str">
        <f t="shared" si="14"/>
        <v/>
      </c>
      <c r="P248" t="str">
        <f>IF($A248="","",IF($E248=1,$F248*$O248,PNL!G248))</f>
        <v/>
      </c>
      <c r="T248" t="str">
        <f t="shared" si="15"/>
        <v/>
      </c>
    </row>
    <row r="249" spans="1:20" x14ac:dyDescent="0.45">
      <c r="A249" t="str">
        <f>IF(PNL!A249="","",PNL!A249)</f>
        <v/>
      </c>
      <c r="B249" t="str">
        <f>IF(PNL!B249="","",PNL!B249)</f>
        <v/>
      </c>
      <c r="C249" t="str">
        <f>IF(PNL!C249="","",PNL!C249)</f>
        <v/>
      </c>
      <c r="D249" t="str">
        <f>IF(PNL!D249="","",PNL!D249)</f>
        <v/>
      </c>
      <c r="E249" t="str">
        <f t="shared" si="12"/>
        <v/>
      </c>
      <c r="F249" t="str">
        <f>IF($A249="","",IF($E249=1,SUMIFS(Compta!$F$1:$F$675,Compta!$A$1:$A$675,$A249,Compta!$B$1:$B$675,$B249,Compta!$C$1:$C$675,"2026"),0))</f>
        <v/>
      </c>
      <c r="G249" t="str">
        <f>IF($A249="","",IF($D249="V01",cad!$C$23,IF($D249="V02",cad!$D$23,cad!$E$23)))</f>
        <v/>
      </c>
      <c r="H249" t="str">
        <f>IF($A249="","",IF($D249="V01",cad!$C$24,IF($D249="V02",cad!$D$24,cad!$E$24)))</f>
        <v/>
      </c>
      <c r="I249" t="str">
        <f>IF($A249="","",IF($D249="V01",cad!$C$32,IF($D249="V02",cad!$D$32,cad!$E$32)))</f>
        <v/>
      </c>
      <c r="J249" t="str">
        <f>IF($A249="","",IF($D249="V01",cad!$C$33,IF($D249="V02",cad!$D$33,cad!$E$33)))</f>
        <v/>
      </c>
      <c r="K249" t="str">
        <f>IF($A249="","",IF($D249="V01",cad!$C$34,IF($D249="V02",cad!$D$34,cad!$E$34)))</f>
        <v/>
      </c>
      <c r="L249" t="str">
        <f>IF($A249="","",IF($D249="V01",cad!$C$35,IF($D249="V02",cad!$D$35,cad!$E$35)))</f>
        <v/>
      </c>
      <c r="M249" t="str">
        <f>IF($A249="","",IF($D249="V01",cad!$C$36,IF($D249="V02",cad!$D$36,cad!$E$36)))</f>
        <v/>
      </c>
      <c r="N249" t="str">
        <f t="shared" si="13"/>
        <v/>
      </c>
      <c r="O249" t="str">
        <f t="shared" si="14"/>
        <v/>
      </c>
      <c r="P249" t="str">
        <f>IF($A249="","",IF($E249=1,$F249*$O249,PNL!G249))</f>
        <v/>
      </c>
      <c r="T249" t="str">
        <f t="shared" si="15"/>
        <v/>
      </c>
    </row>
    <row r="250" spans="1:20" x14ac:dyDescent="0.45">
      <c r="A250" t="str">
        <f>IF(PNL!A250="","",PNL!A250)</f>
        <v/>
      </c>
      <c r="B250" t="str">
        <f>IF(PNL!B250="","",PNL!B250)</f>
        <v/>
      </c>
      <c r="C250" t="str">
        <f>IF(PNL!C250="","",PNL!C250)</f>
        <v/>
      </c>
      <c r="D250" t="str">
        <f>IF(PNL!D250="","",PNL!D250)</f>
        <v/>
      </c>
      <c r="E250" t="str">
        <f t="shared" si="12"/>
        <v/>
      </c>
      <c r="F250" t="str">
        <f>IF($A250="","",IF($E250=1,SUMIFS(Compta!$F$1:$F$675,Compta!$A$1:$A$675,$A250,Compta!$B$1:$B$675,$B250,Compta!$C$1:$C$675,"2026"),0))</f>
        <v/>
      </c>
      <c r="G250" t="str">
        <f>IF($A250="","",IF($D250="V01",cad!$C$23,IF($D250="V02",cad!$D$23,cad!$E$23)))</f>
        <v/>
      </c>
      <c r="H250" t="str">
        <f>IF($A250="","",IF($D250="V01",cad!$C$24,IF($D250="V02",cad!$D$24,cad!$E$24)))</f>
        <v/>
      </c>
      <c r="I250" t="str">
        <f>IF($A250="","",IF($D250="V01",cad!$C$32,IF($D250="V02",cad!$D$32,cad!$E$32)))</f>
        <v/>
      </c>
      <c r="J250" t="str">
        <f>IF($A250="","",IF($D250="V01",cad!$C$33,IF($D250="V02",cad!$D$33,cad!$E$33)))</f>
        <v/>
      </c>
      <c r="K250" t="str">
        <f>IF($A250="","",IF($D250="V01",cad!$C$34,IF($D250="V02",cad!$D$34,cad!$E$34)))</f>
        <v/>
      </c>
      <c r="L250" t="str">
        <f>IF($A250="","",IF($D250="V01",cad!$C$35,IF($D250="V02",cad!$D$35,cad!$E$35)))</f>
        <v/>
      </c>
      <c r="M250" t="str">
        <f>IF($A250="","",IF($D250="V01",cad!$C$36,IF($D250="V02",cad!$D$36,cad!$E$36)))</f>
        <v/>
      </c>
      <c r="N250" t="str">
        <f t="shared" si="13"/>
        <v/>
      </c>
      <c r="O250" t="str">
        <f t="shared" si="14"/>
        <v/>
      </c>
      <c r="P250" t="str">
        <f>IF($A250="","",IF($E250=1,$F250*$O250,PNL!G250))</f>
        <v/>
      </c>
      <c r="T250" t="str">
        <f t="shared" si="15"/>
        <v/>
      </c>
    </row>
    <row r="251" spans="1:20" x14ac:dyDescent="0.45">
      <c r="A251" t="str">
        <f>IF(PNL!A251="","",PNL!A251)</f>
        <v/>
      </c>
      <c r="B251" t="str">
        <f>IF(PNL!B251="","",PNL!B251)</f>
        <v/>
      </c>
      <c r="C251" t="str">
        <f>IF(PNL!C251="","",PNL!C251)</f>
        <v/>
      </c>
      <c r="D251" t="str">
        <f>IF(PNL!D251="","",PNL!D251)</f>
        <v/>
      </c>
      <c r="E251" t="str">
        <f t="shared" si="12"/>
        <v/>
      </c>
      <c r="F251" t="str">
        <f>IF($A251="","",IF($E251=1,SUMIFS(Compta!$F$1:$F$675,Compta!$A$1:$A$675,$A251,Compta!$B$1:$B$675,$B251,Compta!$C$1:$C$675,"2026"),0))</f>
        <v/>
      </c>
      <c r="G251" t="str">
        <f>IF($A251="","",IF($D251="V01",cad!$C$23,IF($D251="V02",cad!$D$23,cad!$E$23)))</f>
        <v/>
      </c>
      <c r="H251" t="str">
        <f>IF($A251="","",IF($D251="V01",cad!$C$24,IF($D251="V02",cad!$D$24,cad!$E$24)))</f>
        <v/>
      </c>
      <c r="I251" t="str">
        <f>IF($A251="","",IF($D251="V01",cad!$C$32,IF($D251="V02",cad!$D$32,cad!$E$32)))</f>
        <v/>
      </c>
      <c r="J251" t="str">
        <f>IF($A251="","",IF($D251="V01",cad!$C$33,IF($D251="V02",cad!$D$33,cad!$E$33)))</f>
        <v/>
      </c>
      <c r="K251" t="str">
        <f>IF($A251="","",IF($D251="V01",cad!$C$34,IF($D251="V02",cad!$D$34,cad!$E$34)))</f>
        <v/>
      </c>
      <c r="L251" t="str">
        <f>IF($A251="","",IF($D251="V01",cad!$C$35,IF($D251="V02",cad!$D$35,cad!$E$35)))</f>
        <v/>
      </c>
      <c r="M251" t="str">
        <f>IF($A251="","",IF($D251="V01",cad!$C$36,IF($D251="V02",cad!$D$36,cad!$E$36)))</f>
        <v/>
      </c>
      <c r="N251" t="str">
        <f t="shared" si="13"/>
        <v/>
      </c>
      <c r="O251" t="str">
        <f t="shared" si="14"/>
        <v/>
      </c>
      <c r="P251" t="str">
        <f>IF($A251="","",IF($E251=1,$F251*$O251,PNL!G251))</f>
        <v/>
      </c>
      <c r="T251" t="str">
        <f t="shared" si="15"/>
        <v/>
      </c>
    </row>
    <row r="252" spans="1:20" x14ac:dyDescent="0.45">
      <c r="A252" t="str">
        <f>IF(PNL!A252="","",PNL!A252)</f>
        <v/>
      </c>
      <c r="B252" t="str">
        <f>IF(PNL!B252="","",PNL!B252)</f>
        <v/>
      </c>
      <c r="C252" t="str">
        <f>IF(PNL!C252="","",PNL!C252)</f>
        <v/>
      </c>
      <c r="D252" t="str">
        <f>IF(PNL!D252="","",PNL!D252)</f>
        <v/>
      </c>
      <c r="E252" t="str">
        <f t="shared" si="12"/>
        <v/>
      </c>
      <c r="F252" t="str">
        <f>IF($A252="","",IF($E252=1,SUMIFS(Compta!$F$1:$F$675,Compta!$A$1:$A$675,$A252,Compta!$B$1:$B$675,$B252,Compta!$C$1:$C$675,"2026"),0))</f>
        <v/>
      </c>
      <c r="G252" t="str">
        <f>IF($A252="","",IF($D252="V01",cad!$C$23,IF($D252="V02",cad!$D$23,cad!$E$23)))</f>
        <v/>
      </c>
      <c r="H252" t="str">
        <f>IF($A252="","",IF($D252="V01",cad!$C$24,IF($D252="V02",cad!$D$24,cad!$E$24)))</f>
        <v/>
      </c>
      <c r="I252" t="str">
        <f>IF($A252="","",IF($D252="V01",cad!$C$32,IF($D252="V02",cad!$D$32,cad!$E$32)))</f>
        <v/>
      </c>
      <c r="J252" t="str">
        <f>IF($A252="","",IF($D252="V01",cad!$C$33,IF($D252="V02",cad!$D$33,cad!$E$33)))</f>
        <v/>
      </c>
      <c r="K252" t="str">
        <f>IF($A252="","",IF($D252="V01",cad!$C$34,IF($D252="V02",cad!$D$34,cad!$E$34)))</f>
        <v/>
      </c>
      <c r="L252" t="str">
        <f>IF($A252="","",IF($D252="V01",cad!$C$35,IF($D252="V02",cad!$D$35,cad!$E$35)))</f>
        <v/>
      </c>
      <c r="M252" t="str">
        <f>IF($A252="","",IF($D252="V01",cad!$C$36,IF($D252="V02",cad!$D$36,cad!$E$36)))</f>
        <v/>
      </c>
      <c r="N252" t="str">
        <f t="shared" si="13"/>
        <v/>
      </c>
      <c r="O252" t="str">
        <f t="shared" si="14"/>
        <v/>
      </c>
      <c r="P252" t="str">
        <f>IF($A252="","",IF($E252=1,$F252*$O252,PNL!G252))</f>
        <v/>
      </c>
      <c r="T252" t="str">
        <f t="shared" si="15"/>
        <v/>
      </c>
    </row>
    <row r="253" spans="1:20" x14ac:dyDescent="0.45">
      <c r="A253" t="str">
        <f>IF(PNL!A253="","",PNL!A253)</f>
        <v/>
      </c>
      <c r="B253" t="str">
        <f>IF(PNL!B253="","",PNL!B253)</f>
        <v/>
      </c>
      <c r="C253" t="str">
        <f>IF(PNL!C253="","",PNL!C253)</f>
        <v/>
      </c>
      <c r="D253" t="str">
        <f>IF(PNL!D253="","",PNL!D253)</f>
        <v/>
      </c>
      <c r="E253" t="str">
        <f t="shared" si="12"/>
        <v/>
      </c>
      <c r="F253" t="str">
        <f>IF($A253="","",IF($E253=1,SUMIFS(Compta!$F$1:$F$675,Compta!$A$1:$A$675,$A253,Compta!$B$1:$B$675,$B253,Compta!$C$1:$C$675,"2026"),0))</f>
        <v/>
      </c>
      <c r="G253" t="str">
        <f>IF($A253="","",IF($D253="V01",cad!$C$23,IF($D253="V02",cad!$D$23,cad!$E$23)))</f>
        <v/>
      </c>
      <c r="H253" t="str">
        <f>IF($A253="","",IF($D253="V01",cad!$C$24,IF($D253="V02",cad!$D$24,cad!$E$24)))</f>
        <v/>
      </c>
      <c r="I253" t="str">
        <f>IF($A253="","",IF($D253="V01",cad!$C$32,IF($D253="V02",cad!$D$32,cad!$E$32)))</f>
        <v/>
      </c>
      <c r="J253" t="str">
        <f>IF($A253="","",IF($D253="V01",cad!$C$33,IF($D253="V02",cad!$D$33,cad!$E$33)))</f>
        <v/>
      </c>
      <c r="K253" t="str">
        <f>IF($A253="","",IF($D253="V01",cad!$C$34,IF($D253="V02",cad!$D$34,cad!$E$34)))</f>
        <v/>
      </c>
      <c r="L253" t="str">
        <f>IF($A253="","",IF($D253="V01",cad!$C$35,IF($D253="V02",cad!$D$35,cad!$E$35)))</f>
        <v/>
      </c>
      <c r="M253" t="str">
        <f>IF($A253="","",IF($D253="V01",cad!$C$36,IF($D253="V02",cad!$D$36,cad!$E$36)))</f>
        <v/>
      </c>
      <c r="N253" t="str">
        <f t="shared" si="13"/>
        <v/>
      </c>
      <c r="O253" t="str">
        <f t="shared" si="14"/>
        <v/>
      </c>
      <c r="P253" t="str">
        <f>IF($A253="","",IF($E253=1,$F253*$O253,PNL!G253))</f>
        <v/>
      </c>
      <c r="T253" t="str">
        <f t="shared" si="15"/>
        <v/>
      </c>
    </row>
    <row r="254" spans="1:20" x14ac:dyDescent="0.45">
      <c r="A254" t="str">
        <f>IF(PNL!A254="","",PNL!A254)</f>
        <v/>
      </c>
      <c r="B254" t="str">
        <f>IF(PNL!B254="","",PNL!B254)</f>
        <v/>
      </c>
      <c r="C254" t="str">
        <f>IF(PNL!C254="","",PNL!C254)</f>
        <v/>
      </c>
      <c r="D254" t="str">
        <f>IF(PNL!D254="","",PNL!D254)</f>
        <v/>
      </c>
      <c r="E254" t="str">
        <f t="shared" si="12"/>
        <v/>
      </c>
      <c r="F254" t="str">
        <f>IF($A254="","",IF($E254=1,SUMIFS(Compta!$F$1:$F$675,Compta!$A$1:$A$675,$A254,Compta!$B$1:$B$675,$B254,Compta!$C$1:$C$675,"2026"),0))</f>
        <v/>
      </c>
      <c r="G254" t="str">
        <f>IF($A254="","",IF($D254="V01",cad!$C$23,IF($D254="V02",cad!$D$23,cad!$E$23)))</f>
        <v/>
      </c>
      <c r="H254" t="str">
        <f>IF($A254="","",IF($D254="V01",cad!$C$24,IF($D254="V02",cad!$D$24,cad!$E$24)))</f>
        <v/>
      </c>
      <c r="I254" t="str">
        <f>IF($A254="","",IF($D254="V01",cad!$C$32,IF($D254="V02",cad!$D$32,cad!$E$32)))</f>
        <v/>
      </c>
      <c r="J254" t="str">
        <f>IF($A254="","",IF($D254="V01",cad!$C$33,IF($D254="V02",cad!$D$33,cad!$E$33)))</f>
        <v/>
      </c>
      <c r="K254" t="str">
        <f>IF($A254="","",IF($D254="V01",cad!$C$34,IF($D254="V02",cad!$D$34,cad!$E$34)))</f>
        <v/>
      </c>
      <c r="L254" t="str">
        <f>IF($A254="","",IF($D254="V01",cad!$C$35,IF($D254="V02",cad!$D$35,cad!$E$35)))</f>
        <v/>
      </c>
      <c r="M254" t="str">
        <f>IF($A254="","",IF($D254="V01",cad!$C$36,IF($D254="V02",cad!$D$36,cad!$E$36)))</f>
        <v/>
      </c>
      <c r="N254" t="str">
        <f t="shared" si="13"/>
        <v/>
      </c>
      <c r="O254" t="str">
        <f t="shared" si="14"/>
        <v/>
      </c>
      <c r="P254" t="str">
        <f>IF($A254="","",IF($E254=1,$F254*$O254,PNL!G254))</f>
        <v/>
      </c>
      <c r="T254" t="str">
        <f t="shared" si="15"/>
        <v/>
      </c>
    </row>
    <row r="255" spans="1:20" x14ac:dyDescent="0.45">
      <c r="A255" t="str">
        <f>IF(PNL!A255="","",PNL!A255)</f>
        <v/>
      </c>
      <c r="B255" t="str">
        <f>IF(PNL!B255="","",PNL!B255)</f>
        <v/>
      </c>
      <c r="C255" t="str">
        <f>IF(PNL!C255="","",PNL!C255)</f>
        <v/>
      </c>
      <c r="D255" t="str">
        <f>IF(PNL!D255="","",PNL!D255)</f>
        <v/>
      </c>
      <c r="E255" t="str">
        <f t="shared" si="12"/>
        <v/>
      </c>
      <c r="F255" t="str">
        <f>IF($A255="","",IF($E255=1,SUMIFS(Compta!$F$1:$F$675,Compta!$A$1:$A$675,$A255,Compta!$B$1:$B$675,$B255,Compta!$C$1:$C$675,"2026"),0))</f>
        <v/>
      </c>
      <c r="G255" t="str">
        <f>IF($A255="","",IF($D255="V01",cad!$C$23,IF($D255="V02",cad!$D$23,cad!$E$23)))</f>
        <v/>
      </c>
      <c r="H255" t="str">
        <f>IF($A255="","",IF($D255="V01",cad!$C$24,IF($D255="V02",cad!$D$24,cad!$E$24)))</f>
        <v/>
      </c>
      <c r="I255" t="str">
        <f>IF($A255="","",IF($D255="V01",cad!$C$32,IF($D255="V02",cad!$D$32,cad!$E$32)))</f>
        <v/>
      </c>
      <c r="J255" t="str">
        <f>IF($A255="","",IF($D255="V01",cad!$C$33,IF($D255="V02",cad!$D$33,cad!$E$33)))</f>
        <v/>
      </c>
      <c r="K255" t="str">
        <f>IF($A255="","",IF($D255="V01",cad!$C$34,IF($D255="V02",cad!$D$34,cad!$E$34)))</f>
        <v/>
      </c>
      <c r="L255" t="str">
        <f>IF($A255="","",IF($D255="V01",cad!$C$35,IF($D255="V02",cad!$D$35,cad!$E$35)))</f>
        <v/>
      </c>
      <c r="M255" t="str">
        <f>IF($A255="","",IF($D255="V01",cad!$C$36,IF($D255="V02",cad!$D$36,cad!$E$36)))</f>
        <v/>
      </c>
      <c r="N255" t="str">
        <f t="shared" si="13"/>
        <v/>
      </c>
      <c r="O255" t="str">
        <f t="shared" si="14"/>
        <v/>
      </c>
      <c r="P255" t="str">
        <f>IF($A255="","",IF($E255=1,$F255*$O255,PNL!G255))</f>
        <v/>
      </c>
      <c r="T255" t="str">
        <f t="shared" si="15"/>
        <v/>
      </c>
    </row>
    <row r="256" spans="1:20" x14ac:dyDescent="0.45">
      <c r="A256" t="str">
        <f>IF(PNL!A256="","",PNL!A256)</f>
        <v/>
      </c>
      <c r="B256" t="str">
        <f>IF(PNL!B256="","",PNL!B256)</f>
        <v/>
      </c>
      <c r="C256" t="str">
        <f>IF(PNL!C256="","",PNL!C256)</f>
        <v/>
      </c>
      <c r="D256" t="str">
        <f>IF(PNL!D256="","",PNL!D256)</f>
        <v/>
      </c>
      <c r="E256" t="str">
        <f t="shared" si="12"/>
        <v/>
      </c>
      <c r="F256" t="str">
        <f>IF($A256="","",IF($E256=1,SUMIFS(Compta!$F$1:$F$675,Compta!$A$1:$A$675,$A256,Compta!$B$1:$B$675,$B256,Compta!$C$1:$C$675,"2026"),0))</f>
        <v/>
      </c>
      <c r="G256" t="str">
        <f>IF($A256="","",IF($D256="V01",cad!$C$23,IF($D256="V02",cad!$D$23,cad!$E$23)))</f>
        <v/>
      </c>
      <c r="H256" t="str">
        <f>IF($A256="","",IF($D256="V01",cad!$C$24,IF($D256="V02",cad!$D$24,cad!$E$24)))</f>
        <v/>
      </c>
      <c r="I256" t="str">
        <f>IF($A256="","",IF($D256="V01",cad!$C$32,IF($D256="V02",cad!$D$32,cad!$E$32)))</f>
        <v/>
      </c>
      <c r="J256" t="str">
        <f>IF($A256="","",IF($D256="V01",cad!$C$33,IF($D256="V02",cad!$D$33,cad!$E$33)))</f>
        <v/>
      </c>
      <c r="K256" t="str">
        <f>IF($A256="","",IF($D256="V01",cad!$C$34,IF($D256="V02",cad!$D$34,cad!$E$34)))</f>
        <v/>
      </c>
      <c r="L256" t="str">
        <f>IF($A256="","",IF($D256="V01",cad!$C$35,IF($D256="V02",cad!$D$35,cad!$E$35)))</f>
        <v/>
      </c>
      <c r="M256" t="str">
        <f>IF($A256="","",IF($D256="V01",cad!$C$36,IF($D256="V02",cad!$D$36,cad!$E$36)))</f>
        <v/>
      </c>
      <c r="N256" t="str">
        <f t="shared" si="13"/>
        <v/>
      </c>
      <c r="O256" t="str">
        <f t="shared" si="14"/>
        <v/>
      </c>
      <c r="P256" t="str">
        <f>IF($A256="","",IF($E256=1,$F256*$O256,PNL!G256))</f>
        <v/>
      </c>
      <c r="T256" t="str">
        <f t="shared" si="15"/>
        <v/>
      </c>
    </row>
    <row r="257" spans="1:20" x14ac:dyDescent="0.45">
      <c r="A257" t="str">
        <f>IF(PNL!A257="","",PNL!A257)</f>
        <v/>
      </c>
      <c r="B257" t="str">
        <f>IF(PNL!B257="","",PNL!B257)</f>
        <v/>
      </c>
      <c r="C257" t="str">
        <f>IF(PNL!C257="","",PNL!C257)</f>
        <v/>
      </c>
      <c r="D257" t="str">
        <f>IF(PNL!D257="","",PNL!D257)</f>
        <v/>
      </c>
      <c r="E257" t="str">
        <f t="shared" si="12"/>
        <v/>
      </c>
      <c r="F257" t="str">
        <f>IF($A257="","",IF($E257=1,SUMIFS(Compta!$F$1:$F$675,Compta!$A$1:$A$675,$A257,Compta!$B$1:$B$675,$B257,Compta!$C$1:$C$675,"2026"),0))</f>
        <v/>
      </c>
      <c r="G257" t="str">
        <f>IF($A257="","",IF($D257="V01",cad!$C$23,IF($D257="V02",cad!$D$23,cad!$E$23)))</f>
        <v/>
      </c>
      <c r="H257" t="str">
        <f>IF($A257="","",IF($D257="V01",cad!$C$24,IF($D257="V02",cad!$D$24,cad!$E$24)))</f>
        <v/>
      </c>
      <c r="I257" t="str">
        <f>IF($A257="","",IF($D257="V01",cad!$C$32,IF($D257="V02",cad!$D$32,cad!$E$32)))</f>
        <v/>
      </c>
      <c r="J257" t="str">
        <f>IF($A257="","",IF($D257="V01",cad!$C$33,IF($D257="V02",cad!$D$33,cad!$E$33)))</f>
        <v/>
      </c>
      <c r="K257" t="str">
        <f>IF($A257="","",IF($D257="V01",cad!$C$34,IF($D257="V02",cad!$D$34,cad!$E$34)))</f>
        <v/>
      </c>
      <c r="L257" t="str">
        <f>IF($A257="","",IF($D257="V01",cad!$C$35,IF($D257="V02",cad!$D$35,cad!$E$35)))</f>
        <v/>
      </c>
      <c r="M257" t="str">
        <f>IF($A257="","",IF($D257="V01",cad!$C$36,IF($D257="V02",cad!$D$36,cad!$E$36)))</f>
        <v/>
      </c>
      <c r="N257" t="str">
        <f t="shared" si="13"/>
        <v/>
      </c>
      <c r="O257" t="str">
        <f t="shared" si="14"/>
        <v/>
      </c>
      <c r="P257" t="str">
        <f>IF($A257="","",IF($E257=1,$F257*$O257,PNL!G257))</f>
        <v/>
      </c>
      <c r="T257" t="str">
        <f t="shared" si="15"/>
        <v/>
      </c>
    </row>
    <row r="258" spans="1:20" x14ac:dyDescent="0.45">
      <c r="A258" t="str">
        <f>IF(PNL!A258="","",PNL!A258)</f>
        <v/>
      </c>
      <c r="B258" t="str">
        <f>IF(PNL!B258="","",PNL!B258)</f>
        <v/>
      </c>
      <c r="C258" t="str">
        <f>IF(PNL!C258="","",PNL!C258)</f>
        <v/>
      </c>
      <c r="D258" t="str">
        <f>IF(PNL!D258="","",PNL!D258)</f>
        <v/>
      </c>
      <c r="E258" t="str">
        <f t="shared" ref="E258:E321" si="16">IF($A258="","",IF(AND($C258="2027",OR($D258="V01",$D258="V02",$D258="V03")),1,0))</f>
        <v/>
      </c>
      <c r="F258" t="str">
        <f>IF($A258="","",IF($E258=1,SUMIFS(Compta!$F$1:$F$675,Compta!$A$1:$A$675,$A258,Compta!$B$1:$B$675,$B258,Compta!$C$1:$C$675,"2026"),0))</f>
        <v/>
      </c>
      <c r="G258" t="str">
        <f>IF($A258="","",IF($D258="V01",cad!$C$23,IF($D258="V02",cad!$D$23,cad!$E$23)))</f>
        <v/>
      </c>
      <c r="H258" t="str">
        <f>IF($A258="","",IF($D258="V01",cad!$C$24,IF($D258="V02",cad!$D$24,cad!$E$24)))</f>
        <v/>
      </c>
      <c r="I258" t="str">
        <f>IF($A258="","",IF($D258="V01",cad!$C$32,IF($D258="V02",cad!$D$32,cad!$E$32)))</f>
        <v/>
      </c>
      <c r="J258" t="str">
        <f>IF($A258="","",IF($D258="V01",cad!$C$33,IF($D258="V02",cad!$D$33,cad!$E$33)))</f>
        <v/>
      </c>
      <c r="K258" t="str">
        <f>IF($A258="","",IF($D258="V01",cad!$C$34,IF($D258="V02",cad!$D$34,cad!$E$34)))</f>
        <v/>
      </c>
      <c r="L258" t="str">
        <f>IF($A258="","",IF($D258="V01",cad!$C$35,IF($D258="V02",cad!$D$35,cad!$E$35)))</f>
        <v/>
      </c>
      <c r="M258" t="str">
        <f>IF($A258="","",IF($D258="V01",cad!$C$36,IF($D258="V02",cad!$D$36,cad!$E$36)))</f>
        <v/>
      </c>
      <c r="N258" t="str">
        <f t="shared" ref="N258:N321" si="17">IF($A258="","",IF($D258="V01",$R$2,IF($D258="V02",$R$3,$R$4)))</f>
        <v/>
      </c>
      <c r="O258" t="str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 t="str">
        <f>IF($A258="","",IF($E258=1,$F258*$O258,PNL!G258))</f>
        <v/>
      </c>
      <c r="T258" t="str">
        <f t="shared" ref="T258:T321" si="19">IF($A258="","",IF($E258=1,IF(OR($B258="7062",$B258="706",$B258="708"),$P258,IF(AND(LEFT($B258,1)="6",$B258&lt;&gt;"6811"),-$P258,0)),0))</f>
        <v/>
      </c>
    </row>
    <row r="259" spans="1:20" x14ac:dyDescent="0.45">
      <c r="A259" t="str">
        <f>IF(PNL!A259="","",PNL!A259)</f>
        <v/>
      </c>
      <c r="B259" t="str">
        <f>IF(PNL!B259="","",PNL!B259)</f>
        <v/>
      </c>
      <c r="C259" t="str">
        <f>IF(PNL!C259="","",PNL!C259)</f>
        <v/>
      </c>
      <c r="D259" t="str">
        <f>IF(PNL!D259="","",PNL!D259)</f>
        <v/>
      </c>
      <c r="E259" t="str">
        <f t="shared" si="16"/>
        <v/>
      </c>
      <c r="F259" t="str">
        <f>IF($A259="","",IF($E259=1,SUMIFS(Compta!$F$1:$F$675,Compta!$A$1:$A$675,$A259,Compta!$B$1:$B$675,$B259,Compta!$C$1:$C$675,"2026"),0))</f>
        <v/>
      </c>
      <c r="G259" t="str">
        <f>IF($A259="","",IF($D259="V01",cad!$C$23,IF($D259="V02",cad!$D$23,cad!$E$23)))</f>
        <v/>
      </c>
      <c r="H259" t="str">
        <f>IF($A259="","",IF($D259="V01",cad!$C$24,IF($D259="V02",cad!$D$24,cad!$E$24)))</f>
        <v/>
      </c>
      <c r="I259" t="str">
        <f>IF($A259="","",IF($D259="V01",cad!$C$32,IF($D259="V02",cad!$D$32,cad!$E$32)))</f>
        <v/>
      </c>
      <c r="J259" t="str">
        <f>IF($A259="","",IF($D259="V01",cad!$C$33,IF($D259="V02",cad!$D$33,cad!$E$33)))</f>
        <v/>
      </c>
      <c r="K259" t="str">
        <f>IF($A259="","",IF($D259="V01",cad!$C$34,IF($D259="V02",cad!$D$34,cad!$E$34)))</f>
        <v/>
      </c>
      <c r="L259" t="str">
        <f>IF($A259="","",IF($D259="V01",cad!$C$35,IF($D259="V02",cad!$D$35,cad!$E$35)))</f>
        <v/>
      </c>
      <c r="M259" t="str">
        <f>IF($A259="","",IF($D259="V01",cad!$C$36,IF($D259="V02",cad!$D$36,cad!$E$36)))</f>
        <v/>
      </c>
      <c r="N259" t="str">
        <f t="shared" si="17"/>
        <v/>
      </c>
      <c r="O259" t="str">
        <f t="shared" si="18"/>
        <v/>
      </c>
      <c r="P259" t="str">
        <f>IF($A259="","",IF($E259=1,$F259*$O259,PNL!G259))</f>
        <v/>
      </c>
      <c r="T259" t="str">
        <f t="shared" si="19"/>
        <v/>
      </c>
    </row>
    <row r="260" spans="1:20" x14ac:dyDescent="0.45">
      <c r="A260" t="str">
        <f>IF(PNL!A260="","",PNL!A260)</f>
        <v/>
      </c>
      <c r="B260" t="str">
        <f>IF(PNL!B260="","",PNL!B260)</f>
        <v/>
      </c>
      <c r="C260" t="str">
        <f>IF(PNL!C260="","",PNL!C260)</f>
        <v/>
      </c>
      <c r="D260" t="str">
        <f>IF(PNL!D260="","",PNL!D260)</f>
        <v/>
      </c>
      <c r="E260" t="str">
        <f t="shared" si="16"/>
        <v/>
      </c>
      <c r="F260" t="str">
        <f>IF($A260="","",IF($E260=1,SUMIFS(Compta!$F$1:$F$675,Compta!$A$1:$A$675,$A260,Compta!$B$1:$B$675,$B260,Compta!$C$1:$C$675,"2026"),0))</f>
        <v/>
      </c>
      <c r="G260" t="str">
        <f>IF($A260="","",IF($D260="V01",cad!$C$23,IF($D260="V02",cad!$D$23,cad!$E$23)))</f>
        <v/>
      </c>
      <c r="H260" t="str">
        <f>IF($A260="","",IF($D260="V01",cad!$C$24,IF($D260="V02",cad!$D$24,cad!$E$24)))</f>
        <v/>
      </c>
      <c r="I260" t="str">
        <f>IF($A260="","",IF($D260="V01",cad!$C$32,IF($D260="V02",cad!$D$32,cad!$E$32)))</f>
        <v/>
      </c>
      <c r="J260" t="str">
        <f>IF($A260="","",IF($D260="V01",cad!$C$33,IF($D260="V02",cad!$D$33,cad!$E$33)))</f>
        <v/>
      </c>
      <c r="K260" t="str">
        <f>IF($A260="","",IF($D260="V01",cad!$C$34,IF($D260="V02",cad!$D$34,cad!$E$34)))</f>
        <v/>
      </c>
      <c r="L260" t="str">
        <f>IF($A260="","",IF($D260="V01",cad!$C$35,IF($D260="V02",cad!$D$35,cad!$E$35)))</f>
        <v/>
      </c>
      <c r="M260" t="str">
        <f>IF($A260="","",IF($D260="V01",cad!$C$36,IF($D260="V02",cad!$D$36,cad!$E$36)))</f>
        <v/>
      </c>
      <c r="N260" t="str">
        <f t="shared" si="17"/>
        <v/>
      </c>
      <c r="O260" t="str">
        <f t="shared" si="18"/>
        <v/>
      </c>
      <c r="P260" t="str">
        <f>IF($A260="","",IF($E260=1,$F260*$O260,PNL!G260))</f>
        <v/>
      </c>
      <c r="T260" t="str">
        <f t="shared" si="19"/>
        <v/>
      </c>
    </row>
    <row r="261" spans="1:20" x14ac:dyDescent="0.45">
      <c r="A261" t="str">
        <f>IF(PNL!A261="","",PNL!A261)</f>
        <v/>
      </c>
      <c r="B261" t="str">
        <f>IF(PNL!B261="","",PNL!B261)</f>
        <v/>
      </c>
      <c r="C261" t="str">
        <f>IF(PNL!C261="","",PNL!C261)</f>
        <v/>
      </c>
      <c r="D261" t="str">
        <f>IF(PNL!D261="","",PNL!D261)</f>
        <v/>
      </c>
      <c r="E261" t="str">
        <f t="shared" si="16"/>
        <v/>
      </c>
      <c r="F261" t="str">
        <f>IF($A261="","",IF($E261=1,SUMIFS(Compta!$F$1:$F$675,Compta!$A$1:$A$675,$A261,Compta!$B$1:$B$675,$B261,Compta!$C$1:$C$675,"2026"),0))</f>
        <v/>
      </c>
      <c r="G261" t="str">
        <f>IF($A261="","",IF($D261="V01",cad!$C$23,IF($D261="V02",cad!$D$23,cad!$E$23)))</f>
        <v/>
      </c>
      <c r="H261" t="str">
        <f>IF($A261="","",IF($D261="V01",cad!$C$24,IF($D261="V02",cad!$D$24,cad!$E$24)))</f>
        <v/>
      </c>
      <c r="I261" t="str">
        <f>IF($A261="","",IF($D261="V01",cad!$C$32,IF($D261="V02",cad!$D$32,cad!$E$32)))</f>
        <v/>
      </c>
      <c r="J261" t="str">
        <f>IF($A261="","",IF($D261="V01",cad!$C$33,IF($D261="V02",cad!$D$33,cad!$E$33)))</f>
        <v/>
      </c>
      <c r="K261" t="str">
        <f>IF($A261="","",IF($D261="V01",cad!$C$34,IF($D261="V02",cad!$D$34,cad!$E$34)))</f>
        <v/>
      </c>
      <c r="L261" t="str">
        <f>IF($A261="","",IF($D261="V01",cad!$C$35,IF($D261="V02",cad!$D$35,cad!$E$35)))</f>
        <v/>
      </c>
      <c r="M261" t="str">
        <f>IF($A261="","",IF($D261="V01",cad!$C$36,IF($D261="V02",cad!$D$36,cad!$E$36)))</f>
        <v/>
      </c>
      <c r="N261" t="str">
        <f t="shared" si="17"/>
        <v/>
      </c>
      <c r="O261" t="str">
        <f t="shared" si="18"/>
        <v/>
      </c>
      <c r="P261" t="str">
        <f>IF($A261="","",IF($E261=1,$F261*$O261,PNL!G261))</f>
        <v/>
      </c>
      <c r="T261" t="str">
        <f t="shared" si="19"/>
        <v/>
      </c>
    </row>
    <row r="262" spans="1:20" x14ac:dyDescent="0.45">
      <c r="A262" t="str">
        <f>IF(PNL!A262="","",PNL!A262)</f>
        <v/>
      </c>
      <c r="B262" t="str">
        <f>IF(PNL!B262="","",PNL!B262)</f>
        <v/>
      </c>
      <c r="C262" t="str">
        <f>IF(PNL!C262="","",PNL!C262)</f>
        <v/>
      </c>
      <c r="D262" t="str">
        <f>IF(PNL!D262="","",PNL!D262)</f>
        <v/>
      </c>
      <c r="E262" t="str">
        <f t="shared" si="16"/>
        <v/>
      </c>
      <c r="F262" t="str">
        <f>IF($A262="","",IF($E262=1,SUMIFS(Compta!$F$1:$F$675,Compta!$A$1:$A$675,$A262,Compta!$B$1:$B$675,$B262,Compta!$C$1:$C$675,"2026"),0))</f>
        <v/>
      </c>
      <c r="G262" t="str">
        <f>IF($A262="","",IF($D262="V01",cad!$C$23,IF($D262="V02",cad!$D$23,cad!$E$23)))</f>
        <v/>
      </c>
      <c r="H262" t="str">
        <f>IF($A262="","",IF($D262="V01",cad!$C$24,IF($D262="V02",cad!$D$24,cad!$E$24)))</f>
        <v/>
      </c>
      <c r="I262" t="str">
        <f>IF($A262="","",IF($D262="V01",cad!$C$32,IF($D262="V02",cad!$D$32,cad!$E$32)))</f>
        <v/>
      </c>
      <c r="J262" t="str">
        <f>IF($A262="","",IF($D262="V01",cad!$C$33,IF($D262="V02",cad!$D$33,cad!$E$33)))</f>
        <v/>
      </c>
      <c r="K262" t="str">
        <f>IF($A262="","",IF($D262="V01",cad!$C$34,IF($D262="V02",cad!$D$34,cad!$E$34)))</f>
        <v/>
      </c>
      <c r="L262" t="str">
        <f>IF($A262="","",IF($D262="V01",cad!$C$35,IF($D262="V02",cad!$D$35,cad!$E$35)))</f>
        <v/>
      </c>
      <c r="M262" t="str">
        <f>IF($A262="","",IF($D262="V01",cad!$C$36,IF($D262="V02",cad!$D$36,cad!$E$36)))</f>
        <v/>
      </c>
      <c r="N262" t="str">
        <f t="shared" si="17"/>
        <v/>
      </c>
      <c r="O262" t="str">
        <f t="shared" si="18"/>
        <v/>
      </c>
      <c r="P262" t="str">
        <f>IF($A262="","",IF($E262=1,$F262*$O262,PNL!G262))</f>
        <v/>
      </c>
      <c r="T262" t="str">
        <f t="shared" si="19"/>
        <v/>
      </c>
    </row>
    <row r="263" spans="1:20" x14ac:dyDescent="0.45">
      <c r="A263" t="str">
        <f>IF(PNL!A263="","",PNL!A263)</f>
        <v/>
      </c>
      <c r="B263" t="str">
        <f>IF(PNL!B263="","",PNL!B263)</f>
        <v/>
      </c>
      <c r="C263" t="str">
        <f>IF(PNL!C263="","",PNL!C263)</f>
        <v/>
      </c>
      <c r="D263" t="str">
        <f>IF(PNL!D263="","",PNL!D263)</f>
        <v/>
      </c>
      <c r="E263" t="str">
        <f t="shared" si="16"/>
        <v/>
      </c>
      <c r="F263" t="str">
        <f>IF($A263="","",IF($E263=1,SUMIFS(Compta!$F$1:$F$675,Compta!$A$1:$A$675,$A263,Compta!$B$1:$B$675,$B263,Compta!$C$1:$C$675,"2026"),0))</f>
        <v/>
      </c>
      <c r="G263" t="str">
        <f>IF($A263="","",IF($D263="V01",cad!$C$23,IF($D263="V02",cad!$D$23,cad!$E$23)))</f>
        <v/>
      </c>
      <c r="H263" t="str">
        <f>IF($A263="","",IF($D263="V01",cad!$C$24,IF($D263="V02",cad!$D$24,cad!$E$24)))</f>
        <v/>
      </c>
      <c r="I263" t="str">
        <f>IF($A263="","",IF($D263="V01",cad!$C$32,IF($D263="V02",cad!$D$32,cad!$E$32)))</f>
        <v/>
      </c>
      <c r="J263" t="str">
        <f>IF($A263="","",IF($D263="V01",cad!$C$33,IF($D263="V02",cad!$D$33,cad!$E$33)))</f>
        <v/>
      </c>
      <c r="K263" t="str">
        <f>IF($A263="","",IF($D263="V01",cad!$C$34,IF($D263="V02",cad!$D$34,cad!$E$34)))</f>
        <v/>
      </c>
      <c r="L263" t="str">
        <f>IF($A263="","",IF($D263="V01",cad!$C$35,IF($D263="V02",cad!$D$35,cad!$E$35)))</f>
        <v/>
      </c>
      <c r="M263" t="str">
        <f>IF($A263="","",IF($D263="V01",cad!$C$36,IF($D263="V02",cad!$D$36,cad!$E$36)))</f>
        <v/>
      </c>
      <c r="N263" t="str">
        <f t="shared" si="17"/>
        <v/>
      </c>
      <c r="O263" t="str">
        <f t="shared" si="18"/>
        <v/>
      </c>
      <c r="P263" t="str">
        <f>IF($A263="","",IF($E263=1,$F263*$O263,PNL!G263))</f>
        <v/>
      </c>
      <c r="T263" t="str">
        <f t="shared" si="19"/>
        <v/>
      </c>
    </row>
    <row r="264" spans="1:20" x14ac:dyDescent="0.45">
      <c r="A264" t="str">
        <f>IF(PNL!A264="","",PNL!A264)</f>
        <v/>
      </c>
      <c r="B264" t="str">
        <f>IF(PNL!B264="","",PNL!B264)</f>
        <v/>
      </c>
      <c r="C264" t="str">
        <f>IF(PNL!C264="","",PNL!C264)</f>
        <v/>
      </c>
      <c r="D264" t="str">
        <f>IF(PNL!D264="","",PNL!D264)</f>
        <v/>
      </c>
      <c r="E264" t="str">
        <f t="shared" si="16"/>
        <v/>
      </c>
      <c r="F264" t="str">
        <f>IF($A264="","",IF($E264=1,SUMIFS(Compta!$F$1:$F$675,Compta!$A$1:$A$675,$A264,Compta!$B$1:$B$675,$B264,Compta!$C$1:$C$675,"2026"),0))</f>
        <v/>
      </c>
      <c r="G264" t="str">
        <f>IF($A264="","",IF($D264="V01",cad!$C$23,IF($D264="V02",cad!$D$23,cad!$E$23)))</f>
        <v/>
      </c>
      <c r="H264" t="str">
        <f>IF($A264="","",IF($D264="V01",cad!$C$24,IF($D264="V02",cad!$D$24,cad!$E$24)))</f>
        <v/>
      </c>
      <c r="I264" t="str">
        <f>IF($A264="","",IF($D264="V01",cad!$C$32,IF($D264="V02",cad!$D$32,cad!$E$32)))</f>
        <v/>
      </c>
      <c r="J264" t="str">
        <f>IF($A264="","",IF($D264="V01",cad!$C$33,IF($D264="V02",cad!$D$33,cad!$E$33)))</f>
        <v/>
      </c>
      <c r="K264" t="str">
        <f>IF($A264="","",IF($D264="V01",cad!$C$34,IF($D264="V02",cad!$D$34,cad!$E$34)))</f>
        <v/>
      </c>
      <c r="L264" t="str">
        <f>IF($A264="","",IF($D264="V01",cad!$C$35,IF($D264="V02",cad!$D$35,cad!$E$35)))</f>
        <v/>
      </c>
      <c r="M264" t="str">
        <f>IF($A264="","",IF($D264="V01",cad!$C$36,IF($D264="V02",cad!$D$36,cad!$E$36)))</f>
        <v/>
      </c>
      <c r="N264" t="str">
        <f t="shared" si="17"/>
        <v/>
      </c>
      <c r="O264" t="str">
        <f t="shared" si="18"/>
        <v/>
      </c>
      <c r="P264" t="str">
        <f>IF($A264="","",IF($E264=1,$F264*$O264,PNL!G264))</f>
        <v/>
      </c>
      <c r="T264" t="str">
        <f t="shared" si="19"/>
        <v/>
      </c>
    </row>
    <row r="265" spans="1:20" x14ac:dyDescent="0.45">
      <c r="A265" t="str">
        <f>IF(PNL!A265="","",PNL!A265)</f>
        <v/>
      </c>
      <c r="B265" t="str">
        <f>IF(PNL!B265="","",PNL!B265)</f>
        <v/>
      </c>
      <c r="C265" t="str">
        <f>IF(PNL!C265="","",PNL!C265)</f>
        <v/>
      </c>
      <c r="D265" t="str">
        <f>IF(PNL!D265="","",PNL!D265)</f>
        <v/>
      </c>
      <c r="E265" t="str">
        <f t="shared" si="16"/>
        <v/>
      </c>
      <c r="F265" t="str">
        <f>IF($A265="","",IF($E265=1,SUMIFS(Compta!$F$1:$F$675,Compta!$A$1:$A$675,$A265,Compta!$B$1:$B$675,$B265,Compta!$C$1:$C$675,"2026"),0))</f>
        <v/>
      </c>
      <c r="G265" t="str">
        <f>IF($A265="","",IF($D265="V01",cad!$C$23,IF($D265="V02",cad!$D$23,cad!$E$23)))</f>
        <v/>
      </c>
      <c r="H265" t="str">
        <f>IF($A265="","",IF($D265="V01",cad!$C$24,IF($D265="V02",cad!$D$24,cad!$E$24)))</f>
        <v/>
      </c>
      <c r="I265" t="str">
        <f>IF($A265="","",IF($D265="V01",cad!$C$32,IF($D265="V02",cad!$D$32,cad!$E$32)))</f>
        <v/>
      </c>
      <c r="J265" t="str">
        <f>IF($A265="","",IF($D265="V01",cad!$C$33,IF($D265="V02",cad!$D$33,cad!$E$33)))</f>
        <v/>
      </c>
      <c r="K265" t="str">
        <f>IF($A265="","",IF($D265="V01",cad!$C$34,IF($D265="V02",cad!$D$34,cad!$E$34)))</f>
        <v/>
      </c>
      <c r="L265" t="str">
        <f>IF($A265="","",IF($D265="V01",cad!$C$35,IF($D265="V02",cad!$D$35,cad!$E$35)))</f>
        <v/>
      </c>
      <c r="M265" t="str">
        <f>IF($A265="","",IF($D265="V01",cad!$C$36,IF($D265="V02",cad!$D$36,cad!$E$36)))</f>
        <v/>
      </c>
      <c r="N265" t="str">
        <f t="shared" si="17"/>
        <v/>
      </c>
      <c r="O265" t="str">
        <f t="shared" si="18"/>
        <v/>
      </c>
      <c r="P265" t="str">
        <f>IF($A265="","",IF($E265=1,$F265*$O265,PNL!G265))</f>
        <v/>
      </c>
      <c r="T265" t="str">
        <f t="shared" si="19"/>
        <v/>
      </c>
    </row>
    <row r="266" spans="1:20" x14ac:dyDescent="0.45">
      <c r="A266" t="str">
        <f>IF(PNL!A266="","",PNL!A266)</f>
        <v/>
      </c>
      <c r="B266" t="str">
        <f>IF(PNL!B266="","",PNL!B266)</f>
        <v/>
      </c>
      <c r="C266" t="str">
        <f>IF(PNL!C266="","",PNL!C266)</f>
        <v/>
      </c>
      <c r="D266" t="str">
        <f>IF(PNL!D266="","",PNL!D266)</f>
        <v/>
      </c>
      <c r="E266" t="str">
        <f t="shared" si="16"/>
        <v/>
      </c>
      <c r="F266" t="str">
        <f>IF($A266="","",IF($E266=1,SUMIFS(Compta!$F$1:$F$675,Compta!$A$1:$A$675,$A266,Compta!$B$1:$B$675,$B266,Compta!$C$1:$C$675,"2026"),0))</f>
        <v/>
      </c>
      <c r="G266" t="str">
        <f>IF($A266="","",IF($D266="V01",cad!$C$23,IF($D266="V02",cad!$D$23,cad!$E$23)))</f>
        <v/>
      </c>
      <c r="H266" t="str">
        <f>IF($A266="","",IF($D266="V01",cad!$C$24,IF($D266="V02",cad!$D$24,cad!$E$24)))</f>
        <v/>
      </c>
      <c r="I266" t="str">
        <f>IF($A266="","",IF($D266="V01",cad!$C$32,IF($D266="V02",cad!$D$32,cad!$E$32)))</f>
        <v/>
      </c>
      <c r="J266" t="str">
        <f>IF($A266="","",IF($D266="V01",cad!$C$33,IF($D266="V02",cad!$D$33,cad!$E$33)))</f>
        <v/>
      </c>
      <c r="K266" t="str">
        <f>IF($A266="","",IF($D266="V01",cad!$C$34,IF($D266="V02",cad!$D$34,cad!$E$34)))</f>
        <v/>
      </c>
      <c r="L266" t="str">
        <f>IF($A266="","",IF($D266="V01",cad!$C$35,IF($D266="V02",cad!$D$35,cad!$E$35)))</f>
        <v/>
      </c>
      <c r="M266" t="str">
        <f>IF($A266="","",IF($D266="V01",cad!$C$36,IF($D266="V02",cad!$D$36,cad!$E$36)))</f>
        <v/>
      </c>
      <c r="N266" t="str">
        <f t="shared" si="17"/>
        <v/>
      </c>
      <c r="O266" t="str">
        <f t="shared" si="18"/>
        <v/>
      </c>
      <c r="P266" t="str">
        <f>IF($A266="","",IF($E266=1,$F266*$O266,PNL!G266))</f>
        <v/>
      </c>
      <c r="T266" t="str">
        <f t="shared" si="19"/>
        <v/>
      </c>
    </row>
    <row r="267" spans="1:20" x14ac:dyDescent="0.45">
      <c r="A267" t="str">
        <f>IF(PNL!A267="","",PNL!A267)</f>
        <v/>
      </c>
      <c r="B267" t="str">
        <f>IF(PNL!B267="","",PNL!B267)</f>
        <v/>
      </c>
      <c r="C267" t="str">
        <f>IF(PNL!C267="","",PNL!C267)</f>
        <v/>
      </c>
      <c r="D267" t="str">
        <f>IF(PNL!D267="","",PNL!D267)</f>
        <v/>
      </c>
      <c r="E267" t="str">
        <f t="shared" si="16"/>
        <v/>
      </c>
      <c r="F267" t="str">
        <f>IF($A267="","",IF($E267=1,SUMIFS(Compta!$F$1:$F$675,Compta!$A$1:$A$675,$A267,Compta!$B$1:$B$675,$B267,Compta!$C$1:$C$675,"2026"),0))</f>
        <v/>
      </c>
      <c r="G267" t="str">
        <f>IF($A267="","",IF($D267="V01",cad!$C$23,IF($D267="V02",cad!$D$23,cad!$E$23)))</f>
        <v/>
      </c>
      <c r="H267" t="str">
        <f>IF($A267="","",IF($D267="V01",cad!$C$24,IF($D267="V02",cad!$D$24,cad!$E$24)))</f>
        <v/>
      </c>
      <c r="I267" t="str">
        <f>IF($A267="","",IF($D267="V01",cad!$C$32,IF($D267="V02",cad!$D$32,cad!$E$32)))</f>
        <v/>
      </c>
      <c r="J267" t="str">
        <f>IF($A267="","",IF($D267="V01",cad!$C$33,IF($D267="V02",cad!$D$33,cad!$E$33)))</f>
        <v/>
      </c>
      <c r="K267" t="str">
        <f>IF($A267="","",IF($D267="V01",cad!$C$34,IF($D267="V02",cad!$D$34,cad!$E$34)))</f>
        <v/>
      </c>
      <c r="L267" t="str">
        <f>IF($A267="","",IF($D267="V01",cad!$C$35,IF($D267="V02",cad!$D$35,cad!$E$35)))</f>
        <v/>
      </c>
      <c r="M267" t="str">
        <f>IF($A267="","",IF($D267="V01",cad!$C$36,IF($D267="V02",cad!$D$36,cad!$E$36)))</f>
        <v/>
      </c>
      <c r="N267" t="str">
        <f t="shared" si="17"/>
        <v/>
      </c>
      <c r="O267" t="str">
        <f t="shared" si="18"/>
        <v/>
      </c>
      <c r="P267" t="str">
        <f>IF($A267="","",IF($E267=1,$F267*$O267,PNL!G267))</f>
        <v/>
      </c>
      <c r="T267" t="str">
        <f t="shared" si="19"/>
        <v/>
      </c>
    </row>
    <row r="268" spans="1:20" x14ac:dyDescent="0.45">
      <c r="A268" t="str">
        <f>IF(PNL!A268="","",PNL!A268)</f>
        <v/>
      </c>
      <c r="B268" t="str">
        <f>IF(PNL!B268="","",PNL!B268)</f>
        <v/>
      </c>
      <c r="C268" t="str">
        <f>IF(PNL!C268="","",PNL!C268)</f>
        <v/>
      </c>
      <c r="D268" t="str">
        <f>IF(PNL!D268="","",PNL!D268)</f>
        <v/>
      </c>
      <c r="E268" t="str">
        <f t="shared" si="16"/>
        <v/>
      </c>
      <c r="F268" t="str">
        <f>IF($A268="","",IF($E268=1,SUMIFS(Compta!$F$1:$F$675,Compta!$A$1:$A$675,$A268,Compta!$B$1:$B$675,$B268,Compta!$C$1:$C$675,"2026"),0))</f>
        <v/>
      </c>
      <c r="G268" t="str">
        <f>IF($A268="","",IF($D268="V01",cad!$C$23,IF($D268="V02",cad!$D$23,cad!$E$23)))</f>
        <v/>
      </c>
      <c r="H268" t="str">
        <f>IF($A268="","",IF($D268="V01",cad!$C$24,IF($D268="V02",cad!$D$24,cad!$E$24)))</f>
        <v/>
      </c>
      <c r="I268" t="str">
        <f>IF($A268="","",IF($D268="V01",cad!$C$32,IF($D268="V02",cad!$D$32,cad!$E$32)))</f>
        <v/>
      </c>
      <c r="J268" t="str">
        <f>IF($A268="","",IF($D268="V01",cad!$C$33,IF($D268="V02",cad!$D$33,cad!$E$33)))</f>
        <v/>
      </c>
      <c r="K268" t="str">
        <f>IF($A268="","",IF($D268="V01",cad!$C$34,IF($D268="V02",cad!$D$34,cad!$E$34)))</f>
        <v/>
      </c>
      <c r="L268" t="str">
        <f>IF($A268="","",IF($D268="V01",cad!$C$35,IF($D268="V02",cad!$D$35,cad!$E$35)))</f>
        <v/>
      </c>
      <c r="M268" t="str">
        <f>IF($A268="","",IF($D268="V01",cad!$C$36,IF($D268="V02",cad!$D$36,cad!$E$36)))</f>
        <v/>
      </c>
      <c r="N268" t="str">
        <f t="shared" si="17"/>
        <v/>
      </c>
      <c r="O268" t="str">
        <f t="shared" si="18"/>
        <v/>
      </c>
      <c r="P268" t="str">
        <f>IF($A268="","",IF($E268=1,$F268*$O268,PNL!G268))</f>
        <v/>
      </c>
      <c r="T268" t="str">
        <f t="shared" si="19"/>
        <v/>
      </c>
    </row>
    <row r="269" spans="1:20" x14ac:dyDescent="0.45">
      <c r="A269" t="str">
        <f>IF(PNL!A269="","",PNL!A269)</f>
        <v/>
      </c>
      <c r="B269" t="str">
        <f>IF(PNL!B269="","",PNL!B269)</f>
        <v/>
      </c>
      <c r="C269" t="str">
        <f>IF(PNL!C269="","",PNL!C269)</f>
        <v/>
      </c>
      <c r="D269" t="str">
        <f>IF(PNL!D269="","",PNL!D269)</f>
        <v/>
      </c>
      <c r="E269" t="str">
        <f t="shared" si="16"/>
        <v/>
      </c>
      <c r="F269" t="str">
        <f>IF($A269="","",IF($E269=1,SUMIFS(Compta!$F$1:$F$675,Compta!$A$1:$A$675,$A269,Compta!$B$1:$B$675,$B269,Compta!$C$1:$C$675,"2026"),0))</f>
        <v/>
      </c>
      <c r="G269" t="str">
        <f>IF($A269="","",IF($D269="V01",cad!$C$23,IF($D269="V02",cad!$D$23,cad!$E$23)))</f>
        <v/>
      </c>
      <c r="H269" t="str">
        <f>IF($A269="","",IF($D269="V01",cad!$C$24,IF($D269="V02",cad!$D$24,cad!$E$24)))</f>
        <v/>
      </c>
      <c r="I269" t="str">
        <f>IF($A269="","",IF($D269="V01",cad!$C$32,IF($D269="V02",cad!$D$32,cad!$E$32)))</f>
        <v/>
      </c>
      <c r="J269" t="str">
        <f>IF($A269="","",IF($D269="V01",cad!$C$33,IF($D269="V02",cad!$D$33,cad!$E$33)))</f>
        <v/>
      </c>
      <c r="K269" t="str">
        <f>IF($A269="","",IF($D269="V01",cad!$C$34,IF($D269="V02",cad!$D$34,cad!$E$34)))</f>
        <v/>
      </c>
      <c r="L269" t="str">
        <f>IF($A269="","",IF($D269="V01",cad!$C$35,IF($D269="V02",cad!$D$35,cad!$E$35)))</f>
        <v/>
      </c>
      <c r="M269" t="str">
        <f>IF($A269="","",IF($D269="V01",cad!$C$36,IF($D269="V02",cad!$D$36,cad!$E$36)))</f>
        <v/>
      </c>
      <c r="N269" t="str">
        <f t="shared" si="17"/>
        <v/>
      </c>
      <c r="O269" t="str">
        <f t="shared" si="18"/>
        <v/>
      </c>
      <c r="P269" t="str">
        <f>IF($A269="","",IF($E269=1,$F269*$O269,PNL!G269))</f>
        <v/>
      </c>
      <c r="T269" t="str">
        <f t="shared" si="19"/>
        <v/>
      </c>
    </row>
    <row r="270" spans="1:20" x14ac:dyDescent="0.45">
      <c r="A270" t="str">
        <f>IF(PNL!A270="","",PNL!A270)</f>
        <v/>
      </c>
      <c r="B270" t="str">
        <f>IF(PNL!B270="","",PNL!B270)</f>
        <v/>
      </c>
      <c r="C270" t="str">
        <f>IF(PNL!C270="","",PNL!C270)</f>
        <v/>
      </c>
      <c r="D270" t="str">
        <f>IF(PNL!D270="","",PNL!D270)</f>
        <v/>
      </c>
      <c r="E270" t="str">
        <f t="shared" si="16"/>
        <v/>
      </c>
      <c r="F270" t="str">
        <f>IF($A270="","",IF($E270=1,SUMIFS(Compta!$F$1:$F$675,Compta!$A$1:$A$675,$A270,Compta!$B$1:$B$675,$B270,Compta!$C$1:$C$675,"2026"),0))</f>
        <v/>
      </c>
      <c r="G270" t="str">
        <f>IF($A270="","",IF($D270="V01",cad!$C$23,IF($D270="V02",cad!$D$23,cad!$E$23)))</f>
        <v/>
      </c>
      <c r="H270" t="str">
        <f>IF($A270="","",IF($D270="V01",cad!$C$24,IF($D270="V02",cad!$D$24,cad!$E$24)))</f>
        <v/>
      </c>
      <c r="I270" t="str">
        <f>IF($A270="","",IF($D270="V01",cad!$C$32,IF($D270="V02",cad!$D$32,cad!$E$32)))</f>
        <v/>
      </c>
      <c r="J270" t="str">
        <f>IF($A270="","",IF($D270="V01",cad!$C$33,IF($D270="V02",cad!$D$33,cad!$E$33)))</f>
        <v/>
      </c>
      <c r="K270" t="str">
        <f>IF($A270="","",IF($D270="V01",cad!$C$34,IF($D270="V02",cad!$D$34,cad!$E$34)))</f>
        <v/>
      </c>
      <c r="L270" t="str">
        <f>IF($A270="","",IF($D270="V01",cad!$C$35,IF($D270="V02",cad!$D$35,cad!$E$35)))</f>
        <v/>
      </c>
      <c r="M270" t="str">
        <f>IF($A270="","",IF($D270="V01",cad!$C$36,IF($D270="V02",cad!$D$36,cad!$E$36)))</f>
        <v/>
      </c>
      <c r="N270" t="str">
        <f t="shared" si="17"/>
        <v/>
      </c>
      <c r="O270" t="str">
        <f t="shared" si="18"/>
        <v/>
      </c>
      <c r="P270" t="str">
        <f>IF($A270="","",IF($E270=1,$F270*$O270,PNL!G270))</f>
        <v/>
      </c>
      <c r="T270" t="str">
        <f t="shared" si="19"/>
        <v/>
      </c>
    </row>
    <row r="271" spans="1:20" x14ac:dyDescent="0.45">
      <c r="A271" t="str">
        <f>IF(PNL!A271="","",PNL!A271)</f>
        <v/>
      </c>
      <c r="B271" t="str">
        <f>IF(PNL!B271="","",PNL!B271)</f>
        <v/>
      </c>
      <c r="C271" t="str">
        <f>IF(PNL!C271="","",PNL!C271)</f>
        <v/>
      </c>
      <c r="D271" t="str">
        <f>IF(PNL!D271="","",PNL!D271)</f>
        <v/>
      </c>
      <c r="E271" t="str">
        <f t="shared" si="16"/>
        <v/>
      </c>
      <c r="F271" t="str">
        <f>IF($A271="","",IF($E271=1,SUMIFS(Compta!$F$1:$F$675,Compta!$A$1:$A$675,$A271,Compta!$B$1:$B$675,$B271,Compta!$C$1:$C$675,"2026"),0))</f>
        <v/>
      </c>
      <c r="G271" t="str">
        <f>IF($A271="","",IF($D271="V01",cad!$C$23,IF($D271="V02",cad!$D$23,cad!$E$23)))</f>
        <v/>
      </c>
      <c r="H271" t="str">
        <f>IF($A271="","",IF($D271="V01",cad!$C$24,IF($D271="V02",cad!$D$24,cad!$E$24)))</f>
        <v/>
      </c>
      <c r="I271" t="str">
        <f>IF($A271="","",IF($D271="V01",cad!$C$32,IF($D271="V02",cad!$D$32,cad!$E$32)))</f>
        <v/>
      </c>
      <c r="J271" t="str">
        <f>IF($A271="","",IF($D271="V01",cad!$C$33,IF($D271="V02",cad!$D$33,cad!$E$33)))</f>
        <v/>
      </c>
      <c r="K271" t="str">
        <f>IF($A271="","",IF($D271="V01",cad!$C$34,IF($D271="V02",cad!$D$34,cad!$E$34)))</f>
        <v/>
      </c>
      <c r="L271" t="str">
        <f>IF($A271="","",IF($D271="V01",cad!$C$35,IF($D271="V02",cad!$D$35,cad!$E$35)))</f>
        <v/>
      </c>
      <c r="M271" t="str">
        <f>IF($A271="","",IF($D271="V01",cad!$C$36,IF($D271="V02",cad!$D$36,cad!$E$36)))</f>
        <v/>
      </c>
      <c r="N271" t="str">
        <f t="shared" si="17"/>
        <v/>
      </c>
      <c r="O271" t="str">
        <f t="shared" si="18"/>
        <v/>
      </c>
      <c r="P271" t="str">
        <f>IF($A271="","",IF($E271=1,$F271*$O271,PNL!G271))</f>
        <v/>
      </c>
      <c r="T271" t="str">
        <f t="shared" si="19"/>
        <v/>
      </c>
    </row>
    <row r="272" spans="1:20" x14ac:dyDescent="0.45">
      <c r="A272" t="str">
        <f>IF(PNL!A272="","",PNL!A272)</f>
        <v/>
      </c>
      <c r="B272" t="str">
        <f>IF(PNL!B272="","",PNL!B272)</f>
        <v/>
      </c>
      <c r="C272" t="str">
        <f>IF(PNL!C272="","",PNL!C272)</f>
        <v/>
      </c>
      <c r="D272" t="str">
        <f>IF(PNL!D272="","",PNL!D272)</f>
        <v/>
      </c>
      <c r="E272" t="str">
        <f t="shared" si="16"/>
        <v/>
      </c>
      <c r="F272" t="str">
        <f>IF($A272="","",IF($E272=1,SUMIFS(Compta!$F$1:$F$675,Compta!$A$1:$A$675,$A272,Compta!$B$1:$B$675,$B272,Compta!$C$1:$C$675,"2026"),0))</f>
        <v/>
      </c>
      <c r="G272" t="str">
        <f>IF($A272="","",IF($D272="V01",cad!$C$23,IF($D272="V02",cad!$D$23,cad!$E$23)))</f>
        <v/>
      </c>
      <c r="H272" t="str">
        <f>IF($A272="","",IF($D272="V01",cad!$C$24,IF($D272="V02",cad!$D$24,cad!$E$24)))</f>
        <v/>
      </c>
      <c r="I272" t="str">
        <f>IF($A272="","",IF($D272="V01",cad!$C$32,IF($D272="V02",cad!$D$32,cad!$E$32)))</f>
        <v/>
      </c>
      <c r="J272" t="str">
        <f>IF($A272="","",IF($D272="V01",cad!$C$33,IF($D272="V02",cad!$D$33,cad!$E$33)))</f>
        <v/>
      </c>
      <c r="K272" t="str">
        <f>IF($A272="","",IF($D272="V01",cad!$C$34,IF($D272="V02",cad!$D$34,cad!$E$34)))</f>
        <v/>
      </c>
      <c r="L272" t="str">
        <f>IF($A272="","",IF($D272="V01",cad!$C$35,IF($D272="V02",cad!$D$35,cad!$E$35)))</f>
        <v/>
      </c>
      <c r="M272" t="str">
        <f>IF($A272="","",IF($D272="V01",cad!$C$36,IF($D272="V02",cad!$D$36,cad!$E$36)))</f>
        <v/>
      </c>
      <c r="N272" t="str">
        <f t="shared" si="17"/>
        <v/>
      </c>
      <c r="O272" t="str">
        <f t="shared" si="18"/>
        <v/>
      </c>
      <c r="P272" t="str">
        <f>IF($A272="","",IF($E272=1,$F272*$O272,PNL!G272))</f>
        <v/>
      </c>
      <c r="T272" t="str">
        <f t="shared" si="19"/>
        <v/>
      </c>
    </row>
    <row r="273" spans="1:20" x14ac:dyDescent="0.45">
      <c r="A273" t="str">
        <f>IF(PNL!A273="","",PNL!A273)</f>
        <v/>
      </c>
      <c r="B273" t="str">
        <f>IF(PNL!B273="","",PNL!B273)</f>
        <v/>
      </c>
      <c r="C273" t="str">
        <f>IF(PNL!C273="","",PNL!C273)</f>
        <v/>
      </c>
      <c r="D273" t="str">
        <f>IF(PNL!D273="","",PNL!D273)</f>
        <v/>
      </c>
      <c r="E273" t="str">
        <f t="shared" si="16"/>
        <v/>
      </c>
      <c r="F273" t="str">
        <f>IF($A273="","",IF($E273=1,SUMIFS(Compta!$F$1:$F$675,Compta!$A$1:$A$675,$A273,Compta!$B$1:$B$675,$B273,Compta!$C$1:$C$675,"2026"),0))</f>
        <v/>
      </c>
      <c r="G273" t="str">
        <f>IF($A273="","",IF($D273="V01",cad!$C$23,IF($D273="V02",cad!$D$23,cad!$E$23)))</f>
        <v/>
      </c>
      <c r="H273" t="str">
        <f>IF($A273="","",IF($D273="V01",cad!$C$24,IF($D273="V02",cad!$D$24,cad!$E$24)))</f>
        <v/>
      </c>
      <c r="I273" t="str">
        <f>IF($A273="","",IF($D273="V01",cad!$C$32,IF($D273="V02",cad!$D$32,cad!$E$32)))</f>
        <v/>
      </c>
      <c r="J273" t="str">
        <f>IF($A273="","",IF($D273="V01",cad!$C$33,IF($D273="V02",cad!$D$33,cad!$E$33)))</f>
        <v/>
      </c>
      <c r="K273" t="str">
        <f>IF($A273="","",IF($D273="V01",cad!$C$34,IF($D273="V02",cad!$D$34,cad!$E$34)))</f>
        <v/>
      </c>
      <c r="L273" t="str">
        <f>IF($A273="","",IF($D273="V01",cad!$C$35,IF($D273="V02",cad!$D$35,cad!$E$35)))</f>
        <v/>
      </c>
      <c r="M273" t="str">
        <f>IF($A273="","",IF($D273="V01",cad!$C$36,IF($D273="V02",cad!$D$36,cad!$E$36)))</f>
        <v/>
      </c>
      <c r="N273" t="str">
        <f t="shared" si="17"/>
        <v/>
      </c>
      <c r="O273" t="str">
        <f t="shared" si="18"/>
        <v/>
      </c>
      <c r="P273" t="str">
        <f>IF($A273="","",IF($E273=1,$F273*$O273,PNL!G273))</f>
        <v/>
      </c>
      <c r="T273" t="str">
        <f t="shared" si="19"/>
        <v/>
      </c>
    </row>
    <row r="274" spans="1:20" x14ac:dyDescent="0.45">
      <c r="A274" t="str">
        <f>IF(PNL!A274="","",PNL!A274)</f>
        <v/>
      </c>
      <c r="B274" t="str">
        <f>IF(PNL!B274="","",PNL!B274)</f>
        <v/>
      </c>
      <c r="C274" t="str">
        <f>IF(PNL!C274="","",PNL!C274)</f>
        <v/>
      </c>
      <c r="D274" t="str">
        <f>IF(PNL!D274="","",PNL!D274)</f>
        <v/>
      </c>
      <c r="E274" t="str">
        <f t="shared" si="16"/>
        <v/>
      </c>
      <c r="F274" t="str">
        <f>IF($A274="","",IF($E274=1,SUMIFS(Compta!$F$1:$F$675,Compta!$A$1:$A$675,$A274,Compta!$B$1:$B$675,$B274,Compta!$C$1:$C$675,"2026"),0))</f>
        <v/>
      </c>
      <c r="G274" t="str">
        <f>IF($A274="","",IF($D274="V01",cad!$C$23,IF($D274="V02",cad!$D$23,cad!$E$23)))</f>
        <v/>
      </c>
      <c r="H274" t="str">
        <f>IF($A274="","",IF($D274="V01",cad!$C$24,IF($D274="V02",cad!$D$24,cad!$E$24)))</f>
        <v/>
      </c>
      <c r="I274" t="str">
        <f>IF($A274="","",IF($D274="V01",cad!$C$32,IF($D274="V02",cad!$D$32,cad!$E$32)))</f>
        <v/>
      </c>
      <c r="J274" t="str">
        <f>IF($A274="","",IF($D274="V01",cad!$C$33,IF($D274="V02",cad!$D$33,cad!$E$33)))</f>
        <v/>
      </c>
      <c r="K274" t="str">
        <f>IF($A274="","",IF($D274="V01",cad!$C$34,IF($D274="V02",cad!$D$34,cad!$E$34)))</f>
        <v/>
      </c>
      <c r="L274" t="str">
        <f>IF($A274="","",IF($D274="V01",cad!$C$35,IF($D274="V02",cad!$D$35,cad!$E$35)))</f>
        <v/>
      </c>
      <c r="M274" t="str">
        <f>IF($A274="","",IF($D274="V01",cad!$C$36,IF($D274="V02",cad!$D$36,cad!$E$36)))</f>
        <v/>
      </c>
      <c r="N274" t="str">
        <f t="shared" si="17"/>
        <v/>
      </c>
      <c r="O274" t="str">
        <f t="shared" si="18"/>
        <v/>
      </c>
      <c r="P274" t="str">
        <f>IF($A274="","",IF($E274=1,$F274*$O274,PNL!G274))</f>
        <v/>
      </c>
      <c r="T274" t="str">
        <f t="shared" si="19"/>
        <v/>
      </c>
    </row>
    <row r="275" spans="1:20" x14ac:dyDescent="0.45">
      <c r="A275" t="str">
        <f>IF(PNL!A275="","",PNL!A275)</f>
        <v/>
      </c>
      <c r="B275" t="str">
        <f>IF(PNL!B275="","",PNL!B275)</f>
        <v/>
      </c>
      <c r="C275" t="str">
        <f>IF(PNL!C275="","",PNL!C275)</f>
        <v/>
      </c>
      <c r="D275" t="str">
        <f>IF(PNL!D275="","",PNL!D275)</f>
        <v/>
      </c>
      <c r="E275" t="str">
        <f t="shared" si="16"/>
        <v/>
      </c>
      <c r="F275" t="str">
        <f>IF($A275="","",IF($E275=1,SUMIFS(Compta!$F$1:$F$675,Compta!$A$1:$A$675,$A275,Compta!$B$1:$B$675,$B275,Compta!$C$1:$C$675,"2026"),0))</f>
        <v/>
      </c>
      <c r="G275" t="str">
        <f>IF($A275="","",IF($D275="V01",cad!$C$23,IF($D275="V02",cad!$D$23,cad!$E$23)))</f>
        <v/>
      </c>
      <c r="H275" t="str">
        <f>IF($A275="","",IF($D275="V01",cad!$C$24,IF($D275="V02",cad!$D$24,cad!$E$24)))</f>
        <v/>
      </c>
      <c r="I275" t="str">
        <f>IF($A275="","",IF($D275="V01",cad!$C$32,IF($D275="V02",cad!$D$32,cad!$E$32)))</f>
        <v/>
      </c>
      <c r="J275" t="str">
        <f>IF($A275="","",IF($D275="V01",cad!$C$33,IF($D275="V02",cad!$D$33,cad!$E$33)))</f>
        <v/>
      </c>
      <c r="K275" t="str">
        <f>IF($A275="","",IF($D275="V01",cad!$C$34,IF($D275="V02",cad!$D$34,cad!$E$34)))</f>
        <v/>
      </c>
      <c r="L275" t="str">
        <f>IF($A275="","",IF($D275="V01",cad!$C$35,IF($D275="V02",cad!$D$35,cad!$E$35)))</f>
        <v/>
      </c>
      <c r="M275" t="str">
        <f>IF($A275="","",IF($D275="V01",cad!$C$36,IF($D275="V02",cad!$D$36,cad!$E$36)))</f>
        <v/>
      </c>
      <c r="N275" t="str">
        <f t="shared" si="17"/>
        <v/>
      </c>
      <c r="O275" t="str">
        <f t="shared" si="18"/>
        <v/>
      </c>
      <c r="P275" t="str">
        <f>IF($A275="","",IF($E275=1,$F275*$O275,PNL!G275))</f>
        <v/>
      </c>
      <c r="T275" t="str">
        <f t="shared" si="19"/>
        <v/>
      </c>
    </row>
    <row r="276" spans="1:20" x14ac:dyDescent="0.45">
      <c r="A276" t="str">
        <f>IF(PNL!A276="","",PNL!A276)</f>
        <v/>
      </c>
      <c r="B276" t="str">
        <f>IF(PNL!B276="","",PNL!B276)</f>
        <v/>
      </c>
      <c r="C276" t="str">
        <f>IF(PNL!C276="","",PNL!C276)</f>
        <v/>
      </c>
      <c r="D276" t="str">
        <f>IF(PNL!D276="","",PNL!D276)</f>
        <v/>
      </c>
      <c r="E276" t="str">
        <f t="shared" si="16"/>
        <v/>
      </c>
      <c r="F276" t="str">
        <f>IF($A276="","",IF($E276=1,SUMIFS(Compta!$F$1:$F$675,Compta!$A$1:$A$675,$A276,Compta!$B$1:$B$675,$B276,Compta!$C$1:$C$675,"2026"),0))</f>
        <v/>
      </c>
      <c r="G276" t="str">
        <f>IF($A276="","",IF($D276="V01",cad!$C$23,IF($D276="V02",cad!$D$23,cad!$E$23)))</f>
        <v/>
      </c>
      <c r="H276" t="str">
        <f>IF($A276="","",IF($D276="V01",cad!$C$24,IF($D276="V02",cad!$D$24,cad!$E$24)))</f>
        <v/>
      </c>
      <c r="I276" t="str">
        <f>IF($A276="","",IF($D276="V01",cad!$C$32,IF($D276="V02",cad!$D$32,cad!$E$32)))</f>
        <v/>
      </c>
      <c r="J276" t="str">
        <f>IF($A276="","",IF($D276="V01",cad!$C$33,IF($D276="V02",cad!$D$33,cad!$E$33)))</f>
        <v/>
      </c>
      <c r="K276" t="str">
        <f>IF($A276="","",IF($D276="V01",cad!$C$34,IF($D276="V02",cad!$D$34,cad!$E$34)))</f>
        <v/>
      </c>
      <c r="L276" t="str">
        <f>IF($A276="","",IF($D276="V01",cad!$C$35,IF($D276="V02",cad!$D$35,cad!$E$35)))</f>
        <v/>
      </c>
      <c r="M276" t="str">
        <f>IF($A276="","",IF($D276="V01",cad!$C$36,IF($D276="V02",cad!$D$36,cad!$E$36)))</f>
        <v/>
      </c>
      <c r="N276" t="str">
        <f t="shared" si="17"/>
        <v/>
      </c>
      <c r="O276" t="str">
        <f t="shared" si="18"/>
        <v/>
      </c>
      <c r="P276" t="str">
        <f>IF($A276="","",IF($E276=1,$F276*$O276,PNL!G276))</f>
        <v/>
      </c>
      <c r="T276" t="str">
        <f t="shared" si="19"/>
        <v/>
      </c>
    </row>
    <row r="277" spans="1:20" x14ac:dyDescent="0.45">
      <c r="A277" t="str">
        <f>IF(PNL!A277="","",PNL!A277)</f>
        <v/>
      </c>
      <c r="B277" t="str">
        <f>IF(PNL!B277="","",PNL!B277)</f>
        <v/>
      </c>
      <c r="C277" t="str">
        <f>IF(PNL!C277="","",PNL!C277)</f>
        <v/>
      </c>
      <c r="D277" t="str">
        <f>IF(PNL!D277="","",PNL!D277)</f>
        <v/>
      </c>
      <c r="E277" t="str">
        <f t="shared" si="16"/>
        <v/>
      </c>
      <c r="F277" t="str">
        <f>IF($A277="","",IF($E277=1,SUMIFS(Compta!$F$1:$F$675,Compta!$A$1:$A$675,$A277,Compta!$B$1:$B$675,$B277,Compta!$C$1:$C$675,"2026"),0))</f>
        <v/>
      </c>
      <c r="G277" t="str">
        <f>IF($A277="","",IF($D277="V01",cad!$C$23,IF($D277="V02",cad!$D$23,cad!$E$23)))</f>
        <v/>
      </c>
      <c r="H277" t="str">
        <f>IF($A277="","",IF($D277="V01",cad!$C$24,IF($D277="V02",cad!$D$24,cad!$E$24)))</f>
        <v/>
      </c>
      <c r="I277" t="str">
        <f>IF($A277="","",IF($D277="V01",cad!$C$32,IF($D277="V02",cad!$D$32,cad!$E$32)))</f>
        <v/>
      </c>
      <c r="J277" t="str">
        <f>IF($A277="","",IF($D277="V01",cad!$C$33,IF($D277="V02",cad!$D$33,cad!$E$33)))</f>
        <v/>
      </c>
      <c r="K277" t="str">
        <f>IF($A277="","",IF($D277="V01",cad!$C$34,IF($D277="V02",cad!$D$34,cad!$E$34)))</f>
        <v/>
      </c>
      <c r="L277" t="str">
        <f>IF($A277="","",IF($D277="V01",cad!$C$35,IF($D277="V02",cad!$D$35,cad!$E$35)))</f>
        <v/>
      </c>
      <c r="M277" t="str">
        <f>IF($A277="","",IF($D277="V01",cad!$C$36,IF($D277="V02",cad!$D$36,cad!$E$36)))</f>
        <v/>
      </c>
      <c r="N277" t="str">
        <f t="shared" si="17"/>
        <v/>
      </c>
      <c r="O277" t="str">
        <f t="shared" si="18"/>
        <v/>
      </c>
      <c r="P277" t="str">
        <f>IF($A277="","",IF($E277=1,$F277*$O277,PNL!G277))</f>
        <v/>
      </c>
      <c r="T277" t="str">
        <f t="shared" si="19"/>
        <v/>
      </c>
    </row>
    <row r="278" spans="1:20" x14ac:dyDescent="0.45">
      <c r="A278" t="str">
        <f>IF(PNL!A278="","",PNL!A278)</f>
        <v/>
      </c>
      <c r="B278" t="str">
        <f>IF(PNL!B278="","",PNL!B278)</f>
        <v/>
      </c>
      <c r="C278" t="str">
        <f>IF(PNL!C278="","",PNL!C278)</f>
        <v/>
      </c>
      <c r="D278" t="str">
        <f>IF(PNL!D278="","",PNL!D278)</f>
        <v/>
      </c>
      <c r="E278" t="str">
        <f t="shared" si="16"/>
        <v/>
      </c>
      <c r="F278" t="str">
        <f>IF($A278="","",IF($E278=1,SUMIFS(Compta!$F$1:$F$675,Compta!$A$1:$A$675,$A278,Compta!$B$1:$B$675,$B278,Compta!$C$1:$C$675,"2026"),0))</f>
        <v/>
      </c>
      <c r="G278" t="str">
        <f>IF($A278="","",IF($D278="V01",cad!$C$23,IF($D278="V02",cad!$D$23,cad!$E$23)))</f>
        <v/>
      </c>
      <c r="H278" t="str">
        <f>IF($A278="","",IF($D278="V01",cad!$C$24,IF($D278="V02",cad!$D$24,cad!$E$24)))</f>
        <v/>
      </c>
      <c r="I278" t="str">
        <f>IF($A278="","",IF($D278="V01",cad!$C$32,IF($D278="V02",cad!$D$32,cad!$E$32)))</f>
        <v/>
      </c>
      <c r="J278" t="str">
        <f>IF($A278="","",IF($D278="V01",cad!$C$33,IF($D278="V02",cad!$D$33,cad!$E$33)))</f>
        <v/>
      </c>
      <c r="K278" t="str">
        <f>IF($A278="","",IF($D278="V01",cad!$C$34,IF($D278="V02",cad!$D$34,cad!$E$34)))</f>
        <v/>
      </c>
      <c r="L278" t="str">
        <f>IF($A278="","",IF($D278="V01",cad!$C$35,IF($D278="V02",cad!$D$35,cad!$E$35)))</f>
        <v/>
      </c>
      <c r="M278" t="str">
        <f>IF($A278="","",IF($D278="V01",cad!$C$36,IF($D278="V02",cad!$D$36,cad!$E$36)))</f>
        <v/>
      </c>
      <c r="N278" t="str">
        <f t="shared" si="17"/>
        <v/>
      </c>
      <c r="O278" t="str">
        <f t="shared" si="18"/>
        <v/>
      </c>
      <c r="P278" t="str">
        <f>IF($A278="","",IF($E278=1,$F278*$O278,PNL!G278))</f>
        <v/>
      </c>
      <c r="T278" t="str">
        <f t="shared" si="19"/>
        <v/>
      </c>
    </row>
    <row r="279" spans="1:20" x14ac:dyDescent="0.45">
      <c r="A279" t="str">
        <f>IF(PNL!A279="","",PNL!A279)</f>
        <v/>
      </c>
      <c r="B279" t="str">
        <f>IF(PNL!B279="","",PNL!B279)</f>
        <v/>
      </c>
      <c r="C279" t="str">
        <f>IF(PNL!C279="","",PNL!C279)</f>
        <v/>
      </c>
      <c r="D279" t="str">
        <f>IF(PNL!D279="","",PNL!D279)</f>
        <v/>
      </c>
      <c r="E279" t="str">
        <f t="shared" si="16"/>
        <v/>
      </c>
      <c r="F279" t="str">
        <f>IF($A279="","",IF($E279=1,SUMIFS(Compta!$F$1:$F$675,Compta!$A$1:$A$675,$A279,Compta!$B$1:$B$675,$B279,Compta!$C$1:$C$675,"2026"),0))</f>
        <v/>
      </c>
      <c r="G279" t="str">
        <f>IF($A279="","",IF($D279="V01",cad!$C$23,IF($D279="V02",cad!$D$23,cad!$E$23)))</f>
        <v/>
      </c>
      <c r="H279" t="str">
        <f>IF($A279="","",IF($D279="V01",cad!$C$24,IF($D279="V02",cad!$D$24,cad!$E$24)))</f>
        <v/>
      </c>
      <c r="I279" t="str">
        <f>IF($A279="","",IF($D279="V01",cad!$C$32,IF($D279="V02",cad!$D$32,cad!$E$32)))</f>
        <v/>
      </c>
      <c r="J279" t="str">
        <f>IF($A279="","",IF($D279="V01",cad!$C$33,IF($D279="V02",cad!$D$33,cad!$E$33)))</f>
        <v/>
      </c>
      <c r="K279" t="str">
        <f>IF($A279="","",IF($D279="V01",cad!$C$34,IF($D279="V02",cad!$D$34,cad!$E$34)))</f>
        <v/>
      </c>
      <c r="L279" t="str">
        <f>IF($A279="","",IF($D279="V01",cad!$C$35,IF($D279="V02",cad!$D$35,cad!$E$35)))</f>
        <v/>
      </c>
      <c r="M279" t="str">
        <f>IF($A279="","",IF($D279="V01",cad!$C$36,IF($D279="V02",cad!$D$36,cad!$E$36)))</f>
        <v/>
      </c>
      <c r="N279" t="str">
        <f t="shared" si="17"/>
        <v/>
      </c>
      <c r="O279" t="str">
        <f t="shared" si="18"/>
        <v/>
      </c>
      <c r="P279" t="str">
        <f>IF($A279="","",IF($E279=1,$F279*$O279,PNL!G279))</f>
        <v/>
      </c>
      <c r="T279" t="str">
        <f t="shared" si="19"/>
        <v/>
      </c>
    </row>
    <row r="280" spans="1:20" x14ac:dyDescent="0.45">
      <c r="A280" t="str">
        <f>IF(PNL!A280="","",PNL!A280)</f>
        <v/>
      </c>
      <c r="B280" t="str">
        <f>IF(PNL!B280="","",PNL!B280)</f>
        <v/>
      </c>
      <c r="C280" t="str">
        <f>IF(PNL!C280="","",PNL!C280)</f>
        <v/>
      </c>
      <c r="D280" t="str">
        <f>IF(PNL!D280="","",PNL!D280)</f>
        <v/>
      </c>
      <c r="E280" t="str">
        <f t="shared" si="16"/>
        <v/>
      </c>
      <c r="F280" t="str">
        <f>IF($A280="","",IF($E280=1,SUMIFS(Compta!$F$1:$F$675,Compta!$A$1:$A$675,$A280,Compta!$B$1:$B$675,$B280,Compta!$C$1:$C$675,"2026"),0))</f>
        <v/>
      </c>
      <c r="G280" t="str">
        <f>IF($A280="","",IF($D280="V01",cad!$C$23,IF($D280="V02",cad!$D$23,cad!$E$23)))</f>
        <v/>
      </c>
      <c r="H280" t="str">
        <f>IF($A280="","",IF($D280="V01",cad!$C$24,IF($D280="V02",cad!$D$24,cad!$E$24)))</f>
        <v/>
      </c>
      <c r="I280" t="str">
        <f>IF($A280="","",IF($D280="V01",cad!$C$32,IF($D280="V02",cad!$D$32,cad!$E$32)))</f>
        <v/>
      </c>
      <c r="J280" t="str">
        <f>IF($A280="","",IF($D280="V01",cad!$C$33,IF($D280="V02",cad!$D$33,cad!$E$33)))</f>
        <v/>
      </c>
      <c r="K280" t="str">
        <f>IF($A280="","",IF($D280="V01",cad!$C$34,IF($D280="V02",cad!$D$34,cad!$E$34)))</f>
        <v/>
      </c>
      <c r="L280" t="str">
        <f>IF($A280="","",IF($D280="V01",cad!$C$35,IF($D280="V02",cad!$D$35,cad!$E$35)))</f>
        <v/>
      </c>
      <c r="M280" t="str">
        <f>IF($A280="","",IF($D280="V01",cad!$C$36,IF($D280="V02",cad!$D$36,cad!$E$36)))</f>
        <v/>
      </c>
      <c r="N280" t="str">
        <f t="shared" si="17"/>
        <v/>
      </c>
      <c r="O280" t="str">
        <f t="shared" si="18"/>
        <v/>
      </c>
      <c r="P280" t="str">
        <f>IF($A280="","",IF($E280=1,$F280*$O280,PNL!G280))</f>
        <v/>
      </c>
      <c r="T280" t="str">
        <f t="shared" si="19"/>
        <v/>
      </c>
    </row>
    <row r="281" spans="1:20" x14ac:dyDescent="0.45">
      <c r="A281" t="str">
        <f>IF(PNL!A281="","",PNL!A281)</f>
        <v/>
      </c>
      <c r="B281" t="str">
        <f>IF(PNL!B281="","",PNL!B281)</f>
        <v/>
      </c>
      <c r="C281" t="str">
        <f>IF(PNL!C281="","",PNL!C281)</f>
        <v/>
      </c>
      <c r="D281" t="str">
        <f>IF(PNL!D281="","",PNL!D281)</f>
        <v/>
      </c>
      <c r="E281" t="str">
        <f t="shared" si="16"/>
        <v/>
      </c>
      <c r="F281" t="str">
        <f>IF($A281="","",IF($E281=1,SUMIFS(Compta!$F$1:$F$675,Compta!$A$1:$A$675,$A281,Compta!$B$1:$B$675,$B281,Compta!$C$1:$C$675,"2026"),0))</f>
        <v/>
      </c>
      <c r="G281" t="str">
        <f>IF($A281="","",IF($D281="V01",cad!$C$23,IF($D281="V02",cad!$D$23,cad!$E$23)))</f>
        <v/>
      </c>
      <c r="H281" t="str">
        <f>IF($A281="","",IF($D281="V01",cad!$C$24,IF($D281="V02",cad!$D$24,cad!$E$24)))</f>
        <v/>
      </c>
      <c r="I281" t="str">
        <f>IF($A281="","",IF($D281="V01",cad!$C$32,IF($D281="V02",cad!$D$32,cad!$E$32)))</f>
        <v/>
      </c>
      <c r="J281" t="str">
        <f>IF($A281="","",IF($D281="V01",cad!$C$33,IF($D281="V02",cad!$D$33,cad!$E$33)))</f>
        <v/>
      </c>
      <c r="K281" t="str">
        <f>IF($A281="","",IF($D281="V01",cad!$C$34,IF($D281="V02",cad!$D$34,cad!$E$34)))</f>
        <v/>
      </c>
      <c r="L281" t="str">
        <f>IF($A281="","",IF($D281="V01",cad!$C$35,IF($D281="V02",cad!$D$35,cad!$E$35)))</f>
        <v/>
      </c>
      <c r="M281" t="str">
        <f>IF($A281="","",IF($D281="V01",cad!$C$36,IF($D281="V02",cad!$D$36,cad!$E$36)))</f>
        <v/>
      </c>
      <c r="N281" t="str">
        <f t="shared" si="17"/>
        <v/>
      </c>
      <c r="O281" t="str">
        <f t="shared" si="18"/>
        <v/>
      </c>
      <c r="P281" t="str">
        <f>IF($A281="","",IF($E281=1,$F281*$O281,PNL!G281))</f>
        <v/>
      </c>
      <c r="T281" t="str">
        <f t="shared" si="19"/>
        <v/>
      </c>
    </row>
    <row r="282" spans="1:20" x14ac:dyDescent="0.45">
      <c r="A282" t="str">
        <f>IF(PNL!A282="","",PNL!A282)</f>
        <v/>
      </c>
      <c r="B282" t="str">
        <f>IF(PNL!B282="","",PNL!B282)</f>
        <v/>
      </c>
      <c r="C282" t="str">
        <f>IF(PNL!C282="","",PNL!C282)</f>
        <v/>
      </c>
      <c r="D282" t="str">
        <f>IF(PNL!D282="","",PNL!D282)</f>
        <v/>
      </c>
      <c r="E282" t="str">
        <f t="shared" si="16"/>
        <v/>
      </c>
      <c r="F282" t="str">
        <f>IF($A282="","",IF($E282=1,SUMIFS(Compta!$F$1:$F$675,Compta!$A$1:$A$675,$A282,Compta!$B$1:$B$675,$B282,Compta!$C$1:$C$675,"2026"),0))</f>
        <v/>
      </c>
      <c r="G282" t="str">
        <f>IF($A282="","",IF($D282="V01",cad!$C$23,IF($D282="V02",cad!$D$23,cad!$E$23)))</f>
        <v/>
      </c>
      <c r="H282" t="str">
        <f>IF($A282="","",IF($D282="V01",cad!$C$24,IF($D282="V02",cad!$D$24,cad!$E$24)))</f>
        <v/>
      </c>
      <c r="I282" t="str">
        <f>IF($A282="","",IF($D282="V01",cad!$C$32,IF($D282="V02",cad!$D$32,cad!$E$32)))</f>
        <v/>
      </c>
      <c r="J282" t="str">
        <f>IF($A282="","",IF($D282="V01",cad!$C$33,IF($D282="V02",cad!$D$33,cad!$E$33)))</f>
        <v/>
      </c>
      <c r="K282" t="str">
        <f>IF($A282="","",IF($D282="V01",cad!$C$34,IF($D282="V02",cad!$D$34,cad!$E$34)))</f>
        <v/>
      </c>
      <c r="L282" t="str">
        <f>IF($A282="","",IF($D282="V01",cad!$C$35,IF($D282="V02",cad!$D$35,cad!$E$35)))</f>
        <v/>
      </c>
      <c r="M282" t="str">
        <f>IF($A282="","",IF($D282="V01",cad!$C$36,IF($D282="V02",cad!$D$36,cad!$E$36)))</f>
        <v/>
      </c>
      <c r="N282" t="str">
        <f t="shared" si="17"/>
        <v/>
      </c>
      <c r="O282" t="str">
        <f t="shared" si="18"/>
        <v/>
      </c>
      <c r="P282" t="str">
        <f>IF($A282="","",IF($E282=1,$F282*$O282,PNL!G282))</f>
        <v/>
      </c>
      <c r="T282" t="str">
        <f t="shared" si="19"/>
        <v/>
      </c>
    </row>
    <row r="283" spans="1:20" x14ac:dyDescent="0.45">
      <c r="A283" t="str">
        <f>IF(PNL!A283="","",PNL!A283)</f>
        <v/>
      </c>
      <c r="B283" t="str">
        <f>IF(PNL!B283="","",PNL!B283)</f>
        <v/>
      </c>
      <c r="C283" t="str">
        <f>IF(PNL!C283="","",PNL!C283)</f>
        <v/>
      </c>
      <c r="D283" t="str">
        <f>IF(PNL!D283="","",PNL!D283)</f>
        <v/>
      </c>
      <c r="E283" t="str">
        <f t="shared" si="16"/>
        <v/>
      </c>
      <c r="F283" t="str">
        <f>IF($A283="","",IF($E283=1,SUMIFS(Compta!$F$1:$F$675,Compta!$A$1:$A$675,$A283,Compta!$B$1:$B$675,$B283,Compta!$C$1:$C$675,"2026"),0))</f>
        <v/>
      </c>
      <c r="G283" t="str">
        <f>IF($A283="","",IF($D283="V01",cad!$C$23,IF($D283="V02",cad!$D$23,cad!$E$23)))</f>
        <v/>
      </c>
      <c r="H283" t="str">
        <f>IF($A283="","",IF($D283="V01",cad!$C$24,IF($D283="V02",cad!$D$24,cad!$E$24)))</f>
        <v/>
      </c>
      <c r="I283" t="str">
        <f>IF($A283="","",IF($D283="V01",cad!$C$32,IF($D283="V02",cad!$D$32,cad!$E$32)))</f>
        <v/>
      </c>
      <c r="J283" t="str">
        <f>IF($A283="","",IF($D283="V01",cad!$C$33,IF($D283="V02",cad!$D$33,cad!$E$33)))</f>
        <v/>
      </c>
      <c r="K283" t="str">
        <f>IF($A283="","",IF($D283="V01",cad!$C$34,IF($D283="V02",cad!$D$34,cad!$E$34)))</f>
        <v/>
      </c>
      <c r="L283" t="str">
        <f>IF($A283="","",IF($D283="V01",cad!$C$35,IF($D283="V02",cad!$D$35,cad!$E$35)))</f>
        <v/>
      </c>
      <c r="M283" t="str">
        <f>IF($A283="","",IF($D283="V01",cad!$C$36,IF($D283="V02",cad!$D$36,cad!$E$36)))</f>
        <v/>
      </c>
      <c r="N283" t="str">
        <f t="shared" si="17"/>
        <v/>
      </c>
      <c r="O283" t="str">
        <f t="shared" si="18"/>
        <v/>
      </c>
      <c r="P283" t="str">
        <f>IF($A283="","",IF($E283=1,$F283*$O283,PNL!G283))</f>
        <v/>
      </c>
      <c r="T283" t="str">
        <f t="shared" si="19"/>
        <v/>
      </c>
    </row>
    <row r="284" spans="1:20" x14ac:dyDescent="0.45">
      <c r="A284" t="str">
        <f>IF(PNL!A284="","",PNL!A284)</f>
        <v/>
      </c>
      <c r="B284" t="str">
        <f>IF(PNL!B284="","",PNL!B284)</f>
        <v/>
      </c>
      <c r="C284" t="str">
        <f>IF(PNL!C284="","",PNL!C284)</f>
        <v/>
      </c>
      <c r="D284" t="str">
        <f>IF(PNL!D284="","",PNL!D284)</f>
        <v/>
      </c>
      <c r="E284" t="str">
        <f t="shared" si="16"/>
        <v/>
      </c>
      <c r="F284" t="str">
        <f>IF($A284="","",IF($E284=1,SUMIFS(Compta!$F$1:$F$675,Compta!$A$1:$A$675,$A284,Compta!$B$1:$B$675,$B284,Compta!$C$1:$C$675,"2026"),0))</f>
        <v/>
      </c>
      <c r="G284" t="str">
        <f>IF($A284="","",IF($D284="V01",cad!$C$23,IF($D284="V02",cad!$D$23,cad!$E$23)))</f>
        <v/>
      </c>
      <c r="H284" t="str">
        <f>IF($A284="","",IF($D284="V01",cad!$C$24,IF($D284="V02",cad!$D$24,cad!$E$24)))</f>
        <v/>
      </c>
      <c r="I284" t="str">
        <f>IF($A284="","",IF($D284="V01",cad!$C$32,IF($D284="V02",cad!$D$32,cad!$E$32)))</f>
        <v/>
      </c>
      <c r="J284" t="str">
        <f>IF($A284="","",IF($D284="V01",cad!$C$33,IF($D284="V02",cad!$D$33,cad!$E$33)))</f>
        <v/>
      </c>
      <c r="K284" t="str">
        <f>IF($A284="","",IF($D284="V01",cad!$C$34,IF($D284="V02",cad!$D$34,cad!$E$34)))</f>
        <v/>
      </c>
      <c r="L284" t="str">
        <f>IF($A284="","",IF($D284="V01",cad!$C$35,IF($D284="V02",cad!$D$35,cad!$E$35)))</f>
        <v/>
      </c>
      <c r="M284" t="str">
        <f>IF($A284="","",IF($D284="V01",cad!$C$36,IF($D284="V02",cad!$D$36,cad!$E$36)))</f>
        <v/>
      </c>
      <c r="N284" t="str">
        <f t="shared" si="17"/>
        <v/>
      </c>
      <c r="O284" t="str">
        <f t="shared" si="18"/>
        <v/>
      </c>
      <c r="P284" t="str">
        <f>IF($A284="","",IF($E284=1,$F284*$O284,PNL!G284))</f>
        <v/>
      </c>
      <c r="T284" t="str">
        <f t="shared" si="19"/>
        <v/>
      </c>
    </row>
    <row r="285" spans="1:20" x14ac:dyDescent="0.45">
      <c r="A285" t="str">
        <f>IF(PNL!A285="","",PNL!A285)</f>
        <v/>
      </c>
      <c r="B285" t="str">
        <f>IF(PNL!B285="","",PNL!B285)</f>
        <v/>
      </c>
      <c r="C285" t="str">
        <f>IF(PNL!C285="","",PNL!C285)</f>
        <v/>
      </c>
      <c r="D285" t="str">
        <f>IF(PNL!D285="","",PNL!D285)</f>
        <v/>
      </c>
      <c r="E285" t="str">
        <f t="shared" si="16"/>
        <v/>
      </c>
      <c r="F285" t="str">
        <f>IF($A285="","",IF($E285=1,SUMIFS(Compta!$F$1:$F$675,Compta!$A$1:$A$675,$A285,Compta!$B$1:$B$675,$B285,Compta!$C$1:$C$675,"2026"),0))</f>
        <v/>
      </c>
      <c r="G285" t="str">
        <f>IF($A285="","",IF($D285="V01",cad!$C$23,IF($D285="V02",cad!$D$23,cad!$E$23)))</f>
        <v/>
      </c>
      <c r="H285" t="str">
        <f>IF($A285="","",IF($D285="V01",cad!$C$24,IF($D285="V02",cad!$D$24,cad!$E$24)))</f>
        <v/>
      </c>
      <c r="I285" t="str">
        <f>IF($A285="","",IF($D285="V01",cad!$C$32,IF($D285="V02",cad!$D$32,cad!$E$32)))</f>
        <v/>
      </c>
      <c r="J285" t="str">
        <f>IF($A285="","",IF($D285="V01",cad!$C$33,IF($D285="V02",cad!$D$33,cad!$E$33)))</f>
        <v/>
      </c>
      <c r="K285" t="str">
        <f>IF($A285="","",IF($D285="V01",cad!$C$34,IF($D285="V02",cad!$D$34,cad!$E$34)))</f>
        <v/>
      </c>
      <c r="L285" t="str">
        <f>IF($A285="","",IF($D285="V01",cad!$C$35,IF($D285="V02",cad!$D$35,cad!$E$35)))</f>
        <v/>
      </c>
      <c r="M285" t="str">
        <f>IF($A285="","",IF($D285="V01",cad!$C$36,IF($D285="V02",cad!$D$36,cad!$E$36)))</f>
        <v/>
      </c>
      <c r="N285" t="str">
        <f t="shared" si="17"/>
        <v/>
      </c>
      <c r="O285" t="str">
        <f t="shared" si="18"/>
        <v/>
      </c>
      <c r="P285" t="str">
        <f>IF($A285="","",IF($E285=1,$F285*$O285,PNL!G285))</f>
        <v/>
      </c>
      <c r="T285" t="str">
        <f t="shared" si="19"/>
        <v/>
      </c>
    </row>
    <row r="286" spans="1:20" x14ac:dyDescent="0.45">
      <c r="A286" t="str">
        <f>IF(PNL!A286="","",PNL!A286)</f>
        <v/>
      </c>
      <c r="B286" t="str">
        <f>IF(PNL!B286="","",PNL!B286)</f>
        <v/>
      </c>
      <c r="C286" t="str">
        <f>IF(PNL!C286="","",PNL!C286)</f>
        <v/>
      </c>
      <c r="D286" t="str">
        <f>IF(PNL!D286="","",PNL!D286)</f>
        <v/>
      </c>
      <c r="E286" t="str">
        <f t="shared" si="16"/>
        <v/>
      </c>
      <c r="F286" t="str">
        <f>IF($A286="","",IF($E286=1,SUMIFS(Compta!$F$1:$F$675,Compta!$A$1:$A$675,$A286,Compta!$B$1:$B$675,$B286,Compta!$C$1:$C$675,"2026"),0))</f>
        <v/>
      </c>
      <c r="G286" t="str">
        <f>IF($A286="","",IF($D286="V01",cad!$C$23,IF($D286="V02",cad!$D$23,cad!$E$23)))</f>
        <v/>
      </c>
      <c r="H286" t="str">
        <f>IF($A286="","",IF($D286="V01",cad!$C$24,IF($D286="V02",cad!$D$24,cad!$E$24)))</f>
        <v/>
      </c>
      <c r="I286" t="str">
        <f>IF($A286="","",IF($D286="V01",cad!$C$32,IF($D286="V02",cad!$D$32,cad!$E$32)))</f>
        <v/>
      </c>
      <c r="J286" t="str">
        <f>IF($A286="","",IF($D286="V01",cad!$C$33,IF($D286="V02",cad!$D$33,cad!$E$33)))</f>
        <v/>
      </c>
      <c r="K286" t="str">
        <f>IF($A286="","",IF($D286="V01",cad!$C$34,IF($D286="V02",cad!$D$34,cad!$E$34)))</f>
        <v/>
      </c>
      <c r="L286" t="str">
        <f>IF($A286="","",IF($D286="V01",cad!$C$35,IF($D286="V02",cad!$D$35,cad!$E$35)))</f>
        <v/>
      </c>
      <c r="M286" t="str">
        <f>IF($A286="","",IF($D286="V01",cad!$C$36,IF($D286="V02",cad!$D$36,cad!$E$36)))</f>
        <v/>
      </c>
      <c r="N286" t="str">
        <f t="shared" si="17"/>
        <v/>
      </c>
      <c r="O286" t="str">
        <f t="shared" si="18"/>
        <v/>
      </c>
      <c r="P286" t="str">
        <f>IF($A286="","",IF($E286=1,$F286*$O286,PNL!G286))</f>
        <v/>
      </c>
      <c r="T286" t="str">
        <f t="shared" si="19"/>
        <v/>
      </c>
    </row>
    <row r="287" spans="1:20" x14ac:dyDescent="0.45">
      <c r="A287" t="str">
        <f>IF(PNL!A287="","",PNL!A287)</f>
        <v/>
      </c>
      <c r="B287" t="str">
        <f>IF(PNL!B287="","",PNL!B287)</f>
        <v/>
      </c>
      <c r="C287" t="str">
        <f>IF(PNL!C287="","",PNL!C287)</f>
        <v/>
      </c>
      <c r="D287" t="str">
        <f>IF(PNL!D287="","",PNL!D287)</f>
        <v/>
      </c>
      <c r="E287" t="str">
        <f t="shared" si="16"/>
        <v/>
      </c>
      <c r="F287" t="str">
        <f>IF($A287="","",IF($E287=1,SUMIFS(Compta!$F$1:$F$675,Compta!$A$1:$A$675,$A287,Compta!$B$1:$B$675,$B287,Compta!$C$1:$C$675,"2026"),0))</f>
        <v/>
      </c>
      <c r="G287" t="str">
        <f>IF($A287="","",IF($D287="V01",cad!$C$23,IF($D287="V02",cad!$D$23,cad!$E$23)))</f>
        <v/>
      </c>
      <c r="H287" t="str">
        <f>IF($A287="","",IF($D287="V01",cad!$C$24,IF($D287="V02",cad!$D$24,cad!$E$24)))</f>
        <v/>
      </c>
      <c r="I287" t="str">
        <f>IF($A287="","",IF($D287="V01",cad!$C$32,IF($D287="V02",cad!$D$32,cad!$E$32)))</f>
        <v/>
      </c>
      <c r="J287" t="str">
        <f>IF($A287="","",IF($D287="V01",cad!$C$33,IF($D287="V02",cad!$D$33,cad!$E$33)))</f>
        <v/>
      </c>
      <c r="K287" t="str">
        <f>IF($A287="","",IF($D287="V01",cad!$C$34,IF($D287="V02",cad!$D$34,cad!$E$34)))</f>
        <v/>
      </c>
      <c r="L287" t="str">
        <f>IF($A287="","",IF($D287="V01",cad!$C$35,IF($D287="V02",cad!$D$35,cad!$E$35)))</f>
        <v/>
      </c>
      <c r="M287" t="str">
        <f>IF($A287="","",IF($D287="V01",cad!$C$36,IF($D287="V02",cad!$D$36,cad!$E$36)))</f>
        <v/>
      </c>
      <c r="N287" t="str">
        <f t="shared" si="17"/>
        <v/>
      </c>
      <c r="O287" t="str">
        <f t="shared" si="18"/>
        <v/>
      </c>
      <c r="P287" t="str">
        <f>IF($A287="","",IF($E287=1,$F287*$O287,PNL!G287))</f>
        <v/>
      </c>
      <c r="T287" t="str">
        <f t="shared" si="19"/>
        <v/>
      </c>
    </row>
    <row r="288" spans="1:20" x14ac:dyDescent="0.45">
      <c r="A288" t="str">
        <f>IF(PNL!A288="","",PNL!A288)</f>
        <v/>
      </c>
      <c r="B288" t="str">
        <f>IF(PNL!B288="","",PNL!B288)</f>
        <v/>
      </c>
      <c r="C288" t="str">
        <f>IF(PNL!C288="","",PNL!C288)</f>
        <v/>
      </c>
      <c r="D288" t="str">
        <f>IF(PNL!D288="","",PNL!D288)</f>
        <v/>
      </c>
      <c r="E288" t="str">
        <f t="shared" si="16"/>
        <v/>
      </c>
      <c r="F288" t="str">
        <f>IF($A288="","",IF($E288=1,SUMIFS(Compta!$F$1:$F$675,Compta!$A$1:$A$675,$A288,Compta!$B$1:$B$675,$B288,Compta!$C$1:$C$675,"2026"),0))</f>
        <v/>
      </c>
      <c r="G288" t="str">
        <f>IF($A288="","",IF($D288="V01",cad!$C$23,IF($D288="V02",cad!$D$23,cad!$E$23)))</f>
        <v/>
      </c>
      <c r="H288" t="str">
        <f>IF($A288="","",IF($D288="V01",cad!$C$24,IF($D288="V02",cad!$D$24,cad!$E$24)))</f>
        <v/>
      </c>
      <c r="I288" t="str">
        <f>IF($A288="","",IF($D288="V01",cad!$C$32,IF($D288="V02",cad!$D$32,cad!$E$32)))</f>
        <v/>
      </c>
      <c r="J288" t="str">
        <f>IF($A288="","",IF($D288="V01",cad!$C$33,IF($D288="V02",cad!$D$33,cad!$E$33)))</f>
        <v/>
      </c>
      <c r="K288" t="str">
        <f>IF($A288="","",IF($D288="V01",cad!$C$34,IF($D288="V02",cad!$D$34,cad!$E$34)))</f>
        <v/>
      </c>
      <c r="L288" t="str">
        <f>IF($A288="","",IF($D288="V01",cad!$C$35,IF($D288="V02",cad!$D$35,cad!$E$35)))</f>
        <v/>
      </c>
      <c r="M288" t="str">
        <f>IF($A288="","",IF($D288="V01",cad!$C$36,IF($D288="V02",cad!$D$36,cad!$E$36)))</f>
        <v/>
      </c>
      <c r="N288" t="str">
        <f t="shared" si="17"/>
        <v/>
      </c>
      <c r="O288" t="str">
        <f t="shared" si="18"/>
        <v/>
      </c>
      <c r="P288" t="str">
        <f>IF($A288="","",IF($E288=1,$F288*$O288,PNL!G288))</f>
        <v/>
      </c>
      <c r="T288" t="str">
        <f t="shared" si="19"/>
        <v/>
      </c>
    </row>
    <row r="289" spans="1:20" x14ac:dyDescent="0.45">
      <c r="A289" t="str">
        <f>IF(PNL!A289="","",PNL!A289)</f>
        <v/>
      </c>
      <c r="B289" t="str">
        <f>IF(PNL!B289="","",PNL!B289)</f>
        <v/>
      </c>
      <c r="C289" t="str">
        <f>IF(PNL!C289="","",PNL!C289)</f>
        <v/>
      </c>
      <c r="D289" t="str">
        <f>IF(PNL!D289="","",PNL!D289)</f>
        <v/>
      </c>
      <c r="E289" t="str">
        <f t="shared" si="16"/>
        <v/>
      </c>
      <c r="F289" t="str">
        <f>IF($A289="","",IF($E289=1,SUMIFS(Compta!$F$1:$F$675,Compta!$A$1:$A$675,$A289,Compta!$B$1:$B$675,$B289,Compta!$C$1:$C$675,"2026"),0))</f>
        <v/>
      </c>
      <c r="G289" t="str">
        <f>IF($A289="","",IF($D289="V01",cad!$C$23,IF($D289="V02",cad!$D$23,cad!$E$23)))</f>
        <v/>
      </c>
      <c r="H289" t="str">
        <f>IF($A289="","",IF($D289="V01",cad!$C$24,IF($D289="V02",cad!$D$24,cad!$E$24)))</f>
        <v/>
      </c>
      <c r="I289" t="str">
        <f>IF($A289="","",IF($D289="V01",cad!$C$32,IF($D289="V02",cad!$D$32,cad!$E$32)))</f>
        <v/>
      </c>
      <c r="J289" t="str">
        <f>IF($A289="","",IF($D289="V01",cad!$C$33,IF($D289="V02",cad!$D$33,cad!$E$33)))</f>
        <v/>
      </c>
      <c r="K289" t="str">
        <f>IF($A289="","",IF($D289="V01",cad!$C$34,IF($D289="V02",cad!$D$34,cad!$E$34)))</f>
        <v/>
      </c>
      <c r="L289" t="str">
        <f>IF($A289="","",IF($D289="V01",cad!$C$35,IF($D289="V02",cad!$D$35,cad!$E$35)))</f>
        <v/>
      </c>
      <c r="M289" t="str">
        <f>IF($A289="","",IF($D289="V01",cad!$C$36,IF($D289="V02",cad!$D$36,cad!$E$36)))</f>
        <v/>
      </c>
      <c r="N289" t="str">
        <f t="shared" si="17"/>
        <v/>
      </c>
      <c r="O289" t="str">
        <f t="shared" si="18"/>
        <v/>
      </c>
      <c r="P289" t="str">
        <f>IF($A289="","",IF($E289=1,$F289*$O289,PNL!G289))</f>
        <v/>
      </c>
      <c r="T289" t="str">
        <f t="shared" si="19"/>
        <v/>
      </c>
    </row>
    <row r="290" spans="1:20" x14ac:dyDescent="0.45">
      <c r="A290" t="str">
        <f>IF(PNL!A290="","",PNL!A290)</f>
        <v/>
      </c>
      <c r="B290" t="str">
        <f>IF(PNL!B290="","",PNL!B290)</f>
        <v/>
      </c>
      <c r="C290" t="str">
        <f>IF(PNL!C290="","",PNL!C290)</f>
        <v/>
      </c>
      <c r="D290" t="str">
        <f>IF(PNL!D290="","",PNL!D290)</f>
        <v/>
      </c>
      <c r="E290" t="str">
        <f t="shared" si="16"/>
        <v/>
      </c>
      <c r="F290" t="str">
        <f>IF($A290="","",IF($E290=1,SUMIFS(Compta!$F$1:$F$675,Compta!$A$1:$A$675,$A290,Compta!$B$1:$B$675,$B290,Compta!$C$1:$C$675,"2026"),0))</f>
        <v/>
      </c>
      <c r="G290" t="str">
        <f>IF($A290="","",IF($D290="V01",cad!$C$23,IF($D290="V02",cad!$D$23,cad!$E$23)))</f>
        <v/>
      </c>
      <c r="H290" t="str">
        <f>IF($A290="","",IF($D290="V01",cad!$C$24,IF($D290="V02",cad!$D$24,cad!$E$24)))</f>
        <v/>
      </c>
      <c r="I290" t="str">
        <f>IF($A290="","",IF($D290="V01",cad!$C$32,IF($D290="V02",cad!$D$32,cad!$E$32)))</f>
        <v/>
      </c>
      <c r="J290" t="str">
        <f>IF($A290="","",IF($D290="V01",cad!$C$33,IF($D290="V02",cad!$D$33,cad!$E$33)))</f>
        <v/>
      </c>
      <c r="K290" t="str">
        <f>IF($A290="","",IF($D290="V01",cad!$C$34,IF($D290="V02",cad!$D$34,cad!$E$34)))</f>
        <v/>
      </c>
      <c r="L290" t="str">
        <f>IF($A290="","",IF($D290="V01",cad!$C$35,IF($D290="V02",cad!$D$35,cad!$E$35)))</f>
        <v/>
      </c>
      <c r="M290" t="str">
        <f>IF($A290="","",IF($D290="V01",cad!$C$36,IF($D290="V02",cad!$D$36,cad!$E$36)))</f>
        <v/>
      </c>
      <c r="N290" t="str">
        <f t="shared" si="17"/>
        <v/>
      </c>
      <c r="O290" t="str">
        <f t="shared" si="18"/>
        <v/>
      </c>
      <c r="P290" t="str">
        <f>IF($A290="","",IF($E290=1,$F290*$O290,PNL!G290))</f>
        <v/>
      </c>
      <c r="T290" t="str">
        <f t="shared" si="19"/>
        <v/>
      </c>
    </row>
    <row r="291" spans="1:20" x14ac:dyDescent="0.45">
      <c r="A291" t="str">
        <f>IF(PNL!A291="","",PNL!A291)</f>
        <v/>
      </c>
      <c r="B291" t="str">
        <f>IF(PNL!B291="","",PNL!B291)</f>
        <v/>
      </c>
      <c r="C291" t="str">
        <f>IF(PNL!C291="","",PNL!C291)</f>
        <v/>
      </c>
      <c r="D291" t="str">
        <f>IF(PNL!D291="","",PNL!D291)</f>
        <v/>
      </c>
      <c r="E291" t="str">
        <f t="shared" si="16"/>
        <v/>
      </c>
      <c r="F291" t="str">
        <f>IF($A291="","",IF($E291=1,SUMIFS(Compta!$F$1:$F$675,Compta!$A$1:$A$675,$A291,Compta!$B$1:$B$675,$B291,Compta!$C$1:$C$675,"2026"),0))</f>
        <v/>
      </c>
      <c r="G291" t="str">
        <f>IF($A291="","",IF($D291="V01",cad!$C$23,IF($D291="V02",cad!$D$23,cad!$E$23)))</f>
        <v/>
      </c>
      <c r="H291" t="str">
        <f>IF($A291="","",IF($D291="V01",cad!$C$24,IF($D291="V02",cad!$D$24,cad!$E$24)))</f>
        <v/>
      </c>
      <c r="I291" t="str">
        <f>IF($A291="","",IF($D291="V01",cad!$C$32,IF($D291="V02",cad!$D$32,cad!$E$32)))</f>
        <v/>
      </c>
      <c r="J291" t="str">
        <f>IF($A291="","",IF($D291="V01",cad!$C$33,IF($D291="V02",cad!$D$33,cad!$E$33)))</f>
        <v/>
      </c>
      <c r="K291" t="str">
        <f>IF($A291="","",IF($D291="V01",cad!$C$34,IF($D291="V02",cad!$D$34,cad!$E$34)))</f>
        <v/>
      </c>
      <c r="L291" t="str">
        <f>IF($A291="","",IF($D291="V01",cad!$C$35,IF($D291="V02",cad!$D$35,cad!$E$35)))</f>
        <v/>
      </c>
      <c r="M291" t="str">
        <f>IF($A291="","",IF($D291="V01",cad!$C$36,IF($D291="V02",cad!$D$36,cad!$E$36)))</f>
        <v/>
      </c>
      <c r="N291" t="str">
        <f t="shared" si="17"/>
        <v/>
      </c>
      <c r="O291" t="str">
        <f t="shared" si="18"/>
        <v/>
      </c>
      <c r="P291" t="str">
        <f>IF($A291="","",IF($E291=1,$F291*$O291,PNL!G291))</f>
        <v/>
      </c>
      <c r="T291" t="str">
        <f t="shared" si="19"/>
        <v/>
      </c>
    </row>
    <row r="292" spans="1:20" x14ac:dyDescent="0.45">
      <c r="A292" t="str">
        <f>IF(PNL!A292="","",PNL!A292)</f>
        <v/>
      </c>
      <c r="B292" t="str">
        <f>IF(PNL!B292="","",PNL!B292)</f>
        <v/>
      </c>
      <c r="C292" t="str">
        <f>IF(PNL!C292="","",PNL!C292)</f>
        <v/>
      </c>
      <c r="D292" t="str">
        <f>IF(PNL!D292="","",PNL!D292)</f>
        <v/>
      </c>
      <c r="E292" t="str">
        <f t="shared" si="16"/>
        <v/>
      </c>
      <c r="F292" t="str">
        <f>IF($A292="","",IF($E292=1,SUMIFS(Compta!$F$1:$F$675,Compta!$A$1:$A$675,$A292,Compta!$B$1:$B$675,$B292,Compta!$C$1:$C$675,"2026"),0))</f>
        <v/>
      </c>
      <c r="G292" t="str">
        <f>IF($A292="","",IF($D292="V01",cad!$C$23,IF($D292="V02",cad!$D$23,cad!$E$23)))</f>
        <v/>
      </c>
      <c r="H292" t="str">
        <f>IF($A292="","",IF($D292="V01",cad!$C$24,IF($D292="V02",cad!$D$24,cad!$E$24)))</f>
        <v/>
      </c>
      <c r="I292" t="str">
        <f>IF($A292="","",IF($D292="V01",cad!$C$32,IF($D292="V02",cad!$D$32,cad!$E$32)))</f>
        <v/>
      </c>
      <c r="J292" t="str">
        <f>IF($A292="","",IF($D292="V01",cad!$C$33,IF($D292="V02",cad!$D$33,cad!$E$33)))</f>
        <v/>
      </c>
      <c r="K292" t="str">
        <f>IF($A292="","",IF($D292="V01",cad!$C$34,IF($D292="V02",cad!$D$34,cad!$E$34)))</f>
        <v/>
      </c>
      <c r="L292" t="str">
        <f>IF($A292="","",IF($D292="V01",cad!$C$35,IF($D292="V02",cad!$D$35,cad!$E$35)))</f>
        <v/>
      </c>
      <c r="M292" t="str">
        <f>IF($A292="","",IF($D292="V01",cad!$C$36,IF($D292="V02",cad!$D$36,cad!$E$36)))</f>
        <v/>
      </c>
      <c r="N292" t="str">
        <f t="shared" si="17"/>
        <v/>
      </c>
      <c r="O292" t="str">
        <f t="shared" si="18"/>
        <v/>
      </c>
      <c r="P292" t="str">
        <f>IF($A292="","",IF($E292=1,$F292*$O292,PNL!G292))</f>
        <v/>
      </c>
      <c r="T292" t="str">
        <f t="shared" si="19"/>
        <v/>
      </c>
    </row>
    <row r="293" spans="1:20" x14ac:dyDescent="0.45">
      <c r="A293" t="str">
        <f>IF(PNL!A293="","",PNL!A293)</f>
        <v/>
      </c>
      <c r="B293" t="str">
        <f>IF(PNL!B293="","",PNL!B293)</f>
        <v/>
      </c>
      <c r="C293" t="str">
        <f>IF(PNL!C293="","",PNL!C293)</f>
        <v/>
      </c>
      <c r="D293" t="str">
        <f>IF(PNL!D293="","",PNL!D293)</f>
        <v/>
      </c>
      <c r="E293" t="str">
        <f t="shared" si="16"/>
        <v/>
      </c>
      <c r="F293" t="str">
        <f>IF($A293="","",IF($E293=1,SUMIFS(Compta!$F$1:$F$675,Compta!$A$1:$A$675,$A293,Compta!$B$1:$B$675,$B293,Compta!$C$1:$C$675,"2026"),0))</f>
        <v/>
      </c>
      <c r="G293" t="str">
        <f>IF($A293="","",IF($D293="V01",cad!$C$23,IF($D293="V02",cad!$D$23,cad!$E$23)))</f>
        <v/>
      </c>
      <c r="H293" t="str">
        <f>IF($A293="","",IF($D293="V01",cad!$C$24,IF($D293="V02",cad!$D$24,cad!$E$24)))</f>
        <v/>
      </c>
      <c r="I293" t="str">
        <f>IF($A293="","",IF($D293="V01",cad!$C$32,IF($D293="V02",cad!$D$32,cad!$E$32)))</f>
        <v/>
      </c>
      <c r="J293" t="str">
        <f>IF($A293="","",IF($D293="V01",cad!$C$33,IF($D293="V02",cad!$D$33,cad!$E$33)))</f>
        <v/>
      </c>
      <c r="K293" t="str">
        <f>IF($A293="","",IF($D293="V01",cad!$C$34,IF($D293="V02",cad!$D$34,cad!$E$34)))</f>
        <v/>
      </c>
      <c r="L293" t="str">
        <f>IF($A293="","",IF($D293="V01",cad!$C$35,IF($D293="V02",cad!$D$35,cad!$E$35)))</f>
        <v/>
      </c>
      <c r="M293" t="str">
        <f>IF($A293="","",IF($D293="V01",cad!$C$36,IF($D293="V02",cad!$D$36,cad!$E$36)))</f>
        <v/>
      </c>
      <c r="N293" t="str">
        <f t="shared" si="17"/>
        <v/>
      </c>
      <c r="O293" t="str">
        <f t="shared" si="18"/>
        <v/>
      </c>
      <c r="P293" t="str">
        <f>IF($A293="","",IF($E293=1,$F293*$O293,PNL!G293))</f>
        <v/>
      </c>
      <c r="T293" t="str">
        <f t="shared" si="19"/>
        <v/>
      </c>
    </row>
    <row r="294" spans="1:20" x14ac:dyDescent="0.45">
      <c r="A294" t="str">
        <f>IF(PNL!A294="","",PNL!A294)</f>
        <v/>
      </c>
      <c r="B294" t="str">
        <f>IF(PNL!B294="","",PNL!B294)</f>
        <v/>
      </c>
      <c r="C294" t="str">
        <f>IF(PNL!C294="","",PNL!C294)</f>
        <v/>
      </c>
      <c r="D294" t="str">
        <f>IF(PNL!D294="","",PNL!D294)</f>
        <v/>
      </c>
      <c r="E294" t="str">
        <f t="shared" si="16"/>
        <v/>
      </c>
      <c r="F294" t="str">
        <f>IF($A294="","",IF($E294=1,SUMIFS(Compta!$F$1:$F$675,Compta!$A$1:$A$675,$A294,Compta!$B$1:$B$675,$B294,Compta!$C$1:$C$675,"2026"),0))</f>
        <v/>
      </c>
      <c r="G294" t="str">
        <f>IF($A294="","",IF($D294="V01",cad!$C$23,IF($D294="V02",cad!$D$23,cad!$E$23)))</f>
        <v/>
      </c>
      <c r="H294" t="str">
        <f>IF($A294="","",IF($D294="V01",cad!$C$24,IF($D294="V02",cad!$D$24,cad!$E$24)))</f>
        <v/>
      </c>
      <c r="I294" t="str">
        <f>IF($A294="","",IF($D294="V01",cad!$C$32,IF($D294="V02",cad!$D$32,cad!$E$32)))</f>
        <v/>
      </c>
      <c r="J294" t="str">
        <f>IF($A294="","",IF($D294="V01",cad!$C$33,IF($D294="V02",cad!$D$33,cad!$E$33)))</f>
        <v/>
      </c>
      <c r="K294" t="str">
        <f>IF($A294="","",IF($D294="V01",cad!$C$34,IF($D294="V02",cad!$D$34,cad!$E$34)))</f>
        <v/>
      </c>
      <c r="L294" t="str">
        <f>IF($A294="","",IF($D294="V01",cad!$C$35,IF($D294="V02",cad!$D$35,cad!$E$35)))</f>
        <v/>
      </c>
      <c r="M294" t="str">
        <f>IF($A294="","",IF($D294="V01",cad!$C$36,IF($D294="V02",cad!$D$36,cad!$E$36)))</f>
        <v/>
      </c>
      <c r="N294" t="str">
        <f t="shared" si="17"/>
        <v/>
      </c>
      <c r="O294" t="str">
        <f t="shared" si="18"/>
        <v/>
      </c>
      <c r="P294" t="str">
        <f>IF($A294="","",IF($E294=1,$F294*$O294,PNL!G294))</f>
        <v/>
      </c>
      <c r="T294" t="str">
        <f t="shared" si="19"/>
        <v/>
      </c>
    </row>
    <row r="295" spans="1:20" x14ac:dyDescent="0.45">
      <c r="A295" t="str">
        <f>IF(PNL!A295="","",PNL!A295)</f>
        <v/>
      </c>
      <c r="B295" t="str">
        <f>IF(PNL!B295="","",PNL!B295)</f>
        <v/>
      </c>
      <c r="C295" t="str">
        <f>IF(PNL!C295="","",PNL!C295)</f>
        <v/>
      </c>
      <c r="D295" t="str">
        <f>IF(PNL!D295="","",PNL!D295)</f>
        <v/>
      </c>
      <c r="E295" t="str">
        <f t="shared" si="16"/>
        <v/>
      </c>
      <c r="F295" t="str">
        <f>IF($A295="","",IF($E295=1,SUMIFS(Compta!$F$1:$F$675,Compta!$A$1:$A$675,$A295,Compta!$B$1:$B$675,$B295,Compta!$C$1:$C$675,"2026"),0))</f>
        <v/>
      </c>
      <c r="G295" t="str">
        <f>IF($A295="","",IF($D295="V01",cad!$C$23,IF($D295="V02",cad!$D$23,cad!$E$23)))</f>
        <v/>
      </c>
      <c r="H295" t="str">
        <f>IF($A295="","",IF($D295="V01",cad!$C$24,IF($D295="V02",cad!$D$24,cad!$E$24)))</f>
        <v/>
      </c>
      <c r="I295" t="str">
        <f>IF($A295="","",IF($D295="V01",cad!$C$32,IF($D295="V02",cad!$D$32,cad!$E$32)))</f>
        <v/>
      </c>
      <c r="J295" t="str">
        <f>IF($A295="","",IF($D295="V01",cad!$C$33,IF($D295="V02",cad!$D$33,cad!$E$33)))</f>
        <v/>
      </c>
      <c r="K295" t="str">
        <f>IF($A295="","",IF($D295="V01",cad!$C$34,IF($D295="V02",cad!$D$34,cad!$E$34)))</f>
        <v/>
      </c>
      <c r="L295" t="str">
        <f>IF($A295="","",IF($D295="V01",cad!$C$35,IF($D295="V02",cad!$D$35,cad!$E$35)))</f>
        <v/>
      </c>
      <c r="M295" t="str">
        <f>IF($A295="","",IF($D295="V01",cad!$C$36,IF($D295="V02",cad!$D$36,cad!$E$36)))</f>
        <v/>
      </c>
      <c r="N295" t="str">
        <f t="shared" si="17"/>
        <v/>
      </c>
      <c r="O295" t="str">
        <f t="shared" si="18"/>
        <v/>
      </c>
      <c r="P295" t="str">
        <f>IF($A295="","",IF($E295=1,$F295*$O295,PNL!G295))</f>
        <v/>
      </c>
      <c r="T295" t="str">
        <f t="shared" si="19"/>
        <v/>
      </c>
    </row>
    <row r="296" spans="1:20" x14ac:dyDescent="0.45">
      <c r="A296" t="str">
        <f>IF(PNL!A296="","",PNL!A296)</f>
        <v/>
      </c>
      <c r="B296" t="str">
        <f>IF(PNL!B296="","",PNL!B296)</f>
        <v/>
      </c>
      <c r="C296" t="str">
        <f>IF(PNL!C296="","",PNL!C296)</f>
        <v/>
      </c>
      <c r="D296" t="str">
        <f>IF(PNL!D296="","",PNL!D296)</f>
        <v/>
      </c>
      <c r="E296" t="str">
        <f t="shared" si="16"/>
        <v/>
      </c>
      <c r="F296" t="str">
        <f>IF($A296="","",IF($E296=1,SUMIFS(Compta!$F$1:$F$675,Compta!$A$1:$A$675,$A296,Compta!$B$1:$B$675,$B296,Compta!$C$1:$C$675,"2026"),0))</f>
        <v/>
      </c>
      <c r="G296" t="str">
        <f>IF($A296="","",IF($D296="V01",cad!$C$23,IF($D296="V02",cad!$D$23,cad!$E$23)))</f>
        <v/>
      </c>
      <c r="H296" t="str">
        <f>IF($A296="","",IF($D296="V01",cad!$C$24,IF($D296="V02",cad!$D$24,cad!$E$24)))</f>
        <v/>
      </c>
      <c r="I296" t="str">
        <f>IF($A296="","",IF($D296="V01",cad!$C$32,IF($D296="V02",cad!$D$32,cad!$E$32)))</f>
        <v/>
      </c>
      <c r="J296" t="str">
        <f>IF($A296="","",IF($D296="V01",cad!$C$33,IF($D296="V02",cad!$D$33,cad!$E$33)))</f>
        <v/>
      </c>
      <c r="K296" t="str">
        <f>IF($A296="","",IF($D296="V01",cad!$C$34,IF($D296="V02",cad!$D$34,cad!$E$34)))</f>
        <v/>
      </c>
      <c r="L296" t="str">
        <f>IF($A296="","",IF($D296="V01",cad!$C$35,IF($D296="V02",cad!$D$35,cad!$E$35)))</f>
        <v/>
      </c>
      <c r="M296" t="str">
        <f>IF($A296="","",IF($D296="V01",cad!$C$36,IF($D296="V02",cad!$D$36,cad!$E$36)))</f>
        <v/>
      </c>
      <c r="N296" t="str">
        <f t="shared" si="17"/>
        <v/>
      </c>
      <c r="O296" t="str">
        <f t="shared" si="18"/>
        <v/>
      </c>
      <c r="P296" t="str">
        <f>IF($A296="","",IF($E296=1,$F296*$O296,PNL!G296))</f>
        <v/>
      </c>
      <c r="T296" t="str">
        <f t="shared" si="19"/>
        <v/>
      </c>
    </row>
    <row r="297" spans="1:20" x14ac:dyDescent="0.45">
      <c r="A297" t="str">
        <f>IF(PNL!A297="","",PNL!A297)</f>
        <v/>
      </c>
      <c r="B297" t="str">
        <f>IF(PNL!B297="","",PNL!B297)</f>
        <v/>
      </c>
      <c r="C297" t="str">
        <f>IF(PNL!C297="","",PNL!C297)</f>
        <v/>
      </c>
      <c r="D297" t="str">
        <f>IF(PNL!D297="","",PNL!D297)</f>
        <v/>
      </c>
      <c r="E297" t="str">
        <f t="shared" si="16"/>
        <v/>
      </c>
      <c r="F297" t="str">
        <f>IF($A297="","",IF($E297=1,SUMIFS(Compta!$F$1:$F$675,Compta!$A$1:$A$675,$A297,Compta!$B$1:$B$675,$B297,Compta!$C$1:$C$675,"2026"),0))</f>
        <v/>
      </c>
      <c r="G297" t="str">
        <f>IF($A297="","",IF($D297="V01",cad!$C$23,IF($D297="V02",cad!$D$23,cad!$E$23)))</f>
        <v/>
      </c>
      <c r="H297" t="str">
        <f>IF($A297="","",IF($D297="V01",cad!$C$24,IF($D297="V02",cad!$D$24,cad!$E$24)))</f>
        <v/>
      </c>
      <c r="I297" t="str">
        <f>IF($A297="","",IF($D297="V01",cad!$C$32,IF($D297="V02",cad!$D$32,cad!$E$32)))</f>
        <v/>
      </c>
      <c r="J297" t="str">
        <f>IF($A297="","",IF($D297="V01",cad!$C$33,IF($D297="V02",cad!$D$33,cad!$E$33)))</f>
        <v/>
      </c>
      <c r="K297" t="str">
        <f>IF($A297="","",IF($D297="V01",cad!$C$34,IF($D297="V02",cad!$D$34,cad!$E$34)))</f>
        <v/>
      </c>
      <c r="L297" t="str">
        <f>IF($A297="","",IF($D297="V01",cad!$C$35,IF($D297="V02",cad!$D$35,cad!$E$35)))</f>
        <v/>
      </c>
      <c r="M297" t="str">
        <f>IF($A297="","",IF($D297="V01",cad!$C$36,IF($D297="V02",cad!$D$36,cad!$E$36)))</f>
        <v/>
      </c>
      <c r="N297" t="str">
        <f t="shared" si="17"/>
        <v/>
      </c>
      <c r="O297" t="str">
        <f t="shared" si="18"/>
        <v/>
      </c>
      <c r="P297" t="str">
        <f>IF($A297="","",IF($E297=1,$F297*$O297,PNL!G297))</f>
        <v/>
      </c>
      <c r="T297" t="str">
        <f t="shared" si="19"/>
        <v/>
      </c>
    </row>
    <row r="298" spans="1:20" x14ac:dyDescent="0.45">
      <c r="A298" t="str">
        <f>IF(PNL!A298="","",PNL!A298)</f>
        <v/>
      </c>
      <c r="B298" t="str">
        <f>IF(PNL!B298="","",PNL!B298)</f>
        <v/>
      </c>
      <c r="C298" t="str">
        <f>IF(PNL!C298="","",PNL!C298)</f>
        <v/>
      </c>
      <c r="D298" t="str">
        <f>IF(PNL!D298="","",PNL!D298)</f>
        <v/>
      </c>
      <c r="E298" t="str">
        <f t="shared" si="16"/>
        <v/>
      </c>
      <c r="F298" t="str">
        <f>IF($A298="","",IF($E298=1,SUMIFS(Compta!$F$1:$F$675,Compta!$A$1:$A$675,$A298,Compta!$B$1:$B$675,$B298,Compta!$C$1:$C$675,"2026"),0))</f>
        <v/>
      </c>
      <c r="G298" t="str">
        <f>IF($A298="","",IF($D298="V01",cad!$C$23,IF($D298="V02",cad!$D$23,cad!$E$23)))</f>
        <v/>
      </c>
      <c r="H298" t="str">
        <f>IF($A298="","",IF($D298="V01",cad!$C$24,IF($D298="V02",cad!$D$24,cad!$E$24)))</f>
        <v/>
      </c>
      <c r="I298" t="str">
        <f>IF($A298="","",IF($D298="V01",cad!$C$32,IF($D298="V02",cad!$D$32,cad!$E$32)))</f>
        <v/>
      </c>
      <c r="J298" t="str">
        <f>IF($A298="","",IF($D298="V01",cad!$C$33,IF($D298="V02",cad!$D$33,cad!$E$33)))</f>
        <v/>
      </c>
      <c r="K298" t="str">
        <f>IF($A298="","",IF($D298="V01",cad!$C$34,IF($D298="V02",cad!$D$34,cad!$E$34)))</f>
        <v/>
      </c>
      <c r="L298" t="str">
        <f>IF($A298="","",IF($D298="V01",cad!$C$35,IF($D298="V02",cad!$D$35,cad!$E$35)))</f>
        <v/>
      </c>
      <c r="M298" t="str">
        <f>IF($A298="","",IF($D298="V01",cad!$C$36,IF($D298="V02",cad!$D$36,cad!$E$36)))</f>
        <v/>
      </c>
      <c r="N298" t="str">
        <f t="shared" si="17"/>
        <v/>
      </c>
      <c r="O298" t="str">
        <f t="shared" si="18"/>
        <v/>
      </c>
      <c r="P298" t="str">
        <f>IF($A298="","",IF($E298=1,$F298*$O298,PNL!G298))</f>
        <v/>
      </c>
      <c r="T298" t="str">
        <f t="shared" si="19"/>
        <v/>
      </c>
    </row>
    <row r="299" spans="1:20" x14ac:dyDescent="0.45">
      <c r="A299" t="str">
        <f>IF(PNL!A299="","",PNL!A299)</f>
        <v/>
      </c>
      <c r="B299" t="str">
        <f>IF(PNL!B299="","",PNL!B299)</f>
        <v/>
      </c>
      <c r="C299" t="str">
        <f>IF(PNL!C299="","",PNL!C299)</f>
        <v/>
      </c>
      <c r="D299" t="str">
        <f>IF(PNL!D299="","",PNL!D299)</f>
        <v/>
      </c>
      <c r="E299" t="str">
        <f t="shared" si="16"/>
        <v/>
      </c>
      <c r="F299" t="str">
        <f>IF($A299="","",IF($E299=1,SUMIFS(Compta!$F$1:$F$675,Compta!$A$1:$A$675,$A299,Compta!$B$1:$B$675,$B299,Compta!$C$1:$C$675,"2026"),0))</f>
        <v/>
      </c>
      <c r="G299" t="str">
        <f>IF($A299="","",IF($D299="V01",cad!$C$23,IF($D299="V02",cad!$D$23,cad!$E$23)))</f>
        <v/>
      </c>
      <c r="H299" t="str">
        <f>IF($A299="","",IF($D299="V01",cad!$C$24,IF($D299="V02",cad!$D$24,cad!$E$24)))</f>
        <v/>
      </c>
      <c r="I299" t="str">
        <f>IF($A299="","",IF($D299="V01",cad!$C$32,IF($D299="V02",cad!$D$32,cad!$E$32)))</f>
        <v/>
      </c>
      <c r="J299" t="str">
        <f>IF($A299="","",IF($D299="V01",cad!$C$33,IF($D299="V02",cad!$D$33,cad!$E$33)))</f>
        <v/>
      </c>
      <c r="K299" t="str">
        <f>IF($A299="","",IF($D299="V01",cad!$C$34,IF($D299="V02",cad!$D$34,cad!$E$34)))</f>
        <v/>
      </c>
      <c r="L299" t="str">
        <f>IF($A299="","",IF($D299="V01",cad!$C$35,IF($D299="V02",cad!$D$35,cad!$E$35)))</f>
        <v/>
      </c>
      <c r="M299" t="str">
        <f>IF($A299="","",IF($D299="V01",cad!$C$36,IF($D299="V02",cad!$D$36,cad!$E$36)))</f>
        <v/>
      </c>
      <c r="N299" t="str">
        <f t="shared" si="17"/>
        <v/>
      </c>
      <c r="O299" t="str">
        <f t="shared" si="18"/>
        <v/>
      </c>
      <c r="P299" t="str">
        <f>IF($A299="","",IF($E299=1,$F299*$O299,PNL!G299))</f>
        <v/>
      </c>
      <c r="T299" t="str">
        <f t="shared" si="19"/>
        <v/>
      </c>
    </row>
    <row r="300" spans="1:20" x14ac:dyDescent="0.45">
      <c r="A300" t="str">
        <f>IF(PNL!A300="","",PNL!A300)</f>
        <v/>
      </c>
      <c r="B300" t="str">
        <f>IF(PNL!B300="","",PNL!B300)</f>
        <v/>
      </c>
      <c r="C300" t="str">
        <f>IF(PNL!C300="","",PNL!C300)</f>
        <v/>
      </c>
      <c r="D300" t="str">
        <f>IF(PNL!D300="","",PNL!D300)</f>
        <v/>
      </c>
      <c r="E300" t="str">
        <f t="shared" si="16"/>
        <v/>
      </c>
      <c r="F300" t="str">
        <f>IF($A300="","",IF($E300=1,SUMIFS(Compta!$F$1:$F$675,Compta!$A$1:$A$675,$A300,Compta!$B$1:$B$675,$B300,Compta!$C$1:$C$675,"2026"),0))</f>
        <v/>
      </c>
      <c r="G300" t="str">
        <f>IF($A300="","",IF($D300="V01",cad!$C$23,IF($D300="V02",cad!$D$23,cad!$E$23)))</f>
        <v/>
      </c>
      <c r="H300" t="str">
        <f>IF($A300="","",IF($D300="V01",cad!$C$24,IF($D300="V02",cad!$D$24,cad!$E$24)))</f>
        <v/>
      </c>
      <c r="I300" t="str">
        <f>IF($A300="","",IF($D300="V01",cad!$C$32,IF($D300="V02",cad!$D$32,cad!$E$32)))</f>
        <v/>
      </c>
      <c r="J300" t="str">
        <f>IF($A300="","",IF($D300="V01",cad!$C$33,IF($D300="V02",cad!$D$33,cad!$E$33)))</f>
        <v/>
      </c>
      <c r="K300" t="str">
        <f>IF($A300="","",IF($D300="V01",cad!$C$34,IF($D300="V02",cad!$D$34,cad!$E$34)))</f>
        <v/>
      </c>
      <c r="L300" t="str">
        <f>IF($A300="","",IF($D300="V01",cad!$C$35,IF($D300="V02",cad!$D$35,cad!$E$35)))</f>
        <v/>
      </c>
      <c r="M300" t="str">
        <f>IF($A300="","",IF($D300="V01",cad!$C$36,IF($D300="V02",cad!$D$36,cad!$E$36)))</f>
        <v/>
      </c>
      <c r="N300" t="str">
        <f t="shared" si="17"/>
        <v/>
      </c>
      <c r="O300" t="str">
        <f t="shared" si="18"/>
        <v/>
      </c>
      <c r="P300" t="str">
        <f>IF($A300="","",IF($E300=1,$F300*$O300,PNL!G300))</f>
        <v/>
      </c>
      <c r="T300" t="str">
        <f t="shared" si="19"/>
        <v/>
      </c>
    </row>
    <row r="301" spans="1:20" x14ac:dyDescent="0.45">
      <c r="A301" t="str">
        <f>IF(PNL!A301="","",PNL!A301)</f>
        <v/>
      </c>
      <c r="B301" t="str">
        <f>IF(PNL!B301="","",PNL!B301)</f>
        <v/>
      </c>
      <c r="C301" t="str">
        <f>IF(PNL!C301="","",PNL!C301)</f>
        <v/>
      </c>
      <c r="D301" t="str">
        <f>IF(PNL!D301="","",PNL!D301)</f>
        <v/>
      </c>
      <c r="E301" t="str">
        <f t="shared" si="16"/>
        <v/>
      </c>
      <c r="F301" t="str">
        <f>IF($A301="","",IF($E301=1,SUMIFS(Compta!$F$1:$F$675,Compta!$A$1:$A$675,$A301,Compta!$B$1:$B$675,$B301,Compta!$C$1:$C$675,"2026"),0))</f>
        <v/>
      </c>
      <c r="G301" t="str">
        <f>IF($A301="","",IF($D301="V01",cad!$C$23,IF($D301="V02",cad!$D$23,cad!$E$23)))</f>
        <v/>
      </c>
      <c r="H301" t="str">
        <f>IF($A301="","",IF($D301="V01",cad!$C$24,IF($D301="V02",cad!$D$24,cad!$E$24)))</f>
        <v/>
      </c>
      <c r="I301" t="str">
        <f>IF($A301="","",IF($D301="V01",cad!$C$32,IF($D301="V02",cad!$D$32,cad!$E$32)))</f>
        <v/>
      </c>
      <c r="J301" t="str">
        <f>IF($A301="","",IF($D301="V01",cad!$C$33,IF($D301="V02",cad!$D$33,cad!$E$33)))</f>
        <v/>
      </c>
      <c r="K301" t="str">
        <f>IF($A301="","",IF($D301="V01",cad!$C$34,IF($D301="V02",cad!$D$34,cad!$E$34)))</f>
        <v/>
      </c>
      <c r="L301" t="str">
        <f>IF($A301="","",IF($D301="V01",cad!$C$35,IF($D301="V02",cad!$D$35,cad!$E$35)))</f>
        <v/>
      </c>
      <c r="M301" t="str">
        <f>IF($A301="","",IF($D301="V01",cad!$C$36,IF($D301="V02",cad!$D$36,cad!$E$36)))</f>
        <v/>
      </c>
      <c r="N301" t="str">
        <f t="shared" si="17"/>
        <v/>
      </c>
      <c r="O301" t="str">
        <f t="shared" si="18"/>
        <v/>
      </c>
      <c r="P301" t="str">
        <f>IF($A301="","",IF($E301=1,$F301*$O301,PNL!G301))</f>
        <v/>
      </c>
      <c r="T301" t="str">
        <f t="shared" si="19"/>
        <v/>
      </c>
    </row>
    <row r="302" spans="1:20" x14ac:dyDescent="0.45">
      <c r="A302" t="str">
        <f>IF(PNL!A302="","",PNL!A302)</f>
        <v/>
      </c>
      <c r="B302" t="str">
        <f>IF(PNL!B302="","",PNL!B302)</f>
        <v/>
      </c>
      <c r="C302" t="str">
        <f>IF(PNL!C302="","",PNL!C302)</f>
        <v/>
      </c>
      <c r="D302" t="str">
        <f>IF(PNL!D302="","",PNL!D302)</f>
        <v/>
      </c>
      <c r="E302" t="str">
        <f t="shared" si="16"/>
        <v/>
      </c>
      <c r="F302" t="str">
        <f>IF($A302="","",IF($E302=1,SUMIFS(Compta!$F$1:$F$675,Compta!$A$1:$A$675,$A302,Compta!$B$1:$B$675,$B302,Compta!$C$1:$C$675,"2026"),0))</f>
        <v/>
      </c>
      <c r="G302" t="str">
        <f>IF($A302="","",IF($D302="V01",cad!$C$23,IF($D302="V02",cad!$D$23,cad!$E$23)))</f>
        <v/>
      </c>
      <c r="H302" t="str">
        <f>IF($A302="","",IF($D302="V01",cad!$C$24,IF($D302="V02",cad!$D$24,cad!$E$24)))</f>
        <v/>
      </c>
      <c r="I302" t="str">
        <f>IF($A302="","",IF($D302="V01",cad!$C$32,IF($D302="V02",cad!$D$32,cad!$E$32)))</f>
        <v/>
      </c>
      <c r="J302" t="str">
        <f>IF($A302="","",IF($D302="V01",cad!$C$33,IF($D302="V02",cad!$D$33,cad!$E$33)))</f>
        <v/>
      </c>
      <c r="K302" t="str">
        <f>IF($A302="","",IF($D302="V01",cad!$C$34,IF($D302="V02",cad!$D$34,cad!$E$34)))</f>
        <v/>
      </c>
      <c r="L302" t="str">
        <f>IF($A302="","",IF($D302="V01",cad!$C$35,IF($D302="V02",cad!$D$35,cad!$E$35)))</f>
        <v/>
      </c>
      <c r="M302" t="str">
        <f>IF($A302="","",IF($D302="V01",cad!$C$36,IF($D302="V02",cad!$D$36,cad!$E$36)))</f>
        <v/>
      </c>
      <c r="N302" t="str">
        <f t="shared" si="17"/>
        <v/>
      </c>
      <c r="O302" t="str">
        <f t="shared" si="18"/>
        <v/>
      </c>
      <c r="P302" t="str">
        <f>IF($A302="","",IF($E302=1,$F302*$O302,PNL!G302))</f>
        <v/>
      </c>
      <c r="T302" t="str">
        <f t="shared" si="19"/>
        <v/>
      </c>
    </row>
    <row r="303" spans="1:20" x14ac:dyDescent="0.45">
      <c r="A303" t="str">
        <f>IF(PNL!A303="","",PNL!A303)</f>
        <v/>
      </c>
      <c r="B303" t="str">
        <f>IF(PNL!B303="","",PNL!B303)</f>
        <v/>
      </c>
      <c r="C303" t="str">
        <f>IF(PNL!C303="","",PNL!C303)</f>
        <v/>
      </c>
      <c r="D303" t="str">
        <f>IF(PNL!D303="","",PNL!D303)</f>
        <v/>
      </c>
      <c r="E303" t="str">
        <f t="shared" si="16"/>
        <v/>
      </c>
      <c r="F303" t="str">
        <f>IF($A303="","",IF($E303=1,SUMIFS(Compta!$F$1:$F$675,Compta!$A$1:$A$675,$A303,Compta!$B$1:$B$675,$B303,Compta!$C$1:$C$675,"2026"),0))</f>
        <v/>
      </c>
      <c r="G303" t="str">
        <f>IF($A303="","",IF($D303="V01",cad!$C$23,IF($D303="V02",cad!$D$23,cad!$E$23)))</f>
        <v/>
      </c>
      <c r="H303" t="str">
        <f>IF($A303="","",IF($D303="V01",cad!$C$24,IF($D303="V02",cad!$D$24,cad!$E$24)))</f>
        <v/>
      </c>
      <c r="I303" t="str">
        <f>IF($A303="","",IF($D303="V01",cad!$C$32,IF($D303="V02",cad!$D$32,cad!$E$32)))</f>
        <v/>
      </c>
      <c r="J303" t="str">
        <f>IF($A303="","",IF($D303="V01",cad!$C$33,IF($D303="V02",cad!$D$33,cad!$E$33)))</f>
        <v/>
      </c>
      <c r="K303" t="str">
        <f>IF($A303="","",IF($D303="V01",cad!$C$34,IF($D303="V02",cad!$D$34,cad!$E$34)))</f>
        <v/>
      </c>
      <c r="L303" t="str">
        <f>IF($A303="","",IF($D303="V01",cad!$C$35,IF($D303="V02",cad!$D$35,cad!$E$35)))</f>
        <v/>
      </c>
      <c r="M303" t="str">
        <f>IF($A303="","",IF($D303="V01",cad!$C$36,IF($D303="V02",cad!$D$36,cad!$E$36)))</f>
        <v/>
      </c>
      <c r="N303" t="str">
        <f t="shared" si="17"/>
        <v/>
      </c>
      <c r="O303" t="str">
        <f t="shared" si="18"/>
        <v/>
      </c>
      <c r="P303" t="str">
        <f>IF($A303="","",IF($E303=1,$F303*$O303,PNL!G303))</f>
        <v/>
      </c>
      <c r="T303" t="str">
        <f t="shared" si="19"/>
        <v/>
      </c>
    </row>
    <row r="304" spans="1:20" x14ac:dyDescent="0.45">
      <c r="A304" t="str">
        <f>IF(PNL!A304="","",PNL!A304)</f>
        <v/>
      </c>
      <c r="B304" t="str">
        <f>IF(PNL!B304="","",PNL!B304)</f>
        <v/>
      </c>
      <c r="C304" t="str">
        <f>IF(PNL!C304="","",PNL!C304)</f>
        <v/>
      </c>
      <c r="D304" t="str">
        <f>IF(PNL!D304="","",PNL!D304)</f>
        <v/>
      </c>
      <c r="E304" t="str">
        <f t="shared" si="16"/>
        <v/>
      </c>
      <c r="F304" t="str">
        <f>IF($A304="","",IF($E304=1,SUMIFS(Compta!$F$1:$F$675,Compta!$A$1:$A$675,$A304,Compta!$B$1:$B$675,$B304,Compta!$C$1:$C$675,"2026"),0))</f>
        <v/>
      </c>
      <c r="G304" t="str">
        <f>IF($A304="","",IF($D304="V01",cad!$C$23,IF($D304="V02",cad!$D$23,cad!$E$23)))</f>
        <v/>
      </c>
      <c r="H304" t="str">
        <f>IF($A304="","",IF($D304="V01",cad!$C$24,IF($D304="V02",cad!$D$24,cad!$E$24)))</f>
        <v/>
      </c>
      <c r="I304" t="str">
        <f>IF($A304="","",IF($D304="V01",cad!$C$32,IF($D304="V02",cad!$D$32,cad!$E$32)))</f>
        <v/>
      </c>
      <c r="J304" t="str">
        <f>IF($A304="","",IF($D304="V01",cad!$C$33,IF($D304="V02",cad!$D$33,cad!$E$33)))</f>
        <v/>
      </c>
      <c r="K304" t="str">
        <f>IF($A304="","",IF($D304="V01",cad!$C$34,IF($D304="V02",cad!$D$34,cad!$E$34)))</f>
        <v/>
      </c>
      <c r="L304" t="str">
        <f>IF($A304="","",IF($D304="V01",cad!$C$35,IF($D304="V02",cad!$D$35,cad!$E$35)))</f>
        <v/>
      </c>
      <c r="M304" t="str">
        <f>IF($A304="","",IF($D304="V01",cad!$C$36,IF($D304="V02",cad!$D$36,cad!$E$36)))</f>
        <v/>
      </c>
      <c r="N304" t="str">
        <f t="shared" si="17"/>
        <v/>
      </c>
      <c r="O304" t="str">
        <f t="shared" si="18"/>
        <v/>
      </c>
      <c r="P304" t="str">
        <f>IF($A304="","",IF($E304=1,$F304*$O304,PNL!G304))</f>
        <v/>
      </c>
      <c r="T304" t="str">
        <f t="shared" si="19"/>
        <v/>
      </c>
    </row>
    <row r="305" spans="1:20" x14ac:dyDescent="0.45">
      <c r="A305" t="str">
        <f>IF(PNL!A305="","",PNL!A305)</f>
        <v/>
      </c>
      <c r="B305" t="str">
        <f>IF(PNL!B305="","",PNL!B305)</f>
        <v/>
      </c>
      <c r="C305" t="str">
        <f>IF(PNL!C305="","",PNL!C305)</f>
        <v/>
      </c>
      <c r="D305" t="str">
        <f>IF(PNL!D305="","",PNL!D305)</f>
        <v/>
      </c>
      <c r="E305" t="str">
        <f t="shared" si="16"/>
        <v/>
      </c>
      <c r="F305" t="str">
        <f>IF($A305="","",IF($E305=1,SUMIFS(Compta!$F$1:$F$675,Compta!$A$1:$A$675,$A305,Compta!$B$1:$B$675,$B305,Compta!$C$1:$C$675,"2026"),0))</f>
        <v/>
      </c>
      <c r="G305" t="str">
        <f>IF($A305="","",IF($D305="V01",cad!$C$23,IF($D305="V02",cad!$D$23,cad!$E$23)))</f>
        <v/>
      </c>
      <c r="H305" t="str">
        <f>IF($A305="","",IF($D305="V01",cad!$C$24,IF($D305="V02",cad!$D$24,cad!$E$24)))</f>
        <v/>
      </c>
      <c r="I305" t="str">
        <f>IF($A305="","",IF($D305="V01",cad!$C$32,IF($D305="V02",cad!$D$32,cad!$E$32)))</f>
        <v/>
      </c>
      <c r="J305" t="str">
        <f>IF($A305="","",IF($D305="V01",cad!$C$33,IF($D305="V02",cad!$D$33,cad!$E$33)))</f>
        <v/>
      </c>
      <c r="K305" t="str">
        <f>IF($A305="","",IF($D305="V01",cad!$C$34,IF($D305="V02",cad!$D$34,cad!$E$34)))</f>
        <v/>
      </c>
      <c r="L305" t="str">
        <f>IF($A305="","",IF($D305="V01",cad!$C$35,IF($D305="V02",cad!$D$35,cad!$E$35)))</f>
        <v/>
      </c>
      <c r="M305" t="str">
        <f>IF($A305="","",IF($D305="V01",cad!$C$36,IF($D305="V02",cad!$D$36,cad!$E$36)))</f>
        <v/>
      </c>
      <c r="N305" t="str">
        <f t="shared" si="17"/>
        <v/>
      </c>
      <c r="O305" t="str">
        <f t="shared" si="18"/>
        <v/>
      </c>
      <c r="P305" t="str">
        <f>IF($A305="","",IF($E305=1,$F305*$O305,PNL!G305))</f>
        <v/>
      </c>
      <c r="T305" t="str">
        <f t="shared" si="19"/>
        <v/>
      </c>
    </row>
    <row r="306" spans="1:20" x14ac:dyDescent="0.45">
      <c r="A306" t="str">
        <f>IF(PNL!A306="","",PNL!A306)</f>
        <v/>
      </c>
      <c r="B306" t="str">
        <f>IF(PNL!B306="","",PNL!B306)</f>
        <v/>
      </c>
      <c r="C306" t="str">
        <f>IF(PNL!C306="","",PNL!C306)</f>
        <v/>
      </c>
      <c r="D306" t="str">
        <f>IF(PNL!D306="","",PNL!D306)</f>
        <v/>
      </c>
      <c r="E306" t="str">
        <f t="shared" si="16"/>
        <v/>
      </c>
      <c r="F306" t="str">
        <f>IF($A306="","",IF($E306=1,SUMIFS(Compta!$F$1:$F$675,Compta!$A$1:$A$675,$A306,Compta!$B$1:$B$675,$B306,Compta!$C$1:$C$675,"2026"),0))</f>
        <v/>
      </c>
      <c r="G306" t="str">
        <f>IF($A306="","",IF($D306="V01",cad!$C$23,IF($D306="V02",cad!$D$23,cad!$E$23)))</f>
        <v/>
      </c>
      <c r="H306" t="str">
        <f>IF($A306="","",IF($D306="V01",cad!$C$24,IF($D306="V02",cad!$D$24,cad!$E$24)))</f>
        <v/>
      </c>
      <c r="I306" t="str">
        <f>IF($A306="","",IF($D306="V01",cad!$C$32,IF($D306="V02",cad!$D$32,cad!$E$32)))</f>
        <v/>
      </c>
      <c r="J306" t="str">
        <f>IF($A306="","",IF($D306="V01",cad!$C$33,IF($D306="V02",cad!$D$33,cad!$E$33)))</f>
        <v/>
      </c>
      <c r="K306" t="str">
        <f>IF($A306="","",IF($D306="V01",cad!$C$34,IF($D306="V02",cad!$D$34,cad!$E$34)))</f>
        <v/>
      </c>
      <c r="L306" t="str">
        <f>IF($A306="","",IF($D306="V01",cad!$C$35,IF($D306="V02",cad!$D$35,cad!$E$35)))</f>
        <v/>
      </c>
      <c r="M306" t="str">
        <f>IF($A306="","",IF($D306="V01",cad!$C$36,IF($D306="V02",cad!$D$36,cad!$E$36)))</f>
        <v/>
      </c>
      <c r="N306" t="str">
        <f t="shared" si="17"/>
        <v/>
      </c>
      <c r="O306" t="str">
        <f t="shared" si="18"/>
        <v/>
      </c>
      <c r="P306" t="str">
        <f>IF($A306="","",IF($E306=1,$F306*$O306,PNL!G306))</f>
        <v/>
      </c>
      <c r="T306" t="str">
        <f t="shared" si="19"/>
        <v/>
      </c>
    </row>
    <row r="307" spans="1:20" x14ac:dyDescent="0.45">
      <c r="A307" t="str">
        <f>IF(PNL!A307="","",PNL!A307)</f>
        <v/>
      </c>
      <c r="B307" t="str">
        <f>IF(PNL!B307="","",PNL!B307)</f>
        <v/>
      </c>
      <c r="C307" t="str">
        <f>IF(PNL!C307="","",PNL!C307)</f>
        <v/>
      </c>
      <c r="D307" t="str">
        <f>IF(PNL!D307="","",PNL!D307)</f>
        <v/>
      </c>
      <c r="E307" t="str">
        <f t="shared" si="16"/>
        <v/>
      </c>
      <c r="F307" t="str">
        <f>IF($A307="","",IF($E307=1,SUMIFS(Compta!$F$1:$F$675,Compta!$A$1:$A$675,$A307,Compta!$B$1:$B$675,$B307,Compta!$C$1:$C$675,"2026"),0))</f>
        <v/>
      </c>
      <c r="G307" t="str">
        <f>IF($A307="","",IF($D307="V01",cad!$C$23,IF($D307="V02",cad!$D$23,cad!$E$23)))</f>
        <v/>
      </c>
      <c r="H307" t="str">
        <f>IF($A307="","",IF($D307="V01",cad!$C$24,IF($D307="V02",cad!$D$24,cad!$E$24)))</f>
        <v/>
      </c>
      <c r="I307" t="str">
        <f>IF($A307="","",IF($D307="V01",cad!$C$32,IF($D307="V02",cad!$D$32,cad!$E$32)))</f>
        <v/>
      </c>
      <c r="J307" t="str">
        <f>IF($A307="","",IF($D307="V01",cad!$C$33,IF($D307="V02",cad!$D$33,cad!$E$33)))</f>
        <v/>
      </c>
      <c r="K307" t="str">
        <f>IF($A307="","",IF($D307="V01",cad!$C$34,IF($D307="V02",cad!$D$34,cad!$E$34)))</f>
        <v/>
      </c>
      <c r="L307" t="str">
        <f>IF($A307="","",IF($D307="V01",cad!$C$35,IF($D307="V02",cad!$D$35,cad!$E$35)))</f>
        <v/>
      </c>
      <c r="M307" t="str">
        <f>IF($A307="","",IF($D307="V01",cad!$C$36,IF($D307="V02",cad!$D$36,cad!$E$36)))</f>
        <v/>
      </c>
      <c r="N307" t="str">
        <f t="shared" si="17"/>
        <v/>
      </c>
      <c r="O307" t="str">
        <f t="shared" si="18"/>
        <v/>
      </c>
      <c r="P307" t="str">
        <f>IF($A307="","",IF($E307=1,$F307*$O307,PNL!G307))</f>
        <v/>
      </c>
      <c r="T307" t="str">
        <f t="shared" si="19"/>
        <v/>
      </c>
    </row>
    <row r="308" spans="1:20" x14ac:dyDescent="0.45">
      <c r="A308" t="str">
        <f>IF(PNL!A308="","",PNL!A308)</f>
        <v/>
      </c>
      <c r="B308" t="str">
        <f>IF(PNL!B308="","",PNL!B308)</f>
        <v/>
      </c>
      <c r="C308" t="str">
        <f>IF(PNL!C308="","",PNL!C308)</f>
        <v/>
      </c>
      <c r="D308" t="str">
        <f>IF(PNL!D308="","",PNL!D308)</f>
        <v/>
      </c>
      <c r="E308" t="str">
        <f t="shared" si="16"/>
        <v/>
      </c>
      <c r="F308" t="str">
        <f>IF($A308="","",IF($E308=1,SUMIFS(Compta!$F$1:$F$675,Compta!$A$1:$A$675,$A308,Compta!$B$1:$B$675,$B308,Compta!$C$1:$C$675,"2026"),0))</f>
        <v/>
      </c>
      <c r="G308" t="str">
        <f>IF($A308="","",IF($D308="V01",cad!$C$23,IF($D308="V02",cad!$D$23,cad!$E$23)))</f>
        <v/>
      </c>
      <c r="H308" t="str">
        <f>IF($A308="","",IF($D308="V01",cad!$C$24,IF($D308="V02",cad!$D$24,cad!$E$24)))</f>
        <v/>
      </c>
      <c r="I308" t="str">
        <f>IF($A308="","",IF($D308="V01",cad!$C$32,IF($D308="V02",cad!$D$32,cad!$E$32)))</f>
        <v/>
      </c>
      <c r="J308" t="str">
        <f>IF($A308="","",IF($D308="V01",cad!$C$33,IF($D308="V02",cad!$D$33,cad!$E$33)))</f>
        <v/>
      </c>
      <c r="K308" t="str">
        <f>IF($A308="","",IF($D308="V01",cad!$C$34,IF($D308="V02",cad!$D$34,cad!$E$34)))</f>
        <v/>
      </c>
      <c r="L308" t="str">
        <f>IF($A308="","",IF($D308="V01",cad!$C$35,IF($D308="V02",cad!$D$35,cad!$E$35)))</f>
        <v/>
      </c>
      <c r="M308" t="str">
        <f>IF($A308="","",IF($D308="V01",cad!$C$36,IF($D308="V02",cad!$D$36,cad!$E$36)))</f>
        <v/>
      </c>
      <c r="N308" t="str">
        <f t="shared" si="17"/>
        <v/>
      </c>
      <c r="O308" t="str">
        <f t="shared" si="18"/>
        <v/>
      </c>
      <c r="P308" t="str">
        <f>IF($A308="","",IF($E308=1,$F308*$O308,PNL!G308))</f>
        <v/>
      </c>
      <c r="T308" t="str">
        <f t="shared" si="19"/>
        <v/>
      </c>
    </row>
    <row r="309" spans="1:20" x14ac:dyDescent="0.45">
      <c r="A309" t="str">
        <f>IF(PNL!A309="","",PNL!A309)</f>
        <v/>
      </c>
      <c r="B309" t="str">
        <f>IF(PNL!B309="","",PNL!B309)</f>
        <v/>
      </c>
      <c r="C309" t="str">
        <f>IF(PNL!C309="","",PNL!C309)</f>
        <v/>
      </c>
      <c r="D309" t="str">
        <f>IF(PNL!D309="","",PNL!D309)</f>
        <v/>
      </c>
      <c r="E309" t="str">
        <f t="shared" si="16"/>
        <v/>
      </c>
      <c r="F309" t="str">
        <f>IF($A309="","",IF($E309=1,SUMIFS(Compta!$F$1:$F$675,Compta!$A$1:$A$675,$A309,Compta!$B$1:$B$675,$B309,Compta!$C$1:$C$675,"2026"),0))</f>
        <v/>
      </c>
      <c r="G309" t="str">
        <f>IF($A309="","",IF($D309="V01",cad!$C$23,IF($D309="V02",cad!$D$23,cad!$E$23)))</f>
        <v/>
      </c>
      <c r="H309" t="str">
        <f>IF($A309="","",IF($D309="V01",cad!$C$24,IF($D309="V02",cad!$D$24,cad!$E$24)))</f>
        <v/>
      </c>
      <c r="I309" t="str">
        <f>IF($A309="","",IF($D309="V01",cad!$C$32,IF($D309="V02",cad!$D$32,cad!$E$32)))</f>
        <v/>
      </c>
      <c r="J309" t="str">
        <f>IF($A309="","",IF($D309="V01",cad!$C$33,IF($D309="V02",cad!$D$33,cad!$E$33)))</f>
        <v/>
      </c>
      <c r="K309" t="str">
        <f>IF($A309="","",IF($D309="V01",cad!$C$34,IF($D309="V02",cad!$D$34,cad!$E$34)))</f>
        <v/>
      </c>
      <c r="L309" t="str">
        <f>IF($A309="","",IF($D309="V01",cad!$C$35,IF($D309="V02",cad!$D$35,cad!$E$35)))</f>
        <v/>
      </c>
      <c r="M309" t="str">
        <f>IF($A309="","",IF($D309="V01",cad!$C$36,IF($D309="V02",cad!$D$36,cad!$E$36)))</f>
        <v/>
      </c>
      <c r="N309" t="str">
        <f t="shared" si="17"/>
        <v/>
      </c>
      <c r="O309" t="str">
        <f t="shared" si="18"/>
        <v/>
      </c>
      <c r="P309" t="str">
        <f>IF($A309="","",IF($E309=1,$F309*$O309,PNL!G309))</f>
        <v/>
      </c>
      <c r="T309" t="str">
        <f t="shared" si="19"/>
        <v/>
      </c>
    </row>
    <row r="310" spans="1:20" x14ac:dyDescent="0.45">
      <c r="A310" t="str">
        <f>IF(PNL!A310="","",PNL!A310)</f>
        <v/>
      </c>
      <c r="B310" t="str">
        <f>IF(PNL!B310="","",PNL!B310)</f>
        <v/>
      </c>
      <c r="C310" t="str">
        <f>IF(PNL!C310="","",PNL!C310)</f>
        <v/>
      </c>
      <c r="D310" t="str">
        <f>IF(PNL!D310="","",PNL!D310)</f>
        <v/>
      </c>
      <c r="E310" t="str">
        <f t="shared" si="16"/>
        <v/>
      </c>
      <c r="F310" t="str">
        <f>IF($A310="","",IF($E310=1,SUMIFS(Compta!$F$1:$F$675,Compta!$A$1:$A$675,$A310,Compta!$B$1:$B$675,$B310,Compta!$C$1:$C$675,"2026"),0))</f>
        <v/>
      </c>
      <c r="G310" t="str">
        <f>IF($A310="","",IF($D310="V01",cad!$C$23,IF($D310="V02",cad!$D$23,cad!$E$23)))</f>
        <v/>
      </c>
      <c r="H310" t="str">
        <f>IF($A310="","",IF($D310="V01",cad!$C$24,IF($D310="V02",cad!$D$24,cad!$E$24)))</f>
        <v/>
      </c>
      <c r="I310" t="str">
        <f>IF($A310="","",IF($D310="V01",cad!$C$32,IF($D310="V02",cad!$D$32,cad!$E$32)))</f>
        <v/>
      </c>
      <c r="J310" t="str">
        <f>IF($A310="","",IF($D310="V01",cad!$C$33,IF($D310="V02",cad!$D$33,cad!$E$33)))</f>
        <v/>
      </c>
      <c r="K310" t="str">
        <f>IF($A310="","",IF($D310="V01",cad!$C$34,IF($D310="V02",cad!$D$34,cad!$E$34)))</f>
        <v/>
      </c>
      <c r="L310" t="str">
        <f>IF($A310="","",IF($D310="V01",cad!$C$35,IF($D310="V02",cad!$D$35,cad!$E$35)))</f>
        <v/>
      </c>
      <c r="M310" t="str">
        <f>IF($A310="","",IF($D310="V01",cad!$C$36,IF($D310="V02",cad!$D$36,cad!$E$36)))</f>
        <v/>
      </c>
      <c r="N310" t="str">
        <f t="shared" si="17"/>
        <v/>
      </c>
      <c r="O310" t="str">
        <f t="shared" si="18"/>
        <v/>
      </c>
      <c r="P310" t="str">
        <f>IF($A310="","",IF($E310=1,$F310*$O310,PNL!G310))</f>
        <v/>
      </c>
      <c r="T310" t="str">
        <f t="shared" si="19"/>
        <v/>
      </c>
    </row>
    <row r="311" spans="1:20" x14ac:dyDescent="0.45">
      <c r="A311" t="str">
        <f>IF(PNL!A311="","",PNL!A311)</f>
        <v/>
      </c>
      <c r="B311" t="str">
        <f>IF(PNL!B311="","",PNL!B311)</f>
        <v/>
      </c>
      <c r="C311" t="str">
        <f>IF(PNL!C311="","",PNL!C311)</f>
        <v/>
      </c>
      <c r="D311" t="str">
        <f>IF(PNL!D311="","",PNL!D311)</f>
        <v/>
      </c>
      <c r="E311" t="str">
        <f t="shared" si="16"/>
        <v/>
      </c>
      <c r="F311" t="str">
        <f>IF($A311="","",IF($E311=1,SUMIFS(Compta!$F$1:$F$675,Compta!$A$1:$A$675,$A311,Compta!$B$1:$B$675,$B311,Compta!$C$1:$C$675,"2026"),0))</f>
        <v/>
      </c>
      <c r="G311" t="str">
        <f>IF($A311="","",IF($D311="V01",cad!$C$23,IF($D311="V02",cad!$D$23,cad!$E$23)))</f>
        <v/>
      </c>
      <c r="H311" t="str">
        <f>IF($A311="","",IF($D311="V01",cad!$C$24,IF($D311="V02",cad!$D$24,cad!$E$24)))</f>
        <v/>
      </c>
      <c r="I311" t="str">
        <f>IF($A311="","",IF($D311="V01",cad!$C$32,IF($D311="V02",cad!$D$32,cad!$E$32)))</f>
        <v/>
      </c>
      <c r="J311" t="str">
        <f>IF($A311="","",IF($D311="V01",cad!$C$33,IF($D311="V02",cad!$D$33,cad!$E$33)))</f>
        <v/>
      </c>
      <c r="K311" t="str">
        <f>IF($A311="","",IF($D311="V01",cad!$C$34,IF($D311="V02",cad!$D$34,cad!$E$34)))</f>
        <v/>
      </c>
      <c r="L311" t="str">
        <f>IF($A311="","",IF($D311="V01",cad!$C$35,IF($D311="V02",cad!$D$35,cad!$E$35)))</f>
        <v/>
      </c>
      <c r="M311" t="str">
        <f>IF($A311="","",IF($D311="V01",cad!$C$36,IF($D311="V02",cad!$D$36,cad!$E$36)))</f>
        <v/>
      </c>
      <c r="N311" t="str">
        <f t="shared" si="17"/>
        <v/>
      </c>
      <c r="O311" t="str">
        <f t="shared" si="18"/>
        <v/>
      </c>
      <c r="P311" t="str">
        <f>IF($A311="","",IF($E311=1,$F311*$O311,PNL!G311))</f>
        <v/>
      </c>
      <c r="T311" t="str">
        <f t="shared" si="19"/>
        <v/>
      </c>
    </row>
    <row r="312" spans="1:20" x14ac:dyDescent="0.45">
      <c r="A312" t="str">
        <f>IF(PNL!A312="","",PNL!A312)</f>
        <v/>
      </c>
      <c r="B312" t="str">
        <f>IF(PNL!B312="","",PNL!B312)</f>
        <v/>
      </c>
      <c r="C312" t="str">
        <f>IF(PNL!C312="","",PNL!C312)</f>
        <v/>
      </c>
      <c r="D312" t="str">
        <f>IF(PNL!D312="","",PNL!D312)</f>
        <v/>
      </c>
      <c r="E312" t="str">
        <f t="shared" si="16"/>
        <v/>
      </c>
      <c r="F312" t="str">
        <f>IF($A312="","",IF($E312=1,SUMIFS(Compta!$F$1:$F$675,Compta!$A$1:$A$675,$A312,Compta!$B$1:$B$675,$B312,Compta!$C$1:$C$675,"2026"),0))</f>
        <v/>
      </c>
      <c r="G312" t="str">
        <f>IF($A312="","",IF($D312="V01",cad!$C$23,IF($D312="V02",cad!$D$23,cad!$E$23)))</f>
        <v/>
      </c>
      <c r="H312" t="str">
        <f>IF($A312="","",IF($D312="V01",cad!$C$24,IF($D312="V02",cad!$D$24,cad!$E$24)))</f>
        <v/>
      </c>
      <c r="I312" t="str">
        <f>IF($A312="","",IF($D312="V01",cad!$C$32,IF($D312="V02",cad!$D$32,cad!$E$32)))</f>
        <v/>
      </c>
      <c r="J312" t="str">
        <f>IF($A312="","",IF($D312="V01",cad!$C$33,IF($D312="V02",cad!$D$33,cad!$E$33)))</f>
        <v/>
      </c>
      <c r="K312" t="str">
        <f>IF($A312="","",IF($D312="V01",cad!$C$34,IF($D312="V02",cad!$D$34,cad!$E$34)))</f>
        <v/>
      </c>
      <c r="L312" t="str">
        <f>IF($A312="","",IF($D312="V01",cad!$C$35,IF($D312="V02",cad!$D$35,cad!$E$35)))</f>
        <v/>
      </c>
      <c r="M312" t="str">
        <f>IF($A312="","",IF($D312="V01",cad!$C$36,IF($D312="V02",cad!$D$36,cad!$E$36)))</f>
        <v/>
      </c>
      <c r="N312" t="str">
        <f t="shared" si="17"/>
        <v/>
      </c>
      <c r="O312" t="str">
        <f t="shared" si="18"/>
        <v/>
      </c>
      <c r="P312" t="str">
        <f>IF($A312="","",IF($E312=1,$F312*$O312,PNL!G312))</f>
        <v/>
      </c>
      <c r="T312" t="str">
        <f t="shared" si="19"/>
        <v/>
      </c>
    </row>
    <row r="313" spans="1:20" x14ac:dyDescent="0.45">
      <c r="A313" t="str">
        <f>IF(PNL!A313="","",PNL!A313)</f>
        <v/>
      </c>
      <c r="B313" t="str">
        <f>IF(PNL!B313="","",PNL!B313)</f>
        <v/>
      </c>
      <c r="C313" t="str">
        <f>IF(PNL!C313="","",PNL!C313)</f>
        <v/>
      </c>
      <c r="D313" t="str">
        <f>IF(PNL!D313="","",PNL!D313)</f>
        <v/>
      </c>
      <c r="E313" t="str">
        <f t="shared" si="16"/>
        <v/>
      </c>
      <c r="F313" t="str">
        <f>IF($A313="","",IF($E313=1,SUMIFS(Compta!$F$1:$F$675,Compta!$A$1:$A$675,$A313,Compta!$B$1:$B$675,$B313,Compta!$C$1:$C$675,"2026"),0))</f>
        <v/>
      </c>
      <c r="G313" t="str">
        <f>IF($A313="","",IF($D313="V01",cad!$C$23,IF($D313="V02",cad!$D$23,cad!$E$23)))</f>
        <v/>
      </c>
      <c r="H313" t="str">
        <f>IF($A313="","",IF($D313="V01",cad!$C$24,IF($D313="V02",cad!$D$24,cad!$E$24)))</f>
        <v/>
      </c>
      <c r="I313" t="str">
        <f>IF($A313="","",IF($D313="V01",cad!$C$32,IF($D313="V02",cad!$D$32,cad!$E$32)))</f>
        <v/>
      </c>
      <c r="J313" t="str">
        <f>IF($A313="","",IF($D313="V01",cad!$C$33,IF($D313="V02",cad!$D$33,cad!$E$33)))</f>
        <v/>
      </c>
      <c r="K313" t="str">
        <f>IF($A313="","",IF($D313="V01",cad!$C$34,IF($D313="V02",cad!$D$34,cad!$E$34)))</f>
        <v/>
      </c>
      <c r="L313" t="str">
        <f>IF($A313="","",IF($D313="V01",cad!$C$35,IF($D313="V02",cad!$D$35,cad!$E$35)))</f>
        <v/>
      </c>
      <c r="M313" t="str">
        <f>IF($A313="","",IF($D313="V01",cad!$C$36,IF($D313="V02",cad!$D$36,cad!$E$36)))</f>
        <v/>
      </c>
      <c r="N313" t="str">
        <f t="shared" si="17"/>
        <v/>
      </c>
      <c r="O313" t="str">
        <f t="shared" si="18"/>
        <v/>
      </c>
      <c r="P313" t="str">
        <f>IF($A313="","",IF($E313=1,$F313*$O313,PNL!G313))</f>
        <v/>
      </c>
      <c r="T313" t="str">
        <f t="shared" si="19"/>
        <v/>
      </c>
    </row>
    <row r="314" spans="1:20" x14ac:dyDescent="0.45">
      <c r="A314" t="str">
        <f>IF(PNL!A314="","",PNL!A314)</f>
        <v/>
      </c>
      <c r="B314" t="str">
        <f>IF(PNL!B314="","",PNL!B314)</f>
        <v/>
      </c>
      <c r="C314" t="str">
        <f>IF(PNL!C314="","",PNL!C314)</f>
        <v/>
      </c>
      <c r="D314" t="str">
        <f>IF(PNL!D314="","",PNL!D314)</f>
        <v/>
      </c>
      <c r="E314" t="str">
        <f t="shared" si="16"/>
        <v/>
      </c>
      <c r="F314" t="str">
        <f>IF($A314="","",IF($E314=1,SUMIFS(Compta!$F$1:$F$675,Compta!$A$1:$A$675,$A314,Compta!$B$1:$B$675,$B314,Compta!$C$1:$C$675,"2026"),0))</f>
        <v/>
      </c>
      <c r="G314" t="str">
        <f>IF($A314="","",IF($D314="V01",cad!$C$23,IF($D314="V02",cad!$D$23,cad!$E$23)))</f>
        <v/>
      </c>
      <c r="H314" t="str">
        <f>IF($A314="","",IF($D314="V01",cad!$C$24,IF($D314="V02",cad!$D$24,cad!$E$24)))</f>
        <v/>
      </c>
      <c r="I314" t="str">
        <f>IF($A314="","",IF($D314="V01",cad!$C$32,IF($D314="V02",cad!$D$32,cad!$E$32)))</f>
        <v/>
      </c>
      <c r="J314" t="str">
        <f>IF($A314="","",IF($D314="V01",cad!$C$33,IF($D314="V02",cad!$D$33,cad!$E$33)))</f>
        <v/>
      </c>
      <c r="K314" t="str">
        <f>IF($A314="","",IF($D314="V01",cad!$C$34,IF($D314="V02",cad!$D$34,cad!$E$34)))</f>
        <v/>
      </c>
      <c r="L314" t="str">
        <f>IF($A314="","",IF($D314="V01",cad!$C$35,IF($D314="V02",cad!$D$35,cad!$E$35)))</f>
        <v/>
      </c>
      <c r="M314" t="str">
        <f>IF($A314="","",IF($D314="V01",cad!$C$36,IF($D314="V02",cad!$D$36,cad!$E$36)))</f>
        <v/>
      </c>
      <c r="N314" t="str">
        <f t="shared" si="17"/>
        <v/>
      </c>
      <c r="O314" t="str">
        <f t="shared" si="18"/>
        <v/>
      </c>
      <c r="P314" t="str">
        <f>IF($A314="","",IF($E314=1,$F314*$O314,PNL!G314))</f>
        <v/>
      </c>
      <c r="T314" t="str">
        <f t="shared" si="19"/>
        <v/>
      </c>
    </row>
    <row r="315" spans="1:20" x14ac:dyDescent="0.45">
      <c r="A315" t="str">
        <f>IF(PNL!A315="","",PNL!A315)</f>
        <v/>
      </c>
      <c r="B315" t="str">
        <f>IF(PNL!B315="","",PNL!B315)</f>
        <v/>
      </c>
      <c r="C315" t="str">
        <f>IF(PNL!C315="","",PNL!C315)</f>
        <v/>
      </c>
      <c r="D315" t="str">
        <f>IF(PNL!D315="","",PNL!D315)</f>
        <v/>
      </c>
      <c r="E315" t="str">
        <f t="shared" si="16"/>
        <v/>
      </c>
      <c r="F315" t="str">
        <f>IF($A315="","",IF($E315=1,SUMIFS(Compta!$F$1:$F$675,Compta!$A$1:$A$675,$A315,Compta!$B$1:$B$675,$B315,Compta!$C$1:$C$675,"2026"),0))</f>
        <v/>
      </c>
      <c r="G315" t="str">
        <f>IF($A315="","",IF($D315="V01",cad!$C$23,IF($D315="V02",cad!$D$23,cad!$E$23)))</f>
        <v/>
      </c>
      <c r="H315" t="str">
        <f>IF($A315="","",IF($D315="V01",cad!$C$24,IF($D315="V02",cad!$D$24,cad!$E$24)))</f>
        <v/>
      </c>
      <c r="I315" t="str">
        <f>IF($A315="","",IF($D315="V01",cad!$C$32,IF($D315="V02",cad!$D$32,cad!$E$32)))</f>
        <v/>
      </c>
      <c r="J315" t="str">
        <f>IF($A315="","",IF($D315="V01",cad!$C$33,IF($D315="V02",cad!$D$33,cad!$E$33)))</f>
        <v/>
      </c>
      <c r="K315" t="str">
        <f>IF($A315="","",IF($D315="V01",cad!$C$34,IF($D315="V02",cad!$D$34,cad!$E$34)))</f>
        <v/>
      </c>
      <c r="L315" t="str">
        <f>IF($A315="","",IF($D315="V01",cad!$C$35,IF($D315="V02",cad!$D$35,cad!$E$35)))</f>
        <v/>
      </c>
      <c r="M315" t="str">
        <f>IF($A315="","",IF($D315="V01",cad!$C$36,IF($D315="V02",cad!$D$36,cad!$E$36)))</f>
        <v/>
      </c>
      <c r="N315" t="str">
        <f t="shared" si="17"/>
        <v/>
      </c>
      <c r="O315" t="str">
        <f t="shared" si="18"/>
        <v/>
      </c>
      <c r="P315" t="str">
        <f>IF($A315="","",IF($E315=1,$F315*$O315,PNL!G315))</f>
        <v/>
      </c>
      <c r="T315" t="str">
        <f t="shared" si="19"/>
        <v/>
      </c>
    </row>
    <row r="316" spans="1:20" x14ac:dyDescent="0.45">
      <c r="A316" t="str">
        <f>IF(PNL!A316="","",PNL!A316)</f>
        <v/>
      </c>
      <c r="B316" t="str">
        <f>IF(PNL!B316="","",PNL!B316)</f>
        <v/>
      </c>
      <c r="C316" t="str">
        <f>IF(PNL!C316="","",PNL!C316)</f>
        <v/>
      </c>
      <c r="D316" t="str">
        <f>IF(PNL!D316="","",PNL!D316)</f>
        <v/>
      </c>
      <c r="E316" t="str">
        <f t="shared" si="16"/>
        <v/>
      </c>
      <c r="F316" t="str">
        <f>IF($A316="","",IF($E316=1,SUMIFS(Compta!$F$1:$F$675,Compta!$A$1:$A$675,$A316,Compta!$B$1:$B$675,$B316,Compta!$C$1:$C$675,"2026"),0))</f>
        <v/>
      </c>
      <c r="G316" t="str">
        <f>IF($A316="","",IF($D316="V01",cad!$C$23,IF($D316="V02",cad!$D$23,cad!$E$23)))</f>
        <v/>
      </c>
      <c r="H316" t="str">
        <f>IF($A316="","",IF($D316="V01",cad!$C$24,IF($D316="V02",cad!$D$24,cad!$E$24)))</f>
        <v/>
      </c>
      <c r="I316" t="str">
        <f>IF($A316="","",IF($D316="V01",cad!$C$32,IF($D316="V02",cad!$D$32,cad!$E$32)))</f>
        <v/>
      </c>
      <c r="J316" t="str">
        <f>IF($A316="","",IF($D316="V01",cad!$C$33,IF($D316="V02",cad!$D$33,cad!$E$33)))</f>
        <v/>
      </c>
      <c r="K316" t="str">
        <f>IF($A316="","",IF($D316="V01",cad!$C$34,IF($D316="V02",cad!$D$34,cad!$E$34)))</f>
        <v/>
      </c>
      <c r="L316" t="str">
        <f>IF($A316="","",IF($D316="V01",cad!$C$35,IF($D316="V02",cad!$D$35,cad!$E$35)))</f>
        <v/>
      </c>
      <c r="M316" t="str">
        <f>IF($A316="","",IF($D316="V01",cad!$C$36,IF($D316="V02",cad!$D$36,cad!$E$36)))</f>
        <v/>
      </c>
      <c r="N316" t="str">
        <f t="shared" si="17"/>
        <v/>
      </c>
      <c r="O316" t="str">
        <f t="shared" si="18"/>
        <v/>
      </c>
      <c r="P316" t="str">
        <f>IF($A316="","",IF($E316=1,$F316*$O316,PNL!G316))</f>
        <v/>
      </c>
      <c r="T316" t="str">
        <f t="shared" si="19"/>
        <v/>
      </c>
    </row>
    <row r="317" spans="1:20" x14ac:dyDescent="0.45">
      <c r="A317" t="str">
        <f>IF(PNL!A317="","",PNL!A317)</f>
        <v/>
      </c>
      <c r="B317" t="str">
        <f>IF(PNL!B317="","",PNL!B317)</f>
        <v/>
      </c>
      <c r="C317" t="str">
        <f>IF(PNL!C317="","",PNL!C317)</f>
        <v/>
      </c>
      <c r="D317" t="str">
        <f>IF(PNL!D317="","",PNL!D317)</f>
        <v/>
      </c>
      <c r="E317" t="str">
        <f t="shared" si="16"/>
        <v/>
      </c>
      <c r="F317" t="str">
        <f>IF($A317="","",IF($E317=1,SUMIFS(Compta!$F$1:$F$675,Compta!$A$1:$A$675,$A317,Compta!$B$1:$B$675,$B317,Compta!$C$1:$C$675,"2026"),0))</f>
        <v/>
      </c>
      <c r="G317" t="str">
        <f>IF($A317="","",IF($D317="V01",cad!$C$23,IF($D317="V02",cad!$D$23,cad!$E$23)))</f>
        <v/>
      </c>
      <c r="H317" t="str">
        <f>IF($A317="","",IF($D317="V01",cad!$C$24,IF($D317="V02",cad!$D$24,cad!$E$24)))</f>
        <v/>
      </c>
      <c r="I317" t="str">
        <f>IF($A317="","",IF($D317="V01",cad!$C$32,IF($D317="V02",cad!$D$32,cad!$E$32)))</f>
        <v/>
      </c>
      <c r="J317" t="str">
        <f>IF($A317="","",IF($D317="V01",cad!$C$33,IF($D317="V02",cad!$D$33,cad!$E$33)))</f>
        <v/>
      </c>
      <c r="K317" t="str">
        <f>IF($A317="","",IF($D317="V01",cad!$C$34,IF($D317="V02",cad!$D$34,cad!$E$34)))</f>
        <v/>
      </c>
      <c r="L317" t="str">
        <f>IF($A317="","",IF($D317="V01",cad!$C$35,IF($D317="V02",cad!$D$35,cad!$E$35)))</f>
        <v/>
      </c>
      <c r="M317" t="str">
        <f>IF($A317="","",IF($D317="V01",cad!$C$36,IF($D317="V02",cad!$D$36,cad!$E$36)))</f>
        <v/>
      </c>
      <c r="N317" t="str">
        <f t="shared" si="17"/>
        <v/>
      </c>
      <c r="O317" t="str">
        <f t="shared" si="18"/>
        <v/>
      </c>
      <c r="P317" t="str">
        <f>IF($A317="","",IF($E317=1,$F317*$O317,PNL!G317))</f>
        <v/>
      </c>
      <c r="T317" t="str">
        <f t="shared" si="19"/>
        <v/>
      </c>
    </row>
    <row r="318" spans="1:20" x14ac:dyDescent="0.45">
      <c r="A318" t="str">
        <f>IF(PNL!A318="","",PNL!A318)</f>
        <v/>
      </c>
      <c r="B318" t="str">
        <f>IF(PNL!B318="","",PNL!B318)</f>
        <v/>
      </c>
      <c r="C318" t="str">
        <f>IF(PNL!C318="","",PNL!C318)</f>
        <v/>
      </c>
      <c r="D318" t="str">
        <f>IF(PNL!D318="","",PNL!D318)</f>
        <v/>
      </c>
      <c r="E318" t="str">
        <f t="shared" si="16"/>
        <v/>
      </c>
      <c r="F318" t="str">
        <f>IF($A318="","",IF($E318=1,SUMIFS(Compta!$F$1:$F$675,Compta!$A$1:$A$675,$A318,Compta!$B$1:$B$675,$B318,Compta!$C$1:$C$675,"2026"),0))</f>
        <v/>
      </c>
      <c r="G318" t="str">
        <f>IF($A318="","",IF($D318="V01",cad!$C$23,IF($D318="V02",cad!$D$23,cad!$E$23)))</f>
        <v/>
      </c>
      <c r="H318" t="str">
        <f>IF($A318="","",IF($D318="V01",cad!$C$24,IF($D318="V02",cad!$D$24,cad!$E$24)))</f>
        <v/>
      </c>
      <c r="I318" t="str">
        <f>IF($A318="","",IF($D318="V01",cad!$C$32,IF($D318="V02",cad!$D$32,cad!$E$32)))</f>
        <v/>
      </c>
      <c r="J318" t="str">
        <f>IF($A318="","",IF($D318="V01",cad!$C$33,IF($D318="V02",cad!$D$33,cad!$E$33)))</f>
        <v/>
      </c>
      <c r="K318" t="str">
        <f>IF($A318="","",IF($D318="V01",cad!$C$34,IF($D318="V02",cad!$D$34,cad!$E$34)))</f>
        <v/>
      </c>
      <c r="L318" t="str">
        <f>IF($A318="","",IF($D318="V01",cad!$C$35,IF($D318="V02",cad!$D$35,cad!$E$35)))</f>
        <v/>
      </c>
      <c r="M318" t="str">
        <f>IF($A318="","",IF($D318="V01",cad!$C$36,IF($D318="V02",cad!$D$36,cad!$E$36)))</f>
        <v/>
      </c>
      <c r="N318" t="str">
        <f t="shared" si="17"/>
        <v/>
      </c>
      <c r="O318" t="str">
        <f t="shared" si="18"/>
        <v/>
      </c>
      <c r="P318" t="str">
        <f>IF($A318="","",IF($E318=1,$F318*$O318,PNL!G318))</f>
        <v/>
      </c>
      <c r="T318" t="str">
        <f t="shared" si="19"/>
        <v/>
      </c>
    </row>
    <row r="319" spans="1:20" x14ac:dyDescent="0.45">
      <c r="A319" t="str">
        <f>IF(PNL!A319="","",PNL!A319)</f>
        <v/>
      </c>
      <c r="B319" t="str">
        <f>IF(PNL!B319="","",PNL!B319)</f>
        <v/>
      </c>
      <c r="C319" t="str">
        <f>IF(PNL!C319="","",PNL!C319)</f>
        <v/>
      </c>
      <c r="D319" t="str">
        <f>IF(PNL!D319="","",PNL!D319)</f>
        <v/>
      </c>
      <c r="E319" t="str">
        <f t="shared" si="16"/>
        <v/>
      </c>
      <c r="F319" t="str">
        <f>IF($A319="","",IF($E319=1,SUMIFS(Compta!$F$1:$F$675,Compta!$A$1:$A$675,$A319,Compta!$B$1:$B$675,$B319,Compta!$C$1:$C$675,"2026"),0))</f>
        <v/>
      </c>
      <c r="G319" t="str">
        <f>IF($A319="","",IF($D319="V01",cad!$C$23,IF($D319="V02",cad!$D$23,cad!$E$23)))</f>
        <v/>
      </c>
      <c r="H319" t="str">
        <f>IF($A319="","",IF($D319="V01",cad!$C$24,IF($D319="V02",cad!$D$24,cad!$E$24)))</f>
        <v/>
      </c>
      <c r="I319" t="str">
        <f>IF($A319="","",IF($D319="V01",cad!$C$32,IF($D319="V02",cad!$D$32,cad!$E$32)))</f>
        <v/>
      </c>
      <c r="J319" t="str">
        <f>IF($A319="","",IF($D319="V01",cad!$C$33,IF($D319="V02",cad!$D$33,cad!$E$33)))</f>
        <v/>
      </c>
      <c r="K319" t="str">
        <f>IF($A319="","",IF($D319="V01",cad!$C$34,IF($D319="V02",cad!$D$34,cad!$E$34)))</f>
        <v/>
      </c>
      <c r="L319" t="str">
        <f>IF($A319="","",IF($D319="V01",cad!$C$35,IF($D319="V02",cad!$D$35,cad!$E$35)))</f>
        <v/>
      </c>
      <c r="M319" t="str">
        <f>IF($A319="","",IF($D319="V01",cad!$C$36,IF($D319="V02",cad!$D$36,cad!$E$36)))</f>
        <v/>
      </c>
      <c r="N319" t="str">
        <f t="shared" si="17"/>
        <v/>
      </c>
      <c r="O319" t="str">
        <f t="shared" si="18"/>
        <v/>
      </c>
      <c r="P319" t="str">
        <f>IF($A319="","",IF($E319=1,$F319*$O319,PNL!G319))</f>
        <v/>
      </c>
      <c r="T319" t="str">
        <f t="shared" si="19"/>
        <v/>
      </c>
    </row>
    <row r="320" spans="1:20" x14ac:dyDescent="0.45">
      <c r="A320" t="str">
        <f>IF(PNL!A320="","",PNL!A320)</f>
        <v/>
      </c>
      <c r="B320" t="str">
        <f>IF(PNL!B320="","",PNL!B320)</f>
        <v/>
      </c>
      <c r="C320" t="str">
        <f>IF(PNL!C320="","",PNL!C320)</f>
        <v/>
      </c>
      <c r="D320" t="str">
        <f>IF(PNL!D320="","",PNL!D320)</f>
        <v/>
      </c>
      <c r="E320" t="str">
        <f t="shared" si="16"/>
        <v/>
      </c>
      <c r="F320" t="str">
        <f>IF($A320="","",IF($E320=1,SUMIFS(Compta!$F$1:$F$675,Compta!$A$1:$A$675,$A320,Compta!$B$1:$B$675,$B320,Compta!$C$1:$C$675,"2026"),0))</f>
        <v/>
      </c>
      <c r="G320" t="str">
        <f>IF($A320="","",IF($D320="V01",cad!$C$23,IF($D320="V02",cad!$D$23,cad!$E$23)))</f>
        <v/>
      </c>
      <c r="H320" t="str">
        <f>IF($A320="","",IF($D320="V01",cad!$C$24,IF($D320="V02",cad!$D$24,cad!$E$24)))</f>
        <v/>
      </c>
      <c r="I320" t="str">
        <f>IF($A320="","",IF($D320="V01",cad!$C$32,IF($D320="V02",cad!$D$32,cad!$E$32)))</f>
        <v/>
      </c>
      <c r="J320" t="str">
        <f>IF($A320="","",IF($D320="V01",cad!$C$33,IF($D320="V02",cad!$D$33,cad!$E$33)))</f>
        <v/>
      </c>
      <c r="K320" t="str">
        <f>IF($A320="","",IF($D320="V01",cad!$C$34,IF($D320="V02",cad!$D$34,cad!$E$34)))</f>
        <v/>
      </c>
      <c r="L320" t="str">
        <f>IF($A320="","",IF($D320="V01",cad!$C$35,IF($D320="V02",cad!$D$35,cad!$E$35)))</f>
        <v/>
      </c>
      <c r="M320" t="str">
        <f>IF($A320="","",IF($D320="V01",cad!$C$36,IF($D320="V02",cad!$D$36,cad!$E$36)))</f>
        <v/>
      </c>
      <c r="N320" t="str">
        <f t="shared" si="17"/>
        <v/>
      </c>
      <c r="O320" t="str">
        <f t="shared" si="18"/>
        <v/>
      </c>
      <c r="P320" t="str">
        <f>IF($A320="","",IF($E320=1,$F320*$O320,PNL!G320))</f>
        <v/>
      </c>
      <c r="T320" t="str">
        <f t="shared" si="19"/>
        <v/>
      </c>
    </row>
    <row r="321" spans="1:20" x14ac:dyDescent="0.45">
      <c r="A321" t="str">
        <f>IF(PNL!A321="","",PNL!A321)</f>
        <v/>
      </c>
      <c r="B321" t="str">
        <f>IF(PNL!B321="","",PNL!B321)</f>
        <v/>
      </c>
      <c r="C321" t="str">
        <f>IF(PNL!C321="","",PNL!C321)</f>
        <v/>
      </c>
      <c r="D321" t="str">
        <f>IF(PNL!D321="","",PNL!D321)</f>
        <v/>
      </c>
      <c r="E321" t="str">
        <f t="shared" si="16"/>
        <v/>
      </c>
      <c r="F321" t="str">
        <f>IF($A321="","",IF($E321=1,SUMIFS(Compta!$F$1:$F$675,Compta!$A$1:$A$675,$A321,Compta!$B$1:$B$675,$B321,Compta!$C$1:$C$675,"2026"),0))</f>
        <v/>
      </c>
      <c r="G321" t="str">
        <f>IF($A321="","",IF($D321="V01",cad!$C$23,IF($D321="V02",cad!$D$23,cad!$E$23)))</f>
        <v/>
      </c>
      <c r="H321" t="str">
        <f>IF($A321="","",IF($D321="V01",cad!$C$24,IF($D321="V02",cad!$D$24,cad!$E$24)))</f>
        <v/>
      </c>
      <c r="I321" t="str">
        <f>IF($A321="","",IF($D321="V01",cad!$C$32,IF($D321="V02",cad!$D$32,cad!$E$32)))</f>
        <v/>
      </c>
      <c r="J321" t="str">
        <f>IF($A321="","",IF($D321="V01",cad!$C$33,IF($D321="V02",cad!$D$33,cad!$E$33)))</f>
        <v/>
      </c>
      <c r="K321" t="str">
        <f>IF($A321="","",IF($D321="V01",cad!$C$34,IF($D321="V02",cad!$D$34,cad!$E$34)))</f>
        <v/>
      </c>
      <c r="L321" t="str">
        <f>IF($A321="","",IF($D321="V01",cad!$C$35,IF($D321="V02",cad!$D$35,cad!$E$35)))</f>
        <v/>
      </c>
      <c r="M321" t="str">
        <f>IF($A321="","",IF($D321="V01",cad!$C$36,IF($D321="V02",cad!$D$36,cad!$E$36)))</f>
        <v/>
      </c>
      <c r="N321" t="str">
        <f t="shared" si="17"/>
        <v/>
      </c>
      <c r="O321" t="str">
        <f t="shared" si="18"/>
        <v/>
      </c>
      <c r="P321" t="str">
        <f>IF($A321="","",IF($E321=1,$F321*$O321,PNL!G321))</f>
        <v/>
      </c>
      <c r="T321" t="str">
        <f t="shared" si="19"/>
        <v/>
      </c>
    </row>
    <row r="322" spans="1:20" x14ac:dyDescent="0.45">
      <c r="A322" t="str">
        <f>IF(PNL!A322="","",PNL!A322)</f>
        <v/>
      </c>
      <c r="B322" t="str">
        <f>IF(PNL!B322="","",PNL!B322)</f>
        <v/>
      </c>
      <c r="C322" t="str">
        <f>IF(PNL!C322="","",PNL!C322)</f>
        <v/>
      </c>
      <c r="D322" t="str">
        <f>IF(PNL!D322="","",PNL!D322)</f>
        <v/>
      </c>
      <c r="E322" t="str">
        <f t="shared" ref="E322:E385" si="20">IF($A322="","",IF(AND($C322="2027",OR($D322="V01",$D322="V02",$D322="V03")),1,0))</f>
        <v/>
      </c>
      <c r="F322" t="str">
        <f>IF($A322="","",IF($E322=1,SUMIFS(Compta!$F$1:$F$675,Compta!$A$1:$A$675,$A322,Compta!$B$1:$B$675,$B322,Compta!$C$1:$C$675,"2026"),0))</f>
        <v/>
      </c>
      <c r="G322" t="str">
        <f>IF($A322="","",IF($D322="V01",cad!$C$23,IF($D322="V02",cad!$D$23,cad!$E$23)))</f>
        <v/>
      </c>
      <c r="H322" t="str">
        <f>IF($A322="","",IF($D322="V01",cad!$C$24,IF($D322="V02",cad!$D$24,cad!$E$24)))</f>
        <v/>
      </c>
      <c r="I322" t="str">
        <f>IF($A322="","",IF($D322="V01",cad!$C$32,IF($D322="V02",cad!$D$32,cad!$E$32)))</f>
        <v/>
      </c>
      <c r="J322" t="str">
        <f>IF($A322="","",IF($D322="V01",cad!$C$33,IF($D322="V02",cad!$D$33,cad!$E$33)))</f>
        <v/>
      </c>
      <c r="K322" t="str">
        <f>IF($A322="","",IF($D322="V01",cad!$C$34,IF($D322="V02",cad!$D$34,cad!$E$34)))</f>
        <v/>
      </c>
      <c r="L322" t="str">
        <f>IF($A322="","",IF($D322="V01",cad!$C$35,IF($D322="V02",cad!$D$35,cad!$E$35)))</f>
        <v/>
      </c>
      <c r="M322" t="str">
        <f>IF($A322="","",IF($D322="V01",cad!$C$36,IF($D322="V02",cad!$D$36,cad!$E$36)))</f>
        <v/>
      </c>
      <c r="N322" t="str">
        <f t="shared" ref="N322:N385" si="21">IF($A322="","",IF($D322="V01",$R$2,IF($D322="V02",$R$3,$R$4)))</f>
        <v/>
      </c>
      <c r="O322" t="str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 t="str">
        <f>IF($A322="","",IF($E322=1,$F322*$O322,PNL!G322))</f>
        <v/>
      </c>
      <c r="T322" t="str">
        <f t="shared" ref="T322:T385" si="23">IF($A322="","",IF($E322=1,IF(OR($B322="7062",$B322="706",$B322="708"),$P322,IF(AND(LEFT($B322,1)="6",$B322&lt;&gt;"6811"),-$P322,0)),0))</f>
        <v/>
      </c>
    </row>
    <row r="323" spans="1:20" x14ac:dyDescent="0.45">
      <c r="A323" t="str">
        <f>IF(PNL!A323="","",PNL!A323)</f>
        <v/>
      </c>
      <c r="B323" t="str">
        <f>IF(PNL!B323="","",PNL!B323)</f>
        <v/>
      </c>
      <c r="C323" t="str">
        <f>IF(PNL!C323="","",PNL!C323)</f>
        <v/>
      </c>
      <c r="D323" t="str">
        <f>IF(PNL!D323="","",PNL!D323)</f>
        <v/>
      </c>
      <c r="E323" t="str">
        <f t="shared" si="20"/>
        <v/>
      </c>
      <c r="F323" t="str">
        <f>IF($A323="","",IF($E323=1,SUMIFS(Compta!$F$1:$F$675,Compta!$A$1:$A$675,$A323,Compta!$B$1:$B$675,$B323,Compta!$C$1:$C$675,"2026"),0))</f>
        <v/>
      </c>
      <c r="G323" t="str">
        <f>IF($A323="","",IF($D323="V01",cad!$C$23,IF($D323="V02",cad!$D$23,cad!$E$23)))</f>
        <v/>
      </c>
      <c r="H323" t="str">
        <f>IF($A323="","",IF($D323="V01",cad!$C$24,IF($D323="V02",cad!$D$24,cad!$E$24)))</f>
        <v/>
      </c>
      <c r="I323" t="str">
        <f>IF($A323="","",IF($D323="V01",cad!$C$32,IF($D323="V02",cad!$D$32,cad!$E$32)))</f>
        <v/>
      </c>
      <c r="J323" t="str">
        <f>IF($A323="","",IF($D323="V01",cad!$C$33,IF($D323="V02",cad!$D$33,cad!$E$33)))</f>
        <v/>
      </c>
      <c r="K323" t="str">
        <f>IF($A323="","",IF($D323="V01",cad!$C$34,IF($D323="V02",cad!$D$34,cad!$E$34)))</f>
        <v/>
      </c>
      <c r="L323" t="str">
        <f>IF($A323="","",IF($D323="V01",cad!$C$35,IF($D323="V02",cad!$D$35,cad!$E$35)))</f>
        <v/>
      </c>
      <c r="M323" t="str">
        <f>IF($A323="","",IF($D323="V01",cad!$C$36,IF($D323="V02",cad!$D$36,cad!$E$36)))</f>
        <v/>
      </c>
      <c r="N323" t="str">
        <f t="shared" si="21"/>
        <v/>
      </c>
      <c r="O323" t="str">
        <f t="shared" si="22"/>
        <v/>
      </c>
      <c r="P323" t="str">
        <f>IF($A323="","",IF($E323=1,$F323*$O323,PNL!G323))</f>
        <v/>
      </c>
      <c r="T323" t="str">
        <f t="shared" si="23"/>
        <v/>
      </c>
    </row>
    <row r="324" spans="1:20" x14ac:dyDescent="0.45">
      <c r="A324" t="str">
        <f>IF(PNL!A324="","",PNL!A324)</f>
        <v/>
      </c>
      <c r="B324" t="str">
        <f>IF(PNL!B324="","",PNL!B324)</f>
        <v/>
      </c>
      <c r="C324" t="str">
        <f>IF(PNL!C324="","",PNL!C324)</f>
        <v/>
      </c>
      <c r="D324" t="str">
        <f>IF(PNL!D324="","",PNL!D324)</f>
        <v/>
      </c>
      <c r="E324" t="str">
        <f t="shared" si="20"/>
        <v/>
      </c>
      <c r="F324" t="str">
        <f>IF($A324="","",IF($E324=1,SUMIFS(Compta!$F$1:$F$675,Compta!$A$1:$A$675,$A324,Compta!$B$1:$B$675,$B324,Compta!$C$1:$C$675,"2026"),0))</f>
        <v/>
      </c>
      <c r="G324" t="str">
        <f>IF($A324="","",IF($D324="V01",cad!$C$23,IF($D324="V02",cad!$D$23,cad!$E$23)))</f>
        <v/>
      </c>
      <c r="H324" t="str">
        <f>IF($A324="","",IF($D324="V01",cad!$C$24,IF($D324="V02",cad!$D$24,cad!$E$24)))</f>
        <v/>
      </c>
      <c r="I324" t="str">
        <f>IF($A324="","",IF($D324="V01",cad!$C$32,IF($D324="V02",cad!$D$32,cad!$E$32)))</f>
        <v/>
      </c>
      <c r="J324" t="str">
        <f>IF($A324="","",IF($D324="V01",cad!$C$33,IF($D324="V02",cad!$D$33,cad!$E$33)))</f>
        <v/>
      </c>
      <c r="K324" t="str">
        <f>IF($A324="","",IF($D324="V01",cad!$C$34,IF($D324="V02",cad!$D$34,cad!$E$34)))</f>
        <v/>
      </c>
      <c r="L324" t="str">
        <f>IF($A324="","",IF($D324="V01",cad!$C$35,IF($D324="V02",cad!$D$35,cad!$E$35)))</f>
        <v/>
      </c>
      <c r="M324" t="str">
        <f>IF($A324="","",IF($D324="V01",cad!$C$36,IF($D324="V02",cad!$D$36,cad!$E$36)))</f>
        <v/>
      </c>
      <c r="N324" t="str">
        <f t="shared" si="21"/>
        <v/>
      </c>
      <c r="O324" t="str">
        <f t="shared" si="22"/>
        <v/>
      </c>
      <c r="P324" t="str">
        <f>IF($A324="","",IF($E324=1,$F324*$O324,PNL!G324))</f>
        <v/>
      </c>
      <c r="T324" t="str">
        <f t="shared" si="23"/>
        <v/>
      </c>
    </row>
    <row r="325" spans="1:20" x14ac:dyDescent="0.45">
      <c r="A325" t="str">
        <f>IF(PNL!A325="","",PNL!A325)</f>
        <v/>
      </c>
      <c r="B325" t="str">
        <f>IF(PNL!B325="","",PNL!B325)</f>
        <v/>
      </c>
      <c r="C325" t="str">
        <f>IF(PNL!C325="","",PNL!C325)</f>
        <v/>
      </c>
      <c r="D325" t="str">
        <f>IF(PNL!D325="","",PNL!D325)</f>
        <v/>
      </c>
      <c r="E325" t="str">
        <f t="shared" si="20"/>
        <v/>
      </c>
      <c r="F325" t="str">
        <f>IF($A325="","",IF($E325=1,SUMIFS(Compta!$F$1:$F$675,Compta!$A$1:$A$675,$A325,Compta!$B$1:$B$675,$B325,Compta!$C$1:$C$675,"2026"),0))</f>
        <v/>
      </c>
      <c r="G325" t="str">
        <f>IF($A325="","",IF($D325="V01",cad!$C$23,IF($D325="V02",cad!$D$23,cad!$E$23)))</f>
        <v/>
      </c>
      <c r="H325" t="str">
        <f>IF($A325="","",IF($D325="V01",cad!$C$24,IF($D325="V02",cad!$D$24,cad!$E$24)))</f>
        <v/>
      </c>
      <c r="I325" t="str">
        <f>IF($A325="","",IF($D325="V01",cad!$C$32,IF($D325="V02",cad!$D$32,cad!$E$32)))</f>
        <v/>
      </c>
      <c r="J325" t="str">
        <f>IF($A325="","",IF($D325="V01",cad!$C$33,IF($D325="V02",cad!$D$33,cad!$E$33)))</f>
        <v/>
      </c>
      <c r="K325" t="str">
        <f>IF($A325="","",IF($D325="V01",cad!$C$34,IF($D325="V02",cad!$D$34,cad!$E$34)))</f>
        <v/>
      </c>
      <c r="L325" t="str">
        <f>IF($A325="","",IF($D325="V01",cad!$C$35,IF($D325="V02",cad!$D$35,cad!$E$35)))</f>
        <v/>
      </c>
      <c r="M325" t="str">
        <f>IF($A325="","",IF($D325="V01",cad!$C$36,IF($D325="V02",cad!$D$36,cad!$E$36)))</f>
        <v/>
      </c>
      <c r="N325" t="str">
        <f t="shared" si="21"/>
        <v/>
      </c>
      <c r="O325" t="str">
        <f t="shared" si="22"/>
        <v/>
      </c>
      <c r="P325" t="str">
        <f>IF($A325="","",IF($E325=1,$F325*$O325,PNL!G325))</f>
        <v/>
      </c>
      <c r="T325" t="str">
        <f t="shared" si="23"/>
        <v/>
      </c>
    </row>
    <row r="326" spans="1:20" x14ac:dyDescent="0.45">
      <c r="A326" t="str">
        <f>IF(PNL!A326="","",PNL!A326)</f>
        <v/>
      </c>
      <c r="B326" t="str">
        <f>IF(PNL!B326="","",PNL!B326)</f>
        <v/>
      </c>
      <c r="C326" t="str">
        <f>IF(PNL!C326="","",PNL!C326)</f>
        <v/>
      </c>
      <c r="D326" t="str">
        <f>IF(PNL!D326="","",PNL!D326)</f>
        <v/>
      </c>
      <c r="E326" t="str">
        <f t="shared" si="20"/>
        <v/>
      </c>
      <c r="F326" t="str">
        <f>IF($A326="","",IF($E326=1,SUMIFS(Compta!$F$1:$F$675,Compta!$A$1:$A$675,$A326,Compta!$B$1:$B$675,$B326,Compta!$C$1:$C$675,"2026"),0))</f>
        <v/>
      </c>
      <c r="G326" t="str">
        <f>IF($A326="","",IF($D326="V01",cad!$C$23,IF($D326="V02",cad!$D$23,cad!$E$23)))</f>
        <v/>
      </c>
      <c r="H326" t="str">
        <f>IF($A326="","",IF($D326="V01",cad!$C$24,IF($D326="V02",cad!$D$24,cad!$E$24)))</f>
        <v/>
      </c>
      <c r="I326" t="str">
        <f>IF($A326="","",IF($D326="V01",cad!$C$32,IF($D326="V02",cad!$D$32,cad!$E$32)))</f>
        <v/>
      </c>
      <c r="J326" t="str">
        <f>IF($A326="","",IF($D326="V01",cad!$C$33,IF($D326="V02",cad!$D$33,cad!$E$33)))</f>
        <v/>
      </c>
      <c r="K326" t="str">
        <f>IF($A326="","",IF($D326="V01",cad!$C$34,IF($D326="V02",cad!$D$34,cad!$E$34)))</f>
        <v/>
      </c>
      <c r="L326" t="str">
        <f>IF($A326="","",IF($D326="V01",cad!$C$35,IF($D326="V02",cad!$D$35,cad!$E$35)))</f>
        <v/>
      </c>
      <c r="M326" t="str">
        <f>IF($A326="","",IF($D326="V01",cad!$C$36,IF($D326="V02",cad!$D$36,cad!$E$36)))</f>
        <v/>
      </c>
      <c r="N326" t="str">
        <f t="shared" si="21"/>
        <v/>
      </c>
      <c r="O326" t="str">
        <f t="shared" si="22"/>
        <v/>
      </c>
      <c r="P326" t="str">
        <f>IF($A326="","",IF($E326=1,$F326*$O326,PNL!G326))</f>
        <v/>
      </c>
      <c r="T326" t="str">
        <f t="shared" si="23"/>
        <v/>
      </c>
    </row>
    <row r="327" spans="1:20" x14ac:dyDescent="0.45">
      <c r="A327" t="str">
        <f>IF(PNL!A327="","",PNL!A327)</f>
        <v/>
      </c>
      <c r="B327" t="str">
        <f>IF(PNL!B327="","",PNL!B327)</f>
        <v/>
      </c>
      <c r="C327" t="str">
        <f>IF(PNL!C327="","",PNL!C327)</f>
        <v/>
      </c>
      <c r="D327" t="str">
        <f>IF(PNL!D327="","",PNL!D327)</f>
        <v/>
      </c>
      <c r="E327" t="str">
        <f t="shared" si="20"/>
        <v/>
      </c>
      <c r="F327" t="str">
        <f>IF($A327="","",IF($E327=1,SUMIFS(Compta!$F$1:$F$675,Compta!$A$1:$A$675,$A327,Compta!$B$1:$B$675,$B327,Compta!$C$1:$C$675,"2026"),0))</f>
        <v/>
      </c>
      <c r="G327" t="str">
        <f>IF($A327="","",IF($D327="V01",cad!$C$23,IF($D327="V02",cad!$D$23,cad!$E$23)))</f>
        <v/>
      </c>
      <c r="H327" t="str">
        <f>IF($A327="","",IF($D327="V01",cad!$C$24,IF($D327="V02",cad!$D$24,cad!$E$24)))</f>
        <v/>
      </c>
      <c r="I327" t="str">
        <f>IF($A327="","",IF($D327="V01",cad!$C$32,IF($D327="V02",cad!$D$32,cad!$E$32)))</f>
        <v/>
      </c>
      <c r="J327" t="str">
        <f>IF($A327="","",IF($D327="V01",cad!$C$33,IF($D327="V02",cad!$D$33,cad!$E$33)))</f>
        <v/>
      </c>
      <c r="K327" t="str">
        <f>IF($A327="","",IF($D327="V01",cad!$C$34,IF($D327="V02",cad!$D$34,cad!$E$34)))</f>
        <v/>
      </c>
      <c r="L327" t="str">
        <f>IF($A327="","",IF($D327="V01",cad!$C$35,IF($D327="V02",cad!$D$35,cad!$E$35)))</f>
        <v/>
      </c>
      <c r="M327" t="str">
        <f>IF($A327="","",IF($D327="V01",cad!$C$36,IF($D327="V02",cad!$D$36,cad!$E$36)))</f>
        <v/>
      </c>
      <c r="N327" t="str">
        <f t="shared" si="21"/>
        <v/>
      </c>
      <c r="O327" t="str">
        <f t="shared" si="22"/>
        <v/>
      </c>
      <c r="P327" t="str">
        <f>IF($A327="","",IF($E327=1,$F327*$O327,PNL!G327))</f>
        <v/>
      </c>
      <c r="T327" t="str">
        <f t="shared" si="23"/>
        <v/>
      </c>
    </row>
    <row r="328" spans="1:20" x14ac:dyDescent="0.45">
      <c r="A328" t="str">
        <f>IF(PNL!A328="","",PNL!A328)</f>
        <v/>
      </c>
      <c r="B328" t="str">
        <f>IF(PNL!B328="","",PNL!B328)</f>
        <v/>
      </c>
      <c r="C328" t="str">
        <f>IF(PNL!C328="","",PNL!C328)</f>
        <v/>
      </c>
      <c r="D328" t="str">
        <f>IF(PNL!D328="","",PNL!D328)</f>
        <v/>
      </c>
      <c r="E328" t="str">
        <f t="shared" si="20"/>
        <v/>
      </c>
      <c r="F328" t="str">
        <f>IF($A328="","",IF($E328=1,SUMIFS(Compta!$F$1:$F$675,Compta!$A$1:$A$675,$A328,Compta!$B$1:$B$675,$B328,Compta!$C$1:$C$675,"2026"),0))</f>
        <v/>
      </c>
      <c r="G328" t="str">
        <f>IF($A328="","",IF($D328="V01",cad!$C$23,IF($D328="V02",cad!$D$23,cad!$E$23)))</f>
        <v/>
      </c>
      <c r="H328" t="str">
        <f>IF($A328="","",IF($D328="V01",cad!$C$24,IF($D328="V02",cad!$D$24,cad!$E$24)))</f>
        <v/>
      </c>
      <c r="I328" t="str">
        <f>IF($A328="","",IF($D328="V01",cad!$C$32,IF($D328="V02",cad!$D$32,cad!$E$32)))</f>
        <v/>
      </c>
      <c r="J328" t="str">
        <f>IF($A328="","",IF($D328="V01",cad!$C$33,IF($D328="V02",cad!$D$33,cad!$E$33)))</f>
        <v/>
      </c>
      <c r="K328" t="str">
        <f>IF($A328="","",IF($D328="V01",cad!$C$34,IF($D328="V02",cad!$D$34,cad!$E$34)))</f>
        <v/>
      </c>
      <c r="L328" t="str">
        <f>IF($A328="","",IF($D328="V01",cad!$C$35,IF($D328="V02",cad!$D$35,cad!$E$35)))</f>
        <v/>
      </c>
      <c r="M328" t="str">
        <f>IF($A328="","",IF($D328="V01",cad!$C$36,IF($D328="V02",cad!$D$36,cad!$E$36)))</f>
        <v/>
      </c>
      <c r="N328" t="str">
        <f t="shared" si="21"/>
        <v/>
      </c>
      <c r="O328" t="str">
        <f t="shared" si="22"/>
        <v/>
      </c>
      <c r="P328" t="str">
        <f>IF($A328="","",IF($E328=1,$F328*$O328,PNL!G328))</f>
        <v/>
      </c>
      <c r="T328" t="str">
        <f t="shared" si="23"/>
        <v/>
      </c>
    </row>
    <row r="329" spans="1:20" x14ac:dyDescent="0.45">
      <c r="A329" t="str">
        <f>IF(PNL!A329="","",PNL!A329)</f>
        <v/>
      </c>
      <c r="B329" t="str">
        <f>IF(PNL!B329="","",PNL!B329)</f>
        <v/>
      </c>
      <c r="C329" t="str">
        <f>IF(PNL!C329="","",PNL!C329)</f>
        <v/>
      </c>
      <c r="D329" t="str">
        <f>IF(PNL!D329="","",PNL!D329)</f>
        <v/>
      </c>
      <c r="E329" t="str">
        <f t="shared" si="20"/>
        <v/>
      </c>
      <c r="F329" t="str">
        <f>IF($A329="","",IF($E329=1,SUMIFS(Compta!$F$1:$F$675,Compta!$A$1:$A$675,$A329,Compta!$B$1:$B$675,$B329,Compta!$C$1:$C$675,"2026"),0))</f>
        <v/>
      </c>
      <c r="G329" t="str">
        <f>IF($A329="","",IF($D329="V01",cad!$C$23,IF($D329="V02",cad!$D$23,cad!$E$23)))</f>
        <v/>
      </c>
      <c r="H329" t="str">
        <f>IF($A329="","",IF($D329="V01",cad!$C$24,IF($D329="V02",cad!$D$24,cad!$E$24)))</f>
        <v/>
      </c>
      <c r="I329" t="str">
        <f>IF($A329="","",IF($D329="V01",cad!$C$32,IF($D329="V02",cad!$D$32,cad!$E$32)))</f>
        <v/>
      </c>
      <c r="J329" t="str">
        <f>IF($A329="","",IF($D329="V01",cad!$C$33,IF($D329="V02",cad!$D$33,cad!$E$33)))</f>
        <v/>
      </c>
      <c r="K329" t="str">
        <f>IF($A329="","",IF($D329="V01",cad!$C$34,IF($D329="V02",cad!$D$34,cad!$E$34)))</f>
        <v/>
      </c>
      <c r="L329" t="str">
        <f>IF($A329="","",IF($D329="V01",cad!$C$35,IF($D329="V02",cad!$D$35,cad!$E$35)))</f>
        <v/>
      </c>
      <c r="M329" t="str">
        <f>IF($A329="","",IF($D329="V01",cad!$C$36,IF($D329="V02",cad!$D$36,cad!$E$36)))</f>
        <v/>
      </c>
      <c r="N329" t="str">
        <f t="shared" si="21"/>
        <v/>
      </c>
      <c r="O329" t="str">
        <f t="shared" si="22"/>
        <v/>
      </c>
      <c r="P329" t="str">
        <f>IF($A329="","",IF($E329=1,$F329*$O329,PNL!G329))</f>
        <v/>
      </c>
      <c r="T329" t="str">
        <f t="shared" si="23"/>
        <v/>
      </c>
    </row>
    <row r="330" spans="1:20" x14ac:dyDescent="0.45">
      <c r="A330" t="str">
        <f>IF(PNL!A330="","",PNL!A330)</f>
        <v/>
      </c>
      <c r="B330" t="str">
        <f>IF(PNL!B330="","",PNL!B330)</f>
        <v/>
      </c>
      <c r="C330" t="str">
        <f>IF(PNL!C330="","",PNL!C330)</f>
        <v/>
      </c>
      <c r="D330" t="str">
        <f>IF(PNL!D330="","",PNL!D330)</f>
        <v/>
      </c>
      <c r="E330" t="str">
        <f t="shared" si="20"/>
        <v/>
      </c>
      <c r="F330" t="str">
        <f>IF($A330="","",IF($E330=1,SUMIFS(Compta!$F$1:$F$675,Compta!$A$1:$A$675,$A330,Compta!$B$1:$B$675,$B330,Compta!$C$1:$C$675,"2026"),0))</f>
        <v/>
      </c>
      <c r="G330" t="str">
        <f>IF($A330="","",IF($D330="V01",cad!$C$23,IF($D330="V02",cad!$D$23,cad!$E$23)))</f>
        <v/>
      </c>
      <c r="H330" t="str">
        <f>IF($A330="","",IF($D330="V01",cad!$C$24,IF($D330="V02",cad!$D$24,cad!$E$24)))</f>
        <v/>
      </c>
      <c r="I330" t="str">
        <f>IF($A330="","",IF($D330="V01",cad!$C$32,IF($D330="V02",cad!$D$32,cad!$E$32)))</f>
        <v/>
      </c>
      <c r="J330" t="str">
        <f>IF($A330="","",IF($D330="V01",cad!$C$33,IF($D330="V02",cad!$D$33,cad!$E$33)))</f>
        <v/>
      </c>
      <c r="K330" t="str">
        <f>IF($A330="","",IF($D330="V01",cad!$C$34,IF($D330="V02",cad!$D$34,cad!$E$34)))</f>
        <v/>
      </c>
      <c r="L330" t="str">
        <f>IF($A330="","",IF($D330="V01",cad!$C$35,IF($D330="V02",cad!$D$35,cad!$E$35)))</f>
        <v/>
      </c>
      <c r="M330" t="str">
        <f>IF($A330="","",IF($D330="V01",cad!$C$36,IF($D330="V02",cad!$D$36,cad!$E$36)))</f>
        <v/>
      </c>
      <c r="N330" t="str">
        <f t="shared" si="21"/>
        <v/>
      </c>
      <c r="O330" t="str">
        <f t="shared" si="22"/>
        <v/>
      </c>
      <c r="P330" t="str">
        <f>IF($A330="","",IF($E330=1,$F330*$O330,PNL!G330))</f>
        <v/>
      </c>
      <c r="T330" t="str">
        <f t="shared" si="23"/>
        <v/>
      </c>
    </row>
    <row r="331" spans="1:20" x14ac:dyDescent="0.45">
      <c r="A331" t="str">
        <f>IF(PNL!A331="","",PNL!A331)</f>
        <v/>
      </c>
      <c r="B331" t="str">
        <f>IF(PNL!B331="","",PNL!B331)</f>
        <v/>
      </c>
      <c r="C331" t="str">
        <f>IF(PNL!C331="","",PNL!C331)</f>
        <v/>
      </c>
      <c r="D331" t="str">
        <f>IF(PNL!D331="","",PNL!D331)</f>
        <v/>
      </c>
      <c r="E331" t="str">
        <f t="shared" si="20"/>
        <v/>
      </c>
      <c r="F331" t="str">
        <f>IF($A331="","",IF($E331=1,SUMIFS(Compta!$F$1:$F$675,Compta!$A$1:$A$675,$A331,Compta!$B$1:$B$675,$B331,Compta!$C$1:$C$675,"2026"),0))</f>
        <v/>
      </c>
      <c r="G331" t="str">
        <f>IF($A331="","",IF($D331="V01",cad!$C$23,IF($D331="V02",cad!$D$23,cad!$E$23)))</f>
        <v/>
      </c>
      <c r="H331" t="str">
        <f>IF($A331="","",IF($D331="V01",cad!$C$24,IF($D331="V02",cad!$D$24,cad!$E$24)))</f>
        <v/>
      </c>
      <c r="I331" t="str">
        <f>IF($A331="","",IF($D331="V01",cad!$C$32,IF($D331="V02",cad!$D$32,cad!$E$32)))</f>
        <v/>
      </c>
      <c r="J331" t="str">
        <f>IF($A331="","",IF($D331="V01",cad!$C$33,IF($D331="V02",cad!$D$33,cad!$E$33)))</f>
        <v/>
      </c>
      <c r="K331" t="str">
        <f>IF($A331="","",IF($D331="V01",cad!$C$34,IF($D331="V02",cad!$D$34,cad!$E$34)))</f>
        <v/>
      </c>
      <c r="L331" t="str">
        <f>IF($A331="","",IF($D331="V01",cad!$C$35,IF($D331="V02",cad!$D$35,cad!$E$35)))</f>
        <v/>
      </c>
      <c r="M331" t="str">
        <f>IF($A331="","",IF($D331="V01",cad!$C$36,IF($D331="V02",cad!$D$36,cad!$E$36)))</f>
        <v/>
      </c>
      <c r="N331" t="str">
        <f t="shared" si="21"/>
        <v/>
      </c>
      <c r="O331" t="str">
        <f t="shared" si="22"/>
        <v/>
      </c>
      <c r="P331" t="str">
        <f>IF($A331="","",IF($E331=1,$F331*$O331,PNL!G331))</f>
        <v/>
      </c>
      <c r="T331" t="str">
        <f t="shared" si="23"/>
        <v/>
      </c>
    </row>
    <row r="332" spans="1:20" x14ac:dyDescent="0.45">
      <c r="A332" t="str">
        <f>IF(PNL!A332="","",PNL!A332)</f>
        <v/>
      </c>
      <c r="B332" t="str">
        <f>IF(PNL!B332="","",PNL!B332)</f>
        <v/>
      </c>
      <c r="C332" t="str">
        <f>IF(PNL!C332="","",PNL!C332)</f>
        <v/>
      </c>
      <c r="D332" t="str">
        <f>IF(PNL!D332="","",PNL!D332)</f>
        <v/>
      </c>
      <c r="E332" t="str">
        <f t="shared" si="20"/>
        <v/>
      </c>
      <c r="F332" t="str">
        <f>IF($A332="","",IF($E332=1,SUMIFS(Compta!$F$1:$F$675,Compta!$A$1:$A$675,$A332,Compta!$B$1:$B$675,$B332,Compta!$C$1:$C$675,"2026"),0))</f>
        <v/>
      </c>
      <c r="G332" t="str">
        <f>IF($A332="","",IF($D332="V01",cad!$C$23,IF($D332="V02",cad!$D$23,cad!$E$23)))</f>
        <v/>
      </c>
      <c r="H332" t="str">
        <f>IF($A332="","",IF($D332="V01",cad!$C$24,IF($D332="V02",cad!$D$24,cad!$E$24)))</f>
        <v/>
      </c>
      <c r="I332" t="str">
        <f>IF($A332="","",IF($D332="V01",cad!$C$32,IF($D332="V02",cad!$D$32,cad!$E$32)))</f>
        <v/>
      </c>
      <c r="J332" t="str">
        <f>IF($A332="","",IF($D332="V01",cad!$C$33,IF($D332="V02",cad!$D$33,cad!$E$33)))</f>
        <v/>
      </c>
      <c r="K332" t="str">
        <f>IF($A332="","",IF($D332="V01",cad!$C$34,IF($D332="V02",cad!$D$34,cad!$E$34)))</f>
        <v/>
      </c>
      <c r="L332" t="str">
        <f>IF($A332="","",IF($D332="V01",cad!$C$35,IF($D332="V02",cad!$D$35,cad!$E$35)))</f>
        <v/>
      </c>
      <c r="M332" t="str">
        <f>IF($A332="","",IF($D332="V01",cad!$C$36,IF($D332="V02",cad!$D$36,cad!$E$36)))</f>
        <v/>
      </c>
      <c r="N332" t="str">
        <f t="shared" si="21"/>
        <v/>
      </c>
      <c r="O332" t="str">
        <f t="shared" si="22"/>
        <v/>
      </c>
      <c r="P332" t="str">
        <f>IF($A332="","",IF($E332=1,$F332*$O332,PNL!G332))</f>
        <v/>
      </c>
      <c r="T332" t="str">
        <f t="shared" si="23"/>
        <v/>
      </c>
    </row>
    <row r="333" spans="1:20" x14ac:dyDescent="0.45">
      <c r="A333" t="str">
        <f>IF(PNL!A333="","",PNL!A333)</f>
        <v/>
      </c>
      <c r="B333" t="str">
        <f>IF(PNL!B333="","",PNL!B333)</f>
        <v/>
      </c>
      <c r="C333" t="str">
        <f>IF(PNL!C333="","",PNL!C333)</f>
        <v/>
      </c>
      <c r="D333" t="str">
        <f>IF(PNL!D333="","",PNL!D333)</f>
        <v/>
      </c>
      <c r="E333" t="str">
        <f t="shared" si="20"/>
        <v/>
      </c>
      <c r="F333" t="str">
        <f>IF($A333="","",IF($E333=1,SUMIFS(Compta!$F$1:$F$675,Compta!$A$1:$A$675,$A333,Compta!$B$1:$B$675,$B333,Compta!$C$1:$C$675,"2026"),0))</f>
        <v/>
      </c>
      <c r="G333" t="str">
        <f>IF($A333="","",IF($D333="V01",cad!$C$23,IF($D333="V02",cad!$D$23,cad!$E$23)))</f>
        <v/>
      </c>
      <c r="H333" t="str">
        <f>IF($A333="","",IF($D333="V01",cad!$C$24,IF($D333="V02",cad!$D$24,cad!$E$24)))</f>
        <v/>
      </c>
      <c r="I333" t="str">
        <f>IF($A333="","",IF($D333="V01",cad!$C$32,IF($D333="V02",cad!$D$32,cad!$E$32)))</f>
        <v/>
      </c>
      <c r="J333" t="str">
        <f>IF($A333="","",IF($D333="V01",cad!$C$33,IF($D333="V02",cad!$D$33,cad!$E$33)))</f>
        <v/>
      </c>
      <c r="K333" t="str">
        <f>IF($A333="","",IF($D333="V01",cad!$C$34,IF($D333="V02",cad!$D$34,cad!$E$34)))</f>
        <v/>
      </c>
      <c r="L333" t="str">
        <f>IF($A333="","",IF($D333="V01",cad!$C$35,IF($D333="V02",cad!$D$35,cad!$E$35)))</f>
        <v/>
      </c>
      <c r="M333" t="str">
        <f>IF($A333="","",IF($D333="V01",cad!$C$36,IF($D333="V02",cad!$D$36,cad!$E$36)))</f>
        <v/>
      </c>
      <c r="N333" t="str">
        <f t="shared" si="21"/>
        <v/>
      </c>
      <c r="O333" t="str">
        <f t="shared" si="22"/>
        <v/>
      </c>
      <c r="P333" t="str">
        <f>IF($A333="","",IF($E333=1,$F333*$O333,PNL!G333))</f>
        <v/>
      </c>
      <c r="T333" t="str">
        <f t="shared" si="23"/>
        <v/>
      </c>
    </row>
    <row r="334" spans="1:20" x14ac:dyDescent="0.45">
      <c r="A334" t="str">
        <f>IF(PNL!A334="","",PNL!A334)</f>
        <v/>
      </c>
      <c r="B334" t="str">
        <f>IF(PNL!B334="","",PNL!B334)</f>
        <v/>
      </c>
      <c r="C334" t="str">
        <f>IF(PNL!C334="","",PNL!C334)</f>
        <v/>
      </c>
      <c r="D334" t="str">
        <f>IF(PNL!D334="","",PNL!D334)</f>
        <v/>
      </c>
      <c r="E334" t="str">
        <f t="shared" si="20"/>
        <v/>
      </c>
      <c r="F334" t="str">
        <f>IF($A334="","",IF($E334=1,SUMIFS(Compta!$F$1:$F$675,Compta!$A$1:$A$675,$A334,Compta!$B$1:$B$675,$B334,Compta!$C$1:$C$675,"2026"),0))</f>
        <v/>
      </c>
      <c r="G334" t="str">
        <f>IF($A334="","",IF($D334="V01",cad!$C$23,IF($D334="V02",cad!$D$23,cad!$E$23)))</f>
        <v/>
      </c>
      <c r="H334" t="str">
        <f>IF($A334="","",IF($D334="V01",cad!$C$24,IF($D334="V02",cad!$D$24,cad!$E$24)))</f>
        <v/>
      </c>
      <c r="I334" t="str">
        <f>IF($A334="","",IF($D334="V01",cad!$C$32,IF($D334="V02",cad!$D$32,cad!$E$32)))</f>
        <v/>
      </c>
      <c r="J334" t="str">
        <f>IF($A334="","",IF($D334="V01",cad!$C$33,IF($D334="V02",cad!$D$33,cad!$E$33)))</f>
        <v/>
      </c>
      <c r="K334" t="str">
        <f>IF($A334="","",IF($D334="V01",cad!$C$34,IF($D334="V02",cad!$D$34,cad!$E$34)))</f>
        <v/>
      </c>
      <c r="L334" t="str">
        <f>IF($A334="","",IF($D334="V01",cad!$C$35,IF($D334="V02",cad!$D$35,cad!$E$35)))</f>
        <v/>
      </c>
      <c r="M334" t="str">
        <f>IF($A334="","",IF($D334="V01",cad!$C$36,IF($D334="V02",cad!$D$36,cad!$E$36)))</f>
        <v/>
      </c>
      <c r="N334" t="str">
        <f t="shared" si="21"/>
        <v/>
      </c>
      <c r="O334" t="str">
        <f t="shared" si="22"/>
        <v/>
      </c>
      <c r="P334" t="str">
        <f>IF($A334="","",IF($E334=1,$F334*$O334,PNL!G334))</f>
        <v/>
      </c>
      <c r="T334" t="str">
        <f t="shared" si="23"/>
        <v/>
      </c>
    </row>
    <row r="335" spans="1:20" x14ac:dyDescent="0.45">
      <c r="A335" t="str">
        <f>IF(PNL!A335="","",PNL!A335)</f>
        <v/>
      </c>
      <c r="B335" t="str">
        <f>IF(PNL!B335="","",PNL!B335)</f>
        <v/>
      </c>
      <c r="C335" t="str">
        <f>IF(PNL!C335="","",PNL!C335)</f>
        <v/>
      </c>
      <c r="D335" t="str">
        <f>IF(PNL!D335="","",PNL!D335)</f>
        <v/>
      </c>
      <c r="E335" t="str">
        <f t="shared" si="20"/>
        <v/>
      </c>
      <c r="F335" t="str">
        <f>IF($A335="","",IF($E335=1,SUMIFS(Compta!$F$1:$F$675,Compta!$A$1:$A$675,$A335,Compta!$B$1:$B$675,$B335,Compta!$C$1:$C$675,"2026"),0))</f>
        <v/>
      </c>
      <c r="G335" t="str">
        <f>IF($A335="","",IF($D335="V01",cad!$C$23,IF($D335="V02",cad!$D$23,cad!$E$23)))</f>
        <v/>
      </c>
      <c r="H335" t="str">
        <f>IF($A335="","",IF($D335="V01",cad!$C$24,IF($D335="V02",cad!$D$24,cad!$E$24)))</f>
        <v/>
      </c>
      <c r="I335" t="str">
        <f>IF($A335="","",IF($D335="V01",cad!$C$32,IF($D335="V02",cad!$D$32,cad!$E$32)))</f>
        <v/>
      </c>
      <c r="J335" t="str">
        <f>IF($A335="","",IF($D335="V01",cad!$C$33,IF($D335="V02",cad!$D$33,cad!$E$33)))</f>
        <v/>
      </c>
      <c r="K335" t="str">
        <f>IF($A335="","",IF($D335="V01",cad!$C$34,IF($D335="V02",cad!$D$34,cad!$E$34)))</f>
        <v/>
      </c>
      <c r="L335" t="str">
        <f>IF($A335="","",IF($D335="V01",cad!$C$35,IF($D335="V02",cad!$D$35,cad!$E$35)))</f>
        <v/>
      </c>
      <c r="M335" t="str">
        <f>IF($A335="","",IF($D335="V01",cad!$C$36,IF($D335="V02",cad!$D$36,cad!$E$36)))</f>
        <v/>
      </c>
      <c r="N335" t="str">
        <f t="shared" si="21"/>
        <v/>
      </c>
      <c r="O335" t="str">
        <f t="shared" si="22"/>
        <v/>
      </c>
      <c r="P335" t="str">
        <f>IF($A335="","",IF($E335=1,$F335*$O335,PNL!G335))</f>
        <v/>
      </c>
      <c r="T335" t="str">
        <f t="shared" si="23"/>
        <v/>
      </c>
    </row>
    <row r="336" spans="1:20" x14ac:dyDescent="0.45">
      <c r="A336" t="str">
        <f>IF(PNL!A336="","",PNL!A336)</f>
        <v/>
      </c>
      <c r="B336" t="str">
        <f>IF(PNL!B336="","",PNL!B336)</f>
        <v/>
      </c>
      <c r="C336" t="str">
        <f>IF(PNL!C336="","",PNL!C336)</f>
        <v/>
      </c>
      <c r="D336" t="str">
        <f>IF(PNL!D336="","",PNL!D336)</f>
        <v/>
      </c>
      <c r="E336" t="str">
        <f t="shared" si="20"/>
        <v/>
      </c>
      <c r="F336" t="str">
        <f>IF($A336="","",IF($E336=1,SUMIFS(Compta!$F$1:$F$675,Compta!$A$1:$A$675,$A336,Compta!$B$1:$B$675,$B336,Compta!$C$1:$C$675,"2026"),0))</f>
        <v/>
      </c>
      <c r="G336" t="str">
        <f>IF($A336="","",IF($D336="V01",cad!$C$23,IF($D336="V02",cad!$D$23,cad!$E$23)))</f>
        <v/>
      </c>
      <c r="H336" t="str">
        <f>IF($A336="","",IF($D336="V01",cad!$C$24,IF($D336="V02",cad!$D$24,cad!$E$24)))</f>
        <v/>
      </c>
      <c r="I336" t="str">
        <f>IF($A336="","",IF($D336="V01",cad!$C$32,IF($D336="V02",cad!$D$32,cad!$E$32)))</f>
        <v/>
      </c>
      <c r="J336" t="str">
        <f>IF($A336="","",IF($D336="V01",cad!$C$33,IF($D336="V02",cad!$D$33,cad!$E$33)))</f>
        <v/>
      </c>
      <c r="K336" t="str">
        <f>IF($A336="","",IF($D336="V01",cad!$C$34,IF($D336="V02",cad!$D$34,cad!$E$34)))</f>
        <v/>
      </c>
      <c r="L336" t="str">
        <f>IF($A336="","",IF($D336="V01",cad!$C$35,IF($D336="V02",cad!$D$35,cad!$E$35)))</f>
        <v/>
      </c>
      <c r="M336" t="str">
        <f>IF($A336="","",IF($D336="V01",cad!$C$36,IF($D336="V02",cad!$D$36,cad!$E$36)))</f>
        <v/>
      </c>
      <c r="N336" t="str">
        <f t="shared" si="21"/>
        <v/>
      </c>
      <c r="O336" t="str">
        <f t="shared" si="22"/>
        <v/>
      </c>
      <c r="P336" t="str">
        <f>IF($A336="","",IF($E336=1,$F336*$O336,PNL!G336))</f>
        <v/>
      </c>
      <c r="T336" t="str">
        <f t="shared" si="23"/>
        <v/>
      </c>
    </row>
    <row r="337" spans="1:20" x14ac:dyDescent="0.45">
      <c r="A337" t="str">
        <f>IF(PNL!A337="","",PNL!A337)</f>
        <v/>
      </c>
      <c r="B337" t="str">
        <f>IF(PNL!B337="","",PNL!B337)</f>
        <v/>
      </c>
      <c r="C337" t="str">
        <f>IF(PNL!C337="","",PNL!C337)</f>
        <v/>
      </c>
      <c r="D337" t="str">
        <f>IF(PNL!D337="","",PNL!D337)</f>
        <v/>
      </c>
      <c r="E337" t="str">
        <f t="shared" si="20"/>
        <v/>
      </c>
      <c r="F337" t="str">
        <f>IF($A337="","",IF($E337=1,SUMIFS(Compta!$F$1:$F$675,Compta!$A$1:$A$675,$A337,Compta!$B$1:$B$675,$B337,Compta!$C$1:$C$675,"2026"),0))</f>
        <v/>
      </c>
      <c r="G337" t="str">
        <f>IF($A337="","",IF($D337="V01",cad!$C$23,IF($D337="V02",cad!$D$23,cad!$E$23)))</f>
        <v/>
      </c>
      <c r="H337" t="str">
        <f>IF($A337="","",IF($D337="V01",cad!$C$24,IF($D337="V02",cad!$D$24,cad!$E$24)))</f>
        <v/>
      </c>
      <c r="I337" t="str">
        <f>IF($A337="","",IF($D337="V01",cad!$C$32,IF($D337="V02",cad!$D$32,cad!$E$32)))</f>
        <v/>
      </c>
      <c r="J337" t="str">
        <f>IF($A337="","",IF($D337="V01",cad!$C$33,IF($D337="V02",cad!$D$33,cad!$E$33)))</f>
        <v/>
      </c>
      <c r="K337" t="str">
        <f>IF($A337="","",IF($D337="V01",cad!$C$34,IF($D337="V02",cad!$D$34,cad!$E$34)))</f>
        <v/>
      </c>
      <c r="L337" t="str">
        <f>IF($A337="","",IF($D337="V01",cad!$C$35,IF($D337="V02",cad!$D$35,cad!$E$35)))</f>
        <v/>
      </c>
      <c r="M337" t="str">
        <f>IF($A337="","",IF($D337="V01",cad!$C$36,IF($D337="V02",cad!$D$36,cad!$E$36)))</f>
        <v/>
      </c>
      <c r="N337" t="str">
        <f t="shared" si="21"/>
        <v/>
      </c>
      <c r="O337" t="str">
        <f t="shared" si="22"/>
        <v/>
      </c>
      <c r="P337" t="str">
        <f>IF($A337="","",IF($E337=1,$F337*$O337,PNL!G337))</f>
        <v/>
      </c>
      <c r="T337" t="str">
        <f t="shared" si="23"/>
        <v/>
      </c>
    </row>
    <row r="338" spans="1:20" x14ac:dyDescent="0.45">
      <c r="A338" t="str">
        <f>IF(PNL!A338="","",PNL!A338)</f>
        <v/>
      </c>
      <c r="B338" t="str">
        <f>IF(PNL!B338="","",PNL!B338)</f>
        <v/>
      </c>
      <c r="C338" t="str">
        <f>IF(PNL!C338="","",PNL!C338)</f>
        <v/>
      </c>
      <c r="D338" t="str">
        <f>IF(PNL!D338="","",PNL!D338)</f>
        <v/>
      </c>
      <c r="E338" t="str">
        <f t="shared" si="20"/>
        <v/>
      </c>
      <c r="F338" t="str">
        <f>IF($A338="","",IF($E338=1,SUMIFS(Compta!$F$1:$F$675,Compta!$A$1:$A$675,$A338,Compta!$B$1:$B$675,$B338,Compta!$C$1:$C$675,"2026"),0))</f>
        <v/>
      </c>
      <c r="G338" t="str">
        <f>IF($A338="","",IF($D338="V01",cad!$C$23,IF($D338="V02",cad!$D$23,cad!$E$23)))</f>
        <v/>
      </c>
      <c r="H338" t="str">
        <f>IF($A338="","",IF($D338="V01",cad!$C$24,IF($D338="V02",cad!$D$24,cad!$E$24)))</f>
        <v/>
      </c>
      <c r="I338" t="str">
        <f>IF($A338="","",IF($D338="V01",cad!$C$32,IF($D338="V02",cad!$D$32,cad!$E$32)))</f>
        <v/>
      </c>
      <c r="J338" t="str">
        <f>IF($A338="","",IF($D338="V01",cad!$C$33,IF($D338="V02",cad!$D$33,cad!$E$33)))</f>
        <v/>
      </c>
      <c r="K338" t="str">
        <f>IF($A338="","",IF($D338="V01",cad!$C$34,IF($D338="V02",cad!$D$34,cad!$E$34)))</f>
        <v/>
      </c>
      <c r="L338" t="str">
        <f>IF($A338="","",IF($D338="V01",cad!$C$35,IF($D338="V02",cad!$D$35,cad!$E$35)))</f>
        <v/>
      </c>
      <c r="M338" t="str">
        <f>IF($A338="","",IF($D338="V01",cad!$C$36,IF($D338="V02",cad!$D$36,cad!$E$36)))</f>
        <v/>
      </c>
      <c r="N338" t="str">
        <f t="shared" si="21"/>
        <v/>
      </c>
      <c r="O338" t="str">
        <f t="shared" si="22"/>
        <v/>
      </c>
      <c r="P338" t="str">
        <f>IF($A338="","",IF($E338=1,$F338*$O338,PNL!G338))</f>
        <v/>
      </c>
      <c r="T338" t="str">
        <f t="shared" si="23"/>
        <v/>
      </c>
    </row>
    <row r="339" spans="1:20" x14ac:dyDescent="0.45">
      <c r="A339" t="str">
        <f>IF(PNL!A339="","",PNL!A339)</f>
        <v/>
      </c>
      <c r="B339" t="str">
        <f>IF(PNL!B339="","",PNL!B339)</f>
        <v/>
      </c>
      <c r="C339" t="str">
        <f>IF(PNL!C339="","",PNL!C339)</f>
        <v/>
      </c>
      <c r="D339" t="str">
        <f>IF(PNL!D339="","",PNL!D339)</f>
        <v/>
      </c>
      <c r="E339" t="str">
        <f t="shared" si="20"/>
        <v/>
      </c>
      <c r="F339" t="str">
        <f>IF($A339="","",IF($E339=1,SUMIFS(Compta!$F$1:$F$675,Compta!$A$1:$A$675,$A339,Compta!$B$1:$B$675,$B339,Compta!$C$1:$C$675,"2026"),0))</f>
        <v/>
      </c>
      <c r="G339" t="str">
        <f>IF($A339="","",IF($D339="V01",cad!$C$23,IF($D339="V02",cad!$D$23,cad!$E$23)))</f>
        <v/>
      </c>
      <c r="H339" t="str">
        <f>IF($A339="","",IF($D339="V01",cad!$C$24,IF($D339="V02",cad!$D$24,cad!$E$24)))</f>
        <v/>
      </c>
      <c r="I339" t="str">
        <f>IF($A339="","",IF($D339="V01",cad!$C$32,IF($D339="V02",cad!$D$32,cad!$E$32)))</f>
        <v/>
      </c>
      <c r="J339" t="str">
        <f>IF($A339="","",IF($D339="V01",cad!$C$33,IF($D339="V02",cad!$D$33,cad!$E$33)))</f>
        <v/>
      </c>
      <c r="K339" t="str">
        <f>IF($A339="","",IF($D339="V01",cad!$C$34,IF($D339="V02",cad!$D$34,cad!$E$34)))</f>
        <v/>
      </c>
      <c r="L339" t="str">
        <f>IF($A339="","",IF($D339="V01",cad!$C$35,IF($D339="V02",cad!$D$35,cad!$E$35)))</f>
        <v/>
      </c>
      <c r="M339" t="str">
        <f>IF($A339="","",IF($D339="V01",cad!$C$36,IF($D339="V02",cad!$D$36,cad!$E$36)))</f>
        <v/>
      </c>
      <c r="N339" t="str">
        <f t="shared" si="21"/>
        <v/>
      </c>
      <c r="O339" t="str">
        <f t="shared" si="22"/>
        <v/>
      </c>
      <c r="P339" t="str">
        <f>IF($A339="","",IF($E339=1,$F339*$O339,PNL!G339))</f>
        <v/>
      </c>
      <c r="T339" t="str">
        <f t="shared" si="23"/>
        <v/>
      </c>
    </row>
    <row r="340" spans="1:20" x14ac:dyDescent="0.45">
      <c r="A340" t="str">
        <f>IF(PNL!A340="","",PNL!A340)</f>
        <v/>
      </c>
      <c r="B340" t="str">
        <f>IF(PNL!B340="","",PNL!B340)</f>
        <v/>
      </c>
      <c r="C340" t="str">
        <f>IF(PNL!C340="","",PNL!C340)</f>
        <v/>
      </c>
      <c r="D340" t="str">
        <f>IF(PNL!D340="","",PNL!D340)</f>
        <v/>
      </c>
      <c r="E340" t="str">
        <f t="shared" si="20"/>
        <v/>
      </c>
      <c r="F340" t="str">
        <f>IF($A340="","",IF($E340=1,SUMIFS(Compta!$F$1:$F$675,Compta!$A$1:$A$675,$A340,Compta!$B$1:$B$675,$B340,Compta!$C$1:$C$675,"2026"),0))</f>
        <v/>
      </c>
      <c r="G340" t="str">
        <f>IF($A340="","",IF($D340="V01",cad!$C$23,IF($D340="V02",cad!$D$23,cad!$E$23)))</f>
        <v/>
      </c>
      <c r="H340" t="str">
        <f>IF($A340="","",IF($D340="V01",cad!$C$24,IF($D340="V02",cad!$D$24,cad!$E$24)))</f>
        <v/>
      </c>
      <c r="I340" t="str">
        <f>IF($A340="","",IF($D340="V01",cad!$C$32,IF($D340="V02",cad!$D$32,cad!$E$32)))</f>
        <v/>
      </c>
      <c r="J340" t="str">
        <f>IF($A340="","",IF($D340="V01",cad!$C$33,IF($D340="V02",cad!$D$33,cad!$E$33)))</f>
        <v/>
      </c>
      <c r="K340" t="str">
        <f>IF($A340="","",IF($D340="V01",cad!$C$34,IF($D340="V02",cad!$D$34,cad!$E$34)))</f>
        <v/>
      </c>
      <c r="L340" t="str">
        <f>IF($A340="","",IF($D340="V01",cad!$C$35,IF($D340="V02",cad!$D$35,cad!$E$35)))</f>
        <v/>
      </c>
      <c r="M340" t="str">
        <f>IF($A340="","",IF($D340="V01",cad!$C$36,IF($D340="V02",cad!$D$36,cad!$E$36)))</f>
        <v/>
      </c>
      <c r="N340" t="str">
        <f t="shared" si="21"/>
        <v/>
      </c>
      <c r="O340" t="str">
        <f t="shared" si="22"/>
        <v/>
      </c>
      <c r="P340" t="str">
        <f>IF($A340="","",IF($E340=1,$F340*$O340,PNL!G340))</f>
        <v/>
      </c>
      <c r="T340" t="str">
        <f t="shared" si="23"/>
        <v/>
      </c>
    </row>
    <row r="341" spans="1:20" x14ac:dyDescent="0.45">
      <c r="A341" t="str">
        <f>IF(PNL!A341="","",PNL!A341)</f>
        <v/>
      </c>
      <c r="B341" t="str">
        <f>IF(PNL!B341="","",PNL!B341)</f>
        <v/>
      </c>
      <c r="C341" t="str">
        <f>IF(PNL!C341="","",PNL!C341)</f>
        <v/>
      </c>
      <c r="D341" t="str">
        <f>IF(PNL!D341="","",PNL!D341)</f>
        <v/>
      </c>
      <c r="E341" t="str">
        <f t="shared" si="20"/>
        <v/>
      </c>
      <c r="F341" t="str">
        <f>IF($A341="","",IF($E341=1,SUMIFS(Compta!$F$1:$F$675,Compta!$A$1:$A$675,$A341,Compta!$B$1:$B$675,$B341,Compta!$C$1:$C$675,"2026"),0))</f>
        <v/>
      </c>
      <c r="G341" t="str">
        <f>IF($A341="","",IF($D341="V01",cad!$C$23,IF($D341="V02",cad!$D$23,cad!$E$23)))</f>
        <v/>
      </c>
      <c r="H341" t="str">
        <f>IF($A341="","",IF($D341="V01",cad!$C$24,IF($D341="V02",cad!$D$24,cad!$E$24)))</f>
        <v/>
      </c>
      <c r="I341" t="str">
        <f>IF($A341="","",IF($D341="V01",cad!$C$32,IF($D341="V02",cad!$D$32,cad!$E$32)))</f>
        <v/>
      </c>
      <c r="J341" t="str">
        <f>IF($A341="","",IF($D341="V01",cad!$C$33,IF($D341="V02",cad!$D$33,cad!$E$33)))</f>
        <v/>
      </c>
      <c r="K341" t="str">
        <f>IF($A341="","",IF($D341="V01",cad!$C$34,IF($D341="V02",cad!$D$34,cad!$E$34)))</f>
        <v/>
      </c>
      <c r="L341" t="str">
        <f>IF($A341="","",IF($D341="V01",cad!$C$35,IF($D341="V02",cad!$D$35,cad!$E$35)))</f>
        <v/>
      </c>
      <c r="M341" t="str">
        <f>IF($A341="","",IF($D341="V01",cad!$C$36,IF($D341="V02",cad!$D$36,cad!$E$36)))</f>
        <v/>
      </c>
      <c r="N341" t="str">
        <f t="shared" si="21"/>
        <v/>
      </c>
      <c r="O341" t="str">
        <f t="shared" si="22"/>
        <v/>
      </c>
      <c r="P341" t="str">
        <f>IF($A341="","",IF($E341=1,$F341*$O341,PNL!G341))</f>
        <v/>
      </c>
      <c r="T341" t="str">
        <f t="shared" si="23"/>
        <v/>
      </c>
    </row>
    <row r="342" spans="1:20" x14ac:dyDescent="0.45">
      <c r="A342" t="str">
        <f>IF(PNL!A342="","",PNL!A342)</f>
        <v/>
      </c>
      <c r="B342" t="str">
        <f>IF(PNL!B342="","",PNL!B342)</f>
        <v/>
      </c>
      <c r="C342" t="str">
        <f>IF(PNL!C342="","",PNL!C342)</f>
        <v/>
      </c>
      <c r="D342" t="str">
        <f>IF(PNL!D342="","",PNL!D342)</f>
        <v/>
      </c>
      <c r="E342" t="str">
        <f t="shared" si="20"/>
        <v/>
      </c>
      <c r="F342" t="str">
        <f>IF($A342="","",IF($E342=1,SUMIFS(Compta!$F$1:$F$675,Compta!$A$1:$A$675,$A342,Compta!$B$1:$B$675,$B342,Compta!$C$1:$C$675,"2026"),0))</f>
        <v/>
      </c>
      <c r="G342" t="str">
        <f>IF($A342="","",IF($D342="V01",cad!$C$23,IF($D342="V02",cad!$D$23,cad!$E$23)))</f>
        <v/>
      </c>
      <c r="H342" t="str">
        <f>IF($A342="","",IF($D342="V01",cad!$C$24,IF($D342="V02",cad!$D$24,cad!$E$24)))</f>
        <v/>
      </c>
      <c r="I342" t="str">
        <f>IF($A342="","",IF($D342="V01",cad!$C$32,IF($D342="V02",cad!$D$32,cad!$E$32)))</f>
        <v/>
      </c>
      <c r="J342" t="str">
        <f>IF($A342="","",IF($D342="V01",cad!$C$33,IF($D342="V02",cad!$D$33,cad!$E$33)))</f>
        <v/>
      </c>
      <c r="K342" t="str">
        <f>IF($A342="","",IF($D342="V01",cad!$C$34,IF($D342="V02",cad!$D$34,cad!$E$34)))</f>
        <v/>
      </c>
      <c r="L342" t="str">
        <f>IF($A342="","",IF($D342="V01",cad!$C$35,IF($D342="V02",cad!$D$35,cad!$E$35)))</f>
        <v/>
      </c>
      <c r="M342" t="str">
        <f>IF($A342="","",IF($D342="V01",cad!$C$36,IF($D342="V02",cad!$D$36,cad!$E$36)))</f>
        <v/>
      </c>
      <c r="N342" t="str">
        <f t="shared" si="21"/>
        <v/>
      </c>
      <c r="O342" t="str">
        <f t="shared" si="22"/>
        <v/>
      </c>
      <c r="P342" t="str">
        <f>IF($A342="","",IF($E342=1,$F342*$O342,PNL!G342))</f>
        <v/>
      </c>
      <c r="T342" t="str">
        <f t="shared" si="23"/>
        <v/>
      </c>
    </row>
    <row r="343" spans="1:20" x14ac:dyDescent="0.45">
      <c r="A343" t="str">
        <f>IF(PNL!A343="","",PNL!A343)</f>
        <v/>
      </c>
      <c r="B343" t="str">
        <f>IF(PNL!B343="","",PNL!B343)</f>
        <v/>
      </c>
      <c r="C343" t="str">
        <f>IF(PNL!C343="","",PNL!C343)</f>
        <v/>
      </c>
      <c r="D343" t="str">
        <f>IF(PNL!D343="","",PNL!D343)</f>
        <v/>
      </c>
      <c r="E343" t="str">
        <f t="shared" si="20"/>
        <v/>
      </c>
      <c r="F343" t="str">
        <f>IF($A343="","",IF($E343=1,SUMIFS(Compta!$F$1:$F$675,Compta!$A$1:$A$675,$A343,Compta!$B$1:$B$675,$B343,Compta!$C$1:$C$675,"2026"),0))</f>
        <v/>
      </c>
      <c r="G343" t="str">
        <f>IF($A343="","",IF($D343="V01",cad!$C$23,IF($D343="V02",cad!$D$23,cad!$E$23)))</f>
        <v/>
      </c>
      <c r="H343" t="str">
        <f>IF($A343="","",IF($D343="V01",cad!$C$24,IF($D343="V02",cad!$D$24,cad!$E$24)))</f>
        <v/>
      </c>
      <c r="I343" t="str">
        <f>IF($A343="","",IF($D343="V01",cad!$C$32,IF($D343="V02",cad!$D$32,cad!$E$32)))</f>
        <v/>
      </c>
      <c r="J343" t="str">
        <f>IF($A343="","",IF($D343="V01",cad!$C$33,IF($D343="V02",cad!$D$33,cad!$E$33)))</f>
        <v/>
      </c>
      <c r="K343" t="str">
        <f>IF($A343="","",IF($D343="V01",cad!$C$34,IF($D343="V02",cad!$D$34,cad!$E$34)))</f>
        <v/>
      </c>
      <c r="L343" t="str">
        <f>IF($A343="","",IF($D343="V01",cad!$C$35,IF($D343="V02",cad!$D$35,cad!$E$35)))</f>
        <v/>
      </c>
      <c r="M343" t="str">
        <f>IF($A343="","",IF($D343="V01",cad!$C$36,IF($D343="V02",cad!$D$36,cad!$E$36)))</f>
        <v/>
      </c>
      <c r="N343" t="str">
        <f t="shared" si="21"/>
        <v/>
      </c>
      <c r="O343" t="str">
        <f t="shared" si="22"/>
        <v/>
      </c>
      <c r="P343" t="str">
        <f>IF($A343="","",IF($E343=1,$F343*$O343,PNL!G343))</f>
        <v/>
      </c>
      <c r="T343" t="str">
        <f t="shared" si="23"/>
        <v/>
      </c>
    </row>
    <row r="344" spans="1:20" x14ac:dyDescent="0.45">
      <c r="A344" t="str">
        <f>IF(PNL!A344="","",PNL!A344)</f>
        <v/>
      </c>
      <c r="B344" t="str">
        <f>IF(PNL!B344="","",PNL!B344)</f>
        <v/>
      </c>
      <c r="C344" t="str">
        <f>IF(PNL!C344="","",PNL!C344)</f>
        <v/>
      </c>
      <c r="D344" t="str">
        <f>IF(PNL!D344="","",PNL!D344)</f>
        <v/>
      </c>
      <c r="E344" t="str">
        <f t="shared" si="20"/>
        <v/>
      </c>
      <c r="F344" t="str">
        <f>IF($A344="","",IF($E344=1,SUMIFS(Compta!$F$1:$F$675,Compta!$A$1:$A$675,$A344,Compta!$B$1:$B$675,$B344,Compta!$C$1:$C$675,"2026"),0))</f>
        <v/>
      </c>
      <c r="G344" t="str">
        <f>IF($A344="","",IF($D344="V01",cad!$C$23,IF($D344="V02",cad!$D$23,cad!$E$23)))</f>
        <v/>
      </c>
      <c r="H344" t="str">
        <f>IF($A344="","",IF($D344="V01",cad!$C$24,IF($D344="V02",cad!$D$24,cad!$E$24)))</f>
        <v/>
      </c>
      <c r="I344" t="str">
        <f>IF($A344="","",IF($D344="V01",cad!$C$32,IF($D344="V02",cad!$D$32,cad!$E$32)))</f>
        <v/>
      </c>
      <c r="J344" t="str">
        <f>IF($A344="","",IF($D344="V01",cad!$C$33,IF($D344="V02",cad!$D$33,cad!$E$33)))</f>
        <v/>
      </c>
      <c r="K344" t="str">
        <f>IF($A344="","",IF($D344="V01",cad!$C$34,IF($D344="V02",cad!$D$34,cad!$E$34)))</f>
        <v/>
      </c>
      <c r="L344" t="str">
        <f>IF($A344="","",IF($D344="V01",cad!$C$35,IF($D344="V02",cad!$D$35,cad!$E$35)))</f>
        <v/>
      </c>
      <c r="M344" t="str">
        <f>IF($A344="","",IF($D344="V01",cad!$C$36,IF($D344="V02",cad!$D$36,cad!$E$36)))</f>
        <v/>
      </c>
      <c r="N344" t="str">
        <f t="shared" si="21"/>
        <v/>
      </c>
      <c r="O344" t="str">
        <f t="shared" si="22"/>
        <v/>
      </c>
      <c r="P344" t="str">
        <f>IF($A344="","",IF($E344=1,$F344*$O344,PNL!G344))</f>
        <v/>
      </c>
      <c r="T344" t="str">
        <f t="shared" si="23"/>
        <v/>
      </c>
    </row>
    <row r="345" spans="1:20" x14ac:dyDescent="0.45">
      <c r="A345" t="str">
        <f>IF(PNL!A345="","",PNL!A345)</f>
        <v/>
      </c>
      <c r="B345" t="str">
        <f>IF(PNL!B345="","",PNL!B345)</f>
        <v/>
      </c>
      <c r="C345" t="str">
        <f>IF(PNL!C345="","",PNL!C345)</f>
        <v/>
      </c>
      <c r="D345" t="str">
        <f>IF(PNL!D345="","",PNL!D345)</f>
        <v/>
      </c>
      <c r="E345" t="str">
        <f t="shared" si="20"/>
        <v/>
      </c>
      <c r="F345" t="str">
        <f>IF($A345="","",IF($E345=1,SUMIFS(Compta!$F$1:$F$675,Compta!$A$1:$A$675,$A345,Compta!$B$1:$B$675,$B345,Compta!$C$1:$C$675,"2026"),0))</f>
        <v/>
      </c>
      <c r="G345" t="str">
        <f>IF($A345="","",IF($D345="V01",cad!$C$23,IF($D345="V02",cad!$D$23,cad!$E$23)))</f>
        <v/>
      </c>
      <c r="H345" t="str">
        <f>IF($A345="","",IF($D345="V01",cad!$C$24,IF($D345="V02",cad!$D$24,cad!$E$24)))</f>
        <v/>
      </c>
      <c r="I345" t="str">
        <f>IF($A345="","",IF($D345="V01",cad!$C$32,IF($D345="V02",cad!$D$32,cad!$E$32)))</f>
        <v/>
      </c>
      <c r="J345" t="str">
        <f>IF($A345="","",IF($D345="V01",cad!$C$33,IF($D345="V02",cad!$D$33,cad!$E$33)))</f>
        <v/>
      </c>
      <c r="K345" t="str">
        <f>IF($A345="","",IF($D345="V01",cad!$C$34,IF($D345="V02",cad!$D$34,cad!$E$34)))</f>
        <v/>
      </c>
      <c r="L345" t="str">
        <f>IF($A345="","",IF($D345="V01",cad!$C$35,IF($D345="V02",cad!$D$35,cad!$E$35)))</f>
        <v/>
      </c>
      <c r="M345" t="str">
        <f>IF($A345="","",IF($D345="V01",cad!$C$36,IF($D345="V02",cad!$D$36,cad!$E$36)))</f>
        <v/>
      </c>
      <c r="N345" t="str">
        <f t="shared" si="21"/>
        <v/>
      </c>
      <c r="O345" t="str">
        <f t="shared" si="22"/>
        <v/>
      </c>
      <c r="P345" t="str">
        <f>IF($A345="","",IF($E345=1,$F345*$O345,PNL!G345))</f>
        <v/>
      </c>
      <c r="T345" t="str">
        <f t="shared" si="23"/>
        <v/>
      </c>
    </row>
    <row r="346" spans="1:20" x14ac:dyDescent="0.45">
      <c r="A346" t="str">
        <f>IF(PNL!A346="","",PNL!A346)</f>
        <v/>
      </c>
      <c r="B346" t="str">
        <f>IF(PNL!B346="","",PNL!B346)</f>
        <v/>
      </c>
      <c r="C346" t="str">
        <f>IF(PNL!C346="","",PNL!C346)</f>
        <v/>
      </c>
      <c r="D346" t="str">
        <f>IF(PNL!D346="","",PNL!D346)</f>
        <v/>
      </c>
      <c r="E346" t="str">
        <f t="shared" si="20"/>
        <v/>
      </c>
      <c r="F346" t="str">
        <f>IF($A346="","",IF($E346=1,SUMIFS(Compta!$F$1:$F$675,Compta!$A$1:$A$675,$A346,Compta!$B$1:$B$675,$B346,Compta!$C$1:$C$675,"2026"),0))</f>
        <v/>
      </c>
      <c r="G346" t="str">
        <f>IF($A346="","",IF($D346="V01",cad!$C$23,IF($D346="V02",cad!$D$23,cad!$E$23)))</f>
        <v/>
      </c>
      <c r="H346" t="str">
        <f>IF($A346="","",IF($D346="V01",cad!$C$24,IF($D346="V02",cad!$D$24,cad!$E$24)))</f>
        <v/>
      </c>
      <c r="I346" t="str">
        <f>IF($A346="","",IF($D346="V01",cad!$C$32,IF($D346="V02",cad!$D$32,cad!$E$32)))</f>
        <v/>
      </c>
      <c r="J346" t="str">
        <f>IF($A346="","",IF($D346="V01",cad!$C$33,IF($D346="V02",cad!$D$33,cad!$E$33)))</f>
        <v/>
      </c>
      <c r="K346" t="str">
        <f>IF($A346="","",IF($D346="V01",cad!$C$34,IF($D346="V02",cad!$D$34,cad!$E$34)))</f>
        <v/>
      </c>
      <c r="L346" t="str">
        <f>IF($A346="","",IF($D346="V01",cad!$C$35,IF($D346="V02",cad!$D$35,cad!$E$35)))</f>
        <v/>
      </c>
      <c r="M346" t="str">
        <f>IF($A346="","",IF($D346="V01",cad!$C$36,IF($D346="V02",cad!$D$36,cad!$E$36)))</f>
        <v/>
      </c>
      <c r="N346" t="str">
        <f t="shared" si="21"/>
        <v/>
      </c>
      <c r="O346" t="str">
        <f t="shared" si="22"/>
        <v/>
      </c>
      <c r="P346" t="str">
        <f>IF($A346="","",IF($E346=1,$F346*$O346,PNL!G346))</f>
        <v/>
      </c>
      <c r="T346" t="str">
        <f t="shared" si="23"/>
        <v/>
      </c>
    </row>
    <row r="347" spans="1:20" x14ac:dyDescent="0.45">
      <c r="A347" t="str">
        <f>IF(PNL!A347="","",PNL!A347)</f>
        <v/>
      </c>
      <c r="B347" t="str">
        <f>IF(PNL!B347="","",PNL!B347)</f>
        <v/>
      </c>
      <c r="C347" t="str">
        <f>IF(PNL!C347="","",PNL!C347)</f>
        <v/>
      </c>
      <c r="D347" t="str">
        <f>IF(PNL!D347="","",PNL!D347)</f>
        <v/>
      </c>
      <c r="E347" t="str">
        <f t="shared" si="20"/>
        <v/>
      </c>
      <c r="F347" t="str">
        <f>IF($A347="","",IF($E347=1,SUMIFS(Compta!$F$1:$F$675,Compta!$A$1:$A$675,$A347,Compta!$B$1:$B$675,$B347,Compta!$C$1:$C$675,"2026"),0))</f>
        <v/>
      </c>
      <c r="G347" t="str">
        <f>IF($A347="","",IF($D347="V01",cad!$C$23,IF($D347="V02",cad!$D$23,cad!$E$23)))</f>
        <v/>
      </c>
      <c r="H347" t="str">
        <f>IF($A347="","",IF($D347="V01",cad!$C$24,IF($D347="V02",cad!$D$24,cad!$E$24)))</f>
        <v/>
      </c>
      <c r="I347" t="str">
        <f>IF($A347="","",IF($D347="V01",cad!$C$32,IF($D347="V02",cad!$D$32,cad!$E$32)))</f>
        <v/>
      </c>
      <c r="J347" t="str">
        <f>IF($A347="","",IF($D347="V01",cad!$C$33,IF($D347="V02",cad!$D$33,cad!$E$33)))</f>
        <v/>
      </c>
      <c r="K347" t="str">
        <f>IF($A347="","",IF($D347="V01",cad!$C$34,IF($D347="V02",cad!$D$34,cad!$E$34)))</f>
        <v/>
      </c>
      <c r="L347" t="str">
        <f>IF($A347="","",IF($D347="V01",cad!$C$35,IF($D347="V02",cad!$D$35,cad!$E$35)))</f>
        <v/>
      </c>
      <c r="M347" t="str">
        <f>IF($A347="","",IF($D347="V01",cad!$C$36,IF($D347="V02",cad!$D$36,cad!$E$36)))</f>
        <v/>
      </c>
      <c r="N347" t="str">
        <f t="shared" si="21"/>
        <v/>
      </c>
      <c r="O347" t="str">
        <f t="shared" si="22"/>
        <v/>
      </c>
      <c r="P347" t="str">
        <f>IF($A347="","",IF($E347=1,$F347*$O347,PNL!G347))</f>
        <v/>
      </c>
      <c r="T347" t="str">
        <f t="shared" si="23"/>
        <v/>
      </c>
    </row>
    <row r="348" spans="1:20" x14ac:dyDescent="0.45">
      <c r="A348" t="str">
        <f>IF(PNL!A348="","",PNL!A348)</f>
        <v/>
      </c>
      <c r="B348" t="str">
        <f>IF(PNL!B348="","",PNL!B348)</f>
        <v/>
      </c>
      <c r="C348" t="str">
        <f>IF(PNL!C348="","",PNL!C348)</f>
        <v/>
      </c>
      <c r="D348" t="str">
        <f>IF(PNL!D348="","",PNL!D348)</f>
        <v/>
      </c>
      <c r="E348" t="str">
        <f t="shared" si="20"/>
        <v/>
      </c>
      <c r="F348" t="str">
        <f>IF($A348="","",IF($E348=1,SUMIFS(Compta!$F$1:$F$675,Compta!$A$1:$A$675,$A348,Compta!$B$1:$B$675,$B348,Compta!$C$1:$C$675,"2026"),0))</f>
        <v/>
      </c>
      <c r="G348" t="str">
        <f>IF($A348="","",IF($D348="V01",cad!$C$23,IF($D348="V02",cad!$D$23,cad!$E$23)))</f>
        <v/>
      </c>
      <c r="H348" t="str">
        <f>IF($A348="","",IF($D348="V01",cad!$C$24,IF($D348="V02",cad!$D$24,cad!$E$24)))</f>
        <v/>
      </c>
      <c r="I348" t="str">
        <f>IF($A348="","",IF($D348="V01",cad!$C$32,IF($D348="V02",cad!$D$32,cad!$E$32)))</f>
        <v/>
      </c>
      <c r="J348" t="str">
        <f>IF($A348="","",IF($D348="V01",cad!$C$33,IF($D348="V02",cad!$D$33,cad!$E$33)))</f>
        <v/>
      </c>
      <c r="K348" t="str">
        <f>IF($A348="","",IF($D348="V01",cad!$C$34,IF($D348="V02",cad!$D$34,cad!$E$34)))</f>
        <v/>
      </c>
      <c r="L348" t="str">
        <f>IF($A348="","",IF($D348="V01",cad!$C$35,IF($D348="V02",cad!$D$35,cad!$E$35)))</f>
        <v/>
      </c>
      <c r="M348" t="str">
        <f>IF($A348="","",IF($D348="V01",cad!$C$36,IF($D348="V02",cad!$D$36,cad!$E$36)))</f>
        <v/>
      </c>
      <c r="N348" t="str">
        <f t="shared" si="21"/>
        <v/>
      </c>
      <c r="O348" t="str">
        <f t="shared" si="22"/>
        <v/>
      </c>
      <c r="P348" t="str">
        <f>IF($A348="","",IF($E348=1,$F348*$O348,PNL!G348))</f>
        <v/>
      </c>
      <c r="T348" t="str">
        <f t="shared" si="23"/>
        <v/>
      </c>
    </row>
    <row r="349" spans="1:20" x14ac:dyDescent="0.45">
      <c r="A349" t="str">
        <f>IF(PNL!A349="","",PNL!A349)</f>
        <v/>
      </c>
      <c r="B349" t="str">
        <f>IF(PNL!B349="","",PNL!B349)</f>
        <v/>
      </c>
      <c r="C349" t="str">
        <f>IF(PNL!C349="","",PNL!C349)</f>
        <v/>
      </c>
      <c r="D349" t="str">
        <f>IF(PNL!D349="","",PNL!D349)</f>
        <v/>
      </c>
      <c r="E349" t="str">
        <f t="shared" si="20"/>
        <v/>
      </c>
      <c r="F349" t="str">
        <f>IF($A349="","",IF($E349=1,SUMIFS(Compta!$F$1:$F$675,Compta!$A$1:$A$675,$A349,Compta!$B$1:$B$675,$B349,Compta!$C$1:$C$675,"2026"),0))</f>
        <v/>
      </c>
      <c r="G349" t="str">
        <f>IF($A349="","",IF($D349="V01",cad!$C$23,IF($D349="V02",cad!$D$23,cad!$E$23)))</f>
        <v/>
      </c>
      <c r="H349" t="str">
        <f>IF($A349="","",IF($D349="V01",cad!$C$24,IF($D349="V02",cad!$D$24,cad!$E$24)))</f>
        <v/>
      </c>
      <c r="I349" t="str">
        <f>IF($A349="","",IF($D349="V01",cad!$C$32,IF($D349="V02",cad!$D$32,cad!$E$32)))</f>
        <v/>
      </c>
      <c r="J349" t="str">
        <f>IF($A349="","",IF($D349="V01",cad!$C$33,IF($D349="V02",cad!$D$33,cad!$E$33)))</f>
        <v/>
      </c>
      <c r="K349" t="str">
        <f>IF($A349="","",IF($D349="V01",cad!$C$34,IF($D349="V02",cad!$D$34,cad!$E$34)))</f>
        <v/>
      </c>
      <c r="L349" t="str">
        <f>IF($A349="","",IF($D349="V01",cad!$C$35,IF($D349="V02",cad!$D$35,cad!$E$35)))</f>
        <v/>
      </c>
      <c r="M349" t="str">
        <f>IF($A349="","",IF($D349="V01",cad!$C$36,IF($D349="V02",cad!$D$36,cad!$E$36)))</f>
        <v/>
      </c>
      <c r="N349" t="str">
        <f t="shared" si="21"/>
        <v/>
      </c>
      <c r="O349" t="str">
        <f t="shared" si="22"/>
        <v/>
      </c>
      <c r="P349" t="str">
        <f>IF($A349="","",IF($E349=1,$F349*$O349,PNL!G349))</f>
        <v/>
      </c>
      <c r="T349" t="str">
        <f t="shared" si="23"/>
        <v/>
      </c>
    </row>
    <row r="350" spans="1:20" x14ac:dyDescent="0.45">
      <c r="A350" t="str">
        <f>IF(PNL!A350="","",PNL!A350)</f>
        <v/>
      </c>
      <c r="B350" t="str">
        <f>IF(PNL!B350="","",PNL!B350)</f>
        <v/>
      </c>
      <c r="C350" t="str">
        <f>IF(PNL!C350="","",PNL!C350)</f>
        <v/>
      </c>
      <c r="D350" t="str">
        <f>IF(PNL!D350="","",PNL!D350)</f>
        <v/>
      </c>
      <c r="E350" t="str">
        <f t="shared" si="20"/>
        <v/>
      </c>
      <c r="F350" t="str">
        <f>IF($A350="","",IF($E350=1,SUMIFS(Compta!$F$1:$F$675,Compta!$A$1:$A$675,$A350,Compta!$B$1:$B$675,$B350,Compta!$C$1:$C$675,"2026"),0))</f>
        <v/>
      </c>
      <c r="G350" t="str">
        <f>IF($A350="","",IF($D350="V01",cad!$C$23,IF($D350="V02",cad!$D$23,cad!$E$23)))</f>
        <v/>
      </c>
      <c r="H350" t="str">
        <f>IF($A350="","",IF($D350="V01",cad!$C$24,IF($D350="V02",cad!$D$24,cad!$E$24)))</f>
        <v/>
      </c>
      <c r="I350" t="str">
        <f>IF($A350="","",IF($D350="V01",cad!$C$32,IF($D350="V02",cad!$D$32,cad!$E$32)))</f>
        <v/>
      </c>
      <c r="J350" t="str">
        <f>IF($A350="","",IF($D350="V01",cad!$C$33,IF($D350="V02",cad!$D$33,cad!$E$33)))</f>
        <v/>
      </c>
      <c r="K350" t="str">
        <f>IF($A350="","",IF($D350="V01",cad!$C$34,IF($D350="V02",cad!$D$34,cad!$E$34)))</f>
        <v/>
      </c>
      <c r="L350" t="str">
        <f>IF($A350="","",IF($D350="V01",cad!$C$35,IF($D350="V02",cad!$D$35,cad!$E$35)))</f>
        <v/>
      </c>
      <c r="M350" t="str">
        <f>IF($A350="","",IF($D350="V01",cad!$C$36,IF($D350="V02",cad!$D$36,cad!$E$36)))</f>
        <v/>
      </c>
      <c r="N350" t="str">
        <f t="shared" si="21"/>
        <v/>
      </c>
      <c r="O350" t="str">
        <f t="shared" si="22"/>
        <v/>
      </c>
      <c r="P350" t="str">
        <f>IF($A350="","",IF($E350=1,$F350*$O350,PNL!G350))</f>
        <v/>
      </c>
      <c r="T350" t="str">
        <f t="shared" si="23"/>
        <v/>
      </c>
    </row>
    <row r="351" spans="1:20" x14ac:dyDescent="0.45">
      <c r="A351" t="str">
        <f>IF(PNL!A351="","",PNL!A351)</f>
        <v/>
      </c>
      <c r="B351" t="str">
        <f>IF(PNL!B351="","",PNL!B351)</f>
        <v/>
      </c>
      <c r="C351" t="str">
        <f>IF(PNL!C351="","",PNL!C351)</f>
        <v/>
      </c>
      <c r="D351" t="str">
        <f>IF(PNL!D351="","",PNL!D351)</f>
        <v/>
      </c>
      <c r="E351" t="str">
        <f t="shared" si="20"/>
        <v/>
      </c>
      <c r="F351" t="str">
        <f>IF($A351="","",IF($E351=1,SUMIFS(Compta!$F$1:$F$675,Compta!$A$1:$A$675,$A351,Compta!$B$1:$B$675,$B351,Compta!$C$1:$C$675,"2026"),0))</f>
        <v/>
      </c>
      <c r="G351" t="str">
        <f>IF($A351="","",IF($D351="V01",cad!$C$23,IF($D351="V02",cad!$D$23,cad!$E$23)))</f>
        <v/>
      </c>
      <c r="H351" t="str">
        <f>IF($A351="","",IF($D351="V01",cad!$C$24,IF($D351="V02",cad!$D$24,cad!$E$24)))</f>
        <v/>
      </c>
      <c r="I351" t="str">
        <f>IF($A351="","",IF($D351="V01",cad!$C$32,IF($D351="V02",cad!$D$32,cad!$E$32)))</f>
        <v/>
      </c>
      <c r="J351" t="str">
        <f>IF($A351="","",IF($D351="V01",cad!$C$33,IF($D351="V02",cad!$D$33,cad!$E$33)))</f>
        <v/>
      </c>
      <c r="K351" t="str">
        <f>IF($A351="","",IF($D351="V01",cad!$C$34,IF($D351="V02",cad!$D$34,cad!$E$34)))</f>
        <v/>
      </c>
      <c r="L351" t="str">
        <f>IF($A351="","",IF($D351="V01",cad!$C$35,IF($D351="V02",cad!$D$35,cad!$E$35)))</f>
        <v/>
      </c>
      <c r="M351" t="str">
        <f>IF($A351="","",IF($D351="V01",cad!$C$36,IF($D351="V02",cad!$D$36,cad!$E$36)))</f>
        <v/>
      </c>
      <c r="N351" t="str">
        <f t="shared" si="21"/>
        <v/>
      </c>
      <c r="O351" t="str">
        <f t="shared" si="22"/>
        <v/>
      </c>
      <c r="P351" t="str">
        <f>IF($A351="","",IF($E351=1,$F351*$O351,PNL!G351))</f>
        <v/>
      </c>
      <c r="T351" t="str">
        <f t="shared" si="23"/>
        <v/>
      </c>
    </row>
    <row r="352" spans="1:20" x14ac:dyDescent="0.45">
      <c r="A352" t="str">
        <f>IF(PNL!A352="","",PNL!A352)</f>
        <v/>
      </c>
      <c r="B352" t="str">
        <f>IF(PNL!B352="","",PNL!B352)</f>
        <v/>
      </c>
      <c r="C352" t="str">
        <f>IF(PNL!C352="","",PNL!C352)</f>
        <v/>
      </c>
      <c r="D352" t="str">
        <f>IF(PNL!D352="","",PNL!D352)</f>
        <v/>
      </c>
      <c r="E352" t="str">
        <f t="shared" si="20"/>
        <v/>
      </c>
      <c r="F352" t="str">
        <f>IF($A352="","",IF($E352=1,SUMIFS(Compta!$F$1:$F$675,Compta!$A$1:$A$675,$A352,Compta!$B$1:$B$675,$B352,Compta!$C$1:$C$675,"2026"),0))</f>
        <v/>
      </c>
      <c r="G352" t="str">
        <f>IF($A352="","",IF($D352="V01",cad!$C$23,IF($D352="V02",cad!$D$23,cad!$E$23)))</f>
        <v/>
      </c>
      <c r="H352" t="str">
        <f>IF($A352="","",IF($D352="V01",cad!$C$24,IF($D352="V02",cad!$D$24,cad!$E$24)))</f>
        <v/>
      </c>
      <c r="I352" t="str">
        <f>IF($A352="","",IF($D352="V01",cad!$C$32,IF($D352="V02",cad!$D$32,cad!$E$32)))</f>
        <v/>
      </c>
      <c r="J352" t="str">
        <f>IF($A352="","",IF($D352="V01",cad!$C$33,IF($D352="V02",cad!$D$33,cad!$E$33)))</f>
        <v/>
      </c>
      <c r="K352" t="str">
        <f>IF($A352="","",IF($D352="V01",cad!$C$34,IF($D352="V02",cad!$D$34,cad!$E$34)))</f>
        <v/>
      </c>
      <c r="L352" t="str">
        <f>IF($A352="","",IF($D352="V01",cad!$C$35,IF($D352="V02",cad!$D$35,cad!$E$35)))</f>
        <v/>
      </c>
      <c r="M352" t="str">
        <f>IF($A352="","",IF($D352="V01",cad!$C$36,IF($D352="V02",cad!$D$36,cad!$E$36)))</f>
        <v/>
      </c>
      <c r="N352" t="str">
        <f t="shared" si="21"/>
        <v/>
      </c>
      <c r="O352" t="str">
        <f t="shared" si="22"/>
        <v/>
      </c>
      <c r="P352" t="str">
        <f>IF($A352="","",IF($E352=1,$F352*$O352,PNL!G352))</f>
        <v/>
      </c>
      <c r="T352" t="str">
        <f t="shared" si="23"/>
        <v/>
      </c>
    </row>
    <row r="353" spans="1:20" x14ac:dyDescent="0.45">
      <c r="A353" t="str">
        <f>IF(PNL!A353="","",PNL!A353)</f>
        <v/>
      </c>
      <c r="B353" t="str">
        <f>IF(PNL!B353="","",PNL!B353)</f>
        <v/>
      </c>
      <c r="C353" t="str">
        <f>IF(PNL!C353="","",PNL!C353)</f>
        <v/>
      </c>
      <c r="D353" t="str">
        <f>IF(PNL!D353="","",PNL!D353)</f>
        <v/>
      </c>
      <c r="E353" t="str">
        <f t="shared" si="20"/>
        <v/>
      </c>
      <c r="F353" t="str">
        <f>IF($A353="","",IF($E353=1,SUMIFS(Compta!$F$1:$F$675,Compta!$A$1:$A$675,$A353,Compta!$B$1:$B$675,$B353,Compta!$C$1:$C$675,"2026"),0))</f>
        <v/>
      </c>
      <c r="G353" t="str">
        <f>IF($A353="","",IF($D353="V01",cad!$C$23,IF($D353="V02",cad!$D$23,cad!$E$23)))</f>
        <v/>
      </c>
      <c r="H353" t="str">
        <f>IF($A353="","",IF($D353="V01",cad!$C$24,IF($D353="V02",cad!$D$24,cad!$E$24)))</f>
        <v/>
      </c>
      <c r="I353" t="str">
        <f>IF($A353="","",IF($D353="V01",cad!$C$32,IF($D353="V02",cad!$D$32,cad!$E$32)))</f>
        <v/>
      </c>
      <c r="J353" t="str">
        <f>IF($A353="","",IF($D353="V01",cad!$C$33,IF($D353="V02",cad!$D$33,cad!$E$33)))</f>
        <v/>
      </c>
      <c r="K353" t="str">
        <f>IF($A353="","",IF($D353="V01",cad!$C$34,IF($D353="V02",cad!$D$34,cad!$E$34)))</f>
        <v/>
      </c>
      <c r="L353" t="str">
        <f>IF($A353="","",IF($D353="V01",cad!$C$35,IF($D353="V02",cad!$D$35,cad!$E$35)))</f>
        <v/>
      </c>
      <c r="M353" t="str">
        <f>IF($A353="","",IF($D353="V01",cad!$C$36,IF($D353="V02",cad!$D$36,cad!$E$36)))</f>
        <v/>
      </c>
      <c r="N353" t="str">
        <f t="shared" si="21"/>
        <v/>
      </c>
      <c r="O353" t="str">
        <f t="shared" si="22"/>
        <v/>
      </c>
      <c r="P353" t="str">
        <f>IF($A353="","",IF($E353=1,$F353*$O353,PNL!G353))</f>
        <v/>
      </c>
      <c r="T353" t="str">
        <f t="shared" si="23"/>
        <v/>
      </c>
    </row>
    <row r="354" spans="1:20" x14ac:dyDescent="0.45">
      <c r="A354" t="str">
        <f>IF(PNL!A354="","",PNL!A354)</f>
        <v/>
      </c>
      <c r="B354" t="str">
        <f>IF(PNL!B354="","",PNL!B354)</f>
        <v/>
      </c>
      <c r="C354" t="str">
        <f>IF(PNL!C354="","",PNL!C354)</f>
        <v/>
      </c>
      <c r="D354" t="str">
        <f>IF(PNL!D354="","",PNL!D354)</f>
        <v/>
      </c>
      <c r="E354" t="str">
        <f t="shared" si="20"/>
        <v/>
      </c>
      <c r="F354" t="str">
        <f>IF($A354="","",IF($E354=1,SUMIFS(Compta!$F$1:$F$675,Compta!$A$1:$A$675,$A354,Compta!$B$1:$B$675,$B354,Compta!$C$1:$C$675,"2026"),0))</f>
        <v/>
      </c>
      <c r="G354" t="str">
        <f>IF($A354="","",IF($D354="V01",cad!$C$23,IF($D354="V02",cad!$D$23,cad!$E$23)))</f>
        <v/>
      </c>
      <c r="H354" t="str">
        <f>IF($A354="","",IF($D354="V01",cad!$C$24,IF($D354="V02",cad!$D$24,cad!$E$24)))</f>
        <v/>
      </c>
      <c r="I354" t="str">
        <f>IF($A354="","",IF($D354="V01",cad!$C$32,IF($D354="V02",cad!$D$32,cad!$E$32)))</f>
        <v/>
      </c>
      <c r="J354" t="str">
        <f>IF($A354="","",IF($D354="V01",cad!$C$33,IF($D354="V02",cad!$D$33,cad!$E$33)))</f>
        <v/>
      </c>
      <c r="K354" t="str">
        <f>IF($A354="","",IF($D354="V01",cad!$C$34,IF($D354="V02",cad!$D$34,cad!$E$34)))</f>
        <v/>
      </c>
      <c r="L354" t="str">
        <f>IF($A354="","",IF($D354="V01",cad!$C$35,IF($D354="V02",cad!$D$35,cad!$E$35)))</f>
        <v/>
      </c>
      <c r="M354" t="str">
        <f>IF($A354="","",IF($D354="V01",cad!$C$36,IF($D354="V02",cad!$D$36,cad!$E$36)))</f>
        <v/>
      </c>
      <c r="N354" t="str">
        <f t="shared" si="21"/>
        <v/>
      </c>
      <c r="O354" t="str">
        <f t="shared" si="22"/>
        <v/>
      </c>
      <c r="P354" t="str">
        <f>IF($A354="","",IF($E354=1,$F354*$O354,PNL!G354))</f>
        <v/>
      </c>
      <c r="T354" t="str">
        <f t="shared" si="23"/>
        <v/>
      </c>
    </row>
    <row r="355" spans="1:20" x14ac:dyDescent="0.45">
      <c r="A355" t="str">
        <f>IF(PNL!A355="","",PNL!A355)</f>
        <v/>
      </c>
      <c r="B355" t="str">
        <f>IF(PNL!B355="","",PNL!B355)</f>
        <v/>
      </c>
      <c r="C355" t="str">
        <f>IF(PNL!C355="","",PNL!C355)</f>
        <v/>
      </c>
      <c r="D355" t="str">
        <f>IF(PNL!D355="","",PNL!D355)</f>
        <v/>
      </c>
      <c r="E355" t="str">
        <f t="shared" si="20"/>
        <v/>
      </c>
      <c r="F355" t="str">
        <f>IF($A355="","",IF($E355=1,SUMIFS(Compta!$F$1:$F$675,Compta!$A$1:$A$675,$A355,Compta!$B$1:$B$675,$B355,Compta!$C$1:$C$675,"2026"),0))</f>
        <v/>
      </c>
      <c r="G355" t="str">
        <f>IF($A355="","",IF($D355="V01",cad!$C$23,IF($D355="V02",cad!$D$23,cad!$E$23)))</f>
        <v/>
      </c>
      <c r="H355" t="str">
        <f>IF($A355="","",IF($D355="V01",cad!$C$24,IF($D355="V02",cad!$D$24,cad!$E$24)))</f>
        <v/>
      </c>
      <c r="I355" t="str">
        <f>IF($A355="","",IF($D355="V01",cad!$C$32,IF($D355="V02",cad!$D$32,cad!$E$32)))</f>
        <v/>
      </c>
      <c r="J355" t="str">
        <f>IF($A355="","",IF($D355="V01",cad!$C$33,IF($D355="V02",cad!$D$33,cad!$E$33)))</f>
        <v/>
      </c>
      <c r="K355" t="str">
        <f>IF($A355="","",IF($D355="V01",cad!$C$34,IF($D355="V02",cad!$D$34,cad!$E$34)))</f>
        <v/>
      </c>
      <c r="L355" t="str">
        <f>IF($A355="","",IF($D355="V01",cad!$C$35,IF($D355="V02",cad!$D$35,cad!$E$35)))</f>
        <v/>
      </c>
      <c r="M355" t="str">
        <f>IF($A355="","",IF($D355="V01",cad!$C$36,IF($D355="V02",cad!$D$36,cad!$E$36)))</f>
        <v/>
      </c>
      <c r="N355" t="str">
        <f t="shared" si="21"/>
        <v/>
      </c>
      <c r="O355" t="str">
        <f t="shared" si="22"/>
        <v/>
      </c>
      <c r="P355" t="str">
        <f>IF($A355="","",IF($E355=1,$F355*$O355,PNL!G355))</f>
        <v/>
      </c>
      <c r="T355" t="str">
        <f t="shared" si="23"/>
        <v/>
      </c>
    </row>
    <row r="356" spans="1:20" x14ac:dyDescent="0.45">
      <c r="A356" t="str">
        <f>IF(PNL!A356="","",PNL!A356)</f>
        <v/>
      </c>
      <c r="B356" t="str">
        <f>IF(PNL!B356="","",PNL!B356)</f>
        <v/>
      </c>
      <c r="C356" t="str">
        <f>IF(PNL!C356="","",PNL!C356)</f>
        <v/>
      </c>
      <c r="D356" t="str">
        <f>IF(PNL!D356="","",PNL!D356)</f>
        <v/>
      </c>
      <c r="E356" t="str">
        <f t="shared" si="20"/>
        <v/>
      </c>
      <c r="F356" t="str">
        <f>IF($A356="","",IF($E356=1,SUMIFS(Compta!$F$1:$F$675,Compta!$A$1:$A$675,$A356,Compta!$B$1:$B$675,$B356,Compta!$C$1:$C$675,"2026"),0))</f>
        <v/>
      </c>
      <c r="G356" t="str">
        <f>IF($A356="","",IF($D356="V01",cad!$C$23,IF($D356="V02",cad!$D$23,cad!$E$23)))</f>
        <v/>
      </c>
      <c r="H356" t="str">
        <f>IF($A356="","",IF($D356="V01",cad!$C$24,IF($D356="V02",cad!$D$24,cad!$E$24)))</f>
        <v/>
      </c>
      <c r="I356" t="str">
        <f>IF($A356="","",IF($D356="V01",cad!$C$32,IF($D356="V02",cad!$D$32,cad!$E$32)))</f>
        <v/>
      </c>
      <c r="J356" t="str">
        <f>IF($A356="","",IF($D356="V01",cad!$C$33,IF($D356="V02",cad!$D$33,cad!$E$33)))</f>
        <v/>
      </c>
      <c r="K356" t="str">
        <f>IF($A356="","",IF($D356="V01",cad!$C$34,IF($D356="V02",cad!$D$34,cad!$E$34)))</f>
        <v/>
      </c>
      <c r="L356" t="str">
        <f>IF($A356="","",IF($D356="V01",cad!$C$35,IF($D356="V02",cad!$D$35,cad!$E$35)))</f>
        <v/>
      </c>
      <c r="M356" t="str">
        <f>IF($A356="","",IF($D356="V01",cad!$C$36,IF($D356="V02",cad!$D$36,cad!$E$36)))</f>
        <v/>
      </c>
      <c r="N356" t="str">
        <f t="shared" si="21"/>
        <v/>
      </c>
      <c r="O356" t="str">
        <f t="shared" si="22"/>
        <v/>
      </c>
      <c r="P356" t="str">
        <f>IF($A356="","",IF($E356=1,$F356*$O356,PNL!G356))</f>
        <v/>
      </c>
      <c r="T356" t="str">
        <f t="shared" si="23"/>
        <v/>
      </c>
    </row>
    <row r="357" spans="1:20" x14ac:dyDescent="0.45">
      <c r="A357" t="str">
        <f>IF(PNL!A357="","",PNL!A357)</f>
        <v/>
      </c>
      <c r="B357" t="str">
        <f>IF(PNL!B357="","",PNL!B357)</f>
        <v/>
      </c>
      <c r="C357" t="str">
        <f>IF(PNL!C357="","",PNL!C357)</f>
        <v/>
      </c>
      <c r="D357" t="str">
        <f>IF(PNL!D357="","",PNL!D357)</f>
        <v/>
      </c>
      <c r="E357" t="str">
        <f t="shared" si="20"/>
        <v/>
      </c>
      <c r="F357" t="str">
        <f>IF($A357="","",IF($E357=1,SUMIFS(Compta!$F$1:$F$675,Compta!$A$1:$A$675,$A357,Compta!$B$1:$B$675,$B357,Compta!$C$1:$C$675,"2026"),0))</f>
        <v/>
      </c>
      <c r="G357" t="str">
        <f>IF($A357="","",IF($D357="V01",cad!$C$23,IF($D357="V02",cad!$D$23,cad!$E$23)))</f>
        <v/>
      </c>
      <c r="H357" t="str">
        <f>IF($A357="","",IF($D357="V01",cad!$C$24,IF($D357="V02",cad!$D$24,cad!$E$24)))</f>
        <v/>
      </c>
      <c r="I357" t="str">
        <f>IF($A357="","",IF($D357="V01",cad!$C$32,IF($D357="V02",cad!$D$32,cad!$E$32)))</f>
        <v/>
      </c>
      <c r="J357" t="str">
        <f>IF($A357="","",IF($D357="V01",cad!$C$33,IF($D357="V02",cad!$D$33,cad!$E$33)))</f>
        <v/>
      </c>
      <c r="K357" t="str">
        <f>IF($A357="","",IF($D357="V01",cad!$C$34,IF($D357="V02",cad!$D$34,cad!$E$34)))</f>
        <v/>
      </c>
      <c r="L357" t="str">
        <f>IF($A357="","",IF($D357="V01",cad!$C$35,IF($D357="V02",cad!$D$35,cad!$E$35)))</f>
        <v/>
      </c>
      <c r="M357" t="str">
        <f>IF($A357="","",IF($D357="V01",cad!$C$36,IF($D357="V02",cad!$D$36,cad!$E$36)))</f>
        <v/>
      </c>
      <c r="N357" t="str">
        <f t="shared" si="21"/>
        <v/>
      </c>
      <c r="O357" t="str">
        <f t="shared" si="22"/>
        <v/>
      </c>
      <c r="P357" t="str">
        <f>IF($A357="","",IF($E357=1,$F357*$O357,PNL!G357))</f>
        <v/>
      </c>
      <c r="T357" t="str">
        <f t="shared" si="23"/>
        <v/>
      </c>
    </row>
    <row r="358" spans="1:20" x14ac:dyDescent="0.45">
      <c r="A358" t="str">
        <f>IF(PNL!A358="","",PNL!A358)</f>
        <v/>
      </c>
      <c r="B358" t="str">
        <f>IF(PNL!B358="","",PNL!B358)</f>
        <v/>
      </c>
      <c r="C358" t="str">
        <f>IF(PNL!C358="","",PNL!C358)</f>
        <v/>
      </c>
      <c r="D358" t="str">
        <f>IF(PNL!D358="","",PNL!D358)</f>
        <v/>
      </c>
      <c r="E358" t="str">
        <f t="shared" si="20"/>
        <v/>
      </c>
      <c r="F358" t="str">
        <f>IF($A358="","",IF($E358=1,SUMIFS(Compta!$F$1:$F$675,Compta!$A$1:$A$675,$A358,Compta!$B$1:$B$675,$B358,Compta!$C$1:$C$675,"2026"),0))</f>
        <v/>
      </c>
      <c r="G358" t="str">
        <f>IF($A358="","",IF($D358="V01",cad!$C$23,IF($D358="V02",cad!$D$23,cad!$E$23)))</f>
        <v/>
      </c>
      <c r="H358" t="str">
        <f>IF($A358="","",IF($D358="V01",cad!$C$24,IF($D358="V02",cad!$D$24,cad!$E$24)))</f>
        <v/>
      </c>
      <c r="I358" t="str">
        <f>IF($A358="","",IF($D358="V01",cad!$C$32,IF($D358="V02",cad!$D$32,cad!$E$32)))</f>
        <v/>
      </c>
      <c r="J358" t="str">
        <f>IF($A358="","",IF($D358="V01",cad!$C$33,IF($D358="V02",cad!$D$33,cad!$E$33)))</f>
        <v/>
      </c>
      <c r="K358" t="str">
        <f>IF($A358="","",IF($D358="V01",cad!$C$34,IF($D358="V02",cad!$D$34,cad!$E$34)))</f>
        <v/>
      </c>
      <c r="L358" t="str">
        <f>IF($A358="","",IF($D358="V01",cad!$C$35,IF($D358="V02",cad!$D$35,cad!$E$35)))</f>
        <v/>
      </c>
      <c r="M358" t="str">
        <f>IF($A358="","",IF($D358="V01",cad!$C$36,IF($D358="V02",cad!$D$36,cad!$E$36)))</f>
        <v/>
      </c>
      <c r="N358" t="str">
        <f t="shared" si="21"/>
        <v/>
      </c>
      <c r="O358" t="str">
        <f t="shared" si="22"/>
        <v/>
      </c>
      <c r="P358" t="str">
        <f>IF($A358="","",IF($E358=1,$F358*$O358,PNL!G358))</f>
        <v/>
      </c>
      <c r="T358" t="str">
        <f t="shared" si="23"/>
        <v/>
      </c>
    </row>
    <row r="359" spans="1:20" x14ac:dyDescent="0.45">
      <c r="A359" t="str">
        <f>IF(PNL!A359="","",PNL!A359)</f>
        <v/>
      </c>
      <c r="B359" t="str">
        <f>IF(PNL!B359="","",PNL!B359)</f>
        <v/>
      </c>
      <c r="C359" t="str">
        <f>IF(PNL!C359="","",PNL!C359)</f>
        <v/>
      </c>
      <c r="D359" t="str">
        <f>IF(PNL!D359="","",PNL!D359)</f>
        <v/>
      </c>
      <c r="E359" t="str">
        <f t="shared" si="20"/>
        <v/>
      </c>
      <c r="F359" t="str">
        <f>IF($A359="","",IF($E359=1,SUMIFS(Compta!$F$1:$F$675,Compta!$A$1:$A$675,$A359,Compta!$B$1:$B$675,$B359,Compta!$C$1:$C$675,"2026"),0))</f>
        <v/>
      </c>
      <c r="G359" t="str">
        <f>IF($A359="","",IF($D359="V01",cad!$C$23,IF($D359="V02",cad!$D$23,cad!$E$23)))</f>
        <v/>
      </c>
      <c r="H359" t="str">
        <f>IF($A359="","",IF($D359="V01",cad!$C$24,IF($D359="V02",cad!$D$24,cad!$E$24)))</f>
        <v/>
      </c>
      <c r="I359" t="str">
        <f>IF($A359="","",IF($D359="V01",cad!$C$32,IF($D359="V02",cad!$D$32,cad!$E$32)))</f>
        <v/>
      </c>
      <c r="J359" t="str">
        <f>IF($A359="","",IF($D359="V01",cad!$C$33,IF($D359="V02",cad!$D$33,cad!$E$33)))</f>
        <v/>
      </c>
      <c r="K359" t="str">
        <f>IF($A359="","",IF($D359="V01",cad!$C$34,IF($D359="V02",cad!$D$34,cad!$E$34)))</f>
        <v/>
      </c>
      <c r="L359" t="str">
        <f>IF($A359="","",IF($D359="V01",cad!$C$35,IF($D359="V02",cad!$D$35,cad!$E$35)))</f>
        <v/>
      </c>
      <c r="M359" t="str">
        <f>IF($A359="","",IF($D359="V01",cad!$C$36,IF($D359="V02",cad!$D$36,cad!$E$36)))</f>
        <v/>
      </c>
      <c r="N359" t="str">
        <f t="shared" si="21"/>
        <v/>
      </c>
      <c r="O359" t="str">
        <f t="shared" si="22"/>
        <v/>
      </c>
      <c r="P359" t="str">
        <f>IF($A359="","",IF($E359=1,$F359*$O359,PNL!G359))</f>
        <v/>
      </c>
      <c r="T359" t="str">
        <f t="shared" si="23"/>
        <v/>
      </c>
    </row>
    <row r="360" spans="1:20" x14ac:dyDescent="0.45">
      <c r="A360" t="str">
        <f>IF(PNL!A360="","",PNL!A360)</f>
        <v/>
      </c>
      <c r="B360" t="str">
        <f>IF(PNL!B360="","",PNL!B360)</f>
        <v/>
      </c>
      <c r="C360" t="str">
        <f>IF(PNL!C360="","",PNL!C360)</f>
        <v/>
      </c>
      <c r="D360" t="str">
        <f>IF(PNL!D360="","",PNL!D360)</f>
        <v/>
      </c>
      <c r="E360" t="str">
        <f t="shared" si="20"/>
        <v/>
      </c>
      <c r="F360" t="str">
        <f>IF($A360="","",IF($E360=1,SUMIFS(Compta!$F$1:$F$675,Compta!$A$1:$A$675,$A360,Compta!$B$1:$B$675,$B360,Compta!$C$1:$C$675,"2026"),0))</f>
        <v/>
      </c>
      <c r="G360" t="str">
        <f>IF($A360="","",IF($D360="V01",cad!$C$23,IF($D360="V02",cad!$D$23,cad!$E$23)))</f>
        <v/>
      </c>
      <c r="H360" t="str">
        <f>IF($A360="","",IF($D360="V01",cad!$C$24,IF($D360="V02",cad!$D$24,cad!$E$24)))</f>
        <v/>
      </c>
      <c r="I360" t="str">
        <f>IF($A360="","",IF($D360="V01",cad!$C$32,IF($D360="V02",cad!$D$32,cad!$E$32)))</f>
        <v/>
      </c>
      <c r="J360" t="str">
        <f>IF($A360="","",IF($D360="V01",cad!$C$33,IF($D360="V02",cad!$D$33,cad!$E$33)))</f>
        <v/>
      </c>
      <c r="K360" t="str">
        <f>IF($A360="","",IF($D360="V01",cad!$C$34,IF($D360="V02",cad!$D$34,cad!$E$34)))</f>
        <v/>
      </c>
      <c r="L360" t="str">
        <f>IF($A360="","",IF($D360="V01",cad!$C$35,IF($D360="V02",cad!$D$35,cad!$E$35)))</f>
        <v/>
      </c>
      <c r="M360" t="str">
        <f>IF($A360="","",IF($D360="V01",cad!$C$36,IF($D360="V02",cad!$D$36,cad!$E$36)))</f>
        <v/>
      </c>
      <c r="N360" t="str">
        <f t="shared" si="21"/>
        <v/>
      </c>
      <c r="O360" t="str">
        <f t="shared" si="22"/>
        <v/>
      </c>
      <c r="P360" t="str">
        <f>IF($A360="","",IF($E360=1,$F360*$O360,PNL!G360))</f>
        <v/>
      </c>
      <c r="T360" t="str">
        <f t="shared" si="23"/>
        <v/>
      </c>
    </row>
    <row r="361" spans="1:20" x14ac:dyDescent="0.45">
      <c r="A361" t="str">
        <f>IF(PNL!A361="","",PNL!A361)</f>
        <v/>
      </c>
      <c r="B361" t="str">
        <f>IF(PNL!B361="","",PNL!B361)</f>
        <v/>
      </c>
      <c r="C361" t="str">
        <f>IF(PNL!C361="","",PNL!C361)</f>
        <v/>
      </c>
      <c r="D361" t="str">
        <f>IF(PNL!D361="","",PNL!D361)</f>
        <v/>
      </c>
      <c r="E361" t="str">
        <f t="shared" si="20"/>
        <v/>
      </c>
      <c r="F361" t="str">
        <f>IF($A361="","",IF($E361=1,SUMIFS(Compta!$F$1:$F$675,Compta!$A$1:$A$675,$A361,Compta!$B$1:$B$675,$B361,Compta!$C$1:$C$675,"2026"),0))</f>
        <v/>
      </c>
      <c r="G361" t="str">
        <f>IF($A361="","",IF($D361="V01",cad!$C$23,IF($D361="V02",cad!$D$23,cad!$E$23)))</f>
        <v/>
      </c>
      <c r="H361" t="str">
        <f>IF($A361="","",IF($D361="V01",cad!$C$24,IF($D361="V02",cad!$D$24,cad!$E$24)))</f>
        <v/>
      </c>
      <c r="I361" t="str">
        <f>IF($A361="","",IF($D361="V01",cad!$C$32,IF($D361="V02",cad!$D$32,cad!$E$32)))</f>
        <v/>
      </c>
      <c r="J361" t="str">
        <f>IF($A361="","",IF($D361="V01",cad!$C$33,IF($D361="V02",cad!$D$33,cad!$E$33)))</f>
        <v/>
      </c>
      <c r="K361" t="str">
        <f>IF($A361="","",IF($D361="V01",cad!$C$34,IF($D361="V02",cad!$D$34,cad!$E$34)))</f>
        <v/>
      </c>
      <c r="L361" t="str">
        <f>IF($A361="","",IF($D361="V01",cad!$C$35,IF($D361="V02",cad!$D$35,cad!$E$35)))</f>
        <v/>
      </c>
      <c r="M361" t="str">
        <f>IF($A361="","",IF($D361="V01",cad!$C$36,IF($D361="V02",cad!$D$36,cad!$E$36)))</f>
        <v/>
      </c>
      <c r="N361" t="str">
        <f t="shared" si="21"/>
        <v/>
      </c>
      <c r="O361" t="str">
        <f t="shared" si="22"/>
        <v/>
      </c>
      <c r="P361" t="str">
        <f>IF($A361="","",IF($E361=1,$F361*$O361,PNL!G361))</f>
        <v/>
      </c>
      <c r="T361" t="str">
        <f t="shared" si="23"/>
        <v/>
      </c>
    </row>
    <row r="362" spans="1:20" x14ac:dyDescent="0.45">
      <c r="A362" t="str">
        <f>IF(PNL!A362="","",PNL!A362)</f>
        <v/>
      </c>
      <c r="B362" t="str">
        <f>IF(PNL!B362="","",PNL!B362)</f>
        <v/>
      </c>
      <c r="C362" t="str">
        <f>IF(PNL!C362="","",PNL!C362)</f>
        <v/>
      </c>
      <c r="D362" t="str">
        <f>IF(PNL!D362="","",PNL!D362)</f>
        <v/>
      </c>
      <c r="E362" t="str">
        <f t="shared" si="20"/>
        <v/>
      </c>
      <c r="F362" t="str">
        <f>IF($A362="","",IF($E362=1,SUMIFS(Compta!$F$1:$F$675,Compta!$A$1:$A$675,$A362,Compta!$B$1:$B$675,$B362,Compta!$C$1:$C$675,"2026"),0))</f>
        <v/>
      </c>
      <c r="G362" t="str">
        <f>IF($A362="","",IF($D362="V01",cad!$C$23,IF($D362="V02",cad!$D$23,cad!$E$23)))</f>
        <v/>
      </c>
      <c r="H362" t="str">
        <f>IF($A362="","",IF($D362="V01",cad!$C$24,IF($D362="V02",cad!$D$24,cad!$E$24)))</f>
        <v/>
      </c>
      <c r="I362" t="str">
        <f>IF($A362="","",IF($D362="V01",cad!$C$32,IF($D362="V02",cad!$D$32,cad!$E$32)))</f>
        <v/>
      </c>
      <c r="J362" t="str">
        <f>IF($A362="","",IF($D362="V01",cad!$C$33,IF($D362="V02",cad!$D$33,cad!$E$33)))</f>
        <v/>
      </c>
      <c r="K362" t="str">
        <f>IF($A362="","",IF($D362="V01",cad!$C$34,IF($D362="V02",cad!$D$34,cad!$E$34)))</f>
        <v/>
      </c>
      <c r="L362" t="str">
        <f>IF($A362="","",IF($D362="V01",cad!$C$35,IF($D362="V02",cad!$D$35,cad!$E$35)))</f>
        <v/>
      </c>
      <c r="M362" t="str">
        <f>IF($A362="","",IF($D362="V01",cad!$C$36,IF($D362="V02",cad!$D$36,cad!$E$36)))</f>
        <v/>
      </c>
      <c r="N362" t="str">
        <f t="shared" si="21"/>
        <v/>
      </c>
      <c r="O362" t="str">
        <f t="shared" si="22"/>
        <v/>
      </c>
      <c r="P362" t="str">
        <f>IF($A362="","",IF($E362=1,$F362*$O362,PNL!G362))</f>
        <v/>
      </c>
      <c r="T362" t="str">
        <f t="shared" si="23"/>
        <v/>
      </c>
    </row>
    <row r="363" spans="1:20" x14ac:dyDescent="0.45">
      <c r="A363" t="str">
        <f>IF(PNL!A363="","",PNL!A363)</f>
        <v/>
      </c>
      <c r="B363" t="str">
        <f>IF(PNL!B363="","",PNL!B363)</f>
        <v/>
      </c>
      <c r="C363" t="str">
        <f>IF(PNL!C363="","",PNL!C363)</f>
        <v/>
      </c>
      <c r="D363" t="str">
        <f>IF(PNL!D363="","",PNL!D363)</f>
        <v/>
      </c>
      <c r="E363" t="str">
        <f t="shared" si="20"/>
        <v/>
      </c>
      <c r="F363" t="str">
        <f>IF($A363="","",IF($E363=1,SUMIFS(Compta!$F$1:$F$675,Compta!$A$1:$A$675,$A363,Compta!$B$1:$B$675,$B363,Compta!$C$1:$C$675,"2026"),0))</f>
        <v/>
      </c>
      <c r="G363" t="str">
        <f>IF($A363="","",IF($D363="V01",cad!$C$23,IF($D363="V02",cad!$D$23,cad!$E$23)))</f>
        <v/>
      </c>
      <c r="H363" t="str">
        <f>IF($A363="","",IF($D363="V01",cad!$C$24,IF($D363="V02",cad!$D$24,cad!$E$24)))</f>
        <v/>
      </c>
      <c r="I363" t="str">
        <f>IF($A363="","",IF($D363="V01",cad!$C$32,IF($D363="V02",cad!$D$32,cad!$E$32)))</f>
        <v/>
      </c>
      <c r="J363" t="str">
        <f>IF($A363="","",IF($D363="V01",cad!$C$33,IF($D363="V02",cad!$D$33,cad!$E$33)))</f>
        <v/>
      </c>
      <c r="K363" t="str">
        <f>IF($A363="","",IF($D363="V01",cad!$C$34,IF($D363="V02",cad!$D$34,cad!$E$34)))</f>
        <v/>
      </c>
      <c r="L363" t="str">
        <f>IF($A363="","",IF($D363="V01",cad!$C$35,IF($D363="V02",cad!$D$35,cad!$E$35)))</f>
        <v/>
      </c>
      <c r="M363" t="str">
        <f>IF($A363="","",IF($D363="V01",cad!$C$36,IF($D363="V02",cad!$D$36,cad!$E$36)))</f>
        <v/>
      </c>
      <c r="N363" t="str">
        <f t="shared" si="21"/>
        <v/>
      </c>
      <c r="O363" t="str">
        <f t="shared" si="22"/>
        <v/>
      </c>
      <c r="P363" t="str">
        <f>IF($A363="","",IF($E363=1,$F363*$O363,PNL!G363))</f>
        <v/>
      </c>
      <c r="T363" t="str">
        <f t="shared" si="23"/>
        <v/>
      </c>
    </row>
    <row r="364" spans="1:20" x14ac:dyDescent="0.45">
      <c r="A364" t="str">
        <f>IF(PNL!A364="","",PNL!A364)</f>
        <v/>
      </c>
      <c r="B364" t="str">
        <f>IF(PNL!B364="","",PNL!B364)</f>
        <v/>
      </c>
      <c r="C364" t="str">
        <f>IF(PNL!C364="","",PNL!C364)</f>
        <v/>
      </c>
      <c r="D364" t="str">
        <f>IF(PNL!D364="","",PNL!D364)</f>
        <v/>
      </c>
      <c r="E364" t="str">
        <f t="shared" si="20"/>
        <v/>
      </c>
      <c r="F364" t="str">
        <f>IF($A364="","",IF($E364=1,SUMIFS(Compta!$F$1:$F$675,Compta!$A$1:$A$675,$A364,Compta!$B$1:$B$675,$B364,Compta!$C$1:$C$675,"2026"),0))</f>
        <v/>
      </c>
      <c r="G364" t="str">
        <f>IF($A364="","",IF($D364="V01",cad!$C$23,IF($D364="V02",cad!$D$23,cad!$E$23)))</f>
        <v/>
      </c>
      <c r="H364" t="str">
        <f>IF($A364="","",IF($D364="V01",cad!$C$24,IF($D364="V02",cad!$D$24,cad!$E$24)))</f>
        <v/>
      </c>
      <c r="I364" t="str">
        <f>IF($A364="","",IF($D364="V01",cad!$C$32,IF($D364="V02",cad!$D$32,cad!$E$32)))</f>
        <v/>
      </c>
      <c r="J364" t="str">
        <f>IF($A364="","",IF($D364="V01",cad!$C$33,IF($D364="V02",cad!$D$33,cad!$E$33)))</f>
        <v/>
      </c>
      <c r="K364" t="str">
        <f>IF($A364="","",IF($D364="V01",cad!$C$34,IF($D364="V02",cad!$D$34,cad!$E$34)))</f>
        <v/>
      </c>
      <c r="L364" t="str">
        <f>IF($A364="","",IF($D364="V01",cad!$C$35,IF($D364="V02",cad!$D$35,cad!$E$35)))</f>
        <v/>
      </c>
      <c r="M364" t="str">
        <f>IF($A364="","",IF($D364="V01",cad!$C$36,IF($D364="V02",cad!$D$36,cad!$E$36)))</f>
        <v/>
      </c>
      <c r="N364" t="str">
        <f t="shared" si="21"/>
        <v/>
      </c>
      <c r="O364" t="str">
        <f t="shared" si="22"/>
        <v/>
      </c>
      <c r="P364" t="str">
        <f>IF($A364="","",IF($E364=1,$F364*$O364,PNL!G364))</f>
        <v/>
      </c>
      <c r="T364" t="str">
        <f t="shared" si="23"/>
        <v/>
      </c>
    </row>
    <row r="365" spans="1:20" x14ac:dyDescent="0.45">
      <c r="A365" t="str">
        <f>IF(PNL!A365="","",PNL!A365)</f>
        <v/>
      </c>
      <c r="B365" t="str">
        <f>IF(PNL!B365="","",PNL!B365)</f>
        <v/>
      </c>
      <c r="C365" t="str">
        <f>IF(PNL!C365="","",PNL!C365)</f>
        <v/>
      </c>
      <c r="D365" t="str">
        <f>IF(PNL!D365="","",PNL!D365)</f>
        <v/>
      </c>
      <c r="E365" t="str">
        <f t="shared" si="20"/>
        <v/>
      </c>
      <c r="F365" t="str">
        <f>IF($A365="","",IF($E365=1,SUMIFS(Compta!$F$1:$F$675,Compta!$A$1:$A$675,$A365,Compta!$B$1:$B$675,$B365,Compta!$C$1:$C$675,"2026"),0))</f>
        <v/>
      </c>
      <c r="G365" t="str">
        <f>IF($A365="","",IF($D365="V01",cad!$C$23,IF($D365="V02",cad!$D$23,cad!$E$23)))</f>
        <v/>
      </c>
      <c r="H365" t="str">
        <f>IF($A365="","",IF($D365="V01",cad!$C$24,IF($D365="V02",cad!$D$24,cad!$E$24)))</f>
        <v/>
      </c>
      <c r="I365" t="str">
        <f>IF($A365="","",IF($D365="V01",cad!$C$32,IF($D365="V02",cad!$D$32,cad!$E$32)))</f>
        <v/>
      </c>
      <c r="J365" t="str">
        <f>IF($A365="","",IF($D365="V01",cad!$C$33,IF($D365="V02",cad!$D$33,cad!$E$33)))</f>
        <v/>
      </c>
      <c r="K365" t="str">
        <f>IF($A365="","",IF($D365="V01",cad!$C$34,IF($D365="V02",cad!$D$34,cad!$E$34)))</f>
        <v/>
      </c>
      <c r="L365" t="str">
        <f>IF($A365="","",IF($D365="V01",cad!$C$35,IF($D365="V02",cad!$D$35,cad!$E$35)))</f>
        <v/>
      </c>
      <c r="M365" t="str">
        <f>IF($A365="","",IF($D365="V01",cad!$C$36,IF($D365="V02",cad!$D$36,cad!$E$36)))</f>
        <v/>
      </c>
      <c r="N365" t="str">
        <f t="shared" si="21"/>
        <v/>
      </c>
      <c r="O365" t="str">
        <f t="shared" si="22"/>
        <v/>
      </c>
      <c r="P365" t="str">
        <f>IF($A365="","",IF($E365=1,$F365*$O365,PNL!G365))</f>
        <v/>
      </c>
      <c r="T365" t="str">
        <f t="shared" si="23"/>
        <v/>
      </c>
    </row>
    <row r="366" spans="1:20" x14ac:dyDescent="0.45">
      <c r="A366" t="str">
        <f>IF(PNL!A366="","",PNL!A366)</f>
        <v/>
      </c>
      <c r="B366" t="str">
        <f>IF(PNL!B366="","",PNL!B366)</f>
        <v/>
      </c>
      <c r="C366" t="str">
        <f>IF(PNL!C366="","",PNL!C366)</f>
        <v/>
      </c>
      <c r="D366" t="str">
        <f>IF(PNL!D366="","",PNL!D366)</f>
        <v/>
      </c>
      <c r="E366" t="str">
        <f t="shared" si="20"/>
        <v/>
      </c>
      <c r="F366" t="str">
        <f>IF($A366="","",IF($E366=1,SUMIFS(Compta!$F$1:$F$675,Compta!$A$1:$A$675,$A366,Compta!$B$1:$B$675,$B366,Compta!$C$1:$C$675,"2026"),0))</f>
        <v/>
      </c>
      <c r="G366" t="str">
        <f>IF($A366="","",IF($D366="V01",cad!$C$23,IF($D366="V02",cad!$D$23,cad!$E$23)))</f>
        <v/>
      </c>
      <c r="H366" t="str">
        <f>IF($A366="","",IF($D366="V01",cad!$C$24,IF($D366="V02",cad!$D$24,cad!$E$24)))</f>
        <v/>
      </c>
      <c r="I366" t="str">
        <f>IF($A366="","",IF($D366="V01",cad!$C$32,IF($D366="V02",cad!$D$32,cad!$E$32)))</f>
        <v/>
      </c>
      <c r="J366" t="str">
        <f>IF($A366="","",IF($D366="V01",cad!$C$33,IF($D366="V02",cad!$D$33,cad!$E$33)))</f>
        <v/>
      </c>
      <c r="K366" t="str">
        <f>IF($A366="","",IF($D366="V01",cad!$C$34,IF($D366="V02",cad!$D$34,cad!$E$34)))</f>
        <v/>
      </c>
      <c r="L366" t="str">
        <f>IF($A366="","",IF($D366="V01",cad!$C$35,IF($D366="V02",cad!$D$35,cad!$E$35)))</f>
        <v/>
      </c>
      <c r="M366" t="str">
        <f>IF($A366="","",IF($D366="V01",cad!$C$36,IF($D366="V02",cad!$D$36,cad!$E$36)))</f>
        <v/>
      </c>
      <c r="N366" t="str">
        <f t="shared" si="21"/>
        <v/>
      </c>
      <c r="O366" t="str">
        <f t="shared" si="22"/>
        <v/>
      </c>
      <c r="P366" t="str">
        <f>IF($A366="","",IF($E366=1,$F366*$O366,PNL!G366))</f>
        <v/>
      </c>
      <c r="T366" t="str">
        <f t="shared" si="23"/>
        <v/>
      </c>
    </row>
    <row r="367" spans="1:20" x14ac:dyDescent="0.45">
      <c r="A367" t="str">
        <f>IF(PNL!A367="","",PNL!A367)</f>
        <v/>
      </c>
      <c r="B367" t="str">
        <f>IF(PNL!B367="","",PNL!B367)</f>
        <v/>
      </c>
      <c r="C367" t="str">
        <f>IF(PNL!C367="","",PNL!C367)</f>
        <v/>
      </c>
      <c r="D367" t="str">
        <f>IF(PNL!D367="","",PNL!D367)</f>
        <v/>
      </c>
      <c r="E367" t="str">
        <f t="shared" si="20"/>
        <v/>
      </c>
      <c r="F367" t="str">
        <f>IF($A367="","",IF($E367=1,SUMIFS(Compta!$F$1:$F$675,Compta!$A$1:$A$675,$A367,Compta!$B$1:$B$675,$B367,Compta!$C$1:$C$675,"2026"),0))</f>
        <v/>
      </c>
      <c r="G367" t="str">
        <f>IF($A367="","",IF($D367="V01",cad!$C$23,IF($D367="V02",cad!$D$23,cad!$E$23)))</f>
        <v/>
      </c>
      <c r="H367" t="str">
        <f>IF($A367="","",IF($D367="V01",cad!$C$24,IF($D367="V02",cad!$D$24,cad!$E$24)))</f>
        <v/>
      </c>
      <c r="I367" t="str">
        <f>IF($A367="","",IF($D367="V01",cad!$C$32,IF($D367="V02",cad!$D$32,cad!$E$32)))</f>
        <v/>
      </c>
      <c r="J367" t="str">
        <f>IF($A367="","",IF($D367="V01",cad!$C$33,IF($D367="V02",cad!$D$33,cad!$E$33)))</f>
        <v/>
      </c>
      <c r="K367" t="str">
        <f>IF($A367="","",IF($D367="V01",cad!$C$34,IF($D367="V02",cad!$D$34,cad!$E$34)))</f>
        <v/>
      </c>
      <c r="L367" t="str">
        <f>IF($A367="","",IF($D367="V01",cad!$C$35,IF($D367="V02",cad!$D$35,cad!$E$35)))</f>
        <v/>
      </c>
      <c r="M367" t="str">
        <f>IF($A367="","",IF($D367="V01",cad!$C$36,IF($D367="V02",cad!$D$36,cad!$E$36)))</f>
        <v/>
      </c>
      <c r="N367" t="str">
        <f t="shared" si="21"/>
        <v/>
      </c>
      <c r="O367" t="str">
        <f t="shared" si="22"/>
        <v/>
      </c>
      <c r="P367" t="str">
        <f>IF($A367="","",IF($E367=1,$F367*$O367,PNL!G367))</f>
        <v/>
      </c>
      <c r="T367" t="str">
        <f t="shared" si="23"/>
        <v/>
      </c>
    </row>
    <row r="368" spans="1:20" x14ac:dyDescent="0.45">
      <c r="A368" t="str">
        <f>IF(PNL!A368="","",PNL!A368)</f>
        <v/>
      </c>
      <c r="B368" t="str">
        <f>IF(PNL!B368="","",PNL!B368)</f>
        <v/>
      </c>
      <c r="C368" t="str">
        <f>IF(PNL!C368="","",PNL!C368)</f>
        <v/>
      </c>
      <c r="D368" t="str">
        <f>IF(PNL!D368="","",PNL!D368)</f>
        <v/>
      </c>
      <c r="E368" t="str">
        <f t="shared" si="20"/>
        <v/>
      </c>
      <c r="F368" t="str">
        <f>IF($A368="","",IF($E368=1,SUMIFS(Compta!$F$1:$F$675,Compta!$A$1:$A$675,$A368,Compta!$B$1:$B$675,$B368,Compta!$C$1:$C$675,"2026"),0))</f>
        <v/>
      </c>
      <c r="G368" t="str">
        <f>IF($A368="","",IF($D368="V01",cad!$C$23,IF($D368="V02",cad!$D$23,cad!$E$23)))</f>
        <v/>
      </c>
      <c r="H368" t="str">
        <f>IF($A368="","",IF($D368="V01",cad!$C$24,IF($D368="V02",cad!$D$24,cad!$E$24)))</f>
        <v/>
      </c>
      <c r="I368" t="str">
        <f>IF($A368="","",IF($D368="V01",cad!$C$32,IF($D368="V02",cad!$D$32,cad!$E$32)))</f>
        <v/>
      </c>
      <c r="J368" t="str">
        <f>IF($A368="","",IF($D368="V01",cad!$C$33,IF($D368="V02",cad!$D$33,cad!$E$33)))</f>
        <v/>
      </c>
      <c r="K368" t="str">
        <f>IF($A368="","",IF($D368="V01",cad!$C$34,IF($D368="V02",cad!$D$34,cad!$E$34)))</f>
        <v/>
      </c>
      <c r="L368" t="str">
        <f>IF($A368="","",IF($D368="V01",cad!$C$35,IF($D368="V02",cad!$D$35,cad!$E$35)))</f>
        <v/>
      </c>
      <c r="M368" t="str">
        <f>IF($A368="","",IF($D368="V01",cad!$C$36,IF($D368="V02",cad!$D$36,cad!$E$36)))</f>
        <v/>
      </c>
      <c r="N368" t="str">
        <f t="shared" si="21"/>
        <v/>
      </c>
      <c r="O368" t="str">
        <f t="shared" si="22"/>
        <v/>
      </c>
      <c r="P368" t="str">
        <f>IF($A368="","",IF($E368=1,$F368*$O368,PNL!G368))</f>
        <v/>
      </c>
      <c r="T368" t="str">
        <f t="shared" si="23"/>
        <v/>
      </c>
    </row>
    <row r="369" spans="1:20" x14ac:dyDescent="0.45">
      <c r="A369" t="str">
        <f>IF(PNL!A369="","",PNL!A369)</f>
        <v/>
      </c>
      <c r="B369" t="str">
        <f>IF(PNL!B369="","",PNL!B369)</f>
        <v/>
      </c>
      <c r="C369" t="str">
        <f>IF(PNL!C369="","",PNL!C369)</f>
        <v/>
      </c>
      <c r="D369" t="str">
        <f>IF(PNL!D369="","",PNL!D369)</f>
        <v/>
      </c>
      <c r="E369" t="str">
        <f t="shared" si="20"/>
        <v/>
      </c>
      <c r="F369" t="str">
        <f>IF($A369="","",IF($E369=1,SUMIFS(Compta!$F$1:$F$675,Compta!$A$1:$A$675,$A369,Compta!$B$1:$B$675,$B369,Compta!$C$1:$C$675,"2026"),0))</f>
        <v/>
      </c>
      <c r="G369" t="str">
        <f>IF($A369="","",IF($D369="V01",cad!$C$23,IF($D369="V02",cad!$D$23,cad!$E$23)))</f>
        <v/>
      </c>
      <c r="H369" t="str">
        <f>IF($A369="","",IF($D369="V01",cad!$C$24,IF($D369="V02",cad!$D$24,cad!$E$24)))</f>
        <v/>
      </c>
      <c r="I369" t="str">
        <f>IF($A369="","",IF($D369="V01",cad!$C$32,IF($D369="V02",cad!$D$32,cad!$E$32)))</f>
        <v/>
      </c>
      <c r="J369" t="str">
        <f>IF($A369="","",IF($D369="V01",cad!$C$33,IF($D369="V02",cad!$D$33,cad!$E$33)))</f>
        <v/>
      </c>
      <c r="K369" t="str">
        <f>IF($A369="","",IF($D369="V01",cad!$C$34,IF($D369="V02",cad!$D$34,cad!$E$34)))</f>
        <v/>
      </c>
      <c r="L369" t="str">
        <f>IF($A369="","",IF($D369="V01",cad!$C$35,IF($D369="V02",cad!$D$35,cad!$E$35)))</f>
        <v/>
      </c>
      <c r="M369" t="str">
        <f>IF($A369="","",IF($D369="V01",cad!$C$36,IF($D369="V02",cad!$D$36,cad!$E$36)))</f>
        <v/>
      </c>
      <c r="N369" t="str">
        <f t="shared" si="21"/>
        <v/>
      </c>
      <c r="O369" t="str">
        <f t="shared" si="22"/>
        <v/>
      </c>
      <c r="P369" t="str">
        <f>IF($A369="","",IF($E369=1,$F369*$O369,PNL!G369))</f>
        <v/>
      </c>
      <c r="T369" t="str">
        <f t="shared" si="23"/>
        <v/>
      </c>
    </row>
    <row r="370" spans="1:20" x14ac:dyDescent="0.45">
      <c r="A370" t="str">
        <f>IF(PNL!A370="","",PNL!A370)</f>
        <v/>
      </c>
      <c r="B370" t="str">
        <f>IF(PNL!B370="","",PNL!B370)</f>
        <v/>
      </c>
      <c r="C370" t="str">
        <f>IF(PNL!C370="","",PNL!C370)</f>
        <v/>
      </c>
      <c r="D370" t="str">
        <f>IF(PNL!D370="","",PNL!D370)</f>
        <v/>
      </c>
      <c r="E370" t="str">
        <f t="shared" si="20"/>
        <v/>
      </c>
      <c r="F370" t="str">
        <f>IF($A370="","",IF($E370=1,SUMIFS(Compta!$F$1:$F$675,Compta!$A$1:$A$675,$A370,Compta!$B$1:$B$675,$B370,Compta!$C$1:$C$675,"2026"),0))</f>
        <v/>
      </c>
      <c r="G370" t="str">
        <f>IF($A370="","",IF($D370="V01",cad!$C$23,IF($D370="V02",cad!$D$23,cad!$E$23)))</f>
        <v/>
      </c>
      <c r="H370" t="str">
        <f>IF($A370="","",IF($D370="V01",cad!$C$24,IF($D370="V02",cad!$D$24,cad!$E$24)))</f>
        <v/>
      </c>
      <c r="I370" t="str">
        <f>IF($A370="","",IF($D370="V01",cad!$C$32,IF($D370="V02",cad!$D$32,cad!$E$32)))</f>
        <v/>
      </c>
      <c r="J370" t="str">
        <f>IF($A370="","",IF($D370="V01",cad!$C$33,IF($D370="V02",cad!$D$33,cad!$E$33)))</f>
        <v/>
      </c>
      <c r="K370" t="str">
        <f>IF($A370="","",IF($D370="V01",cad!$C$34,IF($D370="V02",cad!$D$34,cad!$E$34)))</f>
        <v/>
      </c>
      <c r="L370" t="str">
        <f>IF($A370="","",IF($D370="V01",cad!$C$35,IF($D370="V02",cad!$D$35,cad!$E$35)))</f>
        <v/>
      </c>
      <c r="M370" t="str">
        <f>IF($A370="","",IF($D370="V01",cad!$C$36,IF($D370="V02",cad!$D$36,cad!$E$36)))</f>
        <v/>
      </c>
      <c r="N370" t="str">
        <f t="shared" si="21"/>
        <v/>
      </c>
      <c r="O370" t="str">
        <f t="shared" si="22"/>
        <v/>
      </c>
      <c r="P370" t="str">
        <f>IF($A370="","",IF($E370=1,$F370*$O370,PNL!G370))</f>
        <v/>
      </c>
      <c r="T370" t="str">
        <f t="shared" si="23"/>
        <v/>
      </c>
    </row>
    <row r="371" spans="1:20" x14ac:dyDescent="0.45">
      <c r="A371" t="str">
        <f>IF(PNL!A371="","",PNL!A371)</f>
        <v/>
      </c>
      <c r="B371" t="str">
        <f>IF(PNL!B371="","",PNL!B371)</f>
        <v/>
      </c>
      <c r="C371" t="str">
        <f>IF(PNL!C371="","",PNL!C371)</f>
        <v/>
      </c>
      <c r="D371" t="str">
        <f>IF(PNL!D371="","",PNL!D371)</f>
        <v/>
      </c>
      <c r="E371" t="str">
        <f t="shared" si="20"/>
        <v/>
      </c>
      <c r="F371" t="str">
        <f>IF($A371="","",IF($E371=1,SUMIFS(Compta!$F$1:$F$675,Compta!$A$1:$A$675,$A371,Compta!$B$1:$B$675,$B371,Compta!$C$1:$C$675,"2026"),0))</f>
        <v/>
      </c>
      <c r="G371" t="str">
        <f>IF($A371="","",IF($D371="V01",cad!$C$23,IF($D371="V02",cad!$D$23,cad!$E$23)))</f>
        <v/>
      </c>
      <c r="H371" t="str">
        <f>IF($A371="","",IF($D371="V01",cad!$C$24,IF($D371="V02",cad!$D$24,cad!$E$24)))</f>
        <v/>
      </c>
      <c r="I371" t="str">
        <f>IF($A371="","",IF($D371="V01",cad!$C$32,IF($D371="V02",cad!$D$32,cad!$E$32)))</f>
        <v/>
      </c>
      <c r="J371" t="str">
        <f>IF($A371="","",IF($D371="V01",cad!$C$33,IF($D371="V02",cad!$D$33,cad!$E$33)))</f>
        <v/>
      </c>
      <c r="K371" t="str">
        <f>IF($A371="","",IF($D371="V01",cad!$C$34,IF($D371="V02",cad!$D$34,cad!$E$34)))</f>
        <v/>
      </c>
      <c r="L371" t="str">
        <f>IF($A371="","",IF($D371="V01",cad!$C$35,IF($D371="V02",cad!$D$35,cad!$E$35)))</f>
        <v/>
      </c>
      <c r="M371" t="str">
        <f>IF($A371="","",IF($D371="V01",cad!$C$36,IF($D371="V02",cad!$D$36,cad!$E$36)))</f>
        <v/>
      </c>
      <c r="N371" t="str">
        <f t="shared" si="21"/>
        <v/>
      </c>
      <c r="O371" t="str">
        <f t="shared" si="22"/>
        <v/>
      </c>
      <c r="P371" t="str">
        <f>IF($A371="","",IF($E371=1,$F371*$O371,PNL!G371))</f>
        <v/>
      </c>
      <c r="T371" t="str">
        <f t="shared" si="23"/>
        <v/>
      </c>
    </row>
    <row r="372" spans="1:20" x14ac:dyDescent="0.45">
      <c r="A372" t="str">
        <f>IF(PNL!A372="","",PNL!A372)</f>
        <v/>
      </c>
      <c r="B372" t="str">
        <f>IF(PNL!B372="","",PNL!B372)</f>
        <v/>
      </c>
      <c r="C372" t="str">
        <f>IF(PNL!C372="","",PNL!C372)</f>
        <v/>
      </c>
      <c r="D372" t="str">
        <f>IF(PNL!D372="","",PNL!D372)</f>
        <v/>
      </c>
      <c r="E372" t="str">
        <f t="shared" si="20"/>
        <v/>
      </c>
      <c r="F372" t="str">
        <f>IF($A372="","",IF($E372=1,SUMIFS(Compta!$F$1:$F$675,Compta!$A$1:$A$675,$A372,Compta!$B$1:$B$675,$B372,Compta!$C$1:$C$675,"2026"),0))</f>
        <v/>
      </c>
      <c r="G372" t="str">
        <f>IF($A372="","",IF($D372="V01",cad!$C$23,IF($D372="V02",cad!$D$23,cad!$E$23)))</f>
        <v/>
      </c>
      <c r="H372" t="str">
        <f>IF($A372="","",IF($D372="V01",cad!$C$24,IF($D372="V02",cad!$D$24,cad!$E$24)))</f>
        <v/>
      </c>
      <c r="I372" t="str">
        <f>IF($A372="","",IF($D372="V01",cad!$C$32,IF($D372="V02",cad!$D$32,cad!$E$32)))</f>
        <v/>
      </c>
      <c r="J372" t="str">
        <f>IF($A372="","",IF($D372="V01",cad!$C$33,IF($D372="V02",cad!$D$33,cad!$E$33)))</f>
        <v/>
      </c>
      <c r="K372" t="str">
        <f>IF($A372="","",IF($D372="V01",cad!$C$34,IF($D372="V02",cad!$D$34,cad!$E$34)))</f>
        <v/>
      </c>
      <c r="L372" t="str">
        <f>IF($A372="","",IF($D372="V01",cad!$C$35,IF($D372="V02",cad!$D$35,cad!$E$35)))</f>
        <v/>
      </c>
      <c r="M372" t="str">
        <f>IF($A372="","",IF($D372="V01",cad!$C$36,IF($D372="V02",cad!$D$36,cad!$E$36)))</f>
        <v/>
      </c>
      <c r="N372" t="str">
        <f t="shared" si="21"/>
        <v/>
      </c>
      <c r="O372" t="str">
        <f t="shared" si="22"/>
        <v/>
      </c>
      <c r="P372" t="str">
        <f>IF($A372="","",IF($E372=1,$F372*$O372,PNL!G372))</f>
        <v/>
      </c>
      <c r="T372" t="str">
        <f t="shared" si="23"/>
        <v/>
      </c>
    </row>
    <row r="373" spans="1:20" x14ac:dyDescent="0.45">
      <c r="A373" t="str">
        <f>IF(PNL!A373="","",PNL!A373)</f>
        <v/>
      </c>
      <c r="B373" t="str">
        <f>IF(PNL!B373="","",PNL!B373)</f>
        <v/>
      </c>
      <c r="C373" t="str">
        <f>IF(PNL!C373="","",PNL!C373)</f>
        <v/>
      </c>
      <c r="D373" t="str">
        <f>IF(PNL!D373="","",PNL!D373)</f>
        <v/>
      </c>
      <c r="E373" t="str">
        <f t="shared" si="20"/>
        <v/>
      </c>
      <c r="F373" t="str">
        <f>IF($A373="","",IF($E373=1,SUMIFS(Compta!$F$1:$F$675,Compta!$A$1:$A$675,$A373,Compta!$B$1:$B$675,$B373,Compta!$C$1:$C$675,"2026"),0))</f>
        <v/>
      </c>
      <c r="G373" t="str">
        <f>IF($A373="","",IF($D373="V01",cad!$C$23,IF($D373="V02",cad!$D$23,cad!$E$23)))</f>
        <v/>
      </c>
      <c r="H373" t="str">
        <f>IF($A373="","",IF($D373="V01",cad!$C$24,IF($D373="V02",cad!$D$24,cad!$E$24)))</f>
        <v/>
      </c>
      <c r="I373" t="str">
        <f>IF($A373="","",IF($D373="V01",cad!$C$32,IF($D373="V02",cad!$D$32,cad!$E$32)))</f>
        <v/>
      </c>
      <c r="J373" t="str">
        <f>IF($A373="","",IF($D373="V01",cad!$C$33,IF($D373="V02",cad!$D$33,cad!$E$33)))</f>
        <v/>
      </c>
      <c r="K373" t="str">
        <f>IF($A373="","",IF($D373="V01",cad!$C$34,IF($D373="V02",cad!$D$34,cad!$E$34)))</f>
        <v/>
      </c>
      <c r="L373" t="str">
        <f>IF($A373="","",IF($D373="V01",cad!$C$35,IF($D373="V02",cad!$D$35,cad!$E$35)))</f>
        <v/>
      </c>
      <c r="M373" t="str">
        <f>IF($A373="","",IF($D373="V01",cad!$C$36,IF($D373="V02",cad!$D$36,cad!$E$36)))</f>
        <v/>
      </c>
      <c r="N373" t="str">
        <f t="shared" si="21"/>
        <v/>
      </c>
      <c r="O373" t="str">
        <f t="shared" si="22"/>
        <v/>
      </c>
      <c r="P373" t="str">
        <f>IF($A373="","",IF($E373=1,$F373*$O373,PNL!G373))</f>
        <v/>
      </c>
      <c r="T373" t="str">
        <f t="shared" si="23"/>
        <v/>
      </c>
    </row>
    <row r="374" spans="1:20" x14ac:dyDescent="0.45">
      <c r="A374" t="str">
        <f>IF(PNL!A374="","",PNL!A374)</f>
        <v/>
      </c>
      <c r="B374" t="str">
        <f>IF(PNL!B374="","",PNL!B374)</f>
        <v/>
      </c>
      <c r="C374" t="str">
        <f>IF(PNL!C374="","",PNL!C374)</f>
        <v/>
      </c>
      <c r="D374" t="str">
        <f>IF(PNL!D374="","",PNL!D374)</f>
        <v/>
      </c>
      <c r="E374" t="str">
        <f t="shared" si="20"/>
        <v/>
      </c>
      <c r="F374" t="str">
        <f>IF($A374="","",IF($E374=1,SUMIFS(Compta!$F$1:$F$675,Compta!$A$1:$A$675,$A374,Compta!$B$1:$B$675,$B374,Compta!$C$1:$C$675,"2026"),0))</f>
        <v/>
      </c>
      <c r="G374" t="str">
        <f>IF($A374="","",IF($D374="V01",cad!$C$23,IF($D374="V02",cad!$D$23,cad!$E$23)))</f>
        <v/>
      </c>
      <c r="H374" t="str">
        <f>IF($A374="","",IF($D374="V01",cad!$C$24,IF($D374="V02",cad!$D$24,cad!$E$24)))</f>
        <v/>
      </c>
      <c r="I374" t="str">
        <f>IF($A374="","",IF($D374="V01",cad!$C$32,IF($D374="V02",cad!$D$32,cad!$E$32)))</f>
        <v/>
      </c>
      <c r="J374" t="str">
        <f>IF($A374="","",IF($D374="V01",cad!$C$33,IF($D374="V02",cad!$D$33,cad!$E$33)))</f>
        <v/>
      </c>
      <c r="K374" t="str">
        <f>IF($A374="","",IF($D374="V01",cad!$C$34,IF($D374="V02",cad!$D$34,cad!$E$34)))</f>
        <v/>
      </c>
      <c r="L374" t="str">
        <f>IF($A374="","",IF($D374="V01",cad!$C$35,IF($D374="V02",cad!$D$35,cad!$E$35)))</f>
        <v/>
      </c>
      <c r="M374" t="str">
        <f>IF($A374="","",IF($D374="V01",cad!$C$36,IF($D374="V02",cad!$D$36,cad!$E$36)))</f>
        <v/>
      </c>
      <c r="N374" t="str">
        <f t="shared" si="21"/>
        <v/>
      </c>
      <c r="O374" t="str">
        <f t="shared" si="22"/>
        <v/>
      </c>
      <c r="P374" t="str">
        <f>IF($A374="","",IF($E374=1,$F374*$O374,PNL!G374))</f>
        <v/>
      </c>
      <c r="T374" t="str">
        <f t="shared" si="23"/>
        <v/>
      </c>
    </row>
    <row r="375" spans="1:20" x14ac:dyDescent="0.45">
      <c r="A375" t="str">
        <f>IF(PNL!A375="","",PNL!A375)</f>
        <v/>
      </c>
      <c r="B375" t="str">
        <f>IF(PNL!B375="","",PNL!B375)</f>
        <v/>
      </c>
      <c r="C375" t="str">
        <f>IF(PNL!C375="","",PNL!C375)</f>
        <v/>
      </c>
      <c r="D375" t="str">
        <f>IF(PNL!D375="","",PNL!D375)</f>
        <v/>
      </c>
      <c r="E375" t="str">
        <f t="shared" si="20"/>
        <v/>
      </c>
      <c r="F375" t="str">
        <f>IF($A375="","",IF($E375=1,SUMIFS(Compta!$F$1:$F$675,Compta!$A$1:$A$675,$A375,Compta!$B$1:$B$675,$B375,Compta!$C$1:$C$675,"2026"),0))</f>
        <v/>
      </c>
      <c r="G375" t="str">
        <f>IF($A375="","",IF($D375="V01",cad!$C$23,IF($D375="V02",cad!$D$23,cad!$E$23)))</f>
        <v/>
      </c>
      <c r="H375" t="str">
        <f>IF($A375="","",IF($D375="V01",cad!$C$24,IF($D375="V02",cad!$D$24,cad!$E$24)))</f>
        <v/>
      </c>
      <c r="I375" t="str">
        <f>IF($A375="","",IF($D375="V01",cad!$C$32,IF($D375="V02",cad!$D$32,cad!$E$32)))</f>
        <v/>
      </c>
      <c r="J375" t="str">
        <f>IF($A375="","",IF($D375="V01",cad!$C$33,IF($D375="V02",cad!$D$33,cad!$E$33)))</f>
        <v/>
      </c>
      <c r="K375" t="str">
        <f>IF($A375="","",IF($D375="V01",cad!$C$34,IF($D375="V02",cad!$D$34,cad!$E$34)))</f>
        <v/>
      </c>
      <c r="L375" t="str">
        <f>IF($A375="","",IF($D375="V01",cad!$C$35,IF($D375="V02",cad!$D$35,cad!$E$35)))</f>
        <v/>
      </c>
      <c r="M375" t="str">
        <f>IF($A375="","",IF($D375="V01",cad!$C$36,IF($D375="V02",cad!$D$36,cad!$E$36)))</f>
        <v/>
      </c>
      <c r="N375" t="str">
        <f t="shared" si="21"/>
        <v/>
      </c>
      <c r="O375" t="str">
        <f t="shared" si="22"/>
        <v/>
      </c>
      <c r="P375" t="str">
        <f>IF($A375="","",IF($E375=1,$F375*$O375,PNL!G375))</f>
        <v/>
      </c>
      <c r="T375" t="str">
        <f t="shared" si="23"/>
        <v/>
      </c>
    </row>
    <row r="376" spans="1:20" x14ac:dyDescent="0.45">
      <c r="A376" t="str">
        <f>IF(PNL!A376="","",PNL!A376)</f>
        <v/>
      </c>
      <c r="B376" t="str">
        <f>IF(PNL!B376="","",PNL!B376)</f>
        <v/>
      </c>
      <c r="C376" t="str">
        <f>IF(PNL!C376="","",PNL!C376)</f>
        <v/>
      </c>
      <c r="D376" t="str">
        <f>IF(PNL!D376="","",PNL!D376)</f>
        <v/>
      </c>
      <c r="E376" t="str">
        <f t="shared" si="20"/>
        <v/>
      </c>
      <c r="F376" t="str">
        <f>IF($A376="","",IF($E376=1,SUMIFS(Compta!$F$1:$F$675,Compta!$A$1:$A$675,$A376,Compta!$B$1:$B$675,$B376,Compta!$C$1:$C$675,"2026"),0))</f>
        <v/>
      </c>
      <c r="G376" t="str">
        <f>IF($A376="","",IF($D376="V01",cad!$C$23,IF($D376="V02",cad!$D$23,cad!$E$23)))</f>
        <v/>
      </c>
      <c r="H376" t="str">
        <f>IF($A376="","",IF($D376="V01",cad!$C$24,IF($D376="V02",cad!$D$24,cad!$E$24)))</f>
        <v/>
      </c>
      <c r="I376" t="str">
        <f>IF($A376="","",IF($D376="V01",cad!$C$32,IF($D376="V02",cad!$D$32,cad!$E$32)))</f>
        <v/>
      </c>
      <c r="J376" t="str">
        <f>IF($A376="","",IF($D376="V01",cad!$C$33,IF($D376="V02",cad!$D$33,cad!$E$33)))</f>
        <v/>
      </c>
      <c r="K376" t="str">
        <f>IF($A376="","",IF($D376="V01",cad!$C$34,IF($D376="V02",cad!$D$34,cad!$E$34)))</f>
        <v/>
      </c>
      <c r="L376" t="str">
        <f>IF($A376="","",IF($D376="V01",cad!$C$35,IF($D376="V02",cad!$D$35,cad!$E$35)))</f>
        <v/>
      </c>
      <c r="M376" t="str">
        <f>IF($A376="","",IF($D376="V01",cad!$C$36,IF($D376="V02",cad!$D$36,cad!$E$36)))</f>
        <v/>
      </c>
      <c r="N376" t="str">
        <f t="shared" si="21"/>
        <v/>
      </c>
      <c r="O376" t="str">
        <f t="shared" si="22"/>
        <v/>
      </c>
      <c r="P376" t="str">
        <f>IF($A376="","",IF($E376=1,$F376*$O376,PNL!G376))</f>
        <v/>
      </c>
      <c r="T376" t="str">
        <f t="shared" si="23"/>
        <v/>
      </c>
    </row>
    <row r="377" spans="1:20" x14ac:dyDescent="0.45">
      <c r="A377" t="str">
        <f>IF(PNL!A377="","",PNL!A377)</f>
        <v/>
      </c>
      <c r="B377" t="str">
        <f>IF(PNL!B377="","",PNL!B377)</f>
        <v/>
      </c>
      <c r="C377" t="str">
        <f>IF(PNL!C377="","",PNL!C377)</f>
        <v/>
      </c>
      <c r="D377" t="str">
        <f>IF(PNL!D377="","",PNL!D377)</f>
        <v/>
      </c>
      <c r="E377" t="str">
        <f t="shared" si="20"/>
        <v/>
      </c>
      <c r="F377" t="str">
        <f>IF($A377="","",IF($E377=1,SUMIFS(Compta!$F$1:$F$675,Compta!$A$1:$A$675,$A377,Compta!$B$1:$B$675,$B377,Compta!$C$1:$C$675,"2026"),0))</f>
        <v/>
      </c>
      <c r="G377" t="str">
        <f>IF($A377="","",IF($D377="V01",cad!$C$23,IF($D377="V02",cad!$D$23,cad!$E$23)))</f>
        <v/>
      </c>
      <c r="H377" t="str">
        <f>IF($A377="","",IF($D377="V01",cad!$C$24,IF($D377="V02",cad!$D$24,cad!$E$24)))</f>
        <v/>
      </c>
      <c r="I377" t="str">
        <f>IF($A377="","",IF($D377="V01",cad!$C$32,IF($D377="V02",cad!$D$32,cad!$E$32)))</f>
        <v/>
      </c>
      <c r="J377" t="str">
        <f>IF($A377="","",IF($D377="V01",cad!$C$33,IF($D377="V02",cad!$D$33,cad!$E$33)))</f>
        <v/>
      </c>
      <c r="K377" t="str">
        <f>IF($A377="","",IF($D377="V01",cad!$C$34,IF($D377="V02",cad!$D$34,cad!$E$34)))</f>
        <v/>
      </c>
      <c r="L377" t="str">
        <f>IF($A377="","",IF($D377="V01",cad!$C$35,IF($D377="V02",cad!$D$35,cad!$E$35)))</f>
        <v/>
      </c>
      <c r="M377" t="str">
        <f>IF($A377="","",IF($D377="V01",cad!$C$36,IF($D377="V02",cad!$D$36,cad!$E$36)))</f>
        <v/>
      </c>
      <c r="N377" t="str">
        <f t="shared" si="21"/>
        <v/>
      </c>
      <c r="O377" t="str">
        <f t="shared" si="22"/>
        <v/>
      </c>
      <c r="P377" t="str">
        <f>IF($A377="","",IF($E377=1,$F377*$O377,PNL!G377))</f>
        <v/>
      </c>
      <c r="T377" t="str">
        <f t="shared" si="23"/>
        <v/>
      </c>
    </row>
    <row r="378" spans="1:20" x14ac:dyDescent="0.45">
      <c r="A378" t="str">
        <f>IF(PNL!A378="","",PNL!A378)</f>
        <v/>
      </c>
      <c r="B378" t="str">
        <f>IF(PNL!B378="","",PNL!B378)</f>
        <v/>
      </c>
      <c r="C378" t="str">
        <f>IF(PNL!C378="","",PNL!C378)</f>
        <v/>
      </c>
      <c r="D378" t="str">
        <f>IF(PNL!D378="","",PNL!D378)</f>
        <v/>
      </c>
      <c r="E378" t="str">
        <f t="shared" si="20"/>
        <v/>
      </c>
      <c r="F378" t="str">
        <f>IF($A378="","",IF($E378=1,SUMIFS(Compta!$F$1:$F$675,Compta!$A$1:$A$675,$A378,Compta!$B$1:$B$675,$B378,Compta!$C$1:$C$675,"2026"),0))</f>
        <v/>
      </c>
      <c r="G378" t="str">
        <f>IF($A378="","",IF($D378="V01",cad!$C$23,IF($D378="V02",cad!$D$23,cad!$E$23)))</f>
        <v/>
      </c>
      <c r="H378" t="str">
        <f>IF($A378="","",IF($D378="V01",cad!$C$24,IF($D378="V02",cad!$D$24,cad!$E$24)))</f>
        <v/>
      </c>
      <c r="I378" t="str">
        <f>IF($A378="","",IF($D378="V01",cad!$C$32,IF($D378="V02",cad!$D$32,cad!$E$32)))</f>
        <v/>
      </c>
      <c r="J378" t="str">
        <f>IF($A378="","",IF($D378="V01",cad!$C$33,IF($D378="V02",cad!$D$33,cad!$E$33)))</f>
        <v/>
      </c>
      <c r="K378" t="str">
        <f>IF($A378="","",IF($D378="V01",cad!$C$34,IF($D378="V02",cad!$D$34,cad!$E$34)))</f>
        <v/>
      </c>
      <c r="L378" t="str">
        <f>IF($A378="","",IF($D378="V01",cad!$C$35,IF($D378="V02",cad!$D$35,cad!$E$35)))</f>
        <v/>
      </c>
      <c r="M378" t="str">
        <f>IF($A378="","",IF($D378="V01",cad!$C$36,IF($D378="V02",cad!$D$36,cad!$E$36)))</f>
        <v/>
      </c>
      <c r="N378" t="str">
        <f t="shared" si="21"/>
        <v/>
      </c>
      <c r="O378" t="str">
        <f t="shared" si="22"/>
        <v/>
      </c>
      <c r="P378" t="str">
        <f>IF($A378="","",IF($E378=1,$F378*$O378,PNL!G378))</f>
        <v/>
      </c>
      <c r="T378" t="str">
        <f t="shared" si="23"/>
        <v/>
      </c>
    </row>
    <row r="379" spans="1:20" x14ac:dyDescent="0.45">
      <c r="A379" t="str">
        <f>IF(PNL!A379="","",PNL!A379)</f>
        <v/>
      </c>
      <c r="B379" t="str">
        <f>IF(PNL!B379="","",PNL!B379)</f>
        <v/>
      </c>
      <c r="C379" t="str">
        <f>IF(PNL!C379="","",PNL!C379)</f>
        <v/>
      </c>
      <c r="D379" t="str">
        <f>IF(PNL!D379="","",PNL!D379)</f>
        <v/>
      </c>
      <c r="E379" t="str">
        <f t="shared" si="20"/>
        <v/>
      </c>
      <c r="F379" t="str">
        <f>IF($A379="","",IF($E379=1,SUMIFS(Compta!$F$1:$F$675,Compta!$A$1:$A$675,$A379,Compta!$B$1:$B$675,$B379,Compta!$C$1:$C$675,"2026"),0))</f>
        <v/>
      </c>
      <c r="G379" t="str">
        <f>IF($A379="","",IF($D379="V01",cad!$C$23,IF($D379="V02",cad!$D$23,cad!$E$23)))</f>
        <v/>
      </c>
      <c r="H379" t="str">
        <f>IF($A379="","",IF($D379="V01",cad!$C$24,IF($D379="V02",cad!$D$24,cad!$E$24)))</f>
        <v/>
      </c>
      <c r="I379" t="str">
        <f>IF($A379="","",IF($D379="V01",cad!$C$32,IF($D379="V02",cad!$D$32,cad!$E$32)))</f>
        <v/>
      </c>
      <c r="J379" t="str">
        <f>IF($A379="","",IF($D379="V01",cad!$C$33,IF($D379="V02",cad!$D$33,cad!$E$33)))</f>
        <v/>
      </c>
      <c r="K379" t="str">
        <f>IF($A379="","",IF($D379="V01",cad!$C$34,IF($D379="V02",cad!$D$34,cad!$E$34)))</f>
        <v/>
      </c>
      <c r="L379" t="str">
        <f>IF($A379="","",IF($D379="V01",cad!$C$35,IF($D379="V02",cad!$D$35,cad!$E$35)))</f>
        <v/>
      </c>
      <c r="M379" t="str">
        <f>IF($A379="","",IF($D379="V01",cad!$C$36,IF($D379="V02",cad!$D$36,cad!$E$36)))</f>
        <v/>
      </c>
      <c r="N379" t="str">
        <f t="shared" si="21"/>
        <v/>
      </c>
      <c r="O379" t="str">
        <f t="shared" si="22"/>
        <v/>
      </c>
      <c r="P379" t="str">
        <f>IF($A379="","",IF($E379=1,$F379*$O379,PNL!G379))</f>
        <v/>
      </c>
      <c r="T379" t="str">
        <f t="shared" si="23"/>
        <v/>
      </c>
    </row>
    <row r="380" spans="1:20" x14ac:dyDescent="0.45">
      <c r="A380" t="str">
        <f>IF(PNL!A380="","",PNL!A380)</f>
        <v/>
      </c>
      <c r="B380" t="str">
        <f>IF(PNL!B380="","",PNL!B380)</f>
        <v/>
      </c>
      <c r="C380" t="str">
        <f>IF(PNL!C380="","",PNL!C380)</f>
        <v/>
      </c>
      <c r="D380" t="str">
        <f>IF(PNL!D380="","",PNL!D380)</f>
        <v/>
      </c>
      <c r="E380" t="str">
        <f t="shared" si="20"/>
        <v/>
      </c>
      <c r="F380" t="str">
        <f>IF($A380="","",IF($E380=1,SUMIFS(Compta!$F$1:$F$675,Compta!$A$1:$A$675,$A380,Compta!$B$1:$B$675,$B380,Compta!$C$1:$C$675,"2026"),0))</f>
        <v/>
      </c>
      <c r="G380" t="str">
        <f>IF($A380="","",IF($D380="V01",cad!$C$23,IF($D380="V02",cad!$D$23,cad!$E$23)))</f>
        <v/>
      </c>
      <c r="H380" t="str">
        <f>IF($A380="","",IF($D380="V01",cad!$C$24,IF($D380="V02",cad!$D$24,cad!$E$24)))</f>
        <v/>
      </c>
      <c r="I380" t="str">
        <f>IF($A380="","",IF($D380="V01",cad!$C$32,IF($D380="V02",cad!$D$32,cad!$E$32)))</f>
        <v/>
      </c>
      <c r="J380" t="str">
        <f>IF($A380="","",IF($D380="V01",cad!$C$33,IF($D380="V02",cad!$D$33,cad!$E$33)))</f>
        <v/>
      </c>
      <c r="K380" t="str">
        <f>IF($A380="","",IF($D380="V01",cad!$C$34,IF($D380="V02",cad!$D$34,cad!$E$34)))</f>
        <v/>
      </c>
      <c r="L380" t="str">
        <f>IF($A380="","",IF($D380="V01",cad!$C$35,IF($D380="V02",cad!$D$35,cad!$E$35)))</f>
        <v/>
      </c>
      <c r="M380" t="str">
        <f>IF($A380="","",IF($D380="V01",cad!$C$36,IF($D380="V02",cad!$D$36,cad!$E$36)))</f>
        <v/>
      </c>
      <c r="N380" t="str">
        <f t="shared" si="21"/>
        <v/>
      </c>
      <c r="O380" t="str">
        <f t="shared" si="22"/>
        <v/>
      </c>
      <c r="P380" t="str">
        <f>IF($A380="","",IF($E380=1,$F380*$O380,PNL!G380))</f>
        <v/>
      </c>
      <c r="T380" t="str">
        <f t="shared" si="23"/>
        <v/>
      </c>
    </row>
    <row r="381" spans="1:20" x14ac:dyDescent="0.45">
      <c r="A381" t="str">
        <f>IF(PNL!A381="","",PNL!A381)</f>
        <v/>
      </c>
      <c r="B381" t="str">
        <f>IF(PNL!B381="","",PNL!B381)</f>
        <v/>
      </c>
      <c r="C381" t="str">
        <f>IF(PNL!C381="","",PNL!C381)</f>
        <v/>
      </c>
      <c r="D381" t="str">
        <f>IF(PNL!D381="","",PNL!D381)</f>
        <v/>
      </c>
      <c r="E381" t="str">
        <f t="shared" si="20"/>
        <v/>
      </c>
      <c r="F381" t="str">
        <f>IF($A381="","",IF($E381=1,SUMIFS(Compta!$F$1:$F$675,Compta!$A$1:$A$675,$A381,Compta!$B$1:$B$675,$B381,Compta!$C$1:$C$675,"2026"),0))</f>
        <v/>
      </c>
      <c r="G381" t="str">
        <f>IF($A381="","",IF($D381="V01",cad!$C$23,IF($D381="V02",cad!$D$23,cad!$E$23)))</f>
        <v/>
      </c>
      <c r="H381" t="str">
        <f>IF($A381="","",IF($D381="V01",cad!$C$24,IF($D381="V02",cad!$D$24,cad!$E$24)))</f>
        <v/>
      </c>
      <c r="I381" t="str">
        <f>IF($A381="","",IF($D381="V01",cad!$C$32,IF($D381="V02",cad!$D$32,cad!$E$32)))</f>
        <v/>
      </c>
      <c r="J381" t="str">
        <f>IF($A381="","",IF($D381="V01",cad!$C$33,IF($D381="V02",cad!$D$33,cad!$E$33)))</f>
        <v/>
      </c>
      <c r="K381" t="str">
        <f>IF($A381="","",IF($D381="V01",cad!$C$34,IF($D381="V02",cad!$D$34,cad!$E$34)))</f>
        <v/>
      </c>
      <c r="L381" t="str">
        <f>IF($A381="","",IF($D381="V01",cad!$C$35,IF($D381="V02",cad!$D$35,cad!$E$35)))</f>
        <v/>
      </c>
      <c r="M381" t="str">
        <f>IF($A381="","",IF($D381="V01",cad!$C$36,IF($D381="V02",cad!$D$36,cad!$E$36)))</f>
        <v/>
      </c>
      <c r="N381" t="str">
        <f t="shared" si="21"/>
        <v/>
      </c>
      <c r="O381" t="str">
        <f t="shared" si="22"/>
        <v/>
      </c>
      <c r="P381" t="str">
        <f>IF($A381="","",IF($E381=1,$F381*$O381,PNL!G381))</f>
        <v/>
      </c>
      <c r="T381" t="str">
        <f t="shared" si="23"/>
        <v/>
      </c>
    </row>
    <row r="382" spans="1:20" x14ac:dyDescent="0.45">
      <c r="A382" t="str">
        <f>IF(PNL!A382="","",PNL!A382)</f>
        <v/>
      </c>
      <c r="B382" t="str">
        <f>IF(PNL!B382="","",PNL!B382)</f>
        <v/>
      </c>
      <c r="C382" t="str">
        <f>IF(PNL!C382="","",PNL!C382)</f>
        <v/>
      </c>
      <c r="D382" t="str">
        <f>IF(PNL!D382="","",PNL!D382)</f>
        <v/>
      </c>
      <c r="E382" t="str">
        <f t="shared" si="20"/>
        <v/>
      </c>
      <c r="F382" t="str">
        <f>IF($A382="","",IF($E382=1,SUMIFS(Compta!$F$1:$F$675,Compta!$A$1:$A$675,$A382,Compta!$B$1:$B$675,$B382,Compta!$C$1:$C$675,"2026"),0))</f>
        <v/>
      </c>
      <c r="G382" t="str">
        <f>IF($A382="","",IF($D382="V01",cad!$C$23,IF($D382="V02",cad!$D$23,cad!$E$23)))</f>
        <v/>
      </c>
      <c r="H382" t="str">
        <f>IF($A382="","",IF($D382="V01",cad!$C$24,IF($D382="V02",cad!$D$24,cad!$E$24)))</f>
        <v/>
      </c>
      <c r="I382" t="str">
        <f>IF($A382="","",IF($D382="V01",cad!$C$32,IF($D382="V02",cad!$D$32,cad!$E$32)))</f>
        <v/>
      </c>
      <c r="J382" t="str">
        <f>IF($A382="","",IF($D382="V01",cad!$C$33,IF($D382="V02",cad!$D$33,cad!$E$33)))</f>
        <v/>
      </c>
      <c r="K382" t="str">
        <f>IF($A382="","",IF($D382="V01",cad!$C$34,IF($D382="V02",cad!$D$34,cad!$E$34)))</f>
        <v/>
      </c>
      <c r="L382" t="str">
        <f>IF($A382="","",IF($D382="V01",cad!$C$35,IF($D382="V02",cad!$D$35,cad!$E$35)))</f>
        <v/>
      </c>
      <c r="M382" t="str">
        <f>IF($A382="","",IF($D382="V01",cad!$C$36,IF($D382="V02",cad!$D$36,cad!$E$36)))</f>
        <v/>
      </c>
      <c r="N382" t="str">
        <f t="shared" si="21"/>
        <v/>
      </c>
      <c r="O382" t="str">
        <f t="shared" si="22"/>
        <v/>
      </c>
      <c r="P382" t="str">
        <f>IF($A382="","",IF($E382=1,$F382*$O382,PNL!G382))</f>
        <v/>
      </c>
      <c r="T382" t="str">
        <f t="shared" si="23"/>
        <v/>
      </c>
    </row>
    <row r="383" spans="1:20" x14ac:dyDescent="0.45">
      <c r="A383" t="str">
        <f>IF(PNL!A383="","",PNL!A383)</f>
        <v/>
      </c>
      <c r="B383" t="str">
        <f>IF(PNL!B383="","",PNL!B383)</f>
        <v/>
      </c>
      <c r="C383" t="str">
        <f>IF(PNL!C383="","",PNL!C383)</f>
        <v/>
      </c>
      <c r="D383" t="str">
        <f>IF(PNL!D383="","",PNL!D383)</f>
        <v/>
      </c>
      <c r="E383" t="str">
        <f t="shared" si="20"/>
        <v/>
      </c>
      <c r="F383" t="str">
        <f>IF($A383="","",IF($E383=1,SUMIFS(Compta!$F$1:$F$675,Compta!$A$1:$A$675,$A383,Compta!$B$1:$B$675,$B383,Compta!$C$1:$C$675,"2026"),0))</f>
        <v/>
      </c>
      <c r="G383" t="str">
        <f>IF($A383="","",IF($D383="V01",cad!$C$23,IF($D383="V02",cad!$D$23,cad!$E$23)))</f>
        <v/>
      </c>
      <c r="H383" t="str">
        <f>IF($A383="","",IF($D383="V01",cad!$C$24,IF($D383="V02",cad!$D$24,cad!$E$24)))</f>
        <v/>
      </c>
      <c r="I383" t="str">
        <f>IF($A383="","",IF($D383="V01",cad!$C$32,IF($D383="V02",cad!$D$32,cad!$E$32)))</f>
        <v/>
      </c>
      <c r="J383" t="str">
        <f>IF($A383="","",IF($D383="V01",cad!$C$33,IF($D383="V02",cad!$D$33,cad!$E$33)))</f>
        <v/>
      </c>
      <c r="K383" t="str">
        <f>IF($A383="","",IF($D383="V01",cad!$C$34,IF($D383="V02",cad!$D$34,cad!$E$34)))</f>
        <v/>
      </c>
      <c r="L383" t="str">
        <f>IF($A383="","",IF($D383="V01",cad!$C$35,IF($D383="V02",cad!$D$35,cad!$E$35)))</f>
        <v/>
      </c>
      <c r="M383" t="str">
        <f>IF($A383="","",IF($D383="V01",cad!$C$36,IF($D383="V02",cad!$D$36,cad!$E$36)))</f>
        <v/>
      </c>
      <c r="N383" t="str">
        <f t="shared" si="21"/>
        <v/>
      </c>
      <c r="O383" t="str">
        <f t="shared" si="22"/>
        <v/>
      </c>
      <c r="P383" t="str">
        <f>IF($A383="","",IF($E383=1,$F383*$O383,PNL!G383))</f>
        <v/>
      </c>
      <c r="T383" t="str">
        <f t="shared" si="23"/>
        <v/>
      </c>
    </row>
    <row r="384" spans="1:20" x14ac:dyDescent="0.45">
      <c r="A384" t="str">
        <f>IF(PNL!A384="","",PNL!A384)</f>
        <v/>
      </c>
      <c r="B384" t="str">
        <f>IF(PNL!B384="","",PNL!B384)</f>
        <v/>
      </c>
      <c r="C384" t="str">
        <f>IF(PNL!C384="","",PNL!C384)</f>
        <v/>
      </c>
      <c r="D384" t="str">
        <f>IF(PNL!D384="","",PNL!D384)</f>
        <v/>
      </c>
      <c r="E384" t="str">
        <f t="shared" si="20"/>
        <v/>
      </c>
      <c r="F384" t="str">
        <f>IF($A384="","",IF($E384=1,SUMIFS(Compta!$F$1:$F$675,Compta!$A$1:$A$675,$A384,Compta!$B$1:$B$675,$B384,Compta!$C$1:$C$675,"2026"),0))</f>
        <v/>
      </c>
      <c r="G384" t="str">
        <f>IF($A384="","",IF($D384="V01",cad!$C$23,IF($D384="V02",cad!$D$23,cad!$E$23)))</f>
        <v/>
      </c>
      <c r="H384" t="str">
        <f>IF($A384="","",IF($D384="V01",cad!$C$24,IF($D384="V02",cad!$D$24,cad!$E$24)))</f>
        <v/>
      </c>
      <c r="I384" t="str">
        <f>IF($A384="","",IF($D384="V01",cad!$C$32,IF($D384="V02",cad!$D$32,cad!$E$32)))</f>
        <v/>
      </c>
      <c r="J384" t="str">
        <f>IF($A384="","",IF($D384="V01",cad!$C$33,IF($D384="V02",cad!$D$33,cad!$E$33)))</f>
        <v/>
      </c>
      <c r="K384" t="str">
        <f>IF($A384="","",IF($D384="V01",cad!$C$34,IF($D384="V02",cad!$D$34,cad!$E$34)))</f>
        <v/>
      </c>
      <c r="L384" t="str">
        <f>IF($A384="","",IF($D384="V01",cad!$C$35,IF($D384="V02",cad!$D$35,cad!$E$35)))</f>
        <v/>
      </c>
      <c r="M384" t="str">
        <f>IF($A384="","",IF($D384="V01",cad!$C$36,IF($D384="V02",cad!$D$36,cad!$E$36)))</f>
        <v/>
      </c>
      <c r="N384" t="str">
        <f t="shared" si="21"/>
        <v/>
      </c>
      <c r="O384" t="str">
        <f t="shared" si="22"/>
        <v/>
      </c>
      <c r="P384" t="str">
        <f>IF($A384="","",IF($E384=1,$F384*$O384,PNL!G384))</f>
        <v/>
      </c>
      <c r="T384" t="str">
        <f t="shared" si="23"/>
        <v/>
      </c>
    </row>
    <row r="385" spans="1:20" x14ac:dyDescent="0.45">
      <c r="A385" t="str">
        <f>IF(PNL!A385="","",PNL!A385)</f>
        <v/>
      </c>
      <c r="B385" t="str">
        <f>IF(PNL!B385="","",PNL!B385)</f>
        <v/>
      </c>
      <c r="C385" t="str">
        <f>IF(PNL!C385="","",PNL!C385)</f>
        <v/>
      </c>
      <c r="D385" t="str">
        <f>IF(PNL!D385="","",PNL!D385)</f>
        <v/>
      </c>
      <c r="E385" t="str">
        <f t="shared" si="20"/>
        <v/>
      </c>
      <c r="F385" t="str">
        <f>IF($A385="","",IF($E385=1,SUMIFS(Compta!$F$1:$F$675,Compta!$A$1:$A$675,$A385,Compta!$B$1:$B$675,$B385,Compta!$C$1:$C$675,"2026"),0))</f>
        <v/>
      </c>
      <c r="G385" t="str">
        <f>IF($A385="","",IF($D385="V01",cad!$C$23,IF($D385="V02",cad!$D$23,cad!$E$23)))</f>
        <v/>
      </c>
      <c r="H385" t="str">
        <f>IF($A385="","",IF($D385="V01",cad!$C$24,IF($D385="V02",cad!$D$24,cad!$E$24)))</f>
        <v/>
      </c>
      <c r="I385" t="str">
        <f>IF($A385="","",IF($D385="V01",cad!$C$32,IF($D385="V02",cad!$D$32,cad!$E$32)))</f>
        <v/>
      </c>
      <c r="J385" t="str">
        <f>IF($A385="","",IF($D385="V01",cad!$C$33,IF($D385="V02",cad!$D$33,cad!$E$33)))</f>
        <v/>
      </c>
      <c r="K385" t="str">
        <f>IF($A385="","",IF($D385="V01",cad!$C$34,IF($D385="V02",cad!$D$34,cad!$E$34)))</f>
        <v/>
      </c>
      <c r="L385" t="str">
        <f>IF($A385="","",IF($D385="V01",cad!$C$35,IF($D385="V02",cad!$D$35,cad!$E$35)))</f>
        <v/>
      </c>
      <c r="M385" t="str">
        <f>IF($A385="","",IF($D385="V01",cad!$C$36,IF($D385="V02",cad!$D$36,cad!$E$36)))</f>
        <v/>
      </c>
      <c r="N385" t="str">
        <f t="shared" si="21"/>
        <v/>
      </c>
      <c r="O385" t="str">
        <f t="shared" si="22"/>
        <v/>
      </c>
      <c r="P385" t="str">
        <f>IF($A385="","",IF($E385=1,$F385*$O385,PNL!G385))</f>
        <v/>
      </c>
      <c r="T385" t="str">
        <f t="shared" si="23"/>
        <v/>
      </c>
    </row>
    <row r="386" spans="1:20" x14ac:dyDescent="0.45">
      <c r="A386" t="str">
        <f>IF(PNL!A386="","",PNL!A386)</f>
        <v/>
      </c>
      <c r="B386" t="str">
        <f>IF(PNL!B386="","",PNL!B386)</f>
        <v/>
      </c>
      <c r="C386" t="str">
        <f>IF(PNL!C386="","",PNL!C386)</f>
        <v/>
      </c>
      <c r="D386" t="str">
        <f>IF(PNL!D386="","",PNL!D386)</f>
        <v/>
      </c>
      <c r="E386" t="str">
        <f t="shared" ref="E386:E449" si="24">IF($A386="","",IF(AND($C386="2027",OR($D386="V01",$D386="V02",$D386="V03")),1,0))</f>
        <v/>
      </c>
      <c r="F386" t="str">
        <f>IF($A386="","",IF($E386=1,SUMIFS(Compta!$F$1:$F$675,Compta!$A$1:$A$675,$A386,Compta!$B$1:$B$675,$B386,Compta!$C$1:$C$675,"2026"),0))</f>
        <v/>
      </c>
      <c r="G386" t="str">
        <f>IF($A386="","",IF($D386="V01",cad!$C$23,IF($D386="V02",cad!$D$23,cad!$E$23)))</f>
        <v/>
      </c>
      <c r="H386" t="str">
        <f>IF($A386="","",IF($D386="V01",cad!$C$24,IF($D386="V02",cad!$D$24,cad!$E$24)))</f>
        <v/>
      </c>
      <c r="I386" t="str">
        <f>IF($A386="","",IF($D386="V01",cad!$C$32,IF($D386="V02",cad!$D$32,cad!$E$32)))</f>
        <v/>
      </c>
      <c r="J386" t="str">
        <f>IF($A386="","",IF($D386="V01",cad!$C$33,IF($D386="V02",cad!$D$33,cad!$E$33)))</f>
        <v/>
      </c>
      <c r="K386" t="str">
        <f>IF($A386="","",IF($D386="V01",cad!$C$34,IF($D386="V02",cad!$D$34,cad!$E$34)))</f>
        <v/>
      </c>
      <c r="L386" t="str">
        <f>IF($A386="","",IF($D386="V01",cad!$C$35,IF($D386="V02",cad!$D$35,cad!$E$35)))</f>
        <v/>
      </c>
      <c r="M386" t="str">
        <f>IF($A386="","",IF($D386="V01",cad!$C$36,IF($D386="V02",cad!$D$36,cad!$E$36)))</f>
        <v/>
      </c>
      <c r="N386" t="str">
        <f t="shared" ref="N386:N449" si="25">IF($A386="","",IF($D386="V01",$R$2,IF($D386="V02",$R$3,$R$4)))</f>
        <v/>
      </c>
      <c r="O386" t="str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 t="str">
        <f>IF($A386="","",IF($E386=1,$F386*$O386,PNL!G386))</f>
        <v/>
      </c>
      <c r="T386" t="str">
        <f t="shared" ref="T386:T449" si="27">IF($A386="","",IF($E386=1,IF(OR($B386="7062",$B386="706",$B386="708"),$P386,IF(AND(LEFT($B386,1)="6",$B386&lt;&gt;"6811"),-$P386,0)),0))</f>
        <v/>
      </c>
    </row>
    <row r="387" spans="1:20" x14ac:dyDescent="0.45">
      <c r="A387" t="str">
        <f>IF(PNL!A387="","",PNL!A387)</f>
        <v/>
      </c>
      <c r="B387" t="str">
        <f>IF(PNL!B387="","",PNL!B387)</f>
        <v/>
      </c>
      <c r="C387" t="str">
        <f>IF(PNL!C387="","",PNL!C387)</f>
        <v/>
      </c>
      <c r="D387" t="str">
        <f>IF(PNL!D387="","",PNL!D387)</f>
        <v/>
      </c>
      <c r="E387" t="str">
        <f t="shared" si="24"/>
        <v/>
      </c>
      <c r="F387" t="str">
        <f>IF($A387="","",IF($E387=1,SUMIFS(Compta!$F$1:$F$675,Compta!$A$1:$A$675,$A387,Compta!$B$1:$B$675,$B387,Compta!$C$1:$C$675,"2026"),0))</f>
        <v/>
      </c>
      <c r="G387" t="str">
        <f>IF($A387="","",IF($D387="V01",cad!$C$23,IF($D387="V02",cad!$D$23,cad!$E$23)))</f>
        <v/>
      </c>
      <c r="H387" t="str">
        <f>IF($A387="","",IF($D387="V01",cad!$C$24,IF($D387="V02",cad!$D$24,cad!$E$24)))</f>
        <v/>
      </c>
      <c r="I387" t="str">
        <f>IF($A387="","",IF($D387="V01",cad!$C$32,IF($D387="V02",cad!$D$32,cad!$E$32)))</f>
        <v/>
      </c>
      <c r="J387" t="str">
        <f>IF($A387="","",IF($D387="V01",cad!$C$33,IF($D387="V02",cad!$D$33,cad!$E$33)))</f>
        <v/>
      </c>
      <c r="K387" t="str">
        <f>IF($A387="","",IF($D387="V01",cad!$C$34,IF($D387="V02",cad!$D$34,cad!$E$34)))</f>
        <v/>
      </c>
      <c r="L387" t="str">
        <f>IF($A387="","",IF($D387="V01",cad!$C$35,IF($D387="V02",cad!$D$35,cad!$E$35)))</f>
        <v/>
      </c>
      <c r="M387" t="str">
        <f>IF($A387="","",IF($D387="V01",cad!$C$36,IF($D387="V02",cad!$D$36,cad!$E$36)))</f>
        <v/>
      </c>
      <c r="N387" t="str">
        <f t="shared" si="25"/>
        <v/>
      </c>
      <c r="O387" t="str">
        <f t="shared" si="26"/>
        <v/>
      </c>
      <c r="P387" t="str">
        <f>IF($A387="","",IF($E387=1,$F387*$O387,PNL!G387))</f>
        <v/>
      </c>
      <c r="T387" t="str">
        <f t="shared" si="27"/>
        <v/>
      </c>
    </row>
    <row r="388" spans="1:20" x14ac:dyDescent="0.45">
      <c r="A388" t="str">
        <f>IF(PNL!A388="","",PNL!A388)</f>
        <v/>
      </c>
      <c r="B388" t="str">
        <f>IF(PNL!B388="","",PNL!B388)</f>
        <v/>
      </c>
      <c r="C388" t="str">
        <f>IF(PNL!C388="","",PNL!C388)</f>
        <v/>
      </c>
      <c r="D388" t="str">
        <f>IF(PNL!D388="","",PNL!D388)</f>
        <v/>
      </c>
      <c r="E388" t="str">
        <f t="shared" si="24"/>
        <v/>
      </c>
      <c r="F388" t="str">
        <f>IF($A388="","",IF($E388=1,SUMIFS(Compta!$F$1:$F$675,Compta!$A$1:$A$675,$A388,Compta!$B$1:$B$675,$B388,Compta!$C$1:$C$675,"2026"),0))</f>
        <v/>
      </c>
      <c r="G388" t="str">
        <f>IF($A388="","",IF($D388="V01",cad!$C$23,IF($D388="V02",cad!$D$23,cad!$E$23)))</f>
        <v/>
      </c>
      <c r="H388" t="str">
        <f>IF($A388="","",IF($D388="V01",cad!$C$24,IF($D388="V02",cad!$D$24,cad!$E$24)))</f>
        <v/>
      </c>
      <c r="I388" t="str">
        <f>IF($A388="","",IF($D388="V01",cad!$C$32,IF($D388="V02",cad!$D$32,cad!$E$32)))</f>
        <v/>
      </c>
      <c r="J388" t="str">
        <f>IF($A388="","",IF($D388="V01",cad!$C$33,IF($D388="V02",cad!$D$33,cad!$E$33)))</f>
        <v/>
      </c>
      <c r="K388" t="str">
        <f>IF($A388="","",IF($D388="V01",cad!$C$34,IF($D388="V02",cad!$D$34,cad!$E$34)))</f>
        <v/>
      </c>
      <c r="L388" t="str">
        <f>IF($A388="","",IF($D388="V01",cad!$C$35,IF($D388="V02",cad!$D$35,cad!$E$35)))</f>
        <v/>
      </c>
      <c r="M388" t="str">
        <f>IF($A388="","",IF($D388="V01",cad!$C$36,IF($D388="V02",cad!$D$36,cad!$E$36)))</f>
        <v/>
      </c>
      <c r="N388" t="str">
        <f t="shared" si="25"/>
        <v/>
      </c>
      <c r="O388" t="str">
        <f t="shared" si="26"/>
        <v/>
      </c>
      <c r="P388" t="str">
        <f>IF($A388="","",IF($E388=1,$F388*$O388,PNL!G388))</f>
        <v/>
      </c>
      <c r="T388" t="str">
        <f t="shared" si="27"/>
        <v/>
      </c>
    </row>
    <row r="389" spans="1:20" x14ac:dyDescent="0.45">
      <c r="A389" t="str">
        <f>IF(PNL!A389="","",PNL!A389)</f>
        <v/>
      </c>
      <c r="B389" t="str">
        <f>IF(PNL!B389="","",PNL!B389)</f>
        <v/>
      </c>
      <c r="C389" t="str">
        <f>IF(PNL!C389="","",PNL!C389)</f>
        <v/>
      </c>
      <c r="D389" t="str">
        <f>IF(PNL!D389="","",PNL!D389)</f>
        <v/>
      </c>
      <c r="E389" t="str">
        <f t="shared" si="24"/>
        <v/>
      </c>
      <c r="F389" t="str">
        <f>IF($A389="","",IF($E389=1,SUMIFS(Compta!$F$1:$F$675,Compta!$A$1:$A$675,$A389,Compta!$B$1:$B$675,$B389,Compta!$C$1:$C$675,"2026"),0))</f>
        <v/>
      </c>
      <c r="G389" t="str">
        <f>IF($A389="","",IF($D389="V01",cad!$C$23,IF($D389="V02",cad!$D$23,cad!$E$23)))</f>
        <v/>
      </c>
      <c r="H389" t="str">
        <f>IF($A389="","",IF($D389="V01",cad!$C$24,IF($D389="V02",cad!$D$24,cad!$E$24)))</f>
        <v/>
      </c>
      <c r="I389" t="str">
        <f>IF($A389="","",IF($D389="V01",cad!$C$32,IF($D389="V02",cad!$D$32,cad!$E$32)))</f>
        <v/>
      </c>
      <c r="J389" t="str">
        <f>IF($A389="","",IF($D389="V01",cad!$C$33,IF($D389="V02",cad!$D$33,cad!$E$33)))</f>
        <v/>
      </c>
      <c r="K389" t="str">
        <f>IF($A389="","",IF($D389="V01",cad!$C$34,IF($D389="V02",cad!$D$34,cad!$E$34)))</f>
        <v/>
      </c>
      <c r="L389" t="str">
        <f>IF($A389="","",IF($D389="V01",cad!$C$35,IF($D389="V02",cad!$D$35,cad!$E$35)))</f>
        <v/>
      </c>
      <c r="M389" t="str">
        <f>IF($A389="","",IF($D389="V01",cad!$C$36,IF($D389="V02",cad!$D$36,cad!$E$36)))</f>
        <v/>
      </c>
      <c r="N389" t="str">
        <f t="shared" si="25"/>
        <v/>
      </c>
      <c r="O389" t="str">
        <f t="shared" si="26"/>
        <v/>
      </c>
      <c r="P389" t="str">
        <f>IF($A389="","",IF($E389=1,$F389*$O389,PNL!G389))</f>
        <v/>
      </c>
      <c r="T389" t="str">
        <f t="shared" si="27"/>
        <v/>
      </c>
    </row>
    <row r="390" spans="1:20" x14ac:dyDescent="0.45">
      <c r="A390" t="str">
        <f>IF(PNL!A390="","",PNL!A390)</f>
        <v/>
      </c>
      <c r="B390" t="str">
        <f>IF(PNL!B390="","",PNL!B390)</f>
        <v/>
      </c>
      <c r="C390" t="str">
        <f>IF(PNL!C390="","",PNL!C390)</f>
        <v/>
      </c>
      <c r="D390" t="str">
        <f>IF(PNL!D390="","",PNL!D390)</f>
        <v/>
      </c>
      <c r="E390" t="str">
        <f t="shared" si="24"/>
        <v/>
      </c>
      <c r="F390" t="str">
        <f>IF($A390="","",IF($E390=1,SUMIFS(Compta!$F$1:$F$675,Compta!$A$1:$A$675,$A390,Compta!$B$1:$B$675,$B390,Compta!$C$1:$C$675,"2026"),0))</f>
        <v/>
      </c>
      <c r="G390" t="str">
        <f>IF($A390="","",IF($D390="V01",cad!$C$23,IF($D390="V02",cad!$D$23,cad!$E$23)))</f>
        <v/>
      </c>
      <c r="H390" t="str">
        <f>IF($A390="","",IF($D390="V01",cad!$C$24,IF($D390="V02",cad!$D$24,cad!$E$24)))</f>
        <v/>
      </c>
      <c r="I390" t="str">
        <f>IF($A390="","",IF($D390="V01",cad!$C$32,IF($D390="V02",cad!$D$32,cad!$E$32)))</f>
        <v/>
      </c>
      <c r="J390" t="str">
        <f>IF($A390="","",IF($D390="V01",cad!$C$33,IF($D390="V02",cad!$D$33,cad!$E$33)))</f>
        <v/>
      </c>
      <c r="K390" t="str">
        <f>IF($A390="","",IF($D390="V01",cad!$C$34,IF($D390="V02",cad!$D$34,cad!$E$34)))</f>
        <v/>
      </c>
      <c r="L390" t="str">
        <f>IF($A390="","",IF($D390="V01",cad!$C$35,IF($D390="V02",cad!$D$35,cad!$E$35)))</f>
        <v/>
      </c>
      <c r="M390" t="str">
        <f>IF($A390="","",IF($D390="V01",cad!$C$36,IF($D390="V02",cad!$D$36,cad!$E$36)))</f>
        <v/>
      </c>
      <c r="N390" t="str">
        <f t="shared" si="25"/>
        <v/>
      </c>
      <c r="O390" t="str">
        <f t="shared" si="26"/>
        <v/>
      </c>
      <c r="P390" t="str">
        <f>IF($A390="","",IF($E390=1,$F390*$O390,PNL!G390))</f>
        <v/>
      </c>
      <c r="T390" t="str">
        <f t="shared" si="27"/>
        <v/>
      </c>
    </row>
    <row r="391" spans="1:20" x14ac:dyDescent="0.45">
      <c r="A391" t="str">
        <f>IF(PNL!A391="","",PNL!A391)</f>
        <v/>
      </c>
      <c r="B391" t="str">
        <f>IF(PNL!B391="","",PNL!B391)</f>
        <v/>
      </c>
      <c r="C391" t="str">
        <f>IF(PNL!C391="","",PNL!C391)</f>
        <v/>
      </c>
      <c r="D391" t="str">
        <f>IF(PNL!D391="","",PNL!D391)</f>
        <v/>
      </c>
      <c r="E391" t="str">
        <f t="shared" si="24"/>
        <v/>
      </c>
      <c r="F391" t="str">
        <f>IF($A391="","",IF($E391=1,SUMIFS(Compta!$F$1:$F$675,Compta!$A$1:$A$675,$A391,Compta!$B$1:$B$675,$B391,Compta!$C$1:$C$675,"2026"),0))</f>
        <v/>
      </c>
      <c r="G391" t="str">
        <f>IF($A391="","",IF($D391="V01",cad!$C$23,IF($D391="V02",cad!$D$23,cad!$E$23)))</f>
        <v/>
      </c>
      <c r="H391" t="str">
        <f>IF($A391="","",IF($D391="V01",cad!$C$24,IF($D391="V02",cad!$D$24,cad!$E$24)))</f>
        <v/>
      </c>
      <c r="I391" t="str">
        <f>IF($A391="","",IF($D391="V01",cad!$C$32,IF($D391="V02",cad!$D$32,cad!$E$32)))</f>
        <v/>
      </c>
      <c r="J391" t="str">
        <f>IF($A391="","",IF($D391="V01",cad!$C$33,IF($D391="V02",cad!$D$33,cad!$E$33)))</f>
        <v/>
      </c>
      <c r="K391" t="str">
        <f>IF($A391="","",IF($D391="V01",cad!$C$34,IF($D391="V02",cad!$D$34,cad!$E$34)))</f>
        <v/>
      </c>
      <c r="L391" t="str">
        <f>IF($A391="","",IF($D391="V01",cad!$C$35,IF($D391="V02",cad!$D$35,cad!$E$35)))</f>
        <v/>
      </c>
      <c r="M391" t="str">
        <f>IF($A391="","",IF($D391="V01",cad!$C$36,IF($D391="V02",cad!$D$36,cad!$E$36)))</f>
        <v/>
      </c>
      <c r="N391" t="str">
        <f t="shared" si="25"/>
        <v/>
      </c>
      <c r="O391" t="str">
        <f t="shared" si="26"/>
        <v/>
      </c>
      <c r="P391" t="str">
        <f>IF($A391="","",IF($E391=1,$F391*$O391,PNL!G391))</f>
        <v/>
      </c>
      <c r="T391" t="str">
        <f t="shared" si="27"/>
        <v/>
      </c>
    </row>
    <row r="392" spans="1:20" x14ac:dyDescent="0.45">
      <c r="A392" t="str">
        <f>IF(PNL!A392="","",PNL!A392)</f>
        <v/>
      </c>
      <c r="B392" t="str">
        <f>IF(PNL!B392="","",PNL!B392)</f>
        <v/>
      </c>
      <c r="C392" t="str">
        <f>IF(PNL!C392="","",PNL!C392)</f>
        <v/>
      </c>
      <c r="D392" t="str">
        <f>IF(PNL!D392="","",PNL!D392)</f>
        <v/>
      </c>
      <c r="E392" t="str">
        <f t="shared" si="24"/>
        <v/>
      </c>
      <c r="F392" t="str">
        <f>IF($A392="","",IF($E392=1,SUMIFS(Compta!$F$1:$F$675,Compta!$A$1:$A$675,$A392,Compta!$B$1:$B$675,$B392,Compta!$C$1:$C$675,"2026"),0))</f>
        <v/>
      </c>
      <c r="G392" t="str">
        <f>IF($A392="","",IF($D392="V01",cad!$C$23,IF($D392="V02",cad!$D$23,cad!$E$23)))</f>
        <v/>
      </c>
      <c r="H392" t="str">
        <f>IF($A392="","",IF($D392="V01",cad!$C$24,IF($D392="V02",cad!$D$24,cad!$E$24)))</f>
        <v/>
      </c>
      <c r="I392" t="str">
        <f>IF($A392="","",IF($D392="V01",cad!$C$32,IF($D392="V02",cad!$D$32,cad!$E$32)))</f>
        <v/>
      </c>
      <c r="J392" t="str">
        <f>IF($A392="","",IF($D392="V01",cad!$C$33,IF($D392="V02",cad!$D$33,cad!$E$33)))</f>
        <v/>
      </c>
      <c r="K392" t="str">
        <f>IF($A392="","",IF($D392="V01",cad!$C$34,IF($D392="V02",cad!$D$34,cad!$E$34)))</f>
        <v/>
      </c>
      <c r="L392" t="str">
        <f>IF($A392="","",IF($D392="V01",cad!$C$35,IF($D392="V02",cad!$D$35,cad!$E$35)))</f>
        <v/>
      </c>
      <c r="M392" t="str">
        <f>IF($A392="","",IF($D392="V01",cad!$C$36,IF($D392="V02",cad!$D$36,cad!$E$36)))</f>
        <v/>
      </c>
      <c r="N392" t="str">
        <f t="shared" si="25"/>
        <v/>
      </c>
      <c r="O392" t="str">
        <f t="shared" si="26"/>
        <v/>
      </c>
      <c r="P392" t="str">
        <f>IF($A392="","",IF($E392=1,$F392*$O392,PNL!G392))</f>
        <v/>
      </c>
      <c r="T392" t="str">
        <f t="shared" si="27"/>
        <v/>
      </c>
    </row>
    <row r="393" spans="1:20" x14ac:dyDescent="0.45">
      <c r="A393" t="str">
        <f>IF(PNL!A393="","",PNL!A393)</f>
        <v/>
      </c>
      <c r="B393" t="str">
        <f>IF(PNL!B393="","",PNL!B393)</f>
        <v/>
      </c>
      <c r="C393" t="str">
        <f>IF(PNL!C393="","",PNL!C393)</f>
        <v/>
      </c>
      <c r="D393" t="str">
        <f>IF(PNL!D393="","",PNL!D393)</f>
        <v/>
      </c>
      <c r="E393" t="str">
        <f t="shared" si="24"/>
        <v/>
      </c>
      <c r="F393" t="str">
        <f>IF($A393="","",IF($E393=1,SUMIFS(Compta!$F$1:$F$675,Compta!$A$1:$A$675,$A393,Compta!$B$1:$B$675,$B393,Compta!$C$1:$C$675,"2026"),0))</f>
        <v/>
      </c>
      <c r="G393" t="str">
        <f>IF($A393="","",IF($D393="V01",cad!$C$23,IF($D393="V02",cad!$D$23,cad!$E$23)))</f>
        <v/>
      </c>
      <c r="H393" t="str">
        <f>IF($A393="","",IF($D393="V01",cad!$C$24,IF($D393="V02",cad!$D$24,cad!$E$24)))</f>
        <v/>
      </c>
      <c r="I393" t="str">
        <f>IF($A393="","",IF($D393="V01",cad!$C$32,IF($D393="V02",cad!$D$32,cad!$E$32)))</f>
        <v/>
      </c>
      <c r="J393" t="str">
        <f>IF($A393="","",IF($D393="V01",cad!$C$33,IF($D393="V02",cad!$D$33,cad!$E$33)))</f>
        <v/>
      </c>
      <c r="K393" t="str">
        <f>IF($A393="","",IF($D393="V01",cad!$C$34,IF($D393="V02",cad!$D$34,cad!$E$34)))</f>
        <v/>
      </c>
      <c r="L393" t="str">
        <f>IF($A393="","",IF($D393="V01",cad!$C$35,IF($D393="V02",cad!$D$35,cad!$E$35)))</f>
        <v/>
      </c>
      <c r="M393" t="str">
        <f>IF($A393="","",IF($D393="V01",cad!$C$36,IF($D393="V02",cad!$D$36,cad!$E$36)))</f>
        <v/>
      </c>
      <c r="N393" t="str">
        <f t="shared" si="25"/>
        <v/>
      </c>
      <c r="O393" t="str">
        <f t="shared" si="26"/>
        <v/>
      </c>
      <c r="P393" t="str">
        <f>IF($A393="","",IF($E393=1,$F393*$O393,PNL!G393))</f>
        <v/>
      </c>
      <c r="T393" t="str">
        <f t="shared" si="27"/>
        <v/>
      </c>
    </row>
    <row r="394" spans="1:20" x14ac:dyDescent="0.45">
      <c r="A394" t="str">
        <f>IF(PNL!A394="","",PNL!A394)</f>
        <v/>
      </c>
      <c r="B394" t="str">
        <f>IF(PNL!B394="","",PNL!B394)</f>
        <v/>
      </c>
      <c r="C394" t="str">
        <f>IF(PNL!C394="","",PNL!C394)</f>
        <v/>
      </c>
      <c r="D394" t="str">
        <f>IF(PNL!D394="","",PNL!D394)</f>
        <v/>
      </c>
      <c r="E394" t="str">
        <f t="shared" si="24"/>
        <v/>
      </c>
      <c r="F394" t="str">
        <f>IF($A394="","",IF($E394=1,SUMIFS(Compta!$F$1:$F$675,Compta!$A$1:$A$675,$A394,Compta!$B$1:$B$675,$B394,Compta!$C$1:$C$675,"2026"),0))</f>
        <v/>
      </c>
      <c r="G394" t="str">
        <f>IF($A394="","",IF($D394="V01",cad!$C$23,IF($D394="V02",cad!$D$23,cad!$E$23)))</f>
        <v/>
      </c>
      <c r="H394" t="str">
        <f>IF($A394="","",IF($D394="V01",cad!$C$24,IF($D394="V02",cad!$D$24,cad!$E$24)))</f>
        <v/>
      </c>
      <c r="I394" t="str">
        <f>IF($A394="","",IF($D394="V01",cad!$C$32,IF($D394="V02",cad!$D$32,cad!$E$32)))</f>
        <v/>
      </c>
      <c r="J394" t="str">
        <f>IF($A394="","",IF($D394="V01",cad!$C$33,IF($D394="V02",cad!$D$33,cad!$E$33)))</f>
        <v/>
      </c>
      <c r="K394" t="str">
        <f>IF($A394="","",IF($D394="V01",cad!$C$34,IF($D394="V02",cad!$D$34,cad!$E$34)))</f>
        <v/>
      </c>
      <c r="L394" t="str">
        <f>IF($A394="","",IF($D394="V01",cad!$C$35,IF($D394="V02",cad!$D$35,cad!$E$35)))</f>
        <v/>
      </c>
      <c r="M394" t="str">
        <f>IF($A394="","",IF($D394="V01",cad!$C$36,IF($D394="V02",cad!$D$36,cad!$E$36)))</f>
        <v/>
      </c>
      <c r="N394" t="str">
        <f t="shared" si="25"/>
        <v/>
      </c>
      <c r="O394" t="str">
        <f t="shared" si="26"/>
        <v/>
      </c>
      <c r="P394" t="str">
        <f>IF($A394="","",IF($E394=1,$F394*$O394,PNL!G394))</f>
        <v/>
      </c>
      <c r="T394" t="str">
        <f t="shared" si="27"/>
        <v/>
      </c>
    </row>
    <row r="395" spans="1:20" x14ac:dyDescent="0.45">
      <c r="A395" t="str">
        <f>IF(PNL!A395="","",PNL!A395)</f>
        <v/>
      </c>
      <c r="B395" t="str">
        <f>IF(PNL!B395="","",PNL!B395)</f>
        <v/>
      </c>
      <c r="C395" t="str">
        <f>IF(PNL!C395="","",PNL!C395)</f>
        <v/>
      </c>
      <c r="D395" t="str">
        <f>IF(PNL!D395="","",PNL!D395)</f>
        <v/>
      </c>
      <c r="E395" t="str">
        <f t="shared" si="24"/>
        <v/>
      </c>
      <c r="F395" t="str">
        <f>IF($A395="","",IF($E395=1,SUMIFS(Compta!$F$1:$F$675,Compta!$A$1:$A$675,$A395,Compta!$B$1:$B$675,$B395,Compta!$C$1:$C$675,"2026"),0))</f>
        <v/>
      </c>
      <c r="G395" t="str">
        <f>IF($A395="","",IF($D395="V01",cad!$C$23,IF($D395="V02",cad!$D$23,cad!$E$23)))</f>
        <v/>
      </c>
      <c r="H395" t="str">
        <f>IF($A395="","",IF($D395="V01",cad!$C$24,IF($D395="V02",cad!$D$24,cad!$E$24)))</f>
        <v/>
      </c>
      <c r="I395" t="str">
        <f>IF($A395="","",IF($D395="V01",cad!$C$32,IF($D395="V02",cad!$D$32,cad!$E$32)))</f>
        <v/>
      </c>
      <c r="J395" t="str">
        <f>IF($A395="","",IF($D395="V01",cad!$C$33,IF($D395="V02",cad!$D$33,cad!$E$33)))</f>
        <v/>
      </c>
      <c r="K395" t="str">
        <f>IF($A395="","",IF($D395="V01",cad!$C$34,IF($D395="V02",cad!$D$34,cad!$E$34)))</f>
        <v/>
      </c>
      <c r="L395" t="str">
        <f>IF($A395="","",IF($D395="V01",cad!$C$35,IF($D395="V02",cad!$D$35,cad!$E$35)))</f>
        <v/>
      </c>
      <c r="M395" t="str">
        <f>IF($A395="","",IF($D395="V01",cad!$C$36,IF($D395="V02",cad!$D$36,cad!$E$36)))</f>
        <v/>
      </c>
      <c r="N395" t="str">
        <f t="shared" si="25"/>
        <v/>
      </c>
      <c r="O395" t="str">
        <f t="shared" si="26"/>
        <v/>
      </c>
      <c r="P395" t="str">
        <f>IF($A395="","",IF($E395=1,$F395*$O395,PNL!G395))</f>
        <v/>
      </c>
      <c r="T395" t="str">
        <f t="shared" si="27"/>
        <v/>
      </c>
    </row>
    <row r="396" spans="1:20" x14ac:dyDescent="0.45">
      <c r="A396" t="str">
        <f>IF(PNL!A396="","",PNL!A396)</f>
        <v/>
      </c>
      <c r="B396" t="str">
        <f>IF(PNL!B396="","",PNL!B396)</f>
        <v/>
      </c>
      <c r="C396" t="str">
        <f>IF(PNL!C396="","",PNL!C396)</f>
        <v/>
      </c>
      <c r="D396" t="str">
        <f>IF(PNL!D396="","",PNL!D396)</f>
        <v/>
      </c>
      <c r="E396" t="str">
        <f t="shared" si="24"/>
        <v/>
      </c>
      <c r="F396" t="str">
        <f>IF($A396="","",IF($E396=1,SUMIFS(Compta!$F$1:$F$675,Compta!$A$1:$A$675,$A396,Compta!$B$1:$B$675,$B396,Compta!$C$1:$C$675,"2026"),0))</f>
        <v/>
      </c>
      <c r="G396" t="str">
        <f>IF($A396="","",IF($D396="V01",cad!$C$23,IF($D396="V02",cad!$D$23,cad!$E$23)))</f>
        <v/>
      </c>
      <c r="H396" t="str">
        <f>IF($A396="","",IF($D396="V01",cad!$C$24,IF($D396="V02",cad!$D$24,cad!$E$24)))</f>
        <v/>
      </c>
      <c r="I396" t="str">
        <f>IF($A396="","",IF($D396="V01",cad!$C$32,IF($D396="V02",cad!$D$32,cad!$E$32)))</f>
        <v/>
      </c>
      <c r="J396" t="str">
        <f>IF($A396="","",IF($D396="V01",cad!$C$33,IF($D396="V02",cad!$D$33,cad!$E$33)))</f>
        <v/>
      </c>
      <c r="K396" t="str">
        <f>IF($A396="","",IF($D396="V01",cad!$C$34,IF($D396="V02",cad!$D$34,cad!$E$34)))</f>
        <v/>
      </c>
      <c r="L396" t="str">
        <f>IF($A396="","",IF($D396="V01",cad!$C$35,IF($D396="V02",cad!$D$35,cad!$E$35)))</f>
        <v/>
      </c>
      <c r="M396" t="str">
        <f>IF($A396="","",IF($D396="V01",cad!$C$36,IF($D396="V02",cad!$D$36,cad!$E$36)))</f>
        <v/>
      </c>
      <c r="N396" t="str">
        <f t="shared" si="25"/>
        <v/>
      </c>
      <c r="O396" t="str">
        <f t="shared" si="26"/>
        <v/>
      </c>
      <c r="P396" t="str">
        <f>IF($A396="","",IF($E396=1,$F396*$O396,PNL!G396))</f>
        <v/>
      </c>
      <c r="T396" t="str">
        <f t="shared" si="27"/>
        <v/>
      </c>
    </row>
    <row r="397" spans="1:20" x14ac:dyDescent="0.45">
      <c r="A397" t="str">
        <f>IF(PNL!A397="","",PNL!A397)</f>
        <v/>
      </c>
      <c r="B397" t="str">
        <f>IF(PNL!B397="","",PNL!B397)</f>
        <v/>
      </c>
      <c r="C397" t="str">
        <f>IF(PNL!C397="","",PNL!C397)</f>
        <v/>
      </c>
      <c r="D397" t="str">
        <f>IF(PNL!D397="","",PNL!D397)</f>
        <v/>
      </c>
      <c r="E397" t="str">
        <f t="shared" si="24"/>
        <v/>
      </c>
      <c r="F397" t="str">
        <f>IF($A397="","",IF($E397=1,SUMIFS(Compta!$F$1:$F$675,Compta!$A$1:$A$675,$A397,Compta!$B$1:$B$675,$B397,Compta!$C$1:$C$675,"2026"),0))</f>
        <v/>
      </c>
      <c r="G397" t="str">
        <f>IF($A397="","",IF($D397="V01",cad!$C$23,IF($D397="V02",cad!$D$23,cad!$E$23)))</f>
        <v/>
      </c>
      <c r="H397" t="str">
        <f>IF($A397="","",IF($D397="V01",cad!$C$24,IF($D397="V02",cad!$D$24,cad!$E$24)))</f>
        <v/>
      </c>
      <c r="I397" t="str">
        <f>IF($A397="","",IF($D397="V01",cad!$C$32,IF($D397="V02",cad!$D$32,cad!$E$32)))</f>
        <v/>
      </c>
      <c r="J397" t="str">
        <f>IF($A397="","",IF($D397="V01",cad!$C$33,IF($D397="V02",cad!$D$33,cad!$E$33)))</f>
        <v/>
      </c>
      <c r="K397" t="str">
        <f>IF($A397="","",IF($D397="V01",cad!$C$34,IF($D397="V02",cad!$D$34,cad!$E$34)))</f>
        <v/>
      </c>
      <c r="L397" t="str">
        <f>IF($A397="","",IF($D397="V01",cad!$C$35,IF($D397="V02",cad!$D$35,cad!$E$35)))</f>
        <v/>
      </c>
      <c r="M397" t="str">
        <f>IF($A397="","",IF($D397="V01",cad!$C$36,IF($D397="V02",cad!$D$36,cad!$E$36)))</f>
        <v/>
      </c>
      <c r="N397" t="str">
        <f t="shared" si="25"/>
        <v/>
      </c>
      <c r="O397" t="str">
        <f t="shared" si="26"/>
        <v/>
      </c>
      <c r="P397" t="str">
        <f>IF($A397="","",IF($E397=1,$F397*$O397,PNL!G397))</f>
        <v/>
      </c>
      <c r="T397" t="str">
        <f t="shared" si="27"/>
        <v/>
      </c>
    </row>
    <row r="398" spans="1:20" x14ac:dyDescent="0.45">
      <c r="A398" t="str">
        <f>IF(PNL!A398="","",PNL!A398)</f>
        <v/>
      </c>
      <c r="B398" t="str">
        <f>IF(PNL!B398="","",PNL!B398)</f>
        <v/>
      </c>
      <c r="C398" t="str">
        <f>IF(PNL!C398="","",PNL!C398)</f>
        <v/>
      </c>
      <c r="D398" t="str">
        <f>IF(PNL!D398="","",PNL!D398)</f>
        <v/>
      </c>
      <c r="E398" t="str">
        <f t="shared" si="24"/>
        <v/>
      </c>
      <c r="F398" t="str">
        <f>IF($A398="","",IF($E398=1,SUMIFS(Compta!$F$1:$F$675,Compta!$A$1:$A$675,$A398,Compta!$B$1:$B$675,$B398,Compta!$C$1:$C$675,"2026"),0))</f>
        <v/>
      </c>
      <c r="G398" t="str">
        <f>IF($A398="","",IF($D398="V01",cad!$C$23,IF($D398="V02",cad!$D$23,cad!$E$23)))</f>
        <v/>
      </c>
      <c r="H398" t="str">
        <f>IF($A398="","",IF($D398="V01",cad!$C$24,IF($D398="V02",cad!$D$24,cad!$E$24)))</f>
        <v/>
      </c>
      <c r="I398" t="str">
        <f>IF($A398="","",IF($D398="V01",cad!$C$32,IF($D398="V02",cad!$D$32,cad!$E$32)))</f>
        <v/>
      </c>
      <c r="J398" t="str">
        <f>IF($A398="","",IF($D398="V01",cad!$C$33,IF($D398="V02",cad!$D$33,cad!$E$33)))</f>
        <v/>
      </c>
      <c r="K398" t="str">
        <f>IF($A398="","",IF($D398="V01",cad!$C$34,IF($D398="V02",cad!$D$34,cad!$E$34)))</f>
        <v/>
      </c>
      <c r="L398" t="str">
        <f>IF($A398="","",IF($D398="V01",cad!$C$35,IF($D398="V02",cad!$D$35,cad!$E$35)))</f>
        <v/>
      </c>
      <c r="M398" t="str">
        <f>IF($A398="","",IF($D398="V01",cad!$C$36,IF($D398="V02",cad!$D$36,cad!$E$36)))</f>
        <v/>
      </c>
      <c r="N398" t="str">
        <f t="shared" si="25"/>
        <v/>
      </c>
      <c r="O398" t="str">
        <f t="shared" si="26"/>
        <v/>
      </c>
      <c r="P398" t="str">
        <f>IF($A398="","",IF($E398=1,$F398*$O398,PNL!G398))</f>
        <v/>
      </c>
      <c r="T398" t="str">
        <f t="shared" si="27"/>
        <v/>
      </c>
    </row>
    <row r="399" spans="1:20" x14ac:dyDescent="0.45">
      <c r="A399" t="str">
        <f>IF(PNL!A399="","",PNL!A399)</f>
        <v/>
      </c>
      <c r="B399" t="str">
        <f>IF(PNL!B399="","",PNL!B399)</f>
        <v/>
      </c>
      <c r="C399" t="str">
        <f>IF(PNL!C399="","",PNL!C399)</f>
        <v/>
      </c>
      <c r="D399" t="str">
        <f>IF(PNL!D399="","",PNL!D399)</f>
        <v/>
      </c>
      <c r="E399" t="str">
        <f t="shared" si="24"/>
        <v/>
      </c>
      <c r="F399" t="str">
        <f>IF($A399="","",IF($E399=1,SUMIFS(Compta!$F$1:$F$675,Compta!$A$1:$A$675,$A399,Compta!$B$1:$B$675,$B399,Compta!$C$1:$C$675,"2026"),0))</f>
        <v/>
      </c>
      <c r="G399" t="str">
        <f>IF($A399="","",IF($D399="V01",cad!$C$23,IF($D399="V02",cad!$D$23,cad!$E$23)))</f>
        <v/>
      </c>
      <c r="H399" t="str">
        <f>IF($A399="","",IF($D399="V01",cad!$C$24,IF($D399="V02",cad!$D$24,cad!$E$24)))</f>
        <v/>
      </c>
      <c r="I399" t="str">
        <f>IF($A399="","",IF($D399="V01",cad!$C$32,IF($D399="V02",cad!$D$32,cad!$E$32)))</f>
        <v/>
      </c>
      <c r="J399" t="str">
        <f>IF($A399="","",IF($D399="V01",cad!$C$33,IF($D399="V02",cad!$D$33,cad!$E$33)))</f>
        <v/>
      </c>
      <c r="K399" t="str">
        <f>IF($A399="","",IF($D399="V01",cad!$C$34,IF($D399="V02",cad!$D$34,cad!$E$34)))</f>
        <v/>
      </c>
      <c r="L399" t="str">
        <f>IF($A399="","",IF($D399="V01",cad!$C$35,IF($D399="V02",cad!$D$35,cad!$E$35)))</f>
        <v/>
      </c>
      <c r="M399" t="str">
        <f>IF($A399="","",IF($D399="V01",cad!$C$36,IF($D399="V02",cad!$D$36,cad!$E$36)))</f>
        <v/>
      </c>
      <c r="N399" t="str">
        <f t="shared" si="25"/>
        <v/>
      </c>
      <c r="O399" t="str">
        <f t="shared" si="26"/>
        <v/>
      </c>
      <c r="P399" t="str">
        <f>IF($A399="","",IF($E399=1,$F399*$O399,PNL!G399))</f>
        <v/>
      </c>
      <c r="T399" t="str">
        <f t="shared" si="27"/>
        <v/>
      </c>
    </row>
    <row r="400" spans="1:20" x14ac:dyDescent="0.45">
      <c r="A400" t="str">
        <f>IF(PNL!A400="","",PNL!A400)</f>
        <v/>
      </c>
      <c r="B400" t="str">
        <f>IF(PNL!B400="","",PNL!B400)</f>
        <v/>
      </c>
      <c r="C400" t="str">
        <f>IF(PNL!C400="","",PNL!C400)</f>
        <v/>
      </c>
      <c r="D400" t="str">
        <f>IF(PNL!D400="","",PNL!D400)</f>
        <v/>
      </c>
      <c r="E400" t="str">
        <f t="shared" si="24"/>
        <v/>
      </c>
      <c r="F400" t="str">
        <f>IF($A400="","",IF($E400=1,SUMIFS(Compta!$F$1:$F$675,Compta!$A$1:$A$675,$A400,Compta!$B$1:$B$675,$B400,Compta!$C$1:$C$675,"2026"),0))</f>
        <v/>
      </c>
      <c r="G400" t="str">
        <f>IF($A400="","",IF($D400="V01",cad!$C$23,IF($D400="V02",cad!$D$23,cad!$E$23)))</f>
        <v/>
      </c>
      <c r="H400" t="str">
        <f>IF($A400="","",IF($D400="V01",cad!$C$24,IF($D400="V02",cad!$D$24,cad!$E$24)))</f>
        <v/>
      </c>
      <c r="I400" t="str">
        <f>IF($A400="","",IF($D400="V01",cad!$C$32,IF($D400="V02",cad!$D$32,cad!$E$32)))</f>
        <v/>
      </c>
      <c r="J400" t="str">
        <f>IF($A400="","",IF($D400="V01",cad!$C$33,IF($D400="V02",cad!$D$33,cad!$E$33)))</f>
        <v/>
      </c>
      <c r="K400" t="str">
        <f>IF($A400="","",IF($D400="V01",cad!$C$34,IF($D400="V02",cad!$D$34,cad!$E$34)))</f>
        <v/>
      </c>
      <c r="L400" t="str">
        <f>IF($A400="","",IF($D400="V01",cad!$C$35,IF($D400="V02",cad!$D$35,cad!$E$35)))</f>
        <v/>
      </c>
      <c r="M400" t="str">
        <f>IF($A400="","",IF($D400="V01",cad!$C$36,IF($D400="V02",cad!$D$36,cad!$E$36)))</f>
        <v/>
      </c>
      <c r="N400" t="str">
        <f t="shared" si="25"/>
        <v/>
      </c>
      <c r="O400" t="str">
        <f t="shared" si="26"/>
        <v/>
      </c>
      <c r="P400" t="str">
        <f>IF($A400="","",IF($E400=1,$F400*$O400,PNL!G400))</f>
        <v/>
      </c>
      <c r="T400" t="str">
        <f t="shared" si="27"/>
        <v/>
      </c>
    </row>
    <row r="401" spans="1:20" x14ac:dyDescent="0.45">
      <c r="A401" t="str">
        <f>IF(PNL!A401="","",PNL!A401)</f>
        <v/>
      </c>
      <c r="B401" t="str">
        <f>IF(PNL!B401="","",PNL!B401)</f>
        <v/>
      </c>
      <c r="C401" t="str">
        <f>IF(PNL!C401="","",PNL!C401)</f>
        <v/>
      </c>
      <c r="D401" t="str">
        <f>IF(PNL!D401="","",PNL!D401)</f>
        <v/>
      </c>
      <c r="E401" t="str">
        <f t="shared" si="24"/>
        <v/>
      </c>
      <c r="F401" t="str">
        <f>IF($A401="","",IF($E401=1,SUMIFS(Compta!$F$1:$F$675,Compta!$A$1:$A$675,$A401,Compta!$B$1:$B$675,$B401,Compta!$C$1:$C$675,"2026"),0))</f>
        <v/>
      </c>
      <c r="G401" t="str">
        <f>IF($A401="","",IF($D401="V01",cad!$C$23,IF($D401="V02",cad!$D$23,cad!$E$23)))</f>
        <v/>
      </c>
      <c r="H401" t="str">
        <f>IF($A401="","",IF($D401="V01",cad!$C$24,IF($D401="V02",cad!$D$24,cad!$E$24)))</f>
        <v/>
      </c>
      <c r="I401" t="str">
        <f>IF($A401="","",IF($D401="V01",cad!$C$32,IF($D401="V02",cad!$D$32,cad!$E$32)))</f>
        <v/>
      </c>
      <c r="J401" t="str">
        <f>IF($A401="","",IF($D401="V01",cad!$C$33,IF($D401="V02",cad!$D$33,cad!$E$33)))</f>
        <v/>
      </c>
      <c r="K401" t="str">
        <f>IF($A401="","",IF($D401="V01",cad!$C$34,IF($D401="V02",cad!$D$34,cad!$E$34)))</f>
        <v/>
      </c>
      <c r="L401" t="str">
        <f>IF($A401="","",IF($D401="V01",cad!$C$35,IF($D401="V02",cad!$D$35,cad!$E$35)))</f>
        <v/>
      </c>
      <c r="M401" t="str">
        <f>IF($A401="","",IF($D401="V01",cad!$C$36,IF($D401="V02",cad!$D$36,cad!$E$36)))</f>
        <v/>
      </c>
      <c r="N401" t="str">
        <f t="shared" si="25"/>
        <v/>
      </c>
      <c r="O401" t="str">
        <f t="shared" si="26"/>
        <v/>
      </c>
      <c r="P401" t="str">
        <f>IF($A401="","",IF($E401=1,$F401*$O401,PNL!G401))</f>
        <v/>
      </c>
      <c r="T401" t="str">
        <f t="shared" si="27"/>
        <v/>
      </c>
    </row>
    <row r="402" spans="1:20" x14ac:dyDescent="0.45">
      <c r="A402" t="str">
        <f>IF(PNL!A402="","",PNL!A402)</f>
        <v/>
      </c>
      <c r="B402" t="str">
        <f>IF(PNL!B402="","",PNL!B402)</f>
        <v/>
      </c>
      <c r="C402" t="str">
        <f>IF(PNL!C402="","",PNL!C402)</f>
        <v/>
      </c>
      <c r="D402" t="str">
        <f>IF(PNL!D402="","",PNL!D402)</f>
        <v/>
      </c>
      <c r="E402" t="str">
        <f t="shared" si="24"/>
        <v/>
      </c>
      <c r="F402" t="str">
        <f>IF($A402="","",IF($E402=1,SUMIFS(Compta!$F$1:$F$675,Compta!$A$1:$A$675,$A402,Compta!$B$1:$B$675,$B402,Compta!$C$1:$C$675,"2026"),0))</f>
        <v/>
      </c>
      <c r="G402" t="str">
        <f>IF($A402="","",IF($D402="V01",cad!$C$23,IF($D402="V02",cad!$D$23,cad!$E$23)))</f>
        <v/>
      </c>
      <c r="H402" t="str">
        <f>IF($A402="","",IF($D402="V01",cad!$C$24,IF($D402="V02",cad!$D$24,cad!$E$24)))</f>
        <v/>
      </c>
      <c r="I402" t="str">
        <f>IF($A402="","",IF($D402="V01",cad!$C$32,IF($D402="V02",cad!$D$32,cad!$E$32)))</f>
        <v/>
      </c>
      <c r="J402" t="str">
        <f>IF($A402="","",IF($D402="V01",cad!$C$33,IF($D402="V02",cad!$D$33,cad!$E$33)))</f>
        <v/>
      </c>
      <c r="K402" t="str">
        <f>IF($A402="","",IF($D402="V01",cad!$C$34,IF($D402="V02",cad!$D$34,cad!$E$34)))</f>
        <v/>
      </c>
      <c r="L402" t="str">
        <f>IF($A402="","",IF($D402="V01",cad!$C$35,IF($D402="V02",cad!$D$35,cad!$E$35)))</f>
        <v/>
      </c>
      <c r="M402" t="str">
        <f>IF($A402="","",IF($D402="V01",cad!$C$36,IF($D402="V02",cad!$D$36,cad!$E$36)))</f>
        <v/>
      </c>
      <c r="N402" t="str">
        <f t="shared" si="25"/>
        <v/>
      </c>
      <c r="O402" t="str">
        <f t="shared" si="26"/>
        <v/>
      </c>
      <c r="P402" t="str">
        <f>IF($A402="","",IF($E402=1,$F402*$O402,PNL!G402))</f>
        <v/>
      </c>
      <c r="T402" t="str">
        <f t="shared" si="27"/>
        <v/>
      </c>
    </row>
    <row r="403" spans="1:20" x14ac:dyDescent="0.45">
      <c r="A403" t="str">
        <f>IF(PNL!A403="","",PNL!A403)</f>
        <v/>
      </c>
      <c r="B403" t="str">
        <f>IF(PNL!B403="","",PNL!B403)</f>
        <v/>
      </c>
      <c r="C403" t="str">
        <f>IF(PNL!C403="","",PNL!C403)</f>
        <v/>
      </c>
      <c r="D403" t="str">
        <f>IF(PNL!D403="","",PNL!D403)</f>
        <v/>
      </c>
      <c r="E403" t="str">
        <f t="shared" si="24"/>
        <v/>
      </c>
      <c r="F403" t="str">
        <f>IF($A403="","",IF($E403=1,SUMIFS(Compta!$F$1:$F$675,Compta!$A$1:$A$675,$A403,Compta!$B$1:$B$675,$B403,Compta!$C$1:$C$675,"2026"),0))</f>
        <v/>
      </c>
      <c r="G403" t="str">
        <f>IF($A403="","",IF($D403="V01",cad!$C$23,IF($D403="V02",cad!$D$23,cad!$E$23)))</f>
        <v/>
      </c>
      <c r="H403" t="str">
        <f>IF($A403="","",IF($D403="V01",cad!$C$24,IF($D403="V02",cad!$D$24,cad!$E$24)))</f>
        <v/>
      </c>
      <c r="I403" t="str">
        <f>IF($A403="","",IF($D403="V01",cad!$C$32,IF($D403="V02",cad!$D$32,cad!$E$32)))</f>
        <v/>
      </c>
      <c r="J403" t="str">
        <f>IF($A403="","",IF($D403="V01",cad!$C$33,IF($D403="V02",cad!$D$33,cad!$E$33)))</f>
        <v/>
      </c>
      <c r="K403" t="str">
        <f>IF($A403="","",IF($D403="V01",cad!$C$34,IF($D403="V02",cad!$D$34,cad!$E$34)))</f>
        <v/>
      </c>
      <c r="L403" t="str">
        <f>IF($A403="","",IF($D403="V01",cad!$C$35,IF($D403="V02",cad!$D$35,cad!$E$35)))</f>
        <v/>
      </c>
      <c r="M403" t="str">
        <f>IF($A403="","",IF($D403="V01",cad!$C$36,IF($D403="V02",cad!$D$36,cad!$E$36)))</f>
        <v/>
      </c>
      <c r="N403" t="str">
        <f t="shared" si="25"/>
        <v/>
      </c>
      <c r="O403" t="str">
        <f t="shared" si="26"/>
        <v/>
      </c>
      <c r="P403" t="str">
        <f>IF($A403="","",IF($E403=1,$F403*$O403,PNL!G403))</f>
        <v/>
      </c>
      <c r="T403" t="str">
        <f t="shared" si="27"/>
        <v/>
      </c>
    </row>
    <row r="404" spans="1:20" x14ac:dyDescent="0.45">
      <c r="A404" t="str">
        <f>IF(PNL!A404="","",PNL!A404)</f>
        <v/>
      </c>
      <c r="B404" t="str">
        <f>IF(PNL!B404="","",PNL!B404)</f>
        <v/>
      </c>
      <c r="C404" t="str">
        <f>IF(PNL!C404="","",PNL!C404)</f>
        <v/>
      </c>
      <c r="D404" t="str">
        <f>IF(PNL!D404="","",PNL!D404)</f>
        <v/>
      </c>
      <c r="E404" t="str">
        <f t="shared" si="24"/>
        <v/>
      </c>
      <c r="F404" t="str">
        <f>IF($A404="","",IF($E404=1,SUMIFS(Compta!$F$1:$F$675,Compta!$A$1:$A$675,$A404,Compta!$B$1:$B$675,$B404,Compta!$C$1:$C$675,"2026"),0))</f>
        <v/>
      </c>
      <c r="G404" t="str">
        <f>IF($A404="","",IF($D404="V01",cad!$C$23,IF($D404="V02",cad!$D$23,cad!$E$23)))</f>
        <v/>
      </c>
      <c r="H404" t="str">
        <f>IF($A404="","",IF($D404="V01",cad!$C$24,IF($D404="V02",cad!$D$24,cad!$E$24)))</f>
        <v/>
      </c>
      <c r="I404" t="str">
        <f>IF($A404="","",IF($D404="V01",cad!$C$32,IF($D404="V02",cad!$D$32,cad!$E$32)))</f>
        <v/>
      </c>
      <c r="J404" t="str">
        <f>IF($A404="","",IF($D404="V01",cad!$C$33,IF($D404="V02",cad!$D$33,cad!$E$33)))</f>
        <v/>
      </c>
      <c r="K404" t="str">
        <f>IF($A404="","",IF($D404="V01",cad!$C$34,IF($D404="V02",cad!$D$34,cad!$E$34)))</f>
        <v/>
      </c>
      <c r="L404" t="str">
        <f>IF($A404="","",IF($D404="V01",cad!$C$35,IF($D404="V02",cad!$D$35,cad!$E$35)))</f>
        <v/>
      </c>
      <c r="M404" t="str">
        <f>IF($A404="","",IF($D404="V01",cad!$C$36,IF($D404="V02",cad!$D$36,cad!$E$36)))</f>
        <v/>
      </c>
      <c r="N404" t="str">
        <f t="shared" si="25"/>
        <v/>
      </c>
      <c r="O404" t="str">
        <f t="shared" si="26"/>
        <v/>
      </c>
      <c r="P404" t="str">
        <f>IF($A404="","",IF($E404=1,$F404*$O404,PNL!G404))</f>
        <v/>
      </c>
      <c r="T404" t="str">
        <f t="shared" si="27"/>
        <v/>
      </c>
    </row>
    <row r="405" spans="1:20" x14ac:dyDescent="0.45">
      <c r="A405" t="str">
        <f>IF(PNL!A405="","",PNL!A405)</f>
        <v/>
      </c>
      <c r="B405" t="str">
        <f>IF(PNL!B405="","",PNL!B405)</f>
        <v/>
      </c>
      <c r="C405" t="str">
        <f>IF(PNL!C405="","",PNL!C405)</f>
        <v/>
      </c>
      <c r="D405" t="str">
        <f>IF(PNL!D405="","",PNL!D405)</f>
        <v/>
      </c>
      <c r="E405" t="str">
        <f t="shared" si="24"/>
        <v/>
      </c>
      <c r="F405" t="str">
        <f>IF($A405="","",IF($E405=1,SUMIFS(Compta!$F$1:$F$675,Compta!$A$1:$A$675,$A405,Compta!$B$1:$B$675,$B405,Compta!$C$1:$C$675,"2026"),0))</f>
        <v/>
      </c>
      <c r="G405" t="str">
        <f>IF($A405="","",IF($D405="V01",cad!$C$23,IF($D405="V02",cad!$D$23,cad!$E$23)))</f>
        <v/>
      </c>
      <c r="H405" t="str">
        <f>IF($A405="","",IF($D405="V01",cad!$C$24,IF($D405="V02",cad!$D$24,cad!$E$24)))</f>
        <v/>
      </c>
      <c r="I405" t="str">
        <f>IF($A405="","",IF($D405="V01",cad!$C$32,IF($D405="V02",cad!$D$32,cad!$E$32)))</f>
        <v/>
      </c>
      <c r="J405" t="str">
        <f>IF($A405="","",IF($D405="V01",cad!$C$33,IF($D405="V02",cad!$D$33,cad!$E$33)))</f>
        <v/>
      </c>
      <c r="K405" t="str">
        <f>IF($A405="","",IF($D405="V01",cad!$C$34,IF($D405="V02",cad!$D$34,cad!$E$34)))</f>
        <v/>
      </c>
      <c r="L405" t="str">
        <f>IF($A405="","",IF($D405="V01",cad!$C$35,IF($D405="V02",cad!$D$35,cad!$E$35)))</f>
        <v/>
      </c>
      <c r="M405" t="str">
        <f>IF($A405="","",IF($D405="V01",cad!$C$36,IF($D405="V02",cad!$D$36,cad!$E$36)))</f>
        <v/>
      </c>
      <c r="N405" t="str">
        <f t="shared" si="25"/>
        <v/>
      </c>
      <c r="O405" t="str">
        <f t="shared" si="26"/>
        <v/>
      </c>
      <c r="P405" t="str">
        <f>IF($A405="","",IF($E405=1,$F405*$O405,PNL!G405))</f>
        <v/>
      </c>
      <c r="T405" t="str">
        <f t="shared" si="27"/>
        <v/>
      </c>
    </row>
    <row r="406" spans="1:20" x14ac:dyDescent="0.45">
      <c r="A406" t="str">
        <f>IF(PNL!A406="","",PNL!A406)</f>
        <v/>
      </c>
      <c r="B406" t="str">
        <f>IF(PNL!B406="","",PNL!B406)</f>
        <v/>
      </c>
      <c r="C406" t="str">
        <f>IF(PNL!C406="","",PNL!C406)</f>
        <v/>
      </c>
      <c r="D406" t="str">
        <f>IF(PNL!D406="","",PNL!D406)</f>
        <v/>
      </c>
      <c r="E406" t="str">
        <f t="shared" si="24"/>
        <v/>
      </c>
      <c r="F406" t="str">
        <f>IF($A406="","",IF($E406=1,SUMIFS(Compta!$F$1:$F$675,Compta!$A$1:$A$675,$A406,Compta!$B$1:$B$675,$B406,Compta!$C$1:$C$675,"2026"),0))</f>
        <v/>
      </c>
      <c r="G406" t="str">
        <f>IF($A406="","",IF($D406="V01",cad!$C$23,IF($D406="V02",cad!$D$23,cad!$E$23)))</f>
        <v/>
      </c>
      <c r="H406" t="str">
        <f>IF($A406="","",IF($D406="V01",cad!$C$24,IF($D406="V02",cad!$D$24,cad!$E$24)))</f>
        <v/>
      </c>
      <c r="I406" t="str">
        <f>IF($A406="","",IF($D406="V01",cad!$C$32,IF($D406="V02",cad!$D$32,cad!$E$32)))</f>
        <v/>
      </c>
      <c r="J406" t="str">
        <f>IF($A406="","",IF($D406="V01",cad!$C$33,IF($D406="V02",cad!$D$33,cad!$E$33)))</f>
        <v/>
      </c>
      <c r="K406" t="str">
        <f>IF($A406="","",IF($D406="V01",cad!$C$34,IF($D406="V02",cad!$D$34,cad!$E$34)))</f>
        <v/>
      </c>
      <c r="L406" t="str">
        <f>IF($A406="","",IF($D406="V01",cad!$C$35,IF($D406="V02",cad!$D$35,cad!$E$35)))</f>
        <v/>
      </c>
      <c r="M406" t="str">
        <f>IF($A406="","",IF($D406="V01",cad!$C$36,IF($D406="V02",cad!$D$36,cad!$E$36)))</f>
        <v/>
      </c>
      <c r="N406" t="str">
        <f t="shared" si="25"/>
        <v/>
      </c>
      <c r="O406" t="str">
        <f t="shared" si="26"/>
        <v/>
      </c>
      <c r="P406" t="str">
        <f>IF($A406="","",IF($E406=1,$F406*$O406,PNL!G406))</f>
        <v/>
      </c>
      <c r="T406" t="str">
        <f t="shared" si="27"/>
        <v/>
      </c>
    </row>
    <row r="407" spans="1:20" x14ac:dyDescent="0.45">
      <c r="A407" t="str">
        <f>IF(PNL!A407="","",PNL!A407)</f>
        <v/>
      </c>
      <c r="B407" t="str">
        <f>IF(PNL!B407="","",PNL!B407)</f>
        <v/>
      </c>
      <c r="C407" t="str">
        <f>IF(PNL!C407="","",PNL!C407)</f>
        <v/>
      </c>
      <c r="D407" t="str">
        <f>IF(PNL!D407="","",PNL!D407)</f>
        <v/>
      </c>
      <c r="E407" t="str">
        <f t="shared" si="24"/>
        <v/>
      </c>
      <c r="F407" t="str">
        <f>IF($A407="","",IF($E407=1,SUMIFS(Compta!$F$1:$F$675,Compta!$A$1:$A$675,$A407,Compta!$B$1:$B$675,$B407,Compta!$C$1:$C$675,"2026"),0))</f>
        <v/>
      </c>
      <c r="G407" t="str">
        <f>IF($A407="","",IF($D407="V01",cad!$C$23,IF($D407="V02",cad!$D$23,cad!$E$23)))</f>
        <v/>
      </c>
      <c r="H407" t="str">
        <f>IF($A407="","",IF($D407="V01",cad!$C$24,IF($D407="V02",cad!$D$24,cad!$E$24)))</f>
        <v/>
      </c>
      <c r="I407" t="str">
        <f>IF($A407="","",IF($D407="V01",cad!$C$32,IF($D407="V02",cad!$D$32,cad!$E$32)))</f>
        <v/>
      </c>
      <c r="J407" t="str">
        <f>IF($A407="","",IF($D407="V01",cad!$C$33,IF($D407="V02",cad!$D$33,cad!$E$33)))</f>
        <v/>
      </c>
      <c r="K407" t="str">
        <f>IF($A407="","",IF($D407="V01",cad!$C$34,IF($D407="V02",cad!$D$34,cad!$E$34)))</f>
        <v/>
      </c>
      <c r="L407" t="str">
        <f>IF($A407="","",IF($D407="V01",cad!$C$35,IF($D407="V02",cad!$D$35,cad!$E$35)))</f>
        <v/>
      </c>
      <c r="M407" t="str">
        <f>IF($A407="","",IF($D407="V01",cad!$C$36,IF($D407="V02",cad!$D$36,cad!$E$36)))</f>
        <v/>
      </c>
      <c r="N407" t="str">
        <f t="shared" si="25"/>
        <v/>
      </c>
      <c r="O407" t="str">
        <f t="shared" si="26"/>
        <v/>
      </c>
      <c r="P407" t="str">
        <f>IF($A407="","",IF($E407=1,$F407*$O407,PNL!G407))</f>
        <v/>
      </c>
      <c r="T407" t="str">
        <f t="shared" si="27"/>
        <v/>
      </c>
    </row>
    <row r="408" spans="1:20" x14ac:dyDescent="0.45">
      <c r="A408" t="str">
        <f>IF(PNL!A408="","",PNL!A408)</f>
        <v/>
      </c>
      <c r="B408" t="str">
        <f>IF(PNL!B408="","",PNL!B408)</f>
        <v/>
      </c>
      <c r="C408" t="str">
        <f>IF(PNL!C408="","",PNL!C408)</f>
        <v/>
      </c>
      <c r="D408" t="str">
        <f>IF(PNL!D408="","",PNL!D408)</f>
        <v/>
      </c>
      <c r="E408" t="str">
        <f t="shared" si="24"/>
        <v/>
      </c>
      <c r="F408" t="str">
        <f>IF($A408="","",IF($E408=1,SUMIFS(Compta!$F$1:$F$675,Compta!$A$1:$A$675,$A408,Compta!$B$1:$B$675,$B408,Compta!$C$1:$C$675,"2026"),0))</f>
        <v/>
      </c>
      <c r="G408" t="str">
        <f>IF($A408="","",IF($D408="V01",cad!$C$23,IF($D408="V02",cad!$D$23,cad!$E$23)))</f>
        <v/>
      </c>
      <c r="H408" t="str">
        <f>IF($A408="","",IF($D408="V01",cad!$C$24,IF($D408="V02",cad!$D$24,cad!$E$24)))</f>
        <v/>
      </c>
      <c r="I408" t="str">
        <f>IF($A408="","",IF($D408="V01",cad!$C$32,IF($D408="V02",cad!$D$32,cad!$E$32)))</f>
        <v/>
      </c>
      <c r="J408" t="str">
        <f>IF($A408="","",IF($D408="V01",cad!$C$33,IF($D408="V02",cad!$D$33,cad!$E$33)))</f>
        <v/>
      </c>
      <c r="K408" t="str">
        <f>IF($A408="","",IF($D408="V01",cad!$C$34,IF($D408="V02",cad!$D$34,cad!$E$34)))</f>
        <v/>
      </c>
      <c r="L408" t="str">
        <f>IF($A408="","",IF($D408="V01",cad!$C$35,IF($D408="V02",cad!$D$35,cad!$E$35)))</f>
        <v/>
      </c>
      <c r="M408" t="str">
        <f>IF($A408="","",IF($D408="V01",cad!$C$36,IF($D408="V02",cad!$D$36,cad!$E$36)))</f>
        <v/>
      </c>
      <c r="N408" t="str">
        <f t="shared" si="25"/>
        <v/>
      </c>
      <c r="O408" t="str">
        <f t="shared" si="26"/>
        <v/>
      </c>
      <c r="P408" t="str">
        <f>IF($A408="","",IF($E408=1,$F408*$O408,PNL!G408))</f>
        <v/>
      </c>
      <c r="T408" t="str">
        <f t="shared" si="27"/>
        <v/>
      </c>
    </row>
    <row r="409" spans="1:20" x14ac:dyDescent="0.45">
      <c r="A409" t="str">
        <f>IF(PNL!A409="","",PNL!A409)</f>
        <v/>
      </c>
      <c r="B409" t="str">
        <f>IF(PNL!B409="","",PNL!B409)</f>
        <v/>
      </c>
      <c r="C409" t="str">
        <f>IF(PNL!C409="","",PNL!C409)</f>
        <v/>
      </c>
      <c r="D409" t="str">
        <f>IF(PNL!D409="","",PNL!D409)</f>
        <v/>
      </c>
      <c r="E409" t="str">
        <f t="shared" si="24"/>
        <v/>
      </c>
      <c r="F409" t="str">
        <f>IF($A409="","",IF($E409=1,SUMIFS(Compta!$F$1:$F$675,Compta!$A$1:$A$675,$A409,Compta!$B$1:$B$675,$B409,Compta!$C$1:$C$675,"2026"),0))</f>
        <v/>
      </c>
      <c r="G409" t="str">
        <f>IF($A409="","",IF($D409="V01",cad!$C$23,IF($D409="V02",cad!$D$23,cad!$E$23)))</f>
        <v/>
      </c>
      <c r="H409" t="str">
        <f>IF($A409="","",IF($D409="V01",cad!$C$24,IF($D409="V02",cad!$D$24,cad!$E$24)))</f>
        <v/>
      </c>
      <c r="I409" t="str">
        <f>IF($A409="","",IF($D409="V01",cad!$C$32,IF($D409="V02",cad!$D$32,cad!$E$32)))</f>
        <v/>
      </c>
      <c r="J409" t="str">
        <f>IF($A409="","",IF($D409="V01",cad!$C$33,IF($D409="V02",cad!$D$33,cad!$E$33)))</f>
        <v/>
      </c>
      <c r="K409" t="str">
        <f>IF($A409="","",IF($D409="V01",cad!$C$34,IF($D409="V02",cad!$D$34,cad!$E$34)))</f>
        <v/>
      </c>
      <c r="L409" t="str">
        <f>IF($A409="","",IF($D409="V01",cad!$C$35,IF($D409="V02",cad!$D$35,cad!$E$35)))</f>
        <v/>
      </c>
      <c r="M409" t="str">
        <f>IF($A409="","",IF($D409="V01",cad!$C$36,IF($D409="V02",cad!$D$36,cad!$E$36)))</f>
        <v/>
      </c>
      <c r="N409" t="str">
        <f t="shared" si="25"/>
        <v/>
      </c>
      <c r="O409" t="str">
        <f t="shared" si="26"/>
        <v/>
      </c>
      <c r="P409" t="str">
        <f>IF($A409="","",IF($E409=1,$F409*$O409,PNL!G409))</f>
        <v/>
      </c>
      <c r="T409" t="str">
        <f t="shared" si="27"/>
        <v/>
      </c>
    </row>
    <row r="410" spans="1:20" x14ac:dyDescent="0.45">
      <c r="A410" t="str">
        <f>IF(PNL!A410="","",PNL!A410)</f>
        <v/>
      </c>
      <c r="B410" t="str">
        <f>IF(PNL!B410="","",PNL!B410)</f>
        <v/>
      </c>
      <c r="C410" t="str">
        <f>IF(PNL!C410="","",PNL!C410)</f>
        <v/>
      </c>
      <c r="D410" t="str">
        <f>IF(PNL!D410="","",PNL!D410)</f>
        <v/>
      </c>
      <c r="E410" t="str">
        <f t="shared" si="24"/>
        <v/>
      </c>
      <c r="F410" t="str">
        <f>IF($A410="","",IF($E410=1,SUMIFS(Compta!$F$1:$F$675,Compta!$A$1:$A$675,$A410,Compta!$B$1:$B$675,$B410,Compta!$C$1:$C$675,"2026"),0))</f>
        <v/>
      </c>
      <c r="G410" t="str">
        <f>IF($A410="","",IF($D410="V01",cad!$C$23,IF($D410="V02",cad!$D$23,cad!$E$23)))</f>
        <v/>
      </c>
      <c r="H410" t="str">
        <f>IF($A410="","",IF($D410="V01",cad!$C$24,IF($D410="V02",cad!$D$24,cad!$E$24)))</f>
        <v/>
      </c>
      <c r="I410" t="str">
        <f>IF($A410="","",IF($D410="V01",cad!$C$32,IF($D410="V02",cad!$D$32,cad!$E$32)))</f>
        <v/>
      </c>
      <c r="J410" t="str">
        <f>IF($A410="","",IF($D410="V01",cad!$C$33,IF($D410="V02",cad!$D$33,cad!$E$33)))</f>
        <v/>
      </c>
      <c r="K410" t="str">
        <f>IF($A410="","",IF($D410="V01",cad!$C$34,IF($D410="V02",cad!$D$34,cad!$E$34)))</f>
        <v/>
      </c>
      <c r="L410" t="str">
        <f>IF($A410="","",IF($D410="V01",cad!$C$35,IF($D410="V02",cad!$D$35,cad!$E$35)))</f>
        <v/>
      </c>
      <c r="M410" t="str">
        <f>IF($A410="","",IF($D410="V01",cad!$C$36,IF($D410="V02",cad!$D$36,cad!$E$36)))</f>
        <v/>
      </c>
      <c r="N410" t="str">
        <f t="shared" si="25"/>
        <v/>
      </c>
      <c r="O410" t="str">
        <f t="shared" si="26"/>
        <v/>
      </c>
      <c r="P410" t="str">
        <f>IF($A410="","",IF($E410=1,$F410*$O410,PNL!G410))</f>
        <v/>
      </c>
      <c r="T410" t="str">
        <f t="shared" si="27"/>
        <v/>
      </c>
    </row>
    <row r="411" spans="1:20" x14ac:dyDescent="0.45">
      <c r="A411" t="str">
        <f>IF(PNL!A411="","",PNL!A411)</f>
        <v/>
      </c>
      <c r="B411" t="str">
        <f>IF(PNL!B411="","",PNL!B411)</f>
        <v/>
      </c>
      <c r="C411" t="str">
        <f>IF(PNL!C411="","",PNL!C411)</f>
        <v/>
      </c>
      <c r="D411" t="str">
        <f>IF(PNL!D411="","",PNL!D411)</f>
        <v/>
      </c>
      <c r="E411" t="str">
        <f t="shared" si="24"/>
        <v/>
      </c>
      <c r="F411" t="str">
        <f>IF($A411="","",IF($E411=1,SUMIFS(Compta!$F$1:$F$675,Compta!$A$1:$A$675,$A411,Compta!$B$1:$B$675,$B411,Compta!$C$1:$C$675,"2026"),0))</f>
        <v/>
      </c>
      <c r="G411" t="str">
        <f>IF($A411="","",IF($D411="V01",cad!$C$23,IF($D411="V02",cad!$D$23,cad!$E$23)))</f>
        <v/>
      </c>
      <c r="H411" t="str">
        <f>IF($A411="","",IF($D411="V01",cad!$C$24,IF($D411="V02",cad!$D$24,cad!$E$24)))</f>
        <v/>
      </c>
      <c r="I411" t="str">
        <f>IF($A411="","",IF($D411="V01",cad!$C$32,IF($D411="V02",cad!$D$32,cad!$E$32)))</f>
        <v/>
      </c>
      <c r="J411" t="str">
        <f>IF($A411="","",IF($D411="V01",cad!$C$33,IF($D411="V02",cad!$D$33,cad!$E$33)))</f>
        <v/>
      </c>
      <c r="K411" t="str">
        <f>IF($A411="","",IF($D411="V01",cad!$C$34,IF($D411="V02",cad!$D$34,cad!$E$34)))</f>
        <v/>
      </c>
      <c r="L411" t="str">
        <f>IF($A411="","",IF($D411="V01",cad!$C$35,IF($D411="V02",cad!$D$35,cad!$E$35)))</f>
        <v/>
      </c>
      <c r="M411" t="str">
        <f>IF($A411="","",IF($D411="V01",cad!$C$36,IF($D411="V02",cad!$D$36,cad!$E$36)))</f>
        <v/>
      </c>
      <c r="N411" t="str">
        <f t="shared" si="25"/>
        <v/>
      </c>
      <c r="O411" t="str">
        <f t="shared" si="26"/>
        <v/>
      </c>
      <c r="P411" t="str">
        <f>IF($A411="","",IF($E411=1,$F411*$O411,PNL!G411))</f>
        <v/>
      </c>
      <c r="T411" t="str">
        <f t="shared" si="27"/>
        <v/>
      </c>
    </row>
    <row r="412" spans="1:20" x14ac:dyDescent="0.45">
      <c r="A412" t="str">
        <f>IF(PNL!A412="","",PNL!A412)</f>
        <v/>
      </c>
      <c r="B412" t="str">
        <f>IF(PNL!B412="","",PNL!B412)</f>
        <v/>
      </c>
      <c r="C412" t="str">
        <f>IF(PNL!C412="","",PNL!C412)</f>
        <v/>
      </c>
      <c r="D412" t="str">
        <f>IF(PNL!D412="","",PNL!D412)</f>
        <v/>
      </c>
      <c r="E412" t="str">
        <f t="shared" si="24"/>
        <v/>
      </c>
      <c r="F412" t="str">
        <f>IF($A412="","",IF($E412=1,SUMIFS(Compta!$F$1:$F$675,Compta!$A$1:$A$675,$A412,Compta!$B$1:$B$675,$B412,Compta!$C$1:$C$675,"2026"),0))</f>
        <v/>
      </c>
      <c r="G412" t="str">
        <f>IF($A412="","",IF($D412="V01",cad!$C$23,IF($D412="V02",cad!$D$23,cad!$E$23)))</f>
        <v/>
      </c>
      <c r="H412" t="str">
        <f>IF($A412="","",IF($D412="V01",cad!$C$24,IF($D412="V02",cad!$D$24,cad!$E$24)))</f>
        <v/>
      </c>
      <c r="I412" t="str">
        <f>IF($A412="","",IF($D412="V01",cad!$C$32,IF($D412="V02",cad!$D$32,cad!$E$32)))</f>
        <v/>
      </c>
      <c r="J412" t="str">
        <f>IF($A412="","",IF($D412="V01",cad!$C$33,IF($D412="V02",cad!$D$33,cad!$E$33)))</f>
        <v/>
      </c>
      <c r="K412" t="str">
        <f>IF($A412="","",IF($D412="V01",cad!$C$34,IF($D412="V02",cad!$D$34,cad!$E$34)))</f>
        <v/>
      </c>
      <c r="L412" t="str">
        <f>IF($A412="","",IF($D412="V01",cad!$C$35,IF($D412="V02",cad!$D$35,cad!$E$35)))</f>
        <v/>
      </c>
      <c r="M412" t="str">
        <f>IF($A412="","",IF($D412="V01",cad!$C$36,IF($D412="V02",cad!$D$36,cad!$E$36)))</f>
        <v/>
      </c>
      <c r="N412" t="str">
        <f t="shared" si="25"/>
        <v/>
      </c>
      <c r="O412" t="str">
        <f t="shared" si="26"/>
        <v/>
      </c>
      <c r="P412" t="str">
        <f>IF($A412="","",IF($E412=1,$F412*$O412,PNL!G412))</f>
        <v/>
      </c>
      <c r="T412" t="str">
        <f t="shared" si="27"/>
        <v/>
      </c>
    </row>
    <row r="413" spans="1:20" x14ac:dyDescent="0.45">
      <c r="A413" t="str">
        <f>IF(PNL!A413="","",PNL!A413)</f>
        <v/>
      </c>
      <c r="B413" t="str">
        <f>IF(PNL!B413="","",PNL!B413)</f>
        <v/>
      </c>
      <c r="C413" t="str">
        <f>IF(PNL!C413="","",PNL!C413)</f>
        <v/>
      </c>
      <c r="D413" t="str">
        <f>IF(PNL!D413="","",PNL!D413)</f>
        <v/>
      </c>
      <c r="E413" t="str">
        <f t="shared" si="24"/>
        <v/>
      </c>
      <c r="F413" t="str">
        <f>IF($A413="","",IF($E413=1,SUMIFS(Compta!$F$1:$F$675,Compta!$A$1:$A$675,$A413,Compta!$B$1:$B$675,$B413,Compta!$C$1:$C$675,"2026"),0))</f>
        <v/>
      </c>
      <c r="G413" t="str">
        <f>IF($A413="","",IF($D413="V01",cad!$C$23,IF($D413="V02",cad!$D$23,cad!$E$23)))</f>
        <v/>
      </c>
      <c r="H413" t="str">
        <f>IF($A413="","",IF($D413="V01",cad!$C$24,IF($D413="V02",cad!$D$24,cad!$E$24)))</f>
        <v/>
      </c>
      <c r="I413" t="str">
        <f>IF($A413="","",IF($D413="V01",cad!$C$32,IF($D413="V02",cad!$D$32,cad!$E$32)))</f>
        <v/>
      </c>
      <c r="J413" t="str">
        <f>IF($A413="","",IF($D413="V01",cad!$C$33,IF($D413="V02",cad!$D$33,cad!$E$33)))</f>
        <v/>
      </c>
      <c r="K413" t="str">
        <f>IF($A413="","",IF($D413="V01",cad!$C$34,IF($D413="V02",cad!$D$34,cad!$E$34)))</f>
        <v/>
      </c>
      <c r="L413" t="str">
        <f>IF($A413="","",IF($D413="V01",cad!$C$35,IF($D413="V02",cad!$D$35,cad!$E$35)))</f>
        <v/>
      </c>
      <c r="M413" t="str">
        <f>IF($A413="","",IF($D413="V01",cad!$C$36,IF($D413="V02",cad!$D$36,cad!$E$36)))</f>
        <v/>
      </c>
      <c r="N413" t="str">
        <f t="shared" si="25"/>
        <v/>
      </c>
      <c r="O413" t="str">
        <f t="shared" si="26"/>
        <v/>
      </c>
      <c r="P413" t="str">
        <f>IF($A413="","",IF($E413=1,$F413*$O413,PNL!G413))</f>
        <v/>
      </c>
      <c r="T413" t="str">
        <f t="shared" si="27"/>
        <v/>
      </c>
    </row>
    <row r="414" spans="1:20" x14ac:dyDescent="0.45">
      <c r="A414" t="str">
        <f>IF(PNL!A414="","",PNL!A414)</f>
        <v/>
      </c>
      <c r="B414" t="str">
        <f>IF(PNL!B414="","",PNL!B414)</f>
        <v/>
      </c>
      <c r="C414" t="str">
        <f>IF(PNL!C414="","",PNL!C414)</f>
        <v/>
      </c>
      <c r="D414" t="str">
        <f>IF(PNL!D414="","",PNL!D414)</f>
        <v/>
      </c>
      <c r="E414" t="str">
        <f t="shared" si="24"/>
        <v/>
      </c>
      <c r="F414" t="str">
        <f>IF($A414="","",IF($E414=1,SUMIFS(Compta!$F$1:$F$675,Compta!$A$1:$A$675,$A414,Compta!$B$1:$B$675,$B414,Compta!$C$1:$C$675,"2026"),0))</f>
        <v/>
      </c>
      <c r="G414" t="str">
        <f>IF($A414="","",IF($D414="V01",cad!$C$23,IF($D414="V02",cad!$D$23,cad!$E$23)))</f>
        <v/>
      </c>
      <c r="H414" t="str">
        <f>IF($A414="","",IF($D414="V01",cad!$C$24,IF($D414="V02",cad!$D$24,cad!$E$24)))</f>
        <v/>
      </c>
      <c r="I414" t="str">
        <f>IF($A414="","",IF($D414="V01",cad!$C$32,IF($D414="V02",cad!$D$32,cad!$E$32)))</f>
        <v/>
      </c>
      <c r="J414" t="str">
        <f>IF($A414="","",IF($D414="V01",cad!$C$33,IF($D414="V02",cad!$D$33,cad!$E$33)))</f>
        <v/>
      </c>
      <c r="K414" t="str">
        <f>IF($A414="","",IF($D414="V01",cad!$C$34,IF($D414="V02",cad!$D$34,cad!$E$34)))</f>
        <v/>
      </c>
      <c r="L414" t="str">
        <f>IF($A414="","",IF($D414="V01",cad!$C$35,IF($D414="V02",cad!$D$35,cad!$E$35)))</f>
        <v/>
      </c>
      <c r="M414" t="str">
        <f>IF($A414="","",IF($D414="V01",cad!$C$36,IF($D414="V02",cad!$D$36,cad!$E$36)))</f>
        <v/>
      </c>
      <c r="N414" t="str">
        <f t="shared" si="25"/>
        <v/>
      </c>
      <c r="O414" t="str">
        <f t="shared" si="26"/>
        <v/>
      </c>
      <c r="P414" t="str">
        <f>IF($A414="","",IF($E414=1,$F414*$O414,PNL!G414))</f>
        <v/>
      </c>
      <c r="T414" t="str">
        <f t="shared" si="27"/>
        <v/>
      </c>
    </row>
    <row r="415" spans="1:20" x14ac:dyDescent="0.45">
      <c r="A415" t="str">
        <f>IF(PNL!A415="","",PNL!A415)</f>
        <v/>
      </c>
      <c r="B415" t="str">
        <f>IF(PNL!B415="","",PNL!B415)</f>
        <v/>
      </c>
      <c r="C415" t="str">
        <f>IF(PNL!C415="","",PNL!C415)</f>
        <v/>
      </c>
      <c r="D415" t="str">
        <f>IF(PNL!D415="","",PNL!D415)</f>
        <v/>
      </c>
      <c r="E415" t="str">
        <f t="shared" si="24"/>
        <v/>
      </c>
      <c r="F415" t="str">
        <f>IF($A415="","",IF($E415=1,SUMIFS(Compta!$F$1:$F$675,Compta!$A$1:$A$675,$A415,Compta!$B$1:$B$675,$B415,Compta!$C$1:$C$675,"2026"),0))</f>
        <v/>
      </c>
      <c r="G415" t="str">
        <f>IF($A415="","",IF($D415="V01",cad!$C$23,IF($D415="V02",cad!$D$23,cad!$E$23)))</f>
        <v/>
      </c>
      <c r="H415" t="str">
        <f>IF($A415="","",IF($D415="V01",cad!$C$24,IF($D415="V02",cad!$D$24,cad!$E$24)))</f>
        <v/>
      </c>
      <c r="I415" t="str">
        <f>IF($A415="","",IF($D415="V01",cad!$C$32,IF($D415="V02",cad!$D$32,cad!$E$32)))</f>
        <v/>
      </c>
      <c r="J415" t="str">
        <f>IF($A415="","",IF($D415="V01",cad!$C$33,IF($D415="V02",cad!$D$33,cad!$E$33)))</f>
        <v/>
      </c>
      <c r="K415" t="str">
        <f>IF($A415="","",IF($D415="V01",cad!$C$34,IF($D415="V02",cad!$D$34,cad!$E$34)))</f>
        <v/>
      </c>
      <c r="L415" t="str">
        <f>IF($A415="","",IF($D415="V01",cad!$C$35,IF($D415="V02",cad!$D$35,cad!$E$35)))</f>
        <v/>
      </c>
      <c r="M415" t="str">
        <f>IF($A415="","",IF($D415="V01",cad!$C$36,IF($D415="V02",cad!$D$36,cad!$E$36)))</f>
        <v/>
      </c>
      <c r="N415" t="str">
        <f t="shared" si="25"/>
        <v/>
      </c>
      <c r="O415" t="str">
        <f t="shared" si="26"/>
        <v/>
      </c>
      <c r="P415" t="str">
        <f>IF($A415="","",IF($E415=1,$F415*$O415,PNL!G415))</f>
        <v/>
      </c>
      <c r="T415" t="str">
        <f t="shared" si="27"/>
        <v/>
      </c>
    </row>
    <row r="416" spans="1:20" x14ac:dyDescent="0.45">
      <c r="A416" t="str">
        <f>IF(PNL!A416="","",PNL!A416)</f>
        <v/>
      </c>
      <c r="B416" t="str">
        <f>IF(PNL!B416="","",PNL!B416)</f>
        <v/>
      </c>
      <c r="C416" t="str">
        <f>IF(PNL!C416="","",PNL!C416)</f>
        <v/>
      </c>
      <c r="D416" t="str">
        <f>IF(PNL!D416="","",PNL!D416)</f>
        <v/>
      </c>
      <c r="E416" t="str">
        <f t="shared" si="24"/>
        <v/>
      </c>
      <c r="F416" t="str">
        <f>IF($A416="","",IF($E416=1,SUMIFS(Compta!$F$1:$F$675,Compta!$A$1:$A$675,$A416,Compta!$B$1:$B$675,$B416,Compta!$C$1:$C$675,"2026"),0))</f>
        <v/>
      </c>
      <c r="G416" t="str">
        <f>IF($A416="","",IF($D416="V01",cad!$C$23,IF($D416="V02",cad!$D$23,cad!$E$23)))</f>
        <v/>
      </c>
      <c r="H416" t="str">
        <f>IF($A416="","",IF($D416="V01",cad!$C$24,IF($D416="V02",cad!$D$24,cad!$E$24)))</f>
        <v/>
      </c>
      <c r="I416" t="str">
        <f>IF($A416="","",IF($D416="V01",cad!$C$32,IF($D416="V02",cad!$D$32,cad!$E$32)))</f>
        <v/>
      </c>
      <c r="J416" t="str">
        <f>IF($A416="","",IF($D416="V01",cad!$C$33,IF($D416="V02",cad!$D$33,cad!$E$33)))</f>
        <v/>
      </c>
      <c r="K416" t="str">
        <f>IF($A416="","",IF($D416="V01",cad!$C$34,IF($D416="V02",cad!$D$34,cad!$E$34)))</f>
        <v/>
      </c>
      <c r="L416" t="str">
        <f>IF($A416="","",IF($D416="V01",cad!$C$35,IF($D416="V02",cad!$D$35,cad!$E$35)))</f>
        <v/>
      </c>
      <c r="M416" t="str">
        <f>IF($A416="","",IF($D416="V01",cad!$C$36,IF($D416="V02",cad!$D$36,cad!$E$36)))</f>
        <v/>
      </c>
      <c r="N416" t="str">
        <f t="shared" si="25"/>
        <v/>
      </c>
      <c r="O416" t="str">
        <f t="shared" si="26"/>
        <v/>
      </c>
      <c r="P416" t="str">
        <f>IF($A416="","",IF($E416=1,$F416*$O416,PNL!G416))</f>
        <v/>
      </c>
      <c r="T416" t="str">
        <f t="shared" si="27"/>
        <v/>
      </c>
    </row>
    <row r="417" spans="1:20" x14ac:dyDescent="0.45">
      <c r="A417" t="str">
        <f>IF(PNL!A417="","",PNL!A417)</f>
        <v/>
      </c>
      <c r="B417" t="str">
        <f>IF(PNL!B417="","",PNL!B417)</f>
        <v/>
      </c>
      <c r="C417" t="str">
        <f>IF(PNL!C417="","",PNL!C417)</f>
        <v/>
      </c>
      <c r="D417" t="str">
        <f>IF(PNL!D417="","",PNL!D417)</f>
        <v/>
      </c>
      <c r="E417" t="str">
        <f t="shared" si="24"/>
        <v/>
      </c>
      <c r="F417" t="str">
        <f>IF($A417="","",IF($E417=1,SUMIFS(Compta!$F$1:$F$675,Compta!$A$1:$A$675,$A417,Compta!$B$1:$B$675,$B417,Compta!$C$1:$C$675,"2026"),0))</f>
        <v/>
      </c>
      <c r="G417" t="str">
        <f>IF($A417="","",IF($D417="V01",cad!$C$23,IF($D417="V02",cad!$D$23,cad!$E$23)))</f>
        <v/>
      </c>
      <c r="H417" t="str">
        <f>IF($A417="","",IF($D417="V01",cad!$C$24,IF($D417="V02",cad!$D$24,cad!$E$24)))</f>
        <v/>
      </c>
      <c r="I417" t="str">
        <f>IF($A417="","",IF($D417="V01",cad!$C$32,IF($D417="V02",cad!$D$32,cad!$E$32)))</f>
        <v/>
      </c>
      <c r="J417" t="str">
        <f>IF($A417="","",IF($D417="V01",cad!$C$33,IF($D417="V02",cad!$D$33,cad!$E$33)))</f>
        <v/>
      </c>
      <c r="K417" t="str">
        <f>IF($A417="","",IF($D417="V01",cad!$C$34,IF($D417="V02",cad!$D$34,cad!$E$34)))</f>
        <v/>
      </c>
      <c r="L417" t="str">
        <f>IF($A417="","",IF($D417="V01",cad!$C$35,IF($D417="V02",cad!$D$35,cad!$E$35)))</f>
        <v/>
      </c>
      <c r="M417" t="str">
        <f>IF($A417="","",IF($D417="V01",cad!$C$36,IF($D417="V02",cad!$D$36,cad!$E$36)))</f>
        <v/>
      </c>
      <c r="N417" t="str">
        <f t="shared" si="25"/>
        <v/>
      </c>
      <c r="O417" t="str">
        <f t="shared" si="26"/>
        <v/>
      </c>
      <c r="P417" t="str">
        <f>IF($A417="","",IF($E417=1,$F417*$O417,PNL!G417))</f>
        <v/>
      </c>
      <c r="T417" t="str">
        <f t="shared" si="27"/>
        <v/>
      </c>
    </row>
    <row r="418" spans="1:20" x14ac:dyDescent="0.45">
      <c r="A418" t="str">
        <f>IF(PNL!A418="","",PNL!A418)</f>
        <v/>
      </c>
      <c r="B418" t="str">
        <f>IF(PNL!B418="","",PNL!B418)</f>
        <v/>
      </c>
      <c r="C418" t="str">
        <f>IF(PNL!C418="","",PNL!C418)</f>
        <v/>
      </c>
      <c r="D418" t="str">
        <f>IF(PNL!D418="","",PNL!D418)</f>
        <v/>
      </c>
      <c r="E418" t="str">
        <f t="shared" si="24"/>
        <v/>
      </c>
      <c r="F418" t="str">
        <f>IF($A418="","",IF($E418=1,SUMIFS(Compta!$F$1:$F$675,Compta!$A$1:$A$675,$A418,Compta!$B$1:$B$675,$B418,Compta!$C$1:$C$675,"2026"),0))</f>
        <v/>
      </c>
      <c r="G418" t="str">
        <f>IF($A418="","",IF($D418="V01",cad!$C$23,IF($D418="V02",cad!$D$23,cad!$E$23)))</f>
        <v/>
      </c>
      <c r="H418" t="str">
        <f>IF($A418="","",IF($D418="V01",cad!$C$24,IF($D418="V02",cad!$D$24,cad!$E$24)))</f>
        <v/>
      </c>
      <c r="I418" t="str">
        <f>IF($A418="","",IF($D418="V01",cad!$C$32,IF($D418="V02",cad!$D$32,cad!$E$32)))</f>
        <v/>
      </c>
      <c r="J418" t="str">
        <f>IF($A418="","",IF($D418="V01",cad!$C$33,IF($D418="V02",cad!$D$33,cad!$E$33)))</f>
        <v/>
      </c>
      <c r="K418" t="str">
        <f>IF($A418="","",IF($D418="V01",cad!$C$34,IF($D418="V02",cad!$D$34,cad!$E$34)))</f>
        <v/>
      </c>
      <c r="L418" t="str">
        <f>IF($A418="","",IF($D418="V01",cad!$C$35,IF($D418="V02",cad!$D$35,cad!$E$35)))</f>
        <v/>
      </c>
      <c r="M418" t="str">
        <f>IF($A418="","",IF($D418="V01",cad!$C$36,IF($D418="V02",cad!$D$36,cad!$E$36)))</f>
        <v/>
      </c>
      <c r="N418" t="str">
        <f t="shared" si="25"/>
        <v/>
      </c>
      <c r="O418" t="str">
        <f t="shared" si="26"/>
        <v/>
      </c>
      <c r="P418" t="str">
        <f>IF($A418="","",IF($E418=1,$F418*$O418,PNL!G418))</f>
        <v/>
      </c>
      <c r="T418" t="str">
        <f t="shared" si="27"/>
        <v/>
      </c>
    </row>
    <row r="419" spans="1:20" x14ac:dyDescent="0.45">
      <c r="A419" t="str">
        <f>IF(PNL!A419="","",PNL!A419)</f>
        <v/>
      </c>
      <c r="B419" t="str">
        <f>IF(PNL!B419="","",PNL!B419)</f>
        <v/>
      </c>
      <c r="C419" t="str">
        <f>IF(PNL!C419="","",PNL!C419)</f>
        <v/>
      </c>
      <c r="D419" t="str">
        <f>IF(PNL!D419="","",PNL!D419)</f>
        <v/>
      </c>
      <c r="E419" t="str">
        <f t="shared" si="24"/>
        <v/>
      </c>
      <c r="F419" t="str">
        <f>IF($A419="","",IF($E419=1,SUMIFS(Compta!$F$1:$F$675,Compta!$A$1:$A$675,$A419,Compta!$B$1:$B$675,$B419,Compta!$C$1:$C$675,"2026"),0))</f>
        <v/>
      </c>
      <c r="G419" t="str">
        <f>IF($A419="","",IF($D419="V01",cad!$C$23,IF($D419="V02",cad!$D$23,cad!$E$23)))</f>
        <v/>
      </c>
      <c r="H419" t="str">
        <f>IF($A419="","",IF($D419="V01",cad!$C$24,IF($D419="V02",cad!$D$24,cad!$E$24)))</f>
        <v/>
      </c>
      <c r="I419" t="str">
        <f>IF($A419="","",IF($D419="V01",cad!$C$32,IF($D419="V02",cad!$D$32,cad!$E$32)))</f>
        <v/>
      </c>
      <c r="J419" t="str">
        <f>IF($A419="","",IF($D419="V01",cad!$C$33,IF($D419="V02",cad!$D$33,cad!$E$33)))</f>
        <v/>
      </c>
      <c r="K419" t="str">
        <f>IF($A419="","",IF($D419="V01",cad!$C$34,IF($D419="V02",cad!$D$34,cad!$E$34)))</f>
        <v/>
      </c>
      <c r="L419" t="str">
        <f>IF($A419="","",IF($D419="V01",cad!$C$35,IF($D419="V02",cad!$D$35,cad!$E$35)))</f>
        <v/>
      </c>
      <c r="M419" t="str">
        <f>IF($A419="","",IF($D419="V01",cad!$C$36,IF($D419="V02",cad!$D$36,cad!$E$36)))</f>
        <v/>
      </c>
      <c r="N419" t="str">
        <f t="shared" si="25"/>
        <v/>
      </c>
      <c r="O419" t="str">
        <f t="shared" si="26"/>
        <v/>
      </c>
      <c r="P419" t="str">
        <f>IF($A419="","",IF($E419=1,$F419*$O419,PNL!G419))</f>
        <v/>
      </c>
      <c r="T419" t="str">
        <f t="shared" si="27"/>
        <v/>
      </c>
    </row>
    <row r="420" spans="1:20" x14ac:dyDescent="0.45">
      <c r="A420" t="str">
        <f>IF(PNL!A420="","",PNL!A420)</f>
        <v/>
      </c>
      <c r="B420" t="str">
        <f>IF(PNL!B420="","",PNL!B420)</f>
        <v/>
      </c>
      <c r="C420" t="str">
        <f>IF(PNL!C420="","",PNL!C420)</f>
        <v/>
      </c>
      <c r="D420" t="str">
        <f>IF(PNL!D420="","",PNL!D420)</f>
        <v/>
      </c>
      <c r="E420" t="str">
        <f t="shared" si="24"/>
        <v/>
      </c>
      <c r="F420" t="str">
        <f>IF($A420="","",IF($E420=1,SUMIFS(Compta!$F$1:$F$675,Compta!$A$1:$A$675,$A420,Compta!$B$1:$B$675,$B420,Compta!$C$1:$C$675,"2026"),0))</f>
        <v/>
      </c>
      <c r="G420" t="str">
        <f>IF($A420="","",IF($D420="V01",cad!$C$23,IF($D420="V02",cad!$D$23,cad!$E$23)))</f>
        <v/>
      </c>
      <c r="H420" t="str">
        <f>IF($A420="","",IF($D420="V01",cad!$C$24,IF($D420="V02",cad!$D$24,cad!$E$24)))</f>
        <v/>
      </c>
      <c r="I420" t="str">
        <f>IF($A420="","",IF($D420="V01",cad!$C$32,IF($D420="V02",cad!$D$32,cad!$E$32)))</f>
        <v/>
      </c>
      <c r="J420" t="str">
        <f>IF($A420="","",IF($D420="V01",cad!$C$33,IF($D420="V02",cad!$D$33,cad!$E$33)))</f>
        <v/>
      </c>
      <c r="K420" t="str">
        <f>IF($A420="","",IF($D420="V01",cad!$C$34,IF($D420="V02",cad!$D$34,cad!$E$34)))</f>
        <v/>
      </c>
      <c r="L420" t="str">
        <f>IF($A420="","",IF($D420="V01",cad!$C$35,IF($D420="V02",cad!$D$35,cad!$E$35)))</f>
        <v/>
      </c>
      <c r="M420" t="str">
        <f>IF($A420="","",IF($D420="V01",cad!$C$36,IF($D420="V02",cad!$D$36,cad!$E$36)))</f>
        <v/>
      </c>
      <c r="N420" t="str">
        <f t="shared" si="25"/>
        <v/>
      </c>
      <c r="O420" t="str">
        <f t="shared" si="26"/>
        <v/>
      </c>
      <c r="P420" t="str">
        <f>IF($A420="","",IF($E420=1,$F420*$O420,PNL!G420))</f>
        <v/>
      </c>
      <c r="T420" t="str">
        <f t="shared" si="27"/>
        <v/>
      </c>
    </row>
    <row r="421" spans="1:20" x14ac:dyDescent="0.45">
      <c r="A421" t="str">
        <f>IF(PNL!A421="","",PNL!A421)</f>
        <v/>
      </c>
      <c r="B421" t="str">
        <f>IF(PNL!B421="","",PNL!B421)</f>
        <v/>
      </c>
      <c r="C421" t="str">
        <f>IF(PNL!C421="","",PNL!C421)</f>
        <v/>
      </c>
      <c r="D421" t="str">
        <f>IF(PNL!D421="","",PNL!D421)</f>
        <v/>
      </c>
      <c r="E421" t="str">
        <f t="shared" si="24"/>
        <v/>
      </c>
      <c r="F421" t="str">
        <f>IF($A421="","",IF($E421=1,SUMIFS(Compta!$F$1:$F$675,Compta!$A$1:$A$675,$A421,Compta!$B$1:$B$675,$B421,Compta!$C$1:$C$675,"2026"),0))</f>
        <v/>
      </c>
      <c r="G421" t="str">
        <f>IF($A421="","",IF($D421="V01",cad!$C$23,IF($D421="V02",cad!$D$23,cad!$E$23)))</f>
        <v/>
      </c>
      <c r="H421" t="str">
        <f>IF($A421="","",IF($D421="V01",cad!$C$24,IF($D421="V02",cad!$D$24,cad!$E$24)))</f>
        <v/>
      </c>
      <c r="I421" t="str">
        <f>IF($A421="","",IF($D421="V01",cad!$C$32,IF($D421="V02",cad!$D$32,cad!$E$32)))</f>
        <v/>
      </c>
      <c r="J421" t="str">
        <f>IF($A421="","",IF($D421="V01",cad!$C$33,IF($D421="V02",cad!$D$33,cad!$E$33)))</f>
        <v/>
      </c>
      <c r="K421" t="str">
        <f>IF($A421="","",IF($D421="V01",cad!$C$34,IF($D421="V02",cad!$D$34,cad!$E$34)))</f>
        <v/>
      </c>
      <c r="L421" t="str">
        <f>IF($A421="","",IF($D421="V01",cad!$C$35,IF($D421="V02",cad!$D$35,cad!$E$35)))</f>
        <v/>
      </c>
      <c r="M421" t="str">
        <f>IF($A421="","",IF($D421="V01",cad!$C$36,IF($D421="V02",cad!$D$36,cad!$E$36)))</f>
        <v/>
      </c>
      <c r="N421" t="str">
        <f t="shared" si="25"/>
        <v/>
      </c>
      <c r="O421" t="str">
        <f t="shared" si="26"/>
        <v/>
      </c>
      <c r="P421" t="str">
        <f>IF($A421="","",IF($E421=1,$F421*$O421,PNL!G421))</f>
        <v/>
      </c>
      <c r="T421" t="str">
        <f t="shared" si="27"/>
        <v/>
      </c>
    </row>
    <row r="422" spans="1:20" x14ac:dyDescent="0.45">
      <c r="A422" t="str">
        <f>IF(PNL!A422="","",PNL!A422)</f>
        <v/>
      </c>
      <c r="B422" t="str">
        <f>IF(PNL!B422="","",PNL!B422)</f>
        <v/>
      </c>
      <c r="C422" t="str">
        <f>IF(PNL!C422="","",PNL!C422)</f>
        <v/>
      </c>
      <c r="D422" t="str">
        <f>IF(PNL!D422="","",PNL!D422)</f>
        <v/>
      </c>
      <c r="E422" t="str">
        <f t="shared" si="24"/>
        <v/>
      </c>
      <c r="F422" t="str">
        <f>IF($A422="","",IF($E422=1,SUMIFS(Compta!$F$1:$F$675,Compta!$A$1:$A$675,$A422,Compta!$B$1:$B$675,$B422,Compta!$C$1:$C$675,"2026"),0))</f>
        <v/>
      </c>
      <c r="G422" t="str">
        <f>IF($A422="","",IF($D422="V01",cad!$C$23,IF($D422="V02",cad!$D$23,cad!$E$23)))</f>
        <v/>
      </c>
      <c r="H422" t="str">
        <f>IF($A422="","",IF($D422="V01",cad!$C$24,IF($D422="V02",cad!$D$24,cad!$E$24)))</f>
        <v/>
      </c>
      <c r="I422" t="str">
        <f>IF($A422="","",IF($D422="V01",cad!$C$32,IF($D422="V02",cad!$D$32,cad!$E$32)))</f>
        <v/>
      </c>
      <c r="J422" t="str">
        <f>IF($A422="","",IF($D422="V01",cad!$C$33,IF($D422="V02",cad!$D$33,cad!$E$33)))</f>
        <v/>
      </c>
      <c r="K422" t="str">
        <f>IF($A422="","",IF($D422="V01",cad!$C$34,IF($D422="V02",cad!$D$34,cad!$E$34)))</f>
        <v/>
      </c>
      <c r="L422" t="str">
        <f>IF($A422="","",IF($D422="V01",cad!$C$35,IF($D422="V02",cad!$D$35,cad!$E$35)))</f>
        <v/>
      </c>
      <c r="M422" t="str">
        <f>IF($A422="","",IF($D422="V01",cad!$C$36,IF($D422="V02",cad!$D$36,cad!$E$36)))</f>
        <v/>
      </c>
      <c r="N422" t="str">
        <f t="shared" si="25"/>
        <v/>
      </c>
      <c r="O422" t="str">
        <f t="shared" si="26"/>
        <v/>
      </c>
      <c r="P422" t="str">
        <f>IF($A422="","",IF($E422=1,$F422*$O422,PNL!G422))</f>
        <v/>
      </c>
      <c r="T422" t="str">
        <f t="shared" si="27"/>
        <v/>
      </c>
    </row>
    <row r="423" spans="1:20" x14ac:dyDescent="0.45">
      <c r="A423" t="str">
        <f>IF(PNL!A423="","",PNL!A423)</f>
        <v/>
      </c>
      <c r="B423" t="str">
        <f>IF(PNL!B423="","",PNL!B423)</f>
        <v/>
      </c>
      <c r="C423" t="str">
        <f>IF(PNL!C423="","",PNL!C423)</f>
        <v/>
      </c>
      <c r="D423" t="str">
        <f>IF(PNL!D423="","",PNL!D423)</f>
        <v/>
      </c>
      <c r="E423" t="str">
        <f t="shared" si="24"/>
        <v/>
      </c>
      <c r="F423" t="str">
        <f>IF($A423="","",IF($E423=1,SUMIFS(Compta!$F$1:$F$675,Compta!$A$1:$A$675,$A423,Compta!$B$1:$B$675,$B423,Compta!$C$1:$C$675,"2026"),0))</f>
        <v/>
      </c>
      <c r="G423" t="str">
        <f>IF($A423="","",IF($D423="V01",cad!$C$23,IF($D423="V02",cad!$D$23,cad!$E$23)))</f>
        <v/>
      </c>
      <c r="H423" t="str">
        <f>IF($A423="","",IF($D423="V01",cad!$C$24,IF($D423="V02",cad!$D$24,cad!$E$24)))</f>
        <v/>
      </c>
      <c r="I423" t="str">
        <f>IF($A423="","",IF($D423="V01",cad!$C$32,IF($D423="V02",cad!$D$32,cad!$E$32)))</f>
        <v/>
      </c>
      <c r="J423" t="str">
        <f>IF($A423="","",IF($D423="V01",cad!$C$33,IF($D423="V02",cad!$D$33,cad!$E$33)))</f>
        <v/>
      </c>
      <c r="K423" t="str">
        <f>IF($A423="","",IF($D423="V01",cad!$C$34,IF($D423="V02",cad!$D$34,cad!$E$34)))</f>
        <v/>
      </c>
      <c r="L423" t="str">
        <f>IF($A423="","",IF($D423="V01",cad!$C$35,IF($D423="V02",cad!$D$35,cad!$E$35)))</f>
        <v/>
      </c>
      <c r="M423" t="str">
        <f>IF($A423="","",IF($D423="V01",cad!$C$36,IF($D423="V02",cad!$D$36,cad!$E$36)))</f>
        <v/>
      </c>
      <c r="N423" t="str">
        <f t="shared" si="25"/>
        <v/>
      </c>
      <c r="O423" t="str">
        <f t="shared" si="26"/>
        <v/>
      </c>
      <c r="P423" t="str">
        <f>IF($A423="","",IF($E423=1,$F423*$O423,PNL!G423))</f>
        <v/>
      </c>
      <c r="T423" t="str">
        <f t="shared" si="27"/>
        <v/>
      </c>
    </row>
    <row r="424" spans="1:20" x14ac:dyDescent="0.45">
      <c r="A424" t="str">
        <f>IF(PNL!A424="","",PNL!A424)</f>
        <v/>
      </c>
      <c r="B424" t="str">
        <f>IF(PNL!B424="","",PNL!B424)</f>
        <v/>
      </c>
      <c r="C424" t="str">
        <f>IF(PNL!C424="","",PNL!C424)</f>
        <v/>
      </c>
      <c r="D424" t="str">
        <f>IF(PNL!D424="","",PNL!D424)</f>
        <v/>
      </c>
      <c r="E424" t="str">
        <f t="shared" si="24"/>
        <v/>
      </c>
      <c r="F424" t="str">
        <f>IF($A424="","",IF($E424=1,SUMIFS(Compta!$F$1:$F$675,Compta!$A$1:$A$675,$A424,Compta!$B$1:$B$675,$B424,Compta!$C$1:$C$675,"2026"),0))</f>
        <v/>
      </c>
      <c r="G424" t="str">
        <f>IF($A424="","",IF($D424="V01",cad!$C$23,IF($D424="V02",cad!$D$23,cad!$E$23)))</f>
        <v/>
      </c>
      <c r="H424" t="str">
        <f>IF($A424="","",IF($D424="V01",cad!$C$24,IF($D424="V02",cad!$D$24,cad!$E$24)))</f>
        <v/>
      </c>
      <c r="I424" t="str">
        <f>IF($A424="","",IF($D424="V01",cad!$C$32,IF($D424="V02",cad!$D$32,cad!$E$32)))</f>
        <v/>
      </c>
      <c r="J424" t="str">
        <f>IF($A424="","",IF($D424="V01",cad!$C$33,IF($D424="V02",cad!$D$33,cad!$E$33)))</f>
        <v/>
      </c>
      <c r="K424" t="str">
        <f>IF($A424="","",IF($D424="V01",cad!$C$34,IF($D424="V02",cad!$D$34,cad!$E$34)))</f>
        <v/>
      </c>
      <c r="L424" t="str">
        <f>IF($A424="","",IF($D424="V01",cad!$C$35,IF($D424="V02",cad!$D$35,cad!$E$35)))</f>
        <v/>
      </c>
      <c r="M424" t="str">
        <f>IF($A424="","",IF($D424="V01",cad!$C$36,IF($D424="V02",cad!$D$36,cad!$E$36)))</f>
        <v/>
      </c>
      <c r="N424" t="str">
        <f t="shared" si="25"/>
        <v/>
      </c>
      <c r="O424" t="str">
        <f t="shared" si="26"/>
        <v/>
      </c>
      <c r="P424" t="str">
        <f>IF($A424="","",IF($E424=1,$F424*$O424,PNL!G424))</f>
        <v/>
      </c>
      <c r="T424" t="str">
        <f t="shared" si="27"/>
        <v/>
      </c>
    </row>
    <row r="425" spans="1:20" x14ac:dyDescent="0.45">
      <c r="A425" t="str">
        <f>IF(PNL!A425="","",PNL!A425)</f>
        <v/>
      </c>
      <c r="B425" t="str">
        <f>IF(PNL!B425="","",PNL!B425)</f>
        <v/>
      </c>
      <c r="C425" t="str">
        <f>IF(PNL!C425="","",PNL!C425)</f>
        <v/>
      </c>
      <c r="D425" t="str">
        <f>IF(PNL!D425="","",PNL!D425)</f>
        <v/>
      </c>
      <c r="E425" t="str">
        <f t="shared" si="24"/>
        <v/>
      </c>
      <c r="F425" t="str">
        <f>IF($A425="","",IF($E425=1,SUMIFS(Compta!$F$1:$F$675,Compta!$A$1:$A$675,$A425,Compta!$B$1:$B$675,$B425,Compta!$C$1:$C$675,"2026"),0))</f>
        <v/>
      </c>
      <c r="G425" t="str">
        <f>IF($A425="","",IF($D425="V01",cad!$C$23,IF($D425="V02",cad!$D$23,cad!$E$23)))</f>
        <v/>
      </c>
      <c r="H425" t="str">
        <f>IF($A425="","",IF($D425="V01",cad!$C$24,IF($D425="V02",cad!$D$24,cad!$E$24)))</f>
        <v/>
      </c>
      <c r="I425" t="str">
        <f>IF($A425="","",IF($D425="V01",cad!$C$32,IF($D425="V02",cad!$D$32,cad!$E$32)))</f>
        <v/>
      </c>
      <c r="J425" t="str">
        <f>IF($A425="","",IF($D425="V01",cad!$C$33,IF($D425="V02",cad!$D$33,cad!$E$33)))</f>
        <v/>
      </c>
      <c r="K425" t="str">
        <f>IF($A425="","",IF($D425="V01",cad!$C$34,IF($D425="V02",cad!$D$34,cad!$E$34)))</f>
        <v/>
      </c>
      <c r="L425" t="str">
        <f>IF($A425="","",IF($D425="V01",cad!$C$35,IF($D425="V02",cad!$D$35,cad!$E$35)))</f>
        <v/>
      </c>
      <c r="M425" t="str">
        <f>IF($A425="","",IF($D425="V01",cad!$C$36,IF($D425="V02",cad!$D$36,cad!$E$36)))</f>
        <v/>
      </c>
      <c r="N425" t="str">
        <f t="shared" si="25"/>
        <v/>
      </c>
      <c r="O425" t="str">
        <f t="shared" si="26"/>
        <v/>
      </c>
      <c r="P425" t="str">
        <f>IF($A425="","",IF($E425=1,$F425*$O425,PNL!G425))</f>
        <v/>
      </c>
      <c r="T425" t="str">
        <f t="shared" si="27"/>
        <v/>
      </c>
    </row>
    <row r="426" spans="1:20" x14ac:dyDescent="0.45">
      <c r="A426" t="str">
        <f>IF(PNL!A426="","",PNL!A426)</f>
        <v/>
      </c>
      <c r="B426" t="str">
        <f>IF(PNL!B426="","",PNL!B426)</f>
        <v/>
      </c>
      <c r="C426" t="str">
        <f>IF(PNL!C426="","",PNL!C426)</f>
        <v/>
      </c>
      <c r="D426" t="str">
        <f>IF(PNL!D426="","",PNL!D426)</f>
        <v/>
      </c>
      <c r="E426" t="str">
        <f t="shared" si="24"/>
        <v/>
      </c>
      <c r="F426" t="str">
        <f>IF($A426="","",IF($E426=1,SUMIFS(Compta!$F$1:$F$675,Compta!$A$1:$A$675,$A426,Compta!$B$1:$B$675,$B426,Compta!$C$1:$C$675,"2026"),0))</f>
        <v/>
      </c>
      <c r="G426" t="str">
        <f>IF($A426="","",IF($D426="V01",cad!$C$23,IF($D426="V02",cad!$D$23,cad!$E$23)))</f>
        <v/>
      </c>
      <c r="H426" t="str">
        <f>IF($A426="","",IF($D426="V01",cad!$C$24,IF($D426="V02",cad!$D$24,cad!$E$24)))</f>
        <v/>
      </c>
      <c r="I426" t="str">
        <f>IF($A426="","",IF($D426="V01",cad!$C$32,IF($D426="V02",cad!$D$32,cad!$E$32)))</f>
        <v/>
      </c>
      <c r="J426" t="str">
        <f>IF($A426="","",IF($D426="V01",cad!$C$33,IF($D426="V02",cad!$D$33,cad!$E$33)))</f>
        <v/>
      </c>
      <c r="K426" t="str">
        <f>IF($A426="","",IF($D426="V01",cad!$C$34,IF($D426="V02",cad!$D$34,cad!$E$34)))</f>
        <v/>
      </c>
      <c r="L426" t="str">
        <f>IF($A426="","",IF($D426="V01",cad!$C$35,IF($D426="V02",cad!$D$35,cad!$E$35)))</f>
        <v/>
      </c>
      <c r="M426" t="str">
        <f>IF($A426="","",IF($D426="V01",cad!$C$36,IF($D426="V02",cad!$D$36,cad!$E$36)))</f>
        <v/>
      </c>
      <c r="N426" t="str">
        <f t="shared" si="25"/>
        <v/>
      </c>
      <c r="O426" t="str">
        <f t="shared" si="26"/>
        <v/>
      </c>
      <c r="P426" t="str">
        <f>IF($A426="","",IF($E426=1,$F426*$O426,PNL!G426))</f>
        <v/>
      </c>
      <c r="T426" t="str">
        <f t="shared" si="27"/>
        <v/>
      </c>
    </row>
    <row r="427" spans="1:20" x14ac:dyDescent="0.45">
      <c r="A427" t="str">
        <f>IF(PNL!A427="","",PNL!A427)</f>
        <v/>
      </c>
      <c r="B427" t="str">
        <f>IF(PNL!B427="","",PNL!B427)</f>
        <v/>
      </c>
      <c r="C427" t="str">
        <f>IF(PNL!C427="","",PNL!C427)</f>
        <v/>
      </c>
      <c r="D427" t="str">
        <f>IF(PNL!D427="","",PNL!D427)</f>
        <v/>
      </c>
      <c r="E427" t="str">
        <f t="shared" si="24"/>
        <v/>
      </c>
      <c r="F427" t="str">
        <f>IF($A427="","",IF($E427=1,SUMIFS(Compta!$F$1:$F$675,Compta!$A$1:$A$675,$A427,Compta!$B$1:$B$675,$B427,Compta!$C$1:$C$675,"2026"),0))</f>
        <v/>
      </c>
      <c r="G427" t="str">
        <f>IF($A427="","",IF($D427="V01",cad!$C$23,IF($D427="V02",cad!$D$23,cad!$E$23)))</f>
        <v/>
      </c>
      <c r="H427" t="str">
        <f>IF($A427="","",IF($D427="V01",cad!$C$24,IF($D427="V02",cad!$D$24,cad!$E$24)))</f>
        <v/>
      </c>
      <c r="I427" t="str">
        <f>IF($A427="","",IF($D427="V01",cad!$C$32,IF($D427="V02",cad!$D$32,cad!$E$32)))</f>
        <v/>
      </c>
      <c r="J427" t="str">
        <f>IF($A427="","",IF($D427="V01",cad!$C$33,IF($D427="V02",cad!$D$33,cad!$E$33)))</f>
        <v/>
      </c>
      <c r="K427" t="str">
        <f>IF($A427="","",IF($D427="V01",cad!$C$34,IF($D427="V02",cad!$D$34,cad!$E$34)))</f>
        <v/>
      </c>
      <c r="L427" t="str">
        <f>IF($A427="","",IF($D427="V01",cad!$C$35,IF($D427="V02",cad!$D$35,cad!$E$35)))</f>
        <v/>
      </c>
      <c r="M427" t="str">
        <f>IF($A427="","",IF($D427="V01",cad!$C$36,IF($D427="V02",cad!$D$36,cad!$E$36)))</f>
        <v/>
      </c>
      <c r="N427" t="str">
        <f t="shared" si="25"/>
        <v/>
      </c>
      <c r="O427" t="str">
        <f t="shared" si="26"/>
        <v/>
      </c>
      <c r="P427" t="str">
        <f>IF($A427="","",IF($E427=1,$F427*$O427,PNL!G427))</f>
        <v/>
      </c>
      <c r="T427" t="str">
        <f t="shared" si="27"/>
        <v/>
      </c>
    </row>
    <row r="428" spans="1:20" x14ac:dyDescent="0.45">
      <c r="A428" t="str">
        <f>IF(PNL!A428="","",PNL!A428)</f>
        <v/>
      </c>
      <c r="B428" t="str">
        <f>IF(PNL!B428="","",PNL!B428)</f>
        <v/>
      </c>
      <c r="C428" t="str">
        <f>IF(PNL!C428="","",PNL!C428)</f>
        <v/>
      </c>
      <c r="D428" t="str">
        <f>IF(PNL!D428="","",PNL!D428)</f>
        <v/>
      </c>
      <c r="E428" t="str">
        <f t="shared" si="24"/>
        <v/>
      </c>
      <c r="F428" t="str">
        <f>IF($A428="","",IF($E428=1,SUMIFS(Compta!$F$1:$F$675,Compta!$A$1:$A$675,$A428,Compta!$B$1:$B$675,$B428,Compta!$C$1:$C$675,"2026"),0))</f>
        <v/>
      </c>
      <c r="G428" t="str">
        <f>IF($A428="","",IF($D428="V01",cad!$C$23,IF($D428="V02",cad!$D$23,cad!$E$23)))</f>
        <v/>
      </c>
      <c r="H428" t="str">
        <f>IF($A428="","",IF($D428="V01",cad!$C$24,IF($D428="V02",cad!$D$24,cad!$E$24)))</f>
        <v/>
      </c>
      <c r="I428" t="str">
        <f>IF($A428="","",IF($D428="V01",cad!$C$32,IF($D428="V02",cad!$D$32,cad!$E$32)))</f>
        <v/>
      </c>
      <c r="J428" t="str">
        <f>IF($A428="","",IF($D428="V01",cad!$C$33,IF($D428="V02",cad!$D$33,cad!$E$33)))</f>
        <v/>
      </c>
      <c r="K428" t="str">
        <f>IF($A428="","",IF($D428="V01",cad!$C$34,IF($D428="V02",cad!$D$34,cad!$E$34)))</f>
        <v/>
      </c>
      <c r="L428" t="str">
        <f>IF($A428="","",IF($D428="V01",cad!$C$35,IF($D428="V02",cad!$D$35,cad!$E$35)))</f>
        <v/>
      </c>
      <c r="M428" t="str">
        <f>IF($A428="","",IF($D428="V01",cad!$C$36,IF($D428="V02",cad!$D$36,cad!$E$36)))</f>
        <v/>
      </c>
      <c r="N428" t="str">
        <f t="shared" si="25"/>
        <v/>
      </c>
      <c r="O428" t="str">
        <f t="shared" si="26"/>
        <v/>
      </c>
      <c r="P428" t="str">
        <f>IF($A428="","",IF($E428=1,$F428*$O428,PNL!G428))</f>
        <v/>
      </c>
      <c r="T428" t="str">
        <f t="shared" si="27"/>
        <v/>
      </c>
    </row>
    <row r="429" spans="1:20" x14ac:dyDescent="0.45">
      <c r="A429" t="str">
        <f>IF(PNL!A429="","",PNL!A429)</f>
        <v/>
      </c>
      <c r="B429" t="str">
        <f>IF(PNL!B429="","",PNL!B429)</f>
        <v/>
      </c>
      <c r="C429" t="str">
        <f>IF(PNL!C429="","",PNL!C429)</f>
        <v/>
      </c>
      <c r="D429" t="str">
        <f>IF(PNL!D429="","",PNL!D429)</f>
        <v/>
      </c>
      <c r="E429" t="str">
        <f t="shared" si="24"/>
        <v/>
      </c>
      <c r="F429" t="str">
        <f>IF($A429="","",IF($E429=1,SUMIFS(Compta!$F$1:$F$675,Compta!$A$1:$A$675,$A429,Compta!$B$1:$B$675,$B429,Compta!$C$1:$C$675,"2026"),0))</f>
        <v/>
      </c>
      <c r="G429" t="str">
        <f>IF($A429="","",IF($D429="V01",cad!$C$23,IF($D429="V02",cad!$D$23,cad!$E$23)))</f>
        <v/>
      </c>
      <c r="H429" t="str">
        <f>IF($A429="","",IF($D429="V01",cad!$C$24,IF($D429="V02",cad!$D$24,cad!$E$24)))</f>
        <v/>
      </c>
      <c r="I429" t="str">
        <f>IF($A429="","",IF($D429="V01",cad!$C$32,IF($D429="V02",cad!$D$32,cad!$E$32)))</f>
        <v/>
      </c>
      <c r="J429" t="str">
        <f>IF($A429="","",IF($D429="V01",cad!$C$33,IF($D429="V02",cad!$D$33,cad!$E$33)))</f>
        <v/>
      </c>
      <c r="K429" t="str">
        <f>IF($A429="","",IF($D429="V01",cad!$C$34,IF($D429="V02",cad!$D$34,cad!$E$34)))</f>
        <v/>
      </c>
      <c r="L429" t="str">
        <f>IF($A429="","",IF($D429="V01",cad!$C$35,IF($D429="V02",cad!$D$35,cad!$E$35)))</f>
        <v/>
      </c>
      <c r="M429" t="str">
        <f>IF($A429="","",IF($D429="V01",cad!$C$36,IF($D429="V02",cad!$D$36,cad!$E$36)))</f>
        <v/>
      </c>
      <c r="N429" t="str">
        <f t="shared" si="25"/>
        <v/>
      </c>
      <c r="O429" t="str">
        <f t="shared" si="26"/>
        <v/>
      </c>
      <c r="P429" t="str">
        <f>IF($A429="","",IF($E429=1,$F429*$O429,PNL!G429))</f>
        <v/>
      </c>
      <c r="T429" t="str">
        <f t="shared" si="27"/>
        <v/>
      </c>
    </row>
    <row r="430" spans="1:20" x14ac:dyDescent="0.45">
      <c r="A430" t="str">
        <f>IF(PNL!A430="","",PNL!A430)</f>
        <v/>
      </c>
      <c r="B430" t="str">
        <f>IF(PNL!B430="","",PNL!B430)</f>
        <v/>
      </c>
      <c r="C430" t="str">
        <f>IF(PNL!C430="","",PNL!C430)</f>
        <v/>
      </c>
      <c r="D430" t="str">
        <f>IF(PNL!D430="","",PNL!D430)</f>
        <v/>
      </c>
      <c r="E430" t="str">
        <f t="shared" si="24"/>
        <v/>
      </c>
      <c r="F430" t="str">
        <f>IF($A430="","",IF($E430=1,SUMIFS(Compta!$F$1:$F$675,Compta!$A$1:$A$675,$A430,Compta!$B$1:$B$675,$B430,Compta!$C$1:$C$675,"2026"),0))</f>
        <v/>
      </c>
      <c r="G430" t="str">
        <f>IF($A430="","",IF($D430="V01",cad!$C$23,IF($D430="V02",cad!$D$23,cad!$E$23)))</f>
        <v/>
      </c>
      <c r="H430" t="str">
        <f>IF($A430="","",IF($D430="V01",cad!$C$24,IF($D430="V02",cad!$D$24,cad!$E$24)))</f>
        <v/>
      </c>
      <c r="I430" t="str">
        <f>IF($A430="","",IF($D430="V01",cad!$C$32,IF($D430="V02",cad!$D$32,cad!$E$32)))</f>
        <v/>
      </c>
      <c r="J430" t="str">
        <f>IF($A430="","",IF($D430="V01",cad!$C$33,IF($D430="V02",cad!$D$33,cad!$E$33)))</f>
        <v/>
      </c>
      <c r="K430" t="str">
        <f>IF($A430="","",IF($D430="V01",cad!$C$34,IF($D430="V02",cad!$D$34,cad!$E$34)))</f>
        <v/>
      </c>
      <c r="L430" t="str">
        <f>IF($A430="","",IF($D430="V01",cad!$C$35,IF($D430="V02",cad!$D$35,cad!$E$35)))</f>
        <v/>
      </c>
      <c r="M430" t="str">
        <f>IF($A430="","",IF($D430="V01",cad!$C$36,IF($D430="V02",cad!$D$36,cad!$E$36)))</f>
        <v/>
      </c>
      <c r="N430" t="str">
        <f t="shared" si="25"/>
        <v/>
      </c>
      <c r="O430" t="str">
        <f t="shared" si="26"/>
        <v/>
      </c>
      <c r="P430" t="str">
        <f>IF($A430="","",IF($E430=1,$F430*$O430,PNL!G430))</f>
        <v/>
      </c>
      <c r="T430" t="str">
        <f t="shared" si="27"/>
        <v/>
      </c>
    </row>
    <row r="431" spans="1:20" x14ac:dyDescent="0.45">
      <c r="A431" t="str">
        <f>IF(PNL!A431="","",PNL!A431)</f>
        <v/>
      </c>
      <c r="B431" t="str">
        <f>IF(PNL!B431="","",PNL!B431)</f>
        <v/>
      </c>
      <c r="C431" t="str">
        <f>IF(PNL!C431="","",PNL!C431)</f>
        <v/>
      </c>
      <c r="D431" t="str">
        <f>IF(PNL!D431="","",PNL!D431)</f>
        <v/>
      </c>
      <c r="E431" t="str">
        <f t="shared" si="24"/>
        <v/>
      </c>
      <c r="F431" t="str">
        <f>IF($A431="","",IF($E431=1,SUMIFS(Compta!$F$1:$F$675,Compta!$A$1:$A$675,$A431,Compta!$B$1:$B$675,$B431,Compta!$C$1:$C$675,"2026"),0))</f>
        <v/>
      </c>
      <c r="G431" t="str">
        <f>IF($A431="","",IF($D431="V01",cad!$C$23,IF($D431="V02",cad!$D$23,cad!$E$23)))</f>
        <v/>
      </c>
      <c r="H431" t="str">
        <f>IF($A431="","",IF($D431="V01",cad!$C$24,IF($D431="V02",cad!$D$24,cad!$E$24)))</f>
        <v/>
      </c>
      <c r="I431" t="str">
        <f>IF($A431="","",IF($D431="V01",cad!$C$32,IF($D431="V02",cad!$D$32,cad!$E$32)))</f>
        <v/>
      </c>
      <c r="J431" t="str">
        <f>IF($A431="","",IF($D431="V01",cad!$C$33,IF($D431="V02",cad!$D$33,cad!$E$33)))</f>
        <v/>
      </c>
      <c r="K431" t="str">
        <f>IF($A431="","",IF($D431="V01",cad!$C$34,IF($D431="V02",cad!$D$34,cad!$E$34)))</f>
        <v/>
      </c>
      <c r="L431" t="str">
        <f>IF($A431="","",IF($D431="V01",cad!$C$35,IF($D431="V02",cad!$D$35,cad!$E$35)))</f>
        <v/>
      </c>
      <c r="M431" t="str">
        <f>IF($A431="","",IF($D431="V01",cad!$C$36,IF($D431="V02",cad!$D$36,cad!$E$36)))</f>
        <v/>
      </c>
      <c r="N431" t="str">
        <f t="shared" si="25"/>
        <v/>
      </c>
      <c r="O431" t="str">
        <f t="shared" si="26"/>
        <v/>
      </c>
      <c r="P431" t="str">
        <f>IF($A431="","",IF($E431=1,$F431*$O431,PNL!G431))</f>
        <v/>
      </c>
      <c r="T431" t="str">
        <f t="shared" si="27"/>
        <v/>
      </c>
    </row>
    <row r="432" spans="1:20" x14ac:dyDescent="0.45">
      <c r="A432" t="str">
        <f>IF(PNL!A432="","",PNL!A432)</f>
        <v/>
      </c>
      <c r="B432" t="str">
        <f>IF(PNL!B432="","",PNL!B432)</f>
        <v/>
      </c>
      <c r="C432" t="str">
        <f>IF(PNL!C432="","",PNL!C432)</f>
        <v/>
      </c>
      <c r="D432" t="str">
        <f>IF(PNL!D432="","",PNL!D432)</f>
        <v/>
      </c>
      <c r="E432" t="str">
        <f t="shared" si="24"/>
        <v/>
      </c>
      <c r="F432" t="str">
        <f>IF($A432="","",IF($E432=1,SUMIFS(Compta!$F$1:$F$675,Compta!$A$1:$A$675,$A432,Compta!$B$1:$B$675,$B432,Compta!$C$1:$C$675,"2026"),0))</f>
        <v/>
      </c>
      <c r="G432" t="str">
        <f>IF($A432="","",IF($D432="V01",cad!$C$23,IF($D432="V02",cad!$D$23,cad!$E$23)))</f>
        <v/>
      </c>
      <c r="H432" t="str">
        <f>IF($A432="","",IF($D432="V01",cad!$C$24,IF($D432="V02",cad!$D$24,cad!$E$24)))</f>
        <v/>
      </c>
      <c r="I432" t="str">
        <f>IF($A432="","",IF($D432="V01",cad!$C$32,IF($D432="V02",cad!$D$32,cad!$E$32)))</f>
        <v/>
      </c>
      <c r="J432" t="str">
        <f>IF($A432="","",IF($D432="V01",cad!$C$33,IF($D432="V02",cad!$D$33,cad!$E$33)))</f>
        <v/>
      </c>
      <c r="K432" t="str">
        <f>IF($A432="","",IF($D432="V01",cad!$C$34,IF($D432="V02",cad!$D$34,cad!$E$34)))</f>
        <v/>
      </c>
      <c r="L432" t="str">
        <f>IF($A432="","",IF($D432="V01",cad!$C$35,IF($D432="V02",cad!$D$35,cad!$E$35)))</f>
        <v/>
      </c>
      <c r="M432" t="str">
        <f>IF($A432="","",IF($D432="V01",cad!$C$36,IF($D432="V02",cad!$D$36,cad!$E$36)))</f>
        <v/>
      </c>
      <c r="N432" t="str">
        <f t="shared" si="25"/>
        <v/>
      </c>
      <c r="O432" t="str">
        <f t="shared" si="26"/>
        <v/>
      </c>
      <c r="P432" t="str">
        <f>IF($A432="","",IF($E432=1,$F432*$O432,PNL!G432))</f>
        <v/>
      </c>
      <c r="T432" t="str">
        <f t="shared" si="27"/>
        <v/>
      </c>
    </row>
    <row r="433" spans="1:20" x14ac:dyDescent="0.45">
      <c r="A433" t="str">
        <f>IF(PNL!A433="","",PNL!A433)</f>
        <v/>
      </c>
      <c r="B433" t="str">
        <f>IF(PNL!B433="","",PNL!B433)</f>
        <v/>
      </c>
      <c r="C433" t="str">
        <f>IF(PNL!C433="","",PNL!C433)</f>
        <v/>
      </c>
      <c r="D433" t="str">
        <f>IF(PNL!D433="","",PNL!D433)</f>
        <v/>
      </c>
      <c r="E433" t="str">
        <f t="shared" si="24"/>
        <v/>
      </c>
      <c r="F433" t="str">
        <f>IF($A433="","",IF($E433=1,SUMIFS(Compta!$F$1:$F$675,Compta!$A$1:$A$675,$A433,Compta!$B$1:$B$675,$B433,Compta!$C$1:$C$675,"2026"),0))</f>
        <v/>
      </c>
      <c r="G433" t="str">
        <f>IF($A433="","",IF($D433="V01",cad!$C$23,IF($D433="V02",cad!$D$23,cad!$E$23)))</f>
        <v/>
      </c>
      <c r="H433" t="str">
        <f>IF($A433="","",IF($D433="V01",cad!$C$24,IF($D433="V02",cad!$D$24,cad!$E$24)))</f>
        <v/>
      </c>
      <c r="I433" t="str">
        <f>IF($A433="","",IF($D433="V01",cad!$C$32,IF($D433="V02",cad!$D$32,cad!$E$32)))</f>
        <v/>
      </c>
      <c r="J433" t="str">
        <f>IF($A433="","",IF($D433="V01",cad!$C$33,IF($D433="V02",cad!$D$33,cad!$E$33)))</f>
        <v/>
      </c>
      <c r="K433" t="str">
        <f>IF($A433="","",IF($D433="V01",cad!$C$34,IF($D433="V02",cad!$D$34,cad!$E$34)))</f>
        <v/>
      </c>
      <c r="L433" t="str">
        <f>IF($A433="","",IF($D433="V01",cad!$C$35,IF($D433="V02",cad!$D$35,cad!$E$35)))</f>
        <v/>
      </c>
      <c r="M433" t="str">
        <f>IF($A433="","",IF($D433="V01",cad!$C$36,IF($D433="V02",cad!$D$36,cad!$E$36)))</f>
        <v/>
      </c>
      <c r="N433" t="str">
        <f t="shared" si="25"/>
        <v/>
      </c>
      <c r="O433" t="str">
        <f t="shared" si="26"/>
        <v/>
      </c>
      <c r="P433" t="str">
        <f>IF($A433="","",IF($E433=1,$F433*$O433,PNL!G433))</f>
        <v/>
      </c>
      <c r="T433" t="str">
        <f t="shared" si="27"/>
        <v/>
      </c>
    </row>
    <row r="434" spans="1:20" x14ac:dyDescent="0.45">
      <c r="A434" t="str">
        <f>IF(PNL!A434="","",PNL!A434)</f>
        <v/>
      </c>
      <c r="B434" t="str">
        <f>IF(PNL!B434="","",PNL!B434)</f>
        <v/>
      </c>
      <c r="C434" t="str">
        <f>IF(PNL!C434="","",PNL!C434)</f>
        <v/>
      </c>
      <c r="D434" t="str">
        <f>IF(PNL!D434="","",PNL!D434)</f>
        <v/>
      </c>
      <c r="E434" t="str">
        <f t="shared" si="24"/>
        <v/>
      </c>
      <c r="F434" t="str">
        <f>IF($A434="","",IF($E434=1,SUMIFS(Compta!$F$1:$F$675,Compta!$A$1:$A$675,$A434,Compta!$B$1:$B$675,$B434,Compta!$C$1:$C$675,"2026"),0))</f>
        <v/>
      </c>
      <c r="G434" t="str">
        <f>IF($A434="","",IF($D434="V01",cad!$C$23,IF($D434="V02",cad!$D$23,cad!$E$23)))</f>
        <v/>
      </c>
      <c r="H434" t="str">
        <f>IF($A434="","",IF($D434="V01",cad!$C$24,IF($D434="V02",cad!$D$24,cad!$E$24)))</f>
        <v/>
      </c>
      <c r="I434" t="str">
        <f>IF($A434="","",IF($D434="V01",cad!$C$32,IF($D434="V02",cad!$D$32,cad!$E$32)))</f>
        <v/>
      </c>
      <c r="J434" t="str">
        <f>IF($A434="","",IF($D434="V01",cad!$C$33,IF($D434="V02",cad!$D$33,cad!$E$33)))</f>
        <v/>
      </c>
      <c r="K434" t="str">
        <f>IF($A434="","",IF($D434="V01",cad!$C$34,IF($D434="V02",cad!$D$34,cad!$E$34)))</f>
        <v/>
      </c>
      <c r="L434" t="str">
        <f>IF($A434="","",IF($D434="V01",cad!$C$35,IF($D434="V02",cad!$D$35,cad!$E$35)))</f>
        <v/>
      </c>
      <c r="M434" t="str">
        <f>IF($A434="","",IF($D434="V01",cad!$C$36,IF($D434="V02",cad!$D$36,cad!$E$36)))</f>
        <v/>
      </c>
      <c r="N434" t="str">
        <f t="shared" si="25"/>
        <v/>
      </c>
      <c r="O434" t="str">
        <f t="shared" si="26"/>
        <v/>
      </c>
      <c r="P434" t="str">
        <f>IF($A434="","",IF($E434=1,$F434*$O434,PNL!G434))</f>
        <v/>
      </c>
      <c r="T434" t="str">
        <f t="shared" si="27"/>
        <v/>
      </c>
    </row>
    <row r="435" spans="1:20" x14ac:dyDescent="0.45">
      <c r="A435" t="str">
        <f>IF(PNL!A435="","",PNL!A435)</f>
        <v/>
      </c>
      <c r="B435" t="str">
        <f>IF(PNL!B435="","",PNL!B435)</f>
        <v/>
      </c>
      <c r="C435" t="str">
        <f>IF(PNL!C435="","",PNL!C435)</f>
        <v/>
      </c>
      <c r="D435" t="str">
        <f>IF(PNL!D435="","",PNL!D435)</f>
        <v/>
      </c>
      <c r="E435" t="str">
        <f t="shared" si="24"/>
        <v/>
      </c>
      <c r="F435" t="str">
        <f>IF($A435="","",IF($E435=1,SUMIFS(Compta!$F$1:$F$675,Compta!$A$1:$A$675,$A435,Compta!$B$1:$B$675,$B435,Compta!$C$1:$C$675,"2026"),0))</f>
        <v/>
      </c>
      <c r="G435" t="str">
        <f>IF($A435="","",IF($D435="V01",cad!$C$23,IF($D435="V02",cad!$D$23,cad!$E$23)))</f>
        <v/>
      </c>
      <c r="H435" t="str">
        <f>IF($A435="","",IF($D435="V01",cad!$C$24,IF($D435="V02",cad!$D$24,cad!$E$24)))</f>
        <v/>
      </c>
      <c r="I435" t="str">
        <f>IF($A435="","",IF($D435="V01",cad!$C$32,IF($D435="V02",cad!$D$32,cad!$E$32)))</f>
        <v/>
      </c>
      <c r="J435" t="str">
        <f>IF($A435="","",IF($D435="V01",cad!$C$33,IF($D435="V02",cad!$D$33,cad!$E$33)))</f>
        <v/>
      </c>
      <c r="K435" t="str">
        <f>IF($A435="","",IF($D435="V01",cad!$C$34,IF($D435="V02",cad!$D$34,cad!$E$34)))</f>
        <v/>
      </c>
      <c r="L435" t="str">
        <f>IF($A435="","",IF($D435="V01",cad!$C$35,IF($D435="V02",cad!$D$35,cad!$E$35)))</f>
        <v/>
      </c>
      <c r="M435" t="str">
        <f>IF($A435="","",IF($D435="V01",cad!$C$36,IF($D435="V02",cad!$D$36,cad!$E$36)))</f>
        <v/>
      </c>
      <c r="N435" t="str">
        <f t="shared" si="25"/>
        <v/>
      </c>
      <c r="O435" t="str">
        <f t="shared" si="26"/>
        <v/>
      </c>
      <c r="P435" t="str">
        <f>IF($A435="","",IF($E435=1,$F435*$O435,PNL!G435))</f>
        <v/>
      </c>
      <c r="T435" t="str">
        <f t="shared" si="27"/>
        <v/>
      </c>
    </row>
    <row r="436" spans="1:20" x14ac:dyDescent="0.45">
      <c r="A436" t="str">
        <f>IF(PNL!A436="","",PNL!A436)</f>
        <v/>
      </c>
      <c r="B436" t="str">
        <f>IF(PNL!B436="","",PNL!B436)</f>
        <v/>
      </c>
      <c r="C436" t="str">
        <f>IF(PNL!C436="","",PNL!C436)</f>
        <v/>
      </c>
      <c r="D436" t="str">
        <f>IF(PNL!D436="","",PNL!D436)</f>
        <v/>
      </c>
      <c r="E436" t="str">
        <f t="shared" si="24"/>
        <v/>
      </c>
      <c r="F436" t="str">
        <f>IF($A436="","",IF($E436=1,SUMIFS(Compta!$F$1:$F$675,Compta!$A$1:$A$675,$A436,Compta!$B$1:$B$675,$B436,Compta!$C$1:$C$675,"2026"),0))</f>
        <v/>
      </c>
      <c r="G436" t="str">
        <f>IF($A436="","",IF($D436="V01",cad!$C$23,IF($D436="V02",cad!$D$23,cad!$E$23)))</f>
        <v/>
      </c>
      <c r="H436" t="str">
        <f>IF($A436="","",IF($D436="V01",cad!$C$24,IF($D436="V02",cad!$D$24,cad!$E$24)))</f>
        <v/>
      </c>
      <c r="I436" t="str">
        <f>IF($A436="","",IF($D436="V01",cad!$C$32,IF($D436="V02",cad!$D$32,cad!$E$32)))</f>
        <v/>
      </c>
      <c r="J436" t="str">
        <f>IF($A436="","",IF($D436="V01",cad!$C$33,IF($D436="V02",cad!$D$33,cad!$E$33)))</f>
        <v/>
      </c>
      <c r="K436" t="str">
        <f>IF($A436="","",IF($D436="V01",cad!$C$34,IF($D436="V02",cad!$D$34,cad!$E$34)))</f>
        <v/>
      </c>
      <c r="L436" t="str">
        <f>IF($A436="","",IF($D436="V01",cad!$C$35,IF($D436="V02",cad!$D$35,cad!$E$35)))</f>
        <v/>
      </c>
      <c r="M436" t="str">
        <f>IF($A436="","",IF($D436="V01",cad!$C$36,IF($D436="V02",cad!$D$36,cad!$E$36)))</f>
        <v/>
      </c>
      <c r="N436" t="str">
        <f t="shared" si="25"/>
        <v/>
      </c>
      <c r="O436" t="str">
        <f t="shared" si="26"/>
        <v/>
      </c>
      <c r="P436" t="str">
        <f>IF($A436="","",IF($E436=1,$F436*$O436,PNL!G436))</f>
        <v/>
      </c>
      <c r="T436" t="str">
        <f t="shared" si="27"/>
        <v/>
      </c>
    </row>
    <row r="437" spans="1:20" x14ac:dyDescent="0.45">
      <c r="A437" t="str">
        <f>IF(PNL!A437="","",PNL!A437)</f>
        <v/>
      </c>
      <c r="B437" t="str">
        <f>IF(PNL!B437="","",PNL!B437)</f>
        <v/>
      </c>
      <c r="C437" t="str">
        <f>IF(PNL!C437="","",PNL!C437)</f>
        <v/>
      </c>
      <c r="D437" t="str">
        <f>IF(PNL!D437="","",PNL!D437)</f>
        <v/>
      </c>
      <c r="E437" t="str">
        <f t="shared" si="24"/>
        <v/>
      </c>
      <c r="F437" t="str">
        <f>IF($A437="","",IF($E437=1,SUMIFS(Compta!$F$1:$F$675,Compta!$A$1:$A$675,$A437,Compta!$B$1:$B$675,$B437,Compta!$C$1:$C$675,"2026"),0))</f>
        <v/>
      </c>
      <c r="G437" t="str">
        <f>IF($A437="","",IF($D437="V01",cad!$C$23,IF($D437="V02",cad!$D$23,cad!$E$23)))</f>
        <v/>
      </c>
      <c r="H437" t="str">
        <f>IF($A437="","",IF($D437="V01",cad!$C$24,IF($D437="V02",cad!$D$24,cad!$E$24)))</f>
        <v/>
      </c>
      <c r="I437" t="str">
        <f>IF($A437="","",IF($D437="V01",cad!$C$32,IF($D437="V02",cad!$D$32,cad!$E$32)))</f>
        <v/>
      </c>
      <c r="J437" t="str">
        <f>IF($A437="","",IF($D437="V01",cad!$C$33,IF($D437="V02",cad!$D$33,cad!$E$33)))</f>
        <v/>
      </c>
      <c r="K437" t="str">
        <f>IF($A437="","",IF($D437="V01",cad!$C$34,IF($D437="V02",cad!$D$34,cad!$E$34)))</f>
        <v/>
      </c>
      <c r="L437" t="str">
        <f>IF($A437="","",IF($D437="V01",cad!$C$35,IF($D437="V02",cad!$D$35,cad!$E$35)))</f>
        <v/>
      </c>
      <c r="M437" t="str">
        <f>IF($A437="","",IF($D437="V01",cad!$C$36,IF($D437="V02",cad!$D$36,cad!$E$36)))</f>
        <v/>
      </c>
      <c r="N437" t="str">
        <f t="shared" si="25"/>
        <v/>
      </c>
      <c r="O437" t="str">
        <f t="shared" si="26"/>
        <v/>
      </c>
      <c r="P437" t="str">
        <f>IF($A437="","",IF($E437=1,$F437*$O437,PNL!G437))</f>
        <v/>
      </c>
      <c r="T437" t="str">
        <f t="shared" si="27"/>
        <v/>
      </c>
    </row>
    <row r="438" spans="1:20" x14ac:dyDescent="0.45">
      <c r="A438" t="str">
        <f>IF(PNL!A438="","",PNL!A438)</f>
        <v/>
      </c>
      <c r="B438" t="str">
        <f>IF(PNL!B438="","",PNL!B438)</f>
        <v/>
      </c>
      <c r="C438" t="str">
        <f>IF(PNL!C438="","",PNL!C438)</f>
        <v/>
      </c>
      <c r="D438" t="str">
        <f>IF(PNL!D438="","",PNL!D438)</f>
        <v/>
      </c>
      <c r="E438" t="str">
        <f t="shared" si="24"/>
        <v/>
      </c>
      <c r="F438" t="str">
        <f>IF($A438="","",IF($E438=1,SUMIFS(Compta!$F$1:$F$675,Compta!$A$1:$A$675,$A438,Compta!$B$1:$B$675,$B438,Compta!$C$1:$C$675,"2026"),0))</f>
        <v/>
      </c>
      <c r="G438" t="str">
        <f>IF($A438="","",IF($D438="V01",cad!$C$23,IF($D438="V02",cad!$D$23,cad!$E$23)))</f>
        <v/>
      </c>
      <c r="H438" t="str">
        <f>IF($A438="","",IF($D438="V01",cad!$C$24,IF($D438="V02",cad!$D$24,cad!$E$24)))</f>
        <v/>
      </c>
      <c r="I438" t="str">
        <f>IF($A438="","",IF($D438="V01",cad!$C$32,IF($D438="V02",cad!$D$32,cad!$E$32)))</f>
        <v/>
      </c>
      <c r="J438" t="str">
        <f>IF($A438="","",IF($D438="V01",cad!$C$33,IF($D438="V02",cad!$D$33,cad!$E$33)))</f>
        <v/>
      </c>
      <c r="K438" t="str">
        <f>IF($A438="","",IF($D438="V01",cad!$C$34,IF($D438="V02",cad!$D$34,cad!$E$34)))</f>
        <v/>
      </c>
      <c r="L438" t="str">
        <f>IF($A438="","",IF($D438="V01",cad!$C$35,IF($D438="V02",cad!$D$35,cad!$E$35)))</f>
        <v/>
      </c>
      <c r="M438" t="str">
        <f>IF($A438="","",IF($D438="V01",cad!$C$36,IF($D438="V02",cad!$D$36,cad!$E$36)))</f>
        <v/>
      </c>
      <c r="N438" t="str">
        <f t="shared" si="25"/>
        <v/>
      </c>
      <c r="O438" t="str">
        <f t="shared" si="26"/>
        <v/>
      </c>
      <c r="P438" t="str">
        <f>IF($A438="","",IF($E438=1,$F438*$O438,PNL!G438))</f>
        <v/>
      </c>
      <c r="T438" t="str">
        <f t="shared" si="27"/>
        <v/>
      </c>
    </row>
    <row r="439" spans="1:20" x14ac:dyDescent="0.45">
      <c r="A439" t="str">
        <f>IF(PNL!A439="","",PNL!A439)</f>
        <v/>
      </c>
      <c r="B439" t="str">
        <f>IF(PNL!B439="","",PNL!B439)</f>
        <v/>
      </c>
      <c r="C439" t="str">
        <f>IF(PNL!C439="","",PNL!C439)</f>
        <v/>
      </c>
      <c r="D439" t="str">
        <f>IF(PNL!D439="","",PNL!D439)</f>
        <v/>
      </c>
      <c r="E439" t="str">
        <f t="shared" si="24"/>
        <v/>
      </c>
      <c r="F439" t="str">
        <f>IF($A439="","",IF($E439=1,SUMIFS(Compta!$F$1:$F$675,Compta!$A$1:$A$675,$A439,Compta!$B$1:$B$675,$B439,Compta!$C$1:$C$675,"2026"),0))</f>
        <v/>
      </c>
      <c r="G439" t="str">
        <f>IF($A439="","",IF($D439="V01",cad!$C$23,IF($D439="V02",cad!$D$23,cad!$E$23)))</f>
        <v/>
      </c>
      <c r="H439" t="str">
        <f>IF($A439="","",IF($D439="V01",cad!$C$24,IF($D439="V02",cad!$D$24,cad!$E$24)))</f>
        <v/>
      </c>
      <c r="I439" t="str">
        <f>IF($A439="","",IF($D439="V01",cad!$C$32,IF($D439="V02",cad!$D$32,cad!$E$32)))</f>
        <v/>
      </c>
      <c r="J439" t="str">
        <f>IF($A439="","",IF($D439="V01",cad!$C$33,IF($D439="V02",cad!$D$33,cad!$E$33)))</f>
        <v/>
      </c>
      <c r="K439" t="str">
        <f>IF($A439="","",IF($D439="V01",cad!$C$34,IF($D439="V02",cad!$D$34,cad!$E$34)))</f>
        <v/>
      </c>
      <c r="L439" t="str">
        <f>IF($A439="","",IF($D439="V01",cad!$C$35,IF($D439="V02",cad!$D$35,cad!$E$35)))</f>
        <v/>
      </c>
      <c r="M439" t="str">
        <f>IF($A439="","",IF($D439="V01",cad!$C$36,IF($D439="V02",cad!$D$36,cad!$E$36)))</f>
        <v/>
      </c>
      <c r="N439" t="str">
        <f t="shared" si="25"/>
        <v/>
      </c>
      <c r="O439" t="str">
        <f t="shared" si="26"/>
        <v/>
      </c>
      <c r="P439" t="str">
        <f>IF($A439="","",IF($E439=1,$F439*$O439,PNL!G439))</f>
        <v/>
      </c>
      <c r="T439" t="str">
        <f t="shared" si="27"/>
        <v/>
      </c>
    </row>
    <row r="440" spans="1:20" x14ac:dyDescent="0.45">
      <c r="A440" t="str">
        <f>IF(PNL!A440="","",PNL!A440)</f>
        <v/>
      </c>
      <c r="B440" t="str">
        <f>IF(PNL!B440="","",PNL!B440)</f>
        <v/>
      </c>
      <c r="C440" t="str">
        <f>IF(PNL!C440="","",PNL!C440)</f>
        <v/>
      </c>
      <c r="D440" t="str">
        <f>IF(PNL!D440="","",PNL!D440)</f>
        <v/>
      </c>
      <c r="E440" t="str">
        <f t="shared" si="24"/>
        <v/>
      </c>
      <c r="F440" t="str">
        <f>IF($A440="","",IF($E440=1,SUMIFS(Compta!$F$1:$F$675,Compta!$A$1:$A$675,$A440,Compta!$B$1:$B$675,$B440,Compta!$C$1:$C$675,"2026"),0))</f>
        <v/>
      </c>
      <c r="G440" t="str">
        <f>IF($A440="","",IF($D440="V01",cad!$C$23,IF($D440="V02",cad!$D$23,cad!$E$23)))</f>
        <v/>
      </c>
      <c r="H440" t="str">
        <f>IF($A440="","",IF($D440="V01",cad!$C$24,IF($D440="V02",cad!$D$24,cad!$E$24)))</f>
        <v/>
      </c>
      <c r="I440" t="str">
        <f>IF($A440="","",IF($D440="V01",cad!$C$32,IF($D440="V02",cad!$D$32,cad!$E$32)))</f>
        <v/>
      </c>
      <c r="J440" t="str">
        <f>IF($A440="","",IF($D440="V01",cad!$C$33,IF($D440="V02",cad!$D$33,cad!$E$33)))</f>
        <v/>
      </c>
      <c r="K440" t="str">
        <f>IF($A440="","",IF($D440="V01",cad!$C$34,IF($D440="V02",cad!$D$34,cad!$E$34)))</f>
        <v/>
      </c>
      <c r="L440" t="str">
        <f>IF($A440="","",IF($D440="V01",cad!$C$35,IF($D440="V02",cad!$D$35,cad!$E$35)))</f>
        <v/>
      </c>
      <c r="M440" t="str">
        <f>IF($A440="","",IF($D440="V01",cad!$C$36,IF($D440="V02",cad!$D$36,cad!$E$36)))</f>
        <v/>
      </c>
      <c r="N440" t="str">
        <f t="shared" si="25"/>
        <v/>
      </c>
      <c r="O440" t="str">
        <f t="shared" si="26"/>
        <v/>
      </c>
      <c r="P440" t="str">
        <f>IF($A440="","",IF($E440=1,$F440*$O440,PNL!G440))</f>
        <v/>
      </c>
      <c r="T440" t="str">
        <f t="shared" si="27"/>
        <v/>
      </c>
    </row>
    <row r="441" spans="1:20" x14ac:dyDescent="0.45">
      <c r="A441" t="str">
        <f>IF(PNL!A441="","",PNL!A441)</f>
        <v/>
      </c>
      <c r="B441" t="str">
        <f>IF(PNL!B441="","",PNL!B441)</f>
        <v/>
      </c>
      <c r="C441" t="str">
        <f>IF(PNL!C441="","",PNL!C441)</f>
        <v/>
      </c>
      <c r="D441" t="str">
        <f>IF(PNL!D441="","",PNL!D441)</f>
        <v/>
      </c>
      <c r="E441" t="str">
        <f t="shared" si="24"/>
        <v/>
      </c>
      <c r="F441" t="str">
        <f>IF($A441="","",IF($E441=1,SUMIFS(Compta!$F$1:$F$675,Compta!$A$1:$A$675,$A441,Compta!$B$1:$B$675,$B441,Compta!$C$1:$C$675,"2026"),0))</f>
        <v/>
      </c>
      <c r="G441" t="str">
        <f>IF($A441="","",IF($D441="V01",cad!$C$23,IF($D441="V02",cad!$D$23,cad!$E$23)))</f>
        <v/>
      </c>
      <c r="H441" t="str">
        <f>IF($A441="","",IF($D441="V01",cad!$C$24,IF($D441="V02",cad!$D$24,cad!$E$24)))</f>
        <v/>
      </c>
      <c r="I441" t="str">
        <f>IF($A441="","",IF($D441="V01",cad!$C$32,IF($D441="V02",cad!$D$32,cad!$E$32)))</f>
        <v/>
      </c>
      <c r="J441" t="str">
        <f>IF($A441="","",IF($D441="V01",cad!$C$33,IF($D441="V02",cad!$D$33,cad!$E$33)))</f>
        <v/>
      </c>
      <c r="K441" t="str">
        <f>IF($A441="","",IF($D441="V01",cad!$C$34,IF($D441="V02",cad!$D$34,cad!$E$34)))</f>
        <v/>
      </c>
      <c r="L441" t="str">
        <f>IF($A441="","",IF($D441="V01",cad!$C$35,IF($D441="V02",cad!$D$35,cad!$E$35)))</f>
        <v/>
      </c>
      <c r="M441" t="str">
        <f>IF($A441="","",IF($D441="V01",cad!$C$36,IF($D441="V02",cad!$D$36,cad!$E$36)))</f>
        <v/>
      </c>
      <c r="N441" t="str">
        <f t="shared" si="25"/>
        <v/>
      </c>
      <c r="O441" t="str">
        <f t="shared" si="26"/>
        <v/>
      </c>
      <c r="P441" t="str">
        <f>IF($A441="","",IF($E441=1,$F441*$O441,PNL!G441))</f>
        <v/>
      </c>
      <c r="T441" t="str">
        <f t="shared" si="27"/>
        <v/>
      </c>
    </row>
    <row r="442" spans="1:20" x14ac:dyDescent="0.45">
      <c r="A442" t="str">
        <f>IF(PNL!A442="","",PNL!A442)</f>
        <v/>
      </c>
      <c r="B442" t="str">
        <f>IF(PNL!B442="","",PNL!B442)</f>
        <v/>
      </c>
      <c r="C442" t="str">
        <f>IF(PNL!C442="","",PNL!C442)</f>
        <v/>
      </c>
      <c r="D442" t="str">
        <f>IF(PNL!D442="","",PNL!D442)</f>
        <v/>
      </c>
      <c r="E442" t="str">
        <f t="shared" si="24"/>
        <v/>
      </c>
      <c r="F442" t="str">
        <f>IF($A442="","",IF($E442=1,SUMIFS(Compta!$F$1:$F$675,Compta!$A$1:$A$675,$A442,Compta!$B$1:$B$675,$B442,Compta!$C$1:$C$675,"2026"),0))</f>
        <v/>
      </c>
      <c r="G442" t="str">
        <f>IF($A442="","",IF($D442="V01",cad!$C$23,IF($D442="V02",cad!$D$23,cad!$E$23)))</f>
        <v/>
      </c>
      <c r="H442" t="str">
        <f>IF($A442="","",IF($D442="V01",cad!$C$24,IF($D442="V02",cad!$D$24,cad!$E$24)))</f>
        <v/>
      </c>
      <c r="I442" t="str">
        <f>IF($A442="","",IF($D442="V01",cad!$C$32,IF($D442="V02",cad!$D$32,cad!$E$32)))</f>
        <v/>
      </c>
      <c r="J442" t="str">
        <f>IF($A442="","",IF($D442="V01",cad!$C$33,IF($D442="V02",cad!$D$33,cad!$E$33)))</f>
        <v/>
      </c>
      <c r="K442" t="str">
        <f>IF($A442="","",IF($D442="V01",cad!$C$34,IF($D442="V02",cad!$D$34,cad!$E$34)))</f>
        <v/>
      </c>
      <c r="L442" t="str">
        <f>IF($A442="","",IF($D442="V01",cad!$C$35,IF($D442="V02",cad!$D$35,cad!$E$35)))</f>
        <v/>
      </c>
      <c r="M442" t="str">
        <f>IF($A442="","",IF($D442="V01",cad!$C$36,IF($D442="V02",cad!$D$36,cad!$E$36)))</f>
        <v/>
      </c>
      <c r="N442" t="str">
        <f t="shared" si="25"/>
        <v/>
      </c>
      <c r="O442" t="str">
        <f t="shared" si="26"/>
        <v/>
      </c>
      <c r="P442" t="str">
        <f>IF($A442="","",IF($E442=1,$F442*$O442,PNL!G442))</f>
        <v/>
      </c>
      <c r="T442" t="str">
        <f t="shared" si="27"/>
        <v/>
      </c>
    </row>
    <row r="443" spans="1:20" x14ac:dyDescent="0.45">
      <c r="A443" t="str">
        <f>IF(PNL!A443="","",PNL!A443)</f>
        <v/>
      </c>
      <c r="B443" t="str">
        <f>IF(PNL!B443="","",PNL!B443)</f>
        <v/>
      </c>
      <c r="C443" t="str">
        <f>IF(PNL!C443="","",PNL!C443)</f>
        <v/>
      </c>
      <c r="D443" t="str">
        <f>IF(PNL!D443="","",PNL!D443)</f>
        <v/>
      </c>
      <c r="E443" t="str">
        <f t="shared" si="24"/>
        <v/>
      </c>
      <c r="F443" t="str">
        <f>IF($A443="","",IF($E443=1,SUMIFS(Compta!$F$1:$F$675,Compta!$A$1:$A$675,$A443,Compta!$B$1:$B$675,$B443,Compta!$C$1:$C$675,"2026"),0))</f>
        <v/>
      </c>
      <c r="G443" t="str">
        <f>IF($A443="","",IF($D443="V01",cad!$C$23,IF($D443="V02",cad!$D$23,cad!$E$23)))</f>
        <v/>
      </c>
      <c r="H443" t="str">
        <f>IF($A443="","",IF($D443="V01",cad!$C$24,IF($D443="V02",cad!$D$24,cad!$E$24)))</f>
        <v/>
      </c>
      <c r="I443" t="str">
        <f>IF($A443="","",IF($D443="V01",cad!$C$32,IF($D443="V02",cad!$D$32,cad!$E$32)))</f>
        <v/>
      </c>
      <c r="J443" t="str">
        <f>IF($A443="","",IF($D443="V01",cad!$C$33,IF($D443="V02",cad!$D$33,cad!$E$33)))</f>
        <v/>
      </c>
      <c r="K443" t="str">
        <f>IF($A443="","",IF($D443="V01",cad!$C$34,IF($D443="V02",cad!$D$34,cad!$E$34)))</f>
        <v/>
      </c>
      <c r="L443" t="str">
        <f>IF($A443="","",IF($D443="V01",cad!$C$35,IF($D443="V02",cad!$D$35,cad!$E$35)))</f>
        <v/>
      </c>
      <c r="M443" t="str">
        <f>IF($A443="","",IF($D443="V01",cad!$C$36,IF($D443="V02",cad!$D$36,cad!$E$36)))</f>
        <v/>
      </c>
      <c r="N443" t="str">
        <f t="shared" si="25"/>
        <v/>
      </c>
      <c r="O443" t="str">
        <f t="shared" si="26"/>
        <v/>
      </c>
      <c r="P443" t="str">
        <f>IF($A443="","",IF($E443=1,$F443*$O443,PNL!G443))</f>
        <v/>
      </c>
      <c r="T443" t="str">
        <f t="shared" si="27"/>
        <v/>
      </c>
    </row>
    <row r="444" spans="1:20" x14ac:dyDescent="0.45">
      <c r="A444" t="str">
        <f>IF(PNL!A444="","",PNL!A444)</f>
        <v/>
      </c>
      <c r="B444" t="str">
        <f>IF(PNL!B444="","",PNL!B444)</f>
        <v/>
      </c>
      <c r="C444" t="str">
        <f>IF(PNL!C444="","",PNL!C444)</f>
        <v/>
      </c>
      <c r="D444" t="str">
        <f>IF(PNL!D444="","",PNL!D444)</f>
        <v/>
      </c>
      <c r="E444" t="str">
        <f t="shared" si="24"/>
        <v/>
      </c>
      <c r="F444" t="str">
        <f>IF($A444="","",IF($E444=1,SUMIFS(Compta!$F$1:$F$675,Compta!$A$1:$A$675,$A444,Compta!$B$1:$B$675,$B444,Compta!$C$1:$C$675,"2026"),0))</f>
        <v/>
      </c>
      <c r="G444" t="str">
        <f>IF($A444="","",IF($D444="V01",cad!$C$23,IF($D444="V02",cad!$D$23,cad!$E$23)))</f>
        <v/>
      </c>
      <c r="H444" t="str">
        <f>IF($A444="","",IF($D444="V01",cad!$C$24,IF($D444="V02",cad!$D$24,cad!$E$24)))</f>
        <v/>
      </c>
      <c r="I444" t="str">
        <f>IF($A444="","",IF($D444="V01",cad!$C$32,IF($D444="V02",cad!$D$32,cad!$E$32)))</f>
        <v/>
      </c>
      <c r="J444" t="str">
        <f>IF($A444="","",IF($D444="V01",cad!$C$33,IF($D444="V02",cad!$D$33,cad!$E$33)))</f>
        <v/>
      </c>
      <c r="K444" t="str">
        <f>IF($A444="","",IF($D444="V01",cad!$C$34,IF($D444="V02",cad!$D$34,cad!$E$34)))</f>
        <v/>
      </c>
      <c r="L444" t="str">
        <f>IF($A444="","",IF($D444="V01",cad!$C$35,IF($D444="V02",cad!$D$35,cad!$E$35)))</f>
        <v/>
      </c>
      <c r="M444" t="str">
        <f>IF($A444="","",IF($D444="V01",cad!$C$36,IF($D444="V02",cad!$D$36,cad!$E$36)))</f>
        <v/>
      </c>
      <c r="N444" t="str">
        <f t="shared" si="25"/>
        <v/>
      </c>
      <c r="O444" t="str">
        <f t="shared" si="26"/>
        <v/>
      </c>
      <c r="P444" t="str">
        <f>IF($A444="","",IF($E444=1,$F444*$O444,PNL!G444))</f>
        <v/>
      </c>
      <c r="T444" t="str">
        <f t="shared" si="27"/>
        <v/>
      </c>
    </row>
    <row r="445" spans="1:20" x14ac:dyDescent="0.45">
      <c r="A445" t="str">
        <f>IF(PNL!A445="","",PNL!A445)</f>
        <v/>
      </c>
      <c r="B445" t="str">
        <f>IF(PNL!B445="","",PNL!B445)</f>
        <v/>
      </c>
      <c r="C445" t="str">
        <f>IF(PNL!C445="","",PNL!C445)</f>
        <v/>
      </c>
      <c r="D445" t="str">
        <f>IF(PNL!D445="","",PNL!D445)</f>
        <v/>
      </c>
      <c r="E445" t="str">
        <f t="shared" si="24"/>
        <v/>
      </c>
      <c r="F445" t="str">
        <f>IF($A445="","",IF($E445=1,SUMIFS(Compta!$F$1:$F$675,Compta!$A$1:$A$675,$A445,Compta!$B$1:$B$675,$B445,Compta!$C$1:$C$675,"2026"),0))</f>
        <v/>
      </c>
      <c r="G445" t="str">
        <f>IF($A445="","",IF($D445="V01",cad!$C$23,IF($D445="V02",cad!$D$23,cad!$E$23)))</f>
        <v/>
      </c>
      <c r="H445" t="str">
        <f>IF($A445="","",IF($D445="V01",cad!$C$24,IF($D445="V02",cad!$D$24,cad!$E$24)))</f>
        <v/>
      </c>
      <c r="I445" t="str">
        <f>IF($A445="","",IF($D445="V01",cad!$C$32,IF($D445="V02",cad!$D$32,cad!$E$32)))</f>
        <v/>
      </c>
      <c r="J445" t="str">
        <f>IF($A445="","",IF($D445="V01",cad!$C$33,IF($D445="V02",cad!$D$33,cad!$E$33)))</f>
        <v/>
      </c>
      <c r="K445" t="str">
        <f>IF($A445="","",IF($D445="V01",cad!$C$34,IF($D445="V02",cad!$D$34,cad!$E$34)))</f>
        <v/>
      </c>
      <c r="L445" t="str">
        <f>IF($A445="","",IF($D445="V01",cad!$C$35,IF($D445="V02",cad!$D$35,cad!$E$35)))</f>
        <v/>
      </c>
      <c r="M445" t="str">
        <f>IF($A445="","",IF($D445="V01",cad!$C$36,IF($D445="V02",cad!$D$36,cad!$E$36)))</f>
        <v/>
      </c>
      <c r="N445" t="str">
        <f t="shared" si="25"/>
        <v/>
      </c>
      <c r="O445" t="str">
        <f t="shared" si="26"/>
        <v/>
      </c>
      <c r="P445" t="str">
        <f>IF($A445="","",IF($E445=1,$F445*$O445,PNL!G445))</f>
        <v/>
      </c>
      <c r="T445" t="str">
        <f t="shared" si="27"/>
        <v/>
      </c>
    </row>
    <row r="446" spans="1:20" x14ac:dyDescent="0.45">
      <c r="A446" t="str">
        <f>IF(PNL!A446="","",PNL!A446)</f>
        <v/>
      </c>
      <c r="B446" t="str">
        <f>IF(PNL!B446="","",PNL!B446)</f>
        <v/>
      </c>
      <c r="C446" t="str">
        <f>IF(PNL!C446="","",PNL!C446)</f>
        <v/>
      </c>
      <c r="D446" t="str">
        <f>IF(PNL!D446="","",PNL!D446)</f>
        <v/>
      </c>
      <c r="E446" t="str">
        <f t="shared" si="24"/>
        <v/>
      </c>
      <c r="F446" t="str">
        <f>IF($A446="","",IF($E446=1,SUMIFS(Compta!$F$1:$F$675,Compta!$A$1:$A$675,$A446,Compta!$B$1:$B$675,$B446,Compta!$C$1:$C$675,"2026"),0))</f>
        <v/>
      </c>
      <c r="G446" t="str">
        <f>IF($A446="","",IF($D446="V01",cad!$C$23,IF($D446="V02",cad!$D$23,cad!$E$23)))</f>
        <v/>
      </c>
      <c r="H446" t="str">
        <f>IF($A446="","",IF($D446="V01",cad!$C$24,IF($D446="V02",cad!$D$24,cad!$E$24)))</f>
        <v/>
      </c>
      <c r="I446" t="str">
        <f>IF($A446="","",IF($D446="V01",cad!$C$32,IF($D446="V02",cad!$D$32,cad!$E$32)))</f>
        <v/>
      </c>
      <c r="J446" t="str">
        <f>IF($A446="","",IF($D446="V01",cad!$C$33,IF($D446="V02",cad!$D$33,cad!$E$33)))</f>
        <v/>
      </c>
      <c r="K446" t="str">
        <f>IF($A446="","",IF($D446="V01",cad!$C$34,IF($D446="V02",cad!$D$34,cad!$E$34)))</f>
        <v/>
      </c>
      <c r="L446" t="str">
        <f>IF($A446="","",IF($D446="V01",cad!$C$35,IF($D446="V02",cad!$D$35,cad!$E$35)))</f>
        <v/>
      </c>
      <c r="M446" t="str">
        <f>IF($A446="","",IF($D446="V01",cad!$C$36,IF($D446="V02",cad!$D$36,cad!$E$36)))</f>
        <v/>
      </c>
      <c r="N446" t="str">
        <f t="shared" si="25"/>
        <v/>
      </c>
      <c r="O446" t="str">
        <f t="shared" si="26"/>
        <v/>
      </c>
      <c r="P446" t="str">
        <f>IF($A446="","",IF($E446=1,$F446*$O446,PNL!G446))</f>
        <v/>
      </c>
      <c r="T446" t="str">
        <f t="shared" si="27"/>
        <v/>
      </c>
    </row>
    <row r="447" spans="1:20" x14ac:dyDescent="0.45">
      <c r="A447" t="str">
        <f>IF(PNL!A447="","",PNL!A447)</f>
        <v/>
      </c>
      <c r="B447" t="str">
        <f>IF(PNL!B447="","",PNL!B447)</f>
        <v/>
      </c>
      <c r="C447" t="str">
        <f>IF(PNL!C447="","",PNL!C447)</f>
        <v/>
      </c>
      <c r="D447" t="str">
        <f>IF(PNL!D447="","",PNL!D447)</f>
        <v/>
      </c>
      <c r="E447" t="str">
        <f t="shared" si="24"/>
        <v/>
      </c>
      <c r="F447" t="str">
        <f>IF($A447="","",IF($E447=1,SUMIFS(Compta!$F$1:$F$675,Compta!$A$1:$A$675,$A447,Compta!$B$1:$B$675,$B447,Compta!$C$1:$C$675,"2026"),0))</f>
        <v/>
      </c>
      <c r="G447" t="str">
        <f>IF($A447="","",IF($D447="V01",cad!$C$23,IF($D447="V02",cad!$D$23,cad!$E$23)))</f>
        <v/>
      </c>
      <c r="H447" t="str">
        <f>IF($A447="","",IF($D447="V01",cad!$C$24,IF($D447="V02",cad!$D$24,cad!$E$24)))</f>
        <v/>
      </c>
      <c r="I447" t="str">
        <f>IF($A447="","",IF($D447="V01",cad!$C$32,IF($D447="V02",cad!$D$32,cad!$E$32)))</f>
        <v/>
      </c>
      <c r="J447" t="str">
        <f>IF($A447="","",IF($D447="V01",cad!$C$33,IF($D447="V02",cad!$D$33,cad!$E$33)))</f>
        <v/>
      </c>
      <c r="K447" t="str">
        <f>IF($A447="","",IF($D447="V01",cad!$C$34,IF($D447="V02",cad!$D$34,cad!$E$34)))</f>
        <v/>
      </c>
      <c r="L447" t="str">
        <f>IF($A447="","",IF($D447="V01",cad!$C$35,IF($D447="V02",cad!$D$35,cad!$E$35)))</f>
        <v/>
      </c>
      <c r="M447" t="str">
        <f>IF($A447="","",IF($D447="V01",cad!$C$36,IF($D447="V02",cad!$D$36,cad!$E$36)))</f>
        <v/>
      </c>
      <c r="N447" t="str">
        <f t="shared" si="25"/>
        <v/>
      </c>
      <c r="O447" t="str">
        <f t="shared" si="26"/>
        <v/>
      </c>
      <c r="P447" t="str">
        <f>IF($A447="","",IF($E447=1,$F447*$O447,PNL!G447))</f>
        <v/>
      </c>
      <c r="T447" t="str">
        <f t="shared" si="27"/>
        <v/>
      </c>
    </row>
    <row r="448" spans="1:20" x14ac:dyDescent="0.45">
      <c r="A448" t="str">
        <f>IF(PNL!A448="","",PNL!A448)</f>
        <v/>
      </c>
      <c r="B448" t="str">
        <f>IF(PNL!B448="","",PNL!B448)</f>
        <v/>
      </c>
      <c r="C448" t="str">
        <f>IF(PNL!C448="","",PNL!C448)</f>
        <v/>
      </c>
      <c r="D448" t="str">
        <f>IF(PNL!D448="","",PNL!D448)</f>
        <v/>
      </c>
      <c r="E448" t="str">
        <f t="shared" si="24"/>
        <v/>
      </c>
      <c r="F448" t="str">
        <f>IF($A448="","",IF($E448=1,SUMIFS(Compta!$F$1:$F$675,Compta!$A$1:$A$675,$A448,Compta!$B$1:$B$675,$B448,Compta!$C$1:$C$675,"2026"),0))</f>
        <v/>
      </c>
      <c r="G448" t="str">
        <f>IF($A448="","",IF($D448="V01",cad!$C$23,IF($D448="V02",cad!$D$23,cad!$E$23)))</f>
        <v/>
      </c>
      <c r="H448" t="str">
        <f>IF($A448="","",IF($D448="V01",cad!$C$24,IF($D448="V02",cad!$D$24,cad!$E$24)))</f>
        <v/>
      </c>
      <c r="I448" t="str">
        <f>IF($A448="","",IF($D448="V01",cad!$C$32,IF($D448="V02",cad!$D$32,cad!$E$32)))</f>
        <v/>
      </c>
      <c r="J448" t="str">
        <f>IF($A448="","",IF($D448="V01",cad!$C$33,IF($D448="V02",cad!$D$33,cad!$E$33)))</f>
        <v/>
      </c>
      <c r="K448" t="str">
        <f>IF($A448="","",IF($D448="V01",cad!$C$34,IF($D448="V02",cad!$D$34,cad!$E$34)))</f>
        <v/>
      </c>
      <c r="L448" t="str">
        <f>IF($A448="","",IF($D448="V01",cad!$C$35,IF($D448="V02",cad!$D$35,cad!$E$35)))</f>
        <v/>
      </c>
      <c r="M448" t="str">
        <f>IF($A448="","",IF($D448="V01",cad!$C$36,IF($D448="V02",cad!$D$36,cad!$E$36)))</f>
        <v/>
      </c>
      <c r="N448" t="str">
        <f t="shared" si="25"/>
        <v/>
      </c>
      <c r="O448" t="str">
        <f t="shared" si="26"/>
        <v/>
      </c>
      <c r="P448" t="str">
        <f>IF($A448="","",IF($E448=1,$F448*$O448,PNL!G448))</f>
        <v/>
      </c>
      <c r="T448" t="str">
        <f t="shared" si="27"/>
        <v/>
      </c>
    </row>
    <row r="449" spans="1:20" x14ac:dyDescent="0.45">
      <c r="A449" t="str">
        <f>IF(PNL!A449="","",PNL!A449)</f>
        <v/>
      </c>
      <c r="B449" t="str">
        <f>IF(PNL!B449="","",PNL!B449)</f>
        <v/>
      </c>
      <c r="C449" t="str">
        <f>IF(PNL!C449="","",PNL!C449)</f>
        <v/>
      </c>
      <c r="D449" t="str">
        <f>IF(PNL!D449="","",PNL!D449)</f>
        <v/>
      </c>
      <c r="E449" t="str">
        <f t="shared" si="24"/>
        <v/>
      </c>
      <c r="F449" t="str">
        <f>IF($A449="","",IF($E449=1,SUMIFS(Compta!$F$1:$F$675,Compta!$A$1:$A$675,$A449,Compta!$B$1:$B$675,$B449,Compta!$C$1:$C$675,"2026"),0))</f>
        <v/>
      </c>
      <c r="G449" t="str">
        <f>IF($A449="","",IF($D449="V01",cad!$C$23,IF($D449="V02",cad!$D$23,cad!$E$23)))</f>
        <v/>
      </c>
      <c r="H449" t="str">
        <f>IF($A449="","",IF($D449="V01",cad!$C$24,IF($D449="V02",cad!$D$24,cad!$E$24)))</f>
        <v/>
      </c>
      <c r="I449" t="str">
        <f>IF($A449="","",IF($D449="V01",cad!$C$32,IF($D449="V02",cad!$D$32,cad!$E$32)))</f>
        <v/>
      </c>
      <c r="J449" t="str">
        <f>IF($A449="","",IF($D449="V01",cad!$C$33,IF($D449="V02",cad!$D$33,cad!$E$33)))</f>
        <v/>
      </c>
      <c r="K449" t="str">
        <f>IF($A449="","",IF($D449="V01",cad!$C$34,IF($D449="V02",cad!$D$34,cad!$E$34)))</f>
        <v/>
      </c>
      <c r="L449" t="str">
        <f>IF($A449="","",IF($D449="V01",cad!$C$35,IF($D449="V02",cad!$D$35,cad!$E$35)))</f>
        <v/>
      </c>
      <c r="M449" t="str">
        <f>IF($A449="","",IF($D449="V01",cad!$C$36,IF($D449="V02",cad!$D$36,cad!$E$36)))</f>
        <v/>
      </c>
      <c r="N449" t="str">
        <f t="shared" si="25"/>
        <v/>
      </c>
      <c r="O449" t="str">
        <f t="shared" si="26"/>
        <v/>
      </c>
      <c r="P449" t="str">
        <f>IF($A449="","",IF($E449=1,$F449*$O449,PNL!G449))</f>
        <v/>
      </c>
      <c r="T449" t="str">
        <f t="shared" si="27"/>
        <v/>
      </c>
    </row>
    <row r="450" spans="1:20" x14ac:dyDescent="0.45">
      <c r="A450" t="str">
        <f>IF(PNL!A450="","",PNL!A450)</f>
        <v/>
      </c>
      <c r="B450" t="str">
        <f>IF(PNL!B450="","",PNL!B450)</f>
        <v/>
      </c>
      <c r="C450" t="str">
        <f>IF(PNL!C450="","",PNL!C450)</f>
        <v/>
      </c>
      <c r="D450" t="str">
        <f>IF(PNL!D450="","",PNL!D450)</f>
        <v/>
      </c>
      <c r="E450" t="str">
        <f t="shared" ref="E450:E513" si="28">IF($A450="","",IF(AND($C450="2027",OR($D450="V01",$D450="V02",$D450="V03")),1,0))</f>
        <v/>
      </c>
      <c r="F450" t="str">
        <f>IF($A450="","",IF($E450=1,SUMIFS(Compta!$F$1:$F$675,Compta!$A$1:$A$675,$A450,Compta!$B$1:$B$675,$B450,Compta!$C$1:$C$675,"2026"),0))</f>
        <v/>
      </c>
      <c r="G450" t="str">
        <f>IF($A450="","",IF($D450="V01",cad!$C$23,IF($D450="V02",cad!$D$23,cad!$E$23)))</f>
        <v/>
      </c>
      <c r="H450" t="str">
        <f>IF($A450="","",IF($D450="V01",cad!$C$24,IF($D450="V02",cad!$D$24,cad!$E$24)))</f>
        <v/>
      </c>
      <c r="I450" t="str">
        <f>IF($A450="","",IF($D450="V01",cad!$C$32,IF($D450="V02",cad!$D$32,cad!$E$32)))</f>
        <v/>
      </c>
      <c r="J450" t="str">
        <f>IF($A450="","",IF($D450="V01",cad!$C$33,IF($D450="V02",cad!$D$33,cad!$E$33)))</f>
        <v/>
      </c>
      <c r="K450" t="str">
        <f>IF($A450="","",IF($D450="V01",cad!$C$34,IF($D450="V02",cad!$D$34,cad!$E$34)))</f>
        <v/>
      </c>
      <c r="L450" t="str">
        <f>IF($A450="","",IF($D450="V01",cad!$C$35,IF($D450="V02",cad!$D$35,cad!$E$35)))</f>
        <v/>
      </c>
      <c r="M450" t="str">
        <f>IF($A450="","",IF($D450="V01",cad!$C$36,IF($D450="V02",cad!$D$36,cad!$E$36)))</f>
        <v/>
      </c>
      <c r="N450" t="str">
        <f t="shared" ref="N450:N513" si="29">IF($A450="","",IF($D450="V01",$R$2,IF($D450="V02",$R$3,$R$4)))</f>
        <v/>
      </c>
      <c r="O450" t="str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 t="str">
        <f>IF($A450="","",IF($E450=1,$F450*$O450,PNL!G450))</f>
        <v/>
      </c>
      <c r="T450" t="str">
        <f t="shared" ref="T450:T513" si="31">IF($A450="","",IF($E450=1,IF(OR($B450="7062",$B450="706",$B450="708"),$P450,IF(AND(LEFT($B450,1)="6",$B450&lt;&gt;"6811"),-$P450,0)),0))</f>
        <v/>
      </c>
    </row>
    <row r="451" spans="1:20" x14ac:dyDescent="0.45">
      <c r="A451" t="str">
        <f>IF(PNL!A451="","",PNL!A451)</f>
        <v/>
      </c>
      <c r="B451" t="str">
        <f>IF(PNL!B451="","",PNL!B451)</f>
        <v/>
      </c>
      <c r="C451" t="str">
        <f>IF(PNL!C451="","",PNL!C451)</f>
        <v/>
      </c>
      <c r="D451" t="str">
        <f>IF(PNL!D451="","",PNL!D451)</f>
        <v/>
      </c>
      <c r="E451" t="str">
        <f t="shared" si="28"/>
        <v/>
      </c>
      <c r="F451" t="str">
        <f>IF($A451="","",IF($E451=1,SUMIFS(Compta!$F$1:$F$675,Compta!$A$1:$A$675,$A451,Compta!$B$1:$B$675,$B451,Compta!$C$1:$C$675,"2026"),0))</f>
        <v/>
      </c>
      <c r="G451" t="str">
        <f>IF($A451="","",IF($D451="V01",cad!$C$23,IF($D451="V02",cad!$D$23,cad!$E$23)))</f>
        <v/>
      </c>
      <c r="H451" t="str">
        <f>IF($A451="","",IF($D451="V01",cad!$C$24,IF($D451="V02",cad!$D$24,cad!$E$24)))</f>
        <v/>
      </c>
      <c r="I451" t="str">
        <f>IF($A451="","",IF($D451="V01",cad!$C$32,IF($D451="V02",cad!$D$32,cad!$E$32)))</f>
        <v/>
      </c>
      <c r="J451" t="str">
        <f>IF($A451="","",IF($D451="V01",cad!$C$33,IF($D451="V02",cad!$D$33,cad!$E$33)))</f>
        <v/>
      </c>
      <c r="K451" t="str">
        <f>IF($A451="","",IF($D451="V01",cad!$C$34,IF($D451="V02",cad!$D$34,cad!$E$34)))</f>
        <v/>
      </c>
      <c r="L451" t="str">
        <f>IF($A451="","",IF($D451="V01",cad!$C$35,IF($D451="V02",cad!$D$35,cad!$E$35)))</f>
        <v/>
      </c>
      <c r="M451" t="str">
        <f>IF($A451="","",IF($D451="V01",cad!$C$36,IF($D451="V02",cad!$D$36,cad!$E$36)))</f>
        <v/>
      </c>
      <c r="N451" t="str">
        <f t="shared" si="29"/>
        <v/>
      </c>
      <c r="O451" t="str">
        <f t="shared" si="30"/>
        <v/>
      </c>
      <c r="P451" t="str">
        <f>IF($A451="","",IF($E451=1,$F451*$O451,PNL!G451))</f>
        <v/>
      </c>
      <c r="T451" t="str">
        <f t="shared" si="31"/>
        <v/>
      </c>
    </row>
    <row r="452" spans="1:20" x14ac:dyDescent="0.45">
      <c r="A452" t="str">
        <f>IF(PNL!A452="","",PNL!A452)</f>
        <v/>
      </c>
      <c r="B452" t="str">
        <f>IF(PNL!B452="","",PNL!B452)</f>
        <v/>
      </c>
      <c r="C452" t="str">
        <f>IF(PNL!C452="","",PNL!C452)</f>
        <v/>
      </c>
      <c r="D452" t="str">
        <f>IF(PNL!D452="","",PNL!D452)</f>
        <v/>
      </c>
      <c r="E452" t="str">
        <f t="shared" si="28"/>
        <v/>
      </c>
      <c r="F452" t="str">
        <f>IF($A452="","",IF($E452=1,SUMIFS(Compta!$F$1:$F$675,Compta!$A$1:$A$675,$A452,Compta!$B$1:$B$675,$B452,Compta!$C$1:$C$675,"2026"),0))</f>
        <v/>
      </c>
      <c r="G452" t="str">
        <f>IF($A452="","",IF($D452="V01",cad!$C$23,IF($D452="V02",cad!$D$23,cad!$E$23)))</f>
        <v/>
      </c>
      <c r="H452" t="str">
        <f>IF($A452="","",IF($D452="V01",cad!$C$24,IF($D452="V02",cad!$D$24,cad!$E$24)))</f>
        <v/>
      </c>
      <c r="I452" t="str">
        <f>IF($A452="","",IF($D452="V01",cad!$C$32,IF($D452="V02",cad!$D$32,cad!$E$32)))</f>
        <v/>
      </c>
      <c r="J452" t="str">
        <f>IF($A452="","",IF($D452="V01",cad!$C$33,IF($D452="V02",cad!$D$33,cad!$E$33)))</f>
        <v/>
      </c>
      <c r="K452" t="str">
        <f>IF($A452="","",IF($D452="V01",cad!$C$34,IF($D452="V02",cad!$D$34,cad!$E$34)))</f>
        <v/>
      </c>
      <c r="L452" t="str">
        <f>IF($A452="","",IF($D452="V01",cad!$C$35,IF($D452="V02",cad!$D$35,cad!$E$35)))</f>
        <v/>
      </c>
      <c r="M452" t="str">
        <f>IF($A452="","",IF($D452="V01",cad!$C$36,IF($D452="V02",cad!$D$36,cad!$E$36)))</f>
        <v/>
      </c>
      <c r="N452" t="str">
        <f t="shared" si="29"/>
        <v/>
      </c>
      <c r="O452" t="str">
        <f t="shared" si="30"/>
        <v/>
      </c>
      <c r="P452" t="str">
        <f>IF($A452="","",IF($E452=1,$F452*$O452,PNL!G452))</f>
        <v/>
      </c>
      <c r="T452" t="str">
        <f t="shared" si="31"/>
        <v/>
      </c>
    </row>
    <row r="453" spans="1:20" x14ac:dyDescent="0.45">
      <c r="A453" t="str">
        <f>IF(PNL!A453="","",PNL!A453)</f>
        <v/>
      </c>
      <c r="B453" t="str">
        <f>IF(PNL!B453="","",PNL!B453)</f>
        <v/>
      </c>
      <c r="C453" t="str">
        <f>IF(PNL!C453="","",PNL!C453)</f>
        <v/>
      </c>
      <c r="D453" t="str">
        <f>IF(PNL!D453="","",PNL!D453)</f>
        <v/>
      </c>
      <c r="E453" t="str">
        <f t="shared" si="28"/>
        <v/>
      </c>
      <c r="F453" t="str">
        <f>IF($A453="","",IF($E453=1,SUMIFS(Compta!$F$1:$F$675,Compta!$A$1:$A$675,$A453,Compta!$B$1:$B$675,$B453,Compta!$C$1:$C$675,"2026"),0))</f>
        <v/>
      </c>
      <c r="G453" t="str">
        <f>IF($A453="","",IF($D453="V01",cad!$C$23,IF($D453="V02",cad!$D$23,cad!$E$23)))</f>
        <v/>
      </c>
      <c r="H453" t="str">
        <f>IF($A453="","",IF($D453="V01",cad!$C$24,IF($D453="V02",cad!$D$24,cad!$E$24)))</f>
        <v/>
      </c>
      <c r="I453" t="str">
        <f>IF($A453="","",IF($D453="V01",cad!$C$32,IF($D453="V02",cad!$D$32,cad!$E$32)))</f>
        <v/>
      </c>
      <c r="J453" t="str">
        <f>IF($A453="","",IF($D453="V01",cad!$C$33,IF($D453="V02",cad!$D$33,cad!$E$33)))</f>
        <v/>
      </c>
      <c r="K453" t="str">
        <f>IF($A453="","",IF($D453="V01",cad!$C$34,IF($D453="V02",cad!$D$34,cad!$E$34)))</f>
        <v/>
      </c>
      <c r="L453" t="str">
        <f>IF($A453="","",IF($D453="V01",cad!$C$35,IF($D453="V02",cad!$D$35,cad!$E$35)))</f>
        <v/>
      </c>
      <c r="M453" t="str">
        <f>IF($A453="","",IF($D453="V01",cad!$C$36,IF($D453="V02",cad!$D$36,cad!$E$36)))</f>
        <v/>
      </c>
      <c r="N453" t="str">
        <f t="shared" si="29"/>
        <v/>
      </c>
      <c r="O453" t="str">
        <f t="shared" si="30"/>
        <v/>
      </c>
      <c r="P453" t="str">
        <f>IF($A453="","",IF($E453=1,$F453*$O453,PNL!G453))</f>
        <v/>
      </c>
      <c r="T453" t="str">
        <f t="shared" si="31"/>
        <v/>
      </c>
    </row>
    <row r="454" spans="1:20" x14ac:dyDescent="0.45">
      <c r="A454" t="str">
        <f>IF(PNL!A454="","",PNL!A454)</f>
        <v/>
      </c>
      <c r="B454" t="str">
        <f>IF(PNL!B454="","",PNL!B454)</f>
        <v/>
      </c>
      <c r="C454" t="str">
        <f>IF(PNL!C454="","",PNL!C454)</f>
        <v/>
      </c>
      <c r="D454" t="str">
        <f>IF(PNL!D454="","",PNL!D454)</f>
        <v/>
      </c>
      <c r="E454" t="str">
        <f t="shared" si="28"/>
        <v/>
      </c>
      <c r="F454" t="str">
        <f>IF($A454="","",IF($E454=1,SUMIFS(Compta!$F$1:$F$675,Compta!$A$1:$A$675,$A454,Compta!$B$1:$B$675,$B454,Compta!$C$1:$C$675,"2026"),0))</f>
        <v/>
      </c>
      <c r="G454" t="str">
        <f>IF($A454="","",IF($D454="V01",cad!$C$23,IF($D454="V02",cad!$D$23,cad!$E$23)))</f>
        <v/>
      </c>
      <c r="H454" t="str">
        <f>IF($A454="","",IF($D454="V01",cad!$C$24,IF($D454="V02",cad!$D$24,cad!$E$24)))</f>
        <v/>
      </c>
      <c r="I454" t="str">
        <f>IF($A454="","",IF($D454="V01",cad!$C$32,IF($D454="V02",cad!$D$32,cad!$E$32)))</f>
        <v/>
      </c>
      <c r="J454" t="str">
        <f>IF($A454="","",IF($D454="V01",cad!$C$33,IF($D454="V02",cad!$D$33,cad!$E$33)))</f>
        <v/>
      </c>
      <c r="K454" t="str">
        <f>IF($A454="","",IF($D454="V01",cad!$C$34,IF($D454="V02",cad!$D$34,cad!$E$34)))</f>
        <v/>
      </c>
      <c r="L454" t="str">
        <f>IF($A454="","",IF($D454="V01",cad!$C$35,IF($D454="V02",cad!$D$35,cad!$E$35)))</f>
        <v/>
      </c>
      <c r="M454" t="str">
        <f>IF($A454="","",IF($D454="V01",cad!$C$36,IF($D454="V02",cad!$D$36,cad!$E$36)))</f>
        <v/>
      </c>
      <c r="N454" t="str">
        <f t="shared" si="29"/>
        <v/>
      </c>
      <c r="O454" t="str">
        <f t="shared" si="30"/>
        <v/>
      </c>
      <c r="P454" t="str">
        <f>IF($A454="","",IF($E454=1,$F454*$O454,PNL!G454))</f>
        <v/>
      </c>
      <c r="T454" t="str">
        <f t="shared" si="31"/>
        <v/>
      </c>
    </row>
    <row r="455" spans="1:20" x14ac:dyDescent="0.45">
      <c r="A455" t="str">
        <f>IF(PNL!A455="","",PNL!A455)</f>
        <v/>
      </c>
      <c r="B455" t="str">
        <f>IF(PNL!B455="","",PNL!B455)</f>
        <v/>
      </c>
      <c r="C455" t="str">
        <f>IF(PNL!C455="","",PNL!C455)</f>
        <v/>
      </c>
      <c r="D455" t="str">
        <f>IF(PNL!D455="","",PNL!D455)</f>
        <v/>
      </c>
      <c r="E455" t="str">
        <f t="shared" si="28"/>
        <v/>
      </c>
      <c r="F455" t="str">
        <f>IF($A455="","",IF($E455=1,SUMIFS(Compta!$F$1:$F$675,Compta!$A$1:$A$675,$A455,Compta!$B$1:$B$675,$B455,Compta!$C$1:$C$675,"2026"),0))</f>
        <v/>
      </c>
      <c r="G455" t="str">
        <f>IF($A455="","",IF($D455="V01",cad!$C$23,IF($D455="V02",cad!$D$23,cad!$E$23)))</f>
        <v/>
      </c>
      <c r="H455" t="str">
        <f>IF($A455="","",IF($D455="V01",cad!$C$24,IF($D455="V02",cad!$D$24,cad!$E$24)))</f>
        <v/>
      </c>
      <c r="I455" t="str">
        <f>IF($A455="","",IF($D455="V01",cad!$C$32,IF($D455="V02",cad!$D$32,cad!$E$32)))</f>
        <v/>
      </c>
      <c r="J455" t="str">
        <f>IF($A455="","",IF($D455="V01",cad!$C$33,IF($D455="V02",cad!$D$33,cad!$E$33)))</f>
        <v/>
      </c>
      <c r="K455" t="str">
        <f>IF($A455="","",IF($D455="V01",cad!$C$34,IF($D455="V02",cad!$D$34,cad!$E$34)))</f>
        <v/>
      </c>
      <c r="L455" t="str">
        <f>IF($A455="","",IF($D455="V01",cad!$C$35,IF($D455="V02",cad!$D$35,cad!$E$35)))</f>
        <v/>
      </c>
      <c r="M455" t="str">
        <f>IF($A455="","",IF($D455="V01",cad!$C$36,IF($D455="V02",cad!$D$36,cad!$E$36)))</f>
        <v/>
      </c>
      <c r="N455" t="str">
        <f t="shared" si="29"/>
        <v/>
      </c>
      <c r="O455" t="str">
        <f t="shared" si="30"/>
        <v/>
      </c>
      <c r="P455" t="str">
        <f>IF($A455="","",IF($E455=1,$F455*$O455,PNL!G455))</f>
        <v/>
      </c>
      <c r="T455" t="str">
        <f t="shared" si="31"/>
        <v/>
      </c>
    </row>
    <row r="456" spans="1:20" x14ac:dyDescent="0.45">
      <c r="A456" t="str">
        <f>IF(PNL!A456="","",PNL!A456)</f>
        <v/>
      </c>
      <c r="B456" t="str">
        <f>IF(PNL!B456="","",PNL!B456)</f>
        <v/>
      </c>
      <c r="C456" t="str">
        <f>IF(PNL!C456="","",PNL!C456)</f>
        <v/>
      </c>
      <c r="D456" t="str">
        <f>IF(PNL!D456="","",PNL!D456)</f>
        <v/>
      </c>
      <c r="E456" t="str">
        <f t="shared" si="28"/>
        <v/>
      </c>
      <c r="F456" t="str">
        <f>IF($A456="","",IF($E456=1,SUMIFS(Compta!$F$1:$F$675,Compta!$A$1:$A$675,$A456,Compta!$B$1:$B$675,$B456,Compta!$C$1:$C$675,"2026"),0))</f>
        <v/>
      </c>
      <c r="G456" t="str">
        <f>IF($A456="","",IF($D456="V01",cad!$C$23,IF($D456="V02",cad!$D$23,cad!$E$23)))</f>
        <v/>
      </c>
      <c r="H456" t="str">
        <f>IF($A456="","",IF($D456="V01",cad!$C$24,IF($D456="V02",cad!$D$24,cad!$E$24)))</f>
        <v/>
      </c>
      <c r="I456" t="str">
        <f>IF($A456="","",IF($D456="V01",cad!$C$32,IF($D456="V02",cad!$D$32,cad!$E$32)))</f>
        <v/>
      </c>
      <c r="J456" t="str">
        <f>IF($A456="","",IF($D456="V01",cad!$C$33,IF($D456="V02",cad!$D$33,cad!$E$33)))</f>
        <v/>
      </c>
      <c r="K456" t="str">
        <f>IF($A456="","",IF($D456="V01",cad!$C$34,IF($D456="V02",cad!$D$34,cad!$E$34)))</f>
        <v/>
      </c>
      <c r="L456" t="str">
        <f>IF($A456="","",IF($D456="V01",cad!$C$35,IF($D456="V02",cad!$D$35,cad!$E$35)))</f>
        <v/>
      </c>
      <c r="M456" t="str">
        <f>IF($A456="","",IF($D456="V01",cad!$C$36,IF($D456="V02",cad!$D$36,cad!$E$36)))</f>
        <v/>
      </c>
      <c r="N456" t="str">
        <f t="shared" si="29"/>
        <v/>
      </c>
      <c r="O456" t="str">
        <f t="shared" si="30"/>
        <v/>
      </c>
      <c r="P456" t="str">
        <f>IF($A456="","",IF($E456=1,$F456*$O456,PNL!G456))</f>
        <v/>
      </c>
      <c r="T456" t="str">
        <f t="shared" si="31"/>
        <v/>
      </c>
    </row>
    <row r="457" spans="1:20" x14ac:dyDescent="0.45">
      <c r="A457" t="str">
        <f>IF(PNL!A457="","",PNL!A457)</f>
        <v/>
      </c>
      <c r="B457" t="str">
        <f>IF(PNL!B457="","",PNL!B457)</f>
        <v/>
      </c>
      <c r="C457" t="str">
        <f>IF(PNL!C457="","",PNL!C457)</f>
        <v/>
      </c>
      <c r="D457" t="str">
        <f>IF(PNL!D457="","",PNL!D457)</f>
        <v/>
      </c>
      <c r="E457" t="str">
        <f t="shared" si="28"/>
        <v/>
      </c>
      <c r="F457" t="str">
        <f>IF($A457="","",IF($E457=1,SUMIFS(Compta!$F$1:$F$675,Compta!$A$1:$A$675,$A457,Compta!$B$1:$B$675,$B457,Compta!$C$1:$C$675,"2026"),0))</f>
        <v/>
      </c>
      <c r="G457" t="str">
        <f>IF($A457="","",IF($D457="V01",cad!$C$23,IF($D457="V02",cad!$D$23,cad!$E$23)))</f>
        <v/>
      </c>
      <c r="H457" t="str">
        <f>IF($A457="","",IF($D457="V01",cad!$C$24,IF($D457="V02",cad!$D$24,cad!$E$24)))</f>
        <v/>
      </c>
      <c r="I457" t="str">
        <f>IF($A457="","",IF($D457="V01",cad!$C$32,IF($D457="V02",cad!$D$32,cad!$E$32)))</f>
        <v/>
      </c>
      <c r="J457" t="str">
        <f>IF($A457="","",IF($D457="V01",cad!$C$33,IF($D457="V02",cad!$D$33,cad!$E$33)))</f>
        <v/>
      </c>
      <c r="K457" t="str">
        <f>IF($A457="","",IF($D457="V01",cad!$C$34,IF($D457="V02",cad!$D$34,cad!$E$34)))</f>
        <v/>
      </c>
      <c r="L457" t="str">
        <f>IF($A457="","",IF($D457="V01",cad!$C$35,IF($D457="V02",cad!$D$35,cad!$E$35)))</f>
        <v/>
      </c>
      <c r="M457" t="str">
        <f>IF($A457="","",IF($D457="V01",cad!$C$36,IF($D457="V02",cad!$D$36,cad!$E$36)))</f>
        <v/>
      </c>
      <c r="N457" t="str">
        <f t="shared" si="29"/>
        <v/>
      </c>
      <c r="O457" t="str">
        <f t="shared" si="30"/>
        <v/>
      </c>
      <c r="P457" t="str">
        <f>IF($A457="","",IF($E457=1,$F457*$O457,PNL!G457))</f>
        <v/>
      </c>
      <c r="T457" t="str">
        <f t="shared" si="31"/>
        <v/>
      </c>
    </row>
    <row r="458" spans="1:20" x14ac:dyDescent="0.45">
      <c r="A458" t="str">
        <f>IF(PNL!A458="","",PNL!A458)</f>
        <v/>
      </c>
      <c r="B458" t="str">
        <f>IF(PNL!B458="","",PNL!B458)</f>
        <v/>
      </c>
      <c r="C458" t="str">
        <f>IF(PNL!C458="","",PNL!C458)</f>
        <v/>
      </c>
      <c r="D458" t="str">
        <f>IF(PNL!D458="","",PNL!D458)</f>
        <v/>
      </c>
      <c r="E458" t="str">
        <f t="shared" si="28"/>
        <v/>
      </c>
      <c r="F458" t="str">
        <f>IF($A458="","",IF($E458=1,SUMIFS(Compta!$F$1:$F$675,Compta!$A$1:$A$675,$A458,Compta!$B$1:$B$675,$B458,Compta!$C$1:$C$675,"2026"),0))</f>
        <v/>
      </c>
      <c r="G458" t="str">
        <f>IF($A458="","",IF($D458="V01",cad!$C$23,IF($D458="V02",cad!$D$23,cad!$E$23)))</f>
        <v/>
      </c>
      <c r="H458" t="str">
        <f>IF($A458="","",IF($D458="V01",cad!$C$24,IF($D458="V02",cad!$D$24,cad!$E$24)))</f>
        <v/>
      </c>
      <c r="I458" t="str">
        <f>IF($A458="","",IF($D458="V01",cad!$C$32,IF($D458="V02",cad!$D$32,cad!$E$32)))</f>
        <v/>
      </c>
      <c r="J458" t="str">
        <f>IF($A458="","",IF($D458="V01",cad!$C$33,IF($D458="V02",cad!$D$33,cad!$E$33)))</f>
        <v/>
      </c>
      <c r="K458" t="str">
        <f>IF($A458="","",IF($D458="V01",cad!$C$34,IF($D458="V02",cad!$D$34,cad!$E$34)))</f>
        <v/>
      </c>
      <c r="L458" t="str">
        <f>IF($A458="","",IF($D458="V01",cad!$C$35,IF($D458="V02",cad!$D$35,cad!$E$35)))</f>
        <v/>
      </c>
      <c r="M458" t="str">
        <f>IF($A458="","",IF($D458="V01",cad!$C$36,IF($D458="V02",cad!$D$36,cad!$E$36)))</f>
        <v/>
      </c>
      <c r="N458" t="str">
        <f t="shared" si="29"/>
        <v/>
      </c>
      <c r="O458" t="str">
        <f t="shared" si="30"/>
        <v/>
      </c>
      <c r="P458" t="str">
        <f>IF($A458="","",IF($E458=1,$F458*$O458,PNL!G458))</f>
        <v/>
      </c>
      <c r="T458" t="str">
        <f t="shared" si="31"/>
        <v/>
      </c>
    </row>
    <row r="459" spans="1:20" x14ac:dyDescent="0.45">
      <c r="A459" t="str">
        <f>IF(PNL!A459="","",PNL!A459)</f>
        <v/>
      </c>
      <c r="B459" t="str">
        <f>IF(PNL!B459="","",PNL!B459)</f>
        <v/>
      </c>
      <c r="C459" t="str">
        <f>IF(PNL!C459="","",PNL!C459)</f>
        <v/>
      </c>
      <c r="D459" t="str">
        <f>IF(PNL!D459="","",PNL!D459)</f>
        <v/>
      </c>
      <c r="E459" t="str">
        <f t="shared" si="28"/>
        <v/>
      </c>
      <c r="F459" t="str">
        <f>IF($A459="","",IF($E459=1,SUMIFS(Compta!$F$1:$F$675,Compta!$A$1:$A$675,$A459,Compta!$B$1:$B$675,$B459,Compta!$C$1:$C$675,"2026"),0))</f>
        <v/>
      </c>
      <c r="G459" t="str">
        <f>IF($A459="","",IF($D459="V01",cad!$C$23,IF($D459="V02",cad!$D$23,cad!$E$23)))</f>
        <v/>
      </c>
      <c r="H459" t="str">
        <f>IF($A459="","",IF($D459="V01",cad!$C$24,IF($D459="V02",cad!$D$24,cad!$E$24)))</f>
        <v/>
      </c>
      <c r="I459" t="str">
        <f>IF($A459="","",IF($D459="V01",cad!$C$32,IF($D459="V02",cad!$D$32,cad!$E$32)))</f>
        <v/>
      </c>
      <c r="J459" t="str">
        <f>IF($A459="","",IF($D459="V01",cad!$C$33,IF($D459="V02",cad!$D$33,cad!$E$33)))</f>
        <v/>
      </c>
      <c r="K459" t="str">
        <f>IF($A459="","",IF($D459="V01",cad!$C$34,IF($D459="V02",cad!$D$34,cad!$E$34)))</f>
        <v/>
      </c>
      <c r="L459" t="str">
        <f>IF($A459="","",IF($D459="V01",cad!$C$35,IF($D459="V02",cad!$D$35,cad!$E$35)))</f>
        <v/>
      </c>
      <c r="M459" t="str">
        <f>IF($A459="","",IF($D459="V01",cad!$C$36,IF($D459="V02",cad!$D$36,cad!$E$36)))</f>
        <v/>
      </c>
      <c r="N459" t="str">
        <f t="shared" si="29"/>
        <v/>
      </c>
      <c r="O459" t="str">
        <f t="shared" si="30"/>
        <v/>
      </c>
      <c r="P459" t="str">
        <f>IF($A459="","",IF($E459=1,$F459*$O459,PNL!G459))</f>
        <v/>
      </c>
      <c r="T459" t="str">
        <f t="shared" si="31"/>
        <v/>
      </c>
    </row>
    <row r="460" spans="1:20" x14ac:dyDescent="0.45">
      <c r="A460" t="str">
        <f>IF(PNL!A460="","",PNL!A460)</f>
        <v/>
      </c>
      <c r="B460" t="str">
        <f>IF(PNL!B460="","",PNL!B460)</f>
        <v/>
      </c>
      <c r="C460" t="str">
        <f>IF(PNL!C460="","",PNL!C460)</f>
        <v/>
      </c>
      <c r="D460" t="str">
        <f>IF(PNL!D460="","",PNL!D460)</f>
        <v/>
      </c>
      <c r="E460" t="str">
        <f t="shared" si="28"/>
        <v/>
      </c>
      <c r="F460" t="str">
        <f>IF($A460="","",IF($E460=1,SUMIFS(Compta!$F$1:$F$675,Compta!$A$1:$A$675,$A460,Compta!$B$1:$B$675,$B460,Compta!$C$1:$C$675,"2026"),0))</f>
        <v/>
      </c>
      <c r="G460" t="str">
        <f>IF($A460="","",IF($D460="V01",cad!$C$23,IF($D460="V02",cad!$D$23,cad!$E$23)))</f>
        <v/>
      </c>
      <c r="H460" t="str">
        <f>IF($A460="","",IF($D460="V01",cad!$C$24,IF($D460="V02",cad!$D$24,cad!$E$24)))</f>
        <v/>
      </c>
      <c r="I460" t="str">
        <f>IF($A460="","",IF($D460="V01",cad!$C$32,IF($D460="V02",cad!$D$32,cad!$E$32)))</f>
        <v/>
      </c>
      <c r="J460" t="str">
        <f>IF($A460="","",IF($D460="V01",cad!$C$33,IF($D460="V02",cad!$D$33,cad!$E$33)))</f>
        <v/>
      </c>
      <c r="K460" t="str">
        <f>IF($A460="","",IF($D460="V01",cad!$C$34,IF($D460="V02",cad!$D$34,cad!$E$34)))</f>
        <v/>
      </c>
      <c r="L460" t="str">
        <f>IF($A460="","",IF($D460="V01",cad!$C$35,IF($D460="V02",cad!$D$35,cad!$E$35)))</f>
        <v/>
      </c>
      <c r="M460" t="str">
        <f>IF($A460="","",IF($D460="V01",cad!$C$36,IF($D460="V02",cad!$D$36,cad!$E$36)))</f>
        <v/>
      </c>
      <c r="N460" t="str">
        <f t="shared" si="29"/>
        <v/>
      </c>
      <c r="O460" t="str">
        <f t="shared" si="30"/>
        <v/>
      </c>
      <c r="P460" t="str">
        <f>IF($A460="","",IF($E460=1,$F460*$O460,PNL!G460))</f>
        <v/>
      </c>
      <c r="T460" t="str">
        <f t="shared" si="31"/>
        <v/>
      </c>
    </row>
    <row r="461" spans="1:20" x14ac:dyDescent="0.45">
      <c r="A461" t="str">
        <f>IF(PNL!A461="","",PNL!A461)</f>
        <v/>
      </c>
      <c r="B461" t="str">
        <f>IF(PNL!B461="","",PNL!B461)</f>
        <v/>
      </c>
      <c r="C461" t="str">
        <f>IF(PNL!C461="","",PNL!C461)</f>
        <v/>
      </c>
      <c r="D461" t="str">
        <f>IF(PNL!D461="","",PNL!D461)</f>
        <v/>
      </c>
      <c r="E461" t="str">
        <f t="shared" si="28"/>
        <v/>
      </c>
      <c r="F461" t="str">
        <f>IF($A461="","",IF($E461=1,SUMIFS(Compta!$F$1:$F$675,Compta!$A$1:$A$675,$A461,Compta!$B$1:$B$675,$B461,Compta!$C$1:$C$675,"2026"),0))</f>
        <v/>
      </c>
      <c r="G461" t="str">
        <f>IF($A461="","",IF($D461="V01",cad!$C$23,IF($D461="V02",cad!$D$23,cad!$E$23)))</f>
        <v/>
      </c>
      <c r="H461" t="str">
        <f>IF($A461="","",IF($D461="V01",cad!$C$24,IF($D461="V02",cad!$D$24,cad!$E$24)))</f>
        <v/>
      </c>
      <c r="I461" t="str">
        <f>IF($A461="","",IF($D461="V01",cad!$C$32,IF($D461="V02",cad!$D$32,cad!$E$32)))</f>
        <v/>
      </c>
      <c r="J461" t="str">
        <f>IF($A461="","",IF($D461="V01",cad!$C$33,IF($D461="V02",cad!$D$33,cad!$E$33)))</f>
        <v/>
      </c>
      <c r="K461" t="str">
        <f>IF($A461="","",IF($D461="V01",cad!$C$34,IF($D461="V02",cad!$D$34,cad!$E$34)))</f>
        <v/>
      </c>
      <c r="L461" t="str">
        <f>IF($A461="","",IF($D461="V01",cad!$C$35,IF($D461="V02",cad!$D$35,cad!$E$35)))</f>
        <v/>
      </c>
      <c r="M461" t="str">
        <f>IF($A461="","",IF($D461="V01",cad!$C$36,IF($D461="V02",cad!$D$36,cad!$E$36)))</f>
        <v/>
      </c>
      <c r="N461" t="str">
        <f t="shared" si="29"/>
        <v/>
      </c>
      <c r="O461" t="str">
        <f t="shared" si="30"/>
        <v/>
      </c>
      <c r="P461" t="str">
        <f>IF($A461="","",IF($E461=1,$F461*$O461,PNL!G461))</f>
        <v/>
      </c>
      <c r="T461" t="str">
        <f t="shared" si="31"/>
        <v/>
      </c>
    </row>
    <row r="462" spans="1:20" x14ac:dyDescent="0.45">
      <c r="A462" t="str">
        <f>IF(PNL!A462="","",PNL!A462)</f>
        <v/>
      </c>
      <c r="B462" t="str">
        <f>IF(PNL!B462="","",PNL!B462)</f>
        <v/>
      </c>
      <c r="C462" t="str">
        <f>IF(PNL!C462="","",PNL!C462)</f>
        <v/>
      </c>
      <c r="D462" t="str">
        <f>IF(PNL!D462="","",PNL!D462)</f>
        <v/>
      </c>
      <c r="E462" t="str">
        <f t="shared" si="28"/>
        <v/>
      </c>
      <c r="F462" t="str">
        <f>IF($A462="","",IF($E462=1,SUMIFS(Compta!$F$1:$F$675,Compta!$A$1:$A$675,$A462,Compta!$B$1:$B$675,$B462,Compta!$C$1:$C$675,"2026"),0))</f>
        <v/>
      </c>
      <c r="G462" t="str">
        <f>IF($A462="","",IF($D462="V01",cad!$C$23,IF($D462="V02",cad!$D$23,cad!$E$23)))</f>
        <v/>
      </c>
      <c r="H462" t="str">
        <f>IF($A462="","",IF($D462="V01",cad!$C$24,IF($D462="V02",cad!$D$24,cad!$E$24)))</f>
        <v/>
      </c>
      <c r="I462" t="str">
        <f>IF($A462="","",IF($D462="V01",cad!$C$32,IF($D462="V02",cad!$D$32,cad!$E$32)))</f>
        <v/>
      </c>
      <c r="J462" t="str">
        <f>IF($A462="","",IF($D462="V01",cad!$C$33,IF($D462="V02",cad!$D$33,cad!$E$33)))</f>
        <v/>
      </c>
      <c r="K462" t="str">
        <f>IF($A462="","",IF($D462="V01",cad!$C$34,IF($D462="V02",cad!$D$34,cad!$E$34)))</f>
        <v/>
      </c>
      <c r="L462" t="str">
        <f>IF($A462="","",IF($D462="V01",cad!$C$35,IF($D462="V02",cad!$D$35,cad!$E$35)))</f>
        <v/>
      </c>
      <c r="M462" t="str">
        <f>IF($A462="","",IF($D462="V01",cad!$C$36,IF($D462="V02",cad!$D$36,cad!$E$36)))</f>
        <v/>
      </c>
      <c r="N462" t="str">
        <f t="shared" si="29"/>
        <v/>
      </c>
      <c r="O462" t="str">
        <f t="shared" si="30"/>
        <v/>
      </c>
      <c r="P462" t="str">
        <f>IF($A462="","",IF($E462=1,$F462*$O462,PNL!G462))</f>
        <v/>
      </c>
      <c r="T462" t="str">
        <f t="shared" si="31"/>
        <v/>
      </c>
    </row>
    <row r="463" spans="1:20" x14ac:dyDescent="0.45">
      <c r="A463" t="str">
        <f>IF(PNL!A463="","",PNL!A463)</f>
        <v/>
      </c>
      <c r="B463" t="str">
        <f>IF(PNL!B463="","",PNL!B463)</f>
        <v/>
      </c>
      <c r="C463" t="str">
        <f>IF(PNL!C463="","",PNL!C463)</f>
        <v/>
      </c>
      <c r="D463" t="str">
        <f>IF(PNL!D463="","",PNL!D463)</f>
        <v/>
      </c>
      <c r="E463" t="str">
        <f t="shared" si="28"/>
        <v/>
      </c>
      <c r="F463" t="str">
        <f>IF($A463="","",IF($E463=1,SUMIFS(Compta!$F$1:$F$675,Compta!$A$1:$A$675,$A463,Compta!$B$1:$B$675,$B463,Compta!$C$1:$C$675,"2026"),0))</f>
        <v/>
      </c>
      <c r="G463" t="str">
        <f>IF($A463="","",IF($D463="V01",cad!$C$23,IF($D463="V02",cad!$D$23,cad!$E$23)))</f>
        <v/>
      </c>
      <c r="H463" t="str">
        <f>IF($A463="","",IF($D463="V01",cad!$C$24,IF($D463="V02",cad!$D$24,cad!$E$24)))</f>
        <v/>
      </c>
      <c r="I463" t="str">
        <f>IF($A463="","",IF($D463="V01",cad!$C$32,IF($D463="V02",cad!$D$32,cad!$E$32)))</f>
        <v/>
      </c>
      <c r="J463" t="str">
        <f>IF($A463="","",IF($D463="V01",cad!$C$33,IF($D463="V02",cad!$D$33,cad!$E$33)))</f>
        <v/>
      </c>
      <c r="K463" t="str">
        <f>IF($A463="","",IF($D463="V01",cad!$C$34,IF($D463="V02",cad!$D$34,cad!$E$34)))</f>
        <v/>
      </c>
      <c r="L463" t="str">
        <f>IF($A463="","",IF($D463="V01",cad!$C$35,IF($D463="V02",cad!$D$35,cad!$E$35)))</f>
        <v/>
      </c>
      <c r="M463" t="str">
        <f>IF($A463="","",IF($D463="V01",cad!$C$36,IF($D463="V02",cad!$D$36,cad!$E$36)))</f>
        <v/>
      </c>
      <c r="N463" t="str">
        <f t="shared" si="29"/>
        <v/>
      </c>
      <c r="O463" t="str">
        <f t="shared" si="30"/>
        <v/>
      </c>
      <c r="P463" t="str">
        <f>IF($A463="","",IF($E463=1,$F463*$O463,PNL!G463))</f>
        <v/>
      </c>
      <c r="T463" t="str">
        <f t="shared" si="31"/>
        <v/>
      </c>
    </row>
    <row r="464" spans="1:20" x14ac:dyDescent="0.45">
      <c r="A464" t="str">
        <f>IF(PNL!A464="","",PNL!A464)</f>
        <v/>
      </c>
      <c r="B464" t="str">
        <f>IF(PNL!B464="","",PNL!B464)</f>
        <v/>
      </c>
      <c r="C464" t="str">
        <f>IF(PNL!C464="","",PNL!C464)</f>
        <v/>
      </c>
      <c r="D464" t="str">
        <f>IF(PNL!D464="","",PNL!D464)</f>
        <v/>
      </c>
      <c r="E464" t="str">
        <f t="shared" si="28"/>
        <v/>
      </c>
      <c r="F464" t="str">
        <f>IF($A464="","",IF($E464=1,SUMIFS(Compta!$F$1:$F$675,Compta!$A$1:$A$675,$A464,Compta!$B$1:$B$675,$B464,Compta!$C$1:$C$675,"2026"),0))</f>
        <v/>
      </c>
      <c r="G464" t="str">
        <f>IF($A464="","",IF($D464="V01",cad!$C$23,IF($D464="V02",cad!$D$23,cad!$E$23)))</f>
        <v/>
      </c>
      <c r="H464" t="str">
        <f>IF($A464="","",IF($D464="V01",cad!$C$24,IF($D464="V02",cad!$D$24,cad!$E$24)))</f>
        <v/>
      </c>
      <c r="I464" t="str">
        <f>IF($A464="","",IF($D464="V01",cad!$C$32,IF($D464="V02",cad!$D$32,cad!$E$32)))</f>
        <v/>
      </c>
      <c r="J464" t="str">
        <f>IF($A464="","",IF($D464="V01",cad!$C$33,IF($D464="V02",cad!$D$33,cad!$E$33)))</f>
        <v/>
      </c>
      <c r="K464" t="str">
        <f>IF($A464="","",IF($D464="V01",cad!$C$34,IF($D464="V02",cad!$D$34,cad!$E$34)))</f>
        <v/>
      </c>
      <c r="L464" t="str">
        <f>IF($A464="","",IF($D464="V01",cad!$C$35,IF($D464="V02",cad!$D$35,cad!$E$35)))</f>
        <v/>
      </c>
      <c r="M464" t="str">
        <f>IF($A464="","",IF($D464="V01",cad!$C$36,IF($D464="V02",cad!$D$36,cad!$E$36)))</f>
        <v/>
      </c>
      <c r="N464" t="str">
        <f t="shared" si="29"/>
        <v/>
      </c>
      <c r="O464" t="str">
        <f t="shared" si="30"/>
        <v/>
      </c>
      <c r="P464" t="str">
        <f>IF($A464="","",IF($E464=1,$F464*$O464,PNL!G464))</f>
        <v/>
      </c>
      <c r="T464" t="str">
        <f t="shared" si="31"/>
        <v/>
      </c>
    </row>
    <row r="465" spans="1:20" x14ac:dyDescent="0.45">
      <c r="A465" t="str">
        <f>IF(PNL!A465="","",PNL!A465)</f>
        <v/>
      </c>
      <c r="B465" t="str">
        <f>IF(PNL!B465="","",PNL!B465)</f>
        <v/>
      </c>
      <c r="C465" t="str">
        <f>IF(PNL!C465="","",PNL!C465)</f>
        <v/>
      </c>
      <c r="D465" t="str">
        <f>IF(PNL!D465="","",PNL!D465)</f>
        <v/>
      </c>
      <c r="E465" t="str">
        <f t="shared" si="28"/>
        <v/>
      </c>
      <c r="F465" t="str">
        <f>IF($A465="","",IF($E465=1,SUMIFS(Compta!$F$1:$F$675,Compta!$A$1:$A$675,$A465,Compta!$B$1:$B$675,$B465,Compta!$C$1:$C$675,"2026"),0))</f>
        <v/>
      </c>
      <c r="G465" t="str">
        <f>IF($A465="","",IF($D465="V01",cad!$C$23,IF($D465="V02",cad!$D$23,cad!$E$23)))</f>
        <v/>
      </c>
      <c r="H465" t="str">
        <f>IF($A465="","",IF($D465="V01",cad!$C$24,IF($D465="V02",cad!$D$24,cad!$E$24)))</f>
        <v/>
      </c>
      <c r="I465" t="str">
        <f>IF($A465="","",IF($D465="V01",cad!$C$32,IF($D465="V02",cad!$D$32,cad!$E$32)))</f>
        <v/>
      </c>
      <c r="J465" t="str">
        <f>IF($A465="","",IF($D465="V01",cad!$C$33,IF($D465="V02",cad!$D$33,cad!$E$33)))</f>
        <v/>
      </c>
      <c r="K465" t="str">
        <f>IF($A465="","",IF($D465="V01",cad!$C$34,IF($D465="V02",cad!$D$34,cad!$E$34)))</f>
        <v/>
      </c>
      <c r="L465" t="str">
        <f>IF($A465="","",IF($D465="V01",cad!$C$35,IF($D465="V02",cad!$D$35,cad!$E$35)))</f>
        <v/>
      </c>
      <c r="M465" t="str">
        <f>IF($A465="","",IF($D465="V01",cad!$C$36,IF($D465="V02",cad!$D$36,cad!$E$36)))</f>
        <v/>
      </c>
      <c r="N465" t="str">
        <f t="shared" si="29"/>
        <v/>
      </c>
      <c r="O465" t="str">
        <f t="shared" si="30"/>
        <v/>
      </c>
      <c r="P465" t="str">
        <f>IF($A465="","",IF($E465=1,$F465*$O465,PNL!G465))</f>
        <v/>
      </c>
      <c r="T465" t="str">
        <f t="shared" si="31"/>
        <v/>
      </c>
    </row>
    <row r="466" spans="1:20" x14ac:dyDescent="0.45">
      <c r="A466" t="str">
        <f>IF(PNL!A466="","",PNL!A466)</f>
        <v/>
      </c>
      <c r="B466" t="str">
        <f>IF(PNL!B466="","",PNL!B466)</f>
        <v/>
      </c>
      <c r="C466" t="str">
        <f>IF(PNL!C466="","",PNL!C466)</f>
        <v/>
      </c>
      <c r="D466" t="str">
        <f>IF(PNL!D466="","",PNL!D466)</f>
        <v/>
      </c>
      <c r="E466" t="str">
        <f t="shared" si="28"/>
        <v/>
      </c>
      <c r="F466" t="str">
        <f>IF($A466="","",IF($E466=1,SUMIFS(Compta!$F$1:$F$675,Compta!$A$1:$A$675,$A466,Compta!$B$1:$B$675,$B466,Compta!$C$1:$C$675,"2026"),0))</f>
        <v/>
      </c>
      <c r="G466" t="str">
        <f>IF($A466="","",IF($D466="V01",cad!$C$23,IF($D466="V02",cad!$D$23,cad!$E$23)))</f>
        <v/>
      </c>
      <c r="H466" t="str">
        <f>IF($A466="","",IF($D466="V01",cad!$C$24,IF($D466="V02",cad!$D$24,cad!$E$24)))</f>
        <v/>
      </c>
      <c r="I466" t="str">
        <f>IF($A466="","",IF($D466="V01",cad!$C$32,IF($D466="V02",cad!$D$32,cad!$E$32)))</f>
        <v/>
      </c>
      <c r="J466" t="str">
        <f>IF($A466="","",IF($D466="V01",cad!$C$33,IF($D466="V02",cad!$D$33,cad!$E$33)))</f>
        <v/>
      </c>
      <c r="K466" t="str">
        <f>IF($A466="","",IF($D466="V01",cad!$C$34,IF($D466="V02",cad!$D$34,cad!$E$34)))</f>
        <v/>
      </c>
      <c r="L466" t="str">
        <f>IF($A466="","",IF($D466="V01",cad!$C$35,IF($D466="V02",cad!$D$35,cad!$E$35)))</f>
        <v/>
      </c>
      <c r="M466" t="str">
        <f>IF($A466="","",IF($D466="V01",cad!$C$36,IF($D466="V02",cad!$D$36,cad!$E$36)))</f>
        <v/>
      </c>
      <c r="N466" t="str">
        <f t="shared" si="29"/>
        <v/>
      </c>
      <c r="O466" t="str">
        <f t="shared" si="30"/>
        <v/>
      </c>
      <c r="P466" t="str">
        <f>IF($A466="","",IF($E466=1,$F466*$O466,PNL!G466))</f>
        <v/>
      </c>
      <c r="T466" t="str">
        <f t="shared" si="31"/>
        <v/>
      </c>
    </row>
    <row r="467" spans="1:20" x14ac:dyDescent="0.45">
      <c r="A467" t="str">
        <f>IF(PNL!A467="","",PNL!A467)</f>
        <v/>
      </c>
      <c r="B467" t="str">
        <f>IF(PNL!B467="","",PNL!B467)</f>
        <v/>
      </c>
      <c r="C467" t="str">
        <f>IF(PNL!C467="","",PNL!C467)</f>
        <v/>
      </c>
      <c r="D467" t="str">
        <f>IF(PNL!D467="","",PNL!D467)</f>
        <v/>
      </c>
      <c r="E467" t="str">
        <f t="shared" si="28"/>
        <v/>
      </c>
      <c r="F467" t="str">
        <f>IF($A467="","",IF($E467=1,SUMIFS(Compta!$F$1:$F$675,Compta!$A$1:$A$675,$A467,Compta!$B$1:$B$675,$B467,Compta!$C$1:$C$675,"2026"),0))</f>
        <v/>
      </c>
      <c r="G467" t="str">
        <f>IF($A467="","",IF($D467="V01",cad!$C$23,IF($D467="V02",cad!$D$23,cad!$E$23)))</f>
        <v/>
      </c>
      <c r="H467" t="str">
        <f>IF($A467="","",IF($D467="V01",cad!$C$24,IF($D467="V02",cad!$D$24,cad!$E$24)))</f>
        <v/>
      </c>
      <c r="I467" t="str">
        <f>IF($A467="","",IF($D467="V01",cad!$C$32,IF($D467="V02",cad!$D$32,cad!$E$32)))</f>
        <v/>
      </c>
      <c r="J467" t="str">
        <f>IF($A467="","",IF($D467="V01",cad!$C$33,IF($D467="V02",cad!$D$33,cad!$E$33)))</f>
        <v/>
      </c>
      <c r="K467" t="str">
        <f>IF($A467="","",IF($D467="V01",cad!$C$34,IF($D467="V02",cad!$D$34,cad!$E$34)))</f>
        <v/>
      </c>
      <c r="L467" t="str">
        <f>IF($A467="","",IF($D467="V01",cad!$C$35,IF($D467="V02",cad!$D$35,cad!$E$35)))</f>
        <v/>
      </c>
      <c r="M467" t="str">
        <f>IF($A467="","",IF($D467="V01",cad!$C$36,IF($D467="V02",cad!$D$36,cad!$E$36)))</f>
        <v/>
      </c>
      <c r="N467" t="str">
        <f t="shared" si="29"/>
        <v/>
      </c>
      <c r="O467" t="str">
        <f t="shared" si="30"/>
        <v/>
      </c>
      <c r="P467" t="str">
        <f>IF($A467="","",IF($E467=1,$F467*$O467,PNL!G467))</f>
        <v/>
      </c>
      <c r="T467" t="str">
        <f t="shared" si="31"/>
        <v/>
      </c>
    </row>
    <row r="468" spans="1:20" x14ac:dyDescent="0.45">
      <c r="A468" t="str">
        <f>IF(PNL!A468="","",PNL!A468)</f>
        <v/>
      </c>
      <c r="B468" t="str">
        <f>IF(PNL!B468="","",PNL!B468)</f>
        <v/>
      </c>
      <c r="C468" t="str">
        <f>IF(PNL!C468="","",PNL!C468)</f>
        <v/>
      </c>
      <c r="D468" t="str">
        <f>IF(PNL!D468="","",PNL!D468)</f>
        <v/>
      </c>
      <c r="E468" t="str">
        <f t="shared" si="28"/>
        <v/>
      </c>
      <c r="F468" t="str">
        <f>IF($A468="","",IF($E468=1,SUMIFS(Compta!$F$1:$F$675,Compta!$A$1:$A$675,$A468,Compta!$B$1:$B$675,$B468,Compta!$C$1:$C$675,"2026"),0))</f>
        <v/>
      </c>
      <c r="G468" t="str">
        <f>IF($A468="","",IF($D468="V01",cad!$C$23,IF($D468="V02",cad!$D$23,cad!$E$23)))</f>
        <v/>
      </c>
      <c r="H468" t="str">
        <f>IF($A468="","",IF($D468="V01",cad!$C$24,IF($D468="V02",cad!$D$24,cad!$E$24)))</f>
        <v/>
      </c>
      <c r="I468" t="str">
        <f>IF($A468="","",IF($D468="V01",cad!$C$32,IF($D468="V02",cad!$D$32,cad!$E$32)))</f>
        <v/>
      </c>
      <c r="J468" t="str">
        <f>IF($A468="","",IF($D468="V01",cad!$C$33,IF($D468="V02",cad!$D$33,cad!$E$33)))</f>
        <v/>
      </c>
      <c r="K468" t="str">
        <f>IF($A468="","",IF($D468="V01",cad!$C$34,IF($D468="V02",cad!$D$34,cad!$E$34)))</f>
        <v/>
      </c>
      <c r="L468" t="str">
        <f>IF($A468="","",IF($D468="V01",cad!$C$35,IF($D468="V02",cad!$D$35,cad!$E$35)))</f>
        <v/>
      </c>
      <c r="M468" t="str">
        <f>IF($A468="","",IF($D468="V01",cad!$C$36,IF($D468="V02",cad!$D$36,cad!$E$36)))</f>
        <v/>
      </c>
      <c r="N468" t="str">
        <f t="shared" si="29"/>
        <v/>
      </c>
      <c r="O468" t="str">
        <f t="shared" si="30"/>
        <v/>
      </c>
      <c r="P468" t="str">
        <f>IF($A468="","",IF($E468=1,$F468*$O468,PNL!G468))</f>
        <v/>
      </c>
      <c r="T468" t="str">
        <f t="shared" si="31"/>
        <v/>
      </c>
    </row>
    <row r="469" spans="1:20" x14ac:dyDescent="0.45">
      <c r="A469" t="str">
        <f>IF(PNL!A469="","",PNL!A469)</f>
        <v/>
      </c>
      <c r="B469" t="str">
        <f>IF(PNL!B469="","",PNL!B469)</f>
        <v/>
      </c>
      <c r="C469" t="str">
        <f>IF(PNL!C469="","",PNL!C469)</f>
        <v/>
      </c>
      <c r="D469" t="str">
        <f>IF(PNL!D469="","",PNL!D469)</f>
        <v/>
      </c>
      <c r="E469" t="str">
        <f t="shared" si="28"/>
        <v/>
      </c>
      <c r="F469" t="str">
        <f>IF($A469="","",IF($E469=1,SUMIFS(Compta!$F$1:$F$675,Compta!$A$1:$A$675,$A469,Compta!$B$1:$B$675,$B469,Compta!$C$1:$C$675,"2026"),0))</f>
        <v/>
      </c>
      <c r="G469" t="str">
        <f>IF($A469="","",IF($D469="V01",cad!$C$23,IF($D469="V02",cad!$D$23,cad!$E$23)))</f>
        <v/>
      </c>
      <c r="H469" t="str">
        <f>IF($A469="","",IF($D469="V01",cad!$C$24,IF($D469="V02",cad!$D$24,cad!$E$24)))</f>
        <v/>
      </c>
      <c r="I469" t="str">
        <f>IF($A469="","",IF($D469="V01",cad!$C$32,IF($D469="V02",cad!$D$32,cad!$E$32)))</f>
        <v/>
      </c>
      <c r="J469" t="str">
        <f>IF($A469="","",IF($D469="V01",cad!$C$33,IF($D469="V02",cad!$D$33,cad!$E$33)))</f>
        <v/>
      </c>
      <c r="K469" t="str">
        <f>IF($A469="","",IF($D469="V01",cad!$C$34,IF($D469="V02",cad!$D$34,cad!$E$34)))</f>
        <v/>
      </c>
      <c r="L469" t="str">
        <f>IF($A469="","",IF($D469="V01",cad!$C$35,IF($D469="V02",cad!$D$35,cad!$E$35)))</f>
        <v/>
      </c>
      <c r="M469" t="str">
        <f>IF($A469="","",IF($D469="V01",cad!$C$36,IF($D469="V02",cad!$D$36,cad!$E$36)))</f>
        <v/>
      </c>
      <c r="N469" t="str">
        <f t="shared" si="29"/>
        <v/>
      </c>
      <c r="O469" t="str">
        <f t="shared" si="30"/>
        <v/>
      </c>
      <c r="P469" t="str">
        <f>IF($A469="","",IF($E469=1,$F469*$O469,PNL!G469))</f>
        <v/>
      </c>
      <c r="T469" t="str">
        <f t="shared" si="31"/>
        <v/>
      </c>
    </row>
    <row r="470" spans="1:20" x14ac:dyDescent="0.45">
      <c r="A470" t="str">
        <f>IF(PNL!A470="","",PNL!A470)</f>
        <v/>
      </c>
      <c r="B470" t="str">
        <f>IF(PNL!B470="","",PNL!B470)</f>
        <v/>
      </c>
      <c r="C470" t="str">
        <f>IF(PNL!C470="","",PNL!C470)</f>
        <v/>
      </c>
      <c r="D470" t="str">
        <f>IF(PNL!D470="","",PNL!D470)</f>
        <v/>
      </c>
      <c r="E470" t="str">
        <f t="shared" si="28"/>
        <v/>
      </c>
      <c r="F470" t="str">
        <f>IF($A470="","",IF($E470=1,SUMIFS(Compta!$F$1:$F$675,Compta!$A$1:$A$675,$A470,Compta!$B$1:$B$675,$B470,Compta!$C$1:$C$675,"2026"),0))</f>
        <v/>
      </c>
      <c r="G470" t="str">
        <f>IF($A470="","",IF($D470="V01",cad!$C$23,IF($D470="V02",cad!$D$23,cad!$E$23)))</f>
        <v/>
      </c>
      <c r="H470" t="str">
        <f>IF($A470="","",IF($D470="V01",cad!$C$24,IF($D470="V02",cad!$D$24,cad!$E$24)))</f>
        <v/>
      </c>
      <c r="I470" t="str">
        <f>IF($A470="","",IF($D470="V01",cad!$C$32,IF($D470="V02",cad!$D$32,cad!$E$32)))</f>
        <v/>
      </c>
      <c r="J470" t="str">
        <f>IF($A470="","",IF($D470="V01",cad!$C$33,IF($D470="V02",cad!$D$33,cad!$E$33)))</f>
        <v/>
      </c>
      <c r="K470" t="str">
        <f>IF($A470="","",IF($D470="V01",cad!$C$34,IF($D470="V02",cad!$D$34,cad!$E$34)))</f>
        <v/>
      </c>
      <c r="L470" t="str">
        <f>IF($A470="","",IF($D470="V01",cad!$C$35,IF($D470="V02",cad!$D$35,cad!$E$35)))</f>
        <v/>
      </c>
      <c r="M470" t="str">
        <f>IF($A470="","",IF($D470="V01",cad!$C$36,IF($D470="V02",cad!$D$36,cad!$E$36)))</f>
        <v/>
      </c>
      <c r="N470" t="str">
        <f t="shared" si="29"/>
        <v/>
      </c>
      <c r="O470" t="str">
        <f t="shared" si="30"/>
        <v/>
      </c>
      <c r="P470" t="str">
        <f>IF($A470="","",IF($E470=1,$F470*$O470,PNL!G470))</f>
        <v/>
      </c>
      <c r="T470" t="str">
        <f t="shared" si="31"/>
        <v/>
      </c>
    </row>
    <row r="471" spans="1:20" x14ac:dyDescent="0.45">
      <c r="A471" t="str">
        <f>IF(PNL!A471="","",PNL!A471)</f>
        <v/>
      </c>
      <c r="B471" t="str">
        <f>IF(PNL!B471="","",PNL!B471)</f>
        <v/>
      </c>
      <c r="C471" t="str">
        <f>IF(PNL!C471="","",PNL!C471)</f>
        <v/>
      </c>
      <c r="D471" t="str">
        <f>IF(PNL!D471="","",PNL!D471)</f>
        <v/>
      </c>
      <c r="E471" t="str">
        <f t="shared" si="28"/>
        <v/>
      </c>
      <c r="F471" t="str">
        <f>IF($A471="","",IF($E471=1,SUMIFS(Compta!$F$1:$F$675,Compta!$A$1:$A$675,$A471,Compta!$B$1:$B$675,$B471,Compta!$C$1:$C$675,"2026"),0))</f>
        <v/>
      </c>
      <c r="G471" t="str">
        <f>IF($A471="","",IF($D471="V01",cad!$C$23,IF($D471="V02",cad!$D$23,cad!$E$23)))</f>
        <v/>
      </c>
      <c r="H471" t="str">
        <f>IF($A471="","",IF($D471="V01",cad!$C$24,IF($D471="V02",cad!$D$24,cad!$E$24)))</f>
        <v/>
      </c>
      <c r="I471" t="str">
        <f>IF($A471="","",IF($D471="V01",cad!$C$32,IF($D471="V02",cad!$D$32,cad!$E$32)))</f>
        <v/>
      </c>
      <c r="J471" t="str">
        <f>IF($A471="","",IF($D471="V01",cad!$C$33,IF($D471="V02",cad!$D$33,cad!$E$33)))</f>
        <v/>
      </c>
      <c r="K471" t="str">
        <f>IF($A471="","",IF($D471="V01",cad!$C$34,IF($D471="V02",cad!$D$34,cad!$E$34)))</f>
        <v/>
      </c>
      <c r="L471" t="str">
        <f>IF($A471="","",IF($D471="V01",cad!$C$35,IF($D471="V02",cad!$D$35,cad!$E$35)))</f>
        <v/>
      </c>
      <c r="M471" t="str">
        <f>IF($A471="","",IF($D471="V01",cad!$C$36,IF($D471="V02",cad!$D$36,cad!$E$36)))</f>
        <v/>
      </c>
      <c r="N471" t="str">
        <f t="shared" si="29"/>
        <v/>
      </c>
      <c r="O471" t="str">
        <f t="shared" si="30"/>
        <v/>
      </c>
      <c r="P471" t="str">
        <f>IF($A471="","",IF($E471=1,$F471*$O471,PNL!G471))</f>
        <v/>
      </c>
      <c r="T471" t="str">
        <f t="shared" si="31"/>
        <v/>
      </c>
    </row>
    <row r="472" spans="1:20" x14ac:dyDescent="0.45">
      <c r="A472" t="str">
        <f>IF(PNL!A472="","",PNL!A472)</f>
        <v/>
      </c>
      <c r="B472" t="str">
        <f>IF(PNL!B472="","",PNL!B472)</f>
        <v/>
      </c>
      <c r="C472" t="str">
        <f>IF(PNL!C472="","",PNL!C472)</f>
        <v/>
      </c>
      <c r="D472" t="str">
        <f>IF(PNL!D472="","",PNL!D472)</f>
        <v/>
      </c>
      <c r="E472" t="str">
        <f t="shared" si="28"/>
        <v/>
      </c>
      <c r="F472" t="str">
        <f>IF($A472="","",IF($E472=1,SUMIFS(Compta!$F$1:$F$675,Compta!$A$1:$A$675,$A472,Compta!$B$1:$B$675,$B472,Compta!$C$1:$C$675,"2026"),0))</f>
        <v/>
      </c>
      <c r="G472" t="str">
        <f>IF($A472="","",IF($D472="V01",cad!$C$23,IF($D472="V02",cad!$D$23,cad!$E$23)))</f>
        <v/>
      </c>
      <c r="H472" t="str">
        <f>IF($A472="","",IF($D472="V01",cad!$C$24,IF($D472="V02",cad!$D$24,cad!$E$24)))</f>
        <v/>
      </c>
      <c r="I472" t="str">
        <f>IF($A472="","",IF($D472="V01",cad!$C$32,IF($D472="V02",cad!$D$32,cad!$E$32)))</f>
        <v/>
      </c>
      <c r="J472" t="str">
        <f>IF($A472="","",IF($D472="V01",cad!$C$33,IF($D472="V02",cad!$D$33,cad!$E$33)))</f>
        <v/>
      </c>
      <c r="K472" t="str">
        <f>IF($A472="","",IF($D472="V01",cad!$C$34,IF($D472="V02",cad!$D$34,cad!$E$34)))</f>
        <v/>
      </c>
      <c r="L472" t="str">
        <f>IF($A472="","",IF($D472="V01",cad!$C$35,IF($D472="V02",cad!$D$35,cad!$E$35)))</f>
        <v/>
      </c>
      <c r="M472" t="str">
        <f>IF($A472="","",IF($D472="V01",cad!$C$36,IF($D472="V02",cad!$D$36,cad!$E$36)))</f>
        <v/>
      </c>
      <c r="N472" t="str">
        <f t="shared" si="29"/>
        <v/>
      </c>
      <c r="O472" t="str">
        <f t="shared" si="30"/>
        <v/>
      </c>
      <c r="P472" t="str">
        <f>IF($A472="","",IF($E472=1,$F472*$O472,PNL!G472))</f>
        <v/>
      </c>
      <c r="T472" t="str">
        <f t="shared" si="31"/>
        <v/>
      </c>
    </row>
    <row r="473" spans="1:20" x14ac:dyDescent="0.45">
      <c r="A473" t="str">
        <f>IF(PNL!A473="","",PNL!A473)</f>
        <v/>
      </c>
      <c r="B473" t="str">
        <f>IF(PNL!B473="","",PNL!B473)</f>
        <v/>
      </c>
      <c r="C473" t="str">
        <f>IF(PNL!C473="","",PNL!C473)</f>
        <v/>
      </c>
      <c r="D473" t="str">
        <f>IF(PNL!D473="","",PNL!D473)</f>
        <v/>
      </c>
      <c r="E473" t="str">
        <f t="shared" si="28"/>
        <v/>
      </c>
      <c r="F473" t="str">
        <f>IF($A473="","",IF($E473=1,SUMIFS(Compta!$F$1:$F$675,Compta!$A$1:$A$675,$A473,Compta!$B$1:$B$675,$B473,Compta!$C$1:$C$675,"2026"),0))</f>
        <v/>
      </c>
      <c r="G473" t="str">
        <f>IF($A473="","",IF($D473="V01",cad!$C$23,IF($D473="V02",cad!$D$23,cad!$E$23)))</f>
        <v/>
      </c>
      <c r="H473" t="str">
        <f>IF($A473="","",IF($D473="V01",cad!$C$24,IF($D473="V02",cad!$D$24,cad!$E$24)))</f>
        <v/>
      </c>
      <c r="I473" t="str">
        <f>IF($A473="","",IF($D473="V01",cad!$C$32,IF($D473="V02",cad!$D$32,cad!$E$32)))</f>
        <v/>
      </c>
      <c r="J473" t="str">
        <f>IF($A473="","",IF($D473="V01",cad!$C$33,IF($D473="V02",cad!$D$33,cad!$E$33)))</f>
        <v/>
      </c>
      <c r="K473" t="str">
        <f>IF($A473="","",IF($D473="V01",cad!$C$34,IF($D473="V02",cad!$D$34,cad!$E$34)))</f>
        <v/>
      </c>
      <c r="L473" t="str">
        <f>IF($A473="","",IF($D473="V01",cad!$C$35,IF($D473="V02",cad!$D$35,cad!$E$35)))</f>
        <v/>
      </c>
      <c r="M473" t="str">
        <f>IF($A473="","",IF($D473="V01",cad!$C$36,IF($D473="V02",cad!$D$36,cad!$E$36)))</f>
        <v/>
      </c>
      <c r="N473" t="str">
        <f t="shared" si="29"/>
        <v/>
      </c>
      <c r="O473" t="str">
        <f t="shared" si="30"/>
        <v/>
      </c>
      <c r="P473" t="str">
        <f>IF($A473="","",IF($E473=1,$F473*$O473,PNL!G473))</f>
        <v/>
      </c>
      <c r="T473" t="str">
        <f t="shared" si="31"/>
        <v/>
      </c>
    </row>
    <row r="474" spans="1:20" x14ac:dyDescent="0.45">
      <c r="A474" t="str">
        <f>IF(PNL!A474="","",PNL!A474)</f>
        <v/>
      </c>
      <c r="B474" t="str">
        <f>IF(PNL!B474="","",PNL!B474)</f>
        <v/>
      </c>
      <c r="C474" t="str">
        <f>IF(PNL!C474="","",PNL!C474)</f>
        <v/>
      </c>
      <c r="D474" t="str">
        <f>IF(PNL!D474="","",PNL!D474)</f>
        <v/>
      </c>
      <c r="E474" t="str">
        <f t="shared" si="28"/>
        <v/>
      </c>
      <c r="F474" t="str">
        <f>IF($A474="","",IF($E474=1,SUMIFS(Compta!$F$1:$F$675,Compta!$A$1:$A$675,$A474,Compta!$B$1:$B$675,$B474,Compta!$C$1:$C$675,"2026"),0))</f>
        <v/>
      </c>
      <c r="G474" t="str">
        <f>IF($A474="","",IF($D474="V01",cad!$C$23,IF($D474="V02",cad!$D$23,cad!$E$23)))</f>
        <v/>
      </c>
      <c r="H474" t="str">
        <f>IF($A474="","",IF($D474="V01",cad!$C$24,IF($D474="V02",cad!$D$24,cad!$E$24)))</f>
        <v/>
      </c>
      <c r="I474" t="str">
        <f>IF($A474="","",IF($D474="V01",cad!$C$32,IF($D474="V02",cad!$D$32,cad!$E$32)))</f>
        <v/>
      </c>
      <c r="J474" t="str">
        <f>IF($A474="","",IF($D474="V01",cad!$C$33,IF($D474="V02",cad!$D$33,cad!$E$33)))</f>
        <v/>
      </c>
      <c r="K474" t="str">
        <f>IF($A474="","",IF($D474="V01",cad!$C$34,IF($D474="V02",cad!$D$34,cad!$E$34)))</f>
        <v/>
      </c>
      <c r="L474" t="str">
        <f>IF($A474="","",IF($D474="V01",cad!$C$35,IF($D474="V02",cad!$D$35,cad!$E$35)))</f>
        <v/>
      </c>
      <c r="M474" t="str">
        <f>IF($A474="","",IF($D474="V01",cad!$C$36,IF($D474="V02",cad!$D$36,cad!$E$36)))</f>
        <v/>
      </c>
      <c r="N474" t="str">
        <f t="shared" si="29"/>
        <v/>
      </c>
      <c r="O474" t="str">
        <f t="shared" si="30"/>
        <v/>
      </c>
      <c r="P474" t="str">
        <f>IF($A474="","",IF($E474=1,$F474*$O474,PNL!G474))</f>
        <v/>
      </c>
      <c r="T474" t="str">
        <f t="shared" si="31"/>
        <v/>
      </c>
    </row>
    <row r="475" spans="1:20" x14ac:dyDescent="0.45">
      <c r="A475" t="str">
        <f>IF(PNL!A475="","",PNL!A475)</f>
        <v/>
      </c>
      <c r="B475" t="str">
        <f>IF(PNL!B475="","",PNL!B475)</f>
        <v/>
      </c>
      <c r="C475" t="str">
        <f>IF(PNL!C475="","",PNL!C475)</f>
        <v/>
      </c>
      <c r="D475" t="str">
        <f>IF(PNL!D475="","",PNL!D475)</f>
        <v/>
      </c>
      <c r="E475" t="str">
        <f t="shared" si="28"/>
        <v/>
      </c>
      <c r="F475" t="str">
        <f>IF($A475="","",IF($E475=1,SUMIFS(Compta!$F$1:$F$675,Compta!$A$1:$A$675,$A475,Compta!$B$1:$B$675,$B475,Compta!$C$1:$C$675,"2026"),0))</f>
        <v/>
      </c>
      <c r="G475" t="str">
        <f>IF($A475="","",IF($D475="V01",cad!$C$23,IF($D475="V02",cad!$D$23,cad!$E$23)))</f>
        <v/>
      </c>
      <c r="H475" t="str">
        <f>IF($A475="","",IF($D475="V01",cad!$C$24,IF($D475="V02",cad!$D$24,cad!$E$24)))</f>
        <v/>
      </c>
      <c r="I475" t="str">
        <f>IF($A475="","",IF($D475="V01",cad!$C$32,IF($D475="V02",cad!$D$32,cad!$E$32)))</f>
        <v/>
      </c>
      <c r="J475" t="str">
        <f>IF($A475="","",IF($D475="V01",cad!$C$33,IF($D475="V02",cad!$D$33,cad!$E$33)))</f>
        <v/>
      </c>
      <c r="K475" t="str">
        <f>IF($A475="","",IF($D475="V01",cad!$C$34,IF($D475="V02",cad!$D$34,cad!$E$34)))</f>
        <v/>
      </c>
      <c r="L475" t="str">
        <f>IF($A475="","",IF($D475="V01",cad!$C$35,IF($D475="V02",cad!$D$35,cad!$E$35)))</f>
        <v/>
      </c>
      <c r="M475" t="str">
        <f>IF($A475="","",IF($D475="V01",cad!$C$36,IF($D475="V02",cad!$D$36,cad!$E$36)))</f>
        <v/>
      </c>
      <c r="N475" t="str">
        <f t="shared" si="29"/>
        <v/>
      </c>
      <c r="O475" t="str">
        <f t="shared" si="30"/>
        <v/>
      </c>
      <c r="P475" t="str">
        <f>IF($A475="","",IF($E475=1,$F475*$O475,PNL!G475))</f>
        <v/>
      </c>
      <c r="T475" t="str">
        <f t="shared" si="31"/>
        <v/>
      </c>
    </row>
    <row r="476" spans="1:20" x14ac:dyDescent="0.45">
      <c r="A476" t="str">
        <f>IF(PNL!A476="","",PNL!A476)</f>
        <v/>
      </c>
      <c r="B476" t="str">
        <f>IF(PNL!B476="","",PNL!B476)</f>
        <v/>
      </c>
      <c r="C476" t="str">
        <f>IF(PNL!C476="","",PNL!C476)</f>
        <v/>
      </c>
      <c r="D476" t="str">
        <f>IF(PNL!D476="","",PNL!D476)</f>
        <v/>
      </c>
      <c r="E476" t="str">
        <f t="shared" si="28"/>
        <v/>
      </c>
      <c r="F476" t="str">
        <f>IF($A476="","",IF($E476=1,SUMIFS(Compta!$F$1:$F$675,Compta!$A$1:$A$675,$A476,Compta!$B$1:$B$675,$B476,Compta!$C$1:$C$675,"2026"),0))</f>
        <v/>
      </c>
      <c r="G476" t="str">
        <f>IF($A476="","",IF($D476="V01",cad!$C$23,IF($D476="V02",cad!$D$23,cad!$E$23)))</f>
        <v/>
      </c>
      <c r="H476" t="str">
        <f>IF($A476="","",IF($D476="V01",cad!$C$24,IF($D476="V02",cad!$D$24,cad!$E$24)))</f>
        <v/>
      </c>
      <c r="I476" t="str">
        <f>IF($A476="","",IF($D476="V01",cad!$C$32,IF($D476="V02",cad!$D$32,cad!$E$32)))</f>
        <v/>
      </c>
      <c r="J476" t="str">
        <f>IF($A476="","",IF($D476="V01",cad!$C$33,IF($D476="V02",cad!$D$33,cad!$E$33)))</f>
        <v/>
      </c>
      <c r="K476" t="str">
        <f>IF($A476="","",IF($D476="V01",cad!$C$34,IF($D476="V02",cad!$D$34,cad!$E$34)))</f>
        <v/>
      </c>
      <c r="L476" t="str">
        <f>IF($A476="","",IF($D476="V01",cad!$C$35,IF($D476="V02",cad!$D$35,cad!$E$35)))</f>
        <v/>
      </c>
      <c r="M476" t="str">
        <f>IF($A476="","",IF($D476="V01",cad!$C$36,IF($D476="V02",cad!$D$36,cad!$E$36)))</f>
        <v/>
      </c>
      <c r="N476" t="str">
        <f t="shared" si="29"/>
        <v/>
      </c>
      <c r="O476" t="str">
        <f t="shared" si="30"/>
        <v/>
      </c>
      <c r="P476" t="str">
        <f>IF($A476="","",IF($E476=1,$F476*$O476,PNL!G476))</f>
        <v/>
      </c>
      <c r="T476" t="str">
        <f t="shared" si="31"/>
        <v/>
      </c>
    </row>
    <row r="477" spans="1:20" x14ac:dyDescent="0.45">
      <c r="A477" t="str">
        <f>IF(PNL!A477="","",PNL!A477)</f>
        <v/>
      </c>
      <c r="B477" t="str">
        <f>IF(PNL!B477="","",PNL!B477)</f>
        <v/>
      </c>
      <c r="C477" t="str">
        <f>IF(PNL!C477="","",PNL!C477)</f>
        <v/>
      </c>
      <c r="D477" t="str">
        <f>IF(PNL!D477="","",PNL!D477)</f>
        <v/>
      </c>
      <c r="E477" t="str">
        <f t="shared" si="28"/>
        <v/>
      </c>
      <c r="F477" t="str">
        <f>IF($A477="","",IF($E477=1,SUMIFS(Compta!$F$1:$F$675,Compta!$A$1:$A$675,$A477,Compta!$B$1:$B$675,$B477,Compta!$C$1:$C$675,"2026"),0))</f>
        <v/>
      </c>
      <c r="G477" t="str">
        <f>IF($A477="","",IF($D477="V01",cad!$C$23,IF($D477="V02",cad!$D$23,cad!$E$23)))</f>
        <v/>
      </c>
      <c r="H477" t="str">
        <f>IF($A477="","",IF($D477="V01",cad!$C$24,IF($D477="V02",cad!$D$24,cad!$E$24)))</f>
        <v/>
      </c>
      <c r="I477" t="str">
        <f>IF($A477="","",IF($D477="V01",cad!$C$32,IF($D477="V02",cad!$D$32,cad!$E$32)))</f>
        <v/>
      </c>
      <c r="J477" t="str">
        <f>IF($A477="","",IF($D477="V01",cad!$C$33,IF($D477="V02",cad!$D$33,cad!$E$33)))</f>
        <v/>
      </c>
      <c r="K477" t="str">
        <f>IF($A477="","",IF($D477="V01",cad!$C$34,IF($D477="V02",cad!$D$34,cad!$E$34)))</f>
        <v/>
      </c>
      <c r="L477" t="str">
        <f>IF($A477="","",IF($D477="V01",cad!$C$35,IF($D477="V02",cad!$D$35,cad!$E$35)))</f>
        <v/>
      </c>
      <c r="M477" t="str">
        <f>IF($A477="","",IF($D477="V01",cad!$C$36,IF($D477="V02",cad!$D$36,cad!$E$36)))</f>
        <v/>
      </c>
      <c r="N477" t="str">
        <f t="shared" si="29"/>
        <v/>
      </c>
      <c r="O477" t="str">
        <f t="shared" si="30"/>
        <v/>
      </c>
      <c r="P477" t="str">
        <f>IF($A477="","",IF($E477=1,$F477*$O477,PNL!G477))</f>
        <v/>
      </c>
      <c r="T477" t="str">
        <f t="shared" si="31"/>
        <v/>
      </c>
    </row>
    <row r="478" spans="1:20" x14ac:dyDescent="0.45">
      <c r="A478" t="str">
        <f>IF(PNL!A478="","",PNL!A478)</f>
        <v/>
      </c>
      <c r="B478" t="str">
        <f>IF(PNL!B478="","",PNL!B478)</f>
        <v/>
      </c>
      <c r="C478" t="str">
        <f>IF(PNL!C478="","",PNL!C478)</f>
        <v/>
      </c>
      <c r="D478" t="str">
        <f>IF(PNL!D478="","",PNL!D478)</f>
        <v/>
      </c>
      <c r="E478" t="str">
        <f t="shared" si="28"/>
        <v/>
      </c>
      <c r="F478" t="str">
        <f>IF($A478="","",IF($E478=1,SUMIFS(Compta!$F$1:$F$675,Compta!$A$1:$A$675,$A478,Compta!$B$1:$B$675,$B478,Compta!$C$1:$C$675,"2026"),0))</f>
        <v/>
      </c>
      <c r="G478" t="str">
        <f>IF($A478="","",IF($D478="V01",cad!$C$23,IF($D478="V02",cad!$D$23,cad!$E$23)))</f>
        <v/>
      </c>
      <c r="H478" t="str">
        <f>IF($A478="","",IF($D478="V01",cad!$C$24,IF($D478="V02",cad!$D$24,cad!$E$24)))</f>
        <v/>
      </c>
      <c r="I478" t="str">
        <f>IF($A478="","",IF($D478="V01",cad!$C$32,IF($D478="V02",cad!$D$32,cad!$E$32)))</f>
        <v/>
      </c>
      <c r="J478" t="str">
        <f>IF($A478="","",IF($D478="V01",cad!$C$33,IF($D478="V02",cad!$D$33,cad!$E$33)))</f>
        <v/>
      </c>
      <c r="K478" t="str">
        <f>IF($A478="","",IF($D478="V01",cad!$C$34,IF($D478="V02",cad!$D$34,cad!$E$34)))</f>
        <v/>
      </c>
      <c r="L478" t="str">
        <f>IF($A478="","",IF($D478="V01",cad!$C$35,IF($D478="V02",cad!$D$35,cad!$E$35)))</f>
        <v/>
      </c>
      <c r="M478" t="str">
        <f>IF($A478="","",IF($D478="V01",cad!$C$36,IF($D478="V02",cad!$D$36,cad!$E$36)))</f>
        <v/>
      </c>
      <c r="N478" t="str">
        <f t="shared" si="29"/>
        <v/>
      </c>
      <c r="O478" t="str">
        <f t="shared" si="30"/>
        <v/>
      </c>
      <c r="P478" t="str">
        <f>IF($A478="","",IF($E478=1,$F478*$O478,PNL!G478))</f>
        <v/>
      </c>
      <c r="T478" t="str">
        <f t="shared" si="31"/>
        <v/>
      </c>
    </row>
    <row r="479" spans="1:20" x14ac:dyDescent="0.45">
      <c r="A479" t="str">
        <f>IF(PNL!A479="","",PNL!A479)</f>
        <v/>
      </c>
      <c r="B479" t="str">
        <f>IF(PNL!B479="","",PNL!B479)</f>
        <v/>
      </c>
      <c r="C479" t="str">
        <f>IF(PNL!C479="","",PNL!C479)</f>
        <v/>
      </c>
      <c r="D479" t="str">
        <f>IF(PNL!D479="","",PNL!D479)</f>
        <v/>
      </c>
      <c r="E479" t="str">
        <f t="shared" si="28"/>
        <v/>
      </c>
      <c r="F479" t="str">
        <f>IF($A479="","",IF($E479=1,SUMIFS(Compta!$F$1:$F$675,Compta!$A$1:$A$675,$A479,Compta!$B$1:$B$675,$B479,Compta!$C$1:$C$675,"2026"),0))</f>
        <v/>
      </c>
      <c r="G479" t="str">
        <f>IF($A479="","",IF($D479="V01",cad!$C$23,IF($D479="V02",cad!$D$23,cad!$E$23)))</f>
        <v/>
      </c>
      <c r="H479" t="str">
        <f>IF($A479="","",IF($D479="V01",cad!$C$24,IF($D479="V02",cad!$D$24,cad!$E$24)))</f>
        <v/>
      </c>
      <c r="I479" t="str">
        <f>IF($A479="","",IF($D479="V01",cad!$C$32,IF($D479="V02",cad!$D$32,cad!$E$32)))</f>
        <v/>
      </c>
      <c r="J479" t="str">
        <f>IF($A479="","",IF($D479="V01",cad!$C$33,IF($D479="V02",cad!$D$33,cad!$E$33)))</f>
        <v/>
      </c>
      <c r="K479" t="str">
        <f>IF($A479="","",IF($D479="V01",cad!$C$34,IF($D479="V02",cad!$D$34,cad!$E$34)))</f>
        <v/>
      </c>
      <c r="L479" t="str">
        <f>IF($A479="","",IF($D479="V01",cad!$C$35,IF($D479="V02",cad!$D$35,cad!$E$35)))</f>
        <v/>
      </c>
      <c r="M479" t="str">
        <f>IF($A479="","",IF($D479="V01",cad!$C$36,IF($D479="V02",cad!$D$36,cad!$E$36)))</f>
        <v/>
      </c>
      <c r="N479" t="str">
        <f t="shared" si="29"/>
        <v/>
      </c>
      <c r="O479" t="str">
        <f t="shared" si="30"/>
        <v/>
      </c>
      <c r="P479" t="str">
        <f>IF($A479="","",IF($E479=1,$F479*$O479,PNL!G479))</f>
        <v/>
      </c>
      <c r="T479" t="str">
        <f t="shared" si="31"/>
        <v/>
      </c>
    </row>
    <row r="480" spans="1:20" x14ac:dyDescent="0.45">
      <c r="A480" t="str">
        <f>IF(PNL!A480="","",PNL!A480)</f>
        <v/>
      </c>
      <c r="B480" t="str">
        <f>IF(PNL!B480="","",PNL!B480)</f>
        <v/>
      </c>
      <c r="C480" t="str">
        <f>IF(PNL!C480="","",PNL!C480)</f>
        <v/>
      </c>
      <c r="D480" t="str">
        <f>IF(PNL!D480="","",PNL!D480)</f>
        <v/>
      </c>
      <c r="E480" t="str">
        <f t="shared" si="28"/>
        <v/>
      </c>
      <c r="F480" t="str">
        <f>IF($A480="","",IF($E480=1,SUMIFS(Compta!$F$1:$F$675,Compta!$A$1:$A$675,$A480,Compta!$B$1:$B$675,$B480,Compta!$C$1:$C$675,"2026"),0))</f>
        <v/>
      </c>
      <c r="G480" t="str">
        <f>IF($A480="","",IF($D480="V01",cad!$C$23,IF($D480="V02",cad!$D$23,cad!$E$23)))</f>
        <v/>
      </c>
      <c r="H480" t="str">
        <f>IF($A480="","",IF($D480="V01",cad!$C$24,IF($D480="V02",cad!$D$24,cad!$E$24)))</f>
        <v/>
      </c>
      <c r="I480" t="str">
        <f>IF($A480="","",IF($D480="V01",cad!$C$32,IF($D480="V02",cad!$D$32,cad!$E$32)))</f>
        <v/>
      </c>
      <c r="J480" t="str">
        <f>IF($A480="","",IF($D480="V01",cad!$C$33,IF($D480="V02",cad!$D$33,cad!$E$33)))</f>
        <v/>
      </c>
      <c r="K480" t="str">
        <f>IF($A480="","",IF($D480="V01",cad!$C$34,IF($D480="V02",cad!$D$34,cad!$E$34)))</f>
        <v/>
      </c>
      <c r="L480" t="str">
        <f>IF($A480="","",IF($D480="V01",cad!$C$35,IF($D480="V02",cad!$D$35,cad!$E$35)))</f>
        <v/>
      </c>
      <c r="M480" t="str">
        <f>IF($A480="","",IF($D480="V01",cad!$C$36,IF($D480="V02",cad!$D$36,cad!$E$36)))</f>
        <v/>
      </c>
      <c r="N480" t="str">
        <f t="shared" si="29"/>
        <v/>
      </c>
      <c r="O480" t="str">
        <f t="shared" si="30"/>
        <v/>
      </c>
      <c r="P480" t="str">
        <f>IF($A480="","",IF($E480=1,$F480*$O480,PNL!G480))</f>
        <v/>
      </c>
      <c r="T480" t="str">
        <f t="shared" si="31"/>
        <v/>
      </c>
    </row>
    <row r="481" spans="1:20" x14ac:dyDescent="0.45">
      <c r="A481" t="str">
        <f>IF(PNL!A481="","",PNL!A481)</f>
        <v/>
      </c>
      <c r="B481" t="str">
        <f>IF(PNL!B481="","",PNL!B481)</f>
        <v/>
      </c>
      <c r="C481" t="str">
        <f>IF(PNL!C481="","",PNL!C481)</f>
        <v/>
      </c>
      <c r="D481" t="str">
        <f>IF(PNL!D481="","",PNL!D481)</f>
        <v/>
      </c>
      <c r="E481" t="str">
        <f t="shared" si="28"/>
        <v/>
      </c>
      <c r="F481" t="str">
        <f>IF($A481="","",IF($E481=1,SUMIFS(Compta!$F$1:$F$675,Compta!$A$1:$A$675,$A481,Compta!$B$1:$B$675,$B481,Compta!$C$1:$C$675,"2026"),0))</f>
        <v/>
      </c>
      <c r="G481" t="str">
        <f>IF($A481="","",IF($D481="V01",cad!$C$23,IF($D481="V02",cad!$D$23,cad!$E$23)))</f>
        <v/>
      </c>
      <c r="H481" t="str">
        <f>IF($A481="","",IF($D481="V01",cad!$C$24,IF($D481="V02",cad!$D$24,cad!$E$24)))</f>
        <v/>
      </c>
      <c r="I481" t="str">
        <f>IF($A481="","",IF($D481="V01",cad!$C$32,IF($D481="V02",cad!$D$32,cad!$E$32)))</f>
        <v/>
      </c>
      <c r="J481" t="str">
        <f>IF($A481="","",IF($D481="V01",cad!$C$33,IF($D481="V02",cad!$D$33,cad!$E$33)))</f>
        <v/>
      </c>
      <c r="K481" t="str">
        <f>IF($A481="","",IF($D481="V01",cad!$C$34,IF($D481="V02",cad!$D$34,cad!$E$34)))</f>
        <v/>
      </c>
      <c r="L481" t="str">
        <f>IF($A481="","",IF($D481="V01",cad!$C$35,IF($D481="V02",cad!$D$35,cad!$E$35)))</f>
        <v/>
      </c>
      <c r="M481" t="str">
        <f>IF($A481="","",IF($D481="V01",cad!$C$36,IF($D481="V02",cad!$D$36,cad!$E$36)))</f>
        <v/>
      </c>
      <c r="N481" t="str">
        <f t="shared" si="29"/>
        <v/>
      </c>
      <c r="O481" t="str">
        <f t="shared" si="30"/>
        <v/>
      </c>
      <c r="P481" t="str">
        <f>IF($A481="","",IF($E481=1,$F481*$O481,PNL!G481))</f>
        <v/>
      </c>
      <c r="T481" t="str">
        <f t="shared" si="31"/>
        <v/>
      </c>
    </row>
    <row r="482" spans="1:20" x14ac:dyDescent="0.45">
      <c r="A482" t="str">
        <f>IF(PNL!A482="","",PNL!A482)</f>
        <v/>
      </c>
      <c r="B482" t="str">
        <f>IF(PNL!B482="","",PNL!B482)</f>
        <v/>
      </c>
      <c r="C482" t="str">
        <f>IF(PNL!C482="","",PNL!C482)</f>
        <v/>
      </c>
      <c r="D482" t="str">
        <f>IF(PNL!D482="","",PNL!D482)</f>
        <v/>
      </c>
      <c r="E482" t="str">
        <f t="shared" si="28"/>
        <v/>
      </c>
      <c r="F482" t="str">
        <f>IF($A482="","",IF($E482=1,SUMIFS(Compta!$F$1:$F$675,Compta!$A$1:$A$675,$A482,Compta!$B$1:$B$675,$B482,Compta!$C$1:$C$675,"2026"),0))</f>
        <v/>
      </c>
      <c r="G482" t="str">
        <f>IF($A482="","",IF($D482="V01",cad!$C$23,IF($D482="V02",cad!$D$23,cad!$E$23)))</f>
        <v/>
      </c>
      <c r="H482" t="str">
        <f>IF($A482="","",IF($D482="V01",cad!$C$24,IF($D482="V02",cad!$D$24,cad!$E$24)))</f>
        <v/>
      </c>
      <c r="I482" t="str">
        <f>IF($A482="","",IF($D482="V01",cad!$C$32,IF($D482="V02",cad!$D$32,cad!$E$32)))</f>
        <v/>
      </c>
      <c r="J482" t="str">
        <f>IF($A482="","",IF($D482="V01",cad!$C$33,IF($D482="V02",cad!$D$33,cad!$E$33)))</f>
        <v/>
      </c>
      <c r="K482" t="str">
        <f>IF($A482="","",IF($D482="V01",cad!$C$34,IF($D482="V02",cad!$D$34,cad!$E$34)))</f>
        <v/>
      </c>
      <c r="L482" t="str">
        <f>IF($A482="","",IF($D482="V01",cad!$C$35,IF($D482="V02",cad!$D$35,cad!$E$35)))</f>
        <v/>
      </c>
      <c r="M482" t="str">
        <f>IF($A482="","",IF($D482="V01",cad!$C$36,IF($D482="V02",cad!$D$36,cad!$E$36)))</f>
        <v/>
      </c>
      <c r="N482" t="str">
        <f t="shared" si="29"/>
        <v/>
      </c>
      <c r="O482" t="str">
        <f t="shared" si="30"/>
        <v/>
      </c>
      <c r="P482" t="str">
        <f>IF($A482="","",IF($E482=1,$F482*$O482,PNL!G482))</f>
        <v/>
      </c>
      <c r="T482" t="str">
        <f t="shared" si="31"/>
        <v/>
      </c>
    </row>
    <row r="483" spans="1:20" x14ac:dyDescent="0.45">
      <c r="A483" t="str">
        <f>IF(PNL!A483="","",PNL!A483)</f>
        <v/>
      </c>
      <c r="B483" t="str">
        <f>IF(PNL!B483="","",PNL!B483)</f>
        <v/>
      </c>
      <c r="C483" t="str">
        <f>IF(PNL!C483="","",PNL!C483)</f>
        <v/>
      </c>
      <c r="D483" t="str">
        <f>IF(PNL!D483="","",PNL!D483)</f>
        <v/>
      </c>
      <c r="E483" t="str">
        <f t="shared" si="28"/>
        <v/>
      </c>
      <c r="F483" t="str">
        <f>IF($A483="","",IF($E483=1,SUMIFS(Compta!$F$1:$F$675,Compta!$A$1:$A$675,$A483,Compta!$B$1:$B$675,$B483,Compta!$C$1:$C$675,"2026"),0))</f>
        <v/>
      </c>
      <c r="G483" t="str">
        <f>IF($A483="","",IF($D483="V01",cad!$C$23,IF($D483="V02",cad!$D$23,cad!$E$23)))</f>
        <v/>
      </c>
      <c r="H483" t="str">
        <f>IF($A483="","",IF($D483="V01",cad!$C$24,IF($D483="V02",cad!$D$24,cad!$E$24)))</f>
        <v/>
      </c>
      <c r="I483" t="str">
        <f>IF($A483="","",IF($D483="V01",cad!$C$32,IF($D483="V02",cad!$D$32,cad!$E$32)))</f>
        <v/>
      </c>
      <c r="J483" t="str">
        <f>IF($A483="","",IF($D483="V01",cad!$C$33,IF($D483="V02",cad!$D$33,cad!$E$33)))</f>
        <v/>
      </c>
      <c r="K483" t="str">
        <f>IF($A483="","",IF($D483="V01",cad!$C$34,IF($D483="V02",cad!$D$34,cad!$E$34)))</f>
        <v/>
      </c>
      <c r="L483" t="str">
        <f>IF($A483="","",IF($D483="V01",cad!$C$35,IF($D483="V02",cad!$D$35,cad!$E$35)))</f>
        <v/>
      </c>
      <c r="M483" t="str">
        <f>IF($A483="","",IF($D483="V01",cad!$C$36,IF($D483="V02",cad!$D$36,cad!$E$36)))</f>
        <v/>
      </c>
      <c r="N483" t="str">
        <f t="shared" si="29"/>
        <v/>
      </c>
      <c r="O483" t="str">
        <f t="shared" si="30"/>
        <v/>
      </c>
      <c r="P483" t="str">
        <f>IF($A483="","",IF($E483=1,$F483*$O483,PNL!G483))</f>
        <v/>
      </c>
      <c r="T483" t="str">
        <f t="shared" si="31"/>
        <v/>
      </c>
    </row>
    <row r="484" spans="1:20" x14ac:dyDescent="0.45">
      <c r="A484" t="str">
        <f>IF(PNL!A484="","",PNL!A484)</f>
        <v/>
      </c>
      <c r="B484" t="str">
        <f>IF(PNL!B484="","",PNL!B484)</f>
        <v/>
      </c>
      <c r="C484" t="str">
        <f>IF(PNL!C484="","",PNL!C484)</f>
        <v/>
      </c>
      <c r="D484" t="str">
        <f>IF(PNL!D484="","",PNL!D484)</f>
        <v/>
      </c>
      <c r="E484" t="str">
        <f t="shared" si="28"/>
        <v/>
      </c>
      <c r="F484" t="str">
        <f>IF($A484="","",IF($E484=1,SUMIFS(Compta!$F$1:$F$675,Compta!$A$1:$A$675,$A484,Compta!$B$1:$B$675,$B484,Compta!$C$1:$C$675,"2026"),0))</f>
        <v/>
      </c>
      <c r="G484" t="str">
        <f>IF($A484="","",IF($D484="V01",cad!$C$23,IF($D484="V02",cad!$D$23,cad!$E$23)))</f>
        <v/>
      </c>
      <c r="H484" t="str">
        <f>IF($A484="","",IF($D484="V01",cad!$C$24,IF($D484="V02",cad!$D$24,cad!$E$24)))</f>
        <v/>
      </c>
      <c r="I484" t="str">
        <f>IF($A484="","",IF($D484="V01",cad!$C$32,IF($D484="V02",cad!$D$32,cad!$E$32)))</f>
        <v/>
      </c>
      <c r="J484" t="str">
        <f>IF($A484="","",IF($D484="V01",cad!$C$33,IF($D484="V02",cad!$D$33,cad!$E$33)))</f>
        <v/>
      </c>
      <c r="K484" t="str">
        <f>IF($A484="","",IF($D484="V01",cad!$C$34,IF($D484="V02",cad!$D$34,cad!$E$34)))</f>
        <v/>
      </c>
      <c r="L484" t="str">
        <f>IF($A484="","",IF($D484="V01",cad!$C$35,IF($D484="V02",cad!$D$35,cad!$E$35)))</f>
        <v/>
      </c>
      <c r="M484" t="str">
        <f>IF($A484="","",IF($D484="V01",cad!$C$36,IF($D484="V02",cad!$D$36,cad!$E$36)))</f>
        <v/>
      </c>
      <c r="N484" t="str">
        <f t="shared" si="29"/>
        <v/>
      </c>
      <c r="O484" t="str">
        <f t="shared" si="30"/>
        <v/>
      </c>
      <c r="P484" t="str">
        <f>IF($A484="","",IF($E484=1,$F484*$O484,PNL!G484))</f>
        <v/>
      </c>
      <c r="T484" t="str">
        <f t="shared" si="31"/>
        <v/>
      </c>
    </row>
    <row r="485" spans="1:20" x14ac:dyDescent="0.45">
      <c r="A485" t="str">
        <f>IF(PNL!A485="","",PNL!A485)</f>
        <v/>
      </c>
      <c r="B485" t="str">
        <f>IF(PNL!B485="","",PNL!B485)</f>
        <v/>
      </c>
      <c r="C485" t="str">
        <f>IF(PNL!C485="","",PNL!C485)</f>
        <v/>
      </c>
      <c r="D485" t="str">
        <f>IF(PNL!D485="","",PNL!D485)</f>
        <v/>
      </c>
      <c r="E485" t="str">
        <f t="shared" si="28"/>
        <v/>
      </c>
      <c r="F485" t="str">
        <f>IF($A485="","",IF($E485=1,SUMIFS(Compta!$F$1:$F$675,Compta!$A$1:$A$675,$A485,Compta!$B$1:$B$675,$B485,Compta!$C$1:$C$675,"2026"),0))</f>
        <v/>
      </c>
      <c r="G485" t="str">
        <f>IF($A485="","",IF($D485="V01",cad!$C$23,IF($D485="V02",cad!$D$23,cad!$E$23)))</f>
        <v/>
      </c>
      <c r="H485" t="str">
        <f>IF($A485="","",IF($D485="V01",cad!$C$24,IF($D485="V02",cad!$D$24,cad!$E$24)))</f>
        <v/>
      </c>
      <c r="I485" t="str">
        <f>IF($A485="","",IF($D485="V01",cad!$C$32,IF($D485="V02",cad!$D$32,cad!$E$32)))</f>
        <v/>
      </c>
      <c r="J485" t="str">
        <f>IF($A485="","",IF($D485="V01",cad!$C$33,IF($D485="V02",cad!$D$33,cad!$E$33)))</f>
        <v/>
      </c>
      <c r="K485" t="str">
        <f>IF($A485="","",IF($D485="V01",cad!$C$34,IF($D485="V02",cad!$D$34,cad!$E$34)))</f>
        <v/>
      </c>
      <c r="L485" t="str">
        <f>IF($A485="","",IF($D485="V01",cad!$C$35,IF($D485="V02",cad!$D$35,cad!$E$35)))</f>
        <v/>
      </c>
      <c r="M485" t="str">
        <f>IF($A485="","",IF($D485="V01",cad!$C$36,IF($D485="V02",cad!$D$36,cad!$E$36)))</f>
        <v/>
      </c>
      <c r="N485" t="str">
        <f t="shared" si="29"/>
        <v/>
      </c>
      <c r="O485" t="str">
        <f t="shared" si="30"/>
        <v/>
      </c>
      <c r="P485" t="str">
        <f>IF($A485="","",IF($E485=1,$F485*$O485,PNL!G485))</f>
        <v/>
      </c>
      <c r="T485" t="str">
        <f t="shared" si="31"/>
        <v/>
      </c>
    </row>
    <row r="486" spans="1:20" x14ac:dyDescent="0.45">
      <c r="A486" t="str">
        <f>IF(PNL!A486="","",PNL!A486)</f>
        <v/>
      </c>
      <c r="B486" t="str">
        <f>IF(PNL!B486="","",PNL!B486)</f>
        <v/>
      </c>
      <c r="C486" t="str">
        <f>IF(PNL!C486="","",PNL!C486)</f>
        <v/>
      </c>
      <c r="D486" t="str">
        <f>IF(PNL!D486="","",PNL!D486)</f>
        <v/>
      </c>
      <c r="E486" t="str">
        <f t="shared" si="28"/>
        <v/>
      </c>
      <c r="F486" t="str">
        <f>IF($A486="","",IF($E486=1,SUMIFS(Compta!$F$1:$F$675,Compta!$A$1:$A$675,$A486,Compta!$B$1:$B$675,$B486,Compta!$C$1:$C$675,"2026"),0))</f>
        <v/>
      </c>
      <c r="G486" t="str">
        <f>IF($A486="","",IF($D486="V01",cad!$C$23,IF($D486="V02",cad!$D$23,cad!$E$23)))</f>
        <v/>
      </c>
      <c r="H486" t="str">
        <f>IF($A486="","",IF($D486="V01",cad!$C$24,IF($D486="V02",cad!$D$24,cad!$E$24)))</f>
        <v/>
      </c>
      <c r="I486" t="str">
        <f>IF($A486="","",IF($D486="V01",cad!$C$32,IF($D486="V02",cad!$D$32,cad!$E$32)))</f>
        <v/>
      </c>
      <c r="J486" t="str">
        <f>IF($A486="","",IF($D486="V01",cad!$C$33,IF($D486="V02",cad!$D$33,cad!$E$33)))</f>
        <v/>
      </c>
      <c r="K486" t="str">
        <f>IF($A486="","",IF($D486="V01",cad!$C$34,IF($D486="V02",cad!$D$34,cad!$E$34)))</f>
        <v/>
      </c>
      <c r="L486" t="str">
        <f>IF($A486="","",IF($D486="V01",cad!$C$35,IF($D486="V02",cad!$D$35,cad!$E$35)))</f>
        <v/>
      </c>
      <c r="M486" t="str">
        <f>IF($A486="","",IF($D486="V01",cad!$C$36,IF($D486="V02",cad!$D$36,cad!$E$36)))</f>
        <v/>
      </c>
      <c r="N486" t="str">
        <f t="shared" si="29"/>
        <v/>
      </c>
      <c r="O486" t="str">
        <f t="shared" si="30"/>
        <v/>
      </c>
      <c r="P486" t="str">
        <f>IF($A486="","",IF($E486=1,$F486*$O486,PNL!G486))</f>
        <v/>
      </c>
      <c r="T486" t="str">
        <f t="shared" si="31"/>
        <v/>
      </c>
    </row>
    <row r="487" spans="1:20" x14ac:dyDescent="0.45">
      <c r="A487" t="str">
        <f>IF(PNL!A487="","",PNL!A487)</f>
        <v/>
      </c>
      <c r="B487" t="str">
        <f>IF(PNL!B487="","",PNL!B487)</f>
        <v/>
      </c>
      <c r="C487" t="str">
        <f>IF(PNL!C487="","",PNL!C487)</f>
        <v/>
      </c>
      <c r="D487" t="str">
        <f>IF(PNL!D487="","",PNL!D487)</f>
        <v/>
      </c>
      <c r="E487" t="str">
        <f t="shared" si="28"/>
        <v/>
      </c>
      <c r="F487" t="str">
        <f>IF($A487="","",IF($E487=1,SUMIFS(Compta!$F$1:$F$675,Compta!$A$1:$A$675,$A487,Compta!$B$1:$B$675,$B487,Compta!$C$1:$C$675,"2026"),0))</f>
        <v/>
      </c>
      <c r="G487" t="str">
        <f>IF($A487="","",IF($D487="V01",cad!$C$23,IF($D487="V02",cad!$D$23,cad!$E$23)))</f>
        <v/>
      </c>
      <c r="H487" t="str">
        <f>IF($A487="","",IF($D487="V01",cad!$C$24,IF($D487="V02",cad!$D$24,cad!$E$24)))</f>
        <v/>
      </c>
      <c r="I487" t="str">
        <f>IF($A487="","",IF($D487="V01",cad!$C$32,IF($D487="V02",cad!$D$32,cad!$E$32)))</f>
        <v/>
      </c>
      <c r="J487" t="str">
        <f>IF($A487="","",IF($D487="V01",cad!$C$33,IF($D487="V02",cad!$D$33,cad!$E$33)))</f>
        <v/>
      </c>
      <c r="K487" t="str">
        <f>IF($A487="","",IF($D487="V01",cad!$C$34,IF($D487="V02",cad!$D$34,cad!$E$34)))</f>
        <v/>
      </c>
      <c r="L487" t="str">
        <f>IF($A487="","",IF($D487="V01",cad!$C$35,IF($D487="V02",cad!$D$35,cad!$E$35)))</f>
        <v/>
      </c>
      <c r="M487" t="str">
        <f>IF($A487="","",IF($D487="V01",cad!$C$36,IF($D487="V02",cad!$D$36,cad!$E$36)))</f>
        <v/>
      </c>
      <c r="N487" t="str">
        <f t="shared" si="29"/>
        <v/>
      </c>
      <c r="O487" t="str">
        <f t="shared" si="30"/>
        <v/>
      </c>
      <c r="P487" t="str">
        <f>IF($A487="","",IF($E487=1,$F487*$O487,PNL!G487))</f>
        <v/>
      </c>
      <c r="T487" t="str">
        <f t="shared" si="31"/>
        <v/>
      </c>
    </row>
    <row r="488" spans="1:20" x14ac:dyDescent="0.45">
      <c r="A488" t="str">
        <f>IF(PNL!A488="","",PNL!A488)</f>
        <v/>
      </c>
      <c r="B488" t="str">
        <f>IF(PNL!B488="","",PNL!B488)</f>
        <v/>
      </c>
      <c r="C488" t="str">
        <f>IF(PNL!C488="","",PNL!C488)</f>
        <v/>
      </c>
      <c r="D488" t="str">
        <f>IF(PNL!D488="","",PNL!D488)</f>
        <v/>
      </c>
      <c r="E488" t="str">
        <f t="shared" si="28"/>
        <v/>
      </c>
      <c r="F488" t="str">
        <f>IF($A488="","",IF($E488=1,SUMIFS(Compta!$F$1:$F$675,Compta!$A$1:$A$675,$A488,Compta!$B$1:$B$675,$B488,Compta!$C$1:$C$675,"2026"),0))</f>
        <v/>
      </c>
      <c r="G488" t="str">
        <f>IF($A488="","",IF($D488="V01",cad!$C$23,IF($D488="V02",cad!$D$23,cad!$E$23)))</f>
        <v/>
      </c>
      <c r="H488" t="str">
        <f>IF($A488="","",IF($D488="V01",cad!$C$24,IF($D488="V02",cad!$D$24,cad!$E$24)))</f>
        <v/>
      </c>
      <c r="I488" t="str">
        <f>IF($A488="","",IF($D488="V01",cad!$C$32,IF($D488="V02",cad!$D$32,cad!$E$32)))</f>
        <v/>
      </c>
      <c r="J488" t="str">
        <f>IF($A488="","",IF($D488="V01",cad!$C$33,IF($D488="V02",cad!$D$33,cad!$E$33)))</f>
        <v/>
      </c>
      <c r="K488" t="str">
        <f>IF($A488="","",IF($D488="V01",cad!$C$34,IF($D488="V02",cad!$D$34,cad!$E$34)))</f>
        <v/>
      </c>
      <c r="L488" t="str">
        <f>IF($A488="","",IF($D488="V01",cad!$C$35,IF($D488="V02",cad!$D$35,cad!$E$35)))</f>
        <v/>
      </c>
      <c r="M488" t="str">
        <f>IF($A488="","",IF($D488="V01",cad!$C$36,IF($D488="V02",cad!$D$36,cad!$E$36)))</f>
        <v/>
      </c>
      <c r="N488" t="str">
        <f t="shared" si="29"/>
        <v/>
      </c>
      <c r="O488" t="str">
        <f t="shared" si="30"/>
        <v/>
      </c>
      <c r="P488" t="str">
        <f>IF($A488="","",IF($E488=1,$F488*$O488,PNL!G488))</f>
        <v/>
      </c>
      <c r="T488" t="str">
        <f t="shared" si="31"/>
        <v/>
      </c>
    </row>
    <row r="489" spans="1:20" x14ac:dyDescent="0.45">
      <c r="A489" t="str">
        <f>IF(PNL!A489="","",PNL!A489)</f>
        <v/>
      </c>
      <c r="B489" t="str">
        <f>IF(PNL!B489="","",PNL!B489)</f>
        <v/>
      </c>
      <c r="C489" t="str">
        <f>IF(PNL!C489="","",PNL!C489)</f>
        <v/>
      </c>
      <c r="D489" t="str">
        <f>IF(PNL!D489="","",PNL!D489)</f>
        <v/>
      </c>
      <c r="E489" t="str">
        <f t="shared" si="28"/>
        <v/>
      </c>
      <c r="F489" t="str">
        <f>IF($A489="","",IF($E489=1,SUMIFS(Compta!$F$1:$F$675,Compta!$A$1:$A$675,$A489,Compta!$B$1:$B$675,$B489,Compta!$C$1:$C$675,"2026"),0))</f>
        <v/>
      </c>
      <c r="G489" t="str">
        <f>IF($A489="","",IF($D489="V01",cad!$C$23,IF($D489="V02",cad!$D$23,cad!$E$23)))</f>
        <v/>
      </c>
      <c r="H489" t="str">
        <f>IF($A489="","",IF($D489="V01",cad!$C$24,IF($D489="V02",cad!$D$24,cad!$E$24)))</f>
        <v/>
      </c>
      <c r="I489" t="str">
        <f>IF($A489="","",IF($D489="V01",cad!$C$32,IF($D489="V02",cad!$D$32,cad!$E$32)))</f>
        <v/>
      </c>
      <c r="J489" t="str">
        <f>IF($A489="","",IF($D489="V01",cad!$C$33,IF($D489="V02",cad!$D$33,cad!$E$33)))</f>
        <v/>
      </c>
      <c r="K489" t="str">
        <f>IF($A489="","",IF($D489="V01",cad!$C$34,IF($D489="V02",cad!$D$34,cad!$E$34)))</f>
        <v/>
      </c>
      <c r="L489" t="str">
        <f>IF($A489="","",IF($D489="V01",cad!$C$35,IF($D489="V02",cad!$D$35,cad!$E$35)))</f>
        <v/>
      </c>
      <c r="M489" t="str">
        <f>IF($A489="","",IF($D489="V01",cad!$C$36,IF($D489="V02",cad!$D$36,cad!$E$36)))</f>
        <v/>
      </c>
      <c r="N489" t="str">
        <f t="shared" si="29"/>
        <v/>
      </c>
      <c r="O489" t="str">
        <f t="shared" si="30"/>
        <v/>
      </c>
      <c r="P489" t="str">
        <f>IF($A489="","",IF($E489=1,$F489*$O489,PNL!G489))</f>
        <v/>
      </c>
      <c r="T489" t="str">
        <f t="shared" si="31"/>
        <v/>
      </c>
    </row>
    <row r="490" spans="1:20" x14ac:dyDescent="0.45">
      <c r="A490" t="str">
        <f>IF(PNL!A490="","",PNL!A490)</f>
        <v/>
      </c>
      <c r="B490" t="str">
        <f>IF(PNL!B490="","",PNL!B490)</f>
        <v/>
      </c>
      <c r="C490" t="str">
        <f>IF(PNL!C490="","",PNL!C490)</f>
        <v/>
      </c>
      <c r="D490" t="str">
        <f>IF(PNL!D490="","",PNL!D490)</f>
        <v/>
      </c>
      <c r="E490" t="str">
        <f t="shared" si="28"/>
        <v/>
      </c>
      <c r="F490" t="str">
        <f>IF($A490="","",IF($E490=1,SUMIFS(Compta!$F$1:$F$675,Compta!$A$1:$A$675,$A490,Compta!$B$1:$B$675,$B490,Compta!$C$1:$C$675,"2026"),0))</f>
        <v/>
      </c>
      <c r="G490" t="str">
        <f>IF($A490="","",IF($D490="V01",cad!$C$23,IF($D490="V02",cad!$D$23,cad!$E$23)))</f>
        <v/>
      </c>
      <c r="H490" t="str">
        <f>IF($A490="","",IF($D490="V01",cad!$C$24,IF($D490="V02",cad!$D$24,cad!$E$24)))</f>
        <v/>
      </c>
      <c r="I490" t="str">
        <f>IF($A490="","",IF($D490="V01",cad!$C$32,IF($D490="V02",cad!$D$32,cad!$E$32)))</f>
        <v/>
      </c>
      <c r="J490" t="str">
        <f>IF($A490="","",IF($D490="V01",cad!$C$33,IF($D490="V02",cad!$D$33,cad!$E$33)))</f>
        <v/>
      </c>
      <c r="K490" t="str">
        <f>IF($A490="","",IF($D490="V01",cad!$C$34,IF($D490="V02",cad!$D$34,cad!$E$34)))</f>
        <v/>
      </c>
      <c r="L490" t="str">
        <f>IF($A490="","",IF($D490="V01",cad!$C$35,IF($D490="V02",cad!$D$35,cad!$E$35)))</f>
        <v/>
      </c>
      <c r="M490" t="str">
        <f>IF($A490="","",IF($D490="V01",cad!$C$36,IF($D490="V02",cad!$D$36,cad!$E$36)))</f>
        <v/>
      </c>
      <c r="N490" t="str">
        <f t="shared" si="29"/>
        <v/>
      </c>
      <c r="O490" t="str">
        <f t="shared" si="30"/>
        <v/>
      </c>
      <c r="P490" t="str">
        <f>IF($A490="","",IF($E490=1,$F490*$O490,PNL!G490))</f>
        <v/>
      </c>
      <c r="T490" t="str">
        <f t="shared" si="31"/>
        <v/>
      </c>
    </row>
    <row r="491" spans="1:20" x14ac:dyDescent="0.45">
      <c r="A491" t="str">
        <f>IF(PNL!A491="","",PNL!A491)</f>
        <v/>
      </c>
      <c r="B491" t="str">
        <f>IF(PNL!B491="","",PNL!B491)</f>
        <v/>
      </c>
      <c r="C491" t="str">
        <f>IF(PNL!C491="","",PNL!C491)</f>
        <v/>
      </c>
      <c r="D491" t="str">
        <f>IF(PNL!D491="","",PNL!D491)</f>
        <v/>
      </c>
      <c r="E491" t="str">
        <f t="shared" si="28"/>
        <v/>
      </c>
      <c r="F491" t="str">
        <f>IF($A491="","",IF($E491=1,SUMIFS(Compta!$F$1:$F$675,Compta!$A$1:$A$675,$A491,Compta!$B$1:$B$675,$B491,Compta!$C$1:$C$675,"2026"),0))</f>
        <v/>
      </c>
      <c r="G491" t="str">
        <f>IF($A491="","",IF($D491="V01",cad!$C$23,IF($D491="V02",cad!$D$23,cad!$E$23)))</f>
        <v/>
      </c>
      <c r="H491" t="str">
        <f>IF($A491="","",IF($D491="V01",cad!$C$24,IF($D491="V02",cad!$D$24,cad!$E$24)))</f>
        <v/>
      </c>
      <c r="I491" t="str">
        <f>IF($A491="","",IF($D491="V01",cad!$C$32,IF($D491="V02",cad!$D$32,cad!$E$32)))</f>
        <v/>
      </c>
      <c r="J491" t="str">
        <f>IF($A491="","",IF($D491="V01",cad!$C$33,IF($D491="V02",cad!$D$33,cad!$E$33)))</f>
        <v/>
      </c>
      <c r="K491" t="str">
        <f>IF($A491="","",IF($D491="V01",cad!$C$34,IF($D491="V02",cad!$D$34,cad!$E$34)))</f>
        <v/>
      </c>
      <c r="L491" t="str">
        <f>IF($A491="","",IF($D491="V01",cad!$C$35,IF($D491="V02",cad!$D$35,cad!$E$35)))</f>
        <v/>
      </c>
      <c r="M491" t="str">
        <f>IF($A491="","",IF($D491="V01",cad!$C$36,IF($D491="V02",cad!$D$36,cad!$E$36)))</f>
        <v/>
      </c>
      <c r="N491" t="str">
        <f t="shared" si="29"/>
        <v/>
      </c>
      <c r="O491" t="str">
        <f t="shared" si="30"/>
        <v/>
      </c>
      <c r="P491" t="str">
        <f>IF($A491="","",IF($E491=1,$F491*$O491,PNL!G491))</f>
        <v/>
      </c>
      <c r="T491" t="str">
        <f t="shared" si="31"/>
        <v/>
      </c>
    </row>
    <row r="492" spans="1:20" x14ac:dyDescent="0.45">
      <c r="A492" t="str">
        <f>IF(PNL!A492="","",PNL!A492)</f>
        <v/>
      </c>
      <c r="B492" t="str">
        <f>IF(PNL!B492="","",PNL!B492)</f>
        <v/>
      </c>
      <c r="C492" t="str">
        <f>IF(PNL!C492="","",PNL!C492)</f>
        <v/>
      </c>
      <c r="D492" t="str">
        <f>IF(PNL!D492="","",PNL!D492)</f>
        <v/>
      </c>
      <c r="E492" t="str">
        <f t="shared" si="28"/>
        <v/>
      </c>
      <c r="F492" t="str">
        <f>IF($A492="","",IF($E492=1,SUMIFS(Compta!$F$1:$F$675,Compta!$A$1:$A$675,$A492,Compta!$B$1:$B$675,$B492,Compta!$C$1:$C$675,"2026"),0))</f>
        <v/>
      </c>
      <c r="G492" t="str">
        <f>IF($A492="","",IF($D492="V01",cad!$C$23,IF($D492="V02",cad!$D$23,cad!$E$23)))</f>
        <v/>
      </c>
      <c r="H492" t="str">
        <f>IF($A492="","",IF($D492="V01",cad!$C$24,IF($D492="V02",cad!$D$24,cad!$E$24)))</f>
        <v/>
      </c>
      <c r="I492" t="str">
        <f>IF($A492="","",IF($D492="V01",cad!$C$32,IF($D492="V02",cad!$D$32,cad!$E$32)))</f>
        <v/>
      </c>
      <c r="J492" t="str">
        <f>IF($A492="","",IF($D492="V01",cad!$C$33,IF($D492="V02",cad!$D$33,cad!$E$33)))</f>
        <v/>
      </c>
      <c r="K492" t="str">
        <f>IF($A492="","",IF($D492="V01",cad!$C$34,IF($D492="V02",cad!$D$34,cad!$E$34)))</f>
        <v/>
      </c>
      <c r="L492" t="str">
        <f>IF($A492="","",IF($D492="V01",cad!$C$35,IF($D492="V02",cad!$D$35,cad!$E$35)))</f>
        <v/>
      </c>
      <c r="M492" t="str">
        <f>IF($A492="","",IF($D492="V01",cad!$C$36,IF($D492="V02",cad!$D$36,cad!$E$36)))</f>
        <v/>
      </c>
      <c r="N492" t="str">
        <f t="shared" si="29"/>
        <v/>
      </c>
      <c r="O492" t="str">
        <f t="shared" si="30"/>
        <v/>
      </c>
      <c r="P492" t="str">
        <f>IF($A492="","",IF($E492=1,$F492*$O492,PNL!G492))</f>
        <v/>
      </c>
      <c r="T492" t="str">
        <f t="shared" si="31"/>
        <v/>
      </c>
    </row>
    <row r="493" spans="1:20" x14ac:dyDescent="0.45">
      <c r="A493" t="str">
        <f>IF(PNL!A493="","",PNL!A493)</f>
        <v/>
      </c>
      <c r="B493" t="str">
        <f>IF(PNL!B493="","",PNL!B493)</f>
        <v/>
      </c>
      <c r="C493" t="str">
        <f>IF(PNL!C493="","",PNL!C493)</f>
        <v/>
      </c>
      <c r="D493" t="str">
        <f>IF(PNL!D493="","",PNL!D493)</f>
        <v/>
      </c>
      <c r="E493" t="str">
        <f t="shared" si="28"/>
        <v/>
      </c>
      <c r="F493" t="str">
        <f>IF($A493="","",IF($E493=1,SUMIFS(Compta!$F$1:$F$675,Compta!$A$1:$A$675,$A493,Compta!$B$1:$B$675,$B493,Compta!$C$1:$C$675,"2026"),0))</f>
        <v/>
      </c>
      <c r="G493" t="str">
        <f>IF($A493="","",IF($D493="V01",cad!$C$23,IF($D493="V02",cad!$D$23,cad!$E$23)))</f>
        <v/>
      </c>
      <c r="H493" t="str">
        <f>IF($A493="","",IF($D493="V01",cad!$C$24,IF($D493="V02",cad!$D$24,cad!$E$24)))</f>
        <v/>
      </c>
      <c r="I493" t="str">
        <f>IF($A493="","",IF($D493="V01",cad!$C$32,IF($D493="V02",cad!$D$32,cad!$E$32)))</f>
        <v/>
      </c>
      <c r="J493" t="str">
        <f>IF($A493="","",IF($D493="V01",cad!$C$33,IF($D493="V02",cad!$D$33,cad!$E$33)))</f>
        <v/>
      </c>
      <c r="K493" t="str">
        <f>IF($A493="","",IF($D493="V01",cad!$C$34,IF($D493="V02",cad!$D$34,cad!$E$34)))</f>
        <v/>
      </c>
      <c r="L493" t="str">
        <f>IF($A493="","",IF($D493="V01",cad!$C$35,IF($D493="V02",cad!$D$35,cad!$E$35)))</f>
        <v/>
      </c>
      <c r="M493" t="str">
        <f>IF($A493="","",IF($D493="V01",cad!$C$36,IF($D493="V02",cad!$D$36,cad!$E$36)))</f>
        <v/>
      </c>
      <c r="N493" t="str">
        <f t="shared" si="29"/>
        <v/>
      </c>
      <c r="O493" t="str">
        <f t="shared" si="30"/>
        <v/>
      </c>
      <c r="P493" t="str">
        <f>IF($A493="","",IF($E493=1,$F493*$O493,PNL!G493))</f>
        <v/>
      </c>
      <c r="T493" t="str">
        <f t="shared" si="31"/>
        <v/>
      </c>
    </row>
    <row r="494" spans="1:20" x14ac:dyDescent="0.45">
      <c r="A494" t="str">
        <f>IF(PNL!A494="","",PNL!A494)</f>
        <v/>
      </c>
      <c r="B494" t="str">
        <f>IF(PNL!B494="","",PNL!B494)</f>
        <v/>
      </c>
      <c r="C494" t="str">
        <f>IF(PNL!C494="","",PNL!C494)</f>
        <v/>
      </c>
      <c r="D494" t="str">
        <f>IF(PNL!D494="","",PNL!D494)</f>
        <v/>
      </c>
      <c r="E494" t="str">
        <f t="shared" si="28"/>
        <v/>
      </c>
      <c r="F494" t="str">
        <f>IF($A494="","",IF($E494=1,SUMIFS(Compta!$F$1:$F$675,Compta!$A$1:$A$675,$A494,Compta!$B$1:$B$675,$B494,Compta!$C$1:$C$675,"2026"),0))</f>
        <v/>
      </c>
      <c r="G494" t="str">
        <f>IF($A494="","",IF($D494="V01",cad!$C$23,IF($D494="V02",cad!$D$23,cad!$E$23)))</f>
        <v/>
      </c>
      <c r="H494" t="str">
        <f>IF($A494="","",IF($D494="V01",cad!$C$24,IF($D494="V02",cad!$D$24,cad!$E$24)))</f>
        <v/>
      </c>
      <c r="I494" t="str">
        <f>IF($A494="","",IF($D494="V01",cad!$C$32,IF($D494="V02",cad!$D$32,cad!$E$32)))</f>
        <v/>
      </c>
      <c r="J494" t="str">
        <f>IF($A494="","",IF($D494="V01",cad!$C$33,IF($D494="V02",cad!$D$33,cad!$E$33)))</f>
        <v/>
      </c>
      <c r="K494" t="str">
        <f>IF($A494="","",IF($D494="V01",cad!$C$34,IF($D494="V02",cad!$D$34,cad!$E$34)))</f>
        <v/>
      </c>
      <c r="L494" t="str">
        <f>IF($A494="","",IF($D494="V01",cad!$C$35,IF($D494="V02",cad!$D$35,cad!$E$35)))</f>
        <v/>
      </c>
      <c r="M494" t="str">
        <f>IF($A494="","",IF($D494="V01",cad!$C$36,IF($D494="V02",cad!$D$36,cad!$E$36)))</f>
        <v/>
      </c>
      <c r="N494" t="str">
        <f t="shared" si="29"/>
        <v/>
      </c>
      <c r="O494" t="str">
        <f t="shared" si="30"/>
        <v/>
      </c>
      <c r="P494" t="str">
        <f>IF($A494="","",IF($E494=1,$F494*$O494,PNL!G494))</f>
        <v/>
      </c>
      <c r="T494" t="str">
        <f t="shared" si="31"/>
        <v/>
      </c>
    </row>
    <row r="495" spans="1:20" x14ac:dyDescent="0.45">
      <c r="A495" t="str">
        <f>IF(PNL!A495="","",PNL!A495)</f>
        <v/>
      </c>
      <c r="B495" t="str">
        <f>IF(PNL!B495="","",PNL!B495)</f>
        <v/>
      </c>
      <c r="C495" t="str">
        <f>IF(PNL!C495="","",PNL!C495)</f>
        <v/>
      </c>
      <c r="D495" t="str">
        <f>IF(PNL!D495="","",PNL!D495)</f>
        <v/>
      </c>
      <c r="E495" t="str">
        <f t="shared" si="28"/>
        <v/>
      </c>
      <c r="F495" t="str">
        <f>IF($A495="","",IF($E495=1,SUMIFS(Compta!$F$1:$F$675,Compta!$A$1:$A$675,$A495,Compta!$B$1:$B$675,$B495,Compta!$C$1:$C$675,"2026"),0))</f>
        <v/>
      </c>
      <c r="G495" t="str">
        <f>IF($A495="","",IF($D495="V01",cad!$C$23,IF($D495="V02",cad!$D$23,cad!$E$23)))</f>
        <v/>
      </c>
      <c r="H495" t="str">
        <f>IF($A495="","",IF($D495="V01",cad!$C$24,IF($D495="V02",cad!$D$24,cad!$E$24)))</f>
        <v/>
      </c>
      <c r="I495" t="str">
        <f>IF($A495="","",IF($D495="V01",cad!$C$32,IF($D495="V02",cad!$D$32,cad!$E$32)))</f>
        <v/>
      </c>
      <c r="J495" t="str">
        <f>IF($A495="","",IF($D495="V01",cad!$C$33,IF($D495="V02",cad!$D$33,cad!$E$33)))</f>
        <v/>
      </c>
      <c r="K495" t="str">
        <f>IF($A495="","",IF($D495="V01",cad!$C$34,IF($D495="V02",cad!$D$34,cad!$E$34)))</f>
        <v/>
      </c>
      <c r="L495" t="str">
        <f>IF($A495="","",IF($D495="V01",cad!$C$35,IF($D495="V02",cad!$D$35,cad!$E$35)))</f>
        <v/>
      </c>
      <c r="M495" t="str">
        <f>IF($A495="","",IF($D495="V01",cad!$C$36,IF($D495="V02",cad!$D$36,cad!$E$36)))</f>
        <v/>
      </c>
      <c r="N495" t="str">
        <f t="shared" si="29"/>
        <v/>
      </c>
      <c r="O495" t="str">
        <f t="shared" si="30"/>
        <v/>
      </c>
      <c r="P495" t="str">
        <f>IF($A495="","",IF($E495=1,$F495*$O495,PNL!G495))</f>
        <v/>
      </c>
      <c r="T495" t="str">
        <f t="shared" si="31"/>
        <v/>
      </c>
    </row>
    <row r="496" spans="1:20" x14ac:dyDescent="0.45">
      <c r="A496" t="str">
        <f>IF(PNL!A496="","",PNL!A496)</f>
        <v/>
      </c>
      <c r="B496" t="str">
        <f>IF(PNL!B496="","",PNL!B496)</f>
        <v/>
      </c>
      <c r="C496" t="str">
        <f>IF(PNL!C496="","",PNL!C496)</f>
        <v/>
      </c>
      <c r="D496" t="str">
        <f>IF(PNL!D496="","",PNL!D496)</f>
        <v/>
      </c>
      <c r="E496" t="str">
        <f t="shared" si="28"/>
        <v/>
      </c>
      <c r="F496" t="str">
        <f>IF($A496="","",IF($E496=1,SUMIFS(Compta!$F$1:$F$675,Compta!$A$1:$A$675,$A496,Compta!$B$1:$B$675,$B496,Compta!$C$1:$C$675,"2026"),0))</f>
        <v/>
      </c>
      <c r="G496" t="str">
        <f>IF($A496="","",IF($D496="V01",cad!$C$23,IF($D496="V02",cad!$D$23,cad!$E$23)))</f>
        <v/>
      </c>
      <c r="H496" t="str">
        <f>IF($A496="","",IF($D496="V01",cad!$C$24,IF($D496="V02",cad!$D$24,cad!$E$24)))</f>
        <v/>
      </c>
      <c r="I496" t="str">
        <f>IF($A496="","",IF($D496="V01",cad!$C$32,IF($D496="V02",cad!$D$32,cad!$E$32)))</f>
        <v/>
      </c>
      <c r="J496" t="str">
        <f>IF($A496="","",IF($D496="V01",cad!$C$33,IF($D496="V02",cad!$D$33,cad!$E$33)))</f>
        <v/>
      </c>
      <c r="K496" t="str">
        <f>IF($A496="","",IF($D496="V01",cad!$C$34,IF($D496="V02",cad!$D$34,cad!$E$34)))</f>
        <v/>
      </c>
      <c r="L496" t="str">
        <f>IF($A496="","",IF($D496="V01",cad!$C$35,IF($D496="V02",cad!$D$35,cad!$E$35)))</f>
        <v/>
      </c>
      <c r="M496" t="str">
        <f>IF($A496="","",IF($D496="V01",cad!$C$36,IF($D496="V02",cad!$D$36,cad!$E$36)))</f>
        <v/>
      </c>
      <c r="N496" t="str">
        <f t="shared" si="29"/>
        <v/>
      </c>
      <c r="O496" t="str">
        <f t="shared" si="30"/>
        <v/>
      </c>
      <c r="P496" t="str">
        <f>IF($A496="","",IF($E496=1,$F496*$O496,PNL!G496))</f>
        <v/>
      </c>
      <c r="T496" t="str">
        <f t="shared" si="31"/>
        <v/>
      </c>
    </row>
    <row r="497" spans="1:20" x14ac:dyDescent="0.45">
      <c r="A497" t="str">
        <f>IF(PNL!A497="","",PNL!A497)</f>
        <v/>
      </c>
      <c r="B497" t="str">
        <f>IF(PNL!B497="","",PNL!B497)</f>
        <v/>
      </c>
      <c r="C497" t="str">
        <f>IF(PNL!C497="","",PNL!C497)</f>
        <v/>
      </c>
      <c r="D497" t="str">
        <f>IF(PNL!D497="","",PNL!D497)</f>
        <v/>
      </c>
      <c r="E497" t="str">
        <f t="shared" si="28"/>
        <v/>
      </c>
      <c r="F497" t="str">
        <f>IF($A497="","",IF($E497=1,SUMIFS(Compta!$F$1:$F$675,Compta!$A$1:$A$675,$A497,Compta!$B$1:$B$675,$B497,Compta!$C$1:$C$675,"2026"),0))</f>
        <v/>
      </c>
      <c r="G497" t="str">
        <f>IF($A497="","",IF($D497="V01",cad!$C$23,IF($D497="V02",cad!$D$23,cad!$E$23)))</f>
        <v/>
      </c>
      <c r="H497" t="str">
        <f>IF($A497="","",IF($D497="V01",cad!$C$24,IF($D497="V02",cad!$D$24,cad!$E$24)))</f>
        <v/>
      </c>
      <c r="I497" t="str">
        <f>IF($A497="","",IF($D497="V01",cad!$C$32,IF($D497="V02",cad!$D$32,cad!$E$32)))</f>
        <v/>
      </c>
      <c r="J497" t="str">
        <f>IF($A497="","",IF($D497="V01",cad!$C$33,IF($D497="V02",cad!$D$33,cad!$E$33)))</f>
        <v/>
      </c>
      <c r="K497" t="str">
        <f>IF($A497="","",IF($D497="V01",cad!$C$34,IF($D497="V02",cad!$D$34,cad!$E$34)))</f>
        <v/>
      </c>
      <c r="L497" t="str">
        <f>IF($A497="","",IF($D497="V01",cad!$C$35,IF($D497="V02",cad!$D$35,cad!$E$35)))</f>
        <v/>
      </c>
      <c r="M497" t="str">
        <f>IF($A497="","",IF($D497="V01",cad!$C$36,IF($D497="V02",cad!$D$36,cad!$E$36)))</f>
        <v/>
      </c>
      <c r="N497" t="str">
        <f t="shared" si="29"/>
        <v/>
      </c>
      <c r="O497" t="str">
        <f t="shared" si="30"/>
        <v/>
      </c>
      <c r="P497" t="str">
        <f>IF($A497="","",IF($E497=1,$F497*$O497,PNL!G497))</f>
        <v/>
      </c>
      <c r="T497" t="str">
        <f t="shared" si="31"/>
        <v/>
      </c>
    </row>
    <row r="498" spans="1:20" x14ac:dyDescent="0.45">
      <c r="A498" t="str">
        <f>IF(PNL!A498="","",PNL!A498)</f>
        <v/>
      </c>
      <c r="B498" t="str">
        <f>IF(PNL!B498="","",PNL!B498)</f>
        <v/>
      </c>
      <c r="C498" t="str">
        <f>IF(PNL!C498="","",PNL!C498)</f>
        <v/>
      </c>
      <c r="D498" t="str">
        <f>IF(PNL!D498="","",PNL!D498)</f>
        <v/>
      </c>
      <c r="E498" t="str">
        <f t="shared" si="28"/>
        <v/>
      </c>
      <c r="F498" t="str">
        <f>IF($A498="","",IF($E498=1,SUMIFS(Compta!$F$1:$F$675,Compta!$A$1:$A$675,$A498,Compta!$B$1:$B$675,$B498,Compta!$C$1:$C$675,"2026"),0))</f>
        <v/>
      </c>
      <c r="G498" t="str">
        <f>IF($A498="","",IF($D498="V01",cad!$C$23,IF($D498="V02",cad!$D$23,cad!$E$23)))</f>
        <v/>
      </c>
      <c r="H498" t="str">
        <f>IF($A498="","",IF($D498="V01",cad!$C$24,IF($D498="V02",cad!$D$24,cad!$E$24)))</f>
        <v/>
      </c>
      <c r="I498" t="str">
        <f>IF($A498="","",IF($D498="V01",cad!$C$32,IF($D498="V02",cad!$D$32,cad!$E$32)))</f>
        <v/>
      </c>
      <c r="J498" t="str">
        <f>IF($A498="","",IF($D498="V01",cad!$C$33,IF($D498="V02",cad!$D$33,cad!$E$33)))</f>
        <v/>
      </c>
      <c r="K498" t="str">
        <f>IF($A498="","",IF($D498="V01",cad!$C$34,IF($D498="V02",cad!$D$34,cad!$E$34)))</f>
        <v/>
      </c>
      <c r="L498" t="str">
        <f>IF($A498="","",IF($D498="V01",cad!$C$35,IF($D498="V02",cad!$D$35,cad!$E$35)))</f>
        <v/>
      </c>
      <c r="M498" t="str">
        <f>IF($A498="","",IF($D498="V01",cad!$C$36,IF($D498="V02",cad!$D$36,cad!$E$36)))</f>
        <v/>
      </c>
      <c r="N498" t="str">
        <f t="shared" si="29"/>
        <v/>
      </c>
      <c r="O498" t="str">
        <f t="shared" si="30"/>
        <v/>
      </c>
      <c r="P498" t="str">
        <f>IF($A498="","",IF($E498=1,$F498*$O498,PNL!G498))</f>
        <v/>
      </c>
      <c r="T498" t="str">
        <f t="shared" si="31"/>
        <v/>
      </c>
    </row>
    <row r="499" spans="1:20" x14ac:dyDescent="0.45">
      <c r="A499" t="str">
        <f>IF(PNL!A499="","",PNL!A499)</f>
        <v/>
      </c>
      <c r="B499" t="str">
        <f>IF(PNL!B499="","",PNL!B499)</f>
        <v/>
      </c>
      <c r="C499" t="str">
        <f>IF(PNL!C499="","",PNL!C499)</f>
        <v/>
      </c>
      <c r="D499" t="str">
        <f>IF(PNL!D499="","",PNL!D499)</f>
        <v/>
      </c>
      <c r="E499" t="str">
        <f t="shared" si="28"/>
        <v/>
      </c>
      <c r="F499" t="str">
        <f>IF($A499="","",IF($E499=1,SUMIFS(Compta!$F$1:$F$675,Compta!$A$1:$A$675,$A499,Compta!$B$1:$B$675,$B499,Compta!$C$1:$C$675,"2026"),0))</f>
        <v/>
      </c>
      <c r="G499" t="str">
        <f>IF($A499="","",IF($D499="V01",cad!$C$23,IF($D499="V02",cad!$D$23,cad!$E$23)))</f>
        <v/>
      </c>
      <c r="H499" t="str">
        <f>IF($A499="","",IF($D499="V01",cad!$C$24,IF($D499="V02",cad!$D$24,cad!$E$24)))</f>
        <v/>
      </c>
      <c r="I499" t="str">
        <f>IF($A499="","",IF($D499="V01",cad!$C$32,IF($D499="V02",cad!$D$32,cad!$E$32)))</f>
        <v/>
      </c>
      <c r="J499" t="str">
        <f>IF($A499="","",IF($D499="V01",cad!$C$33,IF($D499="V02",cad!$D$33,cad!$E$33)))</f>
        <v/>
      </c>
      <c r="K499" t="str">
        <f>IF($A499="","",IF($D499="V01",cad!$C$34,IF($D499="V02",cad!$D$34,cad!$E$34)))</f>
        <v/>
      </c>
      <c r="L499" t="str">
        <f>IF($A499="","",IF($D499="V01",cad!$C$35,IF($D499="V02",cad!$D$35,cad!$E$35)))</f>
        <v/>
      </c>
      <c r="M499" t="str">
        <f>IF($A499="","",IF($D499="V01",cad!$C$36,IF($D499="V02",cad!$D$36,cad!$E$36)))</f>
        <v/>
      </c>
      <c r="N499" t="str">
        <f t="shared" si="29"/>
        <v/>
      </c>
      <c r="O499" t="str">
        <f t="shared" si="30"/>
        <v/>
      </c>
      <c r="P499" t="str">
        <f>IF($A499="","",IF($E499=1,$F499*$O499,PNL!G499))</f>
        <v/>
      </c>
      <c r="T499" t="str">
        <f t="shared" si="31"/>
        <v/>
      </c>
    </row>
    <row r="500" spans="1:20" x14ac:dyDescent="0.45">
      <c r="A500" t="str">
        <f>IF(PNL!A500="","",PNL!A500)</f>
        <v/>
      </c>
      <c r="B500" t="str">
        <f>IF(PNL!B500="","",PNL!B500)</f>
        <v/>
      </c>
      <c r="C500" t="str">
        <f>IF(PNL!C500="","",PNL!C500)</f>
        <v/>
      </c>
      <c r="D500" t="str">
        <f>IF(PNL!D500="","",PNL!D500)</f>
        <v/>
      </c>
      <c r="E500" t="str">
        <f t="shared" si="28"/>
        <v/>
      </c>
      <c r="F500" t="str">
        <f>IF($A500="","",IF($E500=1,SUMIFS(Compta!$F$1:$F$675,Compta!$A$1:$A$675,$A500,Compta!$B$1:$B$675,$B500,Compta!$C$1:$C$675,"2026"),0))</f>
        <v/>
      </c>
      <c r="G500" t="str">
        <f>IF($A500="","",IF($D500="V01",cad!$C$23,IF($D500="V02",cad!$D$23,cad!$E$23)))</f>
        <v/>
      </c>
      <c r="H500" t="str">
        <f>IF($A500="","",IF($D500="V01",cad!$C$24,IF($D500="V02",cad!$D$24,cad!$E$24)))</f>
        <v/>
      </c>
      <c r="I500" t="str">
        <f>IF($A500="","",IF($D500="V01",cad!$C$32,IF($D500="V02",cad!$D$32,cad!$E$32)))</f>
        <v/>
      </c>
      <c r="J500" t="str">
        <f>IF($A500="","",IF($D500="V01",cad!$C$33,IF($D500="V02",cad!$D$33,cad!$E$33)))</f>
        <v/>
      </c>
      <c r="K500" t="str">
        <f>IF($A500="","",IF($D500="V01",cad!$C$34,IF($D500="V02",cad!$D$34,cad!$E$34)))</f>
        <v/>
      </c>
      <c r="L500" t="str">
        <f>IF($A500="","",IF($D500="V01",cad!$C$35,IF($D500="V02",cad!$D$35,cad!$E$35)))</f>
        <v/>
      </c>
      <c r="M500" t="str">
        <f>IF($A500="","",IF($D500="V01",cad!$C$36,IF($D500="V02",cad!$D$36,cad!$E$36)))</f>
        <v/>
      </c>
      <c r="N500" t="str">
        <f t="shared" si="29"/>
        <v/>
      </c>
      <c r="O500" t="str">
        <f t="shared" si="30"/>
        <v/>
      </c>
      <c r="P500" t="str">
        <f>IF($A500="","",IF($E500=1,$F500*$O500,PNL!G500))</f>
        <v/>
      </c>
      <c r="T500" t="str">
        <f t="shared" si="31"/>
        <v/>
      </c>
    </row>
    <row r="501" spans="1:20" x14ac:dyDescent="0.45">
      <c r="A501" t="str">
        <f>IF(PNL!A501="","",PNL!A501)</f>
        <v/>
      </c>
      <c r="B501" t="str">
        <f>IF(PNL!B501="","",PNL!B501)</f>
        <v/>
      </c>
      <c r="C501" t="str">
        <f>IF(PNL!C501="","",PNL!C501)</f>
        <v/>
      </c>
      <c r="D501" t="str">
        <f>IF(PNL!D501="","",PNL!D501)</f>
        <v/>
      </c>
      <c r="E501" t="str">
        <f t="shared" si="28"/>
        <v/>
      </c>
      <c r="F501" t="str">
        <f>IF($A501="","",IF($E501=1,SUMIFS(Compta!$F$1:$F$675,Compta!$A$1:$A$675,$A501,Compta!$B$1:$B$675,$B501,Compta!$C$1:$C$675,"2026"),0))</f>
        <v/>
      </c>
      <c r="G501" t="str">
        <f>IF($A501="","",IF($D501="V01",cad!$C$23,IF($D501="V02",cad!$D$23,cad!$E$23)))</f>
        <v/>
      </c>
      <c r="H501" t="str">
        <f>IF($A501="","",IF($D501="V01",cad!$C$24,IF($D501="V02",cad!$D$24,cad!$E$24)))</f>
        <v/>
      </c>
      <c r="I501" t="str">
        <f>IF($A501="","",IF($D501="V01",cad!$C$32,IF($D501="V02",cad!$D$32,cad!$E$32)))</f>
        <v/>
      </c>
      <c r="J501" t="str">
        <f>IF($A501="","",IF($D501="V01",cad!$C$33,IF($D501="V02",cad!$D$33,cad!$E$33)))</f>
        <v/>
      </c>
      <c r="K501" t="str">
        <f>IF($A501="","",IF($D501="V01",cad!$C$34,IF($D501="V02",cad!$D$34,cad!$E$34)))</f>
        <v/>
      </c>
      <c r="L501" t="str">
        <f>IF($A501="","",IF($D501="V01",cad!$C$35,IF($D501="V02",cad!$D$35,cad!$E$35)))</f>
        <v/>
      </c>
      <c r="M501" t="str">
        <f>IF($A501="","",IF($D501="V01",cad!$C$36,IF($D501="V02",cad!$D$36,cad!$E$36)))</f>
        <v/>
      </c>
      <c r="N501" t="str">
        <f t="shared" si="29"/>
        <v/>
      </c>
      <c r="O501" t="str">
        <f t="shared" si="30"/>
        <v/>
      </c>
      <c r="P501" t="str">
        <f>IF($A501="","",IF($E501=1,$F501*$O501,PNL!G501))</f>
        <v/>
      </c>
      <c r="T501" t="str">
        <f t="shared" si="31"/>
        <v/>
      </c>
    </row>
    <row r="502" spans="1:20" x14ac:dyDescent="0.45">
      <c r="A502" t="str">
        <f>IF(PNL!A502="","",PNL!A502)</f>
        <v/>
      </c>
      <c r="B502" t="str">
        <f>IF(PNL!B502="","",PNL!B502)</f>
        <v/>
      </c>
      <c r="C502" t="str">
        <f>IF(PNL!C502="","",PNL!C502)</f>
        <v/>
      </c>
      <c r="D502" t="str">
        <f>IF(PNL!D502="","",PNL!D502)</f>
        <v/>
      </c>
      <c r="E502" t="str">
        <f t="shared" si="28"/>
        <v/>
      </c>
      <c r="F502" t="str">
        <f>IF($A502="","",IF($E502=1,SUMIFS(Compta!$F$1:$F$675,Compta!$A$1:$A$675,$A502,Compta!$B$1:$B$675,$B502,Compta!$C$1:$C$675,"2026"),0))</f>
        <v/>
      </c>
      <c r="G502" t="str">
        <f>IF($A502="","",IF($D502="V01",cad!$C$23,IF($D502="V02",cad!$D$23,cad!$E$23)))</f>
        <v/>
      </c>
      <c r="H502" t="str">
        <f>IF($A502="","",IF($D502="V01",cad!$C$24,IF($D502="V02",cad!$D$24,cad!$E$24)))</f>
        <v/>
      </c>
      <c r="I502" t="str">
        <f>IF($A502="","",IF($D502="V01",cad!$C$32,IF($D502="V02",cad!$D$32,cad!$E$32)))</f>
        <v/>
      </c>
      <c r="J502" t="str">
        <f>IF($A502="","",IF($D502="V01",cad!$C$33,IF($D502="V02",cad!$D$33,cad!$E$33)))</f>
        <v/>
      </c>
      <c r="K502" t="str">
        <f>IF($A502="","",IF($D502="V01",cad!$C$34,IF($D502="V02",cad!$D$34,cad!$E$34)))</f>
        <v/>
      </c>
      <c r="L502" t="str">
        <f>IF($A502="","",IF($D502="V01",cad!$C$35,IF($D502="V02",cad!$D$35,cad!$E$35)))</f>
        <v/>
      </c>
      <c r="M502" t="str">
        <f>IF($A502="","",IF($D502="V01",cad!$C$36,IF($D502="V02",cad!$D$36,cad!$E$36)))</f>
        <v/>
      </c>
      <c r="N502" t="str">
        <f t="shared" si="29"/>
        <v/>
      </c>
      <c r="O502" t="str">
        <f t="shared" si="30"/>
        <v/>
      </c>
      <c r="P502" t="str">
        <f>IF($A502="","",IF($E502=1,$F502*$O502,PNL!G502))</f>
        <v/>
      </c>
      <c r="T502" t="str">
        <f t="shared" si="31"/>
        <v/>
      </c>
    </row>
    <row r="503" spans="1:20" x14ac:dyDescent="0.45">
      <c r="A503" t="str">
        <f>IF(PNL!A503="","",PNL!A503)</f>
        <v/>
      </c>
      <c r="B503" t="str">
        <f>IF(PNL!B503="","",PNL!B503)</f>
        <v/>
      </c>
      <c r="C503" t="str">
        <f>IF(PNL!C503="","",PNL!C503)</f>
        <v/>
      </c>
      <c r="D503" t="str">
        <f>IF(PNL!D503="","",PNL!D503)</f>
        <v/>
      </c>
      <c r="E503" t="str">
        <f t="shared" si="28"/>
        <v/>
      </c>
      <c r="F503" t="str">
        <f>IF($A503="","",IF($E503=1,SUMIFS(Compta!$F$1:$F$675,Compta!$A$1:$A$675,$A503,Compta!$B$1:$B$675,$B503,Compta!$C$1:$C$675,"2026"),0))</f>
        <v/>
      </c>
      <c r="G503" t="str">
        <f>IF($A503="","",IF($D503="V01",cad!$C$23,IF($D503="V02",cad!$D$23,cad!$E$23)))</f>
        <v/>
      </c>
      <c r="H503" t="str">
        <f>IF($A503="","",IF($D503="V01",cad!$C$24,IF($D503="V02",cad!$D$24,cad!$E$24)))</f>
        <v/>
      </c>
      <c r="I503" t="str">
        <f>IF($A503="","",IF($D503="V01",cad!$C$32,IF($D503="V02",cad!$D$32,cad!$E$32)))</f>
        <v/>
      </c>
      <c r="J503" t="str">
        <f>IF($A503="","",IF($D503="V01",cad!$C$33,IF($D503="V02",cad!$D$33,cad!$E$33)))</f>
        <v/>
      </c>
      <c r="K503" t="str">
        <f>IF($A503="","",IF($D503="V01",cad!$C$34,IF($D503="V02",cad!$D$34,cad!$E$34)))</f>
        <v/>
      </c>
      <c r="L503" t="str">
        <f>IF($A503="","",IF($D503="V01",cad!$C$35,IF($D503="V02",cad!$D$35,cad!$E$35)))</f>
        <v/>
      </c>
      <c r="M503" t="str">
        <f>IF($A503="","",IF($D503="V01",cad!$C$36,IF($D503="V02",cad!$D$36,cad!$E$36)))</f>
        <v/>
      </c>
      <c r="N503" t="str">
        <f t="shared" si="29"/>
        <v/>
      </c>
      <c r="O503" t="str">
        <f t="shared" si="30"/>
        <v/>
      </c>
      <c r="P503" t="str">
        <f>IF($A503="","",IF($E503=1,$F503*$O503,PNL!G503))</f>
        <v/>
      </c>
      <c r="T503" t="str">
        <f t="shared" si="31"/>
        <v/>
      </c>
    </row>
    <row r="504" spans="1:20" x14ac:dyDescent="0.45">
      <c r="A504" t="str">
        <f>IF(PNL!A504="","",PNL!A504)</f>
        <v/>
      </c>
      <c r="B504" t="str">
        <f>IF(PNL!B504="","",PNL!B504)</f>
        <v/>
      </c>
      <c r="C504" t="str">
        <f>IF(PNL!C504="","",PNL!C504)</f>
        <v/>
      </c>
      <c r="D504" t="str">
        <f>IF(PNL!D504="","",PNL!D504)</f>
        <v/>
      </c>
      <c r="E504" t="str">
        <f t="shared" si="28"/>
        <v/>
      </c>
      <c r="F504" t="str">
        <f>IF($A504="","",IF($E504=1,SUMIFS(Compta!$F$1:$F$675,Compta!$A$1:$A$675,$A504,Compta!$B$1:$B$675,$B504,Compta!$C$1:$C$675,"2026"),0))</f>
        <v/>
      </c>
      <c r="G504" t="str">
        <f>IF($A504="","",IF($D504="V01",cad!$C$23,IF($D504="V02",cad!$D$23,cad!$E$23)))</f>
        <v/>
      </c>
      <c r="H504" t="str">
        <f>IF($A504="","",IF($D504="V01",cad!$C$24,IF($D504="V02",cad!$D$24,cad!$E$24)))</f>
        <v/>
      </c>
      <c r="I504" t="str">
        <f>IF($A504="","",IF($D504="V01",cad!$C$32,IF($D504="V02",cad!$D$32,cad!$E$32)))</f>
        <v/>
      </c>
      <c r="J504" t="str">
        <f>IF($A504="","",IF($D504="V01",cad!$C$33,IF($D504="V02",cad!$D$33,cad!$E$33)))</f>
        <v/>
      </c>
      <c r="K504" t="str">
        <f>IF($A504="","",IF($D504="V01",cad!$C$34,IF($D504="V02",cad!$D$34,cad!$E$34)))</f>
        <v/>
      </c>
      <c r="L504" t="str">
        <f>IF($A504="","",IF($D504="V01",cad!$C$35,IF($D504="V02",cad!$D$35,cad!$E$35)))</f>
        <v/>
      </c>
      <c r="M504" t="str">
        <f>IF($A504="","",IF($D504="V01",cad!$C$36,IF($D504="V02",cad!$D$36,cad!$E$36)))</f>
        <v/>
      </c>
      <c r="N504" t="str">
        <f t="shared" si="29"/>
        <v/>
      </c>
      <c r="O504" t="str">
        <f t="shared" si="30"/>
        <v/>
      </c>
      <c r="P504" t="str">
        <f>IF($A504="","",IF($E504=1,$F504*$O504,PNL!G504))</f>
        <v/>
      </c>
      <c r="T504" t="str">
        <f t="shared" si="31"/>
        <v/>
      </c>
    </row>
    <row r="505" spans="1:20" x14ac:dyDescent="0.45">
      <c r="A505" t="str">
        <f>IF(PNL!A505="","",PNL!A505)</f>
        <v/>
      </c>
      <c r="B505" t="str">
        <f>IF(PNL!B505="","",PNL!B505)</f>
        <v/>
      </c>
      <c r="C505" t="str">
        <f>IF(PNL!C505="","",PNL!C505)</f>
        <v/>
      </c>
      <c r="D505" t="str">
        <f>IF(PNL!D505="","",PNL!D505)</f>
        <v/>
      </c>
      <c r="E505" t="str">
        <f t="shared" si="28"/>
        <v/>
      </c>
      <c r="F505" t="str">
        <f>IF($A505="","",IF($E505=1,SUMIFS(Compta!$F$1:$F$675,Compta!$A$1:$A$675,$A505,Compta!$B$1:$B$675,$B505,Compta!$C$1:$C$675,"2026"),0))</f>
        <v/>
      </c>
      <c r="G505" t="str">
        <f>IF($A505="","",IF($D505="V01",cad!$C$23,IF($D505="V02",cad!$D$23,cad!$E$23)))</f>
        <v/>
      </c>
      <c r="H505" t="str">
        <f>IF($A505="","",IF($D505="V01",cad!$C$24,IF($D505="V02",cad!$D$24,cad!$E$24)))</f>
        <v/>
      </c>
      <c r="I505" t="str">
        <f>IF($A505="","",IF($D505="V01",cad!$C$32,IF($D505="V02",cad!$D$32,cad!$E$32)))</f>
        <v/>
      </c>
      <c r="J505" t="str">
        <f>IF($A505="","",IF($D505="V01",cad!$C$33,IF($D505="V02",cad!$D$33,cad!$E$33)))</f>
        <v/>
      </c>
      <c r="K505" t="str">
        <f>IF($A505="","",IF($D505="V01",cad!$C$34,IF($D505="V02",cad!$D$34,cad!$E$34)))</f>
        <v/>
      </c>
      <c r="L505" t="str">
        <f>IF($A505="","",IF($D505="V01",cad!$C$35,IF($D505="V02",cad!$D$35,cad!$E$35)))</f>
        <v/>
      </c>
      <c r="M505" t="str">
        <f>IF($A505="","",IF($D505="V01",cad!$C$36,IF($D505="V02",cad!$D$36,cad!$E$36)))</f>
        <v/>
      </c>
      <c r="N505" t="str">
        <f t="shared" si="29"/>
        <v/>
      </c>
      <c r="O505" t="str">
        <f t="shared" si="30"/>
        <v/>
      </c>
      <c r="P505" t="str">
        <f>IF($A505="","",IF($E505=1,$F505*$O505,PNL!G505))</f>
        <v/>
      </c>
      <c r="T505" t="str">
        <f t="shared" si="31"/>
        <v/>
      </c>
    </row>
    <row r="506" spans="1:20" x14ac:dyDescent="0.45">
      <c r="A506" t="str">
        <f>IF(PNL!A506="","",PNL!A506)</f>
        <v/>
      </c>
      <c r="B506" t="str">
        <f>IF(PNL!B506="","",PNL!B506)</f>
        <v/>
      </c>
      <c r="C506" t="str">
        <f>IF(PNL!C506="","",PNL!C506)</f>
        <v/>
      </c>
      <c r="D506" t="str">
        <f>IF(PNL!D506="","",PNL!D506)</f>
        <v/>
      </c>
      <c r="E506" t="str">
        <f t="shared" si="28"/>
        <v/>
      </c>
      <c r="F506" t="str">
        <f>IF($A506="","",IF($E506=1,SUMIFS(Compta!$F$1:$F$675,Compta!$A$1:$A$675,$A506,Compta!$B$1:$B$675,$B506,Compta!$C$1:$C$675,"2026"),0))</f>
        <v/>
      </c>
      <c r="G506" t="str">
        <f>IF($A506="","",IF($D506="V01",cad!$C$23,IF($D506="V02",cad!$D$23,cad!$E$23)))</f>
        <v/>
      </c>
      <c r="H506" t="str">
        <f>IF($A506="","",IF($D506="V01",cad!$C$24,IF($D506="V02",cad!$D$24,cad!$E$24)))</f>
        <v/>
      </c>
      <c r="I506" t="str">
        <f>IF($A506="","",IF($D506="V01",cad!$C$32,IF($D506="V02",cad!$D$32,cad!$E$32)))</f>
        <v/>
      </c>
      <c r="J506" t="str">
        <f>IF($A506="","",IF($D506="V01",cad!$C$33,IF($D506="V02",cad!$D$33,cad!$E$33)))</f>
        <v/>
      </c>
      <c r="K506" t="str">
        <f>IF($A506="","",IF($D506="V01",cad!$C$34,IF($D506="V02",cad!$D$34,cad!$E$34)))</f>
        <v/>
      </c>
      <c r="L506" t="str">
        <f>IF($A506="","",IF($D506="V01",cad!$C$35,IF($D506="V02",cad!$D$35,cad!$E$35)))</f>
        <v/>
      </c>
      <c r="M506" t="str">
        <f>IF($A506="","",IF($D506="V01",cad!$C$36,IF($D506="V02",cad!$D$36,cad!$E$36)))</f>
        <v/>
      </c>
      <c r="N506" t="str">
        <f t="shared" si="29"/>
        <v/>
      </c>
      <c r="O506" t="str">
        <f t="shared" si="30"/>
        <v/>
      </c>
      <c r="P506" t="str">
        <f>IF($A506="","",IF($E506=1,$F506*$O506,PNL!G506))</f>
        <v/>
      </c>
      <c r="T506" t="str">
        <f t="shared" si="31"/>
        <v/>
      </c>
    </row>
    <row r="507" spans="1:20" x14ac:dyDescent="0.45">
      <c r="A507" t="str">
        <f>IF(PNL!A507="","",PNL!A507)</f>
        <v/>
      </c>
      <c r="B507" t="str">
        <f>IF(PNL!B507="","",PNL!B507)</f>
        <v/>
      </c>
      <c r="C507" t="str">
        <f>IF(PNL!C507="","",PNL!C507)</f>
        <v/>
      </c>
      <c r="D507" t="str">
        <f>IF(PNL!D507="","",PNL!D507)</f>
        <v/>
      </c>
      <c r="E507" t="str">
        <f t="shared" si="28"/>
        <v/>
      </c>
      <c r="F507" t="str">
        <f>IF($A507="","",IF($E507=1,SUMIFS(Compta!$F$1:$F$675,Compta!$A$1:$A$675,$A507,Compta!$B$1:$B$675,$B507,Compta!$C$1:$C$675,"2026"),0))</f>
        <v/>
      </c>
      <c r="G507" t="str">
        <f>IF($A507="","",IF($D507="V01",cad!$C$23,IF($D507="V02",cad!$D$23,cad!$E$23)))</f>
        <v/>
      </c>
      <c r="H507" t="str">
        <f>IF($A507="","",IF($D507="V01",cad!$C$24,IF($D507="V02",cad!$D$24,cad!$E$24)))</f>
        <v/>
      </c>
      <c r="I507" t="str">
        <f>IF($A507="","",IF($D507="V01",cad!$C$32,IF($D507="V02",cad!$D$32,cad!$E$32)))</f>
        <v/>
      </c>
      <c r="J507" t="str">
        <f>IF($A507="","",IF($D507="V01",cad!$C$33,IF($D507="V02",cad!$D$33,cad!$E$33)))</f>
        <v/>
      </c>
      <c r="K507" t="str">
        <f>IF($A507="","",IF($D507="V01",cad!$C$34,IF($D507="V02",cad!$D$34,cad!$E$34)))</f>
        <v/>
      </c>
      <c r="L507" t="str">
        <f>IF($A507="","",IF($D507="V01",cad!$C$35,IF($D507="V02",cad!$D$35,cad!$E$35)))</f>
        <v/>
      </c>
      <c r="M507" t="str">
        <f>IF($A507="","",IF($D507="V01",cad!$C$36,IF($D507="V02",cad!$D$36,cad!$E$36)))</f>
        <v/>
      </c>
      <c r="N507" t="str">
        <f t="shared" si="29"/>
        <v/>
      </c>
      <c r="O507" t="str">
        <f t="shared" si="30"/>
        <v/>
      </c>
      <c r="P507" t="str">
        <f>IF($A507="","",IF($E507=1,$F507*$O507,PNL!G507))</f>
        <v/>
      </c>
      <c r="T507" t="str">
        <f t="shared" si="31"/>
        <v/>
      </c>
    </row>
    <row r="508" spans="1:20" x14ac:dyDescent="0.45">
      <c r="A508" t="str">
        <f>IF(PNL!A508="","",PNL!A508)</f>
        <v/>
      </c>
      <c r="B508" t="str">
        <f>IF(PNL!B508="","",PNL!B508)</f>
        <v/>
      </c>
      <c r="C508" t="str">
        <f>IF(PNL!C508="","",PNL!C508)</f>
        <v/>
      </c>
      <c r="D508" t="str">
        <f>IF(PNL!D508="","",PNL!D508)</f>
        <v/>
      </c>
      <c r="E508" t="str">
        <f t="shared" si="28"/>
        <v/>
      </c>
      <c r="F508" t="str">
        <f>IF($A508="","",IF($E508=1,SUMIFS(Compta!$F$1:$F$675,Compta!$A$1:$A$675,$A508,Compta!$B$1:$B$675,$B508,Compta!$C$1:$C$675,"2026"),0))</f>
        <v/>
      </c>
      <c r="G508" t="str">
        <f>IF($A508="","",IF($D508="V01",cad!$C$23,IF($D508="V02",cad!$D$23,cad!$E$23)))</f>
        <v/>
      </c>
      <c r="H508" t="str">
        <f>IF($A508="","",IF($D508="V01",cad!$C$24,IF($D508="V02",cad!$D$24,cad!$E$24)))</f>
        <v/>
      </c>
      <c r="I508" t="str">
        <f>IF($A508="","",IF($D508="V01",cad!$C$32,IF($D508="V02",cad!$D$32,cad!$E$32)))</f>
        <v/>
      </c>
      <c r="J508" t="str">
        <f>IF($A508="","",IF($D508="V01",cad!$C$33,IF($D508="V02",cad!$D$33,cad!$E$33)))</f>
        <v/>
      </c>
      <c r="K508" t="str">
        <f>IF($A508="","",IF($D508="V01",cad!$C$34,IF($D508="V02",cad!$D$34,cad!$E$34)))</f>
        <v/>
      </c>
      <c r="L508" t="str">
        <f>IF($A508="","",IF($D508="V01",cad!$C$35,IF($D508="V02",cad!$D$35,cad!$E$35)))</f>
        <v/>
      </c>
      <c r="M508" t="str">
        <f>IF($A508="","",IF($D508="V01",cad!$C$36,IF($D508="V02",cad!$D$36,cad!$E$36)))</f>
        <v/>
      </c>
      <c r="N508" t="str">
        <f t="shared" si="29"/>
        <v/>
      </c>
      <c r="O508" t="str">
        <f t="shared" si="30"/>
        <v/>
      </c>
      <c r="P508" t="str">
        <f>IF($A508="","",IF($E508=1,$F508*$O508,PNL!G508))</f>
        <v/>
      </c>
      <c r="T508" t="str">
        <f t="shared" si="31"/>
        <v/>
      </c>
    </row>
    <row r="509" spans="1:20" x14ac:dyDescent="0.45">
      <c r="A509" t="str">
        <f>IF(PNL!A509="","",PNL!A509)</f>
        <v/>
      </c>
      <c r="B509" t="str">
        <f>IF(PNL!B509="","",PNL!B509)</f>
        <v/>
      </c>
      <c r="C509" t="str">
        <f>IF(PNL!C509="","",PNL!C509)</f>
        <v/>
      </c>
      <c r="D509" t="str">
        <f>IF(PNL!D509="","",PNL!D509)</f>
        <v/>
      </c>
      <c r="E509" t="str">
        <f t="shared" si="28"/>
        <v/>
      </c>
      <c r="F509" t="str">
        <f>IF($A509="","",IF($E509=1,SUMIFS(Compta!$F$1:$F$675,Compta!$A$1:$A$675,$A509,Compta!$B$1:$B$675,$B509,Compta!$C$1:$C$675,"2026"),0))</f>
        <v/>
      </c>
      <c r="G509" t="str">
        <f>IF($A509="","",IF($D509="V01",cad!$C$23,IF($D509="V02",cad!$D$23,cad!$E$23)))</f>
        <v/>
      </c>
      <c r="H509" t="str">
        <f>IF($A509="","",IF($D509="V01",cad!$C$24,IF($D509="V02",cad!$D$24,cad!$E$24)))</f>
        <v/>
      </c>
      <c r="I509" t="str">
        <f>IF($A509="","",IF($D509="V01",cad!$C$32,IF($D509="V02",cad!$D$32,cad!$E$32)))</f>
        <v/>
      </c>
      <c r="J509" t="str">
        <f>IF($A509="","",IF($D509="V01",cad!$C$33,IF($D509="V02",cad!$D$33,cad!$E$33)))</f>
        <v/>
      </c>
      <c r="K509" t="str">
        <f>IF($A509="","",IF($D509="V01",cad!$C$34,IF($D509="V02",cad!$D$34,cad!$E$34)))</f>
        <v/>
      </c>
      <c r="L509" t="str">
        <f>IF($A509="","",IF($D509="V01",cad!$C$35,IF($D509="V02",cad!$D$35,cad!$E$35)))</f>
        <v/>
      </c>
      <c r="M509" t="str">
        <f>IF($A509="","",IF($D509="V01",cad!$C$36,IF($D509="V02",cad!$D$36,cad!$E$36)))</f>
        <v/>
      </c>
      <c r="N509" t="str">
        <f t="shared" si="29"/>
        <v/>
      </c>
      <c r="O509" t="str">
        <f t="shared" si="30"/>
        <v/>
      </c>
      <c r="P509" t="str">
        <f>IF($A509="","",IF($E509=1,$F509*$O509,PNL!G509))</f>
        <v/>
      </c>
      <c r="T509" t="str">
        <f t="shared" si="31"/>
        <v/>
      </c>
    </row>
    <row r="510" spans="1:20" x14ac:dyDescent="0.45">
      <c r="A510" t="str">
        <f>IF(PNL!A510="","",PNL!A510)</f>
        <v/>
      </c>
      <c r="B510" t="str">
        <f>IF(PNL!B510="","",PNL!B510)</f>
        <v/>
      </c>
      <c r="C510" t="str">
        <f>IF(PNL!C510="","",PNL!C510)</f>
        <v/>
      </c>
      <c r="D510" t="str">
        <f>IF(PNL!D510="","",PNL!D510)</f>
        <v/>
      </c>
      <c r="E510" t="str">
        <f t="shared" si="28"/>
        <v/>
      </c>
      <c r="F510" t="str">
        <f>IF($A510="","",IF($E510=1,SUMIFS(Compta!$F$1:$F$675,Compta!$A$1:$A$675,$A510,Compta!$B$1:$B$675,$B510,Compta!$C$1:$C$675,"2026"),0))</f>
        <v/>
      </c>
      <c r="G510" t="str">
        <f>IF($A510="","",IF($D510="V01",cad!$C$23,IF($D510="V02",cad!$D$23,cad!$E$23)))</f>
        <v/>
      </c>
      <c r="H510" t="str">
        <f>IF($A510="","",IF($D510="V01",cad!$C$24,IF($D510="V02",cad!$D$24,cad!$E$24)))</f>
        <v/>
      </c>
      <c r="I510" t="str">
        <f>IF($A510="","",IF($D510="V01",cad!$C$32,IF($D510="V02",cad!$D$32,cad!$E$32)))</f>
        <v/>
      </c>
      <c r="J510" t="str">
        <f>IF($A510="","",IF($D510="V01",cad!$C$33,IF($D510="V02",cad!$D$33,cad!$E$33)))</f>
        <v/>
      </c>
      <c r="K510" t="str">
        <f>IF($A510="","",IF($D510="V01",cad!$C$34,IF($D510="V02",cad!$D$34,cad!$E$34)))</f>
        <v/>
      </c>
      <c r="L510" t="str">
        <f>IF($A510="","",IF($D510="V01",cad!$C$35,IF($D510="V02",cad!$D$35,cad!$E$35)))</f>
        <v/>
      </c>
      <c r="M510" t="str">
        <f>IF($A510="","",IF($D510="V01",cad!$C$36,IF($D510="V02",cad!$D$36,cad!$E$36)))</f>
        <v/>
      </c>
      <c r="N510" t="str">
        <f t="shared" si="29"/>
        <v/>
      </c>
      <c r="O510" t="str">
        <f t="shared" si="30"/>
        <v/>
      </c>
      <c r="P510" t="str">
        <f>IF($A510="","",IF($E510=1,$F510*$O510,PNL!G510))</f>
        <v/>
      </c>
      <c r="T510" t="str">
        <f t="shared" si="31"/>
        <v/>
      </c>
    </row>
    <row r="511" spans="1:20" x14ac:dyDescent="0.45">
      <c r="A511" t="str">
        <f>IF(PNL!A511="","",PNL!A511)</f>
        <v/>
      </c>
      <c r="B511" t="str">
        <f>IF(PNL!B511="","",PNL!B511)</f>
        <v/>
      </c>
      <c r="C511" t="str">
        <f>IF(PNL!C511="","",PNL!C511)</f>
        <v/>
      </c>
      <c r="D511" t="str">
        <f>IF(PNL!D511="","",PNL!D511)</f>
        <v/>
      </c>
      <c r="E511" t="str">
        <f t="shared" si="28"/>
        <v/>
      </c>
      <c r="F511" t="str">
        <f>IF($A511="","",IF($E511=1,SUMIFS(Compta!$F$1:$F$675,Compta!$A$1:$A$675,$A511,Compta!$B$1:$B$675,$B511,Compta!$C$1:$C$675,"2026"),0))</f>
        <v/>
      </c>
      <c r="G511" t="str">
        <f>IF($A511="","",IF($D511="V01",cad!$C$23,IF($D511="V02",cad!$D$23,cad!$E$23)))</f>
        <v/>
      </c>
      <c r="H511" t="str">
        <f>IF($A511="","",IF($D511="V01",cad!$C$24,IF($D511="V02",cad!$D$24,cad!$E$24)))</f>
        <v/>
      </c>
      <c r="I511" t="str">
        <f>IF($A511="","",IF($D511="V01",cad!$C$32,IF($D511="V02",cad!$D$32,cad!$E$32)))</f>
        <v/>
      </c>
      <c r="J511" t="str">
        <f>IF($A511="","",IF($D511="V01",cad!$C$33,IF($D511="V02",cad!$D$33,cad!$E$33)))</f>
        <v/>
      </c>
      <c r="K511" t="str">
        <f>IF($A511="","",IF($D511="V01",cad!$C$34,IF($D511="V02",cad!$D$34,cad!$E$34)))</f>
        <v/>
      </c>
      <c r="L511" t="str">
        <f>IF($A511="","",IF($D511="V01",cad!$C$35,IF($D511="V02",cad!$D$35,cad!$E$35)))</f>
        <v/>
      </c>
      <c r="M511" t="str">
        <f>IF($A511="","",IF($D511="V01",cad!$C$36,IF($D511="V02",cad!$D$36,cad!$E$36)))</f>
        <v/>
      </c>
      <c r="N511" t="str">
        <f t="shared" si="29"/>
        <v/>
      </c>
      <c r="O511" t="str">
        <f t="shared" si="30"/>
        <v/>
      </c>
      <c r="P511" t="str">
        <f>IF($A511="","",IF($E511=1,$F511*$O511,PNL!G511))</f>
        <v/>
      </c>
      <c r="T511" t="str">
        <f t="shared" si="31"/>
        <v/>
      </c>
    </row>
    <row r="512" spans="1:20" x14ac:dyDescent="0.45">
      <c r="A512" t="str">
        <f>IF(PNL!A512="","",PNL!A512)</f>
        <v/>
      </c>
      <c r="B512" t="str">
        <f>IF(PNL!B512="","",PNL!B512)</f>
        <v/>
      </c>
      <c r="C512" t="str">
        <f>IF(PNL!C512="","",PNL!C512)</f>
        <v/>
      </c>
      <c r="D512" t="str">
        <f>IF(PNL!D512="","",PNL!D512)</f>
        <v/>
      </c>
      <c r="E512" t="str">
        <f t="shared" si="28"/>
        <v/>
      </c>
      <c r="F512" t="str">
        <f>IF($A512="","",IF($E512=1,SUMIFS(Compta!$F$1:$F$675,Compta!$A$1:$A$675,$A512,Compta!$B$1:$B$675,$B512,Compta!$C$1:$C$675,"2026"),0))</f>
        <v/>
      </c>
      <c r="G512" t="str">
        <f>IF($A512="","",IF($D512="V01",cad!$C$23,IF($D512="V02",cad!$D$23,cad!$E$23)))</f>
        <v/>
      </c>
      <c r="H512" t="str">
        <f>IF($A512="","",IF($D512="V01",cad!$C$24,IF($D512="V02",cad!$D$24,cad!$E$24)))</f>
        <v/>
      </c>
      <c r="I512" t="str">
        <f>IF($A512="","",IF($D512="V01",cad!$C$32,IF($D512="V02",cad!$D$32,cad!$E$32)))</f>
        <v/>
      </c>
      <c r="J512" t="str">
        <f>IF($A512="","",IF($D512="V01",cad!$C$33,IF($D512="V02",cad!$D$33,cad!$E$33)))</f>
        <v/>
      </c>
      <c r="K512" t="str">
        <f>IF($A512="","",IF($D512="V01",cad!$C$34,IF($D512="V02",cad!$D$34,cad!$E$34)))</f>
        <v/>
      </c>
      <c r="L512" t="str">
        <f>IF($A512="","",IF($D512="V01",cad!$C$35,IF($D512="V02",cad!$D$35,cad!$E$35)))</f>
        <v/>
      </c>
      <c r="M512" t="str">
        <f>IF($A512="","",IF($D512="V01",cad!$C$36,IF($D512="V02",cad!$D$36,cad!$E$36)))</f>
        <v/>
      </c>
      <c r="N512" t="str">
        <f t="shared" si="29"/>
        <v/>
      </c>
      <c r="O512" t="str">
        <f t="shared" si="30"/>
        <v/>
      </c>
      <c r="P512" t="str">
        <f>IF($A512="","",IF($E512=1,$F512*$O512,PNL!G512))</f>
        <v/>
      </c>
      <c r="T512" t="str">
        <f t="shared" si="31"/>
        <v/>
      </c>
    </row>
    <row r="513" spans="1:20" x14ac:dyDescent="0.45">
      <c r="A513" t="str">
        <f>IF(PNL!A513="","",PNL!A513)</f>
        <v/>
      </c>
      <c r="B513" t="str">
        <f>IF(PNL!B513="","",PNL!B513)</f>
        <v/>
      </c>
      <c r="C513" t="str">
        <f>IF(PNL!C513="","",PNL!C513)</f>
        <v/>
      </c>
      <c r="D513" t="str">
        <f>IF(PNL!D513="","",PNL!D513)</f>
        <v/>
      </c>
      <c r="E513" t="str">
        <f t="shared" si="28"/>
        <v/>
      </c>
      <c r="F513" t="str">
        <f>IF($A513="","",IF($E513=1,SUMIFS(Compta!$F$1:$F$675,Compta!$A$1:$A$675,$A513,Compta!$B$1:$B$675,$B513,Compta!$C$1:$C$675,"2026"),0))</f>
        <v/>
      </c>
      <c r="G513" t="str">
        <f>IF($A513="","",IF($D513="V01",cad!$C$23,IF($D513="V02",cad!$D$23,cad!$E$23)))</f>
        <v/>
      </c>
      <c r="H513" t="str">
        <f>IF($A513="","",IF($D513="V01",cad!$C$24,IF($D513="V02",cad!$D$24,cad!$E$24)))</f>
        <v/>
      </c>
      <c r="I513" t="str">
        <f>IF($A513="","",IF($D513="V01",cad!$C$32,IF($D513="V02",cad!$D$32,cad!$E$32)))</f>
        <v/>
      </c>
      <c r="J513" t="str">
        <f>IF($A513="","",IF($D513="V01",cad!$C$33,IF($D513="V02",cad!$D$33,cad!$E$33)))</f>
        <v/>
      </c>
      <c r="K513" t="str">
        <f>IF($A513="","",IF($D513="V01",cad!$C$34,IF($D513="V02",cad!$D$34,cad!$E$34)))</f>
        <v/>
      </c>
      <c r="L513" t="str">
        <f>IF($A513="","",IF($D513="V01",cad!$C$35,IF($D513="V02",cad!$D$35,cad!$E$35)))</f>
        <v/>
      </c>
      <c r="M513" t="str">
        <f>IF($A513="","",IF($D513="V01",cad!$C$36,IF($D513="V02",cad!$D$36,cad!$E$36)))</f>
        <v/>
      </c>
      <c r="N513" t="str">
        <f t="shared" si="29"/>
        <v/>
      </c>
      <c r="O513" t="str">
        <f t="shared" si="30"/>
        <v/>
      </c>
      <c r="P513" t="str">
        <f>IF($A513="","",IF($E513=1,$F513*$O513,PNL!G513))</f>
        <v/>
      </c>
      <c r="T513" t="str">
        <f t="shared" si="31"/>
        <v/>
      </c>
    </row>
    <row r="514" spans="1:20" x14ac:dyDescent="0.45">
      <c r="A514" t="str">
        <f>IF(PNL!A514="","",PNL!A514)</f>
        <v/>
      </c>
      <c r="B514" t="str">
        <f>IF(PNL!B514="","",PNL!B514)</f>
        <v/>
      </c>
      <c r="C514" t="str">
        <f>IF(PNL!C514="","",PNL!C514)</f>
        <v/>
      </c>
      <c r="D514" t="str">
        <f>IF(PNL!D514="","",PNL!D514)</f>
        <v/>
      </c>
      <c r="E514" t="str">
        <f t="shared" ref="E514:E577" si="32">IF($A514="","",IF(AND($C514="2027",OR($D514="V01",$D514="V02",$D514="V03")),1,0))</f>
        <v/>
      </c>
      <c r="F514" t="str">
        <f>IF($A514="","",IF($E514=1,SUMIFS(Compta!$F$1:$F$675,Compta!$A$1:$A$675,$A514,Compta!$B$1:$B$675,$B514,Compta!$C$1:$C$675,"2026"),0))</f>
        <v/>
      </c>
      <c r="G514" t="str">
        <f>IF($A514="","",IF($D514="V01",cad!$C$23,IF($D514="V02",cad!$D$23,cad!$E$23)))</f>
        <v/>
      </c>
      <c r="H514" t="str">
        <f>IF($A514="","",IF($D514="V01",cad!$C$24,IF($D514="V02",cad!$D$24,cad!$E$24)))</f>
        <v/>
      </c>
      <c r="I514" t="str">
        <f>IF($A514="","",IF($D514="V01",cad!$C$32,IF($D514="V02",cad!$D$32,cad!$E$32)))</f>
        <v/>
      </c>
      <c r="J514" t="str">
        <f>IF($A514="","",IF($D514="V01",cad!$C$33,IF($D514="V02",cad!$D$33,cad!$E$33)))</f>
        <v/>
      </c>
      <c r="K514" t="str">
        <f>IF($A514="","",IF($D514="V01",cad!$C$34,IF($D514="V02",cad!$D$34,cad!$E$34)))</f>
        <v/>
      </c>
      <c r="L514" t="str">
        <f>IF($A514="","",IF($D514="V01",cad!$C$35,IF($D514="V02",cad!$D$35,cad!$E$35)))</f>
        <v/>
      </c>
      <c r="M514" t="str">
        <f>IF($A514="","",IF($D514="V01",cad!$C$36,IF($D514="V02",cad!$D$36,cad!$E$36)))</f>
        <v/>
      </c>
      <c r="N514" t="str">
        <f t="shared" ref="N514:N577" si="33">IF($A514="","",IF($D514="V01",$R$2,IF($D514="V02",$R$3,$R$4)))</f>
        <v/>
      </c>
      <c r="O514" t="str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 t="str">
        <f>IF($A514="","",IF($E514=1,$F514*$O514,PNL!G514))</f>
        <v/>
      </c>
      <c r="T514" t="str">
        <f t="shared" ref="T514:T577" si="35">IF($A514="","",IF($E514=1,IF(OR($B514="7062",$B514="706",$B514="708"),$P514,IF(AND(LEFT($B514,1)="6",$B514&lt;&gt;"6811"),-$P514,0)),0))</f>
        <v/>
      </c>
    </row>
    <row r="515" spans="1:20" x14ac:dyDescent="0.45">
      <c r="A515" t="str">
        <f>IF(PNL!A515="","",PNL!A515)</f>
        <v/>
      </c>
      <c r="B515" t="str">
        <f>IF(PNL!B515="","",PNL!B515)</f>
        <v/>
      </c>
      <c r="C515" t="str">
        <f>IF(PNL!C515="","",PNL!C515)</f>
        <v/>
      </c>
      <c r="D515" t="str">
        <f>IF(PNL!D515="","",PNL!D515)</f>
        <v/>
      </c>
      <c r="E515" t="str">
        <f t="shared" si="32"/>
        <v/>
      </c>
      <c r="F515" t="str">
        <f>IF($A515="","",IF($E515=1,SUMIFS(Compta!$F$1:$F$675,Compta!$A$1:$A$675,$A515,Compta!$B$1:$B$675,$B515,Compta!$C$1:$C$675,"2026"),0))</f>
        <v/>
      </c>
      <c r="G515" t="str">
        <f>IF($A515="","",IF($D515="V01",cad!$C$23,IF($D515="V02",cad!$D$23,cad!$E$23)))</f>
        <v/>
      </c>
      <c r="H515" t="str">
        <f>IF($A515="","",IF($D515="V01",cad!$C$24,IF($D515="V02",cad!$D$24,cad!$E$24)))</f>
        <v/>
      </c>
      <c r="I515" t="str">
        <f>IF($A515="","",IF($D515="V01",cad!$C$32,IF($D515="V02",cad!$D$32,cad!$E$32)))</f>
        <v/>
      </c>
      <c r="J515" t="str">
        <f>IF($A515="","",IF($D515="V01",cad!$C$33,IF($D515="V02",cad!$D$33,cad!$E$33)))</f>
        <v/>
      </c>
      <c r="K515" t="str">
        <f>IF($A515="","",IF($D515="V01",cad!$C$34,IF($D515="V02",cad!$D$34,cad!$E$34)))</f>
        <v/>
      </c>
      <c r="L515" t="str">
        <f>IF($A515="","",IF($D515="V01",cad!$C$35,IF($D515="V02",cad!$D$35,cad!$E$35)))</f>
        <v/>
      </c>
      <c r="M515" t="str">
        <f>IF($A515="","",IF($D515="V01",cad!$C$36,IF($D515="V02",cad!$D$36,cad!$E$36)))</f>
        <v/>
      </c>
      <c r="N515" t="str">
        <f t="shared" si="33"/>
        <v/>
      </c>
      <c r="O515" t="str">
        <f t="shared" si="34"/>
        <v/>
      </c>
      <c r="P515" t="str">
        <f>IF($A515="","",IF($E515=1,$F515*$O515,PNL!G515))</f>
        <v/>
      </c>
      <c r="T515" t="str">
        <f t="shared" si="35"/>
        <v/>
      </c>
    </row>
    <row r="516" spans="1:20" x14ac:dyDescent="0.45">
      <c r="A516" t="str">
        <f>IF(PNL!A516="","",PNL!A516)</f>
        <v/>
      </c>
      <c r="B516" t="str">
        <f>IF(PNL!B516="","",PNL!B516)</f>
        <v/>
      </c>
      <c r="C516" t="str">
        <f>IF(PNL!C516="","",PNL!C516)</f>
        <v/>
      </c>
      <c r="D516" t="str">
        <f>IF(PNL!D516="","",PNL!D516)</f>
        <v/>
      </c>
      <c r="E516" t="str">
        <f t="shared" si="32"/>
        <v/>
      </c>
      <c r="F516" t="str">
        <f>IF($A516="","",IF($E516=1,SUMIFS(Compta!$F$1:$F$675,Compta!$A$1:$A$675,$A516,Compta!$B$1:$B$675,$B516,Compta!$C$1:$C$675,"2026"),0))</f>
        <v/>
      </c>
      <c r="G516" t="str">
        <f>IF($A516="","",IF($D516="V01",cad!$C$23,IF($D516="V02",cad!$D$23,cad!$E$23)))</f>
        <v/>
      </c>
      <c r="H516" t="str">
        <f>IF($A516="","",IF($D516="V01",cad!$C$24,IF($D516="V02",cad!$D$24,cad!$E$24)))</f>
        <v/>
      </c>
      <c r="I516" t="str">
        <f>IF($A516="","",IF($D516="V01",cad!$C$32,IF($D516="V02",cad!$D$32,cad!$E$32)))</f>
        <v/>
      </c>
      <c r="J516" t="str">
        <f>IF($A516="","",IF($D516="V01",cad!$C$33,IF($D516="V02",cad!$D$33,cad!$E$33)))</f>
        <v/>
      </c>
      <c r="K516" t="str">
        <f>IF($A516="","",IF($D516="V01",cad!$C$34,IF($D516="V02",cad!$D$34,cad!$E$34)))</f>
        <v/>
      </c>
      <c r="L516" t="str">
        <f>IF($A516="","",IF($D516="V01",cad!$C$35,IF($D516="V02",cad!$D$35,cad!$E$35)))</f>
        <v/>
      </c>
      <c r="M516" t="str">
        <f>IF($A516="","",IF($D516="V01",cad!$C$36,IF($D516="V02",cad!$D$36,cad!$E$36)))</f>
        <v/>
      </c>
      <c r="N516" t="str">
        <f t="shared" si="33"/>
        <v/>
      </c>
      <c r="O516" t="str">
        <f t="shared" si="34"/>
        <v/>
      </c>
      <c r="P516" t="str">
        <f>IF($A516="","",IF($E516=1,$F516*$O516,PNL!G516))</f>
        <v/>
      </c>
      <c r="T516" t="str">
        <f t="shared" si="35"/>
        <v/>
      </c>
    </row>
    <row r="517" spans="1:20" x14ac:dyDescent="0.45">
      <c r="A517" t="str">
        <f>IF(PNL!A517="","",PNL!A517)</f>
        <v/>
      </c>
      <c r="B517" t="str">
        <f>IF(PNL!B517="","",PNL!B517)</f>
        <v/>
      </c>
      <c r="C517" t="str">
        <f>IF(PNL!C517="","",PNL!C517)</f>
        <v/>
      </c>
      <c r="D517" t="str">
        <f>IF(PNL!D517="","",PNL!D517)</f>
        <v/>
      </c>
      <c r="E517" t="str">
        <f t="shared" si="32"/>
        <v/>
      </c>
      <c r="F517" t="str">
        <f>IF($A517="","",IF($E517=1,SUMIFS(Compta!$F$1:$F$675,Compta!$A$1:$A$675,$A517,Compta!$B$1:$B$675,$B517,Compta!$C$1:$C$675,"2026"),0))</f>
        <v/>
      </c>
      <c r="G517" t="str">
        <f>IF($A517="","",IF($D517="V01",cad!$C$23,IF($D517="V02",cad!$D$23,cad!$E$23)))</f>
        <v/>
      </c>
      <c r="H517" t="str">
        <f>IF($A517="","",IF($D517="V01",cad!$C$24,IF($D517="V02",cad!$D$24,cad!$E$24)))</f>
        <v/>
      </c>
      <c r="I517" t="str">
        <f>IF($A517="","",IF($D517="V01",cad!$C$32,IF($D517="V02",cad!$D$32,cad!$E$32)))</f>
        <v/>
      </c>
      <c r="J517" t="str">
        <f>IF($A517="","",IF($D517="V01",cad!$C$33,IF($D517="V02",cad!$D$33,cad!$E$33)))</f>
        <v/>
      </c>
      <c r="K517" t="str">
        <f>IF($A517="","",IF($D517="V01",cad!$C$34,IF($D517="V02",cad!$D$34,cad!$E$34)))</f>
        <v/>
      </c>
      <c r="L517" t="str">
        <f>IF($A517="","",IF($D517="V01",cad!$C$35,IF($D517="V02",cad!$D$35,cad!$E$35)))</f>
        <v/>
      </c>
      <c r="M517" t="str">
        <f>IF($A517="","",IF($D517="V01",cad!$C$36,IF($D517="V02",cad!$D$36,cad!$E$36)))</f>
        <v/>
      </c>
      <c r="N517" t="str">
        <f t="shared" si="33"/>
        <v/>
      </c>
      <c r="O517" t="str">
        <f t="shared" si="34"/>
        <v/>
      </c>
      <c r="P517" t="str">
        <f>IF($A517="","",IF($E517=1,$F517*$O517,PNL!G517))</f>
        <v/>
      </c>
      <c r="T517" t="str">
        <f t="shared" si="35"/>
        <v/>
      </c>
    </row>
    <row r="518" spans="1:20" x14ac:dyDescent="0.45">
      <c r="A518" t="str">
        <f>IF(PNL!A518="","",PNL!A518)</f>
        <v/>
      </c>
      <c r="B518" t="str">
        <f>IF(PNL!B518="","",PNL!B518)</f>
        <v/>
      </c>
      <c r="C518" t="str">
        <f>IF(PNL!C518="","",PNL!C518)</f>
        <v/>
      </c>
      <c r="D518" t="str">
        <f>IF(PNL!D518="","",PNL!D518)</f>
        <v/>
      </c>
      <c r="E518" t="str">
        <f t="shared" si="32"/>
        <v/>
      </c>
      <c r="F518" t="str">
        <f>IF($A518="","",IF($E518=1,SUMIFS(Compta!$F$1:$F$675,Compta!$A$1:$A$675,$A518,Compta!$B$1:$B$675,$B518,Compta!$C$1:$C$675,"2026"),0))</f>
        <v/>
      </c>
      <c r="G518" t="str">
        <f>IF($A518="","",IF($D518="V01",cad!$C$23,IF($D518="V02",cad!$D$23,cad!$E$23)))</f>
        <v/>
      </c>
      <c r="H518" t="str">
        <f>IF($A518="","",IF($D518="V01",cad!$C$24,IF($D518="V02",cad!$D$24,cad!$E$24)))</f>
        <v/>
      </c>
      <c r="I518" t="str">
        <f>IF($A518="","",IF($D518="V01",cad!$C$32,IF($D518="V02",cad!$D$32,cad!$E$32)))</f>
        <v/>
      </c>
      <c r="J518" t="str">
        <f>IF($A518="","",IF($D518="V01",cad!$C$33,IF($D518="V02",cad!$D$33,cad!$E$33)))</f>
        <v/>
      </c>
      <c r="K518" t="str">
        <f>IF($A518="","",IF($D518="V01",cad!$C$34,IF($D518="V02",cad!$D$34,cad!$E$34)))</f>
        <v/>
      </c>
      <c r="L518" t="str">
        <f>IF($A518="","",IF($D518="V01",cad!$C$35,IF($D518="V02",cad!$D$35,cad!$E$35)))</f>
        <v/>
      </c>
      <c r="M518" t="str">
        <f>IF($A518="","",IF($D518="V01",cad!$C$36,IF($D518="V02",cad!$D$36,cad!$E$36)))</f>
        <v/>
      </c>
      <c r="N518" t="str">
        <f t="shared" si="33"/>
        <v/>
      </c>
      <c r="O518" t="str">
        <f t="shared" si="34"/>
        <v/>
      </c>
      <c r="P518" t="str">
        <f>IF($A518="","",IF($E518=1,$F518*$O518,PNL!G518))</f>
        <v/>
      </c>
      <c r="T518" t="str">
        <f t="shared" si="35"/>
        <v/>
      </c>
    </row>
    <row r="519" spans="1:20" x14ac:dyDescent="0.45">
      <c r="A519" t="str">
        <f>IF(PNL!A519="","",PNL!A519)</f>
        <v/>
      </c>
      <c r="B519" t="str">
        <f>IF(PNL!B519="","",PNL!B519)</f>
        <v/>
      </c>
      <c r="C519" t="str">
        <f>IF(PNL!C519="","",PNL!C519)</f>
        <v/>
      </c>
      <c r="D519" t="str">
        <f>IF(PNL!D519="","",PNL!D519)</f>
        <v/>
      </c>
      <c r="E519" t="str">
        <f t="shared" si="32"/>
        <v/>
      </c>
      <c r="F519" t="str">
        <f>IF($A519="","",IF($E519=1,SUMIFS(Compta!$F$1:$F$675,Compta!$A$1:$A$675,$A519,Compta!$B$1:$B$675,$B519,Compta!$C$1:$C$675,"2026"),0))</f>
        <v/>
      </c>
      <c r="G519" t="str">
        <f>IF($A519="","",IF($D519="V01",cad!$C$23,IF($D519="V02",cad!$D$23,cad!$E$23)))</f>
        <v/>
      </c>
      <c r="H519" t="str">
        <f>IF($A519="","",IF($D519="V01",cad!$C$24,IF($D519="V02",cad!$D$24,cad!$E$24)))</f>
        <v/>
      </c>
      <c r="I519" t="str">
        <f>IF($A519="","",IF($D519="V01",cad!$C$32,IF($D519="V02",cad!$D$32,cad!$E$32)))</f>
        <v/>
      </c>
      <c r="J519" t="str">
        <f>IF($A519="","",IF($D519="V01",cad!$C$33,IF($D519="V02",cad!$D$33,cad!$E$33)))</f>
        <v/>
      </c>
      <c r="K519" t="str">
        <f>IF($A519="","",IF($D519="V01",cad!$C$34,IF($D519="V02",cad!$D$34,cad!$E$34)))</f>
        <v/>
      </c>
      <c r="L519" t="str">
        <f>IF($A519="","",IF($D519="V01",cad!$C$35,IF($D519="V02",cad!$D$35,cad!$E$35)))</f>
        <v/>
      </c>
      <c r="M519" t="str">
        <f>IF($A519="","",IF($D519="V01",cad!$C$36,IF($D519="V02",cad!$D$36,cad!$E$36)))</f>
        <v/>
      </c>
      <c r="N519" t="str">
        <f t="shared" si="33"/>
        <v/>
      </c>
      <c r="O519" t="str">
        <f t="shared" si="34"/>
        <v/>
      </c>
      <c r="P519" t="str">
        <f>IF($A519="","",IF($E519=1,$F519*$O519,PNL!G519))</f>
        <v/>
      </c>
      <c r="T519" t="str">
        <f t="shared" si="35"/>
        <v/>
      </c>
    </row>
    <row r="520" spans="1:20" x14ac:dyDescent="0.45">
      <c r="A520" t="str">
        <f>IF(PNL!A520="","",PNL!A520)</f>
        <v/>
      </c>
      <c r="B520" t="str">
        <f>IF(PNL!B520="","",PNL!B520)</f>
        <v/>
      </c>
      <c r="C520" t="str">
        <f>IF(PNL!C520="","",PNL!C520)</f>
        <v/>
      </c>
      <c r="D520" t="str">
        <f>IF(PNL!D520="","",PNL!D520)</f>
        <v/>
      </c>
      <c r="E520" t="str">
        <f t="shared" si="32"/>
        <v/>
      </c>
      <c r="F520" t="str">
        <f>IF($A520="","",IF($E520=1,SUMIFS(Compta!$F$1:$F$675,Compta!$A$1:$A$675,$A520,Compta!$B$1:$B$675,$B520,Compta!$C$1:$C$675,"2026"),0))</f>
        <v/>
      </c>
      <c r="G520" t="str">
        <f>IF($A520="","",IF($D520="V01",cad!$C$23,IF($D520="V02",cad!$D$23,cad!$E$23)))</f>
        <v/>
      </c>
      <c r="H520" t="str">
        <f>IF($A520="","",IF($D520="V01",cad!$C$24,IF($D520="V02",cad!$D$24,cad!$E$24)))</f>
        <v/>
      </c>
      <c r="I520" t="str">
        <f>IF($A520="","",IF($D520="V01",cad!$C$32,IF($D520="V02",cad!$D$32,cad!$E$32)))</f>
        <v/>
      </c>
      <c r="J520" t="str">
        <f>IF($A520="","",IF($D520="V01",cad!$C$33,IF($D520="V02",cad!$D$33,cad!$E$33)))</f>
        <v/>
      </c>
      <c r="K520" t="str">
        <f>IF($A520="","",IF($D520="V01",cad!$C$34,IF($D520="V02",cad!$D$34,cad!$E$34)))</f>
        <v/>
      </c>
      <c r="L520" t="str">
        <f>IF($A520="","",IF($D520="V01",cad!$C$35,IF($D520="V02",cad!$D$35,cad!$E$35)))</f>
        <v/>
      </c>
      <c r="M520" t="str">
        <f>IF($A520="","",IF($D520="V01",cad!$C$36,IF($D520="V02",cad!$D$36,cad!$E$36)))</f>
        <v/>
      </c>
      <c r="N520" t="str">
        <f t="shared" si="33"/>
        <v/>
      </c>
      <c r="O520" t="str">
        <f t="shared" si="34"/>
        <v/>
      </c>
      <c r="P520" t="str">
        <f>IF($A520="","",IF($E520=1,$F520*$O520,PNL!G520))</f>
        <v/>
      </c>
      <c r="T520" t="str">
        <f t="shared" si="35"/>
        <v/>
      </c>
    </row>
    <row r="521" spans="1:20" x14ac:dyDescent="0.45">
      <c r="A521" t="str">
        <f>IF(PNL!A521="","",PNL!A521)</f>
        <v/>
      </c>
      <c r="B521" t="str">
        <f>IF(PNL!B521="","",PNL!B521)</f>
        <v/>
      </c>
      <c r="C521" t="str">
        <f>IF(PNL!C521="","",PNL!C521)</f>
        <v/>
      </c>
      <c r="D521" t="str">
        <f>IF(PNL!D521="","",PNL!D521)</f>
        <v/>
      </c>
      <c r="E521" t="str">
        <f t="shared" si="32"/>
        <v/>
      </c>
      <c r="F521" t="str">
        <f>IF($A521="","",IF($E521=1,SUMIFS(Compta!$F$1:$F$675,Compta!$A$1:$A$675,$A521,Compta!$B$1:$B$675,$B521,Compta!$C$1:$C$675,"2026"),0))</f>
        <v/>
      </c>
      <c r="G521" t="str">
        <f>IF($A521="","",IF($D521="V01",cad!$C$23,IF($D521="V02",cad!$D$23,cad!$E$23)))</f>
        <v/>
      </c>
      <c r="H521" t="str">
        <f>IF($A521="","",IF($D521="V01",cad!$C$24,IF($D521="V02",cad!$D$24,cad!$E$24)))</f>
        <v/>
      </c>
      <c r="I521" t="str">
        <f>IF($A521="","",IF($D521="V01",cad!$C$32,IF($D521="V02",cad!$D$32,cad!$E$32)))</f>
        <v/>
      </c>
      <c r="J521" t="str">
        <f>IF($A521="","",IF($D521="V01",cad!$C$33,IF($D521="V02",cad!$D$33,cad!$E$33)))</f>
        <v/>
      </c>
      <c r="K521" t="str">
        <f>IF($A521="","",IF($D521="V01",cad!$C$34,IF($D521="V02",cad!$D$34,cad!$E$34)))</f>
        <v/>
      </c>
      <c r="L521" t="str">
        <f>IF($A521="","",IF($D521="V01",cad!$C$35,IF($D521="V02",cad!$D$35,cad!$E$35)))</f>
        <v/>
      </c>
      <c r="M521" t="str">
        <f>IF($A521="","",IF($D521="V01",cad!$C$36,IF($D521="V02",cad!$D$36,cad!$E$36)))</f>
        <v/>
      </c>
      <c r="N521" t="str">
        <f t="shared" si="33"/>
        <v/>
      </c>
      <c r="O521" t="str">
        <f t="shared" si="34"/>
        <v/>
      </c>
      <c r="P521" t="str">
        <f>IF($A521="","",IF($E521=1,$F521*$O521,PNL!G521))</f>
        <v/>
      </c>
      <c r="T521" t="str">
        <f t="shared" si="35"/>
        <v/>
      </c>
    </row>
    <row r="522" spans="1:20" x14ac:dyDescent="0.45">
      <c r="A522" t="str">
        <f>IF(PNL!A522="","",PNL!A522)</f>
        <v/>
      </c>
      <c r="B522" t="str">
        <f>IF(PNL!B522="","",PNL!B522)</f>
        <v/>
      </c>
      <c r="C522" t="str">
        <f>IF(PNL!C522="","",PNL!C522)</f>
        <v/>
      </c>
      <c r="D522" t="str">
        <f>IF(PNL!D522="","",PNL!D522)</f>
        <v/>
      </c>
      <c r="E522" t="str">
        <f t="shared" si="32"/>
        <v/>
      </c>
      <c r="F522" t="str">
        <f>IF($A522="","",IF($E522=1,SUMIFS(Compta!$F$1:$F$675,Compta!$A$1:$A$675,$A522,Compta!$B$1:$B$675,$B522,Compta!$C$1:$C$675,"2026"),0))</f>
        <v/>
      </c>
      <c r="G522" t="str">
        <f>IF($A522="","",IF($D522="V01",cad!$C$23,IF($D522="V02",cad!$D$23,cad!$E$23)))</f>
        <v/>
      </c>
      <c r="H522" t="str">
        <f>IF($A522="","",IF($D522="V01",cad!$C$24,IF($D522="V02",cad!$D$24,cad!$E$24)))</f>
        <v/>
      </c>
      <c r="I522" t="str">
        <f>IF($A522="","",IF($D522="V01",cad!$C$32,IF($D522="V02",cad!$D$32,cad!$E$32)))</f>
        <v/>
      </c>
      <c r="J522" t="str">
        <f>IF($A522="","",IF($D522="V01",cad!$C$33,IF($D522="V02",cad!$D$33,cad!$E$33)))</f>
        <v/>
      </c>
      <c r="K522" t="str">
        <f>IF($A522="","",IF($D522="V01",cad!$C$34,IF($D522="V02",cad!$D$34,cad!$E$34)))</f>
        <v/>
      </c>
      <c r="L522" t="str">
        <f>IF($A522="","",IF($D522="V01",cad!$C$35,IF($D522="V02",cad!$D$35,cad!$E$35)))</f>
        <v/>
      </c>
      <c r="M522" t="str">
        <f>IF($A522="","",IF($D522="V01",cad!$C$36,IF($D522="V02",cad!$D$36,cad!$E$36)))</f>
        <v/>
      </c>
      <c r="N522" t="str">
        <f t="shared" si="33"/>
        <v/>
      </c>
      <c r="O522" t="str">
        <f t="shared" si="34"/>
        <v/>
      </c>
      <c r="P522" t="str">
        <f>IF($A522="","",IF($E522=1,$F522*$O522,PNL!G522))</f>
        <v/>
      </c>
      <c r="T522" t="str">
        <f t="shared" si="35"/>
        <v/>
      </c>
    </row>
    <row r="523" spans="1:20" x14ac:dyDescent="0.45">
      <c r="A523" t="str">
        <f>IF(PNL!A523="","",PNL!A523)</f>
        <v/>
      </c>
      <c r="B523" t="str">
        <f>IF(PNL!B523="","",PNL!B523)</f>
        <v/>
      </c>
      <c r="C523" t="str">
        <f>IF(PNL!C523="","",PNL!C523)</f>
        <v/>
      </c>
      <c r="D523" t="str">
        <f>IF(PNL!D523="","",PNL!D523)</f>
        <v/>
      </c>
      <c r="E523" t="str">
        <f t="shared" si="32"/>
        <v/>
      </c>
      <c r="F523" t="str">
        <f>IF($A523="","",IF($E523=1,SUMIFS(Compta!$F$1:$F$675,Compta!$A$1:$A$675,$A523,Compta!$B$1:$B$675,$B523,Compta!$C$1:$C$675,"2026"),0))</f>
        <v/>
      </c>
      <c r="G523" t="str">
        <f>IF($A523="","",IF($D523="V01",cad!$C$23,IF($D523="V02",cad!$D$23,cad!$E$23)))</f>
        <v/>
      </c>
      <c r="H523" t="str">
        <f>IF($A523="","",IF($D523="V01",cad!$C$24,IF($D523="V02",cad!$D$24,cad!$E$24)))</f>
        <v/>
      </c>
      <c r="I523" t="str">
        <f>IF($A523="","",IF($D523="V01",cad!$C$32,IF($D523="V02",cad!$D$32,cad!$E$32)))</f>
        <v/>
      </c>
      <c r="J523" t="str">
        <f>IF($A523="","",IF($D523="V01",cad!$C$33,IF($D523="V02",cad!$D$33,cad!$E$33)))</f>
        <v/>
      </c>
      <c r="K523" t="str">
        <f>IF($A523="","",IF($D523="V01",cad!$C$34,IF($D523="V02",cad!$D$34,cad!$E$34)))</f>
        <v/>
      </c>
      <c r="L523" t="str">
        <f>IF($A523="","",IF($D523="V01",cad!$C$35,IF($D523="V02",cad!$D$35,cad!$E$35)))</f>
        <v/>
      </c>
      <c r="M523" t="str">
        <f>IF($A523="","",IF($D523="V01",cad!$C$36,IF($D523="V02",cad!$D$36,cad!$E$36)))</f>
        <v/>
      </c>
      <c r="N523" t="str">
        <f t="shared" si="33"/>
        <v/>
      </c>
      <c r="O523" t="str">
        <f t="shared" si="34"/>
        <v/>
      </c>
      <c r="P523" t="str">
        <f>IF($A523="","",IF($E523=1,$F523*$O523,PNL!G523))</f>
        <v/>
      </c>
      <c r="T523" t="str">
        <f t="shared" si="35"/>
        <v/>
      </c>
    </row>
    <row r="524" spans="1:20" x14ac:dyDescent="0.45">
      <c r="A524" t="str">
        <f>IF(PNL!A524="","",PNL!A524)</f>
        <v/>
      </c>
      <c r="B524" t="str">
        <f>IF(PNL!B524="","",PNL!B524)</f>
        <v/>
      </c>
      <c r="C524" t="str">
        <f>IF(PNL!C524="","",PNL!C524)</f>
        <v/>
      </c>
      <c r="D524" t="str">
        <f>IF(PNL!D524="","",PNL!D524)</f>
        <v/>
      </c>
      <c r="E524" t="str">
        <f t="shared" si="32"/>
        <v/>
      </c>
      <c r="F524" t="str">
        <f>IF($A524="","",IF($E524=1,SUMIFS(Compta!$F$1:$F$675,Compta!$A$1:$A$675,$A524,Compta!$B$1:$B$675,$B524,Compta!$C$1:$C$675,"2026"),0))</f>
        <v/>
      </c>
      <c r="G524" t="str">
        <f>IF($A524="","",IF($D524="V01",cad!$C$23,IF($D524="V02",cad!$D$23,cad!$E$23)))</f>
        <v/>
      </c>
      <c r="H524" t="str">
        <f>IF($A524="","",IF($D524="V01",cad!$C$24,IF($D524="V02",cad!$D$24,cad!$E$24)))</f>
        <v/>
      </c>
      <c r="I524" t="str">
        <f>IF($A524="","",IF($D524="V01",cad!$C$32,IF($D524="V02",cad!$D$32,cad!$E$32)))</f>
        <v/>
      </c>
      <c r="J524" t="str">
        <f>IF($A524="","",IF($D524="V01",cad!$C$33,IF($D524="V02",cad!$D$33,cad!$E$33)))</f>
        <v/>
      </c>
      <c r="K524" t="str">
        <f>IF($A524="","",IF($D524="V01",cad!$C$34,IF($D524="V02",cad!$D$34,cad!$E$34)))</f>
        <v/>
      </c>
      <c r="L524" t="str">
        <f>IF($A524="","",IF($D524="V01",cad!$C$35,IF($D524="V02",cad!$D$35,cad!$E$35)))</f>
        <v/>
      </c>
      <c r="M524" t="str">
        <f>IF($A524="","",IF($D524="V01",cad!$C$36,IF($D524="V02",cad!$D$36,cad!$E$36)))</f>
        <v/>
      </c>
      <c r="N524" t="str">
        <f t="shared" si="33"/>
        <v/>
      </c>
      <c r="O524" t="str">
        <f t="shared" si="34"/>
        <v/>
      </c>
      <c r="P524" t="str">
        <f>IF($A524="","",IF($E524=1,$F524*$O524,PNL!G524))</f>
        <v/>
      </c>
      <c r="T524" t="str">
        <f t="shared" si="35"/>
        <v/>
      </c>
    </row>
    <row r="525" spans="1:20" x14ac:dyDescent="0.45">
      <c r="A525" t="str">
        <f>IF(PNL!A525="","",PNL!A525)</f>
        <v/>
      </c>
      <c r="B525" t="str">
        <f>IF(PNL!B525="","",PNL!B525)</f>
        <v/>
      </c>
      <c r="C525" t="str">
        <f>IF(PNL!C525="","",PNL!C525)</f>
        <v/>
      </c>
      <c r="D525" t="str">
        <f>IF(PNL!D525="","",PNL!D525)</f>
        <v/>
      </c>
      <c r="E525" t="str">
        <f t="shared" si="32"/>
        <v/>
      </c>
      <c r="F525" t="str">
        <f>IF($A525="","",IF($E525=1,SUMIFS(Compta!$F$1:$F$675,Compta!$A$1:$A$675,$A525,Compta!$B$1:$B$675,$B525,Compta!$C$1:$C$675,"2026"),0))</f>
        <v/>
      </c>
      <c r="G525" t="str">
        <f>IF($A525="","",IF($D525="V01",cad!$C$23,IF($D525="V02",cad!$D$23,cad!$E$23)))</f>
        <v/>
      </c>
      <c r="H525" t="str">
        <f>IF($A525="","",IF($D525="V01",cad!$C$24,IF($D525="V02",cad!$D$24,cad!$E$24)))</f>
        <v/>
      </c>
      <c r="I525" t="str">
        <f>IF($A525="","",IF($D525="V01",cad!$C$32,IF($D525="V02",cad!$D$32,cad!$E$32)))</f>
        <v/>
      </c>
      <c r="J525" t="str">
        <f>IF($A525="","",IF($D525="V01",cad!$C$33,IF($D525="V02",cad!$D$33,cad!$E$33)))</f>
        <v/>
      </c>
      <c r="K525" t="str">
        <f>IF($A525="","",IF($D525="V01",cad!$C$34,IF($D525="V02",cad!$D$34,cad!$E$34)))</f>
        <v/>
      </c>
      <c r="L525" t="str">
        <f>IF($A525="","",IF($D525="V01",cad!$C$35,IF($D525="V02",cad!$D$35,cad!$E$35)))</f>
        <v/>
      </c>
      <c r="M525" t="str">
        <f>IF($A525="","",IF($D525="V01",cad!$C$36,IF($D525="V02",cad!$D$36,cad!$E$36)))</f>
        <v/>
      </c>
      <c r="N525" t="str">
        <f t="shared" si="33"/>
        <v/>
      </c>
      <c r="O525" t="str">
        <f t="shared" si="34"/>
        <v/>
      </c>
      <c r="P525" t="str">
        <f>IF($A525="","",IF($E525=1,$F525*$O525,PNL!G525))</f>
        <v/>
      </c>
      <c r="T525" t="str">
        <f t="shared" si="35"/>
        <v/>
      </c>
    </row>
    <row r="526" spans="1:20" x14ac:dyDescent="0.45">
      <c r="A526" t="str">
        <f>IF(PNL!A526="","",PNL!A526)</f>
        <v/>
      </c>
      <c r="B526" t="str">
        <f>IF(PNL!B526="","",PNL!B526)</f>
        <v/>
      </c>
      <c r="C526" t="str">
        <f>IF(PNL!C526="","",PNL!C526)</f>
        <v/>
      </c>
      <c r="D526" t="str">
        <f>IF(PNL!D526="","",PNL!D526)</f>
        <v/>
      </c>
      <c r="E526" t="str">
        <f t="shared" si="32"/>
        <v/>
      </c>
      <c r="F526" t="str">
        <f>IF($A526="","",IF($E526=1,SUMIFS(Compta!$F$1:$F$675,Compta!$A$1:$A$675,$A526,Compta!$B$1:$B$675,$B526,Compta!$C$1:$C$675,"2026"),0))</f>
        <v/>
      </c>
      <c r="G526" t="str">
        <f>IF($A526="","",IF($D526="V01",cad!$C$23,IF($D526="V02",cad!$D$23,cad!$E$23)))</f>
        <v/>
      </c>
      <c r="H526" t="str">
        <f>IF($A526="","",IF($D526="V01",cad!$C$24,IF($D526="V02",cad!$D$24,cad!$E$24)))</f>
        <v/>
      </c>
      <c r="I526" t="str">
        <f>IF($A526="","",IF($D526="V01",cad!$C$32,IF($D526="V02",cad!$D$32,cad!$E$32)))</f>
        <v/>
      </c>
      <c r="J526" t="str">
        <f>IF($A526="","",IF($D526="V01",cad!$C$33,IF($D526="V02",cad!$D$33,cad!$E$33)))</f>
        <v/>
      </c>
      <c r="K526" t="str">
        <f>IF($A526="","",IF($D526="V01",cad!$C$34,IF($D526="V02",cad!$D$34,cad!$E$34)))</f>
        <v/>
      </c>
      <c r="L526" t="str">
        <f>IF($A526="","",IF($D526="V01",cad!$C$35,IF($D526="V02",cad!$D$35,cad!$E$35)))</f>
        <v/>
      </c>
      <c r="M526" t="str">
        <f>IF($A526="","",IF($D526="V01",cad!$C$36,IF($D526="V02",cad!$D$36,cad!$E$36)))</f>
        <v/>
      </c>
      <c r="N526" t="str">
        <f t="shared" si="33"/>
        <v/>
      </c>
      <c r="O526" t="str">
        <f t="shared" si="34"/>
        <v/>
      </c>
      <c r="P526" t="str">
        <f>IF($A526="","",IF($E526=1,$F526*$O526,PNL!G526))</f>
        <v/>
      </c>
      <c r="T526" t="str">
        <f t="shared" si="35"/>
        <v/>
      </c>
    </row>
    <row r="527" spans="1:20" x14ac:dyDescent="0.45">
      <c r="A527" t="str">
        <f>IF(PNL!A527="","",PNL!A527)</f>
        <v/>
      </c>
      <c r="B527" t="str">
        <f>IF(PNL!B527="","",PNL!B527)</f>
        <v/>
      </c>
      <c r="C527" t="str">
        <f>IF(PNL!C527="","",PNL!C527)</f>
        <v/>
      </c>
      <c r="D527" t="str">
        <f>IF(PNL!D527="","",PNL!D527)</f>
        <v/>
      </c>
      <c r="E527" t="str">
        <f t="shared" si="32"/>
        <v/>
      </c>
      <c r="F527" t="str">
        <f>IF($A527="","",IF($E527=1,SUMIFS(Compta!$F$1:$F$675,Compta!$A$1:$A$675,$A527,Compta!$B$1:$B$675,$B527,Compta!$C$1:$C$675,"2026"),0))</f>
        <v/>
      </c>
      <c r="G527" t="str">
        <f>IF($A527="","",IF($D527="V01",cad!$C$23,IF($D527="V02",cad!$D$23,cad!$E$23)))</f>
        <v/>
      </c>
      <c r="H527" t="str">
        <f>IF($A527="","",IF($D527="V01",cad!$C$24,IF($D527="V02",cad!$D$24,cad!$E$24)))</f>
        <v/>
      </c>
      <c r="I527" t="str">
        <f>IF($A527="","",IF($D527="V01",cad!$C$32,IF($D527="V02",cad!$D$32,cad!$E$32)))</f>
        <v/>
      </c>
      <c r="J527" t="str">
        <f>IF($A527="","",IF($D527="V01",cad!$C$33,IF($D527="V02",cad!$D$33,cad!$E$33)))</f>
        <v/>
      </c>
      <c r="K527" t="str">
        <f>IF($A527="","",IF($D527="V01",cad!$C$34,IF($D527="V02",cad!$D$34,cad!$E$34)))</f>
        <v/>
      </c>
      <c r="L527" t="str">
        <f>IF($A527="","",IF($D527="V01",cad!$C$35,IF($D527="V02",cad!$D$35,cad!$E$35)))</f>
        <v/>
      </c>
      <c r="M527" t="str">
        <f>IF($A527="","",IF($D527="V01",cad!$C$36,IF($D527="V02",cad!$D$36,cad!$E$36)))</f>
        <v/>
      </c>
      <c r="N527" t="str">
        <f t="shared" si="33"/>
        <v/>
      </c>
      <c r="O527" t="str">
        <f t="shared" si="34"/>
        <v/>
      </c>
      <c r="P527" t="str">
        <f>IF($A527="","",IF($E527=1,$F527*$O527,PNL!G527))</f>
        <v/>
      </c>
      <c r="T527" t="str">
        <f t="shared" si="35"/>
        <v/>
      </c>
    </row>
    <row r="528" spans="1:20" x14ac:dyDescent="0.45">
      <c r="A528" t="str">
        <f>IF(PNL!A528="","",PNL!A528)</f>
        <v/>
      </c>
      <c r="B528" t="str">
        <f>IF(PNL!B528="","",PNL!B528)</f>
        <v/>
      </c>
      <c r="C528" t="str">
        <f>IF(PNL!C528="","",PNL!C528)</f>
        <v/>
      </c>
      <c r="D528" t="str">
        <f>IF(PNL!D528="","",PNL!D528)</f>
        <v/>
      </c>
      <c r="E528" t="str">
        <f t="shared" si="32"/>
        <v/>
      </c>
      <c r="F528" t="str">
        <f>IF($A528="","",IF($E528=1,SUMIFS(Compta!$F$1:$F$675,Compta!$A$1:$A$675,$A528,Compta!$B$1:$B$675,$B528,Compta!$C$1:$C$675,"2026"),0))</f>
        <v/>
      </c>
      <c r="G528" t="str">
        <f>IF($A528="","",IF($D528="V01",cad!$C$23,IF($D528="V02",cad!$D$23,cad!$E$23)))</f>
        <v/>
      </c>
      <c r="H528" t="str">
        <f>IF($A528="","",IF($D528="V01",cad!$C$24,IF($D528="V02",cad!$D$24,cad!$E$24)))</f>
        <v/>
      </c>
      <c r="I528" t="str">
        <f>IF($A528="","",IF($D528="V01",cad!$C$32,IF($D528="V02",cad!$D$32,cad!$E$32)))</f>
        <v/>
      </c>
      <c r="J528" t="str">
        <f>IF($A528="","",IF($D528="V01",cad!$C$33,IF($D528="V02",cad!$D$33,cad!$E$33)))</f>
        <v/>
      </c>
      <c r="K528" t="str">
        <f>IF($A528="","",IF($D528="V01",cad!$C$34,IF($D528="V02",cad!$D$34,cad!$E$34)))</f>
        <v/>
      </c>
      <c r="L528" t="str">
        <f>IF($A528="","",IF($D528="V01",cad!$C$35,IF($D528="V02",cad!$D$35,cad!$E$35)))</f>
        <v/>
      </c>
      <c r="M528" t="str">
        <f>IF($A528="","",IF($D528="V01",cad!$C$36,IF($D528="V02",cad!$D$36,cad!$E$36)))</f>
        <v/>
      </c>
      <c r="N528" t="str">
        <f t="shared" si="33"/>
        <v/>
      </c>
      <c r="O528" t="str">
        <f t="shared" si="34"/>
        <v/>
      </c>
      <c r="P528" t="str">
        <f>IF($A528="","",IF($E528=1,$F528*$O528,PNL!G528))</f>
        <v/>
      </c>
      <c r="T528" t="str">
        <f t="shared" si="35"/>
        <v/>
      </c>
    </row>
    <row r="529" spans="1:20" x14ac:dyDescent="0.45">
      <c r="A529" t="str">
        <f>IF(PNL!A529="","",PNL!A529)</f>
        <v/>
      </c>
      <c r="B529" t="str">
        <f>IF(PNL!B529="","",PNL!B529)</f>
        <v/>
      </c>
      <c r="C529" t="str">
        <f>IF(PNL!C529="","",PNL!C529)</f>
        <v/>
      </c>
      <c r="D529" t="str">
        <f>IF(PNL!D529="","",PNL!D529)</f>
        <v/>
      </c>
      <c r="E529" t="str">
        <f t="shared" si="32"/>
        <v/>
      </c>
      <c r="F529" t="str">
        <f>IF($A529="","",IF($E529=1,SUMIFS(Compta!$F$1:$F$675,Compta!$A$1:$A$675,$A529,Compta!$B$1:$B$675,$B529,Compta!$C$1:$C$675,"2026"),0))</f>
        <v/>
      </c>
      <c r="G529" t="str">
        <f>IF($A529="","",IF($D529="V01",cad!$C$23,IF($D529="V02",cad!$D$23,cad!$E$23)))</f>
        <v/>
      </c>
      <c r="H529" t="str">
        <f>IF($A529="","",IF($D529="V01",cad!$C$24,IF($D529="V02",cad!$D$24,cad!$E$24)))</f>
        <v/>
      </c>
      <c r="I529" t="str">
        <f>IF($A529="","",IF($D529="V01",cad!$C$32,IF($D529="V02",cad!$D$32,cad!$E$32)))</f>
        <v/>
      </c>
      <c r="J529" t="str">
        <f>IF($A529="","",IF($D529="V01",cad!$C$33,IF($D529="V02",cad!$D$33,cad!$E$33)))</f>
        <v/>
      </c>
      <c r="K529" t="str">
        <f>IF($A529="","",IF($D529="V01",cad!$C$34,IF($D529="V02",cad!$D$34,cad!$E$34)))</f>
        <v/>
      </c>
      <c r="L529" t="str">
        <f>IF($A529="","",IF($D529="V01",cad!$C$35,IF($D529="V02",cad!$D$35,cad!$E$35)))</f>
        <v/>
      </c>
      <c r="M529" t="str">
        <f>IF($A529="","",IF($D529="V01",cad!$C$36,IF($D529="V02",cad!$D$36,cad!$E$36)))</f>
        <v/>
      </c>
      <c r="N529" t="str">
        <f t="shared" si="33"/>
        <v/>
      </c>
      <c r="O529" t="str">
        <f t="shared" si="34"/>
        <v/>
      </c>
      <c r="P529" t="str">
        <f>IF($A529="","",IF($E529=1,$F529*$O529,PNL!G529))</f>
        <v/>
      </c>
      <c r="T529" t="str">
        <f t="shared" si="35"/>
        <v/>
      </c>
    </row>
    <row r="530" spans="1:20" x14ac:dyDescent="0.45">
      <c r="A530" t="str">
        <f>IF(PNL!A530="","",PNL!A530)</f>
        <v/>
      </c>
      <c r="B530" t="str">
        <f>IF(PNL!B530="","",PNL!B530)</f>
        <v/>
      </c>
      <c r="C530" t="str">
        <f>IF(PNL!C530="","",PNL!C530)</f>
        <v/>
      </c>
      <c r="D530" t="str">
        <f>IF(PNL!D530="","",PNL!D530)</f>
        <v/>
      </c>
      <c r="E530" t="str">
        <f t="shared" si="32"/>
        <v/>
      </c>
      <c r="F530" t="str">
        <f>IF($A530="","",IF($E530=1,SUMIFS(Compta!$F$1:$F$675,Compta!$A$1:$A$675,$A530,Compta!$B$1:$B$675,$B530,Compta!$C$1:$C$675,"2026"),0))</f>
        <v/>
      </c>
      <c r="G530" t="str">
        <f>IF($A530="","",IF($D530="V01",cad!$C$23,IF($D530="V02",cad!$D$23,cad!$E$23)))</f>
        <v/>
      </c>
      <c r="H530" t="str">
        <f>IF($A530="","",IF($D530="V01",cad!$C$24,IF($D530="V02",cad!$D$24,cad!$E$24)))</f>
        <v/>
      </c>
      <c r="I530" t="str">
        <f>IF($A530="","",IF($D530="V01",cad!$C$32,IF($D530="V02",cad!$D$32,cad!$E$32)))</f>
        <v/>
      </c>
      <c r="J530" t="str">
        <f>IF($A530="","",IF($D530="V01",cad!$C$33,IF($D530="V02",cad!$D$33,cad!$E$33)))</f>
        <v/>
      </c>
      <c r="K530" t="str">
        <f>IF($A530="","",IF($D530="V01",cad!$C$34,IF($D530="V02",cad!$D$34,cad!$E$34)))</f>
        <v/>
      </c>
      <c r="L530" t="str">
        <f>IF($A530="","",IF($D530="V01",cad!$C$35,IF($D530="V02",cad!$D$35,cad!$E$35)))</f>
        <v/>
      </c>
      <c r="M530" t="str">
        <f>IF($A530="","",IF($D530="V01",cad!$C$36,IF($D530="V02",cad!$D$36,cad!$E$36)))</f>
        <v/>
      </c>
      <c r="N530" t="str">
        <f t="shared" si="33"/>
        <v/>
      </c>
      <c r="O530" t="str">
        <f t="shared" si="34"/>
        <v/>
      </c>
      <c r="P530" t="str">
        <f>IF($A530="","",IF($E530=1,$F530*$O530,PNL!G530))</f>
        <v/>
      </c>
      <c r="T530" t="str">
        <f t="shared" si="35"/>
        <v/>
      </c>
    </row>
    <row r="531" spans="1:20" x14ac:dyDescent="0.45">
      <c r="A531" t="str">
        <f>IF(PNL!A531="","",PNL!A531)</f>
        <v/>
      </c>
      <c r="B531" t="str">
        <f>IF(PNL!B531="","",PNL!B531)</f>
        <v/>
      </c>
      <c r="C531" t="str">
        <f>IF(PNL!C531="","",PNL!C531)</f>
        <v/>
      </c>
      <c r="D531" t="str">
        <f>IF(PNL!D531="","",PNL!D531)</f>
        <v/>
      </c>
      <c r="E531" t="str">
        <f t="shared" si="32"/>
        <v/>
      </c>
      <c r="F531" t="str">
        <f>IF($A531="","",IF($E531=1,SUMIFS(Compta!$F$1:$F$675,Compta!$A$1:$A$675,$A531,Compta!$B$1:$B$675,$B531,Compta!$C$1:$C$675,"2026"),0))</f>
        <v/>
      </c>
      <c r="G531" t="str">
        <f>IF($A531="","",IF($D531="V01",cad!$C$23,IF($D531="V02",cad!$D$23,cad!$E$23)))</f>
        <v/>
      </c>
      <c r="H531" t="str">
        <f>IF($A531="","",IF($D531="V01",cad!$C$24,IF($D531="V02",cad!$D$24,cad!$E$24)))</f>
        <v/>
      </c>
      <c r="I531" t="str">
        <f>IF($A531="","",IF($D531="V01",cad!$C$32,IF($D531="V02",cad!$D$32,cad!$E$32)))</f>
        <v/>
      </c>
      <c r="J531" t="str">
        <f>IF($A531="","",IF($D531="V01",cad!$C$33,IF($D531="V02",cad!$D$33,cad!$E$33)))</f>
        <v/>
      </c>
      <c r="K531" t="str">
        <f>IF($A531="","",IF($D531="V01",cad!$C$34,IF($D531="V02",cad!$D$34,cad!$E$34)))</f>
        <v/>
      </c>
      <c r="L531" t="str">
        <f>IF($A531="","",IF($D531="V01",cad!$C$35,IF($D531="V02",cad!$D$35,cad!$E$35)))</f>
        <v/>
      </c>
      <c r="M531" t="str">
        <f>IF($A531="","",IF($D531="V01",cad!$C$36,IF($D531="V02",cad!$D$36,cad!$E$36)))</f>
        <v/>
      </c>
      <c r="N531" t="str">
        <f t="shared" si="33"/>
        <v/>
      </c>
      <c r="O531" t="str">
        <f t="shared" si="34"/>
        <v/>
      </c>
      <c r="P531" t="str">
        <f>IF($A531="","",IF($E531=1,$F531*$O531,PNL!G531))</f>
        <v/>
      </c>
      <c r="T531" t="str">
        <f t="shared" si="35"/>
        <v/>
      </c>
    </row>
    <row r="532" spans="1:20" x14ac:dyDescent="0.45">
      <c r="A532" t="str">
        <f>IF(PNL!A532="","",PNL!A532)</f>
        <v/>
      </c>
      <c r="B532" t="str">
        <f>IF(PNL!B532="","",PNL!B532)</f>
        <v/>
      </c>
      <c r="C532" t="str">
        <f>IF(PNL!C532="","",PNL!C532)</f>
        <v/>
      </c>
      <c r="D532" t="str">
        <f>IF(PNL!D532="","",PNL!D532)</f>
        <v/>
      </c>
      <c r="E532" t="str">
        <f t="shared" si="32"/>
        <v/>
      </c>
      <c r="F532" t="str">
        <f>IF($A532="","",IF($E532=1,SUMIFS(Compta!$F$1:$F$675,Compta!$A$1:$A$675,$A532,Compta!$B$1:$B$675,$B532,Compta!$C$1:$C$675,"2026"),0))</f>
        <v/>
      </c>
      <c r="G532" t="str">
        <f>IF($A532="","",IF($D532="V01",cad!$C$23,IF($D532="V02",cad!$D$23,cad!$E$23)))</f>
        <v/>
      </c>
      <c r="H532" t="str">
        <f>IF($A532="","",IF($D532="V01",cad!$C$24,IF($D532="V02",cad!$D$24,cad!$E$24)))</f>
        <v/>
      </c>
      <c r="I532" t="str">
        <f>IF($A532="","",IF($D532="V01",cad!$C$32,IF($D532="V02",cad!$D$32,cad!$E$32)))</f>
        <v/>
      </c>
      <c r="J532" t="str">
        <f>IF($A532="","",IF($D532="V01",cad!$C$33,IF($D532="V02",cad!$D$33,cad!$E$33)))</f>
        <v/>
      </c>
      <c r="K532" t="str">
        <f>IF($A532="","",IF($D532="V01",cad!$C$34,IF($D532="V02",cad!$D$34,cad!$E$34)))</f>
        <v/>
      </c>
      <c r="L532" t="str">
        <f>IF($A532="","",IF($D532="V01",cad!$C$35,IF($D532="V02",cad!$D$35,cad!$E$35)))</f>
        <v/>
      </c>
      <c r="M532" t="str">
        <f>IF($A532="","",IF($D532="V01",cad!$C$36,IF($D532="V02",cad!$D$36,cad!$E$36)))</f>
        <v/>
      </c>
      <c r="N532" t="str">
        <f t="shared" si="33"/>
        <v/>
      </c>
      <c r="O532" t="str">
        <f t="shared" si="34"/>
        <v/>
      </c>
      <c r="P532" t="str">
        <f>IF($A532="","",IF($E532=1,$F532*$O532,PNL!G532))</f>
        <v/>
      </c>
      <c r="T532" t="str">
        <f t="shared" si="35"/>
        <v/>
      </c>
    </row>
    <row r="533" spans="1:20" x14ac:dyDescent="0.45">
      <c r="A533" t="str">
        <f>IF(PNL!A533="","",PNL!A533)</f>
        <v/>
      </c>
      <c r="B533" t="str">
        <f>IF(PNL!B533="","",PNL!B533)</f>
        <v/>
      </c>
      <c r="C533" t="str">
        <f>IF(PNL!C533="","",PNL!C533)</f>
        <v/>
      </c>
      <c r="D533" t="str">
        <f>IF(PNL!D533="","",PNL!D533)</f>
        <v/>
      </c>
      <c r="E533" t="str">
        <f t="shared" si="32"/>
        <v/>
      </c>
      <c r="F533" t="str">
        <f>IF($A533="","",IF($E533=1,SUMIFS(Compta!$F$1:$F$675,Compta!$A$1:$A$675,$A533,Compta!$B$1:$B$675,$B533,Compta!$C$1:$C$675,"2026"),0))</f>
        <v/>
      </c>
      <c r="G533" t="str">
        <f>IF($A533="","",IF($D533="V01",cad!$C$23,IF($D533="V02",cad!$D$23,cad!$E$23)))</f>
        <v/>
      </c>
      <c r="H533" t="str">
        <f>IF($A533="","",IF($D533="V01",cad!$C$24,IF($D533="V02",cad!$D$24,cad!$E$24)))</f>
        <v/>
      </c>
      <c r="I533" t="str">
        <f>IF($A533="","",IF($D533="V01",cad!$C$32,IF($D533="V02",cad!$D$32,cad!$E$32)))</f>
        <v/>
      </c>
      <c r="J533" t="str">
        <f>IF($A533="","",IF($D533="V01",cad!$C$33,IF($D533="V02",cad!$D$33,cad!$E$33)))</f>
        <v/>
      </c>
      <c r="K533" t="str">
        <f>IF($A533="","",IF($D533="V01",cad!$C$34,IF($D533="V02",cad!$D$34,cad!$E$34)))</f>
        <v/>
      </c>
      <c r="L533" t="str">
        <f>IF($A533="","",IF($D533="V01",cad!$C$35,IF($D533="V02",cad!$D$35,cad!$E$35)))</f>
        <v/>
      </c>
      <c r="M533" t="str">
        <f>IF($A533="","",IF($D533="V01",cad!$C$36,IF($D533="V02",cad!$D$36,cad!$E$36)))</f>
        <v/>
      </c>
      <c r="N533" t="str">
        <f t="shared" si="33"/>
        <v/>
      </c>
      <c r="O533" t="str">
        <f t="shared" si="34"/>
        <v/>
      </c>
      <c r="P533" t="str">
        <f>IF($A533="","",IF($E533=1,$F533*$O533,PNL!G533))</f>
        <v/>
      </c>
      <c r="T533" t="str">
        <f t="shared" si="35"/>
        <v/>
      </c>
    </row>
    <row r="534" spans="1:20" x14ac:dyDescent="0.45">
      <c r="A534" t="str">
        <f>IF(PNL!A534="","",PNL!A534)</f>
        <v/>
      </c>
      <c r="B534" t="str">
        <f>IF(PNL!B534="","",PNL!B534)</f>
        <v/>
      </c>
      <c r="C534" t="str">
        <f>IF(PNL!C534="","",PNL!C534)</f>
        <v/>
      </c>
      <c r="D534" t="str">
        <f>IF(PNL!D534="","",PNL!D534)</f>
        <v/>
      </c>
      <c r="E534" t="str">
        <f t="shared" si="32"/>
        <v/>
      </c>
      <c r="F534" t="str">
        <f>IF($A534="","",IF($E534=1,SUMIFS(Compta!$F$1:$F$675,Compta!$A$1:$A$675,$A534,Compta!$B$1:$B$675,$B534,Compta!$C$1:$C$675,"2026"),0))</f>
        <v/>
      </c>
      <c r="G534" t="str">
        <f>IF($A534="","",IF($D534="V01",cad!$C$23,IF($D534="V02",cad!$D$23,cad!$E$23)))</f>
        <v/>
      </c>
      <c r="H534" t="str">
        <f>IF($A534="","",IF($D534="V01",cad!$C$24,IF($D534="V02",cad!$D$24,cad!$E$24)))</f>
        <v/>
      </c>
      <c r="I534" t="str">
        <f>IF($A534="","",IF($D534="V01",cad!$C$32,IF($D534="V02",cad!$D$32,cad!$E$32)))</f>
        <v/>
      </c>
      <c r="J534" t="str">
        <f>IF($A534="","",IF($D534="V01",cad!$C$33,IF($D534="V02",cad!$D$33,cad!$E$33)))</f>
        <v/>
      </c>
      <c r="K534" t="str">
        <f>IF($A534="","",IF($D534="V01",cad!$C$34,IF($D534="V02",cad!$D$34,cad!$E$34)))</f>
        <v/>
      </c>
      <c r="L534" t="str">
        <f>IF($A534="","",IF($D534="V01",cad!$C$35,IF($D534="V02",cad!$D$35,cad!$E$35)))</f>
        <v/>
      </c>
      <c r="M534" t="str">
        <f>IF($A534="","",IF($D534="V01",cad!$C$36,IF($D534="V02",cad!$D$36,cad!$E$36)))</f>
        <v/>
      </c>
      <c r="N534" t="str">
        <f t="shared" si="33"/>
        <v/>
      </c>
      <c r="O534" t="str">
        <f t="shared" si="34"/>
        <v/>
      </c>
      <c r="P534" t="str">
        <f>IF($A534="","",IF($E534=1,$F534*$O534,PNL!G534))</f>
        <v/>
      </c>
      <c r="T534" t="str">
        <f t="shared" si="35"/>
        <v/>
      </c>
    </row>
    <row r="535" spans="1:20" x14ac:dyDescent="0.45">
      <c r="A535" t="str">
        <f>IF(PNL!A535="","",PNL!A535)</f>
        <v/>
      </c>
      <c r="B535" t="str">
        <f>IF(PNL!B535="","",PNL!B535)</f>
        <v/>
      </c>
      <c r="C535" t="str">
        <f>IF(PNL!C535="","",PNL!C535)</f>
        <v/>
      </c>
      <c r="D535" t="str">
        <f>IF(PNL!D535="","",PNL!D535)</f>
        <v/>
      </c>
      <c r="E535" t="str">
        <f t="shared" si="32"/>
        <v/>
      </c>
      <c r="F535" t="str">
        <f>IF($A535="","",IF($E535=1,SUMIFS(Compta!$F$1:$F$675,Compta!$A$1:$A$675,$A535,Compta!$B$1:$B$675,$B535,Compta!$C$1:$C$675,"2026"),0))</f>
        <v/>
      </c>
      <c r="G535" t="str">
        <f>IF($A535="","",IF($D535="V01",cad!$C$23,IF($D535="V02",cad!$D$23,cad!$E$23)))</f>
        <v/>
      </c>
      <c r="H535" t="str">
        <f>IF($A535="","",IF($D535="V01",cad!$C$24,IF($D535="V02",cad!$D$24,cad!$E$24)))</f>
        <v/>
      </c>
      <c r="I535" t="str">
        <f>IF($A535="","",IF($D535="V01",cad!$C$32,IF($D535="V02",cad!$D$32,cad!$E$32)))</f>
        <v/>
      </c>
      <c r="J535" t="str">
        <f>IF($A535="","",IF($D535="V01",cad!$C$33,IF($D535="V02",cad!$D$33,cad!$E$33)))</f>
        <v/>
      </c>
      <c r="K535" t="str">
        <f>IF($A535="","",IF($D535="V01",cad!$C$34,IF($D535="V02",cad!$D$34,cad!$E$34)))</f>
        <v/>
      </c>
      <c r="L535" t="str">
        <f>IF($A535="","",IF($D535="V01",cad!$C$35,IF($D535="V02",cad!$D$35,cad!$E$35)))</f>
        <v/>
      </c>
      <c r="M535" t="str">
        <f>IF($A535="","",IF($D535="V01",cad!$C$36,IF($D535="V02",cad!$D$36,cad!$E$36)))</f>
        <v/>
      </c>
      <c r="N535" t="str">
        <f t="shared" si="33"/>
        <v/>
      </c>
      <c r="O535" t="str">
        <f t="shared" si="34"/>
        <v/>
      </c>
      <c r="P535" t="str">
        <f>IF($A535="","",IF($E535=1,$F535*$O535,PNL!G535))</f>
        <v/>
      </c>
      <c r="T535" t="str">
        <f t="shared" si="35"/>
        <v/>
      </c>
    </row>
    <row r="536" spans="1:20" x14ac:dyDescent="0.45">
      <c r="A536" t="str">
        <f>IF(PNL!A536="","",PNL!A536)</f>
        <v/>
      </c>
      <c r="B536" t="str">
        <f>IF(PNL!B536="","",PNL!B536)</f>
        <v/>
      </c>
      <c r="C536" t="str">
        <f>IF(PNL!C536="","",PNL!C536)</f>
        <v/>
      </c>
      <c r="D536" t="str">
        <f>IF(PNL!D536="","",PNL!D536)</f>
        <v/>
      </c>
      <c r="E536" t="str">
        <f t="shared" si="32"/>
        <v/>
      </c>
      <c r="F536" t="str">
        <f>IF($A536="","",IF($E536=1,SUMIFS(Compta!$F$1:$F$675,Compta!$A$1:$A$675,$A536,Compta!$B$1:$B$675,$B536,Compta!$C$1:$C$675,"2026"),0))</f>
        <v/>
      </c>
      <c r="G536" t="str">
        <f>IF($A536="","",IF($D536="V01",cad!$C$23,IF($D536="V02",cad!$D$23,cad!$E$23)))</f>
        <v/>
      </c>
      <c r="H536" t="str">
        <f>IF($A536="","",IF($D536="V01",cad!$C$24,IF($D536="V02",cad!$D$24,cad!$E$24)))</f>
        <v/>
      </c>
      <c r="I536" t="str">
        <f>IF($A536="","",IF($D536="V01",cad!$C$32,IF($D536="V02",cad!$D$32,cad!$E$32)))</f>
        <v/>
      </c>
      <c r="J536" t="str">
        <f>IF($A536="","",IF($D536="V01",cad!$C$33,IF($D536="V02",cad!$D$33,cad!$E$33)))</f>
        <v/>
      </c>
      <c r="K536" t="str">
        <f>IF($A536="","",IF($D536="V01",cad!$C$34,IF($D536="V02",cad!$D$34,cad!$E$34)))</f>
        <v/>
      </c>
      <c r="L536" t="str">
        <f>IF($A536="","",IF($D536="V01",cad!$C$35,IF($D536="V02",cad!$D$35,cad!$E$35)))</f>
        <v/>
      </c>
      <c r="M536" t="str">
        <f>IF($A536="","",IF($D536="V01",cad!$C$36,IF($D536="V02",cad!$D$36,cad!$E$36)))</f>
        <v/>
      </c>
      <c r="N536" t="str">
        <f t="shared" si="33"/>
        <v/>
      </c>
      <c r="O536" t="str">
        <f t="shared" si="34"/>
        <v/>
      </c>
      <c r="P536" t="str">
        <f>IF($A536="","",IF($E536=1,$F536*$O536,PNL!G536))</f>
        <v/>
      </c>
      <c r="T536" t="str">
        <f t="shared" si="35"/>
        <v/>
      </c>
    </row>
    <row r="537" spans="1:20" x14ac:dyDescent="0.45">
      <c r="A537" t="str">
        <f>IF(PNL!A537="","",PNL!A537)</f>
        <v/>
      </c>
      <c r="B537" t="str">
        <f>IF(PNL!B537="","",PNL!B537)</f>
        <v/>
      </c>
      <c r="C537" t="str">
        <f>IF(PNL!C537="","",PNL!C537)</f>
        <v/>
      </c>
      <c r="D537" t="str">
        <f>IF(PNL!D537="","",PNL!D537)</f>
        <v/>
      </c>
      <c r="E537" t="str">
        <f t="shared" si="32"/>
        <v/>
      </c>
      <c r="F537" t="str">
        <f>IF($A537="","",IF($E537=1,SUMIFS(Compta!$F$1:$F$675,Compta!$A$1:$A$675,$A537,Compta!$B$1:$B$675,$B537,Compta!$C$1:$C$675,"2026"),0))</f>
        <v/>
      </c>
      <c r="G537" t="str">
        <f>IF($A537="","",IF($D537="V01",cad!$C$23,IF($D537="V02",cad!$D$23,cad!$E$23)))</f>
        <v/>
      </c>
      <c r="H537" t="str">
        <f>IF($A537="","",IF($D537="V01",cad!$C$24,IF($D537="V02",cad!$D$24,cad!$E$24)))</f>
        <v/>
      </c>
      <c r="I537" t="str">
        <f>IF($A537="","",IF($D537="V01",cad!$C$32,IF($D537="V02",cad!$D$32,cad!$E$32)))</f>
        <v/>
      </c>
      <c r="J537" t="str">
        <f>IF($A537="","",IF($D537="V01",cad!$C$33,IF($D537="V02",cad!$D$33,cad!$E$33)))</f>
        <v/>
      </c>
      <c r="K537" t="str">
        <f>IF($A537="","",IF($D537="V01",cad!$C$34,IF($D537="V02",cad!$D$34,cad!$E$34)))</f>
        <v/>
      </c>
      <c r="L537" t="str">
        <f>IF($A537="","",IF($D537="V01",cad!$C$35,IF($D537="V02",cad!$D$35,cad!$E$35)))</f>
        <v/>
      </c>
      <c r="M537" t="str">
        <f>IF($A537="","",IF($D537="V01",cad!$C$36,IF($D537="V02",cad!$D$36,cad!$E$36)))</f>
        <v/>
      </c>
      <c r="N537" t="str">
        <f t="shared" si="33"/>
        <v/>
      </c>
      <c r="O537" t="str">
        <f t="shared" si="34"/>
        <v/>
      </c>
      <c r="P537" t="str">
        <f>IF($A537="","",IF($E537=1,$F537*$O537,PNL!G537))</f>
        <v/>
      </c>
      <c r="T537" t="str">
        <f t="shared" si="35"/>
        <v/>
      </c>
    </row>
    <row r="538" spans="1:20" x14ac:dyDescent="0.45">
      <c r="A538" t="str">
        <f>IF(PNL!A538="","",PNL!A538)</f>
        <v/>
      </c>
      <c r="B538" t="str">
        <f>IF(PNL!B538="","",PNL!B538)</f>
        <v/>
      </c>
      <c r="C538" t="str">
        <f>IF(PNL!C538="","",PNL!C538)</f>
        <v/>
      </c>
      <c r="D538" t="str">
        <f>IF(PNL!D538="","",PNL!D538)</f>
        <v/>
      </c>
      <c r="E538" t="str">
        <f t="shared" si="32"/>
        <v/>
      </c>
      <c r="F538" t="str">
        <f>IF($A538="","",IF($E538=1,SUMIFS(Compta!$F$1:$F$675,Compta!$A$1:$A$675,$A538,Compta!$B$1:$B$675,$B538,Compta!$C$1:$C$675,"2026"),0))</f>
        <v/>
      </c>
      <c r="G538" t="str">
        <f>IF($A538="","",IF($D538="V01",cad!$C$23,IF($D538="V02",cad!$D$23,cad!$E$23)))</f>
        <v/>
      </c>
      <c r="H538" t="str">
        <f>IF($A538="","",IF($D538="V01",cad!$C$24,IF($D538="V02",cad!$D$24,cad!$E$24)))</f>
        <v/>
      </c>
      <c r="I538" t="str">
        <f>IF($A538="","",IF($D538="V01",cad!$C$32,IF($D538="V02",cad!$D$32,cad!$E$32)))</f>
        <v/>
      </c>
      <c r="J538" t="str">
        <f>IF($A538="","",IF($D538="V01",cad!$C$33,IF($D538="V02",cad!$D$33,cad!$E$33)))</f>
        <v/>
      </c>
      <c r="K538" t="str">
        <f>IF($A538="","",IF($D538="V01",cad!$C$34,IF($D538="V02",cad!$D$34,cad!$E$34)))</f>
        <v/>
      </c>
      <c r="L538" t="str">
        <f>IF($A538="","",IF($D538="V01",cad!$C$35,IF($D538="V02",cad!$D$35,cad!$E$35)))</f>
        <v/>
      </c>
      <c r="M538" t="str">
        <f>IF($A538="","",IF($D538="V01",cad!$C$36,IF($D538="V02",cad!$D$36,cad!$E$36)))</f>
        <v/>
      </c>
      <c r="N538" t="str">
        <f t="shared" si="33"/>
        <v/>
      </c>
      <c r="O538" t="str">
        <f t="shared" si="34"/>
        <v/>
      </c>
      <c r="P538" t="str">
        <f>IF($A538="","",IF($E538=1,$F538*$O538,PNL!G538))</f>
        <v/>
      </c>
      <c r="T538" t="str">
        <f t="shared" si="35"/>
        <v/>
      </c>
    </row>
    <row r="539" spans="1:20" x14ac:dyDescent="0.45">
      <c r="A539" t="str">
        <f>IF(PNL!A539="","",PNL!A539)</f>
        <v/>
      </c>
      <c r="B539" t="str">
        <f>IF(PNL!B539="","",PNL!B539)</f>
        <v/>
      </c>
      <c r="C539" t="str">
        <f>IF(PNL!C539="","",PNL!C539)</f>
        <v/>
      </c>
      <c r="D539" t="str">
        <f>IF(PNL!D539="","",PNL!D539)</f>
        <v/>
      </c>
      <c r="E539" t="str">
        <f t="shared" si="32"/>
        <v/>
      </c>
      <c r="F539" t="str">
        <f>IF($A539="","",IF($E539=1,SUMIFS(Compta!$F$1:$F$675,Compta!$A$1:$A$675,$A539,Compta!$B$1:$B$675,$B539,Compta!$C$1:$C$675,"2026"),0))</f>
        <v/>
      </c>
      <c r="G539" t="str">
        <f>IF($A539="","",IF($D539="V01",cad!$C$23,IF($D539="V02",cad!$D$23,cad!$E$23)))</f>
        <v/>
      </c>
      <c r="H539" t="str">
        <f>IF($A539="","",IF($D539="V01",cad!$C$24,IF($D539="V02",cad!$D$24,cad!$E$24)))</f>
        <v/>
      </c>
      <c r="I539" t="str">
        <f>IF($A539="","",IF($D539="V01",cad!$C$32,IF($D539="V02",cad!$D$32,cad!$E$32)))</f>
        <v/>
      </c>
      <c r="J539" t="str">
        <f>IF($A539="","",IF($D539="V01",cad!$C$33,IF($D539="V02",cad!$D$33,cad!$E$33)))</f>
        <v/>
      </c>
      <c r="K539" t="str">
        <f>IF($A539="","",IF($D539="V01",cad!$C$34,IF($D539="V02",cad!$D$34,cad!$E$34)))</f>
        <v/>
      </c>
      <c r="L539" t="str">
        <f>IF($A539="","",IF($D539="V01",cad!$C$35,IF($D539="V02",cad!$D$35,cad!$E$35)))</f>
        <v/>
      </c>
      <c r="M539" t="str">
        <f>IF($A539="","",IF($D539="V01",cad!$C$36,IF($D539="V02",cad!$D$36,cad!$E$36)))</f>
        <v/>
      </c>
      <c r="N539" t="str">
        <f t="shared" si="33"/>
        <v/>
      </c>
      <c r="O539" t="str">
        <f t="shared" si="34"/>
        <v/>
      </c>
      <c r="P539" t="str">
        <f>IF($A539="","",IF($E539=1,$F539*$O539,PNL!G539))</f>
        <v/>
      </c>
      <c r="T539" t="str">
        <f t="shared" si="35"/>
        <v/>
      </c>
    </row>
    <row r="540" spans="1:20" x14ac:dyDescent="0.45">
      <c r="A540" t="str">
        <f>IF(PNL!A540="","",PNL!A540)</f>
        <v/>
      </c>
      <c r="B540" t="str">
        <f>IF(PNL!B540="","",PNL!B540)</f>
        <v/>
      </c>
      <c r="C540" t="str">
        <f>IF(PNL!C540="","",PNL!C540)</f>
        <v/>
      </c>
      <c r="D540" t="str">
        <f>IF(PNL!D540="","",PNL!D540)</f>
        <v/>
      </c>
      <c r="E540" t="str">
        <f t="shared" si="32"/>
        <v/>
      </c>
      <c r="F540" t="str">
        <f>IF($A540="","",IF($E540=1,SUMIFS(Compta!$F$1:$F$675,Compta!$A$1:$A$675,$A540,Compta!$B$1:$B$675,$B540,Compta!$C$1:$C$675,"2026"),0))</f>
        <v/>
      </c>
      <c r="G540" t="str">
        <f>IF($A540="","",IF($D540="V01",cad!$C$23,IF($D540="V02",cad!$D$23,cad!$E$23)))</f>
        <v/>
      </c>
      <c r="H540" t="str">
        <f>IF($A540="","",IF($D540="V01",cad!$C$24,IF($D540="V02",cad!$D$24,cad!$E$24)))</f>
        <v/>
      </c>
      <c r="I540" t="str">
        <f>IF($A540="","",IF($D540="V01",cad!$C$32,IF($D540="V02",cad!$D$32,cad!$E$32)))</f>
        <v/>
      </c>
      <c r="J540" t="str">
        <f>IF($A540="","",IF($D540="V01",cad!$C$33,IF($D540="V02",cad!$D$33,cad!$E$33)))</f>
        <v/>
      </c>
      <c r="K540" t="str">
        <f>IF($A540="","",IF($D540="V01",cad!$C$34,IF($D540="V02",cad!$D$34,cad!$E$34)))</f>
        <v/>
      </c>
      <c r="L540" t="str">
        <f>IF($A540="","",IF($D540="V01",cad!$C$35,IF($D540="V02",cad!$D$35,cad!$E$35)))</f>
        <v/>
      </c>
      <c r="M540" t="str">
        <f>IF($A540="","",IF($D540="V01",cad!$C$36,IF($D540="V02",cad!$D$36,cad!$E$36)))</f>
        <v/>
      </c>
      <c r="N540" t="str">
        <f t="shared" si="33"/>
        <v/>
      </c>
      <c r="O540" t="str">
        <f t="shared" si="34"/>
        <v/>
      </c>
      <c r="P540" t="str">
        <f>IF($A540="","",IF($E540=1,$F540*$O540,PNL!G540))</f>
        <v/>
      </c>
      <c r="T540" t="str">
        <f t="shared" si="35"/>
        <v/>
      </c>
    </row>
    <row r="541" spans="1:20" x14ac:dyDescent="0.45">
      <c r="A541" t="str">
        <f>IF(PNL!A541="","",PNL!A541)</f>
        <v/>
      </c>
      <c r="B541" t="str">
        <f>IF(PNL!B541="","",PNL!B541)</f>
        <v/>
      </c>
      <c r="C541" t="str">
        <f>IF(PNL!C541="","",PNL!C541)</f>
        <v/>
      </c>
      <c r="D541" t="str">
        <f>IF(PNL!D541="","",PNL!D541)</f>
        <v/>
      </c>
      <c r="E541" t="str">
        <f t="shared" si="32"/>
        <v/>
      </c>
      <c r="F541" t="str">
        <f>IF($A541="","",IF($E541=1,SUMIFS(Compta!$F$1:$F$675,Compta!$A$1:$A$675,$A541,Compta!$B$1:$B$675,$B541,Compta!$C$1:$C$675,"2026"),0))</f>
        <v/>
      </c>
      <c r="G541" t="str">
        <f>IF($A541="","",IF($D541="V01",cad!$C$23,IF($D541="V02",cad!$D$23,cad!$E$23)))</f>
        <v/>
      </c>
      <c r="H541" t="str">
        <f>IF($A541="","",IF($D541="V01",cad!$C$24,IF($D541="V02",cad!$D$24,cad!$E$24)))</f>
        <v/>
      </c>
      <c r="I541" t="str">
        <f>IF($A541="","",IF($D541="V01",cad!$C$32,IF($D541="V02",cad!$D$32,cad!$E$32)))</f>
        <v/>
      </c>
      <c r="J541" t="str">
        <f>IF($A541="","",IF($D541="V01",cad!$C$33,IF($D541="V02",cad!$D$33,cad!$E$33)))</f>
        <v/>
      </c>
      <c r="K541" t="str">
        <f>IF($A541="","",IF($D541="V01",cad!$C$34,IF($D541="V02",cad!$D$34,cad!$E$34)))</f>
        <v/>
      </c>
      <c r="L541" t="str">
        <f>IF($A541="","",IF($D541="V01",cad!$C$35,IF($D541="V02",cad!$D$35,cad!$E$35)))</f>
        <v/>
      </c>
      <c r="M541" t="str">
        <f>IF($A541="","",IF($D541="V01",cad!$C$36,IF($D541="V02",cad!$D$36,cad!$E$36)))</f>
        <v/>
      </c>
      <c r="N541" t="str">
        <f t="shared" si="33"/>
        <v/>
      </c>
      <c r="O541" t="str">
        <f t="shared" si="34"/>
        <v/>
      </c>
      <c r="P541" t="str">
        <f>IF($A541="","",IF($E541=1,$F541*$O541,PNL!G541))</f>
        <v/>
      </c>
      <c r="T541" t="str">
        <f t="shared" si="35"/>
        <v/>
      </c>
    </row>
    <row r="542" spans="1:20" x14ac:dyDescent="0.45">
      <c r="A542" t="str">
        <f>IF(PNL!A542="","",PNL!A542)</f>
        <v/>
      </c>
      <c r="B542" t="str">
        <f>IF(PNL!B542="","",PNL!B542)</f>
        <v/>
      </c>
      <c r="C542" t="str">
        <f>IF(PNL!C542="","",PNL!C542)</f>
        <v/>
      </c>
      <c r="D542" t="str">
        <f>IF(PNL!D542="","",PNL!D542)</f>
        <v/>
      </c>
      <c r="E542" t="str">
        <f t="shared" si="32"/>
        <v/>
      </c>
      <c r="F542" t="str">
        <f>IF($A542="","",IF($E542=1,SUMIFS(Compta!$F$1:$F$675,Compta!$A$1:$A$675,$A542,Compta!$B$1:$B$675,$B542,Compta!$C$1:$C$675,"2026"),0))</f>
        <v/>
      </c>
      <c r="G542" t="str">
        <f>IF($A542="","",IF($D542="V01",cad!$C$23,IF($D542="V02",cad!$D$23,cad!$E$23)))</f>
        <v/>
      </c>
      <c r="H542" t="str">
        <f>IF($A542="","",IF($D542="V01",cad!$C$24,IF($D542="V02",cad!$D$24,cad!$E$24)))</f>
        <v/>
      </c>
      <c r="I542" t="str">
        <f>IF($A542="","",IF($D542="V01",cad!$C$32,IF($D542="V02",cad!$D$32,cad!$E$32)))</f>
        <v/>
      </c>
      <c r="J542" t="str">
        <f>IF($A542="","",IF($D542="V01",cad!$C$33,IF($D542="V02",cad!$D$33,cad!$E$33)))</f>
        <v/>
      </c>
      <c r="K542" t="str">
        <f>IF($A542="","",IF($D542="V01",cad!$C$34,IF($D542="V02",cad!$D$34,cad!$E$34)))</f>
        <v/>
      </c>
      <c r="L542" t="str">
        <f>IF($A542="","",IF($D542="V01",cad!$C$35,IF($D542="V02",cad!$D$35,cad!$E$35)))</f>
        <v/>
      </c>
      <c r="M542" t="str">
        <f>IF($A542="","",IF($D542="V01",cad!$C$36,IF($D542="V02",cad!$D$36,cad!$E$36)))</f>
        <v/>
      </c>
      <c r="N542" t="str">
        <f t="shared" si="33"/>
        <v/>
      </c>
      <c r="O542" t="str">
        <f t="shared" si="34"/>
        <v/>
      </c>
      <c r="P542" t="str">
        <f>IF($A542="","",IF($E542=1,$F542*$O542,PNL!G542))</f>
        <v/>
      </c>
      <c r="T542" t="str">
        <f t="shared" si="35"/>
        <v/>
      </c>
    </row>
    <row r="543" spans="1:20" x14ac:dyDescent="0.45">
      <c r="A543" t="str">
        <f>IF(PNL!A543="","",PNL!A543)</f>
        <v/>
      </c>
      <c r="B543" t="str">
        <f>IF(PNL!B543="","",PNL!B543)</f>
        <v/>
      </c>
      <c r="C543" t="str">
        <f>IF(PNL!C543="","",PNL!C543)</f>
        <v/>
      </c>
      <c r="D543" t="str">
        <f>IF(PNL!D543="","",PNL!D543)</f>
        <v/>
      </c>
      <c r="E543" t="str">
        <f t="shared" si="32"/>
        <v/>
      </c>
      <c r="F543" t="str">
        <f>IF($A543="","",IF($E543=1,SUMIFS(Compta!$F$1:$F$675,Compta!$A$1:$A$675,$A543,Compta!$B$1:$B$675,$B543,Compta!$C$1:$C$675,"2026"),0))</f>
        <v/>
      </c>
      <c r="G543" t="str">
        <f>IF($A543="","",IF($D543="V01",cad!$C$23,IF($D543="V02",cad!$D$23,cad!$E$23)))</f>
        <v/>
      </c>
      <c r="H543" t="str">
        <f>IF($A543="","",IF($D543="V01",cad!$C$24,IF($D543="V02",cad!$D$24,cad!$E$24)))</f>
        <v/>
      </c>
      <c r="I543" t="str">
        <f>IF($A543="","",IF($D543="V01",cad!$C$32,IF($D543="V02",cad!$D$32,cad!$E$32)))</f>
        <v/>
      </c>
      <c r="J543" t="str">
        <f>IF($A543="","",IF($D543="V01",cad!$C$33,IF($D543="V02",cad!$D$33,cad!$E$33)))</f>
        <v/>
      </c>
      <c r="K543" t="str">
        <f>IF($A543="","",IF($D543="V01",cad!$C$34,IF($D543="V02",cad!$D$34,cad!$E$34)))</f>
        <v/>
      </c>
      <c r="L543" t="str">
        <f>IF($A543="","",IF($D543="V01",cad!$C$35,IF($D543="V02",cad!$D$35,cad!$E$35)))</f>
        <v/>
      </c>
      <c r="M543" t="str">
        <f>IF($A543="","",IF($D543="V01",cad!$C$36,IF($D543="V02",cad!$D$36,cad!$E$36)))</f>
        <v/>
      </c>
      <c r="N543" t="str">
        <f t="shared" si="33"/>
        <v/>
      </c>
      <c r="O543" t="str">
        <f t="shared" si="34"/>
        <v/>
      </c>
      <c r="P543" t="str">
        <f>IF($A543="","",IF($E543=1,$F543*$O543,PNL!G543))</f>
        <v/>
      </c>
      <c r="T543" t="str">
        <f t="shared" si="35"/>
        <v/>
      </c>
    </row>
    <row r="544" spans="1:20" x14ac:dyDescent="0.45">
      <c r="A544" t="str">
        <f>IF(PNL!A544="","",PNL!A544)</f>
        <v/>
      </c>
      <c r="B544" t="str">
        <f>IF(PNL!B544="","",PNL!B544)</f>
        <v/>
      </c>
      <c r="C544" t="str">
        <f>IF(PNL!C544="","",PNL!C544)</f>
        <v/>
      </c>
      <c r="D544" t="str">
        <f>IF(PNL!D544="","",PNL!D544)</f>
        <v/>
      </c>
      <c r="E544" t="str">
        <f t="shared" si="32"/>
        <v/>
      </c>
      <c r="F544" t="str">
        <f>IF($A544="","",IF($E544=1,SUMIFS(Compta!$F$1:$F$675,Compta!$A$1:$A$675,$A544,Compta!$B$1:$B$675,$B544,Compta!$C$1:$C$675,"2026"),0))</f>
        <v/>
      </c>
      <c r="G544" t="str">
        <f>IF($A544="","",IF($D544="V01",cad!$C$23,IF($D544="V02",cad!$D$23,cad!$E$23)))</f>
        <v/>
      </c>
      <c r="H544" t="str">
        <f>IF($A544="","",IF($D544="V01",cad!$C$24,IF($D544="V02",cad!$D$24,cad!$E$24)))</f>
        <v/>
      </c>
      <c r="I544" t="str">
        <f>IF($A544="","",IF($D544="V01",cad!$C$32,IF($D544="V02",cad!$D$32,cad!$E$32)))</f>
        <v/>
      </c>
      <c r="J544" t="str">
        <f>IF($A544="","",IF($D544="V01",cad!$C$33,IF($D544="V02",cad!$D$33,cad!$E$33)))</f>
        <v/>
      </c>
      <c r="K544" t="str">
        <f>IF($A544="","",IF($D544="V01",cad!$C$34,IF($D544="V02",cad!$D$34,cad!$E$34)))</f>
        <v/>
      </c>
      <c r="L544" t="str">
        <f>IF($A544="","",IF($D544="V01",cad!$C$35,IF($D544="V02",cad!$D$35,cad!$E$35)))</f>
        <v/>
      </c>
      <c r="M544" t="str">
        <f>IF($A544="","",IF($D544="V01",cad!$C$36,IF($D544="V02",cad!$D$36,cad!$E$36)))</f>
        <v/>
      </c>
      <c r="N544" t="str">
        <f t="shared" si="33"/>
        <v/>
      </c>
      <c r="O544" t="str">
        <f t="shared" si="34"/>
        <v/>
      </c>
      <c r="P544" t="str">
        <f>IF($A544="","",IF($E544=1,$F544*$O544,PNL!G544))</f>
        <v/>
      </c>
      <c r="T544" t="str">
        <f t="shared" si="35"/>
        <v/>
      </c>
    </row>
    <row r="545" spans="1:20" x14ac:dyDescent="0.45">
      <c r="A545" t="str">
        <f>IF(PNL!A545="","",PNL!A545)</f>
        <v/>
      </c>
      <c r="B545" t="str">
        <f>IF(PNL!B545="","",PNL!B545)</f>
        <v/>
      </c>
      <c r="C545" t="str">
        <f>IF(PNL!C545="","",PNL!C545)</f>
        <v/>
      </c>
      <c r="D545" t="str">
        <f>IF(PNL!D545="","",PNL!D545)</f>
        <v/>
      </c>
      <c r="E545" t="str">
        <f t="shared" si="32"/>
        <v/>
      </c>
      <c r="F545" t="str">
        <f>IF($A545="","",IF($E545=1,SUMIFS(Compta!$F$1:$F$675,Compta!$A$1:$A$675,$A545,Compta!$B$1:$B$675,$B545,Compta!$C$1:$C$675,"2026"),0))</f>
        <v/>
      </c>
      <c r="G545" t="str">
        <f>IF($A545="","",IF($D545="V01",cad!$C$23,IF($D545="V02",cad!$D$23,cad!$E$23)))</f>
        <v/>
      </c>
      <c r="H545" t="str">
        <f>IF($A545="","",IF($D545="V01",cad!$C$24,IF($D545="V02",cad!$D$24,cad!$E$24)))</f>
        <v/>
      </c>
      <c r="I545" t="str">
        <f>IF($A545="","",IF($D545="V01",cad!$C$32,IF($D545="V02",cad!$D$32,cad!$E$32)))</f>
        <v/>
      </c>
      <c r="J545" t="str">
        <f>IF($A545="","",IF($D545="V01",cad!$C$33,IF($D545="V02",cad!$D$33,cad!$E$33)))</f>
        <v/>
      </c>
      <c r="K545" t="str">
        <f>IF($A545="","",IF($D545="V01",cad!$C$34,IF($D545="V02",cad!$D$34,cad!$E$34)))</f>
        <v/>
      </c>
      <c r="L545" t="str">
        <f>IF($A545="","",IF($D545="V01",cad!$C$35,IF($D545="V02",cad!$D$35,cad!$E$35)))</f>
        <v/>
      </c>
      <c r="M545" t="str">
        <f>IF($A545="","",IF($D545="V01",cad!$C$36,IF($D545="V02",cad!$D$36,cad!$E$36)))</f>
        <v/>
      </c>
      <c r="N545" t="str">
        <f t="shared" si="33"/>
        <v/>
      </c>
      <c r="O545" t="str">
        <f t="shared" si="34"/>
        <v/>
      </c>
      <c r="P545" t="str">
        <f>IF($A545="","",IF($E545=1,$F545*$O545,PNL!G545))</f>
        <v/>
      </c>
      <c r="T545" t="str">
        <f t="shared" si="35"/>
        <v/>
      </c>
    </row>
    <row r="546" spans="1:20" x14ac:dyDescent="0.45">
      <c r="A546" t="str">
        <f>IF(PNL!A546="","",PNL!A546)</f>
        <v/>
      </c>
      <c r="B546" t="str">
        <f>IF(PNL!B546="","",PNL!B546)</f>
        <v/>
      </c>
      <c r="C546" t="str">
        <f>IF(PNL!C546="","",PNL!C546)</f>
        <v/>
      </c>
      <c r="D546" t="str">
        <f>IF(PNL!D546="","",PNL!D546)</f>
        <v/>
      </c>
      <c r="E546" t="str">
        <f t="shared" si="32"/>
        <v/>
      </c>
      <c r="F546" t="str">
        <f>IF($A546="","",IF($E546=1,SUMIFS(Compta!$F$1:$F$675,Compta!$A$1:$A$675,$A546,Compta!$B$1:$B$675,$B546,Compta!$C$1:$C$675,"2026"),0))</f>
        <v/>
      </c>
      <c r="G546" t="str">
        <f>IF($A546="","",IF($D546="V01",cad!$C$23,IF($D546="V02",cad!$D$23,cad!$E$23)))</f>
        <v/>
      </c>
      <c r="H546" t="str">
        <f>IF($A546="","",IF($D546="V01",cad!$C$24,IF($D546="V02",cad!$D$24,cad!$E$24)))</f>
        <v/>
      </c>
      <c r="I546" t="str">
        <f>IF($A546="","",IF($D546="V01",cad!$C$32,IF($D546="V02",cad!$D$32,cad!$E$32)))</f>
        <v/>
      </c>
      <c r="J546" t="str">
        <f>IF($A546="","",IF($D546="V01",cad!$C$33,IF($D546="V02",cad!$D$33,cad!$E$33)))</f>
        <v/>
      </c>
      <c r="K546" t="str">
        <f>IF($A546="","",IF($D546="V01",cad!$C$34,IF($D546="V02",cad!$D$34,cad!$E$34)))</f>
        <v/>
      </c>
      <c r="L546" t="str">
        <f>IF($A546="","",IF($D546="V01",cad!$C$35,IF($D546="V02",cad!$D$35,cad!$E$35)))</f>
        <v/>
      </c>
      <c r="M546" t="str">
        <f>IF($A546="","",IF($D546="V01",cad!$C$36,IF($D546="V02",cad!$D$36,cad!$E$36)))</f>
        <v/>
      </c>
      <c r="N546" t="str">
        <f t="shared" si="33"/>
        <v/>
      </c>
      <c r="O546" t="str">
        <f t="shared" si="34"/>
        <v/>
      </c>
      <c r="P546" t="str">
        <f>IF($A546="","",IF($E546=1,$F546*$O546,PNL!G546))</f>
        <v/>
      </c>
      <c r="T546" t="str">
        <f t="shared" si="35"/>
        <v/>
      </c>
    </row>
    <row r="547" spans="1:20" x14ac:dyDescent="0.45">
      <c r="A547" t="str">
        <f>IF(PNL!A547="","",PNL!A547)</f>
        <v/>
      </c>
      <c r="B547" t="str">
        <f>IF(PNL!B547="","",PNL!B547)</f>
        <v/>
      </c>
      <c r="C547" t="str">
        <f>IF(PNL!C547="","",PNL!C547)</f>
        <v/>
      </c>
      <c r="D547" t="str">
        <f>IF(PNL!D547="","",PNL!D547)</f>
        <v/>
      </c>
      <c r="E547" t="str">
        <f t="shared" si="32"/>
        <v/>
      </c>
      <c r="F547" t="str">
        <f>IF($A547="","",IF($E547=1,SUMIFS(Compta!$F$1:$F$675,Compta!$A$1:$A$675,$A547,Compta!$B$1:$B$675,$B547,Compta!$C$1:$C$675,"2026"),0))</f>
        <v/>
      </c>
      <c r="G547" t="str">
        <f>IF($A547="","",IF($D547="V01",cad!$C$23,IF($D547="V02",cad!$D$23,cad!$E$23)))</f>
        <v/>
      </c>
      <c r="H547" t="str">
        <f>IF($A547="","",IF($D547="V01",cad!$C$24,IF($D547="V02",cad!$D$24,cad!$E$24)))</f>
        <v/>
      </c>
      <c r="I547" t="str">
        <f>IF($A547="","",IF($D547="V01",cad!$C$32,IF($D547="V02",cad!$D$32,cad!$E$32)))</f>
        <v/>
      </c>
      <c r="J547" t="str">
        <f>IF($A547="","",IF($D547="V01",cad!$C$33,IF($D547="V02",cad!$D$33,cad!$E$33)))</f>
        <v/>
      </c>
      <c r="K547" t="str">
        <f>IF($A547="","",IF($D547="V01",cad!$C$34,IF($D547="V02",cad!$D$34,cad!$E$34)))</f>
        <v/>
      </c>
      <c r="L547" t="str">
        <f>IF($A547="","",IF($D547="V01",cad!$C$35,IF($D547="V02",cad!$D$35,cad!$E$35)))</f>
        <v/>
      </c>
      <c r="M547" t="str">
        <f>IF($A547="","",IF($D547="V01",cad!$C$36,IF($D547="V02",cad!$D$36,cad!$E$36)))</f>
        <v/>
      </c>
      <c r="N547" t="str">
        <f t="shared" si="33"/>
        <v/>
      </c>
      <c r="O547" t="str">
        <f t="shared" si="34"/>
        <v/>
      </c>
      <c r="P547" t="str">
        <f>IF($A547="","",IF($E547=1,$F547*$O547,PNL!G547))</f>
        <v/>
      </c>
      <c r="T547" t="str">
        <f t="shared" si="35"/>
        <v/>
      </c>
    </row>
    <row r="548" spans="1:20" x14ac:dyDescent="0.45">
      <c r="A548" t="str">
        <f>IF(PNL!A548="","",PNL!A548)</f>
        <v/>
      </c>
      <c r="B548" t="str">
        <f>IF(PNL!B548="","",PNL!B548)</f>
        <v/>
      </c>
      <c r="C548" t="str">
        <f>IF(PNL!C548="","",PNL!C548)</f>
        <v/>
      </c>
      <c r="D548" t="str">
        <f>IF(PNL!D548="","",PNL!D548)</f>
        <v/>
      </c>
      <c r="E548" t="str">
        <f t="shared" si="32"/>
        <v/>
      </c>
      <c r="F548" t="str">
        <f>IF($A548="","",IF($E548=1,SUMIFS(Compta!$F$1:$F$675,Compta!$A$1:$A$675,$A548,Compta!$B$1:$B$675,$B548,Compta!$C$1:$C$675,"2026"),0))</f>
        <v/>
      </c>
      <c r="G548" t="str">
        <f>IF($A548="","",IF($D548="V01",cad!$C$23,IF($D548="V02",cad!$D$23,cad!$E$23)))</f>
        <v/>
      </c>
      <c r="H548" t="str">
        <f>IF($A548="","",IF($D548="V01",cad!$C$24,IF($D548="V02",cad!$D$24,cad!$E$24)))</f>
        <v/>
      </c>
      <c r="I548" t="str">
        <f>IF($A548="","",IF($D548="V01",cad!$C$32,IF($D548="V02",cad!$D$32,cad!$E$32)))</f>
        <v/>
      </c>
      <c r="J548" t="str">
        <f>IF($A548="","",IF($D548="V01",cad!$C$33,IF($D548="V02",cad!$D$33,cad!$E$33)))</f>
        <v/>
      </c>
      <c r="K548" t="str">
        <f>IF($A548="","",IF($D548="V01",cad!$C$34,IF($D548="V02",cad!$D$34,cad!$E$34)))</f>
        <v/>
      </c>
      <c r="L548" t="str">
        <f>IF($A548="","",IF($D548="V01",cad!$C$35,IF($D548="V02",cad!$D$35,cad!$E$35)))</f>
        <v/>
      </c>
      <c r="M548" t="str">
        <f>IF($A548="","",IF($D548="V01",cad!$C$36,IF($D548="V02",cad!$D$36,cad!$E$36)))</f>
        <v/>
      </c>
      <c r="N548" t="str">
        <f t="shared" si="33"/>
        <v/>
      </c>
      <c r="O548" t="str">
        <f t="shared" si="34"/>
        <v/>
      </c>
      <c r="P548" t="str">
        <f>IF($A548="","",IF($E548=1,$F548*$O548,PNL!G548))</f>
        <v/>
      </c>
      <c r="T548" t="str">
        <f t="shared" si="35"/>
        <v/>
      </c>
    </row>
    <row r="549" spans="1:20" x14ac:dyDescent="0.45">
      <c r="A549" t="str">
        <f>IF(PNL!A549="","",PNL!A549)</f>
        <v/>
      </c>
      <c r="B549" t="str">
        <f>IF(PNL!B549="","",PNL!B549)</f>
        <v/>
      </c>
      <c r="C549" t="str">
        <f>IF(PNL!C549="","",PNL!C549)</f>
        <v/>
      </c>
      <c r="D549" t="str">
        <f>IF(PNL!D549="","",PNL!D549)</f>
        <v/>
      </c>
      <c r="E549" t="str">
        <f t="shared" si="32"/>
        <v/>
      </c>
      <c r="F549" t="str">
        <f>IF($A549="","",IF($E549=1,SUMIFS(Compta!$F$1:$F$675,Compta!$A$1:$A$675,$A549,Compta!$B$1:$B$675,$B549,Compta!$C$1:$C$675,"2026"),0))</f>
        <v/>
      </c>
      <c r="G549" t="str">
        <f>IF($A549="","",IF($D549="V01",cad!$C$23,IF($D549="V02",cad!$D$23,cad!$E$23)))</f>
        <v/>
      </c>
      <c r="H549" t="str">
        <f>IF($A549="","",IF($D549="V01",cad!$C$24,IF($D549="V02",cad!$D$24,cad!$E$24)))</f>
        <v/>
      </c>
      <c r="I549" t="str">
        <f>IF($A549="","",IF($D549="V01",cad!$C$32,IF($D549="V02",cad!$D$32,cad!$E$32)))</f>
        <v/>
      </c>
      <c r="J549" t="str">
        <f>IF($A549="","",IF($D549="V01",cad!$C$33,IF($D549="V02",cad!$D$33,cad!$E$33)))</f>
        <v/>
      </c>
      <c r="K549" t="str">
        <f>IF($A549="","",IF($D549="V01",cad!$C$34,IF($D549="V02",cad!$D$34,cad!$E$34)))</f>
        <v/>
      </c>
      <c r="L549" t="str">
        <f>IF($A549="","",IF($D549="V01",cad!$C$35,IF($D549="V02",cad!$D$35,cad!$E$35)))</f>
        <v/>
      </c>
      <c r="M549" t="str">
        <f>IF($A549="","",IF($D549="V01",cad!$C$36,IF($D549="V02",cad!$D$36,cad!$E$36)))</f>
        <v/>
      </c>
      <c r="N549" t="str">
        <f t="shared" si="33"/>
        <v/>
      </c>
      <c r="O549" t="str">
        <f t="shared" si="34"/>
        <v/>
      </c>
      <c r="P549" t="str">
        <f>IF($A549="","",IF($E549=1,$F549*$O549,PNL!G549))</f>
        <v/>
      </c>
      <c r="T549" t="str">
        <f t="shared" si="35"/>
        <v/>
      </c>
    </row>
    <row r="550" spans="1:20" x14ac:dyDescent="0.45">
      <c r="A550" t="str">
        <f>IF(PNL!A550="","",PNL!A550)</f>
        <v/>
      </c>
      <c r="B550" t="str">
        <f>IF(PNL!B550="","",PNL!B550)</f>
        <v/>
      </c>
      <c r="C550" t="str">
        <f>IF(PNL!C550="","",PNL!C550)</f>
        <v/>
      </c>
      <c r="D550" t="str">
        <f>IF(PNL!D550="","",PNL!D550)</f>
        <v/>
      </c>
      <c r="E550" t="str">
        <f t="shared" si="32"/>
        <v/>
      </c>
      <c r="F550" t="str">
        <f>IF($A550="","",IF($E550=1,SUMIFS(Compta!$F$1:$F$675,Compta!$A$1:$A$675,$A550,Compta!$B$1:$B$675,$B550,Compta!$C$1:$C$675,"2026"),0))</f>
        <v/>
      </c>
      <c r="G550" t="str">
        <f>IF($A550="","",IF($D550="V01",cad!$C$23,IF($D550="V02",cad!$D$23,cad!$E$23)))</f>
        <v/>
      </c>
      <c r="H550" t="str">
        <f>IF($A550="","",IF($D550="V01",cad!$C$24,IF($D550="V02",cad!$D$24,cad!$E$24)))</f>
        <v/>
      </c>
      <c r="I550" t="str">
        <f>IF($A550="","",IF($D550="V01",cad!$C$32,IF($D550="V02",cad!$D$32,cad!$E$32)))</f>
        <v/>
      </c>
      <c r="J550" t="str">
        <f>IF($A550="","",IF($D550="V01",cad!$C$33,IF($D550="V02",cad!$D$33,cad!$E$33)))</f>
        <v/>
      </c>
      <c r="K550" t="str">
        <f>IF($A550="","",IF($D550="V01",cad!$C$34,IF($D550="V02",cad!$D$34,cad!$E$34)))</f>
        <v/>
      </c>
      <c r="L550" t="str">
        <f>IF($A550="","",IF($D550="V01",cad!$C$35,IF($D550="V02",cad!$D$35,cad!$E$35)))</f>
        <v/>
      </c>
      <c r="M550" t="str">
        <f>IF($A550="","",IF($D550="V01",cad!$C$36,IF($D550="V02",cad!$D$36,cad!$E$36)))</f>
        <v/>
      </c>
      <c r="N550" t="str">
        <f t="shared" si="33"/>
        <v/>
      </c>
      <c r="O550" t="str">
        <f t="shared" si="34"/>
        <v/>
      </c>
      <c r="P550" t="str">
        <f>IF($A550="","",IF($E550=1,$F550*$O550,PNL!G550))</f>
        <v/>
      </c>
      <c r="T550" t="str">
        <f t="shared" si="35"/>
        <v/>
      </c>
    </row>
    <row r="551" spans="1:20" x14ac:dyDescent="0.45">
      <c r="A551" t="str">
        <f>IF(PNL!A551="","",PNL!A551)</f>
        <v/>
      </c>
      <c r="B551" t="str">
        <f>IF(PNL!B551="","",PNL!B551)</f>
        <v/>
      </c>
      <c r="C551" t="str">
        <f>IF(PNL!C551="","",PNL!C551)</f>
        <v/>
      </c>
      <c r="D551" t="str">
        <f>IF(PNL!D551="","",PNL!D551)</f>
        <v/>
      </c>
      <c r="E551" t="str">
        <f t="shared" si="32"/>
        <v/>
      </c>
      <c r="F551" t="str">
        <f>IF($A551="","",IF($E551=1,SUMIFS(Compta!$F$1:$F$675,Compta!$A$1:$A$675,$A551,Compta!$B$1:$B$675,$B551,Compta!$C$1:$C$675,"2026"),0))</f>
        <v/>
      </c>
      <c r="G551" t="str">
        <f>IF($A551="","",IF($D551="V01",cad!$C$23,IF($D551="V02",cad!$D$23,cad!$E$23)))</f>
        <v/>
      </c>
      <c r="H551" t="str">
        <f>IF($A551="","",IF($D551="V01",cad!$C$24,IF($D551="V02",cad!$D$24,cad!$E$24)))</f>
        <v/>
      </c>
      <c r="I551" t="str">
        <f>IF($A551="","",IF($D551="V01",cad!$C$32,IF($D551="V02",cad!$D$32,cad!$E$32)))</f>
        <v/>
      </c>
      <c r="J551" t="str">
        <f>IF($A551="","",IF($D551="V01",cad!$C$33,IF($D551="V02",cad!$D$33,cad!$E$33)))</f>
        <v/>
      </c>
      <c r="K551" t="str">
        <f>IF($A551="","",IF($D551="V01",cad!$C$34,IF($D551="V02",cad!$D$34,cad!$E$34)))</f>
        <v/>
      </c>
      <c r="L551" t="str">
        <f>IF($A551="","",IF($D551="V01",cad!$C$35,IF($D551="V02",cad!$D$35,cad!$E$35)))</f>
        <v/>
      </c>
      <c r="M551" t="str">
        <f>IF($A551="","",IF($D551="V01",cad!$C$36,IF($D551="V02",cad!$D$36,cad!$E$36)))</f>
        <v/>
      </c>
      <c r="N551" t="str">
        <f t="shared" si="33"/>
        <v/>
      </c>
      <c r="O551" t="str">
        <f t="shared" si="34"/>
        <v/>
      </c>
      <c r="P551" t="str">
        <f>IF($A551="","",IF($E551=1,$F551*$O551,PNL!G551))</f>
        <v/>
      </c>
      <c r="T551" t="str">
        <f t="shared" si="35"/>
        <v/>
      </c>
    </row>
    <row r="552" spans="1:20" x14ac:dyDescent="0.45">
      <c r="A552" t="str">
        <f>IF(PNL!A552="","",PNL!A552)</f>
        <v/>
      </c>
      <c r="B552" t="str">
        <f>IF(PNL!B552="","",PNL!B552)</f>
        <v/>
      </c>
      <c r="C552" t="str">
        <f>IF(PNL!C552="","",PNL!C552)</f>
        <v/>
      </c>
      <c r="D552" t="str">
        <f>IF(PNL!D552="","",PNL!D552)</f>
        <v/>
      </c>
      <c r="E552" t="str">
        <f t="shared" si="32"/>
        <v/>
      </c>
      <c r="F552" t="str">
        <f>IF($A552="","",IF($E552=1,SUMIFS(Compta!$F$1:$F$675,Compta!$A$1:$A$675,$A552,Compta!$B$1:$B$675,$B552,Compta!$C$1:$C$675,"2026"),0))</f>
        <v/>
      </c>
      <c r="G552" t="str">
        <f>IF($A552="","",IF($D552="V01",cad!$C$23,IF($D552="V02",cad!$D$23,cad!$E$23)))</f>
        <v/>
      </c>
      <c r="H552" t="str">
        <f>IF($A552="","",IF($D552="V01",cad!$C$24,IF($D552="V02",cad!$D$24,cad!$E$24)))</f>
        <v/>
      </c>
      <c r="I552" t="str">
        <f>IF($A552="","",IF($D552="V01",cad!$C$32,IF($D552="V02",cad!$D$32,cad!$E$32)))</f>
        <v/>
      </c>
      <c r="J552" t="str">
        <f>IF($A552="","",IF($D552="V01",cad!$C$33,IF($D552="V02",cad!$D$33,cad!$E$33)))</f>
        <v/>
      </c>
      <c r="K552" t="str">
        <f>IF($A552="","",IF($D552="V01",cad!$C$34,IF($D552="V02",cad!$D$34,cad!$E$34)))</f>
        <v/>
      </c>
      <c r="L552" t="str">
        <f>IF($A552="","",IF($D552="V01",cad!$C$35,IF($D552="V02",cad!$D$35,cad!$E$35)))</f>
        <v/>
      </c>
      <c r="M552" t="str">
        <f>IF($A552="","",IF($D552="V01",cad!$C$36,IF($D552="V02",cad!$D$36,cad!$E$36)))</f>
        <v/>
      </c>
      <c r="N552" t="str">
        <f t="shared" si="33"/>
        <v/>
      </c>
      <c r="O552" t="str">
        <f t="shared" si="34"/>
        <v/>
      </c>
      <c r="P552" t="str">
        <f>IF($A552="","",IF($E552=1,$F552*$O552,PNL!G552))</f>
        <v/>
      </c>
      <c r="T552" t="str">
        <f t="shared" si="35"/>
        <v/>
      </c>
    </row>
    <row r="553" spans="1:20" x14ac:dyDescent="0.45">
      <c r="A553" t="str">
        <f>IF(PNL!A553="","",PNL!A553)</f>
        <v/>
      </c>
      <c r="B553" t="str">
        <f>IF(PNL!B553="","",PNL!B553)</f>
        <v/>
      </c>
      <c r="C553" t="str">
        <f>IF(PNL!C553="","",PNL!C553)</f>
        <v/>
      </c>
      <c r="D553" t="str">
        <f>IF(PNL!D553="","",PNL!D553)</f>
        <v/>
      </c>
      <c r="E553" t="str">
        <f t="shared" si="32"/>
        <v/>
      </c>
      <c r="F553" t="str">
        <f>IF($A553="","",IF($E553=1,SUMIFS(Compta!$F$1:$F$675,Compta!$A$1:$A$675,$A553,Compta!$B$1:$B$675,$B553,Compta!$C$1:$C$675,"2026"),0))</f>
        <v/>
      </c>
      <c r="G553" t="str">
        <f>IF($A553="","",IF($D553="V01",cad!$C$23,IF($D553="V02",cad!$D$23,cad!$E$23)))</f>
        <v/>
      </c>
      <c r="H553" t="str">
        <f>IF($A553="","",IF($D553="V01",cad!$C$24,IF($D553="V02",cad!$D$24,cad!$E$24)))</f>
        <v/>
      </c>
      <c r="I553" t="str">
        <f>IF($A553="","",IF($D553="V01",cad!$C$32,IF($D553="V02",cad!$D$32,cad!$E$32)))</f>
        <v/>
      </c>
      <c r="J553" t="str">
        <f>IF($A553="","",IF($D553="V01",cad!$C$33,IF($D553="V02",cad!$D$33,cad!$E$33)))</f>
        <v/>
      </c>
      <c r="K553" t="str">
        <f>IF($A553="","",IF($D553="V01",cad!$C$34,IF($D553="V02",cad!$D$34,cad!$E$34)))</f>
        <v/>
      </c>
      <c r="L553" t="str">
        <f>IF($A553="","",IF($D553="V01",cad!$C$35,IF($D553="V02",cad!$D$35,cad!$E$35)))</f>
        <v/>
      </c>
      <c r="M553" t="str">
        <f>IF($A553="","",IF($D553="V01",cad!$C$36,IF($D553="V02",cad!$D$36,cad!$E$36)))</f>
        <v/>
      </c>
      <c r="N553" t="str">
        <f t="shared" si="33"/>
        <v/>
      </c>
      <c r="O553" t="str">
        <f t="shared" si="34"/>
        <v/>
      </c>
      <c r="P553" t="str">
        <f>IF($A553="","",IF($E553=1,$F553*$O553,PNL!G553))</f>
        <v/>
      </c>
      <c r="T553" t="str">
        <f t="shared" si="35"/>
        <v/>
      </c>
    </row>
    <row r="554" spans="1:20" x14ac:dyDescent="0.45">
      <c r="A554" t="str">
        <f>IF(PNL!A554="","",PNL!A554)</f>
        <v/>
      </c>
      <c r="B554" t="str">
        <f>IF(PNL!B554="","",PNL!B554)</f>
        <v/>
      </c>
      <c r="C554" t="str">
        <f>IF(PNL!C554="","",PNL!C554)</f>
        <v/>
      </c>
      <c r="D554" t="str">
        <f>IF(PNL!D554="","",PNL!D554)</f>
        <v/>
      </c>
      <c r="E554" t="str">
        <f t="shared" si="32"/>
        <v/>
      </c>
      <c r="F554" t="str">
        <f>IF($A554="","",IF($E554=1,SUMIFS(Compta!$F$1:$F$675,Compta!$A$1:$A$675,$A554,Compta!$B$1:$B$675,$B554,Compta!$C$1:$C$675,"2026"),0))</f>
        <v/>
      </c>
      <c r="G554" t="str">
        <f>IF($A554="","",IF($D554="V01",cad!$C$23,IF($D554="V02",cad!$D$23,cad!$E$23)))</f>
        <v/>
      </c>
      <c r="H554" t="str">
        <f>IF($A554="","",IF($D554="V01",cad!$C$24,IF($D554="V02",cad!$D$24,cad!$E$24)))</f>
        <v/>
      </c>
      <c r="I554" t="str">
        <f>IF($A554="","",IF($D554="V01",cad!$C$32,IF($D554="V02",cad!$D$32,cad!$E$32)))</f>
        <v/>
      </c>
      <c r="J554" t="str">
        <f>IF($A554="","",IF($D554="V01",cad!$C$33,IF($D554="V02",cad!$D$33,cad!$E$33)))</f>
        <v/>
      </c>
      <c r="K554" t="str">
        <f>IF($A554="","",IF($D554="V01",cad!$C$34,IF($D554="V02",cad!$D$34,cad!$E$34)))</f>
        <v/>
      </c>
      <c r="L554" t="str">
        <f>IF($A554="","",IF($D554="V01",cad!$C$35,IF($D554="V02",cad!$D$35,cad!$E$35)))</f>
        <v/>
      </c>
      <c r="M554" t="str">
        <f>IF($A554="","",IF($D554="V01",cad!$C$36,IF($D554="V02",cad!$D$36,cad!$E$36)))</f>
        <v/>
      </c>
      <c r="N554" t="str">
        <f t="shared" si="33"/>
        <v/>
      </c>
      <c r="O554" t="str">
        <f t="shared" si="34"/>
        <v/>
      </c>
      <c r="P554" t="str">
        <f>IF($A554="","",IF($E554=1,$F554*$O554,PNL!G554))</f>
        <v/>
      </c>
      <c r="T554" t="str">
        <f t="shared" si="35"/>
        <v/>
      </c>
    </row>
    <row r="555" spans="1:20" x14ac:dyDescent="0.45">
      <c r="A555" t="str">
        <f>IF(PNL!A555="","",PNL!A555)</f>
        <v/>
      </c>
      <c r="B555" t="str">
        <f>IF(PNL!B555="","",PNL!B555)</f>
        <v/>
      </c>
      <c r="C555" t="str">
        <f>IF(PNL!C555="","",PNL!C555)</f>
        <v/>
      </c>
      <c r="D555" t="str">
        <f>IF(PNL!D555="","",PNL!D555)</f>
        <v/>
      </c>
      <c r="E555" t="str">
        <f t="shared" si="32"/>
        <v/>
      </c>
      <c r="F555" t="str">
        <f>IF($A555="","",IF($E555=1,SUMIFS(Compta!$F$1:$F$675,Compta!$A$1:$A$675,$A555,Compta!$B$1:$B$675,$B555,Compta!$C$1:$C$675,"2026"),0))</f>
        <v/>
      </c>
      <c r="G555" t="str">
        <f>IF($A555="","",IF($D555="V01",cad!$C$23,IF($D555="V02",cad!$D$23,cad!$E$23)))</f>
        <v/>
      </c>
      <c r="H555" t="str">
        <f>IF($A555="","",IF($D555="V01",cad!$C$24,IF($D555="V02",cad!$D$24,cad!$E$24)))</f>
        <v/>
      </c>
      <c r="I555" t="str">
        <f>IF($A555="","",IF($D555="V01",cad!$C$32,IF($D555="V02",cad!$D$32,cad!$E$32)))</f>
        <v/>
      </c>
      <c r="J555" t="str">
        <f>IF($A555="","",IF($D555="V01",cad!$C$33,IF($D555="V02",cad!$D$33,cad!$E$33)))</f>
        <v/>
      </c>
      <c r="K555" t="str">
        <f>IF($A555="","",IF($D555="V01",cad!$C$34,IF($D555="V02",cad!$D$34,cad!$E$34)))</f>
        <v/>
      </c>
      <c r="L555" t="str">
        <f>IF($A555="","",IF($D555="V01",cad!$C$35,IF($D555="V02",cad!$D$35,cad!$E$35)))</f>
        <v/>
      </c>
      <c r="M555" t="str">
        <f>IF($A555="","",IF($D555="V01",cad!$C$36,IF($D555="V02",cad!$D$36,cad!$E$36)))</f>
        <v/>
      </c>
      <c r="N555" t="str">
        <f t="shared" si="33"/>
        <v/>
      </c>
      <c r="O555" t="str">
        <f t="shared" si="34"/>
        <v/>
      </c>
      <c r="P555" t="str">
        <f>IF($A555="","",IF($E555=1,$F555*$O555,PNL!G555))</f>
        <v/>
      </c>
      <c r="T555" t="str">
        <f t="shared" si="35"/>
        <v/>
      </c>
    </row>
    <row r="556" spans="1:20" x14ac:dyDescent="0.45">
      <c r="A556" t="str">
        <f>IF(PNL!A556="","",PNL!A556)</f>
        <v/>
      </c>
      <c r="B556" t="str">
        <f>IF(PNL!B556="","",PNL!B556)</f>
        <v/>
      </c>
      <c r="C556" t="str">
        <f>IF(PNL!C556="","",PNL!C556)</f>
        <v/>
      </c>
      <c r="D556" t="str">
        <f>IF(PNL!D556="","",PNL!D556)</f>
        <v/>
      </c>
      <c r="E556" t="str">
        <f t="shared" si="32"/>
        <v/>
      </c>
      <c r="F556" t="str">
        <f>IF($A556="","",IF($E556=1,SUMIFS(Compta!$F$1:$F$675,Compta!$A$1:$A$675,$A556,Compta!$B$1:$B$675,$B556,Compta!$C$1:$C$675,"2026"),0))</f>
        <v/>
      </c>
      <c r="G556" t="str">
        <f>IF($A556="","",IF($D556="V01",cad!$C$23,IF($D556="V02",cad!$D$23,cad!$E$23)))</f>
        <v/>
      </c>
      <c r="H556" t="str">
        <f>IF($A556="","",IF($D556="V01",cad!$C$24,IF($D556="V02",cad!$D$24,cad!$E$24)))</f>
        <v/>
      </c>
      <c r="I556" t="str">
        <f>IF($A556="","",IF($D556="V01",cad!$C$32,IF($D556="V02",cad!$D$32,cad!$E$32)))</f>
        <v/>
      </c>
      <c r="J556" t="str">
        <f>IF($A556="","",IF($D556="V01",cad!$C$33,IF($D556="V02",cad!$D$33,cad!$E$33)))</f>
        <v/>
      </c>
      <c r="K556" t="str">
        <f>IF($A556="","",IF($D556="V01",cad!$C$34,IF($D556="V02",cad!$D$34,cad!$E$34)))</f>
        <v/>
      </c>
      <c r="L556" t="str">
        <f>IF($A556="","",IF($D556="V01",cad!$C$35,IF($D556="V02",cad!$D$35,cad!$E$35)))</f>
        <v/>
      </c>
      <c r="M556" t="str">
        <f>IF($A556="","",IF($D556="V01",cad!$C$36,IF($D556="V02",cad!$D$36,cad!$E$36)))</f>
        <v/>
      </c>
      <c r="N556" t="str">
        <f t="shared" si="33"/>
        <v/>
      </c>
      <c r="O556" t="str">
        <f t="shared" si="34"/>
        <v/>
      </c>
      <c r="P556" t="str">
        <f>IF($A556="","",IF($E556=1,$F556*$O556,PNL!G556))</f>
        <v/>
      </c>
      <c r="T556" t="str">
        <f t="shared" si="35"/>
        <v/>
      </c>
    </row>
    <row r="557" spans="1:20" x14ac:dyDescent="0.45">
      <c r="A557" t="str">
        <f>IF(PNL!A557="","",PNL!A557)</f>
        <v/>
      </c>
      <c r="B557" t="str">
        <f>IF(PNL!B557="","",PNL!B557)</f>
        <v/>
      </c>
      <c r="C557" t="str">
        <f>IF(PNL!C557="","",PNL!C557)</f>
        <v/>
      </c>
      <c r="D557" t="str">
        <f>IF(PNL!D557="","",PNL!D557)</f>
        <v/>
      </c>
      <c r="E557" t="str">
        <f t="shared" si="32"/>
        <v/>
      </c>
      <c r="F557" t="str">
        <f>IF($A557="","",IF($E557=1,SUMIFS(Compta!$F$1:$F$675,Compta!$A$1:$A$675,$A557,Compta!$B$1:$B$675,$B557,Compta!$C$1:$C$675,"2026"),0))</f>
        <v/>
      </c>
      <c r="G557" t="str">
        <f>IF($A557="","",IF($D557="V01",cad!$C$23,IF($D557="V02",cad!$D$23,cad!$E$23)))</f>
        <v/>
      </c>
      <c r="H557" t="str">
        <f>IF($A557="","",IF($D557="V01",cad!$C$24,IF($D557="V02",cad!$D$24,cad!$E$24)))</f>
        <v/>
      </c>
      <c r="I557" t="str">
        <f>IF($A557="","",IF($D557="V01",cad!$C$32,IF($D557="V02",cad!$D$32,cad!$E$32)))</f>
        <v/>
      </c>
      <c r="J557" t="str">
        <f>IF($A557="","",IF($D557="V01",cad!$C$33,IF($D557="V02",cad!$D$33,cad!$E$33)))</f>
        <v/>
      </c>
      <c r="K557" t="str">
        <f>IF($A557="","",IF($D557="V01",cad!$C$34,IF($D557="V02",cad!$D$34,cad!$E$34)))</f>
        <v/>
      </c>
      <c r="L557" t="str">
        <f>IF($A557="","",IF($D557="V01",cad!$C$35,IF($D557="V02",cad!$D$35,cad!$E$35)))</f>
        <v/>
      </c>
      <c r="M557" t="str">
        <f>IF($A557="","",IF($D557="V01",cad!$C$36,IF($D557="V02",cad!$D$36,cad!$E$36)))</f>
        <v/>
      </c>
      <c r="N557" t="str">
        <f t="shared" si="33"/>
        <v/>
      </c>
      <c r="O557" t="str">
        <f t="shared" si="34"/>
        <v/>
      </c>
      <c r="P557" t="str">
        <f>IF($A557="","",IF($E557=1,$F557*$O557,PNL!G557))</f>
        <v/>
      </c>
      <c r="T557" t="str">
        <f t="shared" si="35"/>
        <v/>
      </c>
    </row>
    <row r="558" spans="1:20" x14ac:dyDescent="0.45">
      <c r="A558" t="str">
        <f>IF(PNL!A558="","",PNL!A558)</f>
        <v/>
      </c>
      <c r="B558" t="str">
        <f>IF(PNL!B558="","",PNL!B558)</f>
        <v/>
      </c>
      <c r="C558" t="str">
        <f>IF(PNL!C558="","",PNL!C558)</f>
        <v/>
      </c>
      <c r="D558" t="str">
        <f>IF(PNL!D558="","",PNL!D558)</f>
        <v/>
      </c>
      <c r="E558" t="str">
        <f t="shared" si="32"/>
        <v/>
      </c>
      <c r="F558" t="str">
        <f>IF($A558="","",IF($E558=1,SUMIFS(Compta!$F$1:$F$675,Compta!$A$1:$A$675,$A558,Compta!$B$1:$B$675,$B558,Compta!$C$1:$C$675,"2026"),0))</f>
        <v/>
      </c>
      <c r="G558" t="str">
        <f>IF($A558="","",IF($D558="V01",cad!$C$23,IF($D558="V02",cad!$D$23,cad!$E$23)))</f>
        <v/>
      </c>
      <c r="H558" t="str">
        <f>IF($A558="","",IF($D558="V01",cad!$C$24,IF($D558="V02",cad!$D$24,cad!$E$24)))</f>
        <v/>
      </c>
      <c r="I558" t="str">
        <f>IF($A558="","",IF($D558="V01",cad!$C$32,IF($D558="V02",cad!$D$32,cad!$E$32)))</f>
        <v/>
      </c>
      <c r="J558" t="str">
        <f>IF($A558="","",IF($D558="V01",cad!$C$33,IF($D558="V02",cad!$D$33,cad!$E$33)))</f>
        <v/>
      </c>
      <c r="K558" t="str">
        <f>IF($A558="","",IF($D558="V01",cad!$C$34,IF($D558="V02",cad!$D$34,cad!$E$34)))</f>
        <v/>
      </c>
      <c r="L558" t="str">
        <f>IF($A558="","",IF($D558="V01",cad!$C$35,IF($D558="V02",cad!$D$35,cad!$E$35)))</f>
        <v/>
      </c>
      <c r="M558" t="str">
        <f>IF($A558="","",IF($D558="V01",cad!$C$36,IF($D558="V02",cad!$D$36,cad!$E$36)))</f>
        <v/>
      </c>
      <c r="N558" t="str">
        <f t="shared" si="33"/>
        <v/>
      </c>
      <c r="O558" t="str">
        <f t="shared" si="34"/>
        <v/>
      </c>
      <c r="P558" t="str">
        <f>IF($A558="","",IF($E558=1,$F558*$O558,PNL!G558))</f>
        <v/>
      </c>
      <c r="T558" t="str">
        <f t="shared" si="35"/>
        <v/>
      </c>
    </row>
    <row r="559" spans="1:20" x14ac:dyDescent="0.45">
      <c r="A559" t="str">
        <f>IF(PNL!A559="","",PNL!A559)</f>
        <v/>
      </c>
      <c r="B559" t="str">
        <f>IF(PNL!B559="","",PNL!B559)</f>
        <v/>
      </c>
      <c r="C559" t="str">
        <f>IF(PNL!C559="","",PNL!C559)</f>
        <v/>
      </c>
      <c r="D559" t="str">
        <f>IF(PNL!D559="","",PNL!D559)</f>
        <v/>
      </c>
      <c r="E559" t="str">
        <f t="shared" si="32"/>
        <v/>
      </c>
      <c r="F559" t="str">
        <f>IF($A559="","",IF($E559=1,SUMIFS(Compta!$F$1:$F$675,Compta!$A$1:$A$675,$A559,Compta!$B$1:$B$675,$B559,Compta!$C$1:$C$675,"2026"),0))</f>
        <v/>
      </c>
      <c r="G559" t="str">
        <f>IF($A559="","",IF($D559="V01",cad!$C$23,IF($D559="V02",cad!$D$23,cad!$E$23)))</f>
        <v/>
      </c>
      <c r="H559" t="str">
        <f>IF($A559="","",IF($D559="V01",cad!$C$24,IF($D559="V02",cad!$D$24,cad!$E$24)))</f>
        <v/>
      </c>
      <c r="I559" t="str">
        <f>IF($A559="","",IF($D559="V01",cad!$C$32,IF($D559="V02",cad!$D$32,cad!$E$32)))</f>
        <v/>
      </c>
      <c r="J559" t="str">
        <f>IF($A559="","",IF($D559="V01",cad!$C$33,IF($D559="V02",cad!$D$33,cad!$E$33)))</f>
        <v/>
      </c>
      <c r="K559" t="str">
        <f>IF($A559="","",IF($D559="V01",cad!$C$34,IF($D559="V02",cad!$D$34,cad!$E$34)))</f>
        <v/>
      </c>
      <c r="L559" t="str">
        <f>IF($A559="","",IF($D559="V01",cad!$C$35,IF($D559="V02",cad!$D$35,cad!$E$35)))</f>
        <v/>
      </c>
      <c r="M559" t="str">
        <f>IF($A559="","",IF($D559="V01",cad!$C$36,IF($D559="V02",cad!$D$36,cad!$E$36)))</f>
        <v/>
      </c>
      <c r="N559" t="str">
        <f t="shared" si="33"/>
        <v/>
      </c>
      <c r="O559" t="str">
        <f t="shared" si="34"/>
        <v/>
      </c>
      <c r="P559" t="str">
        <f>IF($A559="","",IF($E559=1,$F559*$O559,PNL!G559))</f>
        <v/>
      </c>
      <c r="T559" t="str">
        <f t="shared" si="35"/>
        <v/>
      </c>
    </row>
    <row r="560" spans="1:20" x14ac:dyDescent="0.45">
      <c r="A560" t="str">
        <f>IF(PNL!A560="","",PNL!A560)</f>
        <v/>
      </c>
      <c r="B560" t="str">
        <f>IF(PNL!B560="","",PNL!B560)</f>
        <v/>
      </c>
      <c r="C560" t="str">
        <f>IF(PNL!C560="","",PNL!C560)</f>
        <v/>
      </c>
      <c r="D560" t="str">
        <f>IF(PNL!D560="","",PNL!D560)</f>
        <v/>
      </c>
      <c r="E560" t="str">
        <f t="shared" si="32"/>
        <v/>
      </c>
      <c r="F560" t="str">
        <f>IF($A560="","",IF($E560=1,SUMIFS(Compta!$F$1:$F$675,Compta!$A$1:$A$675,$A560,Compta!$B$1:$B$675,$B560,Compta!$C$1:$C$675,"2026"),0))</f>
        <v/>
      </c>
      <c r="G560" t="str">
        <f>IF($A560="","",IF($D560="V01",cad!$C$23,IF($D560="V02",cad!$D$23,cad!$E$23)))</f>
        <v/>
      </c>
      <c r="H560" t="str">
        <f>IF($A560="","",IF($D560="V01",cad!$C$24,IF($D560="V02",cad!$D$24,cad!$E$24)))</f>
        <v/>
      </c>
      <c r="I560" t="str">
        <f>IF($A560="","",IF($D560="V01",cad!$C$32,IF($D560="V02",cad!$D$32,cad!$E$32)))</f>
        <v/>
      </c>
      <c r="J560" t="str">
        <f>IF($A560="","",IF($D560="V01",cad!$C$33,IF($D560="V02",cad!$D$33,cad!$E$33)))</f>
        <v/>
      </c>
      <c r="K560" t="str">
        <f>IF($A560="","",IF($D560="V01",cad!$C$34,IF($D560="V02",cad!$D$34,cad!$E$34)))</f>
        <v/>
      </c>
      <c r="L560" t="str">
        <f>IF($A560="","",IF($D560="V01",cad!$C$35,IF($D560="V02",cad!$D$35,cad!$E$35)))</f>
        <v/>
      </c>
      <c r="M560" t="str">
        <f>IF($A560="","",IF($D560="V01",cad!$C$36,IF($D560="V02",cad!$D$36,cad!$E$36)))</f>
        <v/>
      </c>
      <c r="N560" t="str">
        <f t="shared" si="33"/>
        <v/>
      </c>
      <c r="O560" t="str">
        <f t="shared" si="34"/>
        <v/>
      </c>
      <c r="P560" t="str">
        <f>IF($A560="","",IF($E560=1,$F560*$O560,PNL!G560))</f>
        <v/>
      </c>
      <c r="T560" t="str">
        <f t="shared" si="35"/>
        <v/>
      </c>
    </row>
    <row r="561" spans="1:20" x14ac:dyDescent="0.45">
      <c r="A561" t="str">
        <f>IF(PNL!A561="","",PNL!A561)</f>
        <v/>
      </c>
      <c r="B561" t="str">
        <f>IF(PNL!B561="","",PNL!B561)</f>
        <v/>
      </c>
      <c r="C561" t="str">
        <f>IF(PNL!C561="","",PNL!C561)</f>
        <v/>
      </c>
      <c r="D561" t="str">
        <f>IF(PNL!D561="","",PNL!D561)</f>
        <v/>
      </c>
      <c r="E561" t="str">
        <f t="shared" si="32"/>
        <v/>
      </c>
      <c r="F561" t="str">
        <f>IF($A561="","",IF($E561=1,SUMIFS(Compta!$F$1:$F$675,Compta!$A$1:$A$675,$A561,Compta!$B$1:$B$675,$B561,Compta!$C$1:$C$675,"2026"),0))</f>
        <v/>
      </c>
      <c r="G561" t="str">
        <f>IF($A561="","",IF($D561="V01",cad!$C$23,IF($D561="V02",cad!$D$23,cad!$E$23)))</f>
        <v/>
      </c>
      <c r="H561" t="str">
        <f>IF($A561="","",IF($D561="V01",cad!$C$24,IF($D561="V02",cad!$D$24,cad!$E$24)))</f>
        <v/>
      </c>
      <c r="I561" t="str">
        <f>IF($A561="","",IF($D561="V01",cad!$C$32,IF($D561="V02",cad!$D$32,cad!$E$32)))</f>
        <v/>
      </c>
      <c r="J561" t="str">
        <f>IF($A561="","",IF($D561="V01",cad!$C$33,IF($D561="V02",cad!$D$33,cad!$E$33)))</f>
        <v/>
      </c>
      <c r="K561" t="str">
        <f>IF($A561="","",IF($D561="V01",cad!$C$34,IF($D561="V02",cad!$D$34,cad!$E$34)))</f>
        <v/>
      </c>
      <c r="L561" t="str">
        <f>IF($A561="","",IF($D561="V01",cad!$C$35,IF($D561="V02",cad!$D$35,cad!$E$35)))</f>
        <v/>
      </c>
      <c r="M561" t="str">
        <f>IF($A561="","",IF($D561="V01",cad!$C$36,IF($D561="V02",cad!$D$36,cad!$E$36)))</f>
        <v/>
      </c>
      <c r="N561" t="str">
        <f t="shared" si="33"/>
        <v/>
      </c>
      <c r="O561" t="str">
        <f t="shared" si="34"/>
        <v/>
      </c>
      <c r="P561" t="str">
        <f>IF($A561="","",IF($E561=1,$F561*$O561,PNL!G561))</f>
        <v/>
      </c>
      <c r="T561" t="str">
        <f t="shared" si="35"/>
        <v/>
      </c>
    </row>
    <row r="562" spans="1:20" x14ac:dyDescent="0.45">
      <c r="A562" t="str">
        <f>IF(PNL!A562="","",PNL!A562)</f>
        <v/>
      </c>
      <c r="B562" t="str">
        <f>IF(PNL!B562="","",PNL!B562)</f>
        <v/>
      </c>
      <c r="C562" t="str">
        <f>IF(PNL!C562="","",PNL!C562)</f>
        <v/>
      </c>
      <c r="D562" t="str">
        <f>IF(PNL!D562="","",PNL!D562)</f>
        <v/>
      </c>
      <c r="E562" t="str">
        <f t="shared" si="32"/>
        <v/>
      </c>
      <c r="F562" t="str">
        <f>IF($A562="","",IF($E562=1,SUMIFS(Compta!$F$1:$F$675,Compta!$A$1:$A$675,$A562,Compta!$B$1:$B$675,$B562,Compta!$C$1:$C$675,"2026"),0))</f>
        <v/>
      </c>
      <c r="G562" t="str">
        <f>IF($A562="","",IF($D562="V01",cad!$C$23,IF($D562="V02",cad!$D$23,cad!$E$23)))</f>
        <v/>
      </c>
      <c r="H562" t="str">
        <f>IF($A562="","",IF($D562="V01",cad!$C$24,IF($D562="V02",cad!$D$24,cad!$E$24)))</f>
        <v/>
      </c>
      <c r="I562" t="str">
        <f>IF($A562="","",IF($D562="V01",cad!$C$32,IF($D562="V02",cad!$D$32,cad!$E$32)))</f>
        <v/>
      </c>
      <c r="J562" t="str">
        <f>IF($A562="","",IF($D562="V01",cad!$C$33,IF($D562="V02",cad!$D$33,cad!$E$33)))</f>
        <v/>
      </c>
      <c r="K562" t="str">
        <f>IF($A562="","",IF($D562="V01",cad!$C$34,IF($D562="V02",cad!$D$34,cad!$E$34)))</f>
        <v/>
      </c>
      <c r="L562" t="str">
        <f>IF($A562="","",IF($D562="V01",cad!$C$35,IF($D562="V02",cad!$D$35,cad!$E$35)))</f>
        <v/>
      </c>
      <c r="M562" t="str">
        <f>IF($A562="","",IF($D562="V01",cad!$C$36,IF($D562="V02",cad!$D$36,cad!$E$36)))</f>
        <v/>
      </c>
      <c r="N562" t="str">
        <f t="shared" si="33"/>
        <v/>
      </c>
      <c r="O562" t="str">
        <f t="shared" si="34"/>
        <v/>
      </c>
      <c r="P562" t="str">
        <f>IF($A562="","",IF($E562=1,$F562*$O562,PNL!G562))</f>
        <v/>
      </c>
      <c r="T562" t="str">
        <f t="shared" si="35"/>
        <v/>
      </c>
    </row>
    <row r="563" spans="1:20" x14ac:dyDescent="0.45">
      <c r="A563" t="str">
        <f>IF(PNL!A563="","",PNL!A563)</f>
        <v/>
      </c>
      <c r="B563" t="str">
        <f>IF(PNL!B563="","",PNL!B563)</f>
        <v/>
      </c>
      <c r="C563" t="str">
        <f>IF(PNL!C563="","",PNL!C563)</f>
        <v/>
      </c>
      <c r="D563" t="str">
        <f>IF(PNL!D563="","",PNL!D563)</f>
        <v/>
      </c>
      <c r="E563" t="str">
        <f t="shared" si="32"/>
        <v/>
      </c>
      <c r="F563" t="str">
        <f>IF($A563="","",IF($E563=1,SUMIFS(Compta!$F$1:$F$675,Compta!$A$1:$A$675,$A563,Compta!$B$1:$B$675,$B563,Compta!$C$1:$C$675,"2026"),0))</f>
        <v/>
      </c>
      <c r="G563" t="str">
        <f>IF($A563="","",IF($D563="V01",cad!$C$23,IF($D563="V02",cad!$D$23,cad!$E$23)))</f>
        <v/>
      </c>
      <c r="H563" t="str">
        <f>IF($A563="","",IF($D563="V01",cad!$C$24,IF($D563="V02",cad!$D$24,cad!$E$24)))</f>
        <v/>
      </c>
      <c r="I563" t="str">
        <f>IF($A563="","",IF($D563="V01",cad!$C$32,IF($D563="V02",cad!$D$32,cad!$E$32)))</f>
        <v/>
      </c>
      <c r="J563" t="str">
        <f>IF($A563="","",IF($D563="V01",cad!$C$33,IF($D563="V02",cad!$D$33,cad!$E$33)))</f>
        <v/>
      </c>
      <c r="K563" t="str">
        <f>IF($A563="","",IF($D563="V01",cad!$C$34,IF($D563="V02",cad!$D$34,cad!$E$34)))</f>
        <v/>
      </c>
      <c r="L563" t="str">
        <f>IF($A563="","",IF($D563="V01",cad!$C$35,IF($D563="V02",cad!$D$35,cad!$E$35)))</f>
        <v/>
      </c>
      <c r="M563" t="str">
        <f>IF($A563="","",IF($D563="V01",cad!$C$36,IF($D563="V02",cad!$D$36,cad!$E$36)))</f>
        <v/>
      </c>
      <c r="N563" t="str">
        <f t="shared" si="33"/>
        <v/>
      </c>
      <c r="O563" t="str">
        <f t="shared" si="34"/>
        <v/>
      </c>
      <c r="P563" t="str">
        <f>IF($A563="","",IF($E563=1,$F563*$O563,PNL!G563))</f>
        <v/>
      </c>
      <c r="T563" t="str">
        <f t="shared" si="35"/>
        <v/>
      </c>
    </row>
    <row r="564" spans="1:20" x14ac:dyDescent="0.45">
      <c r="A564" t="str">
        <f>IF(PNL!A564="","",PNL!A564)</f>
        <v/>
      </c>
      <c r="B564" t="str">
        <f>IF(PNL!B564="","",PNL!B564)</f>
        <v/>
      </c>
      <c r="C564" t="str">
        <f>IF(PNL!C564="","",PNL!C564)</f>
        <v/>
      </c>
      <c r="D564" t="str">
        <f>IF(PNL!D564="","",PNL!D564)</f>
        <v/>
      </c>
      <c r="E564" t="str">
        <f t="shared" si="32"/>
        <v/>
      </c>
      <c r="F564" t="str">
        <f>IF($A564="","",IF($E564=1,SUMIFS(Compta!$F$1:$F$675,Compta!$A$1:$A$675,$A564,Compta!$B$1:$B$675,$B564,Compta!$C$1:$C$675,"2026"),0))</f>
        <v/>
      </c>
      <c r="G564" t="str">
        <f>IF($A564="","",IF($D564="V01",cad!$C$23,IF($D564="V02",cad!$D$23,cad!$E$23)))</f>
        <v/>
      </c>
      <c r="H564" t="str">
        <f>IF($A564="","",IF($D564="V01",cad!$C$24,IF($D564="V02",cad!$D$24,cad!$E$24)))</f>
        <v/>
      </c>
      <c r="I564" t="str">
        <f>IF($A564="","",IF($D564="V01",cad!$C$32,IF($D564="V02",cad!$D$32,cad!$E$32)))</f>
        <v/>
      </c>
      <c r="J564" t="str">
        <f>IF($A564="","",IF($D564="V01",cad!$C$33,IF($D564="V02",cad!$D$33,cad!$E$33)))</f>
        <v/>
      </c>
      <c r="K564" t="str">
        <f>IF($A564="","",IF($D564="V01",cad!$C$34,IF($D564="V02",cad!$D$34,cad!$E$34)))</f>
        <v/>
      </c>
      <c r="L564" t="str">
        <f>IF($A564="","",IF($D564="V01",cad!$C$35,IF($D564="V02",cad!$D$35,cad!$E$35)))</f>
        <v/>
      </c>
      <c r="M564" t="str">
        <f>IF($A564="","",IF($D564="V01",cad!$C$36,IF($D564="V02",cad!$D$36,cad!$E$36)))</f>
        <v/>
      </c>
      <c r="N564" t="str">
        <f t="shared" si="33"/>
        <v/>
      </c>
      <c r="O564" t="str">
        <f t="shared" si="34"/>
        <v/>
      </c>
      <c r="P564" t="str">
        <f>IF($A564="","",IF($E564=1,$F564*$O564,PNL!G564))</f>
        <v/>
      </c>
      <c r="T564" t="str">
        <f t="shared" si="35"/>
        <v/>
      </c>
    </row>
    <row r="565" spans="1:20" x14ac:dyDescent="0.45">
      <c r="A565" t="str">
        <f>IF(PNL!A565="","",PNL!A565)</f>
        <v/>
      </c>
      <c r="B565" t="str">
        <f>IF(PNL!B565="","",PNL!B565)</f>
        <v/>
      </c>
      <c r="C565" t="str">
        <f>IF(PNL!C565="","",PNL!C565)</f>
        <v/>
      </c>
      <c r="D565" t="str">
        <f>IF(PNL!D565="","",PNL!D565)</f>
        <v/>
      </c>
      <c r="E565" t="str">
        <f t="shared" si="32"/>
        <v/>
      </c>
      <c r="F565" t="str">
        <f>IF($A565="","",IF($E565=1,SUMIFS(Compta!$F$1:$F$675,Compta!$A$1:$A$675,$A565,Compta!$B$1:$B$675,$B565,Compta!$C$1:$C$675,"2026"),0))</f>
        <v/>
      </c>
      <c r="G565" t="str">
        <f>IF($A565="","",IF($D565="V01",cad!$C$23,IF($D565="V02",cad!$D$23,cad!$E$23)))</f>
        <v/>
      </c>
      <c r="H565" t="str">
        <f>IF($A565="","",IF($D565="V01",cad!$C$24,IF($D565="V02",cad!$D$24,cad!$E$24)))</f>
        <v/>
      </c>
      <c r="I565" t="str">
        <f>IF($A565="","",IF($D565="V01",cad!$C$32,IF($D565="V02",cad!$D$32,cad!$E$32)))</f>
        <v/>
      </c>
      <c r="J565" t="str">
        <f>IF($A565="","",IF($D565="V01",cad!$C$33,IF($D565="V02",cad!$D$33,cad!$E$33)))</f>
        <v/>
      </c>
      <c r="K565" t="str">
        <f>IF($A565="","",IF($D565="V01",cad!$C$34,IF($D565="V02",cad!$D$34,cad!$E$34)))</f>
        <v/>
      </c>
      <c r="L565" t="str">
        <f>IF($A565="","",IF($D565="V01",cad!$C$35,IF($D565="V02",cad!$D$35,cad!$E$35)))</f>
        <v/>
      </c>
      <c r="M565" t="str">
        <f>IF($A565="","",IF($D565="V01",cad!$C$36,IF($D565="V02",cad!$D$36,cad!$E$36)))</f>
        <v/>
      </c>
      <c r="N565" t="str">
        <f t="shared" si="33"/>
        <v/>
      </c>
      <c r="O565" t="str">
        <f t="shared" si="34"/>
        <v/>
      </c>
      <c r="P565" t="str">
        <f>IF($A565="","",IF($E565=1,$F565*$O565,PNL!G565))</f>
        <v/>
      </c>
      <c r="T565" t="str">
        <f t="shared" si="35"/>
        <v/>
      </c>
    </row>
    <row r="566" spans="1:20" x14ac:dyDescent="0.45">
      <c r="A566" t="str">
        <f>IF(PNL!A566="","",PNL!A566)</f>
        <v/>
      </c>
      <c r="B566" t="str">
        <f>IF(PNL!B566="","",PNL!B566)</f>
        <v/>
      </c>
      <c r="C566" t="str">
        <f>IF(PNL!C566="","",PNL!C566)</f>
        <v/>
      </c>
      <c r="D566" t="str">
        <f>IF(PNL!D566="","",PNL!D566)</f>
        <v/>
      </c>
      <c r="E566" t="str">
        <f t="shared" si="32"/>
        <v/>
      </c>
      <c r="F566" t="str">
        <f>IF($A566="","",IF($E566=1,SUMIFS(Compta!$F$1:$F$675,Compta!$A$1:$A$675,$A566,Compta!$B$1:$B$675,$B566,Compta!$C$1:$C$675,"2026"),0))</f>
        <v/>
      </c>
      <c r="G566" t="str">
        <f>IF($A566="","",IF($D566="V01",cad!$C$23,IF($D566="V02",cad!$D$23,cad!$E$23)))</f>
        <v/>
      </c>
      <c r="H566" t="str">
        <f>IF($A566="","",IF($D566="V01",cad!$C$24,IF($D566="V02",cad!$D$24,cad!$E$24)))</f>
        <v/>
      </c>
      <c r="I566" t="str">
        <f>IF($A566="","",IF($D566="V01",cad!$C$32,IF($D566="V02",cad!$D$32,cad!$E$32)))</f>
        <v/>
      </c>
      <c r="J566" t="str">
        <f>IF($A566="","",IF($D566="V01",cad!$C$33,IF($D566="V02",cad!$D$33,cad!$E$33)))</f>
        <v/>
      </c>
      <c r="K566" t="str">
        <f>IF($A566="","",IF($D566="V01",cad!$C$34,IF($D566="V02",cad!$D$34,cad!$E$34)))</f>
        <v/>
      </c>
      <c r="L566" t="str">
        <f>IF($A566="","",IF($D566="V01",cad!$C$35,IF($D566="V02",cad!$D$35,cad!$E$35)))</f>
        <v/>
      </c>
      <c r="M566" t="str">
        <f>IF($A566="","",IF($D566="V01",cad!$C$36,IF($D566="V02",cad!$D$36,cad!$E$36)))</f>
        <v/>
      </c>
      <c r="N566" t="str">
        <f t="shared" si="33"/>
        <v/>
      </c>
      <c r="O566" t="str">
        <f t="shared" si="34"/>
        <v/>
      </c>
      <c r="P566" t="str">
        <f>IF($A566="","",IF($E566=1,$F566*$O566,PNL!G566))</f>
        <v/>
      </c>
      <c r="T566" t="str">
        <f t="shared" si="35"/>
        <v/>
      </c>
    </row>
    <row r="567" spans="1:20" x14ac:dyDescent="0.45">
      <c r="A567" t="str">
        <f>IF(PNL!A567="","",PNL!A567)</f>
        <v/>
      </c>
      <c r="B567" t="str">
        <f>IF(PNL!B567="","",PNL!B567)</f>
        <v/>
      </c>
      <c r="C567" t="str">
        <f>IF(PNL!C567="","",PNL!C567)</f>
        <v/>
      </c>
      <c r="D567" t="str">
        <f>IF(PNL!D567="","",PNL!D567)</f>
        <v/>
      </c>
      <c r="E567" t="str">
        <f t="shared" si="32"/>
        <v/>
      </c>
      <c r="F567" t="str">
        <f>IF($A567="","",IF($E567=1,SUMIFS(Compta!$F$1:$F$675,Compta!$A$1:$A$675,$A567,Compta!$B$1:$B$675,$B567,Compta!$C$1:$C$675,"2026"),0))</f>
        <v/>
      </c>
      <c r="G567" t="str">
        <f>IF($A567="","",IF($D567="V01",cad!$C$23,IF($D567="V02",cad!$D$23,cad!$E$23)))</f>
        <v/>
      </c>
      <c r="H567" t="str">
        <f>IF($A567="","",IF($D567="V01",cad!$C$24,IF($D567="V02",cad!$D$24,cad!$E$24)))</f>
        <v/>
      </c>
      <c r="I567" t="str">
        <f>IF($A567="","",IF($D567="V01",cad!$C$32,IF($D567="V02",cad!$D$32,cad!$E$32)))</f>
        <v/>
      </c>
      <c r="J567" t="str">
        <f>IF($A567="","",IF($D567="V01",cad!$C$33,IF($D567="V02",cad!$D$33,cad!$E$33)))</f>
        <v/>
      </c>
      <c r="K567" t="str">
        <f>IF($A567="","",IF($D567="V01",cad!$C$34,IF($D567="V02",cad!$D$34,cad!$E$34)))</f>
        <v/>
      </c>
      <c r="L567" t="str">
        <f>IF($A567="","",IF($D567="V01",cad!$C$35,IF($D567="V02",cad!$D$35,cad!$E$35)))</f>
        <v/>
      </c>
      <c r="M567" t="str">
        <f>IF($A567="","",IF($D567="V01",cad!$C$36,IF($D567="V02",cad!$D$36,cad!$E$36)))</f>
        <v/>
      </c>
      <c r="N567" t="str">
        <f t="shared" si="33"/>
        <v/>
      </c>
      <c r="O567" t="str">
        <f t="shared" si="34"/>
        <v/>
      </c>
      <c r="P567" t="str">
        <f>IF($A567="","",IF($E567=1,$F567*$O567,PNL!G567))</f>
        <v/>
      </c>
      <c r="T567" t="str">
        <f t="shared" si="35"/>
        <v/>
      </c>
    </row>
    <row r="568" spans="1:20" x14ac:dyDescent="0.45">
      <c r="A568" t="str">
        <f>IF(PNL!A568="","",PNL!A568)</f>
        <v/>
      </c>
      <c r="B568" t="str">
        <f>IF(PNL!B568="","",PNL!B568)</f>
        <v/>
      </c>
      <c r="C568" t="str">
        <f>IF(PNL!C568="","",PNL!C568)</f>
        <v/>
      </c>
      <c r="D568" t="str">
        <f>IF(PNL!D568="","",PNL!D568)</f>
        <v/>
      </c>
      <c r="E568" t="str">
        <f t="shared" si="32"/>
        <v/>
      </c>
      <c r="F568" t="str">
        <f>IF($A568="","",IF($E568=1,SUMIFS(Compta!$F$1:$F$675,Compta!$A$1:$A$675,$A568,Compta!$B$1:$B$675,$B568,Compta!$C$1:$C$675,"2026"),0))</f>
        <v/>
      </c>
      <c r="G568" t="str">
        <f>IF($A568="","",IF($D568="V01",cad!$C$23,IF($D568="V02",cad!$D$23,cad!$E$23)))</f>
        <v/>
      </c>
      <c r="H568" t="str">
        <f>IF($A568="","",IF($D568="V01",cad!$C$24,IF($D568="V02",cad!$D$24,cad!$E$24)))</f>
        <v/>
      </c>
      <c r="I568" t="str">
        <f>IF($A568="","",IF($D568="V01",cad!$C$32,IF($D568="V02",cad!$D$32,cad!$E$32)))</f>
        <v/>
      </c>
      <c r="J568" t="str">
        <f>IF($A568="","",IF($D568="V01",cad!$C$33,IF($D568="V02",cad!$D$33,cad!$E$33)))</f>
        <v/>
      </c>
      <c r="K568" t="str">
        <f>IF($A568="","",IF($D568="V01",cad!$C$34,IF($D568="V02",cad!$D$34,cad!$E$34)))</f>
        <v/>
      </c>
      <c r="L568" t="str">
        <f>IF($A568="","",IF($D568="V01",cad!$C$35,IF($D568="V02",cad!$D$35,cad!$E$35)))</f>
        <v/>
      </c>
      <c r="M568" t="str">
        <f>IF($A568="","",IF($D568="V01",cad!$C$36,IF($D568="V02",cad!$D$36,cad!$E$36)))</f>
        <v/>
      </c>
      <c r="N568" t="str">
        <f t="shared" si="33"/>
        <v/>
      </c>
      <c r="O568" t="str">
        <f t="shared" si="34"/>
        <v/>
      </c>
      <c r="P568" t="str">
        <f>IF($A568="","",IF($E568=1,$F568*$O568,PNL!G568))</f>
        <v/>
      </c>
      <c r="T568" t="str">
        <f t="shared" si="35"/>
        <v/>
      </c>
    </row>
    <row r="569" spans="1:20" x14ac:dyDescent="0.45">
      <c r="A569" t="str">
        <f>IF(PNL!A569="","",PNL!A569)</f>
        <v/>
      </c>
      <c r="B569" t="str">
        <f>IF(PNL!B569="","",PNL!B569)</f>
        <v/>
      </c>
      <c r="C569" t="str">
        <f>IF(PNL!C569="","",PNL!C569)</f>
        <v/>
      </c>
      <c r="D569" t="str">
        <f>IF(PNL!D569="","",PNL!D569)</f>
        <v/>
      </c>
      <c r="E569" t="str">
        <f t="shared" si="32"/>
        <v/>
      </c>
      <c r="F569" t="str">
        <f>IF($A569="","",IF($E569=1,SUMIFS(Compta!$F$1:$F$675,Compta!$A$1:$A$675,$A569,Compta!$B$1:$B$675,$B569,Compta!$C$1:$C$675,"2026"),0))</f>
        <v/>
      </c>
      <c r="G569" t="str">
        <f>IF($A569="","",IF($D569="V01",cad!$C$23,IF($D569="V02",cad!$D$23,cad!$E$23)))</f>
        <v/>
      </c>
      <c r="H569" t="str">
        <f>IF($A569="","",IF($D569="V01",cad!$C$24,IF($D569="V02",cad!$D$24,cad!$E$24)))</f>
        <v/>
      </c>
      <c r="I569" t="str">
        <f>IF($A569="","",IF($D569="V01",cad!$C$32,IF($D569="V02",cad!$D$32,cad!$E$32)))</f>
        <v/>
      </c>
      <c r="J569" t="str">
        <f>IF($A569="","",IF($D569="V01",cad!$C$33,IF($D569="V02",cad!$D$33,cad!$E$33)))</f>
        <v/>
      </c>
      <c r="K569" t="str">
        <f>IF($A569="","",IF($D569="V01",cad!$C$34,IF($D569="V02",cad!$D$34,cad!$E$34)))</f>
        <v/>
      </c>
      <c r="L569" t="str">
        <f>IF($A569="","",IF($D569="V01",cad!$C$35,IF($D569="V02",cad!$D$35,cad!$E$35)))</f>
        <v/>
      </c>
      <c r="M569" t="str">
        <f>IF($A569="","",IF($D569="V01",cad!$C$36,IF($D569="V02",cad!$D$36,cad!$E$36)))</f>
        <v/>
      </c>
      <c r="N569" t="str">
        <f t="shared" si="33"/>
        <v/>
      </c>
      <c r="O569" t="str">
        <f t="shared" si="34"/>
        <v/>
      </c>
      <c r="P569" t="str">
        <f>IF($A569="","",IF($E569=1,$F569*$O569,PNL!G569))</f>
        <v/>
      </c>
      <c r="T569" t="str">
        <f t="shared" si="35"/>
        <v/>
      </c>
    </row>
    <row r="570" spans="1:20" x14ac:dyDescent="0.45">
      <c r="A570" t="str">
        <f>IF(PNL!A570="","",PNL!A570)</f>
        <v/>
      </c>
      <c r="B570" t="str">
        <f>IF(PNL!B570="","",PNL!B570)</f>
        <v/>
      </c>
      <c r="C570" t="str">
        <f>IF(PNL!C570="","",PNL!C570)</f>
        <v/>
      </c>
      <c r="D570" t="str">
        <f>IF(PNL!D570="","",PNL!D570)</f>
        <v/>
      </c>
      <c r="E570" t="str">
        <f t="shared" si="32"/>
        <v/>
      </c>
      <c r="F570" t="str">
        <f>IF($A570="","",IF($E570=1,SUMIFS(Compta!$F$1:$F$675,Compta!$A$1:$A$675,$A570,Compta!$B$1:$B$675,$B570,Compta!$C$1:$C$675,"2026"),0))</f>
        <v/>
      </c>
      <c r="G570" t="str">
        <f>IF($A570="","",IF($D570="V01",cad!$C$23,IF($D570="V02",cad!$D$23,cad!$E$23)))</f>
        <v/>
      </c>
      <c r="H570" t="str">
        <f>IF($A570="","",IF($D570="V01",cad!$C$24,IF($D570="V02",cad!$D$24,cad!$E$24)))</f>
        <v/>
      </c>
      <c r="I570" t="str">
        <f>IF($A570="","",IF($D570="V01",cad!$C$32,IF($D570="V02",cad!$D$32,cad!$E$32)))</f>
        <v/>
      </c>
      <c r="J570" t="str">
        <f>IF($A570="","",IF($D570="V01",cad!$C$33,IF($D570="V02",cad!$D$33,cad!$E$33)))</f>
        <v/>
      </c>
      <c r="K570" t="str">
        <f>IF($A570="","",IF($D570="V01",cad!$C$34,IF($D570="V02",cad!$D$34,cad!$E$34)))</f>
        <v/>
      </c>
      <c r="L570" t="str">
        <f>IF($A570="","",IF($D570="V01",cad!$C$35,IF($D570="V02",cad!$D$35,cad!$E$35)))</f>
        <v/>
      </c>
      <c r="M570" t="str">
        <f>IF($A570="","",IF($D570="V01",cad!$C$36,IF($D570="V02",cad!$D$36,cad!$E$36)))</f>
        <v/>
      </c>
      <c r="N570" t="str">
        <f t="shared" si="33"/>
        <v/>
      </c>
      <c r="O570" t="str">
        <f t="shared" si="34"/>
        <v/>
      </c>
      <c r="P570" t="str">
        <f>IF($A570="","",IF($E570=1,$F570*$O570,PNL!G570))</f>
        <v/>
      </c>
      <c r="T570" t="str">
        <f t="shared" si="35"/>
        <v/>
      </c>
    </row>
    <row r="571" spans="1:20" x14ac:dyDescent="0.45">
      <c r="A571" t="str">
        <f>IF(PNL!A571="","",PNL!A571)</f>
        <v/>
      </c>
      <c r="B571" t="str">
        <f>IF(PNL!B571="","",PNL!B571)</f>
        <v/>
      </c>
      <c r="C571" t="str">
        <f>IF(PNL!C571="","",PNL!C571)</f>
        <v/>
      </c>
      <c r="D571" t="str">
        <f>IF(PNL!D571="","",PNL!D571)</f>
        <v/>
      </c>
      <c r="E571" t="str">
        <f t="shared" si="32"/>
        <v/>
      </c>
      <c r="F571" t="str">
        <f>IF($A571="","",IF($E571=1,SUMIFS(Compta!$F$1:$F$675,Compta!$A$1:$A$675,$A571,Compta!$B$1:$B$675,$B571,Compta!$C$1:$C$675,"2026"),0))</f>
        <v/>
      </c>
      <c r="G571" t="str">
        <f>IF($A571="","",IF($D571="V01",cad!$C$23,IF($D571="V02",cad!$D$23,cad!$E$23)))</f>
        <v/>
      </c>
      <c r="H571" t="str">
        <f>IF($A571="","",IF($D571="V01",cad!$C$24,IF($D571="V02",cad!$D$24,cad!$E$24)))</f>
        <v/>
      </c>
      <c r="I571" t="str">
        <f>IF($A571="","",IF($D571="V01",cad!$C$32,IF($D571="V02",cad!$D$32,cad!$E$32)))</f>
        <v/>
      </c>
      <c r="J571" t="str">
        <f>IF($A571="","",IF($D571="V01",cad!$C$33,IF($D571="V02",cad!$D$33,cad!$E$33)))</f>
        <v/>
      </c>
      <c r="K571" t="str">
        <f>IF($A571="","",IF($D571="V01",cad!$C$34,IF($D571="V02",cad!$D$34,cad!$E$34)))</f>
        <v/>
      </c>
      <c r="L571" t="str">
        <f>IF($A571="","",IF($D571="V01",cad!$C$35,IF($D571="V02",cad!$D$35,cad!$E$35)))</f>
        <v/>
      </c>
      <c r="M571" t="str">
        <f>IF($A571="","",IF($D571="V01",cad!$C$36,IF($D571="V02",cad!$D$36,cad!$E$36)))</f>
        <v/>
      </c>
      <c r="N571" t="str">
        <f t="shared" si="33"/>
        <v/>
      </c>
      <c r="O571" t="str">
        <f t="shared" si="34"/>
        <v/>
      </c>
      <c r="P571" t="str">
        <f>IF($A571="","",IF($E571=1,$F571*$O571,PNL!G571))</f>
        <v/>
      </c>
      <c r="T571" t="str">
        <f t="shared" si="35"/>
        <v/>
      </c>
    </row>
    <row r="572" spans="1:20" x14ac:dyDescent="0.45">
      <c r="A572" t="str">
        <f>IF(PNL!A572="","",PNL!A572)</f>
        <v/>
      </c>
      <c r="B572" t="str">
        <f>IF(PNL!B572="","",PNL!B572)</f>
        <v/>
      </c>
      <c r="C572" t="str">
        <f>IF(PNL!C572="","",PNL!C572)</f>
        <v/>
      </c>
      <c r="D572" t="str">
        <f>IF(PNL!D572="","",PNL!D572)</f>
        <v/>
      </c>
      <c r="E572" t="str">
        <f t="shared" si="32"/>
        <v/>
      </c>
      <c r="F572" t="str">
        <f>IF($A572="","",IF($E572=1,SUMIFS(Compta!$F$1:$F$675,Compta!$A$1:$A$675,$A572,Compta!$B$1:$B$675,$B572,Compta!$C$1:$C$675,"2026"),0))</f>
        <v/>
      </c>
      <c r="G572" t="str">
        <f>IF($A572="","",IF($D572="V01",cad!$C$23,IF($D572="V02",cad!$D$23,cad!$E$23)))</f>
        <v/>
      </c>
      <c r="H572" t="str">
        <f>IF($A572="","",IF($D572="V01",cad!$C$24,IF($D572="V02",cad!$D$24,cad!$E$24)))</f>
        <v/>
      </c>
      <c r="I572" t="str">
        <f>IF($A572="","",IF($D572="V01",cad!$C$32,IF($D572="V02",cad!$D$32,cad!$E$32)))</f>
        <v/>
      </c>
      <c r="J572" t="str">
        <f>IF($A572="","",IF($D572="V01",cad!$C$33,IF($D572="V02",cad!$D$33,cad!$E$33)))</f>
        <v/>
      </c>
      <c r="K572" t="str">
        <f>IF($A572="","",IF($D572="V01",cad!$C$34,IF($D572="V02",cad!$D$34,cad!$E$34)))</f>
        <v/>
      </c>
      <c r="L572" t="str">
        <f>IF($A572="","",IF($D572="V01",cad!$C$35,IF($D572="V02",cad!$D$35,cad!$E$35)))</f>
        <v/>
      </c>
      <c r="M572" t="str">
        <f>IF($A572="","",IF($D572="V01",cad!$C$36,IF($D572="V02",cad!$D$36,cad!$E$36)))</f>
        <v/>
      </c>
      <c r="N572" t="str">
        <f t="shared" si="33"/>
        <v/>
      </c>
      <c r="O572" t="str">
        <f t="shared" si="34"/>
        <v/>
      </c>
      <c r="P572" t="str">
        <f>IF($A572="","",IF($E572=1,$F572*$O572,PNL!G572))</f>
        <v/>
      </c>
      <c r="T572" t="str">
        <f t="shared" si="35"/>
        <v/>
      </c>
    </row>
    <row r="573" spans="1:20" x14ac:dyDescent="0.45">
      <c r="A573" t="str">
        <f>IF(PNL!A573="","",PNL!A573)</f>
        <v/>
      </c>
      <c r="B573" t="str">
        <f>IF(PNL!B573="","",PNL!B573)</f>
        <v/>
      </c>
      <c r="C573" t="str">
        <f>IF(PNL!C573="","",PNL!C573)</f>
        <v/>
      </c>
      <c r="D573" t="str">
        <f>IF(PNL!D573="","",PNL!D573)</f>
        <v/>
      </c>
      <c r="E573" t="str">
        <f t="shared" si="32"/>
        <v/>
      </c>
      <c r="F573" t="str">
        <f>IF($A573="","",IF($E573=1,SUMIFS(Compta!$F$1:$F$675,Compta!$A$1:$A$675,$A573,Compta!$B$1:$B$675,$B573,Compta!$C$1:$C$675,"2026"),0))</f>
        <v/>
      </c>
      <c r="G573" t="str">
        <f>IF($A573="","",IF($D573="V01",cad!$C$23,IF($D573="V02",cad!$D$23,cad!$E$23)))</f>
        <v/>
      </c>
      <c r="H573" t="str">
        <f>IF($A573="","",IF($D573="V01",cad!$C$24,IF($D573="V02",cad!$D$24,cad!$E$24)))</f>
        <v/>
      </c>
      <c r="I573" t="str">
        <f>IF($A573="","",IF($D573="V01",cad!$C$32,IF($D573="V02",cad!$D$32,cad!$E$32)))</f>
        <v/>
      </c>
      <c r="J573" t="str">
        <f>IF($A573="","",IF($D573="V01",cad!$C$33,IF($D573="V02",cad!$D$33,cad!$E$33)))</f>
        <v/>
      </c>
      <c r="K573" t="str">
        <f>IF($A573="","",IF($D573="V01",cad!$C$34,IF($D573="V02",cad!$D$34,cad!$E$34)))</f>
        <v/>
      </c>
      <c r="L573" t="str">
        <f>IF($A573="","",IF($D573="V01",cad!$C$35,IF($D573="V02",cad!$D$35,cad!$E$35)))</f>
        <v/>
      </c>
      <c r="M573" t="str">
        <f>IF($A573="","",IF($D573="V01",cad!$C$36,IF($D573="V02",cad!$D$36,cad!$E$36)))</f>
        <v/>
      </c>
      <c r="N573" t="str">
        <f t="shared" si="33"/>
        <v/>
      </c>
      <c r="O573" t="str">
        <f t="shared" si="34"/>
        <v/>
      </c>
      <c r="P573" t="str">
        <f>IF($A573="","",IF($E573=1,$F573*$O573,PNL!G573))</f>
        <v/>
      </c>
      <c r="T573" t="str">
        <f t="shared" si="35"/>
        <v/>
      </c>
    </row>
    <row r="574" spans="1:20" x14ac:dyDescent="0.45">
      <c r="A574" t="str">
        <f>IF(PNL!A574="","",PNL!A574)</f>
        <v/>
      </c>
      <c r="B574" t="str">
        <f>IF(PNL!B574="","",PNL!B574)</f>
        <v/>
      </c>
      <c r="C574" t="str">
        <f>IF(PNL!C574="","",PNL!C574)</f>
        <v/>
      </c>
      <c r="D574" t="str">
        <f>IF(PNL!D574="","",PNL!D574)</f>
        <v/>
      </c>
      <c r="E574" t="str">
        <f t="shared" si="32"/>
        <v/>
      </c>
      <c r="F574" t="str">
        <f>IF($A574="","",IF($E574=1,SUMIFS(Compta!$F$1:$F$675,Compta!$A$1:$A$675,$A574,Compta!$B$1:$B$675,$B574,Compta!$C$1:$C$675,"2026"),0))</f>
        <v/>
      </c>
      <c r="G574" t="str">
        <f>IF($A574="","",IF($D574="V01",cad!$C$23,IF($D574="V02",cad!$D$23,cad!$E$23)))</f>
        <v/>
      </c>
      <c r="H574" t="str">
        <f>IF($A574="","",IF($D574="V01",cad!$C$24,IF($D574="V02",cad!$D$24,cad!$E$24)))</f>
        <v/>
      </c>
      <c r="I574" t="str">
        <f>IF($A574="","",IF($D574="V01",cad!$C$32,IF($D574="V02",cad!$D$32,cad!$E$32)))</f>
        <v/>
      </c>
      <c r="J574" t="str">
        <f>IF($A574="","",IF($D574="V01",cad!$C$33,IF($D574="V02",cad!$D$33,cad!$E$33)))</f>
        <v/>
      </c>
      <c r="K574" t="str">
        <f>IF($A574="","",IF($D574="V01",cad!$C$34,IF($D574="V02",cad!$D$34,cad!$E$34)))</f>
        <v/>
      </c>
      <c r="L574" t="str">
        <f>IF($A574="","",IF($D574="V01",cad!$C$35,IF($D574="V02",cad!$D$35,cad!$E$35)))</f>
        <v/>
      </c>
      <c r="M574" t="str">
        <f>IF($A574="","",IF($D574="V01",cad!$C$36,IF($D574="V02",cad!$D$36,cad!$E$36)))</f>
        <v/>
      </c>
      <c r="N574" t="str">
        <f t="shared" si="33"/>
        <v/>
      </c>
      <c r="O574" t="str">
        <f t="shared" si="34"/>
        <v/>
      </c>
      <c r="P574" t="str">
        <f>IF($A574="","",IF($E574=1,$F574*$O574,PNL!G574))</f>
        <v/>
      </c>
      <c r="T574" t="str">
        <f t="shared" si="35"/>
        <v/>
      </c>
    </row>
    <row r="575" spans="1:20" x14ac:dyDescent="0.45">
      <c r="A575" t="str">
        <f>IF(PNL!A575="","",PNL!A575)</f>
        <v/>
      </c>
      <c r="B575" t="str">
        <f>IF(PNL!B575="","",PNL!B575)</f>
        <v/>
      </c>
      <c r="C575" t="str">
        <f>IF(PNL!C575="","",PNL!C575)</f>
        <v/>
      </c>
      <c r="D575" t="str">
        <f>IF(PNL!D575="","",PNL!D575)</f>
        <v/>
      </c>
      <c r="E575" t="str">
        <f t="shared" si="32"/>
        <v/>
      </c>
      <c r="F575" t="str">
        <f>IF($A575="","",IF($E575=1,SUMIFS(Compta!$F$1:$F$675,Compta!$A$1:$A$675,$A575,Compta!$B$1:$B$675,$B575,Compta!$C$1:$C$675,"2026"),0))</f>
        <v/>
      </c>
      <c r="G575" t="str">
        <f>IF($A575="","",IF($D575="V01",cad!$C$23,IF($D575="V02",cad!$D$23,cad!$E$23)))</f>
        <v/>
      </c>
      <c r="H575" t="str">
        <f>IF($A575="","",IF($D575="V01",cad!$C$24,IF($D575="V02",cad!$D$24,cad!$E$24)))</f>
        <v/>
      </c>
      <c r="I575" t="str">
        <f>IF($A575="","",IF($D575="V01",cad!$C$32,IF($D575="V02",cad!$D$32,cad!$E$32)))</f>
        <v/>
      </c>
      <c r="J575" t="str">
        <f>IF($A575="","",IF($D575="V01",cad!$C$33,IF($D575="V02",cad!$D$33,cad!$E$33)))</f>
        <v/>
      </c>
      <c r="K575" t="str">
        <f>IF($A575="","",IF($D575="V01",cad!$C$34,IF($D575="V02",cad!$D$34,cad!$E$34)))</f>
        <v/>
      </c>
      <c r="L575" t="str">
        <f>IF($A575="","",IF($D575="V01",cad!$C$35,IF($D575="V02",cad!$D$35,cad!$E$35)))</f>
        <v/>
      </c>
      <c r="M575" t="str">
        <f>IF($A575="","",IF($D575="V01",cad!$C$36,IF($D575="V02",cad!$D$36,cad!$E$36)))</f>
        <v/>
      </c>
      <c r="N575" t="str">
        <f t="shared" si="33"/>
        <v/>
      </c>
      <c r="O575" t="str">
        <f t="shared" si="34"/>
        <v/>
      </c>
      <c r="P575" t="str">
        <f>IF($A575="","",IF($E575=1,$F575*$O575,PNL!G575))</f>
        <v/>
      </c>
      <c r="T575" t="str">
        <f t="shared" si="35"/>
        <v/>
      </c>
    </row>
    <row r="576" spans="1:20" x14ac:dyDescent="0.45">
      <c r="A576" t="str">
        <f>IF(PNL!A576="","",PNL!A576)</f>
        <v/>
      </c>
      <c r="B576" t="str">
        <f>IF(PNL!B576="","",PNL!B576)</f>
        <v/>
      </c>
      <c r="C576" t="str">
        <f>IF(PNL!C576="","",PNL!C576)</f>
        <v/>
      </c>
      <c r="D576" t="str">
        <f>IF(PNL!D576="","",PNL!D576)</f>
        <v/>
      </c>
      <c r="E576" t="str">
        <f t="shared" si="32"/>
        <v/>
      </c>
      <c r="F576" t="str">
        <f>IF($A576="","",IF($E576=1,SUMIFS(Compta!$F$1:$F$675,Compta!$A$1:$A$675,$A576,Compta!$B$1:$B$675,$B576,Compta!$C$1:$C$675,"2026"),0))</f>
        <v/>
      </c>
      <c r="G576" t="str">
        <f>IF($A576="","",IF($D576="V01",cad!$C$23,IF($D576="V02",cad!$D$23,cad!$E$23)))</f>
        <v/>
      </c>
      <c r="H576" t="str">
        <f>IF($A576="","",IF($D576="V01",cad!$C$24,IF($D576="V02",cad!$D$24,cad!$E$24)))</f>
        <v/>
      </c>
      <c r="I576" t="str">
        <f>IF($A576="","",IF($D576="V01",cad!$C$32,IF($D576="V02",cad!$D$32,cad!$E$32)))</f>
        <v/>
      </c>
      <c r="J576" t="str">
        <f>IF($A576="","",IF($D576="V01",cad!$C$33,IF($D576="V02",cad!$D$33,cad!$E$33)))</f>
        <v/>
      </c>
      <c r="K576" t="str">
        <f>IF($A576="","",IF($D576="V01",cad!$C$34,IF($D576="V02",cad!$D$34,cad!$E$34)))</f>
        <v/>
      </c>
      <c r="L576" t="str">
        <f>IF($A576="","",IF($D576="V01",cad!$C$35,IF($D576="V02",cad!$D$35,cad!$E$35)))</f>
        <v/>
      </c>
      <c r="M576" t="str">
        <f>IF($A576="","",IF($D576="V01",cad!$C$36,IF($D576="V02",cad!$D$36,cad!$E$36)))</f>
        <v/>
      </c>
      <c r="N576" t="str">
        <f t="shared" si="33"/>
        <v/>
      </c>
      <c r="O576" t="str">
        <f t="shared" si="34"/>
        <v/>
      </c>
      <c r="P576" t="str">
        <f>IF($A576="","",IF($E576=1,$F576*$O576,PNL!G576))</f>
        <v/>
      </c>
      <c r="T576" t="str">
        <f t="shared" si="35"/>
        <v/>
      </c>
    </row>
    <row r="577" spans="1:20" x14ac:dyDescent="0.45">
      <c r="A577" t="str">
        <f>IF(PNL!A577="","",PNL!A577)</f>
        <v/>
      </c>
      <c r="B577" t="str">
        <f>IF(PNL!B577="","",PNL!B577)</f>
        <v/>
      </c>
      <c r="C577" t="str">
        <f>IF(PNL!C577="","",PNL!C577)</f>
        <v/>
      </c>
      <c r="D577" t="str">
        <f>IF(PNL!D577="","",PNL!D577)</f>
        <v/>
      </c>
      <c r="E577" t="str">
        <f t="shared" si="32"/>
        <v/>
      </c>
      <c r="F577" t="str">
        <f>IF($A577="","",IF($E577=1,SUMIFS(Compta!$F$1:$F$675,Compta!$A$1:$A$675,$A577,Compta!$B$1:$B$675,$B577,Compta!$C$1:$C$675,"2026"),0))</f>
        <v/>
      </c>
      <c r="G577" t="str">
        <f>IF($A577="","",IF($D577="V01",cad!$C$23,IF($D577="V02",cad!$D$23,cad!$E$23)))</f>
        <v/>
      </c>
      <c r="H577" t="str">
        <f>IF($A577="","",IF($D577="V01",cad!$C$24,IF($D577="V02",cad!$D$24,cad!$E$24)))</f>
        <v/>
      </c>
      <c r="I577" t="str">
        <f>IF($A577="","",IF($D577="V01",cad!$C$32,IF($D577="V02",cad!$D$32,cad!$E$32)))</f>
        <v/>
      </c>
      <c r="J577" t="str">
        <f>IF($A577="","",IF($D577="V01",cad!$C$33,IF($D577="V02",cad!$D$33,cad!$E$33)))</f>
        <v/>
      </c>
      <c r="K577" t="str">
        <f>IF($A577="","",IF($D577="V01",cad!$C$34,IF($D577="V02",cad!$D$34,cad!$E$34)))</f>
        <v/>
      </c>
      <c r="L577" t="str">
        <f>IF($A577="","",IF($D577="V01",cad!$C$35,IF($D577="V02",cad!$D$35,cad!$E$35)))</f>
        <v/>
      </c>
      <c r="M577" t="str">
        <f>IF($A577="","",IF($D577="V01",cad!$C$36,IF($D577="V02",cad!$D$36,cad!$E$36)))</f>
        <v/>
      </c>
      <c r="N577" t="str">
        <f t="shared" si="33"/>
        <v/>
      </c>
      <c r="O577" t="str">
        <f t="shared" si="34"/>
        <v/>
      </c>
      <c r="P577" t="str">
        <f>IF($A577="","",IF($E577=1,$F577*$O577,PNL!G577))</f>
        <v/>
      </c>
      <c r="T577" t="str">
        <f t="shared" si="35"/>
        <v/>
      </c>
    </row>
    <row r="578" spans="1:20" x14ac:dyDescent="0.45">
      <c r="A578" t="str">
        <f>IF(PNL!A578="","",PNL!A578)</f>
        <v/>
      </c>
      <c r="B578" t="str">
        <f>IF(PNL!B578="","",PNL!B578)</f>
        <v/>
      </c>
      <c r="C578" t="str">
        <f>IF(PNL!C578="","",PNL!C578)</f>
        <v/>
      </c>
      <c r="D578" t="str">
        <f>IF(PNL!D578="","",PNL!D578)</f>
        <v/>
      </c>
      <c r="E578" t="str">
        <f t="shared" ref="E578:E641" si="36">IF($A578="","",IF(AND($C578="2027",OR($D578="V01",$D578="V02",$D578="V03")),1,0))</f>
        <v/>
      </c>
      <c r="F578" t="str">
        <f>IF($A578="","",IF($E578=1,SUMIFS(Compta!$F$1:$F$675,Compta!$A$1:$A$675,$A578,Compta!$B$1:$B$675,$B578,Compta!$C$1:$C$675,"2026"),0))</f>
        <v/>
      </c>
      <c r="G578" t="str">
        <f>IF($A578="","",IF($D578="V01",cad!$C$23,IF($D578="V02",cad!$D$23,cad!$E$23)))</f>
        <v/>
      </c>
      <c r="H578" t="str">
        <f>IF($A578="","",IF($D578="V01",cad!$C$24,IF($D578="V02",cad!$D$24,cad!$E$24)))</f>
        <v/>
      </c>
      <c r="I578" t="str">
        <f>IF($A578="","",IF($D578="V01",cad!$C$32,IF($D578="V02",cad!$D$32,cad!$E$32)))</f>
        <v/>
      </c>
      <c r="J578" t="str">
        <f>IF($A578="","",IF($D578="V01",cad!$C$33,IF($D578="V02",cad!$D$33,cad!$E$33)))</f>
        <v/>
      </c>
      <c r="K578" t="str">
        <f>IF($A578="","",IF($D578="V01",cad!$C$34,IF($D578="V02",cad!$D$34,cad!$E$34)))</f>
        <v/>
      </c>
      <c r="L578" t="str">
        <f>IF($A578="","",IF($D578="V01",cad!$C$35,IF($D578="V02",cad!$D$35,cad!$E$35)))</f>
        <v/>
      </c>
      <c r="M578" t="str">
        <f>IF($A578="","",IF($D578="V01",cad!$C$36,IF($D578="V02",cad!$D$36,cad!$E$36)))</f>
        <v/>
      </c>
      <c r="N578" t="str">
        <f t="shared" ref="N578:N641" si="37">IF($A578="","",IF($D578="V01",$R$2,IF($D578="V02",$R$3,$R$4)))</f>
        <v/>
      </c>
      <c r="O578" t="str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 t="str">
        <f>IF($A578="","",IF($E578=1,$F578*$O578,PNL!G578))</f>
        <v/>
      </c>
      <c r="T578" t="str">
        <f t="shared" ref="T578:T641" si="39">IF($A578="","",IF($E578=1,IF(OR($B578="7062",$B578="706",$B578="708"),$P578,IF(AND(LEFT($B578,1)="6",$B578&lt;&gt;"6811"),-$P578,0)),0))</f>
        <v/>
      </c>
    </row>
    <row r="579" spans="1:20" x14ac:dyDescent="0.45">
      <c r="A579" t="str">
        <f>IF(PNL!A579="","",PNL!A579)</f>
        <v/>
      </c>
      <c r="B579" t="str">
        <f>IF(PNL!B579="","",PNL!B579)</f>
        <v/>
      </c>
      <c r="C579" t="str">
        <f>IF(PNL!C579="","",PNL!C579)</f>
        <v/>
      </c>
      <c r="D579" t="str">
        <f>IF(PNL!D579="","",PNL!D579)</f>
        <v/>
      </c>
      <c r="E579" t="str">
        <f t="shared" si="36"/>
        <v/>
      </c>
      <c r="F579" t="str">
        <f>IF($A579="","",IF($E579=1,SUMIFS(Compta!$F$1:$F$675,Compta!$A$1:$A$675,$A579,Compta!$B$1:$B$675,$B579,Compta!$C$1:$C$675,"2026"),0))</f>
        <v/>
      </c>
      <c r="G579" t="str">
        <f>IF($A579="","",IF($D579="V01",cad!$C$23,IF($D579="V02",cad!$D$23,cad!$E$23)))</f>
        <v/>
      </c>
      <c r="H579" t="str">
        <f>IF($A579="","",IF($D579="V01",cad!$C$24,IF($D579="V02",cad!$D$24,cad!$E$24)))</f>
        <v/>
      </c>
      <c r="I579" t="str">
        <f>IF($A579="","",IF($D579="V01",cad!$C$32,IF($D579="V02",cad!$D$32,cad!$E$32)))</f>
        <v/>
      </c>
      <c r="J579" t="str">
        <f>IF($A579="","",IF($D579="V01",cad!$C$33,IF($D579="V02",cad!$D$33,cad!$E$33)))</f>
        <v/>
      </c>
      <c r="K579" t="str">
        <f>IF($A579="","",IF($D579="V01",cad!$C$34,IF($D579="V02",cad!$D$34,cad!$E$34)))</f>
        <v/>
      </c>
      <c r="L579" t="str">
        <f>IF($A579="","",IF($D579="V01",cad!$C$35,IF($D579="V02",cad!$D$35,cad!$E$35)))</f>
        <v/>
      </c>
      <c r="M579" t="str">
        <f>IF($A579="","",IF($D579="V01",cad!$C$36,IF($D579="V02",cad!$D$36,cad!$E$36)))</f>
        <v/>
      </c>
      <c r="N579" t="str">
        <f t="shared" si="37"/>
        <v/>
      </c>
      <c r="O579" t="str">
        <f t="shared" si="38"/>
        <v/>
      </c>
      <c r="P579" t="str">
        <f>IF($A579="","",IF($E579=1,$F579*$O579,PNL!G579))</f>
        <v/>
      </c>
      <c r="T579" t="str">
        <f t="shared" si="39"/>
        <v/>
      </c>
    </row>
    <row r="580" spans="1:20" x14ac:dyDescent="0.45">
      <c r="A580" t="str">
        <f>IF(PNL!A580="","",PNL!A580)</f>
        <v/>
      </c>
      <c r="B580" t="str">
        <f>IF(PNL!B580="","",PNL!B580)</f>
        <v/>
      </c>
      <c r="C580" t="str">
        <f>IF(PNL!C580="","",PNL!C580)</f>
        <v/>
      </c>
      <c r="D580" t="str">
        <f>IF(PNL!D580="","",PNL!D580)</f>
        <v/>
      </c>
      <c r="E580" t="str">
        <f t="shared" si="36"/>
        <v/>
      </c>
      <c r="F580" t="str">
        <f>IF($A580="","",IF($E580=1,SUMIFS(Compta!$F$1:$F$675,Compta!$A$1:$A$675,$A580,Compta!$B$1:$B$675,$B580,Compta!$C$1:$C$675,"2026"),0))</f>
        <v/>
      </c>
      <c r="G580" t="str">
        <f>IF($A580="","",IF($D580="V01",cad!$C$23,IF($D580="V02",cad!$D$23,cad!$E$23)))</f>
        <v/>
      </c>
      <c r="H580" t="str">
        <f>IF($A580="","",IF($D580="V01",cad!$C$24,IF($D580="V02",cad!$D$24,cad!$E$24)))</f>
        <v/>
      </c>
      <c r="I580" t="str">
        <f>IF($A580="","",IF($D580="V01",cad!$C$32,IF($D580="V02",cad!$D$32,cad!$E$32)))</f>
        <v/>
      </c>
      <c r="J580" t="str">
        <f>IF($A580="","",IF($D580="V01",cad!$C$33,IF($D580="V02",cad!$D$33,cad!$E$33)))</f>
        <v/>
      </c>
      <c r="K580" t="str">
        <f>IF($A580="","",IF($D580="V01",cad!$C$34,IF($D580="V02",cad!$D$34,cad!$E$34)))</f>
        <v/>
      </c>
      <c r="L580" t="str">
        <f>IF($A580="","",IF($D580="V01",cad!$C$35,IF($D580="V02",cad!$D$35,cad!$E$35)))</f>
        <v/>
      </c>
      <c r="M580" t="str">
        <f>IF($A580="","",IF($D580="V01",cad!$C$36,IF($D580="V02",cad!$D$36,cad!$E$36)))</f>
        <v/>
      </c>
      <c r="N580" t="str">
        <f t="shared" si="37"/>
        <v/>
      </c>
      <c r="O580" t="str">
        <f t="shared" si="38"/>
        <v/>
      </c>
      <c r="P580" t="str">
        <f>IF($A580="","",IF($E580=1,$F580*$O580,PNL!G580))</f>
        <v/>
      </c>
      <c r="T580" t="str">
        <f t="shared" si="39"/>
        <v/>
      </c>
    </row>
    <row r="581" spans="1:20" x14ac:dyDescent="0.45">
      <c r="A581" t="str">
        <f>IF(PNL!A581="","",PNL!A581)</f>
        <v/>
      </c>
      <c r="B581" t="str">
        <f>IF(PNL!B581="","",PNL!B581)</f>
        <v/>
      </c>
      <c r="C581" t="str">
        <f>IF(PNL!C581="","",PNL!C581)</f>
        <v/>
      </c>
      <c r="D581" t="str">
        <f>IF(PNL!D581="","",PNL!D581)</f>
        <v/>
      </c>
      <c r="E581" t="str">
        <f t="shared" si="36"/>
        <v/>
      </c>
      <c r="F581" t="str">
        <f>IF($A581="","",IF($E581=1,SUMIFS(Compta!$F$1:$F$675,Compta!$A$1:$A$675,$A581,Compta!$B$1:$B$675,$B581,Compta!$C$1:$C$675,"2026"),0))</f>
        <v/>
      </c>
      <c r="G581" t="str">
        <f>IF($A581="","",IF($D581="V01",cad!$C$23,IF($D581="V02",cad!$D$23,cad!$E$23)))</f>
        <v/>
      </c>
      <c r="H581" t="str">
        <f>IF($A581="","",IF($D581="V01",cad!$C$24,IF($D581="V02",cad!$D$24,cad!$E$24)))</f>
        <v/>
      </c>
      <c r="I581" t="str">
        <f>IF($A581="","",IF($D581="V01",cad!$C$32,IF($D581="V02",cad!$D$32,cad!$E$32)))</f>
        <v/>
      </c>
      <c r="J581" t="str">
        <f>IF($A581="","",IF($D581="V01",cad!$C$33,IF($D581="V02",cad!$D$33,cad!$E$33)))</f>
        <v/>
      </c>
      <c r="K581" t="str">
        <f>IF($A581="","",IF($D581="V01",cad!$C$34,IF($D581="V02",cad!$D$34,cad!$E$34)))</f>
        <v/>
      </c>
      <c r="L581" t="str">
        <f>IF($A581="","",IF($D581="V01",cad!$C$35,IF($D581="V02",cad!$D$35,cad!$E$35)))</f>
        <v/>
      </c>
      <c r="M581" t="str">
        <f>IF($A581="","",IF($D581="V01",cad!$C$36,IF($D581="V02",cad!$D$36,cad!$E$36)))</f>
        <v/>
      </c>
      <c r="N581" t="str">
        <f t="shared" si="37"/>
        <v/>
      </c>
      <c r="O581" t="str">
        <f t="shared" si="38"/>
        <v/>
      </c>
      <c r="P581" t="str">
        <f>IF($A581="","",IF($E581=1,$F581*$O581,PNL!G581))</f>
        <v/>
      </c>
      <c r="T581" t="str">
        <f t="shared" si="39"/>
        <v/>
      </c>
    </row>
    <row r="582" spans="1:20" x14ac:dyDescent="0.45">
      <c r="A582" t="str">
        <f>IF(PNL!A582="","",PNL!A582)</f>
        <v/>
      </c>
      <c r="B582" t="str">
        <f>IF(PNL!B582="","",PNL!B582)</f>
        <v/>
      </c>
      <c r="C582" t="str">
        <f>IF(PNL!C582="","",PNL!C582)</f>
        <v/>
      </c>
      <c r="D582" t="str">
        <f>IF(PNL!D582="","",PNL!D582)</f>
        <v/>
      </c>
      <c r="E582" t="str">
        <f t="shared" si="36"/>
        <v/>
      </c>
      <c r="F582" t="str">
        <f>IF($A582="","",IF($E582=1,SUMIFS(Compta!$F$1:$F$675,Compta!$A$1:$A$675,$A582,Compta!$B$1:$B$675,$B582,Compta!$C$1:$C$675,"2026"),0))</f>
        <v/>
      </c>
      <c r="G582" t="str">
        <f>IF($A582="","",IF($D582="V01",cad!$C$23,IF($D582="V02",cad!$D$23,cad!$E$23)))</f>
        <v/>
      </c>
      <c r="H582" t="str">
        <f>IF($A582="","",IF($D582="V01",cad!$C$24,IF($D582="V02",cad!$D$24,cad!$E$24)))</f>
        <v/>
      </c>
      <c r="I582" t="str">
        <f>IF($A582="","",IF($D582="V01",cad!$C$32,IF($D582="V02",cad!$D$32,cad!$E$32)))</f>
        <v/>
      </c>
      <c r="J582" t="str">
        <f>IF($A582="","",IF($D582="V01",cad!$C$33,IF($D582="V02",cad!$D$33,cad!$E$33)))</f>
        <v/>
      </c>
      <c r="K582" t="str">
        <f>IF($A582="","",IF($D582="V01",cad!$C$34,IF($D582="V02",cad!$D$34,cad!$E$34)))</f>
        <v/>
      </c>
      <c r="L582" t="str">
        <f>IF($A582="","",IF($D582="V01",cad!$C$35,IF($D582="V02",cad!$D$35,cad!$E$35)))</f>
        <v/>
      </c>
      <c r="M582" t="str">
        <f>IF($A582="","",IF($D582="V01",cad!$C$36,IF($D582="V02",cad!$D$36,cad!$E$36)))</f>
        <v/>
      </c>
      <c r="N582" t="str">
        <f t="shared" si="37"/>
        <v/>
      </c>
      <c r="O582" t="str">
        <f t="shared" si="38"/>
        <v/>
      </c>
      <c r="P582" t="str">
        <f>IF($A582="","",IF($E582=1,$F582*$O582,PNL!G582))</f>
        <v/>
      </c>
      <c r="T582" t="str">
        <f t="shared" si="39"/>
        <v/>
      </c>
    </row>
    <row r="583" spans="1:20" x14ac:dyDescent="0.45">
      <c r="A583" t="str">
        <f>IF(PNL!A583="","",PNL!A583)</f>
        <v/>
      </c>
      <c r="B583" t="str">
        <f>IF(PNL!B583="","",PNL!B583)</f>
        <v/>
      </c>
      <c r="C583" t="str">
        <f>IF(PNL!C583="","",PNL!C583)</f>
        <v/>
      </c>
      <c r="D583" t="str">
        <f>IF(PNL!D583="","",PNL!D583)</f>
        <v/>
      </c>
      <c r="E583" t="str">
        <f t="shared" si="36"/>
        <v/>
      </c>
      <c r="F583" t="str">
        <f>IF($A583="","",IF($E583=1,SUMIFS(Compta!$F$1:$F$675,Compta!$A$1:$A$675,$A583,Compta!$B$1:$B$675,$B583,Compta!$C$1:$C$675,"2026"),0))</f>
        <v/>
      </c>
      <c r="G583" t="str">
        <f>IF($A583="","",IF($D583="V01",cad!$C$23,IF($D583="V02",cad!$D$23,cad!$E$23)))</f>
        <v/>
      </c>
      <c r="H583" t="str">
        <f>IF($A583="","",IF($D583="V01",cad!$C$24,IF($D583="V02",cad!$D$24,cad!$E$24)))</f>
        <v/>
      </c>
      <c r="I583" t="str">
        <f>IF($A583="","",IF($D583="V01",cad!$C$32,IF($D583="V02",cad!$D$32,cad!$E$32)))</f>
        <v/>
      </c>
      <c r="J583" t="str">
        <f>IF($A583="","",IF($D583="V01",cad!$C$33,IF($D583="V02",cad!$D$33,cad!$E$33)))</f>
        <v/>
      </c>
      <c r="K583" t="str">
        <f>IF($A583="","",IF($D583="V01",cad!$C$34,IF($D583="V02",cad!$D$34,cad!$E$34)))</f>
        <v/>
      </c>
      <c r="L583" t="str">
        <f>IF($A583="","",IF($D583="V01",cad!$C$35,IF($D583="V02",cad!$D$35,cad!$E$35)))</f>
        <v/>
      </c>
      <c r="M583" t="str">
        <f>IF($A583="","",IF($D583="V01",cad!$C$36,IF($D583="V02",cad!$D$36,cad!$E$36)))</f>
        <v/>
      </c>
      <c r="N583" t="str">
        <f t="shared" si="37"/>
        <v/>
      </c>
      <c r="O583" t="str">
        <f t="shared" si="38"/>
        <v/>
      </c>
      <c r="P583" t="str">
        <f>IF($A583="","",IF($E583=1,$F583*$O583,PNL!G583))</f>
        <v/>
      </c>
      <c r="T583" t="str">
        <f t="shared" si="39"/>
        <v/>
      </c>
    </row>
    <row r="584" spans="1:20" x14ac:dyDescent="0.45">
      <c r="A584" t="str">
        <f>IF(PNL!A584="","",PNL!A584)</f>
        <v/>
      </c>
      <c r="B584" t="str">
        <f>IF(PNL!B584="","",PNL!B584)</f>
        <v/>
      </c>
      <c r="C584" t="str">
        <f>IF(PNL!C584="","",PNL!C584)</f>
        <v/>
      </c>
      <c r="D584" t="str">
        <f>IF(PNL!D584="","",PNL!D584)</f>
        <v/>
      </c>
      <c r="E584" t="str">
        <f t="shared" si="36"/>
        <v/>
      </c>
      <c r="F584" t="str">
        <f>IF($A584="","",IF($E584=1,SUMIFS(Compta!$F$1:$F$675,Compta!$A$1:$A$675,$A584,Compta!$B$1:$B$675,$B584,Compta!$C$1:$C$675,"2026"),0))</f>
        <v/>
      </c>
      <c r="G584" t="str">
        <f>IF($A584="","",IF($D584="V01",cad!$C$23,IF($D584="V02",cad!$D$23,cad!$E$23)))</f>
        <v/>
      </c>
      <c r="H584" t="str">
        <f>IF($A584="","",IF($D584="V01",cad!$C$24,IF($D584="V02",cad!$D$24,cad!$E$24)))</f>
        <v/>
      </c>
      <c r="I584" t="str">
        <f>IF($A584="","",IF($D584="V01",cad!$C$32,IF($D584="V02",cad!$D$32,cad!$E$32)))</f>
        <v/>
      </c>
      <c r="J584" t="str">
        <f>IF($A584="","",IF($D584="V01",cad!$C$33,IF($D584="V02",cad!$D$33,cad!$E$33)))</f>
        <v/>
      </c>
      <c r="K584" t="str">
        <f>IF($A584="","",IF($D584="V01",cad!$C$34,IF($D584="V02",cad!$D$34,cad!$E$34)))</f>
        <v/>
      </c>
      <c r="L584" t="str">
        <f>IF($A584="","",IF($D584="V01",cad!$C$35,IF($D584="V02",cad!$D$35,cad!$E$35)))</f>
        <v/>
      </c>
      <c r="M584" t="str">
        <f>IF($A584="","",IF($D584="V01",cad!$C$36,IF($D584="V02",cad!$D$36,cad!$E$36)))</f>
        <v/>
      </c>
      <c r="N584" t="str">
        <f t="shared" si="37"/>
        <v/>
      </c>
      <c r="O584" t="str">
        <f t="shared" si="38"/>
        <v/>
      </c>
      <c r="P584" t="str">
        <f>IF($A584="","",IF($E584=1,$F584*$O584,PNL!G584))</f>
        <v/>
      </c>
      <c r="T584" t="str">
        <f t="shared" si="39"/>
        <v/>
      </c>
    </row>
    <row r="585" spans="1:20" x14ac:dyDescent="0.45">
      <c r="A585" t="str">
        <f>IF(PNL!A585="","",PNL!A585)</f>
        <v/>
      </c>
      <c r="B585" t="str">
        <f>IF(PNL!B585="","",PNL!B585)</f>
        <v/>
      </c>
      <c r="C585" t="str">
        <f>IF(PNL!C585="","",PNL!C585)</f>
        <v/>
      </c>
      <c r="D585" t="str">
        <f>IF(PNL!D585="","",PNL!D585)</f>
        <v/>
      </c>
      <c r="E585" t="str">
        <f t="shared" si="36"/>
        <v/>
      </c>
      <c r="F585" t="str">
        <f>IF($A585="","",IF($E585=1,SUMIFS(Compta!$F$1:$F$675,Compta!$A$1:$A$675,$A585,Compta!$B$1:$B$675,$B585,Compta!$C$1:$C$675,"2026"),0))</f>
        <v/>
      </c>
      <c r="G585" t="str">
        <f>IF($A585="","",IF($D585="V01",cad!$C$23,IF($D585="V02",cad!$D$23,cad!$E$23)))</f>
        <v/>
      </c>
      <c r="H585" t="str">
        <f>IF($A585="","",IF($D585="V01",cad!$C$24,IF($D585="V02",cad!$D$24,cad!$E$24)))</f>
        <v/>
      </c>
      <c r="I585" t="str">
        <f>IF($A585="","",IF($D585="V01",cad!$C$32,IF($D585="V02",cad!$D$32,cad!$E$32)))</f>
        <v/>
      </c>
      <c r="J585" t="str">
        <f>IF($A585="","",IF($D585="V01",cad!$C$33,IF($D585="V02",cad!$D$33,cad!$E$33)))</f>
        <v/>
      </c>
      <c r="K585" t="str">
        <f>IF($A585="","",IF($D585="V01",cad!$C$34,IF($D585="V02",cad!$D$34,cad!$E$34)))</f>
        <v/>
      </c>
      <c r="L585" t="str">
        <f>IF($A585="","",IF($D585="V01",cad!$C$35,IF($D585="V02",cad!$D$35,cad!$E$35)))</f>
        <v/>
      </c>
      <c r="M585" t="str">
        <f>IF($A585="","",IF($D585="V01",cad!$C$36,IF($D585="V02",cad!$D$36,cad!$E$36)))</f>
        <v/>
      </c>
      <c r="N585" t="str">
        <f t="shared" si="37"/>
        <v/>
      </c>
      <c r="O585" t="str">
        <f t="shared" si="38"/>
        <v/>
      </c>
      <c r="P585" t="str">
        <f>IF($A585="","",IF($E585=1,$F585*$O585,PNL!G585))</f>
        <v/>
      </c>
      <c r="T585" t="str">
        <f t="shared" si="39"/>
        <v/>
      </c>
    </row>
    <row r="586" spans="1:20" x14ac:dyDescent="0.45">
      <c r="A586" t="str">
        <f>IF(PNL!A586="","",PNL!A586)</f>
        <v/>
      </c>
      <c r="B586" t="str">
        <f>IF(PNL!B586="","",PNL!B586)</f>
        <v/>
      </c>
      <c r="C586" t="str">
        <f>IF(PNL!C586="","",PNL!C586)</f>
        <v/>
      </c>
      <c r="D586" t="str">
        <f>IF(PNL!D586="","",PNL!D586)</f>
        <v/>
      </c>
      <c r="E586" t="str">
        <f t="shared" si="36"/>
        <v/>
      </c>
      <c r="F586" t="str">
        <f>IF($A586="","",IF($E586=1,SUMIFS(Compta!$F$1:$F$675,Compta!$A$1:$A$675,$A586,Compta!$B$1:$B$675,$B586,Compta!$C$1:$C$675,"2026"),0))</f>
        <v/>
      </c>
      <c r="G586" t="str">
        <f>IF($A586="","",IF($D586="V01",cad!$C$23,IF($D586="V02",cad!$D$23,cad!$E$23)))</f>
        <v/>
      </c>
      <c r="H586" t="str">
        <f>IF($A586="","",IF($D586="V01",cad!$C$24,IF($D586="V02",cad!$D$24,cad!$E$24)))</f>
        <v/>
      </c>
      <c r="I586" t="str">
        <f>IF($A586="","",IF($D586="V01",cad!$C$32,IF($D586="V02",cad!$D$32,cad!$E$32)))</f>
        <v/>
      </c>
      <c r="J586" t="str">
        <f>IF($A586="","",IF($D586="V01",cad!$C$33,IF($D586="V02",cad!$D$33,cad!$E$33)))</f>
        <v/>
      </c>
      <c r="K586" t="str">
        <f>IF($A586="","",IF($D586="V01",cad!$C$34,IF($D586="V02",cad!$D$34,cad!$E$34)))</f>
        <v/>
      </c>
      <c r="L586" t="str">
        <f>IF($A586="","",IF($D586="V01",cad!$C$35,IF($D586="V02",cad!$D$35,cad!$E$35)))</f>
        <v/>
      </c>
      <c r="M586" t="str">
        <f>IF($A586="","",IF($D586="V01",cad!$C$36,IF($D586="V02",cad!$D$36,cad!$E$36)))</f>
        <v/>
      </c>
      <c r="N586" t="str">
        <f t="shared" si="37"/>
        <v/>
      </c>
      <c r="O586" t="str">
        <f t="shared" si="38"/>
        <v/>
      </c>
      <c r="P586" t="str">
        <f>IF($A586="","",IF($E586=1,$F586*$O586,PNL!G586))</f>
        <v/>
      </c>
      <c r="T586" t="str">
        <f t="shared" si="39"/>
        <v/>
      </c>
    </row>
    <row r="587" spans="1:20" x14ac:dyDescent="0.45">
      <c r="A587" t="str">
        <f>IF(PNL!A587="","",PNL!A587)</f>
        <v/>
      </c>
      <c r="B587" t="str">
        <f>IF(PNL!B587="","",PNL!B587)</f>
        <v/>
      </c>
      <c r="C587" t="str">
        <f>IF(PNL!C587="","",PNL!C587)</f>
        <v/>
      </c>
      <c r="D587" t="str">
        <f>IF(PNL!D587="","",PNL!D587)</f>
        <v/>
      </c>
      <c r="E587" t="str">
        <f t="shared" si="36"/>
        <v/>
      </c>
      <c r="F587" t="str">
        <f>IF($A587="","",IF($E587=1,SUMIFS(Compta!$F$1:$F$675,Compta!$A$1:$A$675,$A587,Compta!$B$1:$B$675,$B587,Compta!$C$1:$C$675,"2026"),0))</f>
        <v/>
      </c>
      <c r="G587" t="str">
        <f>IF($A587="","",IF($D587="V01",cad!$C$23,IF($D587="V02",cad!$D$23,cad!$E$23)))</f>
        <v/>
      </c>
      <c r="H587" t="str">
        <f>IF($A587="","",IF($D587="V01",cad!$C$24,IF($D587="V02",cad!$D$24,cad!$E$24)))</f>
        <v/>
      </c>
      <c r="I587" t="str">
        <f>IF($A587="","",IF($D587="V01",cad!$C$32,IF($D587="V02",cad!$D$32,cad!$E$32)))</f>
        <v/>
      </c>
      <c r="J587" t="str">
        <f>IF($A587="","",IF($D587="V01",cad!$C$33,IF($D587="V02",cad!$D$33,cad!$E$33)))</f>
        <v/>
      </c>
      <c r="K587" t="str">
        <f>IF($A587="","",IF($D587="V01",cad!$C$34,IF($D587="V02",cad!$D$34,cad!$E$34)))</f>
        <v/>
      </c>
      <c r="L587" t="str">
        <f>IF($A587="","",IF($D587="V01",cad!$C$35,IF($D587="V02",cad!$D$35,cad!$E$35)))</f>
        <v/>
      </c>
      <c r="M587" t="str">
        <f>IF($A587="","",IF($D587="V01",cad!$C$36,IF($D587="V02",cad!$D$36,cad!$E$36)))</f>
        <v/>
      </c>
      <c r="N587" t="str">
        <f t="shared" si="37"/>
        <v/>
      </c>
      <c r="O587" t="str">
        <f t="shared" si="38"/>
        <v/>
      </c>
      <c r="P587" t="str">
        <f>IF($A587="","",IF($E587=1,$F587*$O587,PNL!G587))</f>
        <v/>
      </c>
      <c r="T587" t="str">
        <f t="shared" si="39"/>
        <v/>
      </c>
    </row>
    <row r="588" spans="1:20" x14ac:dyDescent="0.45">
      <c r="A588" t="str">
        <f>IF(PNL!A588="","",PNL!A588)</f>
        <v/>
      </c>
      <c r="B588" t="str">
        <f>IF(PNL!B588="","",PNL!B588)</f>
        <v/>
      </c>
      <c r="C588" t="str">
        <f>IF(PNL!C588="","",PNL!C588)</f>
        <v/>
      </c>
      <c r="D588" t="str">
        <f>IF(PNL!D588="","",PNL!D588)</f>
        <v/>
      </c>
      <c r="E588" t="str">
        <f t="shared" si="36"/>
        <v/>
      </c>
      <c r="F588" t="str">
        <f>IF($A588="","",IF($E588=1,SUMIFS(Compta!$F$1:$F$675,Compta!$A$1:$A$675,$A588,Compta!$B$1:$B$675,$B588,Compta!$C$1:$C$675,"2026"),0))</f>
        <v/>
      </c>
      <c r="G588" t="str">
        <f>IF($A588="","",IF($D588="V01",cad!$C$23,IF($D588="V02",cad!$D$23,cad!$E$23)))</f>
        <v/>
      </c>
      <c r="H588" t="str">
        <f>IF($A588="","",IF($D588="V01",cad!$C$24,IF($D588="V02",cad!$D$24,cad!$E$24)))</f>
        <v/>
      </c>
      <c r="I588" t="str">
        <f>IF($A588="","",IF($D588="V01",cad!$C$32,IF($D588="V02",cad!$D$32,cad!$E$32)))</f>
        <v/>
      </c>
      <c r="J588" t="str">
        <f>IF($A588="","",IF($D588="V01",cad!$C$33,IF($D588="V02",cad!$D$33,cad!$E$33)))</f>
        <v/>
      </c>
      <c r="K588" t="str">
        <f>IF($A588="","",IF($D588="V01",cad!$C$34,IF($D588="V02",cad!$D$34,cad!$E$34)))</f>
        <v/>
      </c>
      <c r="L588" t="str">
        <f>IF($A588="","",IF($D588="V01",cad!$C$35,IF($D588="V02",cad!$D$35,cad!$E$35)))</f>
        <v/>
      </c>
      <c r="M588" t="str">
        <f>IF($A588="","",IF($D588="V01",cad!$C$36,IF($D588="V02",cad!$D$36,cad!$E$36)))</f>
        <v/>
      </c>
      <c r="N588" t="str">
        <f t="shared" si="37"/>
        <v/>
      </c>
      <c r="O588" t="str">
        <f t="shared" si="38"/>
        <v/>
      </c>
      <c r="P588" t="str">
        <f>IF($A588="","",IF($E588=1,$F588*$O588,PNL!G588))</f>
        <v/>
      </c>
      <c r="T588" t="str">
        <f t="shared" si="39"/>
        <v/>
      </c>
    </row>
    <row r="589" spans="1:20" x14ac:dyDescent="0.45">
      <c r="A589" t="str">
        <f>IF(PNL!A589="","",PNL!A589)</f>
        <v/>
      </c>
      <c r="B589" t="str">
        <f>IF(PNL!B589="","",PNL!B589)</f>
        <v/>
      </c>
      <c r="C589" t="str">
        <f>IF(PNL!C589="","",PNL!C589)</f>
        <v/>
      </c>
      <c r="D589" t="str">
        <f>IF(PNL!D589="","",PNL!D589)</f>
        <v/>
      </c>
      <c r="E589" t="str">
        <f t="shared" si="36"/>
        <v/>
      </c>
      <c r="F589" t="str">
        <f>IF($A589="","",IF($E589=1,SUMIFS(Compta!$F$1:$F$675,Compta!$A$1:$A$675,$A589,Compta!$B$1:$B$675,$B589,Compta!$C$1:$C$675,"2026"),0))</f>
        <v/>
      </c>
      <c r="G589" t="str">
        <f>IF($A589="","",IF($D589="V01",cad!$C$23,IF($D589="V02",cad!$D$23,cad!$E$23)))</f>
        <v/>
      </c>
      <c r="H589" t="str">
        <f>IF($A589="","",IF($D589="V01",cad!$C$24,IF($D589="V02",cad!$D$24,cad!$E$24)))</f>
        <v/>
      </c>
      <c r="I589" t="str">
        <f>IF($A589="","",IF($D589="V01",cad!$C$32,IF($D589="V02",cad!$D$32,cad!$E$32)))</f>
        <v/>
      </c>
      <c r="J589" t="str">
        <f>IF($A589="","",IF($D589="V01",cad!$C$33,IF($D589="V02",cad!$D$33,cad!$E$33)))</f>
        <v/>
      </c>
      <c r="K589" t="str">
        <f>IF($A589="","",IF($D589="V01",cad!$C$34,IF($D589="V02",cad!$D$34,cad!$E$34)))</f>
        <v/>
      </c>
      <c r="L589" t="str">
        <f>IF($A589="","",IF($D589="V01",cad!$C$35,IF($D589="V02",cad!$D$35,cad!$E$35)))</f>
        <v/>
      </c>
      <c r="M589" t="str">
        <f>IF($A589="","",IF($D589="V01",cad!$C$36,IF($D589="V02",cad!$D$36,cad!$E$36)))</f>
        <v/>
      </c>
      <c r="N589" t="str">
        <f t="shared" si="37"/>
        <v/>
      </c>
      <c r="O589" t="str">
        <f t="shared" si="38"/>
        <v/>
      </c>
      <c r="P589" t="str">
        <f>IF($A589="","",IF($E589=1,$F589*$O589,PNL!G589))</f>
        <v/>
      </c>
      <c r="T589" t="str">
        <f t="shared" si="39"/>
        <v/>
      </c>
    </row>
    <row r="590" spans="1:20" x14ac:dyDescent="0.45">
      <c r="A590" t="str">
        <f>IF(PNL!A590="","",PNL!A590)</f>
        <v/>
      </c>
      <c r="B590" t="str">
        <f>IF(PNL!B590="","",PNL!B590)</f>
        <v/>
      </c>
      <c r="C590" t="str">
        <f>IF(PNL!C590="","",PNL!C590)</f>
        <v/>
      </c>
      <c r="D590" t="str">
        <f>IF(PNL!D590="","",PNL!D590)</f>
        <v/>
      </c>
      <c r="E590" t="str">
        <f t="shared" si="36"/>
        <v/>
      </c>
      <c r="F590" t="str">
        <f>IF($A590="","",IF($E590=1,SUMIFS(Compta!$F$1:$F$675,Compta!$A$1:$A$675,$A590,Compta!$B$1:$B$675,$B590,Compta!$C$1:$C$675,"2026"),0))</f>
        <v/>
      </c>
      <c r="G590" t="str">
        <f>IF($A590="","",IF($D590="V01",cad!$C$23,IF($D590="V02",cad!$D$23,cad!$E$23)))</f>
        <v/>
      </c>
      <c r="H590" t="str">
        <f>IF($A590="","",IF($D590="V01",cad!$C$24,IF($D590="V02",cad!$D$24,cad!$E$24)))</f>
        <v/>
      </c>
      <c r="I590" t="str">
        <f>IF($A590="","",IF($D590="V01",cad!$C$32,IF($D590="V02",cad!$D$32,cad!$E$32)))</f>
        <v/>
      </c>
      <c r="J590" t="str">
        <f>IF($A590="","",IF($D590="V01",cad!$C$33,IF($D590="V02",cad!$D$33,cad!$E$33)))</f>
        <v/>
      </c>
      <c r="K590" t="str">
        <f>IF($A590="","",IF($D590="V01",cad!$C$34,IF($D590="V02",cad!$D$34,cad!$E$34)))</f>
        <v/>
      </c>
      <c r="L590" t="str">
        <f>IF($A590="","",IF($D590="V01",cad!$C$35,IF($D590="V02",cad!$D$35,cad!$E$35)))</f>
        <v/>
      </c>
      <c r="M590" t="str">
        <f>IF($A590="","",IF($D590="V01",cad!$C$36,IF($D590="V02",cad!$D$36,cad!$E$36)))</f>
        <v/>
      </c>
      <c r="N590" t="str">
        <f t="shared" si="37"/>
        <v/>
      </c>
      <c r="O590" t="str">
        <f t="shared" si="38"/>
        <v/>
      </c>
      <c r="P590" t="str">
        <f>IF($A590="","",IF($E590=1,$F590*$O590,PNL!G590))</f>
        <v/>
      </c>
      <c r="T590" t="str">
        <f t="shared" si="39"/>
        <v/>
      </c>
    </row>
    <row r="591" spans="1:20" x14ac:dyDescent="0.45">
      <c r="A591" t="str">
        <f>IF(PNL!A591="","",PNL!A591)</f>
        <v/>
      </c>
      <c r="B591" t="str">
        <f>IF(PNL!B591="","",PNL!B591)</f>
        <v/>
      </c>
      <c r="C591" t="str">
        <f>IF(PNL!C591="","",PNL!C591)</f>
        <v/>
      </c>
      <c r="D591" t="str">
        <f>IF(PNL!D591="","",PNL!D591)</f>
        <v/>
      </c>
      <c r="E591" t="str">
        <f t="shared" si="36"/>
        <v/>
      </c>
      <c r="F591" t="str">
        <f>IF($A591="","",IF($E591=1,SUMIFS(Compta!$F$1:$F$675,Compta!$A$1:$A$675,$A591,Compta!$B$1:$B$675,$B591,Compta!$C$1:$C$675,"2026"),0))</f>
        <v/>
      </c>
      <c r="G591" t="str">
        <f>IF($A591="","",IF($D591="V01",cad!$C$23,IF($D591="V02",cad!$D$23,cad!$E$23)))</f>
        <v/>
      </c>
      <c r="H591" t="str">
        <f>IF($A591="","",IF($D591="V01",cad!$C$24,IF($D591="V02",cad!$D$24,cad!$E$24)))</f>
        <v/>
      </c>
      <c r="I591" t="str">
        <f>IF($A591="","",IF($D591="V01",cad!$C$32,IF($D591="V02",cad!$D$32,cad!$E$32)))</f>
        <v/>
      </c>
      <c r="J591" t="str">
        <f>IF($A591="","",IF($D591="V01",cad!$C$33,IF($D591="V02",cad!$D$33,cad!$E$33)))</f>
        <v/>
      </c>
      <c r="K591" t="str">
        <f>IF($A591="","",IF($D591="V01",cad!$C$34,IF($D591="V02",cad!$D$34,cad!$E$34)))</f>
        <v/>
      </c>
      <c r="L591" t="str">
        <f>IF($A591="","",IF($D591="V01",cad!$C$35,IF($D591="V02",cad!$D$35,cad!$E$35)))</f>
        <v/>
      </c>
      <c r="M591" t="str">
        <f>IF($A591="","",IF($D591="V01",cad!$C$36,IF($D591="V02",cad!$D$36,cad!$E$36)))</f>
        <v/>
      </c>
      <c r="N591" t="str">
        <f t="shared" si="37"/>
        <v/>
      </c>
      <c r="O591" t="str">
        <f t="shared" si="38"/>
        <v/>
      </c>
      <c r="P591" t="str">
        <f>IF($A591="","",IF($E591=1,$F591*$O591,PNL!G591))</f>
        <v/>
      </c>
      <c r="T591" t="str">
        <f t="shared" si="39"/>
        <v/>
      </c>
    </row>
    <row r="592" spans="1:20" x14ac:dyDescent="0.45">
      <c r="A592" t="str">
        <f>IF(PNL!A592="","",PNL!A592)</f>
        <v/>
      </c>
      <c r="B592" t="str">
        <f>IF(PNL!B592="","",PNL!B592)</f>
        <v/>
      </c>
      <c r="C592" t="str">
        <f>IF(PNL!C592="","",PNL!C592)</f>
        <v/>
      </c>
      <c r="D592" t="str">
        <f>IF(PNL!D592="","",PNL!D592)</f>
        <v/>
      </c>
      <c r="E592" t="str">
        <f t="shared" si="36"/>
        <v/>
      </c>
      <c r="F592" t="str">
        <f>IF($A592="","",IF($E592=1,SUMIFS(Compta!$F$1:$F$675,Compta!$A$1:$A$675,$A592,Compta!$B$1:$B$675,$B592,Compta!$C$1:$C$675,"2026"),0))</f>
        <v/>
      </c>
      <c r="G592" t="str">
        <f>IF($A592="","",IF($D592="V01",cad!$C$23,IF($D592="V02",cad!$D$23,cad!$E$23)))</f>
        <v/>
      </c>
      <c r="H592" t="str">
        <f>IF($A592="","",IF($D592="V01",cad!$C$24,IF($D592="V02",cad!$D$24,cad!$E$24)))</f>
        <v/>
      </c>
      <c r="I592" t="str">
        <f>IF($A592="","",IF($D592="V01",cad!$C$32,IF($D592="V02",cad!$D$32,cad!$E$32)))</f>
        <v/>
      </c>
      <c r="J592" t="str">
        <f>IF($A592="","",IF($D592="V01",cad!$C$33,IF($D592="V02",cad!$D$33,cad!$E$33)))</f>
        <v/>
      </c>
      <c r="K592" t="str">
        <f>IF($A592="","",IF($D592="V01",cad!$C$34,IF($D592="V02",cad!$D$34,cad!$E$34)))</f>
        <v/>
      </c>
      <c r="L592" t="str">
        <f>IF($A592="","",IF($D592="V01",cad!$C$35,IF($D592="V02",cad!$D$35,cad!$E$35)))</f>
        <v/>
      </c>
      <c r="M592" t="str">
        <f>IF($A592="","",IF($D592="V01",cad!$C$36,IF($D592="V02",cad!$D$36,cad!$E$36)))</f>
        <v/>
      </c>
      <c r="N592" t="str">
        <f t="shared" si="37"/>
        <v/>
      </c>
      <c r="O592" t="str">
        <f t="shared" si="38"/>
        <v/>
      </c>
      <c r="P592" t="str">
        <f>IF($A592="","",IF($E592=1,$F592*$O592,PNL!G592))</f>
        <v/>
      </c>
      <c r="T592" t="str">
        <f t="shared" si="39"/>
        <v/>
      </c>
    </row>
    <row r="593" spans="1:20" x14ac:dyDescent="0.45">
      <c r="A593" t="str">
        <f>IF(PNL!A593="","",PNL!A593)</f>
        <v/>
      </c>
      <c r="B593" t="str">
        <f>IF(PNL!B593="","",PNL!B593)</f>
        <v/>
      </c>
      <c r="C593" t="str">
        <f>IF(PNL!C593="","",PNL!C593)</f>
        <v/>
      </c>
      <c r="D593" t="str">
        <f>IF(PNL!D593="","",PNL!D593)</f>
        <v/>
      </c>
      <c r="E593" t="str">
        <f t="shared" si="36"/>
        <v/>
      </c>
      <c r="F593" t="str">
        <f>IF($A593="","",IF($E593=1,SUMIFS(Compta!$F$1:$F$675,Compta!$A$1:$A$675,$A593,Compta!$B$1:$B$675,$B593,Compta!$C$1:$C$675,"2026"),0))</f>
        <v/>
      </c>
      <c r="G593" t="str">
        <f>IF($A593="","",IF($D593="V01",cad!$C$23,IF($D593="V02",cad!$D$23,cad!$E$23)))</f>
        <v/>
      </c>
      <c r="H593" t="str">
        <f>IF($A593="","",IF($D593="V01",cad!$C$24,IF($D593="V02",cad!$D$24,cad!$E$24)))</f>
        <v/>
      </c>
      <c r="I593" t="str">
        <f>IF($A593="","",IF($D593="V01",cad!$C$32,IF($D593="V02",cad!$D$32,cad!$E$32)))</f>
        <v/>
      </c>
      <c r="J593" t="str">
        <f>IF($A593="","",IF($D593="V01",cad!$C$33,IF($D593="V02",cad!$D$33,cad!$E$33)))</f>
        <v/>
      </c>
      <c r="K593" t="str">
        <f>IF($A593="","",IF($D593="V01",cad!$C$34,IF($D593="V02",cad!$D$34,cad!$E$34)))</f>
        <v/>
      </c>
      <c r="L593" t="str">
        <f>IF($A593="","",IF($D593="V01",cad!$C$35,IF($D593="V02",cad!$D$35,cad!$E$35)))</f>
        <v/>
      </c>
      <c r="M593" t="str">
        <f>IF($A593="","",IF($D593="V01",cad!$C$36,IF($D593="V02",cad!$D$36,cad!$E$36)))</f>
        <v/>
      </c>
      <c r="N593" t="str">
        <f t="shared" si="37"/>
        <v/>
      </c>
      <c r="O593" t="str">
        <f t="shared" si="38"/>
        <v/>
      </c>
      <c r="P593" t="str">
        <f>IF($A593="","",IF($E593=1,$F593*$O593,PNL!G593))</f>
        <v/>
      </c>
      <c r="T593" t="str">
        <f t="shared" si="39"/>
        <v/>
      </c>
    </row>
    <row r="594" spans="1:20" x14ac:dyDescent="0.45">
      <c r="A594" t="str">
        <f>IF(PNL!A594="","",PNL!A594)</f>
        <v/>
      </c>
      <c r="B594" t="str">
        <f>IF(PNL!B594="","",PNL!B594)</f>
        <v/>
      </c>
      <c r="C594" t="str">
        <f>IF(PNL!C594="","",PNL!C594)</f>
        <v/>
      </c>
      <c r="D594" t="str">
        <f>IF(PNL!D594="","",PNL!D594)</f>
        <v/>
      </c>
      <c r="E594" t="str">
        <f t="shared" si="36"/>
        <v/>
      </c>
      <c r="F594" t="str">
        <f>IF($A594="","",IF($E594=1,SUMIFS(Compta!$F$1:$F$675,Compta!$A$1:$A$675,$A594,Compta!$B$1:$B$675,$B594,Compta!$C$1:$C$675,"2026"),0))</f>
        <v/>
      </c>
      <c r="G594" t="str">
        <f>IF($A594="","",IF($D594="V01",cad!$C$23,IF($D594="V02",cad!$D$23,cad!$E$23)))</f>
        <v/>
      </c>
      <c r="H594" t="str">
        <f>IF($A594="","",IF($D594="V01",cad!$C$24,IF($D594="V02",cad!$D$24,cad!$E$24)))</f>
        <v/>
      </c>
      <c r="I594" t="str">
        <f>IF($A594="","",IF($D594="V01",cad!$C$32,IF($D594="V02",cad!$D$32,cad!$E$32)))</f>
        <v/>
      </c>
      <c r="J594" t="str">
        <f>IF($A594="","",IF($D594="V01",cad!$C$33,IF($D594="V02",cad!$D$33,cad!$E$33)))</f>
        <v/>
      </c>
      <c r="K594" t="str">
        <f>IF($A594="","",IF($D594="V01",cad!$C$34,IF($D594="V02",cad!$D$34,cad!$E$34)))</f>
        <v/>
      </c>
      <c r="L594" t="str">
        <f>IF($A594="","",IF($D594="V01",cad!$C$35,IF($D594="V02",cad!$D$35,cad!$E$35)))</f>
        <v/>
      </c>
      <c r="M594" t="str">
        <f>IF($A594="","",IF($D594="V01",cad!$C$36,IF($D594="V02",cad!$D$36,cad!$E$36)))</f>
        <v/>
      </c>
      <c r="N594" t="str">
        <f t="shared" si="37"/>
        <v/>
      </c>
      <c r="O594" t="str">
        <f t="shared" si="38"/>
        <v/>
      </c>
      <c r="P594" t="str">
        <f>IF($A594="","",IF($E594=1,$F594*$O594,PNL!G594))</f>
        <v/>
      </c>
      <c r="T594" t="str">
        <f t="shared" si="39"/>
        <v/>
      </c>
    </row>
    <row r="595" spans="1:20" x14ac:dyDescent="0.45">
      <c r="A595" t="str">
        <f>IF(PNL!A595="","",PNL!A595)</f>
        <v/>
      </c>
      <c r="B595" t="str">
        <f>IF(PNL!B595="","",PNL!B595)</f>
        <v/>
      </c>
      <c r="C595" t="str">
        <f>IF(PNL!C595="","",PNL!C595)</f>
        <v/>
      </c>
      <c r="D595" t="str">
        <f>IF(PNL!D595="","",PNL!D595)</f>
        <v/>
      </c>
      <c r="E595" t="str">
        <f t="shared" si="36"/>
        <v/>
      </c>
      <c r="F595" t="str">
        <f>IF($A595="","",IF($E595=1,SUMIFS(Compta!$F$1:$F$675,Compta!$A$1:$A$675,$A595,Compta!$B$1:$B$675,$B595,Compta!$C$1:$C$675,"2026"),0))</f>
        <v/>
      </c>
      <c r="G595" t="str">
        <f>IF($A595="","",IF($D595="V01",cad!$C$23,IF($D595="V02",cad!$D$23,cad!$E$23)))</f>
        <v/>
      </c>
      <c r="H595" t="str">
        <f>IF($A595="","",IF($D595="V01",cad!$C$24,IF($D595="V02",cad!$D$24,cad!$E$24)))</f>
        <v/>
      </c>
      <c r="I595" t="str">
        <f>IF($A595="","",IF($D595="V01",cad!$C$32,IF($D595="V02",cad!$D$32,cad!$E$32)))</f>
        <v/>
      </c>
      <c r="J595" t="str">
        <f>IF($A595="","",IF($D595="V01",cad!$C$33,IF($D595="V02",cad!$D$33,cad!$E$33)))</f>
        <v/>
      </c>
      <c r="K595" t="str">
        <f>IF($A595="","",IF($D595="V01",cad!$C$34,IF($D595="V02",cad!$D$34,cad!$E$34)))</f>
        <v/>
      </c>
      <c r="L595" t="str">
        <f>IF($A595="","",IF($D595="V01",cad!$C$35,IF($D595="V02",cad!$D$35,cad!$E$35)))</f>
        <v/>
      </c>
      <c r="M595" t="str">
        <f>IF($A595="","",IF($D595="V01",cad!$C$36,IF($D595="V02",cad!$D$36,cad!$E$36)))</f>
        <v/>
      </c>
      <c r="N595" t="str">
        <f t="shared" si="37"/>
        <v/>
      </c>
      <c r="O595" t="str">
        <f t="shared" si="38"/>
        <v/>
      </c>
      <c r="P595" t="str">
        <f>IF($A595="","",IF($E595=1,$F595*$O595,PNL!G595))</f>
        <v/>
      </c>
      <c r="T595" t="str">
        <f t="shared" si="39"/>
        <v/>
      </c>
    </row>
    <row r="596" spans="1:20" x14ac:dyDescent="0.45">
      <c r="A596" t="str">
        <f>IF(PNL!A596="","",PNL!A596)</f>
        <v/>
      </c>
      <c r="B596" t="str">
        <f>IF(PNL!B596="","",PNL!B596)</f>
        <v/>
      </c>
      <c r="C596" t="str">
        <f>IF(PNL!C596="","",PNL!C596)</f>
        <v/>
      </c>
      <c r="D596" t="str">
        <f>IF(PNL!D596="","",PNL!D596)</f>
        <v/>
      </c>
      <c r="E596" t="str">
        <f t="shared" si="36"/>
        <v/>
      </c>
      <c r="F596" t="str">
        <f>IF($A596="","",IF($E596=1,SUMIFS(Compta!$F$1:$F$675,Compta!$A$1:$A$675,$A596,Compta!$B$1:$B$675,$B596,Compta!$C$1:$C$675,"2026"),0))</f>
        <v/>
      </c>
      <c r="G596" t="str">
        <f>IF($A596="","",IF($D596="V01",cad!$C$23,IF($D596="V02",cad!$D$23,cad!$E$23)))</f>
        <v/>
      </c>
      <c r="H596" t="str">
        <f>IF($A596="","",IF($D596="V01",cad!$C$24,IF($D596="V02",cad!$D$24,cad!$E$24)))</f>
        <v/>
      </c>
      <c r="I596" t="str">
        <f>IF($A596="","",IF($D596="V01",cad!$C$32,IF($D596="V02",cad!$D$32,cad!$E$32)))</f>
        <v/>
      </c>
      <c r="J596" t="str">
        <f>IF($A596="","",IF($D596="V01",cad!$C$33,IF($D596="V02",cad!$D$33,cad!$E$33)))</f>
        <v/>
      </c>
      <c r="K596" t="str">
        <f>IF($A596="","",IF($D596="V01",cad!$C$34,IF($D596="V02",cad!$D$34,cad!$E$34)))</f>
        <v/>
      </c>
      <c r="L596" t="str">
        <f>IF($A596="","",IF($D596="V01",cad!$C$35,IF($D596="V02",cad!$D$35,cad!$E$35)))</f>
        <v/>
      </c>
      <c r="M596" t="str">
        <f>IF($A596="","",IF($D596="V01",cad!$C$36,IF($D596="V02",cad!$D$36,cad!$E$36)))</f>
        <v/>
      </c>
      <c r="N596" t="str">
        <f t="shared" si="37"/>
        <v/>
      </c>
      <c r="O596" t="str">
        <f t="shared" si="38"/>
        <v/>
      </c>
      <c r="P596" t="str">
        <f>IF($A596="","",IF($E596=1,$F596*$O596,PNL!G596))</f>
        <v/>
      </c>
      <c r="T596" t="str">
        <f t="shared" si="39"/>
        <v/>
      </c>
    </row>
    <row r="597" spans="1:20" x14ac:dyDescent="0.45">
      <c r="A597" t="str">
        <f>IF(PNL!A597="","",PNL!A597)</f>
        <v/>
      </c>
      <c r="B597" t="str">
        <f>IF(PNL!B597="","",PNL!B597)</f>
        <v/>
      </c>
      <c r="C597" t="str">
        <f>IF(PNL!C597="","",PNL!C597)</f>
        <v/>
      </c>
      <c r="D597" t="str">
        <f>IF(PNL!D597="","",PNL!D597)</f>
        <v/>
      </c>
      <c r="E597" t="str">
        <f t="shared" si="36"/>
        <v/>
      </c>
      <c r="F597" t="str">
        <f>IF($A597="","",IF($E597=1,SUMIFS(Compta!$F$1:$F$675,Compta!$A$1:$A$675,$A597,Compta!$B$1:$B$675,$B597,Compta!$C$1:$C$675,"2026"),0))</f>
        <v/>
      </c>
      <c r="G597" t="str">
        <f>IF($A597="","",IF($D597="V01",cad!$C$23,IF($D597="V02",cad!$D$23,cad!$E$23)))</f>
        <v/>
      </c>
      <c r="H597" t="str">
        <f>IF($A597="","",IF($D597="V01",cad!$C$24,IF($D597="V02",cad!$D$24,cad!$E$24)))</f>
        <v/>
      </c>
      <c r="I597" t="str">
        <f>IF($A597="","",IF($D597="V01",cad!$C$32,IF($D597="V02",cad!$D$32,cad!$E$32)))</f>
        <v/>
      </c>
      <c r="J597" t="str">
        <f>IF($A597="","",IF($D597="V01",cad!$C$33,IF($D597="V02",cad!$D$33,cad!$E$33)))</f>
        <v/>
      </c>
      <c r="K597" t="str">
        <f>IF($A597="","",IF($D597="V01",cad!$C$34,IF($D597="V02",cad!$D$34,cad!$E$34)))</f>
        <v/>
      </c>
      <c r="L597" t="str">
        <f>IF($A597="","",IF($D597="V01",cad!$C$35,IF($D597="V02",cad!$D$35,cad!$E$35)))</f>
        <v/>
      </c>
      <c r="M597" t="str">
        <f>IF($A597="","",IF($D597="V01",cad!$C$36,IF($D597="V02",cad!$D$36,cad!$E$36)))</f>
        <v/>
      </c>
      <c r="N597" t="str">
        <f t="shared" si="37"/>
        <v/>
      </c>
      <c r="O597" t="str">
        <f t="shared" si="38"/>
        <v/>
      </c>
      <c r="P597" t="str">
        <f>IF($A597="","",IF($E597=1,$F597*$O597,PNL!G597))</f>
        <v/>
      </c>
      <c r="T597" t="str">
        <f t="shared" si="39"/>
        <v/>
      </c>
    </row>
    <row r="598" spans="1:20" x14ac:dyDescent="0.45">
      <c r="A598" t="str">
        <f>IF(PNL!A598="","",PNL!A598)</f>
        <v/>
      </c>
      <c r="B598" t="str">
        <f>IF(PNL!B598="","",PNL!B598)</f>
        <v/>
      </c>
      <c r="C598" t="str">
        <f>IF(PNL!C598="","",PNL!C598)</f>
        <v/>
      </c>
      <c r="D598" t="str">
        <f>IF(PNL!D598="","",PNL!D598)</f>
        <v/>
      </c>
      <c r="E598" t="str">
        <f t="shared" si="36"/>
        <v/>
      </c>
      <c r="F598" t="str">
        <f>IF($A598="","",IF($E598=1,SUMIFS(Compta!$F$1:$F$675,Compta!$A$1:$A$675,$A598,Compta!$B$1:$B$675,$B598,Compta!$C$1:$C$675,"2026"),0))</f>
        <v/>
      </c>
      <c r="G598" t="str">
        <f>IF($A598="","",IF($D598="V01",cad!$C$23,IF($D598="V02",cad!$D$23,cad!$E$23)))</f>
        <v/>
      </c>
      <c r="H598" t="str">
        <f>IF($A598="","",IF($D598="V01",cad!$C$24,IF($D598="V02",cad!$D$24,cad!$E$24)))</f>
        <v/>
      </c>
      <c r="I598" t="str">
        <f>IF($A598="","",IF($D598="V01",cad!$C$32,IF($D598="V02",cad!$D$32,cad!$E$32)))</f>
        <v/>
      </c>
      <c r="J598" t="str">
        <f>IF($A598="","",IF($D598="V01",cad!$C$33,IF($D598="V02",cad!$D$33,cad!$E$33)))</f>
        <v/>
      </c>
      <c r="K598" t="str">
        <f>IF($A598="","",IF($D598="V01",cad!$C$34,IF($D598="V02",cad!$D$34,cad!$E$34)))</f>
        <v/>
      </c>
      <c r="L598" t="str">
        <f>IF($A598="","",IF($D598="V01",cad!$C$35,IF($D598="V02",cad!$D$35,cad!$E$35)))</f>
        <v/>
      </c>
      <c r="M598" t="str">
        <f>IF($A598="","",IF($D598="V01",cad!$C$36,IF($D598="V02",cad!$D$36,cad!$E$36)))</f>
        <v/>
      </c>
      <c r="N598" t="str">
        <f t="shared" si="37"/>
        <v/>
      </c>
      <c r="O598" t="str">
        <f t="shared" si="38"/>
        <v/>
      </c>
      <c r="P598" t="str">
        <f>IF($A598="","",IF($E598=1,$F598*$O598,PNL!G598))</f>
        <v/>
      </c>
      <c r="T598" t="str">
        <f t="shared" si="39"/>
        <v/>
      </c>
    </row>
    <row r="599" spans="1:20" x14ac:dyDescent="0.45">
      <c r="A599" t="str">
        <f>IF(PNL!A599="","",PNL!A599)</f>
        <v/>
      </c>
      <c r="B599" t="str">
        <f>IF(PNL!B599="","",PNL!B599)</f>
        <v/>
      </c>
      <c r="C599" t="str">
        <f>IF(PNL!C599="","",PNL!C599)</f>
        <v/>
      </c>
      <c r="D599" t="str">
        <f>IF(PNL!D599="","",PNL!D599)</f>
        <v/>
      </c>
      <c r="E599" t="str">
        <f t="shared" si="36"/>
        <v/>
      </c>
      <c r="F599" t="str">
        <f>IF($A599="","",IF($E599=1,SUMIFS(Compta!$F$1:$F$675,Compta!$A$1:$A$675,$A599,Compta!$B$1:$B$675,$B599,Compta!$C$1:$C$675,"2026"),0))</f>
        <v/>
      </c>
      <c r="G599" t="str">
        <f>IF($A599="","",IF($D599="V01",cad!$C$23,IF($D599="V02",cad!$D$23,cad!$E$23)))</f>
        <v/>
      </c>
      <c r="H599" t="str">
        <f>IF($A599="","",IF($D599="V01",cad!$C$24,IF($D599="V02",cad!$D$24,cad!$E$24)))</f>
        <v/>
      </c>
      <c r="I599" t="str">
        <f>IF($A599="","",IF($D599="V01",cad!$C$32,IF($D599="V02",cad!$D$32,cad!$E$32)))</f>
        <v/>
      </c>
      <c r="J599" t="str">
        <f>IF($A599="","",IF($D599="V01",cad!$C$33,IF($D599="V02",cad!$D$33,cad!$E$33)))</f>
        <v/>
      </c>
      <c r="K599" t="str">
        <f>IF($A599="","",IF($D599="V01",cad!$C$34,IF($D599="V02",cad!$D$34,cad!$E$34)))</f>
        <v/>
      </c>
      <c r="L599" t="str">
        <f>IF($A599="","",IF($D599="V01",cad!$C$35,IF($D599="V02",cad!$D$35,cad!$E$35)))</f>
        <v/>
      </c>
      <c r="M599" t="str">
        <f>IF($A599="","",IF($D599="V01",cad!$C$36,IF($D599="V02",cad!$D$36,cad!$E$36)))</f>
        <v/>
      </c>
      <c r="N599" t="str">
        <f t="shared" si="37"/>
        <v/>
      </c>
      <c r="O599" t="str">
        <f t="shared" si="38"/>
        <v/>
      </c>
      <c r="P599" t="str">
        <f>IF($A599="","",IF($E599=1,$F599*$O599,PNL!G599))</f>
        <v/>
      </c>
      <c r="T599" t="str">
        <f t="shared" si="39"/>
        <v/>
      </c>
    </row>
    <row r="600" spans="1:20" x14ac:dyDescent="0.45">
      <c r="A600" t="str">
        <f>IF(PNL!A600="","",PNL!A600)</f>
        <v/>
      </c>
      <c r="B600" t="str">
        <f>IF(PNL!B600="","",PNL!B600)</f>
        <v/>
      </c>
      <c r="C600" t="str">
        <f>IF(PNL!C600="","",PNL!C600)</f>
        <v/>
      </c>
      <c r="D600" t="str">
        <f>IF(PNL!D600="","",PNL!D600)</f>
        <v/>
      </c>
      <c r="E600" t="str">
        <f t="shared" si="36"/>
        <v/>
      </c>
      <c r="F600" t="str">
        <f>IF($A600="","",IF($E600=1,SUMIFS(Compta!$F$1:$F$675,Compta!$A$1:$A$675,$A600,Compta!$B$1:$B$675,$B600,Compta!$C$1:$C$675,"2026"),0))</f>
        <v/>
      </c>
      <c r="G600" t="str">
        <f>IF($A600="","",IF($D600="V01",cad!$C$23,IF($D600="V02",cad!$D$23,cad!$E$23)))</f>
        <v/>
      </c>
      <c r="H600" t="str">
        <f>IF($A600="","",IF($D600="V01",cad!$C$24,IF($D600="V02",cad!$D$24,cad!$E$24)))</f>
        <v/>
      </c>
      <c r="I600" t="str">
        <f>IF($A600="","",IF($D600="V01",cad!$C$32,IF($D600="V02",cad!$D$32,cad!$E$32)))</f>
        <v/>
      </c>
      <c r="J600" t="str">
        <f>IF($A600="","",IF($D600="V01",cad!$C$33,IF($D600="V02",cad!$D$33,cad!$E$33)))</f>
        <v/>
      </c>
      <c r="K600" t="str">
        <f>IF($A600="","",IF($D600="V01",cad!$C$34,IF($D600="V02",cad!$D$34,cad!$E$34)))</f>
        <v/>
      </c>
      <c r="L600" t="str">
        <f>IF($A600="","",IF($D600="V01",cad!$C$35,IF($D600="V02",cad!$D$35,cad!$E$35)))</f>
        <v/>
      </c>
      <c r="M600" t="str">
        <f>IF($A600="","",IF($D600="V01",cad!$C$36,IF($D600="V02",cad!$D$36,cad!$E$36)))</f>
        <v/>
      </c>
      <c r="N600" t="str">
        <f t="shared" si="37"/>
        <v/>
      </c>
      <c r="O600" t="str">
        <f t="shared" si="38"/>
        <v/>
      </c>
      <c r="P600" t="str">
        <f>IF($A600="","",IF($E600=1,$F600*$O600,PNL!G600))</f>
        <v/>
      </c>
      <c r="T600" t="str">
        <f t="shared" si="39"/>
        <v/>
      </c>
    </row>
    <row r="601" spans="1:20" x14ac:dyDescent="0.45">
      <c r="A601" t="str">
        <f>IF(PNL!A601="","",PNL!A601)</f>
        <v/>
      </c>
      <c r="B601" t="str">
        <f>IF(PNL!B601="","",PNL!B601)</f>
        <v/>
      </c>
      <c r="C601" t="str">
        <f>IF(PNL!C601="","",PNL!C601)</f>
        <v/>
      </c>
      <c r="D601" t="str">
        <f>IF(PNL!D601="","",PNL!D601)</f>
        <v/>
      </c>
      <c r="E601" t="str">
        <f t="shared" si="36"/>
        <v/>
      </c>
      <c r="F601" t="str">
        <f>IF($A601="","",IF($E601=1,SUMIFS(Compta!$F$1:$F$675,Compta!$A$1:$A$675,$A601,Compta!$B$1:$B$675,$B601,Compta!$C$1:$C$675,"2026"),0))</f>
        <v/>
      </c>
      <c r="G601" t="str">
        <f>IF($A601="","",IF($D601="V01",cad!$C$23,IF($D601="V02",cad!$D$23,cad!$E$23)))</f>
        <v/>
      </c>
      <c r="H601" t="str">
        <f>IF($A601="","",IF($D601="V01",cad!$C$24,IF($D601="V02",cad!$D$24,cad!$E$24)))</f>
        <v/>
      </c>
      <c r="I601" t="str">
        <f>IF($A601="","",IF($D601="V01",cad!$C$32,IF($D601="V02",cad!$D$32,cad!$E$32)))</f>
        <v/>
      </c>
      <c r="J601" t="str">
        <f>IF($A601="","",IF($D601="V01",cad!$C$33,IF($D601="V02",cad!$D$33,cad!$E$33)))</f>
        <v/>
      </c>
      <c r="K601" t="str">
        <f>IF($A601="","",IF($D601="V01",cad!$C$34,IF($D601="V02",cad!$D$34,cad!$E$34)))</f>
        <v/>
      </c>
      <c r="L601" t="str">
        <f>IF($A601="","",IF($D601="V01",cad!$C$35,IF($D601="V02",cad!$D$35,cad!$E$35)))</f>
        <v/>
      </c>
      <c r="M601" t="str">
        <f>IF($A601="","",IF($D601="V01",cad!$C$36,IF($D601="V02",cad!$D$36,cad!$E$36)))</f>
        <v/>
      </c>
      <c r="N601" t="str">
        <f t="shared" si="37"/>
        <v/>
      </c>
      <c r="O601" t="str">
        <f t="shared" si="38"/>
        <v/>
      </c>
      <c r="P601" t="str">
        <f>IF($A601="","",IF($E601=1,$F601*$O601,PNL!G601))</f>
        <v/>
      </c>
      <c r="T601" t="str">
        <f t="shared" si="39"/>
        <v/>
      </c>
    </row>
    <row r="602" spans="1:20" x14ac:dyDescent="0.45">
      <c r="A602" t="str">
        <f>IF(PNL!A602="","",PNL!A602)</f>
        <v/>
      </c>
      <c r="B602" t="str">
        <f>IF(PNL!B602="","",PNL!B602)</f>
        <v/>
      </c>
      <c r="C602" t="str">
        <f>IF(PNL!C602="","",PNL!C602)</f>
        <v/>
      </c>
      <c r="D602" t="str">
        <f>IF(PNL!D602="","",PNL!D602)</f>
        <v/>
      </c>
      <c r="E602" t="str">
        <f t="shared" si="36"/>
        <v/>
      </c>
      <c r="F602" t="str">
        <f>IF($A602="","",IF($E602=1,SUMIFS(Compta!$F$1:$F$675,Compta!$A$1:$A$675,$A602,Compta!$B$1:$B$675,$B602,Compta!$C$1:$C$675,"2026"),0))</f>
        <v/>
      </c>
      <c r="G602" t="str">
        <f>IF($A602="","",IF($D602="V01",cad!$C$23,IF($D602="V02",cad!$D$23,cad!$E$23)))</f>
        <v/>
      </c>
      <c r="H602" t="str">
        <f>IF($A602="","",IF($D602="V01",cad!$C$24,IF($D602="V02",cad!$D$24,cad!$E$24)))</f>
        <v/>
      </c>
      <c r="I602" t="str">
        <f>IF($A602="","",IF($D602="V01",cad!$C$32,IF($D602="V02",cad!$D$32,cad!$E$32)))</f>
        <v/>
      </c>
      <c r="J602" t="str">
        <f>IF($A602="","",IF($D602="V01",cad!$C$33,IF($D602="V02",cad!$D$33,cad!$E$33)))</f>
        <v/>
      </c>
      <c r="K602" t="str">
        <f>IF($A602="","",IF($D602="V01",cad!$C$34,IF($D602="V02",cad!$D$34,cad!$E$34)))</f>
        <v/>
      </c>
      <c r="L602" t="str">
        <f>IF($A602="","",IF($D602="V01",cad!$C$35,IF($D602="V02",cad!$D$35,cad!$E$35)))</f>
        <v/>
      </c>
      <c r="M602" t="str">
        <f>IF($A602="","",IF($D602="V01",cad!$C$36,IF($D602="V02",cad!$D$36,cad!$E$36)))</f>
        <v/>
      </c>
      <c r="N602" t="str">
        <f t="shared" si="37"/>
        <v/>
      </c>
      <c r="O602" t="str">
        <f t="shared" si="38"/>
        <v/>
      </c>
      <c r="P602" t="str">
        <f>IF($A602="","",IF($E602=1,$F602*$O602,PNL!G602))</f>
        <v/>
      </c>
      <c r="T602" t="str">
        <f t="shared" si="39"/>
        <v/>
      </c>
    </row>
    <row r="603" spans="1:20" x14ac:dyDescent="0.45">
      <c r="A603" t="str">
        <f>IF(PNL!A603="","",PNL!A603)</f>
        <v/>
      </c>
      <c r="B603" t="str">
        <f>IF(PNL!B603="","",PNL!B603)</f>
        <v/>
      </c>
      <c r="C603" t="str">
        <f>IF(PNL!C603="","",PNL!C603)</f>
        <v/>
      </c>
      <c r="D603" t="str">
        <f>IF(PNL!D603="","",PNL!D603)</f>
        <v/>
      </c>
      <c r="E603" t="str">
        <f t="shared" si="36"/>
        <v/>
      </c>
      <c r="F603" t="str">
        <f>IF($A603="","",IF($E603=1,SUMIFS(Compta!$F$1:$F$675,Compta!$A$1:$A$675,$A603,Compta!$B$1:$B$675,$B603,Compta!$C$1:$C$675,"2026"),0))</f>
        <v/>
      </c>
      <c r="G603" t="str">
        <f>IF($A603="","",IF($D603="V01",cad!$C$23,IF($D603="V02",cad!$D$23,cad!$E$23)))</f>
        <v/>
      </c>
      <c r="H603" t="str">
        <f>IF($A603="","",IF($D603="V01",cad!$C$24,IF($D603="V02",cad!$D$24,cad!$E$24)))</f>
        <v/>
      </c>
      <c r="I603" t="str">
        <f>IF($A603="","",IF($D603="V01",cad!$C$32,IF($D603="V02",cad!$D$32,cad!$E$32)))</f>
        <v/>
      </c>
      <c r="J603" t="str">
        <f>IF($A603="","",IF($D603="V01",cad!$C$33,IF($D603="V02",cad!$D$33,cad!$E$33)))</f>
        <v/>
      </c>
      <c r="K603" t="str">
        <f>IF($A603="","",IF($D603="V01",cad!$C$34,IF($D603="V02",cad!$D$34,cad!$E$34)))</f>
        <v/>
      </c>
      <c r="L603" t="str">
        <f>IF($A603="","",IF($D603="V01",cad!$C$35,IF($D603="V02",cad!$D$35,cad!$E$35)))</f>
        <v/>
      </c>
      <c r="M603" t="str">
        <f>IF($A603="","",IF($D603="V01",cad!$C$36,IF($D603="V02",cad!$D$36,cad!$E$36)))</f>
        <v/>
      </c>
      <c r="N603" t="str">
        <f t="shared" si="37"/>
        <v/>
      </c>
      <c r="O603" t="str">
        <f t="shared" si="38"/>
        <v/>
      </c>
      <c r="P603" t="str">
        <f>IF($A603="","",IF($E603=1,$F603*$O603,PNL!G603))</f>
        <v/>
      </c>
      <c r="T603" t="str">
        <f t="shared" si="39"/>
        <v/>
      </c>
    </row>
    <row r="604" spans="1:20" x14ac:dyDescent="0.45">
      <c r="A604" t="str">
        <f>IF(PNL!A604="","",PNL!A604)</f>
        <v/>
      </c>
      <c r="B604" t="str">
        <f>IF(PNL!B604="","",PNL!B604)</f>
        <v/>
      </c>
      <c r="C604" t="str">
        <f>IF(PNL!C604="","",PNL!C604)</f>
        <v/>
      </c>
      <c r="D604" t="str">
        <f>IF(PNL!D604="","",PNL!D604)</f>
        <v/>
      </c>
      <c r="E604" t="str">
        <f t="shared" si="36"/>
        <v/>
      </c>
      <c r="F604" t="str">
        <f>IF($A604="","",IF($E604=1,SUMIFS(Compta!$F$1:$F$675,Compta!$A$1:$A$675,$A604,Compta!$B$1:$B$675,$B604,Compta!$C$1:$C$675,"2026"),0))</f>
        <v/>
      </c>
      <c r="G604" t="str">
        <f>IF($A604="","",IF($D604="V01",cad!$C$23,IF($D604="V02",cad!$D$23,cad!$E$23)))</f>
        <v/>
      </c>
      <c r="H604" t="str">
        <f>IF($A604="","",IF($D604="V01",cad!$C$24,IF($D604="V02",cad!$D$24,cad!$E$24)))</f>
        <v/>
      </c>
      <c r="I604" t="str">
        <f>IF($A604="","",IF($D604="V01",cad!$C$32,IF($D604="V02",cad!$D$32,cad!$E$32)))</f>
        <v/>
      </c>
      <c r="J604" t="str">
        <f>IF($A604="","",IF($D604="V01",cad!$C$33,IF($D604="V02",cad!$D$33,cad!$E$33)))</f>
        <v/>
      </c>
      <c r="K604" t="str">
        <f>IF($A604="","",IF($D604="V01",cad!$C$34,IF($D604="V02",cad!$D$34,cad!$E$34)))</f>
        <v/>
      </c>
      <c r="L604" t="str">
        <f>IF($A604="","",IF($D604="V01",cad!$C$35,IF($D604="V02",cad!$D$35,cad!$E$35)))</f>
        <v/>
      </c>
      <c r="M604" t="str">
        <f>IF($A604="","",IF($D604="V01",cad!$C$36,IF($D604="V02",cad!$D$36,cad!$E$36)))</f>
        <v/>
      </c>
      <c r="N604" t="str">
        <f t="shared" si="37"/>
        <v/>
      </c>
      <c r="O604" t="str">
        <f t="shared" si="38"/>
        <v/>
      </c>
      <c r="P604" t="str">
        <f>IF($A604="","",IF($E604=1,$F604*$O604,PNL!G604))</f>
        <v/>
      </c>
      <c r="T604" t="str">
        <f t="shared" si="39"/>
        <v/>
      </c>
    </row>
    <row r="605" spans="1:20" x14ac:dyDescent="0.45">
      <c r="A605" t="str">
        <f>IF(PNL!A605="","",PNL!A605)</f>
        <v/>
      </c>
      <c r="B605" t="str">
        <f>IF(PNL!B605="","",PNL!B605)</f>
        <v/>
      </c>
      <c r="C605" t="str">
        <f>IF(PNL!C605="","",PNL!C605)</f>
        <v/>
      </c>
      <c r="D605" t="str">
        <f>IF(PNL!D605="","",PNL!D605)</f>
        <v/>
      </c>
      <c r="E605" t="str">
        <f t="shared" si="36"/>
        <v/>
      </c>
      <c r="F605" t="str">
        <f>IF($A605="","",IF($E605=1,SUMIFS(Compta!$F$1:$F$675,Compta!$A$1:$A$675,$A605,Compta!$B$1:$B$675,$B605,Compta!$C$1:$C$675,"2026"),0))</f>
        <v/>
      </c>
      <c r="G605" t="str">
        <f>IF($A605="","",IF($D605="V01",cad!$C$23,IF($D605="V02",cad!$D$23,cad!$E$23)))</f>
        <v/>
      </c>
      <c r="H605" t="str">
        <f>IF($A605="","",IF($D605="V01",cad!$C$24,IF($D605="V02",cad!$D$24,cad!$E$24)))</f>
        <v/>
      </c>
      <c r="I605" t="str">
        <f>IF($A605="","",IF($D605="V01",cad!$C$32,IF($D605="V02",cad!$D$32,cad!$E$32)))</f>
        <v/>
      </c>
      <c r="J605" t="str">
        <f>IF($A605="","",IF($D605="V01",cad!$C$33,IF($D605="V02",cad!$D$33,cad!$E$33)))</f>
        <v/>
      </c>
      <c r="K605" t="str">
        <f>IF($A605="","",IF($D605="V01",cad!$C$34,IF($D605="V02",cad!$D$34,cad!$E$34)))</f>
        <v/>
      </c>
      <c r="L605" t="str">
        <f>IF($A605="","",IF($D605="V01",cad!$C$35,IF($D605="V02",cad!$D$35,cad!$E$35)))</f>
        <v/>
      </c>
      <c r="M605" t="str">
        <f>IF($A605="","",IF($D605="V01",cad!$C$36,IF($D605="V02",cad!$D$36,cad!$E$36)))</f>
        <v/>
      </c>
      <c r="N605" t="str">
        <f t="shared" si="37"/>
        <v/>
      </c>
      <c r="O605" t="str">
        <f t="shared" si="38"/>
        <v/>
      </c>
      <c r="P605" t="str">
        <f>IF($A605="","",IF($E605=1,$F605*$O605,PNL!G605))</f>
        <v/>
      </c>
      <c r="T605" t="str">
        <f t="shared" si="39"/>
        <v/>
      </c>
    </row>
    <row r="606" spans="1:20" x14ac:dyDescent="0.45">
      <c r="A606" t="str">
        <f>IF(PNL!A606="","",PNL!A606)</f>
        <v/>
      </c>
      <c r="B606" t="str">
        <f>IF(PNL!B606="","",PNL!B606)</f>
        <v/>
      </c>
      <c r="C606" t="str">
        <f>IF(PNL!C606="","",PNL!C606)</f>
        <v/>
      </c>
      <c r="D606" t="str">
        <f>IF(PNL!D606="","",PNL!D606)</f>
        <v/>
      </c>
      <c r="E606" t="str">
        <f t="shared" si="36"/>
        <v/>
      </c>
      <c r="F606" t="str">
        <f>IF($A606="","",IF($E606=1,SUMIFS(Compta!$F$1:$F$675,Compta!$A$1:$A$675,$A606,Compta!$B$1:$B$675,$B606,Compta!$C$1:$C$675,"2026"),0))</f>
        <v/>
      </c>
      <c r="G606" t="str">
        <f>IF($A606="","",IF($D606="V01",cad!$C$23,IF($D606="V02",cad!$D$23,cad!$E$23)))</f>
        <v/>
      </c>
      <c r="H606" t="str">
        <f>IF($A606="","",IF($D606="V01",cad!$C$24,IF($D606="V02",cad!$D$24,cad!$E$24)))</f>
        <v/>
      </c>
      <c r="I606" t="str">
        <f>IF($A606="","",IF($D606="V01",cad!$C$32,IF($D606="V02",cad!$D$32,cad!$E$32)))</f>
        <v/>
      </c>
      <c r="J606" t="str">
        <f>IF($A606="","",IF($D606="V01",cad!$C$33,IF($D606="V02",cad!$D$33,cad!$E$33)))</f>
        <v/>
      </c>
      <c r="K606" t="str">
        <f>IF($A606="","",IF($D606="V01",cad!$C$34,IF($D606="V02",cad!$D$34,cad!$E$34)))</f>
        <v/>
      </c>
      <c r="L606" t="str">
        <f>IF($A606="","",IF($D606="V01",cad!$C$35,IF($D606="V02",cad!$D$35,cad!$E$35)))</f>
        <v/>
      </c>
      <c r="M606" t="str">
        <f>IF($A606="","",IF($D606="V01",cad!$C$36,IF($D606="V02",cad!$D$36,cad!$E$36)))</f>
        <v/>
      </c>
      <c r="N606" t="str">
        <f t="shared" si="37"/>
        <v/>
      </c>
      <c r="O606" t="str">
        <f t="shared" si="38"/>
        <v/>
      </c>
      <c r="P606" t="str">
        <f>IF($A606="","",IF($E606=1,$F606*$O606,PNL!G606))</f>
        <v/>
      </c>
      <c r="T606" t="str">
        <f t="shared" si="39"/>
        <v/>
      </c>
    </row>
    <row r="607" spans="1:20" x14ac:dyDescent="0.45">
      <c r="A607" t="str">
        <f>IF(PNL!A607="","",PNL!A607)</f>
        <v/>
      </c>
      <c r="B607" t="str">
        <f>IF(PNL!B607="","",PNL!B607)</f>
        <v/>
      </c>
      <c r="C607" t="str">
        <f>IF(PNL!C607="","",PNL!C607)</f>
        <v/>
      </c>
      <c r="D607" t="str">
        <f>IF(PNL!D607="","",PNL!D607)</f>
        <v/>
      </c>
      <c r="E607" t="str">
        <f t="shared" si="36"/>
        <v/>
      </c>
      <c r="F607" t="str">
        <f>IF($A607="","",IF($E607=1,SUMIFS(Compta!$F$1:$F$675,Compta!$A$1:$A$675,$A607,Compta!$B$1:$B$675,$B607,Compta!$C$1:$C$675,"2026"),0))</f>
        <v/>
      </c>
      <c r="G607" t="str">
        <f>IF($A607="","",IF($D607="V01",cad!$C$23,IF($D607="V02",cad!$D$23,cad!$E$23)))</f>
        <v/>
      </c>
      <c r="H607" t="str">
        <f>IF($A607="","",IF($D607="V01",cad!$C$24,IF($D607="V02",cad!$D$24,cad!$E$24)))</f>
        <v/>
      </c>
      <c r="I607" t="str">
        <f>IF($A607="","",IF($D607="V01",cad!$C$32,IF($D607="V02",cad!$D$32,cad!$E$32)))</f>
        <v/>
      </c>
      <c r="J607" t="str">
        <f>IF($A607="","",IF($D607="V01",cad!$C$33,IF($D607="V02",cad!$D$33,cad!$E$33)))</f>
        <v/>
      </c>
      <c r="K607" t="str">
        <f>IF($A607="","",IF($D607="V01",cad!$C$34,IF($D607="V02",cad!$D$34,cad!$E$34)))</f>
        <v/>
      </c>
      <c r="L607" t="str">
        <f>IF($A607="","",IF($D607="V01",cad!$C$35,IF($D607="V02",cad!$D$35,cad!$E$35)))</f>
        <v/>
      </c>
      <c r="M607" t="str">
        <f>IF($A607="","",IF($D607="V01",cad!$C$36,IF($D607="V02",cad!$D$36,cad!$E$36)))</f>
        <v/>
      </c>
      <c r="N607" t="str">
        <f t="shared" si="37"/>
        <v/>
      </c>
      <c r="O607" t="str">
        <f t="shared" si="38"/>
        <v/>
      </c>
      <c r="P607" t="str">
        <f>IF($A607="","",IF($E607=1,$F607*$O607,PNL!G607))</f>
        <v/>
      </c>
      <c r="T607" t="str">
        <f t="shared" si="39"/>
        <v/>
      </c>
    </row>
    <row r="608" spans="1:20" x14ac:dyDescent="0.45">
      <c r="A608" t="str">
        <f>IF(PNL!A608="","",PNL!A608)</f>
        <v/>
      </c>
      <c r="B608" t="str">
        <f>IF(PNL!B608="","",PNL!B608)</f>
        <v/>
      </c>
      <c r="C608" t="str">
        <f>IF(PNL!C608="","",PNL!C608)</f>
        <v/>
      </c>
      <c r="D608" t="str">
        <f>IF(PNL!D608="","",PNL!D608)</f>
        <v/>
      </c>
      <c r="E608" t="str">
        <f t="shared" si="36"/>
        <v/>
      </c>
      <c r="F608" t="str">
        <f>IF($A608="","",IF($E608=1,SUMIFS(Compta!$F$1:$F$675,Compta!$A$1:$A$675,$A608,Compta!$B$1:$B$675,$B608,Compta!$C$1:$C$675,"2026"),0))</f>
        <v/>
      </c>
      <c r="G608" t="str">
        <f>IF($A608="","",IF($D608="V01",cad!$C$23,IF($D608="V02",cad!$D$23,cad!$E$23)))</f>
        <v/>
      </c>
      <c r="H608" t="str">
        <f>IF($A608="","",IF($D608="V01",cad!$C$24,IF($D608="V02",cad!$D$24,cad!$E$24)))</f>
        <v/>
      </c>
      <c r="I608" t="str">
        <f>IF($A608="","",IF($D608="V01",cad!$C$32,IF($D608="V02",cad!$D$32,cad!$E$32)))</f>
        <v/>
      </c>
      <c r="J608" t="str">
        <f>IF($A608="","",IF($D608="V01",cad!$C$33,IF($D608="V02",cad!$D$33,cad!$E$33)))</f>
        <v/>
      </c>
      <c r="K608" t="str">
        <f>IF($A608="","",IF($D608="V01",cad!$C$34,IF($D608="V02",cad!$D$34,cad!$E$34)))</f>
        <v/>
      </c>
      <c r="L608" t="str">
        <f>IF($A608="","",IF($D608="V01",cad!$C$35,IF($D608="V02",cad!$D$35,cad!$E$35)))</f>
        <v/>
      </c>
      <c r="M608" t="str">
        <f>IF($A608="","",IF($D608="V01",cad!$C$36,IF($D608="V02",cad!$D$36,cad!$E$36)))</f>
        <v/>
      </c>
      <c r="N608" t="str">
        <f t="shared" si="37"/>
        <v/>
      </c>
      <c r="O608" t="str">
        <f t="shared" si="38"/>
        <v/>
      </c>
      <c r="P608" t="str">
        <f>IF($A608="","",IF($E608=1,$F608*$O608,PNL!G608))</f>
        <v/>
      </c>
      <c r="T608" t="str">
        <f t="shared" si="39"/>
        <v/>
      </c>
    </row>
    <row r="609" spans="1:20" x14ac:dyDescent="0.45">
      <c r="A609" t="str">
        <f>IF(PNL!A609="","",PNL!A609)</f>
        <v/>
      </c>
      <c r="B609" t="str">
        <f>IF(PNL!B609="","",PNL!B609)</f>
        <v/>
      </c>
      <c r="C609" t="str">
        <f>IF(PNL!C609="","",PNL!C609)</f>
        <v/>
      </c>
      <c r="D609" t="str">
        <f>IF(PNL!D609="","",PNL!D609)</f>
        <v/>
      </c>
      <c r="E609" t="str">
        <f t="shared" si="36"/>
        <v/>
      </c>
      <c r="F609" t="str">
        <f>IF($A609="","",IF($E609=1,SUMIFS(Compta!$F$1:$F$675,Compta!$A$1:$A$675,$A609,Compta!$B$1:$B$675,$B609,Compta!$C$1:$C$675,"2026"),0))</f>
        <v/>
      </c>
      <c r="G609" t="str">
        <f>IF($A609="","",IF($D609="V01",cad!$C$23,IF($D609="V02",cad!$D$23,cad!$E$23)))</f>
        <v/>
      </c>
      <c r="H609" t="str">
        <f>IF($A609="","",IF($D609="V01",cad!$C$24,IF($D609="V02",cad!$D$24,cad!$E$24)))</f>
        <v/>
      </c>
      <c r="I609" t="str">
        <f>IF($A609="","",IF($D609="V01",cad!$C$32,IF($D609="V02",cad!$D$32,cad!$E$32)))</f>
        <v/>
      </c>
      <c r="J609" t="str">
        <f>IF($A609="","",IF($D609="V01",cad!$C$33,IF($D609="V02",cad!$D$33,cad!$E$33)))</f>
        <v/>
      </c>
      <c r="K609" t="str">
        <f>IF($A609="","",IF($D609="V01",cad!$C$34,IF($D609="V02",cad!$D$34,cad!$E$34)))</f>
        <v/>
      </c>
      <c r="L609" t="str">
        <f>IF($A609="","",IF($D609="V01",cad!$C$35,IF($D609="V02",cad!$D$35,cad!$E$35)))</f>
        <v/>
      </c>
      <c r="M609" t="str">
        <f>IF($A609="","",IF($D609="V01",cad!$C$36,IF($D609="V02",cad!$D$36,cad!$E$36)))</f>
        <v/>
      </c>
      <c r="N609" t="str">
        <f t="shared" si="37"/>
        <v/>
      </c>
      <c r="O609" t="str">
        <f t="shared" si="38"/>
        <v/>
      </c>
      <c r="P609" t="str">
        <f>IF($A609="","",IF($E609=1,$F609*$O609,PNL!G609))</f>
        <v/>
      </c>
      <c r="T609" t="str">
        <f t="shared" si="39"/>
        <v/>
      </c>
    </row>
    <row r="610" spans="1:20" x14ac:dyDescent="0.45">
      <c r="A610" t="str">
        <f>IF(PNL!A610="","",PNL!A610)</f>
        <v/>
      </c>
      <c r="B610" t="str">
        <f>IF(PNL!B610="","",PNL!B610)</f>
        <v/>
      </c>
      <c r="C610" t="str">
        <f>IF(PNL!C610="","",PNL!C610)</f>
        <v/>
      </c>
      <c r="D610" t="str">
        <f>IF(PNL!D610="","",PNL!D610)</f>
        <v/>
      </c>
      <c r="E610" t="str">
        <f t="shared" si="36"/>
        <v/>
      </c>
      <c r="F610" t="str">
        <f>IF($A610="","",IF($E610=1,SUMIFS(Compta!$F$1:$F$675,Compta!$A$1:$A$675,$A610,Compta!$B$1:$B$675,$B610,Compta!$C$1:$C$675,"2026"),0))</f>
        <v/>
      </c>
      <c r="G610" t="str">
        <f>IF($A610="","",IF($D610="V01",cad!$C$23,IF($D610="V02",cad!$D$23,cad!$E$23)))</f>
        <v/>
      </c>
      <c r="H610" t="str">
        <f>IF($A610="","",IF($D610="V01",cad!$C$24,IF($D610="V02",cad!$D$24,cad!$E$24)))</f>
        <v/>
      </c>
      <c r="I610" t="str">
        <f>IF($A610="","",IF($D610="V01",cad!$C$32,IF($D610="V02",cad!$D$32,cad!$E$32)))</f>
        <v/>
      </c>
      <c r="J610" t="str">
        <f>IF($A610="","",IF($D610="V01",cad!$C$33,IF($D610="V02",cad!$D$33,cad!$E$33)))</f>
        <v/>
      </c>
      <c r="K610" t="str">
        <f>IF($A610="","",IF($D610="V01",cad!$C$34,IF($D610="V02",cad!$D$34,cad!$E$34)))</f>
        <v/>
      </c>
      <c r="L610" t="str">
        <f>IF($A610="","",IF($D610="V01",cad!$C$35,IF($D610="V02",cad!$D$35,cad!$E$35)))</f>
        <v/>
      </c>
      <c r="M610" t="str">
        <f>IF($A610="","",IF($D610="V01",cad!$C$36,IF($D610="V02",cad!$D$36,cad!$E$36)))</f>
        <v/>
      </c>
      <c r="N610" t="str">
        <f t="shared" si="37"/>
        <v/>
      </c>
      <c r="O610" t="str">
        <f t="shared" si="38"/>
        <v/>
      </c>
      <c r="P610" t="str">
        <f>IF($A610="","",IF($E610=1,$F610*$O610,PNL!G610))</f>
        <v/>
      </c>
      <c r="T610" t="str">
        <f t="shared" si="39"/>
        <v/>
      </c>
    </row>
    <row r="611" spans="1:20" x14ac:dyDescent="0.45">
      <c r="A611" t="str">
        <f>IF(PNL!A611="","",PNL!A611)</f>
        <v/>
      </c>
      <c r="B611" t="str">
        <f>IF(PNL!B611="","",PNL!B611)</f>
        <v/>
      </c>
      <c r="C611" t="str">
        <f>IF(PNL!C611="","",PNL!C611)</f>
        <v/>
      </c>
      <c r="D611" t="str">
        <f>IF(PNL!D611="","",PNL!D611)</f>
        <v/>
      </c>
      <c r="E611" t="str">
        <f t="shared" si="36"/>
        <v/>
      </c>
      <c r="F611" t="str">
        <f>IF($A611="","",IF($E611=1,SUMIFS(Compta!$F$1:$F$675,Compta!$A$1:$A$675,$A611,Compta!$B$1:$B$675,$B611,Compta!$C$1:$C$675,"2026"),0))</f>
        <v/>
      </c>
      <c r="G611" t="str">
        <f>IF($A611="","",IF($D611="V01",cad!$C$23,IF($D611="V02",cad!$D$23,cad!$E$23)))</f>
        <v/>
      </c>
      <c r="H611" t="str">
        <f>IF($A611="","",IF($D611="V01",cad!$C$24,IF($D611="V02",cad!$D$24,cad!$E$24)))</f>
        <v/>
      </c>
      <c r="I611" t="str">
        <f>IF($A611="","",IF($D611="V01",cad!$C$32,IF($D611="V02",cad!$D$32,cad!$E$32)))</f>
        <v/>
      </c>
      <c r="J611" t="str">
        <f>IF($A611="","",IF($D611="V01",cad!$C$33,IF($D611="V02",cad!$D$33,cad!$E$33)))</f>
        <v/>
      </c>
      <c r="K611" t="str">
        <f>IF($A611="","",IF($D611="V01",cad!$C$34,IF($D611="V02",cad!$D$34,cad!$E$34)))</f>
        <v/>
      </c>
      <c r="L611" t="str">
        <f>IF($A611="","",IF($D611="V01",cad!$C$35,IF($D611="V02",cad!$D$35,cad!$E$35)))</f>
        <v/>
      </c>
      <c r="M611" t="str">
        <f>IF($A611="","",IF($D611="V01",cad!$C$36,IF($D611="V02",cad!$D$36,cad!$E$36)))</f>
        <v/>
      </c>
      <c r="N611" t="str">
        <f t="shared" si="37"/>
        <v/>
      </c>
      <c r="O611" t="str">
        <f t="shared" si="38"/>
        <v/>
      </c>
      <c r="P611" t="str">
        <f>IF($A611="","",IF($E611=1,$F611*$O611,PNL!G611))</f>
        <v/>
      </c>
      <c r="T611" t="str">
        <f t="shared" si="39"/>
        <v/>
      </c>
    </row>
    <row r="612" spans="1:20" x14ac:dyDescent="0.45">
      <c r="A612" t="str">
        <f>IF(PNL!A612="","",PNL!A612)</f>
        <v/>
      </c>
      <c r="B612" t="str">
        <f>IF(PNL!B612="","",PNL!B612)</f>
        <v/>
      </c>
      <c r="C612" t="str">
        <f>IF(PNL!C612="","",PNL!C612)</f>
        <v/>
      </c>
      <c r="D612" t="str">
        <f>IF(PNL!D612="","",PNL!D612)</f>
        <v/>
      </c>
      <c r="E612" t="str">
        <f t="shared" si="36"/>
        <v/>
      </c>
      <c r="F612" t="str">
        <f>IF($A612="","",IF($E612=1,SUMIFS(Compta!$F$1:$F$675,Compta!$A$1:$A$675,$A612,Compta!$B$1:$B$675,$B612,Compta!$C$1:$C$675,"2026"),0))</f>
        <v/>
      </c>
      <c r="G612" t="str">
        <f>IF($A612="","",IF($D612="V01",cad!$C$23,IF($D612="V02",cad!$D$23,cad!$E$23)))</f>
        <v/>
      </c>
      <c r="H612" t="str">
        <f>IF($A612="","",IF($D612="V01",cad!$C$24,IF($D612="V02",cad!$D$24,cad!$E$24)))</f>
        <v/>
      </c>
      <c r="I612" t="str">
        <f>IF($A612="","",IF($D612="V01",cad!$C$32,IF($D612="V02",cad!$D$32,cad!$E$32)))</f>
        <v/>
      </c>
      <c r="J612" t="str">
        <f>IF($A612="","",IF($D612="V01",cad!$C$33,IF($D612="V02",cad!$D$33,cad!$E$33)))</f>
        <v/>
      </c>
      <c r="K612" t="str">
        <f>IF($A612="","",IF($D612="V01",cad!$C$34,IF($D612="V02",cad!$D$34,cad!$E$34)))</f>
        <v/>
      </c>
      <c r="L612" t="str">
        <f>IF($A612="","",IF($D612="V01",cad!$C$35,IF($D612="V02",cad!$D$35,cad!$E$35)))</f>
        <v/>
      </c>
      <c r="M612" t="str">
        <f>IF($A612="","",IF($D612="V01",cad!$C$36,IF($D612="V02",cad!$D$36,cad!$E$36)))</f>
        <v/>
      </c>
      <c r="N612" t="str">
        <f t="shared" si="37"/>
        <v/>
      </c>
      <c r="O612" t="str">
        <f t="shared" si="38"/>
        <v/>
      </c>
      <c r="P612" t="str">
        <f>IF($A612="","",IF($E612=1,$F612*$O612,PNL!G612))</f>
        <v/>
      </c>
      <c r="T612" t="str">
        <f t="shared" si="39"/>
        <v/>
      </c>
    </row>
    <row r="613" spans="1:20" x14ac:dyDescent="0.45">
      <c r="A613" t="str">
        <f>IF(PNL!A613="","",PNL!A613)</f>
        <v/>
      </c>
      <c r="B613" t="str">
        <f>IF(PNL!B613="","",PNL!B613)</f>
        <v/>
      </c>
      <c r="C613" t="str">
        <f>IF(PNL!C613="","",PNL!C613)</f>
        <v/>
      </c>
      <c r="D613" t="str">
        <f>IF(PNL!D613="","",PNL!D613)</f>
        <v/>
      </c>
      <c r="E613" t="str">
        <f t="shared" si="36"/>
        <v/>
      </c>
      <c r="F613" t="str">
        <f>IF($A613="","",IF($E613=1,SUMIFS(Compta!$F$1:$F$675,Compta!$A$1:$A$675,$A613,Compta!$B$1:$B$675,$B613,Compta!$C$1:$C$675,"2026"),0))</f>
        <v/>
      </c>
      <c r="G613" t="str">
        <f>IF($A613="","",IF($D613="V01",cad!$C$23,IF($D613="V02",cad!$D$23,cad!$E$23)))</f>
        <v/>
      </c>
      <c r="H613" t="str">
        <f>IF($A613="","",IF($D613="V01",cad!$C$24,IF($D613="V02",cad!$D$24,cad!$E$24)))</f>
        <v/>
      </c>
      <c r="I613" t="str">
        <f>IF($A613="","",IF($D613="V01",cad!$C$32,IF($D613="V02",cad!$D$32,cad!$E$32)))</f>
        <v/>
      </c>
      <c r="J613" t="str">
        <f>IF($A613="","",IF($D613="V01",cad!$C$33,IF($D613="V02",cad!$D$33,cad!$E$33)))</f>
        <v/>
      </c>
      <c r="K613" t="str">
        <f>IF($A613="","",IF($D613="V01",cad!$C$34,IF($D613="V02",cad!$D$34,cad!$E$34)))</f>
        <v/>
      </c>
      <c r="L613" t="str">
        <f>IF($A613="","",IF($D613="V01",cad!$C$35,IF($D613="V02",cad!$D$35,cad!$E$35)))</f>
        <v/>
      </c>
      <c r="M613" t="str">
        <f>IF($A613="","",IF($D613="V01",cad!$C$36,IF($D613="V02",cad!$D$36,cad!$E$36)))</f>
        <v/>
      </c>
      <c r="N613" t="str">
        <f t="shared" si="37"/>
        <v/>
      </c>
      <c r="O613" t="str">
        <f t="shared" si="38"/>
        <v/>
      </c>
      <c r="P613" t="str">
        <f>IF($A613="","",IF($E613=1,$F613*$O613,PNL!G613))</f>
        <v/>
      </c>
      <c r="T613" t="str">
        <f t="shared" si="39"/>
        <v/>
      </c>
    </row>
    <row r="614" spans="1:20" x14ac:dyDescent="0.45">
      <c r="A614" t="str">
        <f>IF(PNL!A614="","",PNL!A614)</f>
        <v/>
      </c>
      <c r="B614" t="str">
        <f>IF(PNL!B614="","",PNL!B614)</f>
        <v/>
      </c>
      <c r="C614" t="str">
        <f>IF(PNL!C614="","",PNL!C614)</f>
        <v/>
      </c>
      <c r="D614" t="str">
        <f>IF(PNL!D614="","",PNL!D614)</f>
        <v/>
      </c>
      <c r="E614" t="str">
        <f t="shared" si="36"/>
        <v/>
      </c>
      <c r="F614" t="str">
        <f>IF($A614="","",IF($E614=1,SUMIFS(Compta!$F$1:$F$675,Compta!$A$1:$A$675,$A614,Compta!$B$1:$B$675,$B614,Compta!$C$1:$C$675,"2026"),0))</f>
        <v/>
      </c>
      <c r="G614" t="str">
        <f>IF($A614="","",IF($D614="V01",cad!$C$23,IF($D614="V02",cad!$D$23,cad!$E$23)))</f>
        <v/>
      </c>
      <c r="H614" t="str">
        <f>IF($A614="","",IF($D614="V01",cad!$C$24,IF($D614="V02",cad!$D$24,cad!$E$24)))</f>
        <v/>
      </c>
      <c r="I614" t="str">
        <f>IF($A614="","",IF($D614="V01",cad!$C$32,IF($D614="V02",cad!$D$32,cad!$E$32)))</f>
        <v/>
      </c>
      <c r="J614" t="str">
        <f>IF($A614="","",IF($D614="V01",cad!$C$33,IF($D614="V02",cad!$D$33,cad!$E$33)))</f>
        <v/>
      </c>
      <c r="K614" t="str">
        <f>IF($A614="","",IF($D614="V01",cad!$C$34,IF($D614="V02",cad!$D$34,cad!$E$34)))</f>
        <v/>
      </c>
      <c r="L614" t="str">
        <f>IF($A614="","",IF($D614="V01",cad!$C$35,IF($D614="V02",cad!$D$35,cad!$E$35)))</f>
        <v/>
      </c>
      <c r="M614" t="str">
        <f>IF($A614="","",IF($D614="V01",cad!$C$36,IF($D614="V02",cad!$D$36,cad!$E$36)))</f>
        <v/>
      </c>
      <c r="N614" t="str">
        <f t="shared" si="37"/>
        <v/>
      </c>
      <c r="O614" t="str">
        <f t="shared" si="38"/>
        <v/>
      </c>
      <c r="P614" t="str">
        <f>IF($A614="","",IF($E614=1,$F614*$O614,PNL!G614))</f>
        <v/>
      </c>
      <c r="T614" t="str">
        <f t="shared" si="39"/>
        <v/>
      </c>
    </row>
    <row r="615" spans="1:20" x14ac:dyDescent="0.45">
      <c r="A615" t="str">
        <f>IF(PNL!A615="","",PNL!A615)</f>
        <v/>
      </c>
      <c r="B615" t="str">
        <f>IF(PNL!B615="","",PNL!B615)</f>
        <v/>
      </c>
      <c r="C615" t="str">
        <f>IF(PNL!C615="","",PNL!C615)</f>
        <v/>
      </c>
      <c r="D615" t="str">
        <f>IF(PNL!D615="","",PNL!D615)</f>
        <v/>
      </c>
      <c r="E615" t="str">
        <f t="shared" si="36"/>
        <v/>
      </c>
      <c r="F615" t="str">
        <f>IF($A615="","",IF($E615=1,SUMIFS(Compta!$F$1:$F$675,Compta!$A$1:$A$675,$A615,Compta!$B$1:$B$675,$B615,Compta!$C$1:$C$675,"2026"),0))</f>
        <v/>
      </c>
      <c r="G615" t="str">
        <f>IF($A615="","",IF($D615="V01",cad!$C$23,IF($D615="V02",cad!$D$23,cad!$E$23)))</f>
        <v/>
      </c>
      <c r="H615" t="str">
        <f>IF($A615="","",IF($D615="V01",cad!$C$24,IF($D615="V02",cad!$D$24,cad!$E$24)))</f>
        <v/>
      </c>
      <c r="I615" t="str">
        <f>IF($A615="","",IF($D615="V01",cad!$C$32,IF($D615="V02",cad!$D$32,cad!$E$32)))</f>
        <v/>
      </c>
      <c r="J615" t="str">
        <f>IF($A615="","",IF($D615="V01",cad!$C$33,IF($D615="V02",cad!$D$33,cad!$E$33)))</f>
        <v/>
      </c>
      <c r="K615" t="str">
        <f>IF($A615="","",IF($D615="V01",cad!$C$34,IF($D615="V02",cad!$D$34,cad!$E$34)))</f>
        <v/>
      </c>
      <c r="L615" t="str">
        <f>IF($A615="","",IF($D615="V01",cad!$C$35,IF($D615="V02",cad!$D$35,cad!$E$35)))</f>
        <v/>
      </c>
      <c r="M615" t="str">
        <f>IF($A615="","",IF($D615="V01",cad!$C$36,IF($D615="V02",cad!$D$36,cad!$E$36)))</f>
        <v/>
      </c>
      <c r="N615" t="str">
        <f t="shared" si="37"/>
        <v/>
      </c>
      <c r="O615" t="str">
        <f t="shared" si="38"/>
        <v/>
      </c>
      <c r="P615" t="str">
        <f>IF($A615="","",IF($E615=1,$F615*$O615,PNL!G615))</f>
        <v/>
      </c>
      <c r="T615" t="str">
        <f t="shared" si="39"/>
        <v/>
      </c>
    </row>
    <row r="616" spans="1:20" x14ac:dyDescent="0.45">
      <c r="A616" t="str">
        <f>IF(PNL!A616="","",PNL!A616)</f>
        <v/>
      </c>
      <c r="B616" t="str">
        <f>IF(PNL!B616="","",PNL!B616)</f>
        <v/>
      </c>
      <c r="C616" t="str">
        <f>IF(PNL!C616="","",PNL!C616)</f>
        <v/>
      </c>
      <c r="D616" t="str">
        <f>IF(PNL!D616="","",PNL!D616)</f>
        <v/>
      </c>
      <c r="E616" t="str">
        <f t="shared" si="36"/>
        <v/>
      </c>
      <c r="F616" t="str">
        <f>IF($A616="","",IF($E616=1,SUMIFS(Compta!$F$1:$F$675,Compta!$A$1:$A$675,$A616,Compta!$B$1:$B$675,$B616,Compta!$C$1:$C$675,"2026"),0))</f>
        <v/>
      </c>
      <c r="G616" t="str">
        <f>IF($A616="","",IF($D616="V01",cad!$C$23,IF($D616="V02",cad!$D$23,cad!$E$23)))</f>
        <v/>
      </c>
      <c r="H616" t="str">
        <f>IF($A616="","",IF($D616="V01",cad!$C$24,IF($D616="V02",cad!$D$24,cad!$E$24)))</f>
        <v/>
      </c>
      <c r="I616" t="str">
        <f>IF($A616="","",IF($D616="V01",cad!$C$32,IF($D616="V02",cad!$D$32,cad!$E$32)))</f>
        <v/>
      </c>
      <c r="J616" t="str">
        <f>IF($A616="","",IF($D616="V01",cad!$C$33,IF($D616="V02",cad!$D$33,cad!$E$33)))</f>
        <v/>
      </c>
      <c r="K616" t="str">
        <f>IF($A616="","",IF($D616="V01",cad!$C$34,IF($D616="V02",cad!$D$34,cad!$E$34)))</f>
        <v/>
      </c>
      <c r="L616" t="str">
        <f>IF($A616="","",IF($D616="V01",cad!$C$35,IF($D616="V02",cad!$D$35,cad!$E$35)))</f>
        <v/>
      </c>
      <c r="M616" t="str">
        <f>IF($A616="","",IF($D616="V01",cad!$C$36,IF($D616="V02",cad!$D$36,cad!$E$36)))</f>
        <v/>
      </c>
      <c r="N616" t="str">
        <f t="shared" si="37"/>
        <v/>
      </c>
      <c r="O616" t="str">
        <f t="shared" si="38"/>
        <v/>
      </c>
      <c r="P616" t="str">
        <f>IF($A616="","",IF($E616=1,$F616*$O616,PNL!G616))</f>
        <v/>
      </c>
      <c r="T616" t="str">
        <f t="shared" si="39"/>
        <v/>
      </c>
    </row>
    <row r="617" spans="1:20" x14ac:dyDescent="0.45">
      <c r="A617" t="str">
        <f>IF(PNL!A617="","",PNL!A617)</f>
        <v/>
      </c>
      <c r="B617" t="str">
        <f>IF(PNL!B617="","",PNL!B617)</f>
        <v/>
      </c>
      <c r="C617" t="str">
        <f>IF(PNL!C617="","",PNL!C617)</f>
        <v/>
      </c>
      <c r="D617" t="str">
        <f>IF(PNL!D617="","",PNL!D617)</f>
        <v/>
      </c>
      <c r="E617" t="str">
        <f t="shared" si="36"/>
        <v/>
      </c>
      <c r="F617" t="str">
        <f>IF($A617="","",IF($E617=1,SUMIFS(Compta!$F$1:$F$675,Compta!$A$1:$A$675,$A617,Compta!$B$1:$B$675,$B617,Compta!$C$1:$C$675,"2026"),0))</f>
        <v/>
      </c>
      <c r="G617" t="str">
        <f>IF($A617="","",IF($D617="V01",cad!$C$23,IF($D617="V02",cad!$D$23,cad!$E$23)))</f>
        <v/>
      </c>
      <c r="H617" t="str">
        <f>IF($A617="","",IF($D617="V01",cad!$C$24,IF($D617="V02",cad!$D$24,cad!$E$24)))</f>
        <v/>
      </c>
      <c r="I617" t="str">
        <f>IF($A617="","",IF($D617="V01",cad!$C$32,IF($D617="V02",cad!$D$32,cad!$E$32)))</f>
        <v/>
      </c>
      <c r="J617" t="str">
        <f>IF($A617="","",IF($D617="V01",cad!$C$33,IF($D617="V02",cad!$D$33,cad!$E$33)))</f>
        <v/>
      </c>
      <c r="K617" t="str">
        <f>IF($A617="","",IF($D617="V01",cad!$C$34,IF($D617="V02",cad!$D$34,cad!$E$34)))</f>
        <v/>
      </c>
      <c r="L617" t="str">
        <f>IF($A617="","",IF($D617="V01",cad!$C$35,IF($D617="V02",cad!$D$35,cad!$E$35)))</f>
        <v/>
      </c>
      <c r="M617" t="str">
        <f>IF($A617="","",IF($D617="V01",cad!$C$36,IF($D617="V02",cad!$D$36,cad!$E$36)))</f>
        <v/>
      </c>
      <c r="N617" t="str">
        <f t="shared" si="37"/>
        <v/>
      </c>
      <c r="O617" t="str">
        <f t="shared" si="38"/>
        <v/>
      </c>
      <c r="P617" t="str">
        <f>IF($A617="","",IF($E617=1,$F617*$O617,PNL!G617))</f>
        <v/>
      </c>
      <c r="T617" t="str">
        <f t="shared" si="39"/>
        <v/>
      </c>
    </row>
    <row r="618" spans="1:20" x14ac:dyDescent="0.45">
      <c r="A618" t="str">
        <f>IF(PNL!A618="","",PNL!A618)</f>
        <v/>
      </c>
      <c r="B618" t="str">
        <f>IF(PNL!B618="","",PNL!B618)</f>
        <v/>
      </c>
      <c r="C618" t="str">
        <f>IF(PNL!C618="","",PNL!C618)</f>
        <v/>
      </c>
      <c r="D618" t="str">
        <f>IF(PNL!D618="","",PNL!D618)</f>
        <v/>
      </c>
      <c r="E618" t="str">
        <f t="shared" si="36"/>
        <v/>
      </c>
      <c r="F618" t="str">
        <f>IF($A618="","",IF($E618=1,SUMIFS(Compta!$F$1:$F$675,Compta!$A$1:$A$675,$A618,Compta!$B$1:$B$675,$B618,Compta!$C$1:$C$675,"2026"),0))</f>
        <v/>
      </c>
      <c r="G618" t="str">
        <f>IF($A618="","",IF($D618="V01",cad!$C$23,IF($D618="V02",cad!$D$23,cad!$E$23)))</f>
        <v/>
      </c>
      <c r="H618" t="str">
        <f>IF($A618="","",IF($D618="V01",cad!$C$24,IF($D618="V02",cad!$D$24,cad!$E$24)))</f>
        <v/>
      </c>
      <c r="I618" t="str">
        <f>IF($A618="","",IF($D618="V01",cad!$C$32,IF($D618="V02",cad!$D$32,cad!$E$32)))</f>
        <v/>
      </c>
      <c r="J618" t="str">
        <f>IF($A618="","",IF($D618="V01",cad!$C$33,IF($D618="V02",cad!$D$33,cad!$E$33)))</f>
        <v/>
      </c>
      <c r="K618" t="str">
        <f>IF($A618="","",IF($D618="V01",cad!$C$34,IF($D618="V02",cad!$D$34,cad!$E$34)))</f>
        <v/>
      </c>
      <c r="L618" t="str">
        <f>IF($A618="","",IF($D618="V01",cad!$C$35,IF($D618="V02",cad!$D$35,cad!$E$35)))</f>
        <v/>
      </c>
      <c r="M618" t="str">
        <f>IF($A618="","",IF($D618="V01",cad!$C$36,IF($D618="V02",cad!$D$36,cad!$E$36)))</f>
        <v/>
      </c>
      <c r="N618" t="str">
        <f t="shared" si="37"/>
        <v/>
      </c>
      <c r="O618" t="str">
        <f t="shared" si="38"/>
        <v/>
      </c>
      <c r="P618" t="str">
        <f>IF($A618="","",IF($E618=1,$F618*$O618,PNL!G618))</f>
        <v/>
      </c>
      <c r="T618" t="str">
        <f t="shared" si="39"/>
        <v/>
      </c>
    </row>
    <row r="619" spans="1:20" x14ac:dyDescent="0.45">
      <c r="A619" t="str">
        <f>IF(PNL!A619="","",PNL!A619)</f>
        <v/>
      </c>
      <c r="B619" t="str">
        <f>IF(PNL!B619="","",PNL!B619)</f>
        <v/>
      </c>
      <c r="C619" t="str">
        <f>IF(PNL!C619="","",PNL!C619)</f>
        <v/>
      </c>
      <c r="D619" t="str">
        <f>IF(PNL!D619="","",PNL!D619)</f>
        <v/>
      </c>
      <c r="E619" t="str">
        <f t="shared" si="36"/>
        <v/>
      </c>
      <c r="F619" t="str">
        <f>IF($A619="","",IF($E619=1,SUMIFS(Compta!$F$1:$F$675,Compta!$A$1:$A$675,$A619,Compta!$B$1:$B$675,$B619,Compta!$C$1:$C$675,"2026"),0))</f>
        <v/>
      </c>
      <c r="G619" t="str">
        <f>IF($A619="","",IF($D619="V01",cad!$C$23,IF($D619="V02",cad!$D$23,cad!$E$23)))</f>
        <v/>
      </c>
      <c r="H619" t="str">
        <f>IF($A619="","",IF($D619="V01",cad!$C$24,IF($D619="V02",cad!$D$24,cad!$E$24)))</f>
        <v/>
      </c>
      <c r="I619" t="str">
        <f>IF($A619="","",IF($D619="V01",cad!$C$32,IF($D619="V02",cad!$D$32,cad!$E$32)))</f>
        <v/>
      </c>
      <c r="J619" t="str">
        <f>IF($A619="","",IF($D619="V01",cad!$C$33,IF($D619="V02",cad!$D$33,cad!$E$33)))</f>
        <v/>
      </c>
      <c r="K619" t="str">
        <f>IF($A619="","",IF($D619="V01",cad!$C$34,IF($D619="V02",cad!$D$34,cad!$E$34)))</f>
        <v/>
      </c>
      <c r="L619" t="str">
        <f>IF($A619="","",IF($D619="V01",cad!$C$35,IF($D619="V02",cad!$D$35,cad!$E$35)))</f>
        <v/>
      </c>
      <c r="M619" t="str">
        <f>IF($A619="","",IF($D619="V01",cad!$C$36,IF($D619="V02",cad!$D$36,cad!$E$36)))</f>
        <v/>
      </c>
      <c r="N619" t="str">
        <f t="shared" si="37"/>
        <v/>
      </c>
      <c r="O619" t="str">
        <f t="shared" si="38"/>
        <v/>
      </c>
      <c r="P619" t="str">
        <f>IF($A619="","",IF($E619=1,$F619*$O619,PNL!G619))</f>
        <v/>
      </c>
      <c r="T619" t="str">
        <f t="shared" si="39"/>
        <v/>
      </c>
    </row>
    <row r="620" spans="1:20" x14ac:dyDescent="0.45">
      <c r="A620" t="str">
        <f>IF(PNL!A620="","",PNL!A620)</f>
        <v/>
      </c>
      <c r="B620" t="str">
        <f>IF(PNL!B620="","",PNL!B620)</f>
        <v/>
      </c>
      <c r="C620" t="str">
        <f>IF(PNL!C620="","",PNL!C620)</f>
        <v/>
      </c>
      <c r="D620" t="str">
        <f>IF(PNL!D620="","",PNL!D620)</f>
        <v/>
      </c>
      <c r="E620" t="str">
        <f t="shared" si="36"/>
        <v/>
      </c>
      <c r="F620" t="str">
        <f>IF($A620="","",IF($E620=1,SUMIFS(Compta!$F$1:$F$675,Compta!$A$1:$A$675,$A620,Compta!$B$1:$B$675,$B620,Compta!$C$1:$C$675,"2026"),0))</f>
        <v/>
      </c>
      <c r="G620" t="str">
        <f>IF($A620="","",IF($D620="V01",cad!$C$23,IF($D620="V02",cad!$D$23,cad!$E$23)))</f>
        <v/>
      </c>
      <c r="H620" t="str">
        <f>IF($A620="","",IF($D620="V01",cad!$C$24,IF($D620="V02",cad!$D$24,cad!$E$24)))</f>
        <v/>
      </c>
      <c r="I620" t="str">
        <f>IF($A620="","",IF($D620="V01",cad!$C$32,IF($D620="V02",cad!$D$32,cad!$E$32)))</f>
        <v/>
      </c>
      <c r="J620" t="str">
        <f>IF($A620="","",IF($D620="V01",cad!$C$33,IF($D620="V02",cad!$D$33,cad!$E$33)))</f>
        <v/>
      </c>
      <c r="K620" t="str">
        <f>IF($A620="","",IF($D620="V01",cad!$C$34,IF($D620="V02",cad!$D$34,cad!$E$34)))</f>
        <v/>
      </c>
      <c r="L620" t="str">
        <f>IF($A620="","",IF($D620="V01",cad!$C$35,IF($D620="V02",cad!$D$35,cad!$E$35)))</f>
        <v/>
      </c>
      <c r="M620" t="str">
        <f>IF($A620="","",IF($D620="V01",cad!$C$36,IF($D620="V02",cad!$D$36,cad!$E$36)))</f>
        <v/>
      </c>
      <c r="N620" t="str">
        <f t="shared" si="37"/>
        <v/>
      </c>
      <c r="O620" t="str">
        <f t="shared" si="38"/>
        <v/>
      </c>
      <c r="P620" t="str">
        <f>IF($A620="","",IF($E620=1,$F620*$O620,PNL!G620))</f>
        <v/>
      </c>
      <c r="T620" t="str">
        <f t="shared" si="39"/>
        <v/>
      </c>
    </row>
    <row r="621" spans="1:20" x14ac:dyDescent="0.45">
      <c r="A621" t="str">
        <f>IF(PNL!A621="","",PNL!A621)</f>
        <v/>
      </c>
      <c r="B621" t="str">
        <f>IF(PNL!B621="","",PNL!B621)</f>
        <v/>
      </c>
      <c r="C621" t="str">
        <f>IF(PNL!C621="","",PNL!C621)</f>
        <v/>
      </c>
      <c r="D621" t="str">
        <f>IF(PNL!D621="","",PNL!D621)</f>
        <v/>
      </c>
      <c r="E621" t="str">
        <f t="shared" si="36"/>
        <v/>
      </c>
      <c r="F621" t="str">
        <f>IF($A621="","",IF($E621=1,SUMIFS(Compta!$F$1:$F$675,Compta!$A$1:$A$675,$A621,Compta!$B$1:$B$675,$B621,Compta!$C$1:$C$675,"2026"),0))</f>
        <v/>
      </c>
      <c r="G621" t="str">
        <f>IF($A621="","",IF($D621="V01",cad!$C$23,IF($D621="V02",cad!$D$23,cad!$E$23)))</f>
        <v/>
      </c>
      <c r="H621" t="str">
        <f>IF($A621="","",IF($D621="V01",cad!$C$24,IF($D621="V02",cad!$D$24,cad!$E$24)))</f>
        <v/>
      </c>
      <c r="I621" t="str">
        <f>IF($A621="","",IF($D621="V01",cad!$C$32,IF($D621="V02",cad!$D$32,cad!$E$32)))</f>
        <v/>
      </c>
      <c r="J621" t="str">
        <f>IF($A621="","",IF($D621="V01",cad!$C$33,IF($D621="V02",cad!$D$33,cad!$E$33)))</f>
        <v/>
      </c>
      <c r="K621" t="str">
        <f>IF($A621="","",IF($D621="V01",cad!$C$34,IF($D621="V02",cad!$D$34,cad!$E$34)))</f>
        <v/>
      </c>
      <c r="L621" t="str">
        <f>IF($A621="","",IF($D621="V01",cad!$C$35,IF($D621="V02",cad!$D$35,cad!$E$35)))</f>
        <v/>
      </c>
      <c r="M621" t="str">
        <f>IF($A621="","",IF($D621="V01",cad!$C$36,IF($D621="V02",cad!$D$36,cad!$E$36)))</f>
        <v/>
      </c>
      <c r="N621" t="str">
        <f t="shared" si="37"/>
        <v/>
      </c>
      <c r="O621" t="str">
        <f t="shared" si="38"/>
        <v/>
      </c>
      <c r="P621" t="str">
        <f>IF($A621="","",IF($E621=1,$F621*$O621,PNL!G621))</f>
        <v/>
      </c>
      <c r="T621" t="str">
        <f t="shared" si="39"/>
        <v/>
      </c>
    </row>
    <row r="622" spans="1:20" x14ac:dyDescent="0.45">
      <c r="A622" t="str">
        <f>IF(PNL!A622="","",PNL!A622)</f>
        <v/>
      </c>
      <c r="B622" t="str">
        <f>IF(PNL!B622="","",PNL!B622)</f>
        <v/>
      </c>
      <c r="C622" t="str">
        <f>IF(PNL!C622="","",PNL!C622)</f>
        <v/>
      </c>
      <c r="D622" t="str">
        <f>IF(PNL!D622="","",PNL!D622)</f>
        <v/>
      </c>
      <c r="E622" t="str">
        <f t="shared" si="36"/>
        <v/>
      </c>
      <c r="F622" t="str">
        <f>IF($A622="","",IF($E622=1,SUMIFS(Compta!$F$1:$F$675,Compta!$A$1:$A$675,$A622,Compta!$B$1:$B$675,$B622,Compta!$C$1:$C$675,"2026"),0))</f>
        <v/>
      </c>
      <c r="G622" t="str">
        <f>IF($A622="","",IF($D622="V01",cad!$C$23,IF($D622="V02",cad!$D$23,cad!$E$23)))</f>
        <v/>
      </c>
      <c r="H622" t="str">
        <f>IF($A622="","",IF($D622="V01",cad!$C$24,IF($D622="V02",cad!$D$24,cad!$E$24)))</f>
        <v/>
      </c>
      <c r="I622" t="str">
        <f>IF($A622="","",IF($D622="V01",cad!$C$32,IF($D622="V02",cad!$D$32,cad!$E$32)))</f>
        <v/>
      </c>
      <c r="J622" t="str">
        <f>IF($A622="","",IF($D622="V01",cad!$C$33,IF($D622="V02",cad!$D$33,cad!$E$33)))</f>
        <v/>
      </c>
      <c r="K622" t="str">
        <f>IF($A622="","",IF($D622="V01",cad!$C$34,IF($D622="V02",cad!$D$34,cad!$E$34)))</f>
        <v/>
      </c>
      <c r="L622" t="str">
        <f>IF($A622="","",IF($D622="V01",cad!$C$35,IF($D622="V02",cad!$D$35,cad!$E$35)))</f>
        <v/>
      </c>
      <c r="M622" t="str">
        <f>IF($A622="","",IF($D622="V01",cad!$C$36,IF($D622="V02",cad!$D$36,cad!$E$36)))</f>
        <v/>
      </c>
      <c r="N622" t="str">
        <f t="shared" si="37"/>
        <v/>
      </c>
      <c r="O622" t="str">
        <f t="shared" si="38"/>
        <v/>
      </c>
      <c r="P622" t="str">
        <f>IF($A622="","",IF($E622=1,$F622*$O622,PNL!G622))</f>
        <v/>
      </c>
      <c r="T622" t="str">
        <f t="shared" si="39"/>
        <v/>
      </c>
    </row>
    <row r="623" spans="1:20" x14ac:dyDescent="0.45">
      <c r="A623" t="str">
        <f>IF(PNL!A623="","",PNL!A623)</f>
        <v/>
      </c>
      <c r="B623" t="str">
        <f>IF(PNL!B623="","",PNL!B623)</f>
        <v/>
      </c>
      <c r="C623" t="str">
        <f>IF(PNL!C623="","",PNL!C623)</f>
        <v/>
      </c>
      <c r="D623" t="str">
        <f>IF(PNL!D623="","",PNL!D623)</f>
        <v/>
      </c>
      <c r="E623" t="str">
        <f t="shared" si="36"/>
        <v/>
      </c>
      <c r="F623" t="str">
        <f>IF($A623="","",IF($E623=1,SUMIFS(Compta!$F$1:$F$675,Compta!$A$1:$A$675,$A623,Compta!$B$1:$B$675,$B623,Compta!$C$1:$C$675,"2026"),0))</f>
        <v/>
      </c>
      <c r="G623" t="str">
        <f>IF($A623="","",IF($D623="V01",cad!$C$23,IF($D623="V02",cad!$D$23,cad!$E$23)))</f>
        <v/>
      </c>
      <c r="H623" t="str">
        <f>IF($A623="","",IF($D623="V01",cad!$C$24,IF($D623="V02",cad!$D$24,cad!$E$24)))</f>
        <v/>
      </c>
      <c r="I623" t="str">
        <f>IF($A623="","",IF($D623="V01",cad!$C$32,IF($D623="V02",cad!$D$32,cad!$E$32)))</f>
        <v/>
      </c>
      <c r="J623" t="str">
        <f>IF($A623="","",IF($D623="V01",cad!$C$33,IF($D623="V02",cad!$D$33,cad!$E$33)))</f>
        <v/>
      </c>
      <c r="K623" t="str">
        <f>IF($A623="","",IF($D623="V01",cad!$C$34,IF($D623="V02",cad!$D$34,cad!$E$34)))</f>
        <v/>
      </c>
      <c r="L623" t="str">
        <f>IF($A623="","",IF($D623="V01",cad!$C$35,IF($D623="V02",cad!$D$35,cad!$E$35)))</f>
        <v/>
      </c>
      <c r="M623" t="str">
        <f>IF($A623="","",IF($D623="V01",cad!$C$36,IF($D623="V02",cad!$D$36,cad!$E$36)))</f>
        <v/>
      </c>
      <c r="N623" t="str">
        <f t="shared" si="37"/>
        <v/>
      </c>
      <c r="O623" t="str">
        <f t="shared" si="38"/>
        <v/>
      </c>
      <c r="P623" t="str">
        <f>IF($A623="","",IF($E623=1,$F623*$O623,PNL!G623))</f>
        <v/>
      </c>
      <c r="T623" t="str">
        <f t="shared" si="39"/>
        <v/>
      </c>
    </row>
    <row r="624" spans="1:20" x14ac:dyDescent="0.45">
      <c r="A624" t="str">
        <f>IF(PNL!A624="","",PNL!A624)</f>
        <v/>
      </c>
      <c r="B624" t="str">
        <f>IF(PNL!B624="","",PNL!B624)</f>
        <v/>
      </c>
      <c r="C624" t="str">
        <f>IF(PNL!C624="","",PNL!C624)</f>
        <v/>
      </c>
      <c r="D624" t="str">
        <f>IF(PNL!D624="","",PNL!D624)</f>
        <v/>
      </c>
      <c r="E624" t="str">
        <f t="shared" si="36"/>
        <v/>
      </c>
      <c r="F624" t="str">
        <f>IF($A624="","",IF($E624=1,SUMIFS(Compta!$F$1:$F$675,Compta!$A$1:$A$675,$A624,Compta!$B$1:$B$675,$B624,Compta!$C$1:$C$675,"2026"),0))</f>
        <v/>
      </c>
      <c r="G624" t="str">
        <f>IF($A624="","",IF($D624="V01",cad!$C$23,IF($D624="V02",cad!$D$23,cad!$E$23)))</f>
        <v/>
      </c>
      <c r="H624" t="str">
        <f>IF($A624="","",IF($D624="V01",cad!$C$24,IF($D624="V02",cad!$D$24,cad!$E$24)))</f>
        <v/>
      </c>
      <c r="I624" t="str">
        <f>IF($A624="","",IF($D624="V01",cad!$C$32,IF($D624="V02",cad!$D$32,cad!$E$32)))</f>
        <v/>
      </c>
      <c r="J624" t="str">
        <f>IF($A624="","",IF($D624="V01",cad!$C$33,IF($D624="V02",cad!$D$33,cad!$E$33)))</f>
        <v/>
      </c>
      <c r="K624" t="str">
        <f>IF($A624="","",IF($D624="V01",cad!$C$34,IF($D624="V02",cad!$D$34,cad!$E$34)))</f>
        <v/>
      </c>
      <c r="L624" t="str">
        <f>IF($A624="","",IF($D624="V01",cad!$C$35,IF($D624="V02",cad!$D$35,cad!$E$35)))</f>
        <v/>
      </c>
      <c r="M624" t="str">
        <f>IF($A624="","",IF($D624="V01",cad!$C$36,IF($D624="V02",cad!$D$36,cad!$E$36)))</f>
        <v/>
      </c>
      <c r="N624" t="str">
        <f t="shared" si="37"/>
        <v/>
      </c>
      <c r="O624" t="str">
        <f t="shared" si="38"/>
        <v/>
      </c>
      <c r="P624" t="str">
        <f>IF($A624="","",IF($E624=1,$F624*$O624,PNL!G624))</f>
        <v/>
      </c>
      <c r="T624" t="str">
        <f t="shared" si="39"/>
        <v/>
      </c>
    </row>
    <row r="625" spans="1:20" x14ac:dyDescent="0.45">
      <c r="A625" t="str">
        <f>IF(PNL!A625="","",PNL!A625)</f>
        <v/>
      </c>
      <c r="B625" t="str">
        <f>IF(PNL!B625="","",PNL!B625)</f>
        <v/>
      </c>
      <c r="C625" t="str">
        <f>IF(PNL!C625="","",PNL!C625)</f>
        <v/>
      </c>
      <c r="D625" t="str">
        <f>IF(PNL!D625="","",PNL!D625)</f>
        <v/>
      </c>
      <c r="E625" t="str">
        <f t="shared" si="36"/>
        <v/>
      </c>
      <c r="F625" t="str">
        <f>IF($A625="","",IF($E625=1,SUMIFS(Compta!$F$1:$F$675,Compta!$A$1:$A$675,$A625,Compta!$B$1:$B$675,$B625,Compta!$C$1:$C$675,"2026"),0))</f>
        <v/>
      </c>
      <c r="G625" t="str">
        <f>IF($A625="","",IF($D625="V01",cad!$C$23,IF($D625="V02",cad!$D$23,cad!$E$23)))</f>
        <v/>
      </c>
      <c r="H625" t="str">
        <f>IF($A625="","",IF($D625="V01",cad!$C$24,IF($D625="V02",cad!$D$24,cad!$E$24)))</f>
        <v/>
      </c>
      <c r="I625" t="str">
        <f>IF($A625="","",IF($D625="V01",cad!$C$32,IF($D625="V02",cad!$D$32,cad!$E$32)))</f>
        <v/>
      </c>
      <c r="J625" t="str">
        <f>IF($A625="","",IF($D625="V01",cad!$C$33,IF($D625="V02",cad!$D$33,cad!$E$33)))</f>
        <v/>
      </c>
      <c r="K625" t="str">
        <f>IF($A625="","",IF($D625="V01",cad!$C$34,IF($D625="V02",cad!$D$34,cad!$E$34)))</f>
        <v/>
      </c>
      <c r="L625" t="str">
        <f>IF($A625="","",IF($D625="V01",cad!$C$35,IF($D625="V02",cad!$D$35,cad!$E$35)))</f>
        <v/>
      </c>
      <c r="M625" t="str">
        <f>IF($A625="","",IF($D625="V01",cad!$C$36,IF($D625="V02",cad!$D$36,cad!$E$36)))</f>
        <v/>
      </c>
      <c r="N625" t="str">
        <f t="shared" si="37"/>
        <v/>
      </c>
      <c r="O625" t="str">
        <f t="shared" si="38"/>
        <v/>
      </c>
      <c r="P625" t="str">
        <f>IF($A625="","",IF($E625=1,$F625*$O625,PNL!G625))</f>
        <v/>
      </c>
      <c r="T625" t="str">
        <f t="shared" si="39"/>
        <v/>
      </c>
    </row>
    <row r="626" spans="1:20" x14ac:dyDescent="0.45">
      <c r="A626" t="str">
        <f>IF(PNL!A626="","",PNL!A626)</f>
        <v/>
      </c>
      <c r="B626" t="str">
        <f>IF(PNL!B626="","",PNL!B626)</f>
        <v/>
      </c>
      <c r="C626" t="str">
        <f>IF(PNL!C626="","",PNL!C626)</f>
        <v/>
      </c>
      <c r="D626" t="str">
        <f>IF(PNL!D626="","",PNL!D626)</f>
        <v/>
      </c>
      <c r="E626" t="str">
        <f t="shared" si="36"/>
        <v/>
      </c>
      <c r="F626" t="str">
        <f>IF($A626="","",IF($E626=1,SUMIFS(Compta!$F$1:$F$675,Compta!$A$1:$A$675,$A626,Compta!$B$1:$B$675,$B626,Compta!$C$1:$C$675,"2026"),0))</f>
        <v/>
      </c>
      <c r="G626" t="str">
        <f>IF($A626="","",IF($D626="V01",cad!$C$23,IF($D626="V02",cad!$D$23,cad!$E$23)))</f>
        <v/>
      </c>
      <c r="H626" t="str">
        <f>IF($A626="","",IF($D626="V01",cad!$C$24,IF($D626="V02",cad!$D$24,cad!$E$24)))</f>
        <v/>
      </c>
      <c r="I626" t="str">
        <f>IF($A626="","",IF($D626="V01",cad!$C$32,IF($D626="V02",cad!$D$32,cad!$E$32)))</f>
        <v/>
      </c>
      <c r="J626" t="str">
        <f>IF($A626="","",IF($D626="V01",cad!$C$33,IF($D626="V02",cad!$D$33,cad!$E$33)))</f>
        <v/>
      </c>
      <c r="K626" t="str">
        <f>IF($A626="","",IF($D626="V01",cad!$C$34,IF($D626="V02",cad!$D$34,cad!$E$34)))</f>
        <v/>
      </c>
      <c r="L626" t="str">
        <f>IF($A626="","",IF($D626="V01",cad!$C$35,IF($D626="V02",cad!$D$35,cad!$E$35)))</f>
        <v/>
      </c>
      <c r="M626" t="str">
        <f>IF($A626="","",IF($D626="V01",cad!$C$36,IF($D626="V02",cad!$D$36,cad!$E$36)))</f>
        <v/>
      </c>
      <c r="N626" t="str">
        <f t="shared" si="37"/>
        <v/>
      </c>
      <c r="O626" t="str">
        <f t="shared" si="38"/>
        <v/>
      </c>
      <c r="P626" t="str">
        <f>IF($A626="","",IF($E626=1,$F626*$O626,PNL!G626))</f>
        <v/>
      </c>
      <c r="T626" t="str">
        <f t="shared" si="39"/>
        <v/>
      </c>
    </row>
    <row r="627" spans="1:20" x14ac:dyDescent="0.45">
      <c r="A627" t="str">
        <f>IF(PNL!A627="","",PNL!A627)</f>
        <v/>
      </c>
      <c r="B627" t="str">
        <f>IF(PNL!B627="","",PNL!B627)</f>
        <v/>
      </c>
      <c r="C627" t="str">
        <f>IF(PNL!C627="","",PNL!C627)</f>
        <v/>
      </c>
      <c r="D627" t="str">
        <f>IF(PNL!D627="","",PNL!D627)</f>
        <v/>
      </c>
      <c r="E627" t="str">
        <f t="shared" si="36"/>
        <v/>
      </c>
      <c r="F627" t="str">
        <f>IF($A627="","",IF($E627=1,SUMIFS(Compta!$F$1:$F$675,Compta!$A$1:$A$675,$A627,Compta!$B$1:$B$675,$B627,Compta!$C$1:$C$675,"2026"),0))</f>
        <v/>
      </c>
      <c r="G627" t="str">
        <f>IF($A627="","",IF($D627="V01",cad!$C$23,IF($D627="V02",cad!$D$23,cad!$E$23)))</f>
        <v/>
      </c>
      <c r="H627" t="str">
        <f>IF($A627="","",IF($D627="V01",cad!$C$24,IF($D627="V02",cad!$D$24,cad!$E$24)))</f>
        <v/>
      </c>
      <c r="I627" t="str">
        <f>IF($A627="","",IF($D627="V01",cad!$C$32,IF($D627="V02",cad!$D$32,cad!$E$32)))</f>
        <v/>
      </c>
      <c r="J627" t="str">
        <f>IF($A627="","",IF($D627="V01",cad!$C$33,IF($D627="V02",cad!$D$33,cad!$E$33)))</f>
        <v/>
      </c>
      <c r="K627" t="str">
        <f>IF($A627="","",IF($D627="V01",cad!$C$34,IF($D627="V02",cad!$D$34,cad!$E$34)))</f>
        <v/>
      </c>
      <c r="L627" t="str">
        <f>IF($A627="","",IF($D627="V01",cad!$C$35,IF($D627="V02",cad!$D$35,cad!$E$35)))</f>
        <v/>
      </c>
      <c r="M627" t="str">
        <f>IF($A627="","",IF($D627="V01",cad!$C$36,IF($D627="V02",cad!$D$36,cad!$E$36)))</f>
        <v/>
      </c>
      <c r="N627" t="str">
        <f t="shared" si="37"/>
        <v/>
      </c>
      <c r="O627" t="str">
        <f t="shared" si="38"/>
        <v/>
      </c>
      <c r="P627" t="str">
        <f>IF($A627="","",IF($E627=1,$F627*$O627,PNL!G627))</f>
        <v/>
      </c>
      <c r="T627" t="str">
        <f t="shared" si="39"/>
        <v/>
      </c>
    </row>
    <row r="628" spans="1:20" x14ac:dyDescent="0.45">
      <c r="A628" t="str">
        <f>IF(PNL!A628="","",PNL!A628)</f>
        <v/>
      </c>
      <c r="B628" t="str">
        <f>IF(PNL!B628="","",PNL!B628)</f>
        <v/>
      </c>
      <c r="C628" t="str">
        <f>IF(PNL!C628="","",PNL!C628)</f>
        <v/>
      </c>
      <c r="D628" t="str">
        <f>IF(PNL!D628="","",PNL!D628)</f>
        <v/>
      </c>
      <c r="E628" t="str">
        <f t="shared" si="36"/>
        <v/>
      </c>
      <c r="F628" t="str">
        <f>IF($A628="","",IF($E628=1,SUMIFS(Compta!$F$1:$F$675,Compta!$A$1:$A$675,$A628,Compta!$B$1:$B$675,$B628,Compta!$C$1:$C$675,"2026"),0))</f>
        <v/>
      </c>
      <c r="G628" t="str">
        <f>IF($A628="","",IF($D628="V01",cad!$C$23,IF($D628="V02",cad!$D$23,cad!$E$23)))</f>
        <v/>
      </c>
      <c r="H628" t="str">
        <f>IF($A628="","",IF($D628="V01",cad!$C$24,IF($D628="V02",cad!$D$24,cad!$E$24)))</f>
        <v/>
      </c>
      <c r="I628" t="str">
        <f>IF($A628="","",IF($D628="V01",cad!$C$32,IF($D628="V02",cad!$D$32,cad!$E$32)))</f>
        <v/>
      </c>
      <c r="J628" t="str">
        <f>IF($A628="","",IF($D628="V01",cad!$C$33,IF($D628="V02",cad!$D$33,cad!$E$33)))</f>
        <v/>
      </c>
      <c r="K628" t="str">
        <f>IF($A628="","",IF($D628="V01",cad!$C$34,IF($D628="V02",cad!$D$34,cad!$E$34)))</f>
        <v/>
      </c>
      <c r="L628" t="str">
        <f>IF($A628="","",IF($D628="V01",cad!$C$35,IF($D628="V02",cad!$D$35,cad!$E$35)))</f>
        <v/>
      </c>
      <c r="M628" t="str">
        <f>IF($A628="","",IF($D628="V01",cad!$C$36,IF($D628="V02",cad!$D$36,cad!$E$36)))</f>
        <v/>
      </c>
      <c r="N628" t="str">
        <f t="shared" si="37"/>
        <v/>
      </c>
      <c r="O628" t="str">
        <f t="shared" si="38"/>
        <v/>
      </c>
      <c r="P628" t="str">
        <f>IF($A628="","",IF($E628=1,$F628*$O628,PNL!G628))</f>
        <v/>
      </c>
      <c r="T628" t="str">
        <f t="shared" si="39"/>
        <v/>
      </c>
    </row>
    <row r="629" spans="1:20" x14ac:dyDescent="0.45">
      <c r="A629" t="str">
        <f>IF(PNL!A629="","",PNL!A629)</f>
        <v/>
      </c>
      <c r="B629" t="str">
        <f>IF(PNL!B629="","",PNL!B629)</f>
        <v/>
      </c>
      <c r="C629" t="str">
        <f>IF(PNL!C629="","",PNL!C629)</f>
        <v/>
      </c>
      <c r="D629" t="str">
        <f>IF(PNL!D629="","",PNL!D629)</f>
        <v/>
      </c>
      <c r="E629" t="str">
        <f t="shared" si="36"/>
        <v/>
      </c>
      <c r="F629" t="str">
        <f>IF($A629="","",IF($E629=1,SUMIFS(Compta!$F$1:$F$675,Compta!$A$1:$A$675,$A629,Compta!$B$1:$B$675,$B629,Compta!$C$1:$C$675,"2026"),0))</f>
        <v/>
      </c>
      <c r="G629" t="str">
        <f>IF($A629="","",IF($D629="V01",cad!$C$23,IF($D629="V02",cad!$D$23,cad!$E$23)))</f>
        <v/>
      </c>
      <c r="H629" t="str">
        <f>IF($A629="","",IF($D629="V01",cad!$C$24,IF($D629="V02",cad!$D$24,cad!$E$24)))</f>
        <v/>
      </c>
      <c r="I629" t="str">
        <f>IF($A629="","",IF($D629="V01",cad!$C$32,IF($D629="V02",cad!$D$32,cad!$E$32)))</f>
        <v/>
      </c>
      <c r="J629" t="str">
        <f>IF($A629="","",IF($D629="V01",cad!$C$33,IF($D629="V02",cad!$D$33,cad!$E$33)))</f>
        <v/>
      </c>
      <c r="K629" t="str">
        <f>IF($A629="","",IF($D629="V01",cad!$C$34,IF($D629="V02",cad!$D$34,cad!$E$34)))</f>
        <v/>
      </c>
      <c r="L629" t="str">
        <f>IF($A629="","",IF($D629="V01",cad!$C$35,IF($D629="V02",cad!$D$35,cad!$E$35)))</f>
        <v/>
      </c>
      <c r="M629" t="str">
        <f>IF($A629="","",IF($D629="V01",cad!$C$36,IF($D629="V02",cad!$D$36,cad!$E$36)))</f>
        <v/>
      </c>
      <c r="N629" t="str">
        <f t="shared" si="37"/>
        <v/>
      </c>
      <c r="O629" t="str">
        <f t="shared" si="38"/>
        <v/>
      </c>
      <c r="P629" t="str">
        <f>IF($A629="","",IF($E629=1,$F629*$O629,PNL!G629))</f>
        <v/>
      </c>
      <c r="T629" t="str">
        <f t="shared" si="39"/>
        <v/>
      </c>
    </row>
    <row r="630" spans="1:20" x14ac:dyDescent="0.45">
      <c r="A630" t="str">
        <f>IF(PNL!A630="","",PNL!A630)</f>
        <v/>
      </c>
      <c r="B630" t="str">
        <f>IF(PNL!B630="","",PNL!B630)</f>
        <v/>
      </c>
      <c r="C630" t="str">
        <f>IF(PNL!C630="","",PNL!C630)</f>
        <v/>
      </c>
      <c r="D630" t="str">
        <f>IF(PNL!D630="","",PNL!D630)</f>
        <v/>
      </c>
      <c r="E630" t="str">
        <f t="shared" si="36"/>
        <v/>
      </c>
      <c r="F630" t="str">
        <f>IF($A630="","",IF($E630=1,SUMIFS(Compta!$F$1:$F$675,Compta!$A$1:$A$675,$A630,Compta!$B$1:$B$675,$B630,Compta!$C$1:$C$675,"2026"),0))</f>
        <v/>
      </c>
      <c r="G630" t="str">
        <f>IF($A630="","",IF($D630="V01",cad!$C$23,IF($D630="V02",cad!$D$23,cad!$E$23)))</f>
        <v/>
      </c>
      <c r="H630" t="str">
        <f>IF($A630="","",IF($D630="V01",cad!$C$24,IF($D630="V02",cad!$D$24,cad!$E$24)))</f>
        <v/>
      </c>
      <c r="I630" t="str">
        <f>IF($A630="","",IF($D630="V01",cad!$C$32,IF($D630="V02",cad!$D$32,cad!$E$32)))</f>
        <v/>
      </c>
      <c r="J630" t="str">
        <f>IF($A630="","",IF($D630="V01",cad!$C$33,IF($D630="V02",cad!$D$33,cad!$E$33)))</f>
        <v/>
      </c>
      <c r="K630" t="str">
        <f>IF($A630="","",IF($D630="V01",cad!$C$34,IF($D630="V02",cad!$D$34,cad!$E$34)))</f>
        <v/>
      </c>
      <c r="L630" t="str">
        <f>IF($A630="","",IF($D630="V01",cad!$C$35,IF($D630="V02",cad!$D$35,cad!$E$35)))</f>
        <v/>
      </c>
      <c r="M630" t="str">
        <f>IF($A630="","",IF($D630="V01",cad!$C$36,IF($D630="V02",cad!$D$36,cad!$E$36)))</f>
        <v/>
      </c>
      <c r="N630" t="str">
        <f t="shared" si="37"/>
        <v/>
      </c>
      <c r="O630" t="str">
        <f t="shared" si="38"/>
        <v/>
      </c>
      <c r="P630" t="str">
        <f>IF($A630="","",IF($E630=1,$F630*$O630,PNL!G630))</f>
        <v/>
      </c>
      <c r="T630" t="str">
        <f t="shared" si="39"/>
        <v/>
      </c>
    </row>
    <row r="631" spans="1:20" x14ac:dyDescent="0.45">
      <c r="A631" t="str">
        <f>IF(PNL!A631="","",PNL!A631)</f>
        <v/>
      </c>
      <c r="B631" t="str">
        <f>IF(PNL!B631="","",PNL!B631)</f>
        <v/>
      </c>
      <c r="C631" t="str">
        <f>IF(PNL!C631="","",PNL!C631)</f>
        <v/>
      </c>
      <c r="D631" t="str">
        <f>IF(PNL!D631="","",PNL!D631)</f>
        <v/>
      </c>
      <c r="E631" t="str">
        <f t="shared" si="36"/>
        <v/>
      </c>
      <c r="F631" t="str">
        <f>IF($A631="","",IF($E631=1,SUMIFS(Compta!$F$1:$F$675,Compta!$A$1:$A$675,$A631,Compta!$B$1:$B$675,$B631,Compta!$C$1:$C$675,"2026"),0))</f>
        <v/>
      </c>
      <c r="G631" t="str">
        <f>IF($A631="","",IF($D631="V01",cad!$C$23,IF($D631="V02",cad!$D$23,cad!$E$23)))</f>
        <v/>
      </c>
      <c r="H631" t="str">
        <f>IF($A631="","",IF($D631="V01",cad!$C$24,IF($D631="V02",cad!$D$24,cad!$E$24)))</f>
        <v/>
      </c>
      <c r="I631" t="str">
        <f>IF($A631="","",IF($D631="V01",cad!$C$32,IF($D631="V02",cad!$D$32,cad!$E$32)))</f>
        <v/>
      </c>
      <c r="J631" t="str">
        <f>IF($A631="","",IF($D631="V01",cad!$C$33,IF($D631="V02",cad!$D$33,cad!$E$33)))</f>
        <v/>
      </c>
      <c r="K631" t="str">
        <f>IF($A631="","",IF($D631="V01",cad!$C$34,IF($D631="V02",cad!$D$34,cad!$E$34)))</f>
        <v/>
      </c>
      <c r="L631" t="str">
        <f>IF($A631="","",IF($D631="V01",cad!$C$35,IF($D631="V02",cad!$D$35,cad!$E$35)))</f>
        <v/>
      </c>
      <c r="M631" t="str">
        <f>IF($A631="","",IF($D631="V01",cad!$C$36,IF($D631="V02",cad!$D$36,cad!$E$36)))</f>
        <v/>
      </c>
      <c r="N631" t="str">
        <f t="shared" si="37"/>
        <v/>
      </c>
      <c r="O631" t="str">
        <f t="shared" si="38"/>
        <v/>
      </c>
      <c r="P631" t="str">
        <f>IF($A631="","",IF($E631=1,$F631*$O631,PNL!G631))</f>
        <v/>
      </c>
      <c r="T631" t="str">
        <f t="shared" si="39"/>
        <v/>
      </c>
    </row>
    <row r="632" spans="1:20" x14ac:dyDescent="0.45">
      <c r="A632" t="str">
        <f>IF(PNL!A632="","",PNL!A632)</f>
        <v/>
      </c>
      <c r="B632" t="str">
        <f>IF(PNL!B632="","",PNL!B632)</f>
        <v/>
      </c>
      <c r="C632" t="str">
        <f>IF(PNL!C632="","",PNL!C632)</f>
        <v/>
      </c>
      <c r="D632" t="str">
        <f>IF(PNL!D632="","",PNL!D632)</f>
        <v/>
      </c>
      <c r="E632" t="str">
        <f t="shared" si="36"/>
        <v/>
      </c>
      <c r="F632" t="str">
        <f>IF($A632="","",IF($E632=1,SUMIFS(Compta!$F$1:$F$675,Compta!$A$1:$A$675,$A632,Compta!$B$1:$B$675,$B632,Compta!$C$1:$C$675,"2026"),0))</f>
        <v/>
      </c>
      <c r="G632" t="str">
        <f>IF($A632="","",IF($D632="V01",cad!$C$23,IF($D632="V02",cad!$D$23,cad!$E$23)))</f>
        <v/>
      </c>
      <c r="H632" t="str">
        <f>IF($A632="","",IF($D632="V01",cad!$C$24,IF($D632="V02",cad!$D$24,cad!$E$24)))</f>
        <v/>
      </c>
      <c r="I632" t="str">
        <f>IF($A632="","",IF($D632="V01",cad!$C$32,IF($D632="V02",cad!$D$32,cad!$E$32)))</f>
        <v/>
      </c>
      <c r="J632" t="str">
        <f>IF($A632="","",IF($D632="V01",cad!$C$33,IF($D632="V02",cad!$D$33,cad!$E$33)))</f>
        <v/>
      </c>
      <c r="K632" t="str">
        <f>IF($A632="","",IF($D632="V01",cad!$C$34,IF($D632="V02",cad!$D$34,cad!$E$34)))</f>
        <v/>
      </c>
      <c r="L632" t="str">
        <f>IF($A632="","",IF($D632="V01",cad!$C$35,IF($D632="V02",cad!$D$35,cad!$E$35)))</f>
        <v/>
      </c>
      <c r="M632" t="str">
        <f>IF($A632="","",IF($D632="V01",cad!$C$36,IF($D632="V02",cad!$D$36,cad!$E$36)))</f>
        <v/>
      </c>
      <c r="N632" t="str">
        <f t="shared" si="37"/>
        <v/>
      </c>
      <c r="O632" t="str">
        <f t="shared" si="38"/>
        <v/>
      </c>
      <c r="P632" t="str">
        <f>IF($A632="","",IF($E632=1,$F632*$O632,PNL!G632))</f>
        <v/>
      </c>
      <c r="T632" t="str">
        <f t="shared" si="39"/>
        <v/>
      </c>
    </row>
    <row r="633" spans="1:20" x14ac:dyDescent="0.45">
      <c r="A633" t="str">
        <f>IF(PNL!A633="","",PNL!A633)</f>
        <v/>
      </c>
      <c r="B633" t="str">
        <f>IF(PNL!B633="","",PNL!B633)</f>
        <v/>
      </c>
      <c r="C633" t="str">
        <f>IF(PNL!C633="","",PNL!C633)</f>
        <v/>
      </c>
      <c r="D633" t="str">
        <f>IF(PNL!D633="","",PNL!D633)</f>
        <v/>
      </c>
      <c r="E633" t="str">
        <f t="shared" si="36"/>
        <v/>
      </c>
      <c r="F633" t="str">
        <f>IF($A633="","",IF($E633=1,SUMIFS(Compta!$F$1:$F$675,Compta!$A$1:$A$675,$A633,Compta!$B$1:$B$675,$B633,Compta!$C$1:$C$675,"2026"),0))</f>
        <v/>
      </c>
      <c r="G633" t="str">
        <f>IF($A633="","",IF($D633="V01",cad!$C$23,IF($D633="V02",cad!$D$23,cad!$E$23)))</f>
        <v/>
      </c>
      <c r="H633" t="str">
        <f>IF($A633="","",IF($D633="V01",cad!$C$24,IF($D633="V02",cad!$D$24,cad!$E$24)))</f>
        <v/>
      </c>
      <c r="I633" t="str">
        <f>IF($A633="","",IF($D633="V01",cad!$C$32,IF($D633="V02",cad!$D$32,cad!$E$32)))</f>
        <v/>
      </c>
      <c r="J633" t="str">
        <f>IF($A633="","",IF($D633="V01",cad!$C$33,IF($D633="V02",cad!$D$33,cad!$E$33)))</f>
        <v/>
      </c>
      <c r="K633" t="str">
        <f>IF($A633="","",IF($D633="V01",cad!$C$34,IF($D633="V02",cad!$D$34,cad!$E$34)))</f>
        <v/>
      </c>
      <c r="L633" t="str">
        <f>IF($A633="","",IF($D633="V01",cad!$C$35,IF($D633="V02",cad!$D$35,cad!$E$35)))</f>
        <v/>
      </c>
      <c r="M633" t="str">
        <f>IF($A633="","",IF($D633="V01",cad!$C$36,IF($D633="V02",cad!$D$36,cad!$E$36)))</f>
        <v/>
      </c>
      <c r="N633" t="str">
        <f t="shared" si="37"/>
        <v/>
      </c>
      <c r="O633" t="str">
        <f t="shared" si="38"/>
        <v/>
      </c>
      <c r="P633" t="str">
        <f>IF($A633="","",IF($E633=1,$F633*$O633,PNL!G633))</f>
        <v/>
      </c>
      <c r="T633" t="str">
        <f t="shared" si="39"/>
        <v/>
      </c>
    </row>
    <row r="634" spans="1:20" x14ac:dyDescent="0.45">
      <c r="A634" t="str">
        <f>IF(PNL!A634="","",PNL!A634)</f>
        <v/>
      </c>
      <c r="B634" t="str">
        <f>IF(PNL!B634="","",PNL!B634)</f>
        <v/>
      </c>
      <c r="C634" t="str">
        <f>IF(PNL!C634="","",PNL!C634)</f>
        <v/>
      </c>
      <c r="D634" t="str">
        <f>IF(PNL!D634="","",PNL!D634)</f>
        <v/>
      </c>
      <c r="E634" t="str">
        <f t="shared" si="36"/>
        <v/>
      </c>
      <c r="F634" t="str">
        <f>IF($A634="","",IF($E634=1,SUMIFS(Compta!$F$1:$F$675,Compta!$A$1:$A$675,$A634,Compta!$B$1:$B$675,$B634,Compta!$C$1:$C$675,"2026"),0))</f>
        <v/>
      </c>
      <c r="G634" t="str">
        <f>IF($A634="","",IF($D634="V01",cad!$C$23,IF($D634="V02",cad!$D$23,cad!$E$23)))</f>
        <v/>
      </c>
      <c r="H634" t="str">
        <f>IF($A634="","",IF($D634="V01",cad!$C$24,IF($D634="V02",cad!$D$24,cad!$E$24)))</f>
        <v/>
      </c>
      <c r="I634" t="str">
        <f>IF($A634="","",IF($D634="V01",cad!$C$32,IF($D634="V02",cad!$D$32,cad!$E$32)))</f>
        <v/>
      </c>
      <c r="J634" t="str">
        <f>IF($A634="","",IF($D634="V01",cad!$C$33,IF($D634="V02",cad!$D$33,cad!$E$33)))</f>
        <v/>
      </c>
      <c r="K634" t="str">
        <f>IF($A634="","",IF($D634="V01",cad!$C$34,IF($D634="V02",cad!$D$34,cad!$E$34)))</f>
        <v/>
      </c>
      <c r="L634" t="str">
        <f>IF($A634="","",IF($D634="V01",cad!$C$35,IF($D634="V02",cad!$D$35,cad!$E$35)))</f>
        <v/>
      </c>
      <c r="M634" t="str">
        <f>IF($A634="","",IF($D634="V01",cad!$C$36,IF($D634="V02",cad!$D$36,cad!$E$36)))</f>
        <v/>
      </c>
      <c r="N634" t="str">
        <f t="shared" si="37"/>
        <v/>
      </c>
      <c r="O634" t="str">
        <f t="shared" si="38"/>
        <v/>
      </c>
      <c r="P634" t="str">
        <f>IF($A634="","",IF($E634=1,$F634*$O634,PNL!G634))</f>
        <v/>
      </c>
      <c r="T634" t="str">
        <f t="shared" si="39"/>
        <v/>
      </c>
    </row>
    <row r="635" spans="1:20" x14ac:dyDescent="0.45">
      <c r="A635" t="str">
        <f>IF(PNL!A635="","",PNL!A635)</f>
        <v/>
      </c>
      <c r="B635" t="str">
        <f>IF(PNL!B635="","",PNL!B635)</f>
        <v/>
      </c>
      <c r="C635" t="str">
        <f>IF(PNL!C635="","",PNL!C635)</f>
        <v/>
      </c>
      <c r="D635" t="str">
        <f>IF(PNL!D635="","",PNL!D635)</f>
        <v/>
      </c>
      <c r="E635" t="str">
        <f t="shared" si="36"/>
        <v/>
      </c>
      <c r="F635" t="str">
        <f>IF($A635="","",IF($E635=1,SUMIFS(Compta!$F$1:$F$675,Compta!$A$1:$A$675,$A635,Compta!$B$1:$B$675,$B635,Compta!$C$1:$C$675,"2026"),0))</f>
        <v/>
      </c>
      <c r="G635" t="str">
        <f>IF($A635="","",IF($D635="V01",cad!$C$23,IF($D635="V02",cad!$D$23,cad!$E$23)))</f>
        <v/>
      </c>
      <c r="H635" t="str">
        <f>IF($A635="","",IF($D635="V01",cad!$C$24,IF($D635="V02",cad!$D$24,cad!$E$24)))</f>
        <v/>
      </c>
      <c r="I635" t="str">
        <f>IF($A635="","",IF($D635="V01",cad!$C$32,IF($D635="V02",cad!$D$32,cad!$E$32)))</f>
        <v/>
      </c>
      <c r="J635" t="str">
        <f>IF($A635="","",IF($D635="V01",cad!$C$33,IF($D635="V02",cad!$D$33,cad!$E$33)))</f>
        <v/>
      </c>
      <c r="K635" t="str">
        <f>IF($A635="","",IF($D635="V01",cad!$C$34,IF($D635="V02",cad!$D$34,cad!$E$34)))</f>
        <v/>
      </c>
      <c r="L635" t="str">
        <f>IF($A635="","",IF($D635="V01",cad!$C$35,IF($D635="V02",cad!$D$35,cad!$E$35)))</f>
        <v/>
      </c>
      <c r="M635" t="str">
        <f>IF($A635="","",IF($D635="V01",cad!$C$36,IF($D635="V02",cad!$D$36,cad!$E$36)))</f>
        <v/>
      </c>
      <c r="N635" t="str">
        <f t="shared" si="37"/>
        <v/>
      </c>
      <c r="O635" t="str">
        <f t="shared" si="38"/>
        <v/>
      </c>
      <c r="P635" t="str">
        <f>IF($A635="","",IF($E635=1,$F635*$O635,PNL!G635))</f>
        <v/>
      </c>
      <c r="T635" t="str">
        <f t="shared" si="39"/>
        <v/>
      </c>
    </row>
    <row r="636" spans="1:20" x14ac:dyDescent="0.45">
      <c r="A636" t="str">
        <f>IF(PNL!A636="","",PNL!A636)</f>
        <v/>
      </c>
      <c r="B636" t="str">
        <f>IF(PNL!B636="","",PNL!B636)</f>
        <v/>
      </c>
      <c r="C636" t="str">
        <f>IF(PNL!C636="","",PNL!C636)</f>
        <v/>
      </c>
      <c r="D636" t="str">
        <f>IF(PNL!D636="","",PNL!D636)</f>
        <v/>
      </c>
      <c r="E636" t="str">
        <f t="shared" si="36"/>
        <v/>
      </c>
      <c r="F636" t="str">
        <f>IF($A636="","",IF($E636=1,SUMIFS(Compta!$F$1:$F$675,Compta!$A$1:$A$675,$A636,Compta!$B$1:$B$675,$B636,Compta!$C$1:$C$675,"2026"),0))</f>
        <v/>
      </c>
      <c r="G636" t="str">
        <f>IF($A636="","",IF($D636="V01",cad!$C$23,IF($D636="V02",cad!$D$23,cad!$E$23)))</f>
        <v/>
      </c>
      <c r="H636" t="str">
        <f>IF($A636="","",IF($D636="V01",cad!$C$24,IF($D636="V02",cad!$D$24,cad!$E$24)))</f>
        <v/>
      </c>
      <c r="I636" t="str">
        <f>IF($A636="","",IF($D636="V01",cad!$C$32,IF($D636="V02",cad!$D$32,cad!$E$32)))</f>
        <v/>
      </c>
      <c r="J636" t="str">
        <f>IF($A636="","",IF($D636="V01",cad!$C$33,IF($D636="V02",cad!$D$33,cad!$E$33)))</f>
        <v/>
      </c>
      <c r="K636" t="str">
        <f>IF($A636="","",IF($D636="V01",cad!$C$34,IF($D636="V02",cad!$D$34,cad!$E$34)))</f>
        <v/>
      </c>
      <c r="L636" t="str">
        <f>IF($A636="","",IF($D636="V01",cad!$C$35,IF($D636="V02",cad!$D$35,cad!$E$35)))</f>
        <v/>
      </c>
      <c r="M636" t="str">
        <f>IF($A636="","",IF($D636="V01",cad!$C$36,IF($D636="V02",cad!$D$36,cad!$E$36)))</f>
        <v/>
      </c>
      <c r="N636" t="str">
        <f t="shared" si="37"/>
        <v/>
      </c>
      <c r="O636" t="str">
        <f t="shared" si="38"/>
        <v/>
      </c>
      <c r="P636" t="str">
        <f>IF($A636="","",IF($E636=1,$F636*$O636,PNL!G636))</f>
        <v/>
      </c>
      <c r="T636" t="str">
        <f t="shared" si="39"/>
        <v/>
      </c>
    </row>
    <row r="637" spans="1:20" x14ac:dyDescent="0.45">
      <c r="A637" t="str">
        <f>IF(PNL!A637="","",PNL!A637)</f>
        <v/>
      </c>
      <c r="B637" t="str">
        <f>IF(PNL!B637="","",PNL!B637)</f>
        <v/>
      </c>
      <c r="C637" t="str">
        <f>IF(PNL!C637="","",PNL!C637)</f>
        <v/>
      </c>
      <c r="D637" t="str">
        <f>IF(PNL!D637="","",PNL!D637)</f>
        <v/>
      </c>
      <c r="E637" t="str">
        <f t="shared" si="36"/>
        <v/>
      </c>
      <c r="F637" t="str">
        <f>IF($A637="","",IF($E637=1,SUMIFS(Compta!$F$1:$F$675,Compta!$A$1:$A$675,$A637,Compta!$B$1:$B$675,$B637,Compta!$C$1:$C$675,"2026"),0))</f>
        <v/>
      </c>
      <c r="G637" t="str">
        <f>IF($A637="","",IF($D637="V01",cad!$C$23,IF($D637="V02",cad!$D$23,cad!$E$23)))</f>
        <v/>
      </c>
      <c r="H637" t="str">
        <f>IF($A637="","",IF($D637="V01",cad!$C$24,IF($D637="V02",cad!$D$24,cad!$E$24)))</f>
        <v/>
      </c>
      <c r="I637" t="str">
        <f>IF($A637="","",IF($D637="V01",cad!$C$32,IF($D637="V02",cad!$D$32,cad!$E$32)))</f>
        <v/>
      </c>
      <c r="J637" t="str">
        <f>IF($A637="","",IF($D637="V01",cad!$C$33,IF($D637="V02",cad!$D$33,cad!$E$33)))</f>
        <v/>
      </c>
      <c r="K637" t="str">
        <f>IF($A637="","",IF($D637="V01",cad!$C$34,IF($D637="V02",cad!$D$34,cad!$E$34)))</f>
        <v/>
      </c>
      <c r="L637" t="str">
        <f>IF($A637="","",IF($D637="V01",cad!$C$35,IF($D637="V02",cad!$D$35,cad!$E$35)))</f>
        <v/>
      </c>
      <c r="M637" t="str">
        <f>IF($A637="","",IF($D637="V01",cad!$C$36,IF($D637="V02",cad!$D$36,cad!$E$36)))</f>
        <v/>
      </c>
      <c r="N637" t="str">
        <f t="shared" si="37"/>
        <v/>
      </c>
      <c r="O637" t="str">
        <f t="shared" si="38"/>
        <v/>
      </c>
      <c r="P637" t="str">
        <f>IF($A637="","",IF($E637=1,$F637*$O637,PNL!G637))</f>
        <v/>
      </c>
      <c r="T637" t="str">
        <f t="shared" si="39"/>
        <v/>
      </c>
    </row>
    <row r="638" spans="1:20" x14ac:dyDescent="0.45">
      <c r="A638" t="str">
        <f>IF(PNL!A638="","",PNL!A638)</f>
        <v/>
      </c>
      <c r="B638" t="str">
        <f>IF(PNL!B638="","",PNL!B638)</f>
        <v/>
      </c>
      <c r="C638" t="str">
        <f>IF(PNL!C638="","",PNL!C638)</f>
        <v/>
      </c>
      <c r="D638" t="str">
        <f>IF(PNL!D638="","",PNL!D638)</f>
        <v/>
      </c>
      <c r="E638" t="str">
        <f t="shared" si="36"/>
        <v/>
      </c>
      <c r="F638" t="str">
        <f>IF($A638="","",IF($E638=1,SUMIFS(Compta!$F$1:$F$675,Compta!$A$1:$A$675,$A638,Compta!$B$1:$B$675,$B638,Compta!$C$1:$C$675,"2026"),0))</f>
        <v/>
      </c>
      <c r="G638" t="str">
        <f>IF($A638="","",IF($D638="V01",cad!$C$23,IF($D638="V02",cad!$D$23,cad!$E$23)))</f>
        <v/>
      </c>
      <c r="H638" t="str">
        <f>IF($A638="","",IF($D638="V01",cad!$C$24,IF($D638="V02",cad!$D$24,cad!$E$24)))</f>
        <v/>
      </c>
      <c r="I638" t="str">
        <f>IF($A638="","",IF($D638="V01",cad!$C$32,IF($D638="V02",cad!$D$32,cad!$E$32)))</f>
        <v/>
      </c>
      <c r="J638" t="str">
        <f>IF($A638="","",IF($D638="V01",cad!$C$33,IF($D638="V02",cad!$D$33,cad!$E$33)))</f>
        <v/>
      </c>
      <c r="K638" t="str">
        <f>IF($A638="","",IF($D638="V01",cad!$C$34,IF($D638="V02",cad!$D$34,cad!$E$34)))</f>
        <v/>
      </c>
      <c r="L638" t="str">
        <f>IF($A638="","",IF($D638="V01",cad!$C$35,IF($D638="V02",cad!$D$35,cad!$E$35)))</f>
        <v/>
      </c>
      <c r="M638" t="str">
        <f>IF($A638="","",IF($D638="V01",cad!$C$36,IF($D638="V02",cad!$D$36,cad!$E$36)))</f>
        <v/>
      </c>
      <c r="N638" t="str">
        <f t="shared" si="37"/>
        <v/>
      </c>
      <c r="O638" t="str">
        <f t="shared" si="38"/>
        <v/>
      </c>
      <c r="P638" t="str">
        <f>IF($A638="","",IF($E638=1,$F638*$O638,PNL!G638))</f>
        <v/>
      </c>
      <c r="T638" t="str">
        <f t="shared" si="39"/>
        <v/>
      </c>
    </row>
    <row r="639" spans="1:20" x14ac:dyDescent="0.45">
      <c r="A639" t="str">
        <f>IF(PNL!A639="","",PNL!A639)</f>
        <v/>
      </c>
      <c r="B639" t="str">
        <f>IF(PNL!B639="","",PNL!B639)</f>
        <v/>
      </c>
      <c r="C639" t="str">
        <f>IF(PNL!C639="","",PNL!C639)</f>
        <v/>
      </c>
      <c r="D639" t="str">
        <f>IF(PNL!D639="","",PNL!D639)</f>
        <v/>
      </c>
      <c r="E639" t="str">
        <f t="shared" si="36"/>
        <v/>
      </c>
      <c r="F639" t="str">
        <f>IF($A639="","",IF($E639=1,SUMIFS(Compta!$F$1:$F$675,Compta!$A$1:$A$675,$A639,Compta!$B$1:$B$675,$B639,Compta!$C$1:$C$675,"2026"),0))</f>
        <v/>
      </c>
      <c r="G639" t="str">
        <f>IF($A639="","",IF($D639="V01",cad!$C$23,IF($D639="V02",cad!$D$23,cad!$E$23)))</f>
        <v/>
      </c>
      <c r="H639" t="str">
        <f>IF($A639="","",IF($D639="V01",cad!$C$24,IF($D639="V02",cad!$D$24,cad!$E$24)))</f>
        <v/>
      </c>
      <c r="I639" t="str">
        <f>IF($A639="","",IF($D639="V01",cad!$C$32,IF($D639="V02",cad!$D$32,cad!$E$32)))</f>
        <v/>
      </c>
      <c r="J639" t="str">
        <f>IF($A639="","",IF($D639="V01",cad!$C$33,IF($D639="V02",cad!$D$33,cad!$E$33)))</f>
        <v/>
      </c>
      <c r="K639" t="str">
        <f>IF($A639="","",IF($D639="V01",cad!$C$34,IF($D639="V02",cad!$D$34,cad!$E$34)))</f>
        <v/>
      </c>
      <c r="L639" t="str">
        <f>IF($A639="","",IF($D639="V01",cad!$C$35,IF($D639="V02",cad!$D$35,cad!$E$35)))</f>
        <v/>
      </c>
      <c r="M639" t="str">
        <f>IF($A639="","",IF($D639="V01",cad!$C$36,IF($D639="V02",cad!$D$36,cad!$E$36)))</f>
        <v/>
      </c>
      <c r="N639" t="str">
        <f t="shared" si="37"/>
        <v/>
      </c>
      <c r="O639" t="str">
        <f t="shared" si="38"/>
        <v/>
      </c>
      <c r="P639" t="str">
        <f>IF($A639="","",IF($E639=1,$F639*$O639,PNL!G639))</f>
        <v/>
      </c>
      <c r="T639" t="str">
        <f t="shared" si="39"/>
        <v/>
      </c>
    </row>
    <row r="640" spans="1:20" x14ac:dyDescent="0.45">
      <c r="A640" t="str">
        <f>IF(PNL!A640="","",PNL!A640)</f>
        <v/>
      </c>
      <c r="B640" t="str">
        <f>IF(PNL!B640="","",PNL!B640)</f>
        <v/>
      </c>
      <c r="C640" t="str">
        <f>IF(PNL!C640="","",PNL!C640)</f>
        <v/>
      </c>
      <c r="D640" t="str">
        <f>IF(PNL!D640="","",PNL!D640)</f>
        <v/>
      </c>
      <c r="E640" t="str">
        <f t="shared" si="36"/>
        <v/>
      </c>
      <c r="F640" t="str">
        <f>IF($A640="","",IF($E640=1,SUMIFS(Compta!$F$1:$F$675,Compta!$A$1:$A$675,$A640,Compta!$B$1:$B$675,$B640,Compta!$C$1:$C$675,"2026"),0))</f>
        <v/>
      </c>
      <c r="G640" t="str">
        <f>IF($A640="","",IF($D640="V01",cad!$C$23,IF($D640="V02",cad!$D$23,cad!$E$23)))</f>
        <v/>
      </c>
      <c r="H640" t="str">
        <f>IF($A640="","",IF($D640="V01",cad!$C$24,IF($D640="V02",cad!$D$24,cad!$E$24)))</f>
        <v/>
      </c>
      <c r="I640" t="str">
        <f>IF($A640="","",IF($D640="V01",cad!$C$32,IF($D640="V02",cad!$D$32,cad!$E$32)))</f>
        <v/>
      </c>
      <c r="J640" t="str">
        <f>IF($A640="","",IF($D640="V01",cad!$C$33,IF($D640="V02",cad!$D$33,cad!$E$33)))</f>
        <v/>
      </c>
      <c r="K640" t="str">
        <f>IF($A640="","",IF($D640="V01",cad!$C$34,IF($D640="V02",cad!$D$34,cad!$E$34)))</f>
        <v/>
      </c>
      <c r="L640" t="str">
        <f>IF($A640="","",IF($D640="V01",cad!$C$35,IF($D640="V02",cad!$D$35,cad!$E$35)))</f>
        <v/>
      </c>
      <c r="M640" t="str">
        <f>IF($A640="","",IF($D640="V01",cad!$C$36,IF($D640="V02",cad!$D$36,cad!$E$36)))</f>
        <v/>
      </c>
      <c r="N640" t="str">
        <f t="shared" si="37"/>
        <v/>
      </c>
      <c r="O640" t="str">
        <f t="shared" si="38"/>
        <v/>
      </c>
      <c r="P640" t="str">
        <f>IF($A640="","",IF($E640=1,$F640*$O640,PNL!G640))</f>
        <v/>
      </c>
      <c r="T640" t="str">
        <f t="shared" si="39"/>
        <v/>
      </c>
    </row>
    <row r="641" spans="1:20" x14ac:dyDescent="0.45">
      <c r="A641" t="str">
        <f>IF(PNL!A641="","",PNL!A641)</f>
        <v/>
      </c>
      <c r="B641" t="str">
        <f>IF(PNL!B641="","",PNL!B641)</f>
        <v/>
      </c>
      <c r="C641" t="str">
        <f>IF(PNL!C641="","",PNL!C641)</f>
        <v/>
      </c>
      <c r="D641" t="str">
        <f>IF(PNL!D641="","",PNL!D641)</f>
        <v/>
      </c>
      <c r="E641" t="str">
        <f t="shared" si="36"/>
        <v/>
      </c>
      <c r="F641" t="str">
        <f>IF($A641="","",IF($E641=1,SUMIFS(Compta!$F$1:$F$675,Compta!$A$1:$A$675,$A641,Compta!$B$1:$B$675,$B641,Compta!$C$1:$C$675,"2026"),0))</f>
        <v/>
      </c>
      <c r="G641" t="str">
        <f>IF($A641="","",IF($D641="V01",cad!$C$23,IF($D641="V02",cad!$D$23,cad!$E$23)))</f>
        <v/>
      </c>
      <c r="H641" t="str">
        <f>IF($A641="","",IF($D641="V01",cad!$C$24,IF($D641="V02",cad!$D$24,cad!$E$24)))</f>
        <v/>
      </c>
      <c r="I641" t="str">
        <f>IF($A641="","",IF($D641="V01",cad!$C$32,IF($D641="V02",cad!$D$32,cad!$E$32)))</f>
        <v/>
      </c>
      <c r="J641" t="str">
        <f>IF($A641="","",IF($D641="V01",cad!$C$33,IF($D641="V02",cad!$D$33,cad!$E$33)))</f>
        <v/>
      </c>
      <c r="K641" t="str">
        <f>IF($A641="","",IF($D641="V01",cad!$C$34,IF($D641="V02",cad!$D$34,cad!$E$34)))</f>
        <v/>
      </c>
      <c r="L641" t="str">
        <f>IF($A641="","",IF($D641="V01",cad!$C$35,IF($D641="V02",cad!$D$35,cad!$E$35)))</f>
        <v/>
      </c>
      <c r="M641" t="str">
        <f>IF($A641="","",IF($D641="V01",cad!$C$36,IF($D641="V02",cad!$D$36,cad!$E$36)))</f>
        <v/>
      </c>
      <c r="N641" t="str">
        <f t="shared" si="37"/>
        <v/>
      </c>
      <c r="O641" t="str">
        <f t="shared" si="38"/>
        <v/>
      </c>
      <c r="P641" t="str">
        <f>IF($A641="","",IF($E641=1,$F641*$O641,PNL!G641))</f>
        <v/>
      </c>
      <c r="T641" t="str">
        <f t="shared" si="39"/>
        <v/>
      </c>
    </row>
    <row r="642" spans="1:20" x14ac:dyDescent="0.45">
      <c r="A642" t="str">
        <f>IF(PNL!A642="","",PNL!A642)</f>
        <v/>
      </c>
      <c r="B642" t="str">
        <f>IF(PNL!B642="","",PNL!B642)</f>
        <v/>
      </c>
      <c r="C642" t="str">
        <f>IF(PNL!C642="","",PNL!C642)</f>
        <v/>
      </c>
      <c r="D642" t="str">
        <f>IF(PNL!D642="","",PNL!D642)</f>
        <v/>
      </c>
      <c r="E642" t="str">
        <f t="shared" ref="E642:E705" si="40">IF($A642="","",IF(AND($C642="2027",OR($D642="V01",$D642="V02",$D642="V03")),1,0))</f>
        <v/>
      </c>
      <c r="F642" t="str">
        <f>IF($A642="","",IF($E642=1,SUMIFS(Compta!$F$1:$F$675,Compta!$A$1:$A$675,$A642,Compta!$B$1:$B$675,$B642,Compta!$C$1:$C$675,"2026"),0))</f>
        <v/>
      </c>
      <c r="G642" t="str">
        <f>IF($A642="","",IF($D642="V01",cad!$C$23,IF($D642="V02",cad!$D$23,cad!$E$23)))</f>
        <v/>
      </c>
      <c r="H642" t="str">
        <f>IF($A642="","",IF($D642="V01",cad!$C$24,IF($D642="V02",cad!$D$24,cad!$E$24)))</f>
        <v/>
      </c>
      <c r="I642" t="str">
        <f>IF($A642="","",IF($D642="V01",cad!$C$32,IF($D642="V02",cad!$D$32,cad!$E$32)))</f>
        <v/>
      </c>
      <c r="J642" t="str">
        <f>IF($A642="","",IF($D642="V01",cad!$C$33,IF($D642="V02",cad!$D$33,cad!$E$33)))</f>
        <v/>
      </c>
      <c r="K642" t="str">
        <f>IF($A642="","",IF($D642="V01",cad!$C$34,IF($D642="V02",cad!$D$34,cad!$E$34)))</f>
        <v/>
      </c>
      <c r="L642" t="str">
        <f>IF($A642="","",IF($D642="V01",cad!$C$35,IF($D642="V02",cad!$D$35,cad!$E$35)))</f>
        <v/>
      </c>
      <c r="M642" t="str">
        <f>IF($A642="","",IF($D642="V01",cad!$C$36,IF($D642="V02",cad!$D$36,cad!$E$36)))</f>
        <v/>
      </c>
      <c r="N642" t="str">
        <f t="shared" ref="N642:N705" si="41">IF($A642="","",IF($D642="V01",$R$2,IF($D642="V02",$R$3,$R$4)))</f>
        <v/>
      </c>
      <c r="O642" t="str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 t="str">
        <f>IF($A642="","",IF($E642=1,$F642*$O642,PNL!G642))</f>
        <v/>
      </c>
      <c r="T642" t="str">
        <f t="shared" ref="T642:T705" si="43">IF($A642="","",IF($E642=1,IF(OR($B642="7062",$B642="706",$B642="708"),$P642,IF(AND(LEFT($B642,1)="6",$B642&lt;&gt;"6811"),-$P642,0)),0))</f>
        <v/>
      </c>
    </row>
    <row r="643" spans="1:20" x14ac:dyDescent="0.45">
      <c r="A643" t="str">
        <f>IF(PNL!A643="","",PNL!A643)</f>
        <v/>
      </c>
      <c r="B643" t="str">
        <f>IF(PNL!B643="","",PNL!B643)</f>
        <v/>
      </c>
      <c r="C643" t="str">
        <f>IF(PNL!C643="","",PNL!C643)</f>
        <v/>
      </c>
      <c r="D643" t="str">
        <f>IF(PNL!D643="","",PNL!D643)</f>
        <v/>
      </c>
      <c r="E643" t="str">
        <f t="shared" si="40"/>
        <v/>
      </c>
      <c r="F643" t="str">
        <f>IF($A643="","",IF($E643=1,SUMIFS(Compta!$F$1:$F$675,Compta!$A$1:$A$675,$A643,Compta!$B$1:$B$675,$B643,Compta!$C$1:$C$675,"2026"),0))</f>
        <v/>
      </c>
      <c r="G643" t="str">
        <f>IF($A643="","",IF($D643="V01",cad!$C$23,IF($D643="V02",cad!$D$23,cad!$E$23)))</f>
        <v/>
      </c>
      <c r="H643" t="str">
        <f>IF($A643="","",IF($D643="V01",cad!$C$24,IF($D643="V02",cad!$D$24,cad!$E$24)))</f>
        <v/>
      </c>
      <c r="I643" t="str">
        <f>IF($A643="","",IF($D643="V01",cad!$C$32,IF($D643="V02",cad!$D$32,cad!$E$32)))</f>
        <v/>
      </c>
      <c r="J643" t="str">
        <f>IF($A643="","",IF($D643="V01",cad!$C$33,IF($D643="V02",cad!$D$33,cad!$E$33)))</f>
        <v/>
      </c>
      <c r="K643" t="str">
        <f>IF($A643="","",IF($D643="V01",cad!$C$34,IF($D643="V02",cad!$D$34,cad!$E$34)))</f>
        <v/>
      </c>
      <c r="L643" t="str">
        <f>IF($A643="","",IF($D643="V01",cad!$C$35,IF($D643="V02",cad!$D$35,cad!$E$35)))</f>
        <v/>
      </c>
      <c r="M643" t="str">
        <f>IF($A643="","",IF($D643="V01",cad!$C$36,IF($D643="V02",cad!$D$36,cad!$E$36)))</f>
        <v/>
      </c>
      <c r="N643" t="str">
        <f t="shared" si="41"/>
        <v/>
      </c>
      <c r="O643" t="str">
        <f t="shared" si="42"/>
        <v/>
      </c>
      <c r="P643" t="str">
        <f>IF($A643="","",IF($E643=1,$F643*$O643,PNL!G643))</f>
        <v/>
      </c>
      <c r="T643" t="str">
        <f t="shared" si="43"/>
        <v/>
      </c>
    </row>
    <row r="644" spans="1:20" x14ac:dyDescent="0.45">
      <c r="A644" t="str">
        <f>IF(PNL!A644="","",PNL!A644)</f>
        <v/>
      </c>
      <c r="B644" t="str">
        <f>IF(PNL!B644="","",PNL!B644)</f>
        <v/>
      </c>
      <c r="C644" t="str">
        <f>IF(PNL!C644="","",PNL!C644)</f>
        <v/>
      </c>
      <c r="D644" t="str">
        <f>IF(PNL!D644="","",PNL!D644)</f>
        <v/>
      </c>
      <c r="E644" t="str">
        <f t="shared" si="40"/>
        <v/>
      </c>
      <c r="F644" t="str">
        <f>IF($A644="","",IF($E644=1,SUMIFS(Compta!$F$1:$F$675,Compta!$A$1:$A$675,$A644,Compta!$B$1:$B$675,$B644,Compta!$C$1:$C$675,"2026"),0))</f>
        <v/>
      </c>
      <c r="G644" t="str">
        <f>IF($A644="","",IF($D644="V01",cad!$C$23,IF($D644="V02",cad!$D$23,cad!$E$23)))</f>
        <v/>
      </c>
      <c r="H644" t="str">
        <f>IF($A644="","",IF($D644="V01",cad!$C$24,IF($D644="V02",cad!$D$24,cad!$E$24)))</f>
        <v/>
      </c>
      <c r="I644" t="str">
        <f>IF($A644="","",IF($D644="V01",cad!$C$32,IF($D644="V02",cad!$D$32,cad!$E$32)))</f>
        <v/>
      </c>
      <c r="J644" t="str">
        <f>IF($A644="","",IF($D644="V01",cad!$C$33,IF($D644="V02",cad!$D$33,cad!$E$33)))</f>
        <v/>
      </c>
      <c r="K644" t="str">
        <f>IF($A644="","",IF($D644="V01",cad!$C$34,IF($D644="V02",cad!$D$34,cad!$E$34)))</f>
        <v/>
      </c>
      <c r="L644" t="str">
        <f>IF($A644="","",IF($D644="V01",cad!$C$35,IF($D644="V02",cad!$D$35,cad!$E$35)))</f>
        <v/>
      </c>
      <c r="M644" t="str">
        <f>IF($A644="","",IF($D644="V01",cad!$C$36,IF($D644="V02",cad!$D$36,cad!$E$36)))</f>
        <v/>
      </c>
      <c r="N644" t="str">
        <f t="shared" si="41"/>
        <v/>
      </c>
      <c r="O644" t="str">
        <f t="shared" si="42"/>
        <v/>
      </c>
      <c r="P644" t="str">
        <f>IF($A644="","",IF($E644=1,$F644*$O644,PNL!G644))</f>
        <v/>
      </c>
      <c r="T644" t="str">
        <f t="shared" si="43"/>
        <v/>
      </c>
    </row>
    <row r="645" spans="1:20" x14ac:dyDescent="0.45">
      <c r="A645" t="str">
        <f>IF(PNL!A645="","",PNL!A645)</f>
        <v/>
      </c>
      <c r="B645" t="str">
        <f>IF(PNL!B645="","",PNL!B645)</f>
        <v/>
      </c>
      <c r="C645" t="str">
        <f>IF(PNL!C645="","",PNL!C645)</f>
        <v/>
      </c>
      <c r="D645" t="str">
        <f>IF(PNL!D645="","",PNL!D645)</f>
        <v/>
      </c>
      <c r="E645" t="str">
        <f t="shared" si="40"/>
        <v/>
      </c>
      <c r="F645" t="str">
        <f>IF($A645="","",IF($E645=1,SUMIFS(Compta!$F$1:$F$675,Compta!$A$1:$A$675,$A645,Compta!$B$1:$B$675,$B645,Compta!$C$1:$C$675,"2026"),0))</f>
        <v/>
      </c>
      <c r="G645" t="str">
        <f>IF($A645="","",IF($D645="V01",cad!$C$23,IF($D645="V02",cad!$D$23,cad!$E$23)))</f>
        <v/>
      </c>
      <c r="H645" t="str">
        <f>IF($A645="","",IF($D645="V01",cad!$C$24,IF($D645="V02",cad!$D$24,cad!$E$24)))</f>
        <v/>
      </c>
      <c r="I645" t="str">
        <f>IF($A645="","",IF($D645="V01",cad!$C$32,IF($D645="V02",cad!$D$32,cad!$E$32)))</f>
        <v/>
      </c>
      <c r="J645" t="str">
        <f>IF($A645="","",IF($D645="V01",cad!$C$33,IF($D645="V02",cad!$D$33,cad!$E$33)))</f>
        <v/>
      </c>
      <c r="K645" t="str">
        <f>IF($A645="","",IF($D645="V01",cad!$C$34,IF($D645="V02",cad!$D$34,cad!$E$34)))</f>
        <v/>
      </c>
      <c r="L645" t="str">
        <f>IF($A645="","",IF($D645="V01",cad!$C$35,IF($D645="V02",cad!$D$35,cad!$E$35)))</f>
        <v/>
      </c>
      <c r="M645" t="str">
        <f>IF($A645="","",IF($D645="V01",cad!$C$36,IF($D645="V02",cad!$D$36,cad!$E$36)))</f>
        <v/>
      </c>
      <c r="N645" t="str">
        <f t="shared" si="41"/>
        <v/>
      </c>
      <c r="O645" t="str">
        <f t="shared" si="42"/>
        <v/>
      </c>
      <c r="P645" t="str">
        <f>IF($A645="","",IF($E645=1,$F645*$O645,PNL!G645))</f>
        <v/>
      </c>
      <c r="T645" t="str">
        <f t="shared" si="43"/>
        <v/>
      </c>
    </row>
    <row r="646" spans="1:20" x14ac:dyDescent="0.45">
      <c r="A646" t="str">
        <f>IF(PNL!A646="","",PNL!A646)</f>
        <v/>
      </c>
      <c r="B646" t="str">
        <f>IF(PNL!B646="","",PNL!B646)</f>
        <v/>
      </c>
      <c r="C646" t="str">
        <f>IF(PNL!C646="","",PNL!C646)</f>
        <v/>
      </c>
      <c r="D646" t="str">
        <f>IF(PNL!D646="","",PNL!D646)</f>
        <v/>
      </c>
      <c r="E646" t="str">
        <f t="shared" si="40"/>
        <v/>
      </c>
      <c r="F646" t="str">
        <f>IF($A646="","",IF($E646=1,SUMIFS(Compta!$F$1:$F$675,Compta!$A$1:$A$675,$A646,Compta!$B$1:$B$675,$B646,Compta!$C$1:$C$675,"2026"),0))</f>
        <v/>
      </c>
      <c r="G646" t="str">
        <f>IF($A646="","",IF($D646="V01",cad!$C$23,IF($D646="V02",cad!$D$23,cad!$E$23)))</f>
        <v/>
      </c>
      <c r="H646" t="str">
        <f>IF($A646="","",IF($D646="V01",cad!$C$24,IF($D646="V02",cad!$D$24,cad!$E$24)))</f>
        <v/>
      </c>
      <c r="I646" t="str">
        <f>IF($A646="","",IF($D646="V01",cad!$C$32,IF($D646="V02",cad!$D$32,cad!$E$32)))</f>
        <v/>
      </c>
      <c r="J646" t="str">
        <f>IF($A646="","",IF($D646="V01",cad!$C$33,IF($D646="V02",cad!$D$33,cad!$E$33)))</f>
        <v/>
      </c>
      <c r="K646" t="str">
        <f>IF($A646="","",IF($D646="V01",cad!$C$34,IF($D646="V02",cad!$D$34,cad!$E$34)))</f>
        <v/>
      </c>
      <c r="L646" t="str">
        <f>IF($A646="","",IF($D646="V01",cad!$C$35,IF($D646="V02",cad!$D$35,cad!$E$35)))</f>
        <v/>
      </c>
      <c r="M646" t="str">
        <f>IF($A646="","",IF($D646="V01",cad!$C$36,IF($D646="V02",cad!$D$36,cad!$E$36)))</f>
        <v/>
      </c>
      <c r="N646" t="str">
        <f t="shared" si="41"/>
        <v/>
      </c>
      <c r="O646" t="str">
        <f t="shared" si="42"/>
        <v/>
      </c>
      <c r="P646" t="str">
        <f>IF($A646="","",IF($E646=1,$F646*$O646,PNL!G646))</f>
        <v/>
      </c>
      <c r="T646" t="str">
        <f t="shared" si="43"/>
        <v/>
      </c>
    </row>
    <row r="647" spans="1:20" x14ac:dyDescent="0.45">
      <c r="A647" t="str">
        <f>IF(PNL!A647="","",PNL!A647)</f>
        <v/>
      </c>
      <c r="B647" t="str">
        <f>IF(PNL!B647="","",PNL!B647)</f>
        <v/>
      </c>
      <c r="C647" t="str">
        <f>IF(PNL!C647="","",PNL!C647)</f>
        <v/>
      </c>
      <c r="D647" t="str">
        <f>IF(PNL!D647="","",PNL!D647)</f>
        <v/>
      </c>
      <c r="E647" t="str">
        <f t="shared" si="40"/>
        <v/>
      </c>
      <c r="F647" t="str">
        <f>IF($A647="","",IF($E647=1,SUMIFS(Compta!$F$1:$F$675,Compta!$A$1:$A$675,$A647,Compta!$B$1:$B$675,$B647,Compta!$C$1:$C$675,"2026"),0))</f>
        <v/>
      </c>
      <c r="G647" t="str">
        <f>IF($A647="","",IF($D647="V01",cad!$C$23,IF($D647="V02",cad!$D$23,cad!$E$23)))</f>
        <v/>
      </c>
      <c r="H647" t="str">
        <f>IF($A647="","",IF($D647="V01",cad!$C$24,IF($D647="V02",cad!$D$24,cad!$E$24)))</f>
        <v/>
      </c>
      <c r="I647" t="str">
        <f>IF($A647="","",IF($D647="V01",cad!$C$32,IF($D647="V02",cad!$D$32,cad!$E$32)))</f>
        <v/>
      </c>
      <c r="J647" t="str">
        <f>IF($A647="","",IF($D647="V01",cad!$C$33,IF($D647="V02",cad!$D$33,cad!$E$33)))</f>
        <v/>
      </c>
      <c r="K647" t="str">
        <f>IF($A647="","",IF($D647="V01",cad!$C$34,IF($D647="V02",cad!$D$34,cad!$E$34)))</f>
        <v/>
      </c>
      <c r="L647" t="str">
        <f>IF($A647="","",IF($D647="V01",cad!$C$35,IF($D647="V02",cad!$D$35,cad!$E$35)))</f>
        <v/>
      </c>
      <c r="M647" t="str">
        <f>IF($A647="","",IF($D647="V01",cad!$C$36,IF($D647="V02",cad!$D$36,cad!$E$36)))</f>
        <v/>
      </c>
      <c r="N647" t="str">
        <f t="shared" si="41"/>
        <v/>
      </c>
      <c r="O647" t="str">
        <f t="shared" si="42"/>
        <v/>
      </c>
      <c r="P647" t="str">
        <f>IF($A647="","",IF($E647=1,$F647*$O647,PNL!G647))</f>
        <v/>
      </c>
      <c r="T647" t="str">
        <f t="shared" si="43"/>
        <v/>
      </c>
    </row>
    <row r="648" spans="1:20" x14ac:dyDescent="0.45">
      <c r="A648" t="str">
        <f>IF(PNL!A648="","",PNL!A648)</f>
        <v/>
      </c>
      <c r="B648" t="str">
        <f>IF(PNL!B648="","",PNL!B648)</f>
        <v/>
      </c>
      <c r="C648" t="str">
        <f>IF(PNL!C648="","",PNL!C648)</f>
        <v/>
      </c>
      <c r="D648" t="str">
        <f>IF(PNL!D648="","",PNL!D648)</f>
        <v/>
      </c>
      <c r="E648" t="str">
        <f t="shared" si="40"/>
        <v/>
      </c>
      <c r="F648" t="str">
        <f>IF($A648="","",IF($E648=1,SUMIFS(Compta!$F$1:$F$675,Compta!$A$1:$A$675,$A648,Compta!$B$1:$B$675,$B648,Compta!$C$1:$C$675,"2026"),0))</f>
        <v/>
      </c>
      <c r="G648" t="str">
        <f>IF($A648="","",IF($D648="V01",cad!$C$23,IF($D648="V02",cad!$D$23,cad!$E$23)))</f>
        <v/>
      </c>
      <c r="H648" t="str">
        <f>IF($A648="","",IF($D648="V01",cad!$C$24,IF($D648="V02",cad!$D$24,cad!$E$24)))</f>
        <v/>
      </c>
      <c r="I648" t="str">
        <f>IF($A648="","",IF($D648="V01",cad!$C$32,IF($D648="V02",cad!$D$32,cad!$E$32)))</f>
        <v/>
      </c>
      <c r="J648" t="str">
        <f>IF($A648="","",IF($D648="V01",cad!$C$33,IF($D648="V02",cad!$D$33,cad!$E$33)))</f>
        <v/>
      </c>
      <c r="K648" t="str">
        <f>IF($A648="","",IF($D648="V01",cad!$C$34,IF($D648="V02",cad!$D$34,cad!$E$34)))</f>
        <v/>
      </c>
      <c r="L648" t="str">
        <f>IF($A648="","",IF($D648="V01",cad!$C$35,IF($D648="V02",cad!$D$35,cad!$E$35)))</f>
        <v/>
      </c>
      <c r="M648" t="str">
        <f>IF($A648="","",IF($D648="V01",cad!$C$36,IF($D648="V02",cad!$D$36,cad!$E$36)))</f>
        <v/>
      </c>
      <c r="N648" t="str">
        <f t="shared" si="41"/>
        <v/>
      </c>
      <c r="O648" t="str">
        <f t="shared" si="42"/>
        <v/>
      </c>
      <c r="P648" t="str">
        <f>IF($A648="","",IF($E648=1,$F648*$O648,PNL!G648))</f>
        <v/>
      </c>
      <c r="T648" t="str">
        <f t="shared" si="43"/>
        <v/>
      </c>
    </row>
    <row r="649" spans="1:20" x14ac:dyDescent="0.45">
      <c r="A649" t="str">
        <f>IF(PNL!A649="","",PNL!A649)</f>
        <v/>
      </c>
      <c r="B649" t="str">
        <f>IF(PNL!B649="","",PNL!B649)</f>
        <v/>
      </c>
      <c r="C649" t="str">
        <f>IF(PNL!C649="","",PNL!C649)</f>
        <v/>
      </c>
      <c r="D649" t="str">
        <f>IF(PNL!D649="","",PNL!D649)</f>
        <v/>
      </c>
      <c r="E649" t="str">
        <f t="shared" si="40"/>
        <v/>
      </c>
      <c r="F649" t="str">
        <f>IF($A649="","",IF($E649=1,SUMIFS(Compta!$F$1:$F$675,Compta!$A$1:$A$675,$A649,Compta!$B$1:$B$675,$B649,Compta!$C$1:$C$675,"2026"),0))</f>
        <v/>
      </c>
      <c r="G649" t="str">
        <f>IF($A649="","",IF($D649="V01",cad!$C$23,IF($D649="V02",cad!$D$23,cad!$E$23)))</f>
        <v/>
      </c>
      <c r="H649" t="str">
        <f>IF($A649="","",IF($D649="V01",cad!$C$24,IF($D649="V02",cad!$D$24,cad!$E$24)))</f>
        <v/>
      </c>
      <c r="I649" t="str">
        <f>IF($A649="","",IF($D649="V01",cad!$C$32,IF($D649="V02",cad!$D$32,cad!$E$32)))</f>
        <v/>
      </c>
      <c r="J649" t="str">
        <f>IF($A649="","",IF($D649="V01",cad!$C$33,IF($D649="V02",cad!$D$33,cad!$E$33)))</f>
        <v/>
      </c>
      <c r="K649" t="str">
        <f>IF($A649="","",IF($D649="V01",cad!$C$34,IF($D649="V02",cad!$D$34,cad!$E$34)))</f>
        <v/>
      </c>
      <c r="L649" t="str">
        <f>IF($A649="","",IF($D649="V01",cad!$C$35,IF($D649="V02",cad!$D$35,cad!$E$35)))</f>
        <v/>
      </c>
      <c r="M649" t="str">
        <f>IF($A649="","",IF($D649="V01",cad!$C$36,IF($D649="V02",cad!$D$36,cad!$E$36)))</f>
        <v/>
      </c>
      <c r="N649" t="str">
        <f t="shared" si="41"/>
        <v/>
      </c>
      <c r="O649" t="str">
        <f t="shared" si="42"/>
        <v/>
      </c>
      <c r="P649" t="str">
        <f>IF($A649="","",IF($E649=1,$F649*$O649,PNL!G649))</f>
        <v/>
      </c>
      <c r="T649" t="str">
        <f t="shared" si="43"/>
        <v/>
      </c>
    </row>
    <row r="650" spans="1:20" x14ac:dyDescent="0.45">
      <c r="A650" t="str">
        <f>IF(PNL!A650="","",PNL!A650)</f>
        <v/>
      </c>
      <c r="B650" t="str">
        <f>IF(PNL!B650="","",PNL!B650)</f>
        <v/>
      </c>
      <c r="C650" t="str">
        <f>IF(PNL!C650="","",PNL!C650)</f>
        <v/>
      </c>
      <c r="D650" t="str">
        <f>IF(PNL!D650="","",PNL!D650)</f>
        <v/>
      </c>
      <c r="E650" t="str">
        <f t="shared" si="40"/>
        <v/>
      </c>
      <c r="F650" t="str">
        <f>IF($A650="","",IF($E650=1,SUMIFS(Compta!$F$1:$F$675,Compta!$A$1:$A$675,$A650,Compta!$B$1:$B$675,$B650,Compta!$C$1:$C$675,"2026"),0))</f>
        <v/>
      </c>
      <c r="G650" t="str">
        <f>IF($A650="","",IF($D650="V01",cad!$C$23,IF($D650="V02",cad!$D$23,cad!$E$23)))</f>
        <v/>
      </c>
      <c r="H650" t="str">
        <f>IF($A650="","",IF($D650="V01",cad!$C$24,IF($D650="V02",cad!$D$24,cad!$E$24)))</f>
        <v/>
      </c>
      <c r="I650" t="str">
        <f>IF($A650="","",IF($D650="V01",cad!$C$32,IF($D650="V02",cad!$D$32,cad!$E$32)))</f>
        <v/>
      </c>
      <c r="J650" t="str">
        <f>IF($A650="","",IF($D650="V01",cad!$C$33,IF($D650="V02",cad!$D$33,cad!$E$33)))</f>
        <v/>
      </c>
      <c r="K650" t="str">
        <f>IF($A650="","",IF($D650="V01",cad!$C$34,IF($D650="V02",cad!$D$34,cad!$E$34)))</f>
        <v/>
      </c>
      <c r="L650" t="str">
        <f>IF($A650="","",IF($D650="V01",cad!$C$35,IF($D650="V02",cad!$D$35,cad!$E$35)))</f>
        <v/>
      </c>
      <c r="M650" t="str">
        <f>IF($A650="","",IF($D650="V01",cad!$C$36,IF($D650="V02",cad!$D$36,cad!$E$36)))</f>
        <v/>
      </c>
      <c r="N650" t="str">
        <f t="shared" si="41"/>
        <v/>
      </c>
      <c r="O650" t="str">
        <f t="shared" si="42"/>
        <v/>
      </c>
      <c r="P650" t="str">
        <f>IF($A650="","",IF($E650=1,$F650*$O650,PNL!G650))</f>
        <v/>
      </c>
      <c r="T650" t="str">
        <f t="shared" si="43"/>
        <v/>
      </c>
    </row>
    <row r="651" spans="1:20" x14ac:dyDescent="0.45">
      <c r="A651" t="str">
        <f>IF(PNL!A651="","",PNL!A651)</f>
        <v/>
      </c>
      <c r="B651" t="str">
        <f>IF(PNL!B651="","",PNL!B651)</f>
        <v/>
      </c>
      <c r="C651" t="str">
        <f>IF(PNL!C651="","",PNL!C651)</f>
        <v/>
      </c>
      <c r="D651" t="str">
        <f>IF(PNL!D651="","",PNL!D651)</f>
        <v/>
      </c>
      <c r="E651" t="str">
        <f t="shared" si="40"/>
        <v/>
      </c>
      <c r="F651" t="str">
        <f>IF($A651="","",IF($E651=1,SUMIFS(Compta!$F$1:$F$675,Compta!$A$1:$A$675,$A651,Compta!$B$1:$B$675,$B651,Compta!$C$1:$C$675,"2026"),0))</f>
        <v/>
      </c>
      <c r="G651" t="str">
        <f>IF($A651="","",IF($D651="V01",cad!$C$23,IF($D651="V02",cad!$D$23,cad!$E$23)))</f>
        <v/>
      </c>
      <c r="H651" t="str">
        <f>IF($A651="","",IF($D651="V01",cad!$C$24,IF($D651="V02",cad!$D$24,cad!$E$24)))</f>
        <v/>
      </c>
      <c r="I651" t="str">
        <f>IF($A651="","",IF($D651="V01",cad!$C$32,IF($D651="V02",cad!$D$32,cad!$E$32)))</f>
        <v/>
      </c>
      <c r="J651" t="str">
        <f>IF($A651="","",IF($D651="V01",cad!$C$33,IF($D651="V02",cad!$D$33,cad!$E$33)))</f>
        <v/>
      </c>
      <c r="K651" t="str">
        <f>IF($A651="","",IF($D651="V01",cad!$C$34,IF($D651="V02",cad!$D$34,cad!$E$34)))</f>
        <v/>
      </c>
      <c r="L651" t="str">
        <f>IF($A651="","",IF($D651="V01",cad!$C$35,IF($D651="V02",cad!$D$35,cad!$E$35)))</f>
        <v/>
      </c>
      <c r="M651" t="str">
        <f>IF($A651="","",IF($D651="V01",cad!$C$36,IF($D651="V02",cad!$D$36,cad!$E$36)))</f>
        <v/>
      </c>
      <c r="N651" t="str">
        <f t="shared" si="41"/>
        <v/>
      </c>
      <c r="O651" t="str">
        <f t="shared" si="42"/>
        <v/>
      </c>
      <c r="P651" t="str">
        <f>IF($A651="","",IF($E651=1,$F651*$O651,PNL!G651))</f>
        <v/>
      </c>
      <c r="T651" t="str">
        <f t="shared" si="43"/>
        <v/>
      </c>
    </row>
    <row r="652" spans="1:20" x14ac:dyDescent="0.45">
      <c r="A652" t="str">
        <f>IF(PNL!A652="","",PNL!A652)</f>
        <v/>
      </c>
      <c r="B652" t="str">
        <f>IF(PNL!B652="","",PNL!B652)</f>
        <v/>
      </c>
      <c r="C652" t="str">
        <f>IF(PNL!C652="","",PNL!C652)</f>
        <v/>
      </c>
      <c r="D652" t="str">
        <f>IF(PNL!D652="","",PNL!D652)</f>
        <v/>
      </c>
      <c r="E652" t="str">
        <f t="shared" si="40"/>
        <v/>
      </c>
      <c r="F652" t="str">
        <f>IF($A652="","",IF($E652=1,SUMIFS(Compta!$F$1:$F$675,Compta!$A$1:$A$675,$A652,Compta!$B$1:$B$675,$B652,Compta!$C$1:$C$675,"2026"),0))</f>
        <v/>
      </c>
      <c r="G652" t="str">
        <f>IF($A652="","",IF($D652="V01",cad!$C$23,IF($D652="V02",cad!$D$23,cad!$E$23)))</f>
        <v/>
      </c>
      <c r="H652" t="str">
        <f>IF($A652="","",IF($D652="V01",cad!$C$24,IF($D652="V02",cad!$D$24,cad!$E$24)))</f>
        <v/>
      </c>
      <c r="I652" t="str">
        <f>IF($A652="","",IF($D652="V01",cad!$C$32,IF($D652="V02",cad!$D$32,cad!$E$32)))</f>
        <v/>
      </c>
      <c r="J652" t="str">
        <f>IF($A652="","",IF($D652="V01",cad!$C$33,IF($D652="V02",cad!$D$33,cad!$E$33)))</f>
        <v/>
      </c>
      <c r="K652" t="str">
        <f>IF($A652="","",IF($D652="V01",cad!$C$34,IF($D652="V02",cad!$D$34,cad!$E$34)))</f>
        <v/>
      </c>
      <c r="L652" t="str">
        <f>IF($A652="","",IF($D652="V01",cad!$C$35,IF($D652="V02",cad!$D$35,cad!$E$35)))</f>
        <v/>
      </c>
      <c r="M652" t="str">
        <f>IF($A652="","",IF($D652="V01",cad!$C$36,IF($D652="V02",cad!$D$36,cad!$E$36)))</f>
        <v/>
      </c>
      <c r="N652" t="str">
        <f t="shared" si="41"/>
        <v/>
      </c>
      <c r="O652" t="str">
        <f t="shared" si="42"/>
        <v/>
      </c>
      <c r="P652" t="str">
        <f>IF($A652="","",IF($E652=1,$F652*$O652,PNL!G652))</f>
        <v/>
      </c>
      <c r="T652" t="str">
        <f t="shared" si="43"/>
        <v/>
      </c>
    </row>
    <row r="653" spans="1:20" x14ac:dyDescent="0.45">
      <c r="A653" t="str">
        <f>IF(PNL!A653="","",PNL!A653)</f>
        <v/>
      </c>
      <c r="B653" t="str">
        <f>IF(PNL!B653="","",PNL!B653)</f>
        <v/>
      </c>
      <c r="C653" t="str">
        <f>IF(PNL!C653="","",PNL!C653)</f>
        <v/>
      </c>
      <c r="D653" t="str">
        <f>IF(PNL!D653="","",PNL!D653)</f>
        <v/>
      </c>
      <c r="E653" t="str">
        <f t="shared" si="40"/>
        <v/>
      </c>
      <c r="F653" t="str">
        <f>IF($A653="","",IF($E653=1,SUMIFS(Compta!$F$1:$F$675,Compta!$A$1:$A$675,$A653,Compta!$B$1:$B$675,$B653,Compta!$C$1:$C$675,"2026"),0))</f>
        <v/>
      </c>
      <c r="G653" t="str">
        <f>IF($A653="","",IF($D653="V01",cad!$C$23,IF($D653="V02",cad!$D$23,cad!$E$23)))</f>
        <v/>
      </c>
      <c r="H653" t="str">
        <f>IF($A653="","",IF($D653="V01",cad!$C$24,IF($D653="V02",cad!$D$24,cad!$E$24)))</f>
        <v/>
      </c>
      <c r="I653" t="str">
        <f>IF($A653="","",IF($D653="V01",cad!$C$32,IF($D653="V02",cad!$D$32,cad!$E$32)))</f>
        <v/>
      </c>
      <c r="J653" t="str">
        <f>IF($A653="","",IF($D653="V01",cad!$C$33,IF($D653="V02",cad!$D$33,cad!$E$33)))</f>
        <v/>
      </c>
      <c r="K653" t="str">
        <f>IF($A653="","",IF($D653="V01",cad!$C$34,IF($D653="V02",cad!$D$34,cad!$E$34)))</f>
        <v/>
      </c>
      <c r="L653" t="str">
        <f>IF($A653="","",IF($D653="V01",cad!$C$35,IF($D653="V02",cad!$D$35,cad!$E$35)))</f>
        <v/>
      </c>
      <c r="M653" t="str">
        <f>IF($A653="","",IF($D653="V01",cad!$C$36,IF($D653="V02",cad!$D$36,cad!$E$36)))</f>
        <v/>
      </c>
      <c r="N653" t="str">
        <f t="shared" si="41"/>
        <v/>
      </c>
      <c r="O653" t="str">
        <f t="shared" si="42"/>
        <v/>
      </c>
      <c r="P653" t="str">
        <f>IF($A653="","",IF($E653=1,$F653*$O653,PNL!G653))</f>
        <v/>
      </c>
      <c r="T653" t="str">
        <f t="shared" si="43"/>
        <v/>
      </c>
    </row>
    <row r="654" spans="1:20" x14ac:dyDescent="0.45">
      <c r="A654" t="str">
        <f>IF(PNL!A654="","",PNL!A654)</f>
        <v/>
      </c>
      <c r="B654" t="str">
        <f>IF(PNL!B654="","",PNL!B654)</f>
        <v/>
      </c>
      <c r="C654" t="str">
        <f>IF(PNL!C654="","",PNL!C654)</f>
        <v/>
      </c>
      <c r="D654" t="str">
        <f>IF(PNL!D654="","",PNL!D654)</f>
        <v/>
      </c>
      <c r="E654" t="str">
        <f t="shared" si="40"/>
        <v/>
      </c>
      <c r="F654" t="str">
        <f>IF($A654="","",IF($E654=1,SUMIFS(Compta!$F$1:$F$675,Compta!$A$1:$A$675,$A654,Compta!$B$1:$B$675,$B654,Compta!$C$1:$C$675,"2026"),0))</f>
        <v/>
      </c>
      <c r="G654" t="str">
        <f>IF($A654="","",IF($D654="V01",cad!$C$23,IF($D654="V02",cad!$D$23,cad!$E$23)))</f>
        <v/>
      </c>
      <c r="H654" t="str">
        <f>IF($A654="","",IF($D654="V01",cad!$C$24,IF($D654="V02",cad!$D$24,cad!$E$24)))</f>
        <v/>
      </c>
      <c r="I654" t="str">
        <f>IF($A654="","",IF($D654="V01",cad!$C$32,IF($D654="V02",cad!$D$32,cad!$E$32)))</f>
        <v/>
      </c>
      <c r="J654" t="str">
        <f>IF($A654="","",IF($D654="V01",cad!$C$33,IF($D654="V02",cad!$D$33,cad!$E$33)))</f>
        <v/>
      </c>
      <c r="K654" t="str">
        <f>IF($A654="","",IF($D654="V01",cad!$C$34,IF($D654="V02",cad!$D$34,cad!$E$34)))</f>
        <v/>
      </c>
      <c r="L654" t="str">
        <f>IF($A654="","",IF($D654="V01",cad!$C$35,IF($D654="V02",cad!$D$35,cad!$E$35)))</f>
        <v/>
      </c>
      <c r="M654" t="str">
        <f>IF($A654="","",IF($D654="V01",cad!$C$36,IF($D654="V02",cad!$D$36,cad!$E$36)))</f>
        <v/>
      </c>
      <c r="N654" t="str">
        <f t="shared" si="41"/>
        <v/>
      </c>
      <c r="O654" t="str">
        <f t="shared" si="42"/>
        <v/>
      </c>
      <c r="P654" t="str">
        <f>IF($A654="","",IF($E654=1,$F654*$O654,PNL!G654))</f>
        <v/>
      </c>
      <c r="T654" t="str">
        <f t="shared" si="43"/>
        <v/>
      </c>
    </row>
    <row r="655" spans="1:20" x14ac:dyDescent="0.45">
      <c r="A655" t="str">
        <f>IF(PNL!A655="","",PNL!A655)</f>
        <v/>
      </c>
      <c r="B655" t="str">
        <f>IF(PNL!B655="","",PNL!B655)</f>
        <v/>
      </c>
      <c r="C655" t="str">
        <f>IF(PNL!C655="","",PNL!C655)</f>
        <v/>
      </c>
      <c r="D655" t="str">
        <f>IF(PNL!D655="","",PNL!D655)</f>
        <v/>
      </c>
      <c r="E655" t="str">
        <f t="shared" si="40"/>
        <v/>
      </c>
      <c r="F655" t="str">
        <f>IF($A655="","",IF($E655=1,SUMIFS(Compta!$F$1:$F$675,Compta!$A$1:$A$675,$A655,Compta!$B$1:$B$675,$B655,Compta!$C$1:$C$675,"2026"),0))</f>
        <v/>
      </c>
      <c r="G655" t="str">
        <f>IF($A655="","",IF($D655="V01",cad!$C$23,IF($D655="V02",cad!$D$23,cad!$E$23)))</f>
        <v/>
      </c>
      <c r="H655" t="str">
        <f>IF($A655="","",IF($D655="V01",cad!$C$24,IF($D655="V02",cad!$D$24,cad!$E$24)))</f>
        <v/>
      </c>
      <c r="I655" t="str">
        <f>IF($A655="","",IF($D655="V01",cad!$C$32,IF($D655="V02",cad!$D$32,cad!$E$32)))</f>
        <v/>
      </c>
      <c r="J655" t="str">
        <f>IF($A655="","",IF($D655="V01",cad!$C$33,IF($D655="V02",cad!$D$33,cad!$E$33)))</f>
        <v/>
      </c>
      <c r="K655" t="str">
        <f>IF($A655="","",IF($D655="V01",cad!$C$34,IF($D655="V02",cad!$D$34,cad!$E$34)))</f>
        <v/>
      </c>
      <c r="L655" t="str">
        <f>IF($A655="","",IF($D655="V01",cad!$C$35,IF($D655="V02",cad!$D$35,cad!$E$35)))</f>
        <v/>
      </c>
      <c r="M655" t="str">
        <f>IF($A655="","",IF($D655="V01",cad!$C$36,IF($D655="V02",cad!$D$36,cad!$E$36)))</f>
        <v/>
      </c>
      <c r="N655" t="str">
        <f t="shared" si="41"/>
        <v/>
      </c>
      <c r="O655" t="str">
        <f t="shared" si="42"/>
        <v/>
      </c>
      <c r="P655" t="str">
        <f>IF($A655="","",IF($E655=1,$F655*$O655,PNL!G655))</f>
        <v/>
      </c>
      <c r="T655" t="str">
        <f t="shared" si="43"/>
        <v/>
      </c>
    </row>
    <row r="656" spans="1:20" x14ac:dyDescent="0.45">
      <c r="A656" t="str">
        <f>IF(PNL!A656="","",PNL!A656)</f>
        <v/>
      </c>
      <c r="B656" t="str">
        <f>IF(PNL!B656="","",PNL!B656)</f>
        <v/>
      </c>
      <c r="C656" t="str">
        <f>IF(PNL!C656="","",PNL!C656)</f>
        <v/>
      </c>
      <c r="D656" t="str">
        <f>IF(PNL!D656="","",PNL!D656)</f>
        <v/>
      </c>
      <c r="E656" t="str">
        <f t="shared" si="40"/>
        <v/>
      </c>
      <c r="F656" t="str">
        <f>IF($A656="","",IF($E656=1,SUMIFS(Compta!$F$1:$F$675,Compta!$A$1:$A$675,$A656,Compta!$B$1:$B$675,$B656,Compta!$C$1:$C$675,"2026"),0))</f>
        <v/>
      </c>
      <c r="G656" t="str">
        <f>IF($A656="","",IF($D656="V01",cad!$C$23,IF($D656="V02",cad!$D$23,cad!$E$23)))</f>
        <v/>
      </c>
      <c r="H656" t="str">
        <f>IF($A656="","",IF($D656="V01",cad!$C$24,IF($D656="V02",cad!$D$24,cad!$E$24)))</f>
        <v/>
      </c>
      <c r="I656" t="str">
        <f>IF($A656="","",IF($D656="V01",cad!$C$32,IF($D656="V02",cad!$D$32,cad!$E$32)))</f>
        <v/>
      </c>
      <c r="J656" t="str">
        <f>IF($A656="","",IF($D656="V01",cad!$C$33,IF($D656="V02",cad!$D$33,cad!$E$33)))</f>
        <v/>
      </c>
      <c r="K656" t="str">
        <f>IF($A656="","",IF($D656="V01",cad!$C$34,IF($D656="V02",cad!$D$34,cad!$E$34)))</f>
        <v/>
      </c>
      <c r="L656" t="str">
        <f>IF($A656="","",IF($D656="V01",cad!$C$35,IF($D656="V02",cad!$D$35,cad!$E$35)))</f>
        <v/>
      </c>
      <c r="M656" t="str">
        <f>IF($A656="","",IF($D656="V01",cad!$C$36,IF($D656="V02",cad!$D$36,cad!$E$36)))</f>
        <v/>
      </c>
      <c r="N656" t="str">
        <f t="shared" si="41"/>
        <v/>
      </c>
      <c r="O656" t="str">
        <f t="shared" si="42"/>
        <v/>
      </c>
      <c r="P656" t="str">
        <f>IF($A656="","",IF($E656=1,$F656*$O656,PNL!G656))</f>
        <v/>
      </c>
      <c r="T656" t="str">
        <f t="shared" si="43"/>
        <v/>
      </c>
    </row>
    <row r="657" spans="1:20" x14ac:dyDescent="0.45">
      <c r="A657" t="str">
        <f>IF(PNL!A657="","",PNL!A657)</f>
        <v/>
      </c>
      <c r="B657" t="str">
        <f>IF(PNL!B657="","",PNL!B657)</f>
        <v/>
      </c>
      <c r="C657" t="str">
        <f>IF(PNL!C657="","",PNL!C657)</f>
        <v/>
      </c>
      <c r="D657" t="str">
        <f>IF(PNL!D657="","",PNL!D657)</f>
        <v/>
      </c>
      <c r="E657" t="str">
        <f t="shared" si="40"/>
        <v/>
      </c>
      <c r="F657" t="str">
        <f>IF($A657="","",IF($E657=1,SUMIFS(Compta!$F$1:$F$675,Compta!$A$1:$A$675,$A657,Compta!$B$1:$B$675,$B657,Compta!$C$1:$C$675,"2026"),0))</f>
        <v/>
      </c>
      <c r="G657" t="str">
        <f>IF($A657="","",IF($D657="V01",cad!$C$23,IF($D657="V02",cad!$D$23,cad!$E$23)))</f>
        <v/>
      </c>
      <c r="H657" t="str">
        <f>IF($A657="","",IF($D657="V01",cad!$C$24,IF($D657="V02",cad!$D$24,cad!$E$24)))</f>
        <v/>
      </c>
      <c r="I657" t="str">
        <f>IF($A657="","",IF($D657="V01",cad!$C$32,IF($D657="V02",cad!$D$32,cad!$E$32)))</f>
        <v/>
      </c>
      <c r="J657" t="str">
        <f>IF($A657="","",IF($D657="V01",cad!$C$33,IF($D657="V02",cad!$D$33,cad!$E$33)))</f>
        <v/>
      </c>
      <c r="K657" t="str">
        <f>IF($A657="","",IF($D657="V01",cad!$C$34,IF($D657="V02",cad!$D$34,cad!$E$34)))</f>
        <v/>
      </c>
      <c r="L657" t="str">
        <f>IF($A657="","",IF($D657="V01",cad!$C$35,IF($D657="V02",cad!$D$35,cad!$E$35)))</f>
        <v/>
      </c>
      <c r="M657" t="str">
        <f>IF($A657="","",IF($D657="V01",cad!$C$36,IF($D657="V02",cad!$D$36,cad!$E$36)))</f>
        <v/>
      </c>
      <c r="N657" t="str">
        <f t="shared" si="41"/>
        <v/>
      </c>
      <c r="O657" t="str">
        <f t="shared" si="42"/>
        <v/>
      </c>
      <c r="P657" t="str">
        <f>IF($A657="","",IF($E657=1,$F657*$O657,PNL!G657))</f>
        <v/>
      </c>
      <c r="T657" t="str">
        <f t="shared" si="43"/>
        <v/>
      </c>
    </row>
    <row r="658" spans="1:20" x14ac:dyDescent="0.45">
      <c r="A658" t="str">
        <f>IF(PNL!A658="","",PNL!A658)</f>
        <v/>
      </c>
      <c r="B658" t="str">
        <f>IF(PNL!B658="","",PNL!B658)</f>
        <v/>
      </c>
      <c r="C658" t="str">
        <f>IF(PNL!C658="","",PNL!C658)</f>
        <v/>
      </c>
      <c r="D658" t="str">
        <f>IF(PNL!D658="","",PNL!D658)</f>
        <v/>
      </c>
      <c r="E658" t="str">
        <f t="shared" si="40"/>
        <v/>
      </c>
      <c r="F658" t="str">
        <f>IF($A658="","",IF($E658=1,SUMIFS(Compta!$F$1:$F$675,Compta!$A$1:$A$675,$A658,Compta!$B$1:$B$675,$B658,Compta!$C$1:$C$675,"2026"),0))</f>
        <v/>
      </c>
      <c r="G658" t="str">
        <f>IF($A658="","",IF($D658="V01",cad!$C$23,IF($D658="V02",cad!$D$23,cad!$E$23)))</f>
        <v/>
      </c>
      <c r="H658" t="str">
        <f>IF($A658="","",IF($D658="V01",cad!$C$24,IF($D658="V02",cad!$D$24,cad!$E$24)))</f>
        <v/>
      </c>
      <c r="I658" t="str">
        <f>IF($A658="","",IF($D658="V01",cad!$C$32,IF($D658="V02",cad!$D$32,cad!$E$32)))</f>
        <v/>
      </c>
      <c r="J658" t="str">
        <f>IF($A658="","",IF($D658="V01",cad!$C$33,IF($D658="V02",cad!$D$33,cad!$E$33)))</f>
        <v/>
      </c>
      <c r="K658" t="str">
        <f>IF($A658="","",IF($D658="V01",cad!$C$34,IF($D658="V02",cad!$D$34,cad!$E$34)))</f>
        <v/>
      </c>
      <c r="L658" t="str">
        <f>IF($A658="","",IF($D658="V01",cad!$C$35,IF($D658="V02",cad!$D$35,cad!$E$35)))</f>
        <v/>
      </c>
      <c r="M658" t="str">
        <f>IF($A658="","",IF($D658="V01",cad!$C$36,IF($D658="V02",cad!$D$36,cad!$E$36)))</f>
        <v/>
      </c>
      <c r="N658" t="str">
        <f t="shared" si="41"/>
        <v/>
      </c>
      <c r="O658" t="str">
        <f t="shared" si="42"/>
        <v/>
      </c>
      <c r="P658" t="str">
        <f>IF($A658="","",IF($E658=1,$F658*$O658,PNL!G658))</f>
        <v/>
      </c>
      <c r="T658" t="str">
        <f t="shared" si="43"/>
        <v/>
      </c>
    </row>
    <row r="659" spans="1:20" x14ac:dyDescent="0.45">
      <c r="A659" t="str">
        <f>IF(PNL!A659="","",PNL!A659)</f>
        <v/>
      </c>
      <c r="B659" t="str">
        <f>IF(PNL!B659="","",PNL!B659)</f>
        <v/>
      </c>
      <c r="C659" t="str">
        <f>IF(PNL!C659="","",PNL!C659)</f>
        <v/>
      </c>
      <c r="D659" t="str">
        <f>IF(PNL!D659="","",PNL!D659)</f>
        <v/>
      </c>
      <c r="E659" t="str">
        <f t="shared" si="40"/>
        <v/>
      </c>
      <c r="F659" t="str">
        <f>IF($A659="","",IF($E659=1,SUMIFS(Compta!$F$1:$F$675,Compta!$A$1:$A$675,$A659,Compta!$B$1:$B$675,$B659,Compta!$C$1:$C$675,"2026"),0))</f>
        <v/>
      </c>
      <c r="G659" t="str">
        <f>IF($A659="","",IF($D659="V01",cad!$C$23,IF($D659="V02",cad!$D$23,cad!$E$23)))</f>
        <v/>
      </c>
      <c r="H659" t="str">
        <f>IF($A659="","",IF($D659="V01",cad!$C$24,IF($D659="V02",cad!$D$24,cad!$E$24)))</f>
        <v/>
      </c>
      <c r="I659" t="str">
        <f>IF($A659="","",IF($D659="V01",cad!$C$32,IF($D659="V02",cad!$D$32,cad!$E$32)))</f>
        <v/>
      </c>
      <c r="J659" t="str">
        <f>IF($A659="","",IF($D659="V01",cad!$C$33,IF($D659="V02",cad!$D$33,cad!$E$33)))</f>
        <v/>
      </c>
      <c r="K659" t="str">
        <f>IF($A659="","",IF($D659="V01",cad!$C$34,IF($D659="V02",cad!$D$34,cad!$E$34)))</f>
        <v/>
      </c>
      <c r="L659" t="str">
        <f>IF($A659="","",IF($D659="V01",cad!$C$35,IF($D659="V02",cad!$D$35,cad!$E$35)))</f>
        <v/>
      </c>
      <c r="M659" t="str">
        <f>IF($A659="","",IF($D659="V01",cad!$C$36,IF($D659="V02",cad!$D$36,cad!$E$36)))</f>
        <v/>
      </c>
      <c r="N659" t="str">
        <f t="shared" si="41"/>
        <v/>
      </c>
      <c r="O659" t="str">
        <f t="shared" si="42"/>
        <v/>
      </c>
      <c r="P659" t="str">
        <f>IF($A659="","",IF($E659=1,$F659*$O659,PNL!G659))</f>
        <v/>
      </c>
      <c r="T659" t="str">
        <f t="shared" si="43"/>
        <v/>
      </c>
    </row>
    <row r="660" spans="1:20" x14ac:dyDescent="0.45">
      <c r="A660" t="str">
        <f>IF(PNL!A660="","",PNL!A660)</f>
        <v/>
      </c>
      <c r="B660" t="str">
        <f>IF(PNL!B660="","",PNL!B660)</f>
        <v/>
      </c>
      <c r="C660" t="str">
        <f>IF(PNL!C660="","",PNL!C660)</f>
        <v/>
      </c>
      <c r="D660" t="str">
        <f>IF(PNL!D660="","",PNL!D660)</f>
        <v/>
      </c>
      <c r="E660" t="str">
        <f t="shared" si="40"/>
        <v/>
      </c>
      <c r="F660" t="str">
        <f>IF($A660="","",IF($E660=1,SUMIFS(Compta!$F$1:$F$675,Compta!$A$1:$A$675,$A660,Compta!$B$1:$B$675,$B660,Compta!$C$1:$C$675,"2026"),0))</f>
        <v/>
      </c>
      <c r="G660" t="str">
        <f>IF($A660="","",IF($D660="V01",cad!$C$23,IF($D660="V02",cad!$D$23,cad!$E$23)))</f>
        <v/>
      </c>
      <c r="H660" t="str">
        <f>IF($A660="","",IF($D660="V01",cad!$C$24,IF($D660="V02",cad!$D$24,cad!$E$24)))</f>
        <v/>
      </c>
      <c r="I660" t="str">
        <f>IF($A660="","",IF($D660="V01",cad!$C$32,IF($D660="V02",cad!$D$32,cad!$E$32)))</f>
        <v/>
      </c>
      <c r="J660" t="str">
        <f>IF($A660="","",IF($D660="V01",cad!$C$33,IF($D660="V02",cad!$D$33,cad!$E$33)))</f>
        <v/>
      </c>
      <c r="K660" t="str">
        <f>IF($A660="","",IF($D660="V01",cad!$C$34,IF($D660="V02",cad!$D$34,cad!$E$34)))</f>
        <v/>
      </c>
      <c r="L660" t="str">
        <f>IF($A660="","",IF($D660="V01",cad!$C$35,IF($D660="V02",cad!$D$35,cad!$E$35)))</f>
        <v/>
      </c>
      <c r="M660" t="str">
        <f>IF($A660="","",IF($D660="V01",cad!$C$36,IF($D660="V02",cad!$D$36,cad!$E$36)))</f>
        <v/>
      </c>
      <c r="N660" t="str">
        <f t="shared" si="41"/>
        <v/>
      </c>
      <c r="O660" t="str">
        <f t="shared" si="42"/>
        <v/>
      </c>
      <c r="P660" t="str">
        <f>IF($A660="","",IF($E660=1,$F660*$O660,PNL!G660))</f>
        <v/>
      </c>
      <c r="T660" t="str">
        <f t="shared" si="43"/>
        <v/>
      </c>
    </row>
    <row r="661" spans="1:20" x14ac:dyDescent="0.45">
      <c r="A661" t="str">
        <f>IF(PNL!A661="","",PNL!A661)</f>
        <v/>
      </c>
      <c r="B661" t="str">
        <f>IF(PNL!B661="","",PNL!B661)</f>
        <v/>
      </c>
      <c r="C661" t="str">
        <f>IF(PNL!C661="","",PNL!C661)</f>
        <v/>
      </c>
      <c r="D661" t="str">
        <f>IF(PNL!D661="","",PNL!D661)</f>
        <v/>
      </c>
      <c r="E661" t="str">
        <f t="shared" si="40"/>
        <v/>
      </c>
      <c r="F661" t="str">
        <f>IF($A661="","",IF($E661=1,SUMIFS(Compta!$F$1:$F$675,Compta!$A$1:$A$675,$A661,Compta!$B$1:$B$675,$B661,Compta!$C$1:$C$675,"2026"),0))</f>
        <v/>
      </c>
      <c r="G661" t="str">
        <f>IF($A661="","",IF($D661="V01",cad!$C$23,IF($D661="V02",cad!$D$23,cad!$E$23)))</f>
        <v/>
      </c>
      <c r="H661" t="str">
        <f>IF($A661="","",IF($D661="V01",cad!$C$24,IF($D661="V02",cad!$D$24,cad!$E$24)))</f>
        <v/>
      </c>
      <c r="I661" t="str">
        <f>IF($A661="","",IF($D661="V01",cad!$C$32,IF($D661="V02",cad!$D$32,cad!$E$32)))</f>
        <v/>
      </c>
      <c r="J661" t="str">
        <f>IF($A661="","",IF($D661="V01",cad!$C$33,IF($D661="V02",cad!$D$33,cad!$E$33)))</f>
        <v/>
      </c>
      <c r="K661" t="str">
        <f>IF($A661="","",IF($D661="V01",cad!$C$34,IF($D661="V02",cad!$D$34,cad!$E$34)))</f>
        <v/>
      </c>
      <c r="L661" t="str">
        <f>IF($A661="","",IF($D661="V01",cad!$C$35,IF($D661="V02",cad!$D$35,cad!$E$35)))</f>
        <v/>
      </c>
      <c r="M661" t="str">
        <f>IF($A661="","",IF($D661="V01",cad!$C$36,IF($D661="V02",cad!$D$36,cad!$E$36)))</f>
        <v/>
      </c>
      <c r="N661" t="str">
        <f t="shared" si="41"/>
        <v/>
      </c>
      <c r="O661" t="str">
        <f t="shared" si="42"/>
        <v/>
      </c>
      <c r="P661" t="str">
        <f>IF($A661="","",IF($E661=1,$F661*$O661,PNL!G661))</f>
        <v/>
      </c>
      <c r="T661" t="str">
        <f t="shared" si="43"/>
        <v/>
      </c>
    </row>
    <row r="662" spans="1:20" x14ac:dyDescent="0.45">
      <c r="A662" t="str">
        <f>IF(PNL!A662="","",PNL!A662)</f>
        <v/>
      </c>
      <c r="B662" t="str">
        <f>IF(PNL!B662="","",PNL!B662)</f>
        <v/>
      </c>
      <c r="C662" t="str">
        <f>IF(PNL!C662="","",PNL!C662)</f>
        <v/>
      </c>
      <c r="D662" t="str">
        <f>IF(PNL!D662="","",PNL!D662)</f>
        <v/>
      </c>
      <c r="E662" t="str">
        <f t="shared" si="40"/>
        <v/>
      </c>
      <c r="F662" t="str">
        <f>IF($A662="","",IF($E662=1,SUMIFS(Compta!$F$1:$F$675,Compta!$A$1:$A$675,$A662,Compta!$B$1:$B$675,$B662,Compta!$C$1:$C$675,"2026"),0))</f>
        <v/>
      </c>
      <c r="G662" t="str">
        <f>IF($A662="","",IF($D662="V01",cad!$C$23,IF($D662="V02",cad!$D$23,cad!$E$23)))</f>
        <v/>
      </c>
      <c r="H662" t="str">
        <f>IF($A662="","",IF($D662="V01",cad!$C$24,IF($D662="V02",cad!$D$24,cad!$E$24)))</f>
        <v/>
      </c>
      <c r="I662" t="str">
        <f>IF($A662="","",IF($D662="V01",cad!$C$32,IF($D662="V02",cad!$D$32,cad!$E$32)))</f>
        <v/>
      </c>
      <c r="J662" t="str">
        <f>IF($A662="","",IF($D662="V01",cad!$C$33,IF($D662="V02",cad!$D$33,cad!$E$33)))</f>
        <v/>
      </c>
      <c r="K662" t="str">
        <f>IF($A662="","",IF($D662="V01",cad!$C$34,IF($D662="V02",cad!$D$34,cad!$E$34)))</f>
        <v/>
      </c>
      <c r="L662" t="str">
        <f>IF($A662="","",IF($D662="V01",cad!$C$35,IF($D662="V02",cad!$D$35,cad!$E$35)))</f>
        <v/>
      </c>
      <c r="M662" t="str">
        <f>IF($A662="","",IF($D662="V01",cad!$C$36,IF($D662="V02",cad!$D$36,cad!$E$36)))</f>
        <v/>
      </c>
      <c r="N662" t="str">
        <f t="shared" si="41"/>
        <v/>
      </c>
      <c r="O662" t="str">
        <f t="shared" si="42"/>
        <v/>
      </c>
      <c r="P662" t="str">
        <f>IF($A662="","",IF($E662=1,$F662*$O662,PNL!G662))</f>
        <v/>
      </c>
      <c r="T662" t="str">
        <f t="shared" si="43"/>
        <v/>
      </c>
    </row>
    <row r="663" spans="1:20" x14ac:dyDescent="0.45">
      <c r="A663" t="str">
        <f>IF(PNL!A663="","",PNL!A663)</f>
        <v/>
      </c>
      <c r="B663" t="str">
        <f>IF(PNL!B663="","",PNL!B663)</f>
        <v/>
      </c>
      <c r="C663" t="str">
        <f>IF(PNL!C663="","",PNL!C663)</f>
        <v/>
      </c>
      <c r="D663" t="str">
        <f>IF(PNL!D663="","",PNL!D663)</f>
        <v/>
      </c>
      <c r="E663" t="str">
        <f t="shared" si="40"/>
        <v/>
      </c>
      <c r="F663" t="str">
        <f>IF($A663="","",IF($E663=1,SUMIFS(Compta!$F$1:$F$675,Compta!$A$1:$A$675,$A663,Compta!$B$1:$B$675,$B663,Compta!$C$1:$C$675,"2026"),0))</f>
        <v/>
      </c>
      <c r="G663" t="str">
        <f>IF($A663="","",IF($D663="V01",cad!$C$23,IF($D663="V02",cad!$D$23,cad!$E$23)))</f>
        <v/>
      </c>
      <c r="H663" t="str">
        <f>IF($A663="","",IF($D663="V01",cad!$C$24,IF($D663="V02",cad!$D$24,cad!$E$24)))</f>
        <v/>
      </c>
      <c r="I663" t="str">
        <f>IF($A663="","",IF($D663="V01",cad!$C$32,IF($D663="V02",cad!$D$32,cad!$E$32)))</f>
        <v/>
      </c>
      <c r="J663" t="str">
        <f>IF($A663="","",IF($D663="V01",cad!$C$33,IF($D663="V02",cad!$D$33,cad!$E$33)))</f>
        <v/>
      </c>
      <c r="K663" t="str">
        <f>IF($A663="","",IF($D663="V01",cad!$C$34,IF($D663="V02",cad!$D$34,cad!$E$34)))</f>
        <v/>
      </c>
      <c r="L663" t="str">
        <f>IF($A663="","",IF($D663="V01",cad!$C$35,IF($D663="V02",cad!$D$35,cad!$E$35)))</f>
        <v/>
      </c>
      <c r="M663" t="str">
        <f>IF($A663="","",IF($D663="V01",cad!$C$36,IF($D663="V02",cad!$D$36,cad!$E$36)))</f>
        <v/>
      </c>
      <c r="N663" t="str">
        <f t="shared" si="41"/>
        <v/>
      </c>
      <c r="O663" t="str">
        <f t="shared" si="42"/>
        <v/>
      </c>
      <c r="P663" t="str">
        <f>IF($A663="","",IF($E663=1,$F663*$O663,PNL!G663))</f>
        <v/>
      </c>
      <c r="T663" t="str">
        <f t="shared" si="43"/>
        <v/>
      </c>
    </row>
    <row r="664" spans="1:20" x14ac:dyDescent="0.45">
      <c r="A664" t="str">
        <f>IF(PNL!A664="","",PNL!A664)</f>
        <v/>
      </c>
      <c r="B664" t="str">
        <f>IF(PNL!B664="","",PNL!B664)</f>
        <v/>
      </c>
      <c r="C664" t="str">
        <f>IF(PNL!C664="","",PNL!C664)</f>
        <v/>
      </c>
      <c r="D664" t="str">
        <f>IF(PNL!D664="","",PNL!D664)</f>
        <v/>
      </c>
      <c r="E664" t="str">
        <f t="shared" si="40"/>
        <v/>
      </c>
      <c r="F664" t="str">
        <f>IF($A664="","",IF($E664=1,SUMIFS(Compta!$F$1:$F$675,Compta!$A$1:$A$675,$A664,Compta!$B$1:$B$675,$B664,Compta!$C$1:$C$675,"2026"),0))</f>
        <v/>
      </c>
      <c r="G664" t="str">
        <f>IF($A664="","",IF($D664="V01",cad!$C$23,IF($D664="V02",cad!$D$23,cad!$E$23)))</f>
        <v/>
      </c>
      <c r="H664" t="str">
        <f>IF($A664="","",IF($D664="V01",cad!$C$24,IF($D664="V02",cad!$D$24,cad!$E$24)))</f>
        <v/>
      </c>
      <c r="I664" t="str">
        <f>IF($A664="","",IF($D664="V01",cad!$C$32,IF($D664="V02",cad!$D$32,cad!$E$32)))</f>
        <v/>
      </c>
      <c r="J664" t="str">
        <f>IF($A664="","",IF($D664="V01",cad!$C$33,IF($D664="V02",cad!$D$33,cad!$E$33)))</f>
        <v/>
      </c>
      <c r="K664" t="str">
        <f>IF($A664="","",IF($D664="V01",cad!$C$34,IF($D664="V02",cad!$D$34,cad!$E$34)))</f>
        <v/>
      </c>
      <c r="L664" t="str">
        <f>IF($A664="","",IF($D664="V01",cad!$C$35,IF($D664="V02",cad!$D$35,cad!$E$35)))</f>
        <v/>
      </c>
      <c r="M664" t="str">
        <f>IF($A664="","",IF($D664="V01",cad!$C$36,IF($D664="V02",cad!$D$36,cad!$E$36)))</f>
        <v/>
      </c>
      <c r="N664" t="str">
        <f t="shared" si="41"/>
        <v/>
      </c>
      <c r="O664" t="str">
        <f t="shared" si="42"/>
        <v/>
      </c>
      <c r="P664" t="str">
        <f>IF($A664="","",IF($E664=1,$F664*$O664,PNL!G664))</f>
        <v/>
      </c>
      <c r="T664" t="str">
        <f t="shared" si="43"/>
        <v/>
      </c>
    </row>
    <row r="665" spans="1:20" x14ac:dyDescent="0.45">
      <c r="A665" t="str">
        <f>IF(PNL!A665="","",PNL!A665)</f>
        <v/>
      </c>
      <c r="B665" t="str">
        <f>IF(PNL!B665="","",PNL!B665)</f>
        <v/>
      </c>
      <c r="C665" t="str">
        <f>IF(PNL!C665="","",PNL!C665)</f>
        <v/>
      </c>
      <c r="D665" t="str">
        <f>IF(PNL!D665="","",PNL!D665)</f>
        <v/>
      </c>
      <c r="E665" t="str">
        <f t="shared" si="40"/>
        <v/>
      </c>
      <c r="F665" t="str">
        <f>IF($A665="","",IF($E665=1,SUMIFS(Compta!$F$1:$F$675,Compta!$A$1:$A$675,$A665,Compta!$B$1:$B$675,$B665,Compta!$C$1:$C$675,"2026"),0))</f>
        <v/>
      </c>
      <c r="G665" t="str">
        <f>IF($A665="","",IF($D665="V01",cad!$C$23,IF($D665="V02",cad!$D$23,cad!$E$23)))</f>
        <v/>
      </c>
      <c r="H665" t="str">
        <f>IF($A665="","",IF($D665="V01",cad!$C$24,IF($D665="V02",cad!$D$24,cad!$E$24)))</f>
        <v/>
      </c>
      <c r="I665" t="str">
        <f>IF($A665="","",IF($D665="V01",cad!$C$32,IF($D665="V02",cad!$D$32,cad!$E$32)))</f>
        <v/>
      </c>
      <c r="J665" t="str">
        <f>IF($A665="","",IF($D665="V01",cad!$C$33,IF($D665="V02",cad!$D$33,cad!$E$33)))</f>
        <v/>
      </c>
      <c r="K665" t="str">
        <f>IF($A665="","",IF($D665="V01",cad!$C$34,IF($D665="V02",cad!$D$34,cad!$E$34)))</f>
        <v/>
      </c>
      <c r="L665" t="str">
        <f>IF($A665="","",IF($D665="V01",cad!$C$35,IF($D665="V02",cad!$D$35,cad!$E$35)))</f>
        <v/>
      </c>
      <c r="M665" t="str">
        <f>IF($A665="","",IF($D665="V01",cad!$C$36,IF($D665="V02",cad!$D$36,cad!$E$36)))</f>
        <v/>
      </c>
      <c r="N665" t="str">
        <f t="shared" si="41"/>
        <v/>
      </c>
      <c r="O665" t="str">
        <f t="shared" si="42"/>
        <v/>
      </c>
      <c r="P665" t="str">
        <f>IF($A665="","",IF($E665=1,$F665*$O665,PNL!G665))</f>
        <v/>
      </c>
      <c r="T665" t="str">
        <f t="shared" si="43"/>
        <v/>
      </c>
    </row>
    <row r="666" spans="1:20" x14ac:dyDescent="0.45">
      <c r="A666" t="str">
        <f>IF(PNL!A666="","",PNL!A666)</f>
        <v/>
      </c>
      <c r="B666" t="str">
        <f>IF(PNL!B666="","",PNL!B666)</f>
        <v/>
      </c>
      <c r="C666" t="str">
        <f>IF(PNL!C666="","",PNL!C666)</f>
        <v/>
      </c>
      <c r="D666" t="str">
        <f>IF(PNL!D666="","",PNL!D666)</f>
        <v/>
      </c>
      <c r="E666" t="str">
        <f t="shared" si="40"/>
        <v/>
      </c>
      <c r="F666" t="str">
        <f>IF($A666="","",IF($E666=1,SUMIFS(Compta!$F$1:$F$675,Compta!$A$1:$A$675,$A666,Compta!$B$1:$B$675,$B666,Compta!$C$1:$C$675,"2026"),0))</f>
        <v/>
      </c>
      <c r="G666" t="str">
        <f>IF($A666="","",IF($D666="V01",cad!$C$23,IF($D666="V02",cad!$D$23,cad!$E$23)))</f>
        <v/>
      </c>
      <c r="H666" t="str">
        <f>IF($A666="","",IF($D666="V01",cad!$C$24,IF($D666="V02",cad!$D$24,cad!$E$24)))</f>
        <v/>
      </c>
      <c r="I666" t="str">
        <f>IF($A666="","",IF($D666="V01",cad!$C$32,IF($D666="V02",cad!$D$32,cad!$E$32)))</f>
        <v/>
      </c>
      <c r="J666" t="str">
        <f>IF($A666="","",IF($D666="V01",cad!$C$33,IF($D666="V02",cad!$D$33,cad!$E$33)))</f>
        <v/>
      </c>
      <c r="K666" t="str">
        <f>IF($A666="","",IF($D666="V01",cad!$C$34,IF($D666="V02",cad!$D$34,cad!$E$34)))</f>
        <v/>
      </c>
      <c r="L666" t="str">
        <f>IF($A666="","",IF($D666="V01",cad!$C$35,IF($D666="V02",cad!$D$35,cad!$E$35)))</f>
        <v/>
      </c>
      <c r="M666" t="str">
        <f>IF($A666="","",IF($D666="V01",cad!$C$36,IF($D666="V02",cad!$D$36,cad!$E$36)))</f>
        <v/>
      </c>
      <c r="N666" t="str">
        <f t="shared" si="41"/>
        <v/>
      </c>
      <c r="O666" t="str">
        <f t="shared" si="42"/>
        <v/>
      </c>
      <c r="P666" t="str">
        <f>IF($A666="","",IF($E666=1,$F666*$O666,PNL!G666))</f>
        <v/>
      </c>
      <c r="T666" t="str">
        <f t="shared" si="43"/>
        <v/>
      </c>
    </row>
    <row r="667" spans="1:20" x14ac:dyDescent="0.45">
      <c r="A667" t="str">
        <f>IF(PNL!A667="","",PNL!A667)</f>
        <v/>
      </c>
      <c r="B667" t="str">
        <f>IF(PNL!B667="","",PNL!B667)</f>
        <v/>
      </c>
      <c r="C667" t="str">
        <f>IF(PNL!C667="","",PNL!C667)</f>
        <v/>
      </c>
      <c r="D667" t="str">
        <f>IF(PNL!D667="","",PNL!D667)</f>
        <v/>
      </c>
      <c r="E667" t="str">
        <f t="shared" si="40"/>
        <v/>
      </c>
      <c r="F667" t="str">
        <f>IF($A667="","",IF($E667=1,SUMIFS(Compta!$F$1:$F$675,Compta!$A$1:$A$675,$A667,Compta!$B$1:$B$675,$B667,Compta!$C$1:$C$675,"2026"),0))</f>
        <v/>
      </c>
      <c r="G667" t="str">
        <f>IF($A667="","",IF($D667="V01",cad!$C$23,IF($D667="V02",cad!$D$23,cad!$E$23)))</f>
        <v/>
      </c>
      <c r="H667" t="str">
        <f>IF($A667="","",IF($D667="V01",cad!$C$24,IF($D667="V02",cad!$D$24,cad!$E$24)))</f>
        <v/>
      </c>
      <c r="I667" t="str">
        <f>IF($A667="","",IF($D667="V01",cad!$C$32,IF($D667="V02",cad!$D$32,cad!$E$32)))</f>
        <v/>
      </c>
      <c r="J667" t="str">
        <f>IF($A667="","",IF($D667="V01",cad!$C$33,IF($D667="V02",cad!$D$33,cad!$E$33)))</f>
        <v/>
      </c>
      <c r="K667" t="str">
        <f>IF($A667="","",IF($D667="V01",cad!$C$34,IF($D667="V02",cad!$D$34,cad!$E$34)))</f>
        <v/>
      </c>
      <c r="L667" t="str">
        <f>IF($A667="","",IF($D667="V01",cad!$C$35,IF($D667="V02",cad!$D$35,cad!$E$35)))</f>
        <v/>
      </c>
      <c r="M667" t="str">
        <f>IF($A667="","",IF($D667="V01",cad!$C$36,IF($D667="V02",cad!$D$36,cad!$E$36)))</f>
        <v/>
      </c>
      <c r="N667" t="str">
        <f t="shared" si="41"/>
        <v/>
      </c>
      <c r="O667" t="str">
        <f t="shared" si="42"/>
        <v/>
      </c>
      <c r="P667" t="str">
        <f>IF($A667="","",IF($E667=1,$F667*$O667,PNL!G667))</f>
        <v/>
      </c>
      <c r="T667" t="str">
        <f t="shared" si="43"/>
        <v/>
      </c>
    </row>
    <row r="668" spans="1:20" x14ac:dyDescent="0.45">
      <c r="A668" t="str">
        <f>IF(PNL!A668="","",PNL!A668)</f>
        <v/>
      </c>
      <c r="B668" t="str">
        <f>IF(PNL!B668="","",PNL!B668)</f>
        <v/>
      </c>
      <c r="C668" t="str">
        <f>IF(PNL!C668="","",PNL!C668)</f>
        <v/>
      </c>
      <c r="D668" t="str">
        <f>IF(PNL!D668="","",PNL!D668)</f>
        <v/>
      </c>
      <c r="E668" t="str">
        <f t="shared" si="40"/>
        <v/>
      </c>
      <c r="F668" t="str">
        <f>IF($A668="","",IF($E668=1,SUMIFS(Compta!$F$1:$F$675,Compta!$A$1:$A$675,$A668,Compta!$B$1:$B$675,$B668,Compta!$C$1:$C$675,"2026"),0))</f>
        <v/>
      </c>
      <c r="G668" t="str">
        <f>IF($A668="","",IF($D668="V01",cad!$C$23,IF($D668="V02",cad!$D$23,cad!$E$23)))</f>
        <v/>
      </c>
      <c r="H668" t="str">
        <f>IF($A668="","",IF($D668="V01",cad!$C$24,IF($D668="V02",cad!$D$24,cad!$E$24)))</f>
        <v/>
      </c>
      <c r="I668" t="str">
        <f>IF($A668="","",IF($D668="V01",cad!$C$32,IF($D668="V02",cad!$D$32,cad!$E$32)))</f>
        <v/>
      </c>
      <c r="J668" t="str">
        <f>IF($A668="","",IF($D668="V01",cad!$C$33,IF($D668="V02",cad!$D$33,cad!$E$33)))</f>
        <v/>
      </c>
      <c r="K668" t="str">
        <f>IF($A668="","",IF($D668="V01",cad!$C$34,IF($D668="V02",cad!$D$34,cad!$E$34)))</f>
        <v/>
      </c>
      <c r="L668" t="str">
        <f>IF($A668="","",IF($D668="V01",cad!$C$35,IF($D668="V02",cad!$D$35,cad!$E$35)))</f>
        <v/>
      </c>
      <c r="M668" t="str">
        <f>IF($A668="","",IF($D668="V01",cad!$C$36,IF($D668="V02",cad!$D$36,cad!$E$36)))</f>
        <v/>
      </c>
      <c r="N668" t="str">
        <f t="shared" si="41"/>
        <v/>
      </c>
      <c r="O668" t="str">
        <f t="shared" si="42"/>
        <v/>
      </c>
      <c r="P668" t="str">
        <f>IF($A668="","",IF($E668=1,$F668*$O668,PNL!G668))</f>
        <v/>
      </c>
      <c r="T668" t="str">
        <f t="shared" si="43"/>
        <v/>
      </c>
    </row>
    <row r="669" spans="1:20" x14ac:dyDescent="0.45">
      <c r="A669" t="str">
        <f>IF(PNL!A669="","",PNL!A669)</f>
        <v/>
      </c>
      <c r="B669" t="str">
        <f>IF(PNL!B669="","",PNL!B669)</f>
        <v/>
      </c>
      <c r="C669" t="str">
        <f>IF(PNL!C669="","",PNL!C669)</f>
        <v/>
      </c>
      <c r="D669" t="str">
        <f>IF(PNL!D669="","",PNL!D669)</f>
        <v/>
      </c>
      <c r="E669" t="str">
        <f t="shared" si="40"/>
        <v/>
      </c>
      <c r="F669" t="str">
        <f>IF($A669="","",IF($E669=1,SUMIFS(Compta!$F$1:$F$675,Compta!$A$1:$A$675,$A669,Compta!$B$1:$B$675,$B669,Compta!$C$1:$C$675,"2026"),0))</f>
        <v/>
      </c>
      <c r="G669" t="str">
        <f>IF($A669="","",IF($D669="V01",cad!$C$23,IF($D669="V02",cad!$D$23,cad!$E$23)))</f>
        <v/>
      </c>
      <c r="H669" t="str">
        <f>IF($A669="","",IF($D669="V01",cad!$C$24,IF($D669="V02",cad!$D$24,cad!$E$24)))</f>
        <v/>
      </c>
      <c r="I669" t="str">
        <f>IF($A669="","",IF($D669="V01",cad!$C$32,IF($D669="V02",cad!$D$32,cad!$E$32)))</f>
        <v/>
      </c>
      <c r="J669" t="str">
        <f>IF($A669="","",IF($D669="V01",cad!$C$33,IF($D669="V02",cad!$D$33,cad!$E$33)))</f>
        <v/>
      </c>
      <c r="K669" t="str">
        <f>IF($A669="","",IF($D669="V01",cad!$C$34,IF($D669="V02",cad!$D$34,cad!$E$34)))</f>
        <v/>
      </c>
      <c r="L669" t="str">
        <f>IF($A669="","",IF($D669="V01",cad!$C$35,IF($D669="V02",cad!$D$35,cad!$E$35)))</f>
        <v/>
      </c>
      <c r="M669" t="str">
        <f>IF($A669="","",IF($D669="V01",cad!$C$36,IF($D669="V02",cad!$D$36,cad!$E$36)))</f>
        <v/>
      </c>
      <c r="N669" t="str">
        <f t="shared" si="41"/>
        <v/>
      </c>
      <c r="O669" t="str">
        <f t="shared" si="42"/>
        <v/>
      </c>
      <c r="P669" t="str">
        <f>IF($A669="","",IF($E669=1,$F669*$O669,PNL!G669))</f>
        <v/>
      </c>
      <c r="T669" t="str">
        <f t="shared" si="43"/>
        <v/>
      </c>
    </row>
    <row r="670" spans="1:20" x14ac:dyDescent="0.45">
      <c r="A670" t="str">
        <f>IF(PNL!A670="","",PNL!A670)</f>
        <v/>
      </c>
      <c r="B670" t="str">
        <f>IF(PNL!B670="","",PNL!B670)</f>
        <v/>
      </c>
      <c r="C670" t="str">
        <f>IF(PNL!C670="","",PNL!C670)</f>
        <v/>
      </c>
      <c r="D670" t="str">
        <f>IF(PNL!D670="","",PNL!D670)</f>
        <v/>
      </c>
      <c r="E670" t="str">
        <f t="shared" si="40"/>
        <v/>
      </c>
      <c r="F670" t="str">
        <f>IF($A670="","",IF($E670=1,SUMIFS(Compta!$F$1:$F$675,Compta!$A$1:$A$675,$A670,Compta!$B$1:$B$675,$B670,Compta!$C$1:$C$675,"2026"),0))</f>
        <v/>
      </c>
      <c r="G670" t="str">
        <f>IF($A670="","",IF($D670="V01",cad!$C$23,IF($D670="V02",cad!$D$23,cad!$E$23)))</f>
        <v/>
      </c>
      <c r="H670" t="str">
        <f>IF($A670="","",IF($D670="V01",cad!$C$24,IF($D670="V02",cad!$D$24,cad!$E$24)))</f>
        <v/>
      </c>
      <c r="I670" t="str">
        <f>IF($A670="","",IF($D670="V01",cad!$C$32,IF($D670="V02",cad!$D$32,cad!$E$32)))</f>
        <v/>
      </c>
      <c r="J670" t="str">
        <f>IF($A670="","",IF($D670="V01",cad!$C$33,IF($D670="V02",cad!$D$33,cad!$E$33)))</f>
        <v/>
      </c>
      <c r="K670" t="str">
        <f>IF($A670="","",IF($D670="V01",cad!$C$34,IF($D670="V02",cad!$D$34,cad!$E$34)))</f>
        <v/>
      </c>
      <c r="L670" t="str">
        <f>IF($A670="","",IF($D670="V01",cad!$C$35,IF($D670="V02",cad!$D$35,cad!$E$35)))</f>
        <v/>
      </c>
      <c r="M670" t="str">
        <f>IF($A670="","",IF($D670="V01",cad!$C$36,IF($D670="V02",cad!$D$36,cad!$E$36)))</f>
        <v/>
      </c>
      <c r="N670" t="str">
        <f t="shared" si="41"/>
        <v/>
      </c>
      <c r="O670" t="str">
        <f t="shared" si="42"/>
        <v/>
      </c>
      <c r="P670" t="str">
        <f>IF($A670="","",IF($E670=1,$F670*$O670,PNL!G670))</f>
        <v/>
      </c>
      <c r="T670" t="str">
        <f t="shared" si="43"/>
        <v/>
      </c>
    </row>
    <row r="671" spans="1:20" x14ac:dyDescent="0.45">
      <c r="A671" t="str">
        <f>IF(PNL!A671="","",PNL!A671)</f>
        <v/>
      </c>
      <c r="B671" t="str">
        <f>IF(PNL!B671="","",PNL!B671)</f>
        <v/>
      </c>
      <c r="C671" t="str">
        <f>IF(PNL!C671="","",PNL!C671)</f>
        <v/>
      </c>
      <c r="D671" t="str">
        <f>IF(PNL!D671="","",PNL!D671)</f>
        <v/>
      </c>
      <c r="E671" t="str">
        <f t="shared" si="40"/>
        <v/>
      </c>
      <c r="F671" t="str">
        <f>IF($A671="","",IF($E671=1,SUMIFS(Compta!$F$1:$F$675,Compta!$A$1:$A$675,$A671,Compta!$B$1:$B$675,$B671,Compta!$C$1:$C$675,"2026"),0))</f>
        <v/>
      </c>
      <c r="G671" t="str">
        <f>IF($A671="","",IF($D671="V01",cad!$C$23,IF($D671="V02",cad!$D$23,cad!$E$23)))</f>
        <v/>
      </c>
      <c r="H671" t="str">
        <f>IF($A671="","",IF($D671="V01",cad!$C$24,IF($D671="V02",cad!$D$24,cad!$E$24)))</f>
        <v/>
      </c>
      <c r="I671" t="str">
        <f>IF($A671="","",IF($D671="V01",cad!$C$32,IF($D671="V02",cad!$D$32,cad!$E$32)))</f>
        <v/>
      </c>
      <c r="J671" t="str">
        <f>IF($A671="","",IF($D671="V01",cad!$C$33,IF($D671="V02",cad!$D$33,cad!$E$33)))</f>
        <v/>
      </c>
      <c r="K671" t="str">
        <f>IF($A671="","",IF($D671="V01",cad!$C$34,IF($D671="V02",cad!$D$34,cad!$E$34)))</f>
        <v/>
      </c>
      <c r="L671" t="str">
        <f>IF($A671="","",IF($D671="V01",cad!$C$35,IF($D671="V02",cad!$D$35,cad!$E$35)))</f>
        <v/>
      </c>
      <c r="M671" t="str">
        <f>IF($A671="","",IF($D671="V01",cad!$C$36,IF($D671="V02",cad!$D$36,cad!$E$36)))</f>
        <v/>
      </c>
      <c r="N671" t="str">
        <f t="shared" si="41"/>
        <v/>
      </c>
      <c r="O671" t="str">
        <f t="shared" si="42"/>
        <v/>
      </c>
      <c r="P671" t="str">
        <f>IF($A671="","",IF($E671=1,$F671*$O671,PNL!G671))</f>
        <v/>
      </c>
      <c r="T671" t="str">
        <f t="shared" si="43"/>
        <v/>
      </c>
    </row>
    <row r="672" spans="1:20" x14ac:dyDescent="0.45">
      <c r="A672" t="str">
        <f>IF(PNL!A672="","",PNL!A672)</f>
        <v/>
      </c>
      <c r="B672" t="str">
        <f>IF(PNL!B672="","",PNL!B672)</f>
        <v/>
      </c>
      <c r="C672" t="str">
        <f>IF(PNL!C672="","",PNL!C672)</f>
        <v/>
      </c>
      <c r="D672" t="str">
        <f>IF(PNL!D672="","",PNL!D672)</f>
        <v/>
      </c>
      <c r="E672" t="str">
        <f t="shared" si="40"/>
        <v/>
      </c>
      <c r="F672" t="str">
        <f>IF($A672="","",IF($E672=1,SUMIFS(Compta!$F$1:$F$675,Compta!$A$1:$A$675,$A672,Compta!$B$1:$B$675,$B672,Compta!$C$1:$C$675,"2026"),0))</f>
        <v/>
      </c>
      <c r="G672" t="str">
        <f>IF($A672="","",IF($D672="V01",cad!$C$23,IF($D672="V02",cad!$D$23,cad!$E$23)))</f>
        <v/>
      </c>
      <c r="H672" t="str">
        <f>IF($A672="","",IF($D672="V01",cad!$C$24,IF($D672="V02",cad!$D$24,cad!$E$24)))</f>
        <v/>
      </c>
      <c r="I672" t="str">
        <f>IF($A672="","",IF($D672="V01",cad!$C$32,IF($D672="V02",cad!$D$32,cad!$E$32)))</f>
        <v/>
      </c>
      <c r="J672" t="str">
        <f>IF($A672="","",IF($D672="V01",cad!$C$33,IF($D672="V02",cad!$D$33,cad!$E$33)))</f>
        <v/>
      </c>
      <c r="K672" t="str">
        <f>IF($A672="","",IF($D672="V01",cad!$C$34,IF($D672="V02",cad!$D$34,cad!$E$34)))</f>
        <v/>
      </c>
      <c r="L672" t="str">
        <f>IF($A672="","",IF($D672="V01",cad!$C$35,IF($D672="V02",cad!$D$35,cad!$E$35)))</f>
        <v/>
      </c>
      <c r="M672" t="str">
        <f>IF($A672="","",IF($D672="V01",cad!$C$36,IF($D672="V02",cad!$D$36,cad!$E$36)))</f>
        <v/>
      </c>
      <c r="N672" t="str">
        <f t="shared" si="41"/>
        <v/>
      </c>
      <c r="O672" t="str">
        <f t="shared" si="42"/>
        <v/>
      </c>
      <c r="P672" t="str">
        <f>IF($A672="","",IF($E672=1,$F672*$O672,PNL!G672))</f>
        <v/>
      </c>
      <c r="T672" t="str">
        <f t="shared" si="43"/>
        <v/>
      </c>
    </row>
    <row r="673" spans="1:20" x14ac:dyDescent="0.45">
      <c r="A673" t="str">
        <f>IF(PNL!A673="","",PNL!A673)</f>
        <v/>
      </c>
      <c r="B673" t="str">
        <f>IF(PNL!B673="","",PNL!B673)</f>
        <v/>
      </c>
      <c r="C673" t="str">
        <f>IF(PNL!C673="","",PNL!C673)</f>
        <v/>
      </c>
      <c r="D673" t="str">
        <f>IF(PNL!D673="","",PNL!D673)</f>
        <v/>
      </c>
      <c r="E673" t="str">
        <f t="shared" si="40"/>
        <v/>
      </c>
      <c r="F673" t="str">
        <f>IF($A673="","",IF($E673=1,SUMIFS(Compta!$F$1:$F$675,Compta!$A$1:$A$675,$A673,Compta!$B$1:$B$675,$B673,Compta!$C$1:$C$675,"2026"),0))</f>
        <v/>
      </c>
      <c r="G673" t="str">
        <f>IF($A673="","",IF($D673="V01",cad!$C$23,IF($D673="V02",cad!$D$23,cad!$E$23)))</f>
        <v/>
      </c>
      <c r="H673" t="str">
        <f>IF($A673="","",IF($D673="V01",cad!$C$24,IF($D673="V02",cad!$D$24,cad!$E$24)))</f>
        <v/>
      </c>
      <c r="I673" t="str">
        <f>IF($A673="","",IF($D673="V01",cad!$C$32,IF($D673="V02",cad!$D$32,cad!$E$32)))</f>
        <v/>
      </c>
      <c r="J673" t="str">
        <f>IF($A673="","",IF($D673="V01",cad!$C$33,IF($D673="V02",cad!$D$33,cad!$E$33)))</f>
        <v/>
      </c>
      <c r="K673" t="str">
        <f>IF($A673="","",IF($D673="V01",cad!$C$34,IF($D673="V02",cad!$D$34,cad!$E$34)))</f>
        <v/>
      </c>
      <c r="L673" t="str">
        <f>IF($A673="","",IF($D673="V01",cad!$C$35,IF($D673="V02",cad!$D$35,cad!$E$35)))</f>
        <v/>
      </c>
      <c r="M673" t="str">
        <f>IF($A673="","",IF($D673="V01",cad!$C$36,IF($D673="V02",cad!$D$36,cad!$E$36)))</f>
        <v/>
      </c>
      <c r="N673" t="str">
        <f t="shared" si="41"/>
        <v/>
      </c>
      <c r="O673" t="str">
        <f t="shared" si="42"/>
        <v/>
      </c>
      <c r="P673" t="str">
        <f>IF($A673="","",IF($E673=1,$F673*$O673,PNL!G673))</f>
        <v/>
      </c>
      <c r="T673" t="str">
        <f t="shared" si="43"/>
        <v/>
      </c>
    </row>
    <row r="674" spans="1:20" x14ac:dyDescent="0.45">
      <c r="A674" t="str">
        <f>IF(PNL!A674="","",PNL!A674)</f>
        <v/>
      </c>
      <c r="B674" t="str">
        <f>IF(PNL!B674="","",PNL!B674)</f>
        <v/>
      </c>
      <c r="C674" t="str">
        <f>IF(PNL!C674="","",PNL!C674)</f>
        <v/>
      </c>
      <c r="D674" t="str">
        <f>IF(PNL!D674="","",PNL!D674)</f>
        <v/>
      </c>
      <c r="E674" t="str">
        <f t="shared" si="40"/>
        <v/>
      </c>
      <c r="F674" t="str">
        <f>IF($A674="","",IF($E674=1,SUMIFS(Compta!$F$1:$F$675,Compta!$A$1:$A$675,$A674,Compta!$B$1:$B$675,$B674,Compta!$C$1:$C$675,"2026"),0))</f>
        <v/>
      </c>
      <c r="G674" t="str">
        <f>IF($A674="","",IF($D674="V01",cad!$C$23,IF($D674="V02",cad!$D$23,cad!$E$23)))</f>
        <v/>
      </c>
      <c r="H674" t="str">
        <f>IF($A674="","",IF($D674="V01",cad!$C$24,IF($D674="V02",cad!$D$24,cad!$E$24)))</f>
        <v/>
      </c>
      <c r="I674" t="str">
        <f>IF($A674="","",IF($D674="V01",cad!$C$32,IF($D674="V02",cad!$D$32,cad!$E$32)))</f>
        <v/>
      </c>
      <c r="J674" t="str">
        <f>IF($A674="","",IF($D674="V01",cad!$C$33,IF($D674="V02",cad!$D$33,cad!$E$33)))</f>
        <v/>
      </c>
      <c r="K674" t="str">
        <f>IF($A674="","",IF($D674="V01",cad!$C$34,IF($D674="V02",cad!$D$34,cad!$E$34)))</f>
        <v/>
      </c>
      <c r="L674" t="str">
        <f>IF($A674="","",IF($D674="V01",cad!$C$35,IF($D674="V02",cad!$D$35,cad!$E$35)))</f>
        <v/>
      </c>
      <c r="M674" t="str">
        <f>IF($A674="","",IF($D674="V01",cad!$C$36,IF($D674="V02",cad!$D$36,cad!$E$36)))</f>
        <v/>
      </c>
      <c r="N674" t="str">
        <f t="shared" si="41"/>
        <v/>
      </c>
      <c r="O674" t="str">
        <f t="shared" si="42"/>
        <v/>
      </c>
      <c r="P674" t="str">
        <f>IF($A674="","",IF($E674=1,$F674*$O674,PNL!G674))</f>
        <v/>
      </c>
      <c r="T674" t="str">
        <f t="shared" si="43"/>
        <v/>
      </c>
    </row>
    <row r="675" spans="1:20" x14ac:dyDescent="0.45">
      <c r="A675" t="str">
        <f>IF(PNL!A675="","",PNL!A675)</f>
        <v/>
      </c>
      <c r="B675" t="str">
        <f>IF(PNL!B675="","",PNL!B675)</f>
        <v/>
      </c>
      <c r="C675" t="str">
        <f>IF(PNL!C675="","",PNL!C675)</f>
        <v/>
      </c>
      <c r="D675" t="str">
        <f>IF(PNL!D675="","",PNL!D675)</f>
        <v/>
      </c>
      <c r="E675" t="str">
        <f t="shared" si="40"/>
        <v/>
      </c>
      <c r="F675" t="str">
        <f>IF($A675="","",IF($E675=1,SUMIFS(Compta!$F$1:$F$675,Compta!$A$1:$A$675,$A675,Compta!$B$1:$B$675,$B675,Compta!$C$1:$C$675,"2026"),0))</f>
        <v/>
      </c>
      <c r="G675" t="str">
        <f>IF($A675="","",IF($D675="V01",cad!$C$23,IF($D675="V02",cad!$D$23,cad!$E$23)))</f>
        <v/>
      </c>
      <c r="H675" t="str">
        <f>IF($A675="","",IF($D675="V01",cad!$C$24,IF($D675="V02",cad!$D$24,cad!$E$24)))</f>
        <v/>
      </c>
      <c r="I675" t="str">
        <f>IF($A675="","",IF($D675="V01",cad!$C$32,IF($D675="V02",cad!$D$32,cad!$E$32)))</f>
        <v/>
      </c>
      <c r="J675" t="str">
        <f>IF($A675="","",IF($D675="V01",cad!$C$33,IF($D675="V02",cad!$D$33,cad!$E$33)))</f>
        <v/>
      </c>
      <c r="K675" t="str">
        <f>IF($A675="","",IF($D675="V01",cad!$C$34,IF($D675="V02",cad!$D$34,cad!$E$34)))</f>
        <v/>
      </c>
      <c r="L675" t="str">
        <f>IF($A675="","",IF($D675="V01",cad!$C$35,IF($D675="V02",cad!$D$35,cad!$E$35)))</f>
        <v/>
      </c>
      <c r="M675" t="str">
        <f>IF($A675="","",IF($D675="V01",cad!$C$36,IF($D675="V02",cad!$D$36,cad!$E$36)))</f>
        <v/>
      </c>
      <c r="N675" t="str">
        <f t="shared" si="41"/>
        <v/>
      </c>
      <c r="O675" t="str">
        <f t="shared" si="42"/>
        <v/>
      </c>
      <c r="P675" t="str">
        <f>IF($A675="","",IF($E675=1,$F675*$O675,PNL!G675))</f>
        <v/>
      </c>
      <c r="T675" t="str">
        <f t="shared" si="43"/>
        <v/>
      </c>
    </row>
    <row r="676" spans="1:20" x14ac:dyDescent="0.45">
      <c r="A676" t="str">
        <f>IF(PNL!A676="","",PNL!A676)</f>
        <v/>
      </c>
      <c r="B676" t="str">
        <f>IF(PNL!B676="","",PNL!B676)</f>
        <v/>
      </c>
      <c r="C676" t="str">
        <f>IF(PNL!C676="","",PNL!C676)</f>
        <v/>
      </c>
      <c r="D676" t="str">
        <f>IF(PNL!D676="","",PNL!D676)</f>
        <v/>
      </c>
      <c r="E676" t="str">
        <f t="shared" si="40"/>
        <v/>
      </c>
      <c r="F676" t="str">
        <f>IF($A676="","",IF($E676=1,SUMIFS(Compta!$F$1:$F$675,Compta!$A$1:$A$675,$A676,Compta!$B$1:$B$675,$B676,Compta!$C$1:$C$675,"2026"),0))</f>
        <v/>
      </c>
      <c r="G676" t="str">
        <f>IF($A676="","",IF($D676="V01",cad!$C$23,IF($D676="V02",cad!$D$23,cad!$E$23)))</f>
        <v/>
      </c>
      <c r="H676" t="str">
        <f>IF($A676="","",IF($D676="V01",cad!$C$24,IF($D676="V02",cad!$D$24,cad!$E$24)))</f>
        <v/>
      </c>
      <c r="I676" t="str">
        <f>IF($A676="","",IF($D676="V01",cad!$C$32,IF($D676="V02",cad!$D$32,cad!$E$32)))</f>
        <v/>
      </c>
      <c r="J676" t="str">
        <f>IF($A676="","",IF($D676="V01",cad!$C$33,IF($D676="V02",cad!$D$33,cad!$E$33)))</f>
        <v/>
      </c>
      <c r="K676" t="str">
        <f>IF($A676="","",IF($D676="V01",cad!$C$34,IF($D676="V02",cad!$D$34,cad!$E$34)))</f>
        <v/>
      </c>
      <c r="L676" t="str">
        <f>IF($A676="","",IF($D676="V01",cad!$C$35,IF($D676="V02",cad!$D$35,cad!$E$35)))</f>
        <v/>
      </c>
      <c r="M676" t="str">
        <f>IF($A676="","",IF($D676="V01",cad!$C$36,IF($D676="V02",cad!$D$36,cad!$E$36)))</f>
        <v/>
      </c>
      <c r="N676" t="str">
        <f t="shared" si="41"/>
        <v/>
      </c>
      <c r="O676" t="str">
        <f t="shared" si="42"/>
        <v/>
      </c>
      <c r="P676" t="str">
        <f>IF($A676="","",IF($E676=1,$F676*$O676,PNL!G676))</f>
        <v/>
      </c>
      <c r="T676" t="str">
        <f t="shared" si="43"/>
        <v/>
      </c>
    </row>
    <row r="677" spans="1:20" x14ac:dyDescent="0.45">
      <c r="A677" t="str">
        <f>IF(PNL!A677="","",PNL!A677)</f>
        <v/>
      </c>
      <c r="B677" t="str">
        <f>IF(PNL!B677="","",PNL!B677)</f>
        <v/>
      </c>
      <c r="C677" t="str">
        <f>IF(PNL!C677="","",PNL!C677)</f>
        <v/>
      </c>
      <c r="D677" t="str">
        <f>IF(PNL!D677="","",PNL!D677)</f>
        <v/>
      </c>
      <c r="E677" t="str">
        <f t="shared" si="40"/>
        <v/>
      </c>
      <c r="F677" t="str">
        <f>IF($A677="","",IF($E677=1,SUMIFS(Compta!$F$1:$F$675,Compta!$A$1:$A$675,$A677,Compta!$B$1:$B$675,$B677,Compta!$C$1:$C$675,"2026"),0))</f>
        <v/>
      </c>
      <c r="G677" t="str">
        <f>IF($A677="","",IF($D677="V01",cad!$C$23,IF($D677="V02",cad!$D$23,cad!$E$23)))</f>
        <v/>
      </c>
      <c r="H677" t="str">
        <f>IF($A677="","",IF($D677="V01",cad!$C$24,IF($D677="V02",cad!$D$24,cad!$E$24)))</f>
        <v/>
      </c>
      <c r="I677" t="str">
        <f>IF($A677="","",IF($D677="V01",cad!$C$32,IF($D677="V02",cad!$D$32,cad!$E$32)))</f>
        <v/>
      </c>
      <c r="J677" t="str">
        <f>IF($A677="","",IF($D677="V01",cad!$C$33,IF($D677="V02",cad!$D$33,cad!$E$33)))</f>
        <v/>
      </c>
      <c r="K677" t="str">
        <f>IF($A677="","",IF($D677="V01",cad!$C$34,IF($D677="V02",cad!$D$34,cad!$E$34)))</f>
        <v/>
      </c>
      <c r="L677" t="str">
        <f>IF($A677="","",IF($D677="V01",cad!$C$35,IF($D677="V02",cad!$D$35,cad!$E$35)))</f>
        <v/>
      </c>
      <c r="M677" t="str">
        <f>IF($A677="","",IF($D677="V01",cad!$C$36,IF($D677="V02",cad!$D$36,cad!$E$36)))</f>
        <v/>
      </c>
      <c r="N677" t="str">
        <f t="shared" si="41"/>
        <v/>
      </c>
      <c r="O677" t="str">
        <f t="shared" si="42"/>
        <v/>
      </c>
      <c r="P677" t="str">
        <f>IF($A677="","",IF($E677=1,$F677*$O677,PNL!G677))</f>
        <v/>
      </c>
      <c r="T677" t="str">
        <f t="shared" si="43"/>
        <v/>
      </c>
    </row>
    <row r="678" spans="1:20" x14ac:dyDescent="0.45">
      <c r="A678" t="str">
        <f>IF(PNL!A678="","",PNL!A678)</f>
        <v/>
      </c>
      <c r="B678" t="str">
        <f>IF(PNL!B678="","",PNL!B678)</f>
        <v/>
      </c>
      <c r="C678" t="str">
        <f>IF(PNL!C678="","",PNL!C678)</f>
        <v/>
      </c>
      <c r="D678" t="str">
        <f>IF(PNL!D678="","",PNL!D678)</f>
        <v/>
      </c>
      <c r="E678" t="str">
        <f t="shared" si="40"/>
        <v/>
      </c>
      <c r="F678" t="str">
        <f>IF($A678="","",IF($E678=1,SUMIFS(Compta!$F$1:$F$675,Compta!$A$1:$A$675,$A678,Compta!$B$1:$B$675,$B678,Compta!$C$1:$C$675,"2026"),0))</f>
        <v/>
      </c>
      <c r="G678" t="str">
        <f>IF($A678="","",IF($D678="V01",cad!$C$23,IF($D678="V02",cad!$D$23,cad!$E$23)))</f>
        <v/>
      </c>
      <c r="H678" t="str">
        <f>IF($A678="","",IF($D678="V01",cad!$C$24,IF($D678="V02",cad!$D$24,cad!$E$24)))</f>
        <v/>
      </c>
      <c r="I678" t="str">
        <f>IF($A678="","",IF($D678="V01",cad!$C$32,IF($D678="V02",cad!$D$32,cad!$E$32)))</f>
        <v/>
      </c>
      <c r="J678" t="str">
        <f>IF($A678="","",IF($D678="V01",cad!$C$33,IF($D678="V02",cad!$D$33,cad!$E$33)))</f>
        <v/>
      </c>
      <c r="K678" t="str">
        <f>IF($A678="","",IF($D678="V01",cad!$C$34,IF($D678="V02",cad!$D$34,cad!$E$34)))</f>
        <v/>
      </c>
      <c r="L678" t="str">
        <f>IF($A678="","",IF($D678="V01",cad!$C$35,IF($D678="V02",cad!$D$35,cad!$E$35)))</f>
        <v/>
      </c>
      <c r="M678" t="str">
        <f>IF($A678="","",IF($D678="V01",cad!$C$36,IF($D678="V02",cad!$D$36,cad!$E$36)))</f>
        <v/>
      </c>
      <c r="N678" t="str">
        <f t="shared" si="41"/>
        <v/>
      </c>
      <c r="O678" t="str">
        <f t="shared" si="42"/>
        <v/>
      </c>
      <c r="P678" t="str">
        <f>IF($A678="","",IF($E678=1,$F678*$O678,PNL!G678))</f>
        <v/>
      </c>
      <c r="T678" t="str">
        <f t="shared" si="43"/>
        <v/>
      </c>
    </row>
    <row r="679" spans="1:20" x14ac:dyDescent="0.45">
      <c r="A679" t="str">
        <f>IF(PNL!A679="","",PNL!A679)</f>
        <v/>
      </c>
      <c r="B679" t="str">
        <f>IF(PNL!B679="","",PNL!B679)</f>
        <v/>
      </c>
      <c r="C679" t="str">
        <f>IF(PNL!C679="","",PNL!C679)</f>
        <v/>
      </c>
      <c r="D679" t="str">
        <f>IF(PNL!D679="","",PNL!D679)</f>
        <v/>
      </c>
      <c r="E679" t="str">
        <f t="shared" si="40"/>
        <v/>
      </c>
      <c r="F679" t="str">
        <f>IF($A679="","",IF($E679=1,SUMIFS(Compta!$F$1:$F$675,Compta!$A$1:$A$675,$A679,Compta!$B$1:$B$675,$B679,Compta!$C$1:$C$675,"2026"),0))</f>
        <v/>
      </c>
      <c r="G679" t="str">
        <f>IF($A679="","",IF($D679="V01",cad!$C$23,IF($D679="V02",cad!$D$23,cad!$E$23)))</f>
        <v/>
      </c>
      <c r="H679" t="str">
        <f>IF($A679="","",IF($D679="V01",cad!$C$24,IF($D679="V02",cad!$D$24,cad!$E$24)))</f>
        <v/>
      </c>
      <c r="I679" t="str">
        <f>IF($A679="","",IF($D679="V01",cad!$C$32,IF($D679="V02",cad!$D$32,cad!$E$32)))</f>
        <v/>
      </c>
      <c r="J679" t="str">
        <f>IF($A679="","",IF($D679="V01",cad!$C$33,IF($D679="V02",cad!$D$33,cad!$E$33)))</f>
        <v/>
      </c>
      <c r="K679" t="str">
        <f>IF($A679="","",IF($D679="V01",cad!$C$34,IF($D679="V02",cad!$D$34,cad!$E$34)))</f>
        <v/>
      </c>
      <c r="L679" t="str">
        <f>IF($A679="","",IF($D679="V01",cad!$C$35,IF($D679="V02",cad!$D$35,cad!$E$35)))</f>
        <v/>
      </c>
      <c r="M679" t="str">
        <f>IF($A679="","",IF($D679="V01",cad!$C$36,IF($D679="V02",cad!$D$36,cad!$E$36)))</f>
        <v/>
      </c>
      <c r="N679" t="str">
        <f t="shared" si="41"/>
        <v/>
      </c>
      <c r="O679" t="str">
        <f t="shared" si="42"/>
        <v/>
      </c>
      <c r="P679" t="str">
        <f>IF($A679="","",IF($E679=1,$F679*$O679,PNL!G679))</f>
        <v/>
      </c>
      <c r="T679" t="str">
        <f t="shared" si="43"/>
        <v/>
      </c>
    </row>
    <row r="680" spans="1:20" x14ac:dyDescent="0.45">
      <c r="A680" t="str">
        <f>IF(PNL!A680="","",PNL!A680)</f>
        <v/>
      </c>
      <c r="B680" t="str">
        <f>IF(PNL!B680="","",PNL!B680)</f>
        <v/>
      </c>
      <c r="C680" t="str">
        <f>IF(PNL!C680="","",PNL!C680)</f>
        <v/>
      </c>
      <c r="D680" t="str">
        <f>IF(PNL!D680="","",PNL!D680)</f>
        <v/>
      </c>
      <c r="E680" t="str">
        <f t="shared" si="40"/>
        <v/>
      </c>
      <c r="F680" t="str">
        <f>IF($A680="","",IF($E680=1,SUMIFS(Compta!$F$1:$F$675,Compta!$A$1:$A$675,$A680,Compta!$B$1:$B$675,$B680,Compta!$C$1:$C$675,"2026"),0))</f>
        <v/>
      </c>
      <c r="G680" t="str">
        <f>IF($A680="","",IF($D680="V01",cad!$C$23,IF($D680="V02",cad!$D$23,cad!$E$23)))</f>
        <v/>
      </c>
      <c r="H680" t="str">
        <f>IF($A680="","",IF($D680="V01",cad!$C$24,IF($D680="V02",cad!$D$24,cad!$E$24)))</f>
        <v/>
      </c>
      <c r="I680" t="str">
        <f>IF($A680="","",IF($D680="V01",cad!$C$32,IF($D680="V02",cad!$D$32,cad!$E$32)))</f>
        <v/>
      </c>
      <c r="J680" t="str">
        <f>IF($A680="","",IF($D680="V01",cad!$C$33,IF($D680="V02",cad!$D$33,cad!$E$33)))</f>
        <v/>
      </c>
      <c r="K680" t="str">
        <f>IF($A680="","",IF($D680="V01",cad!$C$34,IF($D680="V02",cad!$D$34,cad!$E$34)))</f>
        <v/>
      </c>
      <c r="L680" t="str">
        <f>IF($A680="","",IF($D680="V01",cad!$C$35,IF($D680="V02",cad!$D$35,cad!$E$35)))</f>
        <v/>
      </c>
      <c r="M680" t="str">
        <f>IF($A680="","",IF($D680="V01",cad!$C$36,IF($D680="V02",cad!$D$36,cad!$E$36)))</f>
        <v/>
      </c>
      <c r="N680" t="str">
        <f t="shared" si="41"/>
        <v/>
      </c>
      <c r="O680" t="str">
        <f t="shared" si="42"/>
        <v/>
      </c>
      <c r="P680" t="str">
        <f>IF($A680="","",IF($E680=1,$F680*$O680,PNL!G680))</f>
        <v/>
      </c>
      <c r="T680" t="str">
        <f t="shared" si="43"/>
        <v/>
      </c>
    </row>
    <row r="681" spans="1:20" x14ac:dyDescent="0.45">
      <c r="A681" t="str">
        <f>IF(PNL!A681="","",PNL!A681)</f>
        <v/>
      </c>
      <c r="B681" t="str">
        <f>IF(PNL!B681="","",PNL!B681)</f>
        <v/>
      </c>
      <c r="C681" t="str">
        <f>IF(PNL!C681="","",PNL!C681)</f>
        <v/>
      </c>
      <c r="D681" t="str">
        <f>IF(PNL!D681="","",PNL!D681)</f>
        <v/>
      </c>
      <c r="E681" t="str">
        <f t="shared" si="40"/>
        <v/>
      </c>
      <c r="F681" t="str">
        <f>IF($A681="","",IF($E681=1,SUMIFS(Compta!$F$1:$F$675,Compta!$A$1:$A$675,$A681,Compta!$B$1:$B$675,$B681,Compta!$C$1:$C$675,"2026"),0))</f>
        <v/>
      </c>
      <c r="G681" t="str">
        <f>IF($A681="","",IF($D681="V01",cad!$C$23,IF($D681="V02",cad!$D$23,cad!$E$23)))</f>
        <v/>
      </c>
      <c r="H681" t="str">
        <f>IF($A681="","",IF($D681="V01",cad!$C$24,IF($D681="V02",cad!$D$24,cad!$E$24)))</f>
        <v/>
      </c>
      <c r="I681" t="str">
        <f>IF($A681="","",IF($D681="V01",cad!$C$32,IF($D681="V02",cad!$D$32,cad!$E$32)))</f>
        <v/>
      </c>
      <c r="J681" t="str">
        <f>IF($A681="","",IF($D681="V01",cad!$C$33,IF($D681="V02",cad!$D$33,cad!$E$33)))</f>
        <v/>
      </c>
      <c r="K681" t="str">
        <f>IF($A681="","",IF($D681="V01",cad!$C$34,IF($D681="V02",cad!$D$34,cad!$E$34)))</f>
        <v/>
      </c>
      <c r="L681" t="str">
        <f>IF($A681="","",IF($D681="V01",cad!$C$35,IF($D681="V02",cad!$D$35,cad!$E$35)))</f>
        <v/>
      </c>
      <c r="M681" t="str">
        <f>IF($A681="","",IF($D681="V01",cad!$C$36,IF($D681="V02",cad!$D$36,cad!$E$36)))</f>
        <v/>
      </c>
      <c r="N681" t="str">
        <f t="shared" si="41"/>
        <v/>
      </c>
      <c r="O681" t="str">
        <f t="shared" si="42"/>
        <v/>
      </c>
      <c r="P681" t="str">
        <f>IF($A681="","",IF($E681=1,$F681*$O681,PNL!G681))</f>
        <v/>
      </c>
      <c r="T681" t="str">
        <f t="shared" si="43"/>
        <v/>
      </c>
    </row>
    <row r="682" spans="1:20" x14ac:dyDescent="0.45">
      <c r="A682" t="str">
        <f>IF(PNL!A682="","",PNL!A682)</f>
        <v/>
      </c>
      <c r="B682" t="str">
        <f>IF(PNL!B682="","",PNL!B682)</f>
        <v/>
      </c>
      <c r="C682" t="str">
        <f>IF(PNL!C682="","",PNL!C682)</f>
        <v/>
      </c>
      <c r="D682" t="str">
        <f>IF(PNL!D682="","",PNL!D682)</f>
        <v/>
      </c>
      <c r="E682" t="str">
        <f t="shared" si="40"/>
        <v/>
      </c>
      <c r="F682" t="str">
        <f>IF($A682="","",IF($E682=1,SUMIFS(Compta!$F$1:$F$675,Compta!$A$1:$A$675,$A682,Compta!$B$1:$B$675,$B682,Compta!$C$1:$C$675,"2026"),0))</f>
        <v/>
      </c>
      <c r="G682" t="str">
        <f>IF($A682="","",IF($D682="V01",cad!$C$23,IF($D682="V02",cad!$D$23,cad!$E$23)))</f>
        <v/>
      </c>
      <c r="H682" t="str">
        <f>IF($A682="","",IF($D682="V01",cad!$C$24,IF($D682="V02",cad!$D$24,cad!$E$24)))</f>
        <v/>
      </c>
      <c r="I682" t="str">
        <f>IF($A682="","",IF($D682="V01",cad!$C$32,IF($D682="V02",cad!$D$32,cad!$E$32)))</f>
        <v/>
      </c>
      <c r="J682" t="str">
        <f>IF($A682="","",IF($D682="V01",cad!$C$33,IF($D682="V02",cad!$D$33,cad!$E$33)))</f>
        <v/>
      </c>
      <c r="K682" t="str">
        <f>IF($A682="","",IF($D682="V01",cad!$C$34,IF($D682="V02",cad!$D$34,cad!$E$34)))</f>
        <v/>
      </c>
      <c r="L682" t="str">
        <f>IF($A682="","",IF($D682="V01",cad!$C$35,IF($D682="V02",cad!$D$35,cad!$E$35)))</f>
        <v/>
      </c>
      <c r="M682" t="str">
        <f>IF($A682="","",IF($D682="V01",cad!$C$36,IF($D682="V02",cad!$D$36,cad!$E$36)))</f>
        <v/>
      </c>
      <c r="N682" t="str">
        <f t="shared" si="41"/>
        <v/>
      </c>
      <c r="O682" t="str">
        <f t="shared" si="42"/>
        <v/>
      </c>
      <c r="P682" t="str">
        <f>IF($A682="","",IF($E682=1,$F682*$O682,PNL!G682))</f>
        <v/>
      </c>
      <c r="T682" t="str">
        <f t="shared" si="43"/>
        <v/>
      </c>
    </row>
    <row r="683" spans="1:20" x14ac:dyDescent="0.45">
      <c r="A683" t="str">
        <f>IF(PNL!A683="","",PNL!A683)</f>
        <v/>
      </c>
      <c r="B683" t="str">
        <f>IF(PNL!B683="","",PNL!B683)</f>
        <v/>
      </c>
      <c r="C683" t="str">
        <f>IF(PNL!C683="","",PNL!C683)</f>
        <v/>
      </c>
      <c r="D683" t="str">
        <f>IF(PNL!D683="","",PNL!D683)</f>
        <v/>
      </c>
      <c r="E683" t="str">
        <f t="shared" si="40"/>
        <v/>
      </c>
      <c r="F683" t="str">
        <f>IF($A683="","",IF($E683=1,SUMIFS(Compta!$F$1:$F$675,Compta!$A$1:$A$675,$A683,Compta!$B$1:$B$675,$B683,Compta!$C$1:$C$675,"2026"),0))</f>
        <v/>
      </c>
      <c r="G683" t="str">
        <f>IF($A683="","",IF($D683="V01",cad!$C$23,IF($D683="V02",cad!$D$23,cad!$E$23)))</f>
        <v/>
      </c>
      <c r="H683" t="str">
        <f>IF($A683="","",IF($D683="V01",cad!$C$24,IF($D683="V02",cad!$D$24,cad!$E$24)))</f>
        <v/>
      </c>
      <c r="I683" t="str">
        <f>IF($A683="","",IF($D683="V01",cad!$C$32,IF($D683="V02",cad!$D$32,cad!$E$32)))</f>
        <v/>
      </c>
      <c r="J683" t="str">
        <f>IF($A683="","",IF($D683="V01",cad!$C$33,IF($D683="V02",cad!$D$33,cad!$E$33)))</f>
        <v/>
      </c>
      <c r="K683" t="str">
        <f>IF($A683="","",IF($D683="V01",cad!$C$34,IF($D683="V02",cad!$D$34,cad!$E$34)))</f>
        <v/>
      </c>
      <c r="L683" t="str">
        <f>IF($A683="","",IF($D683="V01",cad!$C$35,IF($D683="V02",cad!$D$35,cad!$E$35)))</f>
        <v/>
      </c>
      <c r="M683" t="str">
        <f>IF($A683="","",IF($D683="V01",cad!$C$36,IF($D683="V02",cad!$D$36,cad!$E$36)))</f>
        <v/>
      </c>
      <c r="N683" t="str">
        <f t="shared" si="41"/>
        <v/>
      </c>
      <c r="O683" t="str">
        <f t="shared" si="42"/>
        <v/>
      </c>
      <c r="P683" t="str">
        <f>IF($A683="","",IF($E683=1,$F683*$O683,PNL!G683))</f>
        <v/>
      </c>
      <c r="T683" t="str">
        <f t="shared" si="43"/>
        <v/>
      </c>
    </row>
    <row r="684" spans="1:20" x14ac:dyDescent="0.45">
      <c r="A684" t="str">
        <f>IF(PNL!A684="","",PNL!A684)</f>
        <v/>
      </c>
      <c r="B684" t="str">
        <f>IF(PNL!B684="","",PNL!B684)</f>
        <v/>
      </c>
      <c r="C684" t="str">
        <f>IF(PNL!C684="","",PNL!C684)</f>
        <v/>
      </c>
      <c r="D684" t="str">
        <f>IF(PNL!D684="","",PNL!D684)</f>
        <v/>
      </c>
      <c r="E684" t="str">
        <f t="shared" si="40"/>
        <v/>
      </c>
      <c r="F684" t="str">
        <f>IF($A684="","",IF($E684=1,SUMIFS(Compta!$F$1:$F$675,Compta!$A$1:$A$675,$A684,Compta!$B$1:$B$675,$B684,Compta!$C$1:$C$675,"2026"),0))</f>
        <v/>
      </c>
      <c r="G684" t="str">
        <f>IF($A684="","",IF($D684="V01",cad!$C$23,IF($D684="V02",cad!$D$23,cad!$E$23)))</f>
        <v/>
      </c>
      <c r="H684" t="str">
        <f>IF($A684="","",IF($D684="V01",cad!$C$24,IF($D684="V02",cad!$D$24,cad!$E$24)))</f>
        <v/>
      </c>
      <c r="I684" t="str">
        <f>IF($A684="","",IF($D684="V01",cad!$C$32,IF($D684="V02",cad!$D$32,cad!$E$32)))</f>
        <v/>
      </c>
      <c r="J684" t="str">
        <f>IF($A684="","",IF($D684="V01",cad!$C$33,IF($D684="V02",cad!$D$33,cad!$E$33)))</f>
        <v/>
      </c>
      <c r="K684" t="str">
        <f>IF($A684="","",IF($D684="V01",cad!$C$34,IF($D684="V02",cad!$D$34,cad!$E$34)))</f>
        <v/>
      </c>
      <c r="L684" t="str">
        <f>IF($A684="","",IF($D684="V01",cad!$C$35,IF($D684="V02",cad!$D$35,cad!$E$35)))</f>
        <v/>
      </c>
      <c r="M684" t="str">
        <f>IF($A684="","",IF($D684="V01",cad!$C$36,IF($D684="V02",cad!$D$36,cad!$E$36)))</f>
        <v/>
      </c>
      <c r="N684" t="str">
        <f t="shared" si="41"/>
        <v/>
      </c>
      <c r="O684" t="str">
        <f t="shared" si="42"/>
        <v/>
      </c>
      <c r="P684" t="str">
        <f>IF($A684="","",IF($E684=1,$F684*$O684,PNL!G684))</f>
        <v/>
      </c>
      <c r="T684" t="str">
        <f t="shared" si="43"/>
        <v/>
      </c>
    </row>
    <row r="685" spans="1:20" x14ac:dyDescent="0.45">
      <c r="A685" t="str">
        <f>IF(PNL!A685="","",PNL!A685)</f>
        <v/>
      </c>
      <c r="B685" t="str">
        <f>IF(PNL!B685="","",PNL!B685)</f>
        <v/>
      </c>
      <c r="C685" t="str">
        <f>IF(PNL!C685="","",PNL!C685)</f>
        <v/>
      </c>
      <c r="D685" t="str">
        <f>IF(PNL!D685="","",PNL!D685)</f>
        <v/>
      </c>
      <c r="E685" t="str">
        <f t="shared" si="40"/>
        <v/>
      </c>
      <c r="F685" t="str">
        <f>IF($A685="","",IF($E685=1,SUMIFS(Compta!$F$1:$F$675,Compta!$A$1:$A$675,$A685,Compta!$B$1:$B$675,$B685,Compta!$C$1:$C$675,"2026"),0))</f>
        <v/>
      </c>
      <c r="G685" t="str">
        <f>IF($A685="","",IF($D685="V01",cad!$C$23,IF($D685="V02",cad!$D$23,cad!$E$23)))</f>
        <v/>
      </c>
      <c r="H685" t="str">
        <f>IF($A685="","",IF($D685="V01",cad!$C$24,IF($D685="V02",cad!$D$24,cad!$E$24)))</f>
        <v/>
      </c>
      <c r="I685" t="str">
        <f>IF($A685="","",IF($D685="V01",cad!$C$32,IF($D685="V02",cad!$D$32,cad!$E$32)))</f>
        <v/>
      </c>
      <c r="J685" t="str">
        <f>IF($A685="","",IF($D685="V01",cad!$C$33,IF($D685="V02",cad!$D$33,cad!$E$33)))</f>
        <v/>
      </c>
      <c r="K685" t="str">
        <f>IF($A685="","",IF($D685="V01",cad!$C$34,IF($D685="V02",cad!$D$34,cad!$E$34)))</f>
        <v/>
      </c>
      <c r="L685" t="str">
        <f>IF($A685="","",IF($D685="V01",cad!$C$35,IF($D685="V02",cad!$D$35,cad!$E$35)))</f>
        <v/>
      </c>
      <c r="M685" t="str">
        <f>IF($A685="","",IF($D685="V01",cad!$C$36,IF($D685="V02",cad!$D$36,cad!$E$36)))</f>
        <v/>
      </c>
      <c r="N685" t="str">
        <f t="shared" si="41"/>
        <v/>
      </c>
      <c r="O685" t="str">
        <f t="shared" si="42"/>
        <v/>
      </c>
      <c r="P685" t="str">
        <f>IF($A685="","",IF($E685=1,$F685*$O685,PNL!G685))</f>
        <v/>
      </c>
      <c r="T685" t="str">
        <f t="shared" si="43"/>
        <v/>
      </c>
    </row>
    <row r="686" spans="1:20" x14ac:dyDescent="0.45">
      <c r="A686" t="str">
        <f>IF(PNL!A686="","",PNL!A686)</f>
        <v/>
      </c>
      <c r="B686" t="str">
        <f>IF(PNL!B686="","",PNL!B686)</f>
        <v/>
      </c>
      <c r="C686" t="str">
        <f>IF(PNL!C686="","",PNL!C686)</f>
        <v/>
      </c>
      <c r="D686" t="str">
        <f>IF(PNL!D686="","",PNL!D686)</f>
        <v/>
      </c>
      <c r="E686" t="str">
        <f t="shared" si="40"/>
        <v/>
      </c>
      <c r="F686" t="str">
        <f>IF($A686="","",IF($E686=1,SUMIFS(Compta!$F$1:$F$675,Compta!$A$1:$A$675,$A686,Compta!$B$1:$B$675,$B686,Compta!$C$1:$C$675,"2026"),0))</f>
        <v/>
      </c>
      <c r="G686" t="str">
        <f>IF($A686="","",IF($D686="V01",cad!$C$23,IF($D686="V02",cad!$D$23,cad!$E$23)))</f>
        <v/>
      </c>
      <c r="H686" t="str">
        <f>IF($A686="","",IF($D686="V01",cad!$C$24,IF($D686="V02",cad!$D$24,cad!$E$24)))</f>
        <v/>
      </c>
      <c r="I686" t="str">
        <f>IF($A686="","",IF($D686="V01",cad!$C$32,IF($D686="V02",cad!$D$32,cad!$E$32)))</f>
        <v/>
      </c>
      <c r="J686" t="str">
        <f>IF($A686="","",IF($D686="V01",cad!$C$33,IF($D686="V02",cad!$D$33,cad!$E$33)))</f>
        <v/>
      </c>
      <c r="K686" t="str">
        <f>IF($A686="","",IF($D686="V01",cad!$C$34,IF($D686="V02",cad!$D$34,cad!$E$34)))</f>
        <v/>
      </c>
      <c r="L686" t="str">
        <f>IF($A686="","",IF($D686="V01",cad!$C$35,IF($D686="V02",cad!$D$35,cad!$E$35)))</f>
        <v/>
      </c>
      <c r="M686" t="str">
        <f>IF($A686="","",IF($D686="V01",cad!$C$36,IF($D686="V02",cad!$D$36,cad!$E$36)))</f>
        <v/>
      </c>
      <c r="N686" t="str">
        <f t="shared" si="41"/>
        <v/>
      </c>
      <c r="O686" t="str">
        <f t="shared" si="42"/>
        <v/>
      </c>
      <c r="P686" t="str">
        <f>IF($A686="","",IF($E686=1,$F686*$O686,PNL!G686))</f>
        <v/>
      </c>
      <c r="T686" t="str">
        <f t="shared" si="43"/>
        <v/>
      </c>
    </row>
    <row r="687" spans="1:20" x14ac:dyDescent="0.45">
      <c r="A687" t="str">
        <f>IF(PNL!A687="","",PNL!A687)</f>
        <v/>
      </c>
      <c r="B687" t="str">
        <f>IF(PNL!B687="","",PNL!B687)</f>
        <v/>
      </c>
      <c r="C687" t="str">
        <f>IF(PNL!C687="","",PNL!C687)</f>
        <v/>
      </c>
      <c r="D687" t="str">
        <f>IF(PNL!D687="","",PNL!D687)</f>
        <v/>
      </c>
      <c r="E687" t="str">
        <f t="shared" si="40"/>
        <v/>
      </c>
      <c r="F687" t="str">
        <f>IF($A687="","",IF($E687=1,SUMIFS(Compta!$F$1:$F$675,Compta!$A$1:$A$675,$A687,Compta!$B$1:$B$675,$B687,Compta!$C$1:$C$675,"2026"),0))</f>
        <v/>
      </c>
      <c r="G687" t="str">
        <f>IF($A687="","",IF($D687="V01",cad!$C$23,IF($D687="V02",cad!$D$23,cad!$E$23)))</f>
        <v/>
      </c>
      <c r="H687" t="str">
        <f>IF($A687="","",IF($D687="V01",cad!$C$24,IF($D687="V02",cad!$D$24,cad!$E$24)))</f>
        <v/>
      </c>
      <c r="I687" t="str">
        <f>IF($A687="","",IF($D687="V01",cad!$C$32,IF($D687="V02",cad!$D$32,cad!$E$32)))</f>
        <v/>
      </c>
      <c r="J687" t="str">
        <f>IF($A687="","",IF($D687="V01",cad!$C$33,IF($D687="V02",cad!$D$33,cad!$E$33)))</f>
        <v/>
      </c>
      <c r="K687" t="str">
        <f>IF($A687="","",IF($D687="V01",cad!$C$34,IF($D687="V02",cad!$D$34,cad!$E$34)))</f>
        <v/>
      </c>
      <c r="L687" t="str">
        <f>IF($A687="","",IF($D687="V01",cad!$C$35,IF($D687="V02",cad!$D$35,cad!$E$35)))</f>
        <v/>
      </c>
      <c r="M687" t="str">
        <f>IF($A687="","",IF($D687="V01",cad!$C$36,IF($D687="V02",cad!$D$36,cad!$E$36)))</f>
        <v/>
      </c>
      <c r="N687" t="str">
        <f t="shared" si="41"/>
        <v/>
      </c>
      <c r="O687" t="str">
        <f t="shared" si="42"/>
        <v/>
      </c>
      <c r="P687" t="str">
        <f>IF($A687="","",IF($E687=1,$F687*$O687,PNL!G687))</f>
        <v/>
      </c>
      <c r="T687" t="str">
        <f t="shared" si="43"/>
        <v/>
      </c>
    </row>
    <row r="688" spans="1:20" x14ac:dyDescent="0.45">
      <c r="A688" t="str">
        <f>IF(PNL!A688="","",PNL!A688)</f>
        <v/>
      </c>
      <c r="B688" t="str">
        <f>IF(PNL!B688="","",PNL!B688)</f>
        <v/>
      </c>
      <c r="C688" t="str">
        <f>IF(PNL!C688="","",PNL!C688)</f>
        <v/>
      </c>
      <c r="D688" t="str">
        <f>IF(PNL!D688="","",PNL!D688)</f>
        <v/>
      </c>
      <c r="E688" t="str">
        <f t="shared" si="40"/>
        <v/>
      </c>
      <c r="F688" t="str">
        <f>IF($A688="","",IF($E688=1,SUMIFS(Compta!$F$1:$F$675,Compta!$A$1:$A$675,$A688,Compta!$B$1:$B$675,$B688,Compta!$C$1:$C$675,"2026"),0))</f>
        <v/>
      </c>
      <c r="G688" t="str">
        <f>IF($A688="","",IF($D688="V01",cad!$C$23,IF($D688="V02",cad!$D$23,cad!$E$23)))</f>
        <v/>
      </c>
      <c r="H688" t="str">
        <f>IF($A688="","",IF($D688="V01",cad!$C$24,IF($D688="V02",cad!$D$24,cad!$E$24)))</f>
        <v/>
      </c>
      <c r="I688" t="str">
        <f>IF($A688="","",IF($D688="V01",cad!$C$32,IF($D688="V02",cad!$D$32,cad!$E$32)))</f>
        <v/>
      </c>
      <c r="J688" t="str">
        <f>IF($A688="","",IF($D688="V01",cad!$C$33,IF($D688="V02",cad!$D$33,cad!$E$33)))</f>
        <v/>
      </c>
      <c r="K688" t="str">
        <f>IF($A688="","",IF($D688="V01",cad!$C$34,IF($D688="V02",cad!$D$34,cad!$E$34)))</f>
        <v/>
      </c>
      <c r="L688" t="str">
        <f>IF($A688="","",IF($D688="V01",cad!$C$35,IF($D688="V02",cad!$D$35,cad!$E$35)))</f>
        <v/>
      </c>
      <c r="M688" t="str">
        <f>IF($A688="","",IF($D688="V01",cad!$C$36,IF($D688="V02",cad!$D$36,cad!$E$36)))</f>
        <v/>
      </c>
      <c r="N688" t="str">
        <f t="shared" si="41"/>
        <v/>
      </c>
      <c r="O688" t="str">
        <f t="shared" si="42"/>
        <v/>
      </c>
      <c r="P688" t="str">
        <f>IF($A688="","",IF($E688=1,$F688*$O688,PNL!G688))</f>
        <v/>
      </c>
      <c r="T688" t="str">
        <f t="shared" si="43"/>
        <v/>
      </c>
    </row>
    <row r="689" spans="1:20" x14ac:dyDescent="0.45">
      <c r="A689" t="str">
        <f>IF(PNL!A689="","",PNL!A689)</f>
        <v/>
      </c>
      <c r="B689" t="str">
        <f>IF(PNL!B689="","",PNL!B689)</f>
        <v/>
      </c>
      <c r="C689" t="str">
        <f>IF(PNL!C689="","",PNL!C689)</f>
        <v/>
      </c>
      <c r="D689" t="str">
        <f>IF(PNL!D689="","",PNL!D689)</f>
        <v/>
      </c>
      <c r="E689" t="str">
        <f t="shared" si="40"/>
        <v/>
      </c>
      <c r="F689" t="str">
        <f>IF($A689="","",IF($E689=1,SUMIFS(Compta!$F$1:$F$675,Compta!$A$1:$A$675,$A689,Compta!$B$1:$B$675,$B689,Compta!$C$1:$C$675,"2026"),0))</f>
        <v/>
      </c>
      <c r="G689" t="str">
        <f>IF($A689="","",IF($D689="V01",cad!$C$23,IF($D689="V02",cad!$D$23,cad!$E$23)))</f>
        <v/>
      </c>
      <c r="H689" t="str">
        <f>IF($A689="","",IF($D689="V01",cad!$C$24,IF($D689="V02",cad!$D$24,cad!$E$24)))</f>
        <v/>
      </c>
      <c r="I689" t="str">
        <f>IF($A689="","",IF($D689="V01",cad!$C$32,IF($D689="V02",cad!$D$32,cad!$E$32)))</f>
        <v/>
      </c>
      <c r="J689" t="str">
        <f>IF($A689="","",IF($D689="V01",cad!$C$33,IF($D689="V02",cad!$D$33,cad!$E$33)))</f>
        <v/>
      </c>
      <c r="K689" t="str">
        <f>IF($A689="","",IF($D689="V01",cad!$C$34,IF($D689="V02",cad!$D$34,cad!$E$34)))</f>
        <v/>
      </c>
      <c r="L689" t="str">
        <f>IF($A689="","",IF($D689="V01",cad!$C$35,IF($D689="V02",cad!$D$35,cad!$E$35)))</f>
        <v/>
      </c>
      <c r="M689" t="str">
        <f>IF($A689="","",IF($D689="V01",cad!$C$36,IF($D689="V02",cad!$D$36,cad!$E$36)))</f>
        <v/>
      </c>
      <c r="N689" t="str">
        <f t="shared" si="41"/>
        <v/>
      </c>
      <c r="O689" t="str">
        <f t="shared" si="42"/>
        <v/>
      </c>
      <c r="P689" t="str">
        <f>IF($A689="","",IF($E689=1,$F689*$O689,PNL!G689))</f>
        <v/>
      </c>
      <c r="T689" t="str">
        <f t="shared" si="43"/>
        <v/>
      </c>
    </row>
    <row r="690" spans="1:20" x14ac:dyDescent="0.45">
      <c r="A690" t="str">
        <f>IF(PNL!A690="","",PNL!A690)</f>
        <v/>
      </c>
      <c r="B690" t="str">
        <f>IF(PNL!B690="","",PNL!B690)</f>
        <v/>
      </c>
      <c r="C690" t="str">
        <f>IF(PNL!C690="","",PNL!C690)</f>
        <v/>
      </c>
      <c r="D690" t="str">
        <f>IF(PNL!D690="","",PNL!D690)</f>
        <v/>
      </c>
      <c r="E690" t="str">
        <f t="shared" si="40"/>
        <v/>
      </c>
      <c r="F690" t="str">
        <f>IF($A690="","",IF($E690=1,SUMIFS(Compta!$F$1:$F$675,Compta!$A$1:$A$675,$A690,Compta!$B$1:$B$675,$B690,Compta!$C$1:$C$675,"2026"),0))</f>
        <v/>
      </c>
      <c r="G690" t="str">
        <f>IF($A690="","",IF($D690="V01",cad!$C$23,IF($D690="V02",cad!$D$23,cad!$E$23)))</f>
        <v/>
      </c>
      <c r="H690" t="str">
        <f>IF($A690="","",IF($D690="V01",cad!$C$24,IF($D690="V02",cad!$D$24,cad!$E$24)))</f>
        <v/>
      </c>
      <c r="I690" t="str">
        <f>IF($A690="","",IF($D690="V01",cad!$C$32,IF($D690="V02",cad!$D$32,cad!$E$32)))</f>
        <v/>
      </c>
      <c r="J690" t="str">
        <f>IF($A690="","",IF($D690="V01",cad!$C$33,IF($D690="V02",cad!$D$33,cad!$E$33)))</f>
        <v/>
      </c>
      <c r="K690" t="str">
        <f>IF($A690="","",IF($D690="V01",cad!$C$34,IF($D690="V02",cad!$D$34,cad!$E$34)))</f>
        <v/>
      </c>
      <c r="L690" t="str">
        <f>IF($A690="","",IF($D690="V01",cad!$C$35,IF($D690="V02",cad!$D$35,cad!$E$35)))</f>
        <v/>
      </c>
      <c r="M690" t="str">
        <f>IF($A690="","",IF($D690="V01",cad!$C$36,IF($D690="V02",cad!$D$36,cad!$E$36)))</f>
        <v/>
      </c>
      <c r="N690" t="str">
        <f t="shared" si="41"/>
        <v/>
      </c>
      <c r="O690" t="str">
        <f t="shared" si="42"/>
        <v/>
      </c>
      <c r="P690" t="str">
        <f>IF($A690="","",IF($E690=1,$F690*$O690,PNL!G690))</f>
        <v/>
      </c>
      <c r="T690" t="str">
        <f t="shared" si="43"/>
        <v/>
      </c>
    </row>
    <row r="691" spans="1:20" x14ac:dyDescent="0.45">
      <c r="A691" t="str">
        <f>IF(PNL!A691="","",PNL!A691)</f>
        <v/>
      </c>
      <c r="B691" t="str">
        <f>IF(PNL!B691="","",PNL!B691)</f>
        <v/>
      </c>
      <c r="C691" t="str">
        <f>IF(PNL!C691="","",PNL!C691)</f>
        <v/>
      </c>
      <c r="D691" t="str">
        <f>IF(PNL!D691="","",PNL!D691)</f>
        <v/>
      </c>
      <c r="E691" t="str">
        <f t="shared" si="40"/>
        <v/>
      </c>
      <c r="F691" t="str">
        <f>IF($A691="","",IF($E691=1,SUMIFS(Compta!$F$1:$F$675,Compta!$A$1:$A$675,$A691,Compta!$B$1:$B$675,$B691,Compta!$C$1:$C$675,"2026"),0))</f>
        <v/>
      </c>
      <c r="G691" t="str">
        <f>IF($A691="","",IF($D691="V01",cad!$C$23,IF($D691="V02",cad!$D$23,cad!$E$23)))</f>
        <v/>
      </c>
      <c r="H691" t="str">
        <f>IF($A691="","",IF($D691="V01",cad!$C$24,IF($D691="V02",cad!$D$24,cad!$E$24)))</f>
        <v/>
      </c>
      <c r="I691" t="str">
        <f>IF($A691="","",IF($D691="V01",cad!$C$32,IF($D691="V02",cad!$D$32,cad!$E$32)))</f>
        <v/>
      </c>
      <c r="J691" t="str">
        <f>IF($A691="","",IF($D691="V01",cad!$C$33,IF($D691="V02",cad!$D$33,cad!$E$33)))</f>
        <v/>
      </c>
      <c r="K691" t="str">
        <f>IF($A691="","",IF($D691="V01",cad!$C$34,IF($D691="V02",cad!$D$34,cad!$E$34)))</f>
        <v/>
      </c>
      <c r="L691" t="str">
        <f>IF($A691="","",IF($D691="V01",cad!$C$35,IF($D691="V02",cad!$D$35,cad!$E$35)))</f>
        <v/>
      </c>
      <c r="M691" t="str">
        <f>IF($A691="","",IF($D691="V01",cad!$C$36,IF($D691="V02",cad!$D$36,cad!$E$36)))</f>
        <v/>
      </c>
      <c r="N691" t="str">
        <f t="shared" si="41"/>
        <v/>
      </c>
      <c r="O691" t="str">
        <f t="shared" si="42"/>
        <v/>
      </c>
      <c r="P691" t="str">
        <f>IF($A691="","",IF($E691=1,$F691*$O691,PNL!G691))</f>
        <v/>
      </c>
      <c r="T691" t="str">
        <f t="shared" si="43"/>
        <v/>
      </c>
    </row>
    <row r="692" spans="1:20" x14ac:dyDescent="0.45">
      <c r="A692" t="str">
        <f>IF(PNL!A692="","",PNL!A692)</f>
        <v/>
      </c>
      <c r="B692" t="str">
        <f>IF(PNL!B692="","",PNL!B692)</f>
        <v/>
      </c>
      <c r="C692" t="str">
        <f>IF(PNL!C692="","",PNL!C692)</f>
        <v/>
      </c>
      <c r="D692" t="str">
        <f>IF(PNL!D692="","",PNL!D692)</f>
        <v/>
      </c>
      <c r="E692" t="str">
        <f t="shared" si="40"/>
        <v/>
      </c>
      <c r="F692" t="str">
        <f>IF($A692="","",IF($E692=1,SUMIFS(Compta!$F$1:$F$675,Compta!$A$1:$A$675,$A692,Compta!$B$1:$B$675,$B692,Compta!$C$1:$C$675,"2026"),0))</f>
        <v/>
      </c>
      <c r="G692" t="str">
        <f>IF($A692="","",IF($D692="V01",cad!$C$23,IF($D692="V02",cad!$D$23,cad!$E$23)))</f>
        <v/>
      </c>
      <c r="H692" t="str">
        <f>IF($A692="","",IF($D692="V01",cad!$C$24,IF($D692="V02",cad!$D$24,cad!$E$24)))</f>
        <v/>
      </c>
      <c r="I692" t="str">
        <f>IF($A692="","",IF($D692="V01",cad!$C$32,IF($D692="V02",cad!$D$32,cad!$E$32)))</f>
        <v/>
      </c>
      <c r="J692" t="str">
        <f>IF($A692="","",IF($D692="V01",cad!$C$33,IF($D692="V02",cad!$D$33,cad!$E$33)))</f>
        <v/>
      </c>
      <c r="K692" t="str">
        <f>IF($A692="","",IF($D692="V01",cad!$C$34,IF($D692="V02",cad!$D$34,cad!$E$34)))</f>
        <v/>
      </c>
      <c r="L692" t="str">
        <f>IF($A692="","",IF($D692="V01",cad!$C$35,IF($D692="V02",cad!$D$35,cad!$E$35)))</f>
        <v/>
      </c>
      <c r="M692" t="str">
        <f>IF($A692="","",IF($D692="V01",cad!$C$36,IF($D692="V02",cad!$D$36,cad!$E$36)))</f>
        <v/>
      </c>
      <c r="N692" t="str">
        <f t="shared" si="41"/>
        <v/>
      </c>
      <c r="O692" t="str">
        <f t="shared" si="42"/>
        <v/>
      </c>
      <c r="P692" t="str">
        <f>IF($A692="","",IF($E692=1,$F692*$O692,PNL!G692))</f>
        <v/>
      </c>
      <c r="T692" t="str">
        <f t="shared" si="43"/>
        <v/>
      </c>
    </row>
    <row r="693" spans="1:20" x14ac:dyDescent="0.45">
      <c r="A693" t="str">
        <f>IF(PNL!A693="","",PNL!A693)</f>
        <v/>
      </c>
      <c r="B693" t="str">
        <f>IF(PNL!B693="","",PNL!B693)</f>
        <v/>
      </c>
      <c r="C693" t="str">
        <f>IF(PNL!C693="","",PNL!C693)</f>
        <v/>
      </c>
      <c r="D693" t="str">
        <f>IF(PNL!D693="","",PNL!D693)</f>
        <v/>
      </c>
      <c r="E693" t="str">
        <f t="shared" si="40"/>
        <v/>
      </c>
      <c r="F693" t="str">
        <f>IF($A693="","",IF($E693=1,SUMIFS(Compta!$F$1:$F$675,Compta!$A$1:$A$675,$A693,Compta!$B$1:$B$675,$B693,Compta!$C$1:$C$675,"2026"),0))</f>
        <v/>
      </c>
      <c r="G693" t="str">
        <f>IF($A693="","",IF($D693="V01",cad!$C$23,IF($D693="V02",cad!$D$23,cad!$E$23)))</f>
        <v/>
      </c>
      <c r="H693" t="str">
        <f>IF($A693="","",IF($D693="V01",cad!$C$24,IF($D693="V02",cad!$D$24,cad!$E$24)))</f>
        <v/>
      </c>
      <c r="I693" t="str">
        <f>IF($A693="","",IF($D693="V01",cad!$C$32,IF($D693="V02",cad!$D$32,cad!$E$32)))</f>
        <v/>
      </c>
      <c r="J693" t="str">
        <f>IF($A693="","",IF($D693="V01",cad!$C$33,IF($D693="V02",cad!$D$33,cad!$E$33)))</f>
        <v/>
      </c>
      <c r="K693" t="str">
        <f>IF($A693="","",IF($D693="V01",cad!$C$34,IF($D693="V02",cad!$D$34,cad!$E$34)))</f>
        <v/>
      </c>
      <c r="L693" t="str">
        <f>IF($A693="","",IF($D693="V01",cad!$C$35,IF($D693="V02",cad!$D$35,cad!$E$35)))</f>
        <v/>
      </c>
      <c r="M693" t="str">
        <f>IF($A693="","",IF($D693="V01",cad!$C$36,IF($D693="V02",cad!$D$36,cad!$E$36)))</f>
        <v/>
      </c>
      <c r="N693" t="str">
        <f t="shared" si="41"/>
        <v/>
      </c>
      <c r="O693" t="str">
        <f t="shared" si="42"/>
        <v/>
      </c>
      <c r="P693" t="str">
        <f>IF($A693="","",IF($E693=1,$F693*$O693,PNL!G693))</f>
        <v/>
      </c>
      <c r="T693" t="str">
        <f t="shared" si="43"/>
        <v/>
      </c>
    </row>
    <row r="694" spans="1:20" x14ac:dyDescent="0.45">
      <c r="A694" t="str">
        <f>IF(PNL!A694="","",PNL!A694)</f>
        <v/>
      </c>
      <c r="B694" t="str">
        <f>IF(PNL!B694="","",PNL!B694)</f>
        <v/>
      </c>
      <c r="C694" t="str">
        <f>IF(PNL!C694="","",PNL!C694)</f>
        <v/>
      </c>
      <c r="D694" t="str">
        <f>IF(PNL!D694="","",PNL!D694)</f>
        <v/>
      </c>
      <c r="E694" t="str">
        <f t="shared" si="40"/>
        <v/>
      </c>
      <c r="F694" t="str">
        <f>IF($A694="","",IF($E694=1,SUMIFS(Compta!$F$1:$F$675,Compta!$A$1:$A$675,$A694,Compta!$B$1:$B$675,$B694,Compta!$C$1:$C$675,"2026"),0))</f>
        <v/>
      </c>
      <c r="G694" t="str">
        <f>IF($A694="","",IF($D694="V01",cad!$C$23,IF($D694="V02",cad!$D$23,cad!$E$23)))</f>
        <v/>
      </c>
      <c r="H694" t="str">
        <f>IF($A694="","",IF($D694="V01",cad!$C$24,IF($D694="V02",cad!$D$24,cad!$E$24)))</f>
        <v/>
      </c>
      <c r="I694" t="str">
        <f>IF($A694="","",IF($D694="V01",cad!$C$32,IF($D694="V02",cad!$D$32,cad!$E$32)))</f>
        <v/>
      </c>
      <c r="J694" t="str">
        <f>IF($A694="","",IF($D694="V01",cad!$C$33,IF($D694="V02",cad!$D$33,cad!$E$33)))</f>
        <v/>
      </c>
      <c r="K694" t="str">
        <f>IF($A694="","",IF($D694="V01",cad!$C$34,IF($D694="V02",cad!$D$34,cad!$E$34)))</f>
        <v/>
      </c>
      <c r="L694" t="str">
        <f>IF($A694="","",IF($D694="V01",cad!$C$35,IF($D694="V02",cad!$D$35,cad!$E$35)))</f>
        <v/>
      </c>
      <c r="M694" t="str">
        <f>IF($A694="","",IF($D694="V01",cad!$C$36,IF($D694="V02",cad!$D$36,cad!$E$36)))</f>
        <v/>
      </c>
      <c r="N694" t="str">
        <f t="shared" si="41"/>
        <v/>
      </c>
      <c r="O694" t="str">
        <f t="shared" si="42"/>
        <v/>
      </c>
      <c r="P694" t="str">
        <f>IF($A694="","",IF($E694=1,$F694*$O694,PNL!G694))</f>
        <v/>
      </c>
      <c r="T694" t="str">
        <f t="shared" si="43"/>
        <v/>
      </c>
    </row>
    <row r="695" spans="1:20" x14ac:dyDescent="0.45">
      <c r="A695" t="str">
        <f>IF(PNL!A695="","",PNL!A695)</f>
        <v/>
      </c>
      <c r="B695" t="str">
        <f>IF(PNL!B695="","",PNL!B695)</f>
        <v/>
      </c>
      <c r="C695" t="str">
        <f>IF(PNL!C695="","",PNL!C695)</f>
        <v/>
      </c>
      <c r="D695" t="str">
        <f>IF(PNL!D695="","",PNL!D695)</f>
        <v/>
      </c>
      <c r="E695" t="str">
        <f t="shared" si="40"/>
        <v/>
      </c>
      <c r="F695" t="str">
        <f>IF($A695="","",IF($E695=1,SUMIFS(Compta!$F$1:$F$675,Compta!$A$1:$A$675,$A695,Compta!$B$1:$B$675,$B695,Compta!$C$1:$C$675,"2026"),0))</f>
        <v/>
      </c>
      <c r="G695" t="str">
        <f>IF($A695="","",IF($D695="V01",cad!$C$23,IF($D695="V02",cad!$D$23,cad!$E$23)))</f>
        <v/>
      </c>
      <c r="H695" t="str">
        <f>IF($A695="","",IF($D695="V01",cad!$C$24,IF($D695="V02",cad!$D$24,cad!$E$24)))</f>
        <v/>
      </c>
      <c r="I695" t="str">
        <f>IF($A695="","",IF($D695="V01",cad!$C$32,IF($D695="V02",cad!$D$32,cad!$E$32)))</f>
        <v/>
      </c>
      <c r="J695" t="str">
        <f>IF($A695="","",IF($D695="V01",cad!$C$33,IF($D695="V02",cad!$D$33,cad!$E$33)))</f>
        <v/>
      </c>
      <c r="K695" t="str">
        <f>IF($A695="","",IF($D695="V01",cad!$C$34,IF($D695="V02",cad!$D$34,cad!$E$34)))</f>
        <v/>
      </c>
      <c r="L695" t="str">
        <f>IF($A695="","",IF($D695="V01",cad!$C$35,IF($D695="V02",cad!$D$35,cad!$E$35)))</f>
        <v/>
      </c>
      <c r="M695" t="str">
        <f>IF($A695="","",IF($D695="V01",cad!$C$36,IF($D695="V02",cad!$D$36,cad!$E$36)))</f>
        <v/>
      </c>
      <c r="N695" t="str">
        <f t="shared" si="41"/>
        <v/>
      </c>
      <c r="O695" t="str">
        <f t="shared" si="42"/>
        <v/>
      </c>
      <c r="P695" t="str">
        <f>IF($A695="","",IF($E695=1,$F695*$O695,PNL!G695))</f>
        <v/>
      </c>
      <c r="T695" t="str">
        <f t="shared" si="43"/>
        <v/>
      </c>
    </row>
    <row r="696" spans="1:20" x14ac:dyDescent="0.45">
      <c r="A696" t="str">
        <f>IF(PNL!A696="","",PNL!A696)</f>
        <v/>
      </c>
      <c r="B696" t="str">
        <f>IF(PNL!B696="","",PNL!B696)</f>
        <v/>
      </c>
      <c r="C696" t="str">
        <f>IF(PNL!C696="","",PNL!C696)</f>
        <v/>
      </c>
      <c r="D696" t="str">
        <f>IF(PNL!D696="","",PNL!D696)</f>
        <v/>
      </c>
      <c r="E696" t="str">
        <f t="shared" si="40"/>
        <v/>
      </c>
      <c r="F696" t="str">
        <f>IF($A696="","",IF($E696=1,SUMIFS(Compta!$F$1:$F$675,Compta!$A$1:$A$675,$A696,Compta!$B$1:$B$675,$B696,Compta!$C$1:$C$675,"2026"),0))</f>
        <v/>
      </c>
      <c r="G696" t="str">
        <f>IF($A696="","",IF($D696="V01",cad!$C$23,IF($D696="V02",cad!$D$23,cad!$E$23)))</f>
        <v/>
      </c>
      <c r="H696" t="str">
        <f>IF($A696="","",IF($D696="V01",cad!$C$24,IF($D696="V02",cad!$D$24,cad!$E$24)))</f>
        <v/>
      </c>
      <c r="I696" t="str">
        <f>IF($A696="","",IF($D696="V01",cad!$C$32,IF($D696="V02",cad!$D$32,cad!$E$32)))</f>
        <v/>
      </c>
      <c r="J696" t="str">
        <f>IF($A696="","",IF($D696="V01",cad!$C$33,IF($D696="V02",cad!$D$33,cad!$E$33)))</f>
        <v/>
      </c>
      <c r="K696" t="str">
        <f>IF($A696="","",IF($D696="V01",cad!$C$34,IF($D696="V02",cad!$D$34,cad!$E$34)))</f>
        <v/>
      </c>
      <c r="L696" t="str">
        <f>IF($A696="","",IF($D696="V01",cad!$C$35,IF($D696="V02",cad!$D$35,cad!$E$35)))</f>
        <v/>
      </c>
      <c r="M696" t="str">
        <f>IF($A696="","",IF($D696="V01",cad!$C$36,IF($D696="V02",cad!$D$36,cad!$E$36)))</f>
        <v/>
      </c>
      <c r="N696" t="str">
        <f t="shared" si="41"/>
        <v/>
      </c>
      <c r="O696" t="str">
        <f t="shared" si="42"/>
        <v/>
      </c>
      <c r="P696" t="str">
        <f>IF($A696="","",IF($E696=1,$F696*$O696,PNL!G696))</f>
        <v/>
      </c>
      <c r="T696" t="str">
        <f t="shared" si="43"/>
        <v/>
      </c>
    </row>
    <row r="697" spans="1:20" x14ac:dyDescent="0.45">
      <c r="A697" t="str">
        <f>IF(PNL!A697="","",PNL!A697)</f>
        <v/>
      </c>
      <c r="B697" t="str">
        <f>IF(PNL!B697="","",PNL!B697)</f>
        <v/>
      </c>
      <c r="C697" t="str">
        <f>IF(PNL!C697="","",PNL!C697)</f>
        <v/>
      </c>
      <c r="D697" t="str">
        <f>IF(PNL!D697="","",PNL!D697)</f>
        <v/>
      </c>
      <c r="E697" t="str">
        <f t="shared" si="40"/>
        <v/>
      </c>
      <c r="F697" t="str">
        <f>IF($A697="","",IF($E697=1,SUMIFS(Compta!$F$1:$F$675,Compta!$A$1:$A$675,$A697,Compta!$B$1:$B$675,$B697,Compta!$C$1:$C$675,"2026"),0))</f>
        <v/>
      </c>
      <c r="G697" t="str">
        <f>IF($A697="","",IF($D697="V01",cad!$C$23,IF($D697="V02",cad!$D$23,cad!$E$23)))</f>
        <v/>
      </c>
      <c r="H697" t="str">
        <f>IF($A697="","",IF($D697="V01",cad!$C$24,IF($D697="V02",cad!$D$24,cad!$E$24)))</f>
        <v/>
      </c>
      <c r="I697" t="str">
        <f>IF($A697="","",IF($D697="V01",cad!$C$32,IF($D697="V02",cad!$D$32,cad!$E$32)))</f>
        <v/>
      </c>
      <c r="J697" t="str">
        <f>IF($A697="","",IF($D697="V01",cad!$C$33,IF($D697="V02",cad!$D$33,cad!$E$33)))</f>
        <v/>
      </c>
      <c r="K697" t="str">
        <f>IF($A697="","",IF($D697="V01",cad!$C$34,IF($D697="V02",cad!$D$34,cad!$E$34)))</f>
        <v/>
      </c>
      <c r="L697" t="str">
        <f>IF($A697="","",IF($D697="V01",cad!$C$35,IF($D697="V02",cad!$D$35,cad!$E$35)))</f>
        <v/>
      </c>
      <c r="M697" t="str">
        <f>IF($A697="","",IF($D697="V01",cad!$C$36,IF($D697="V02",cad!$D$36,cad!$E$36)))</f>
        <v/>
      </c>
      <c r="N697" t="str">
        <f t="shared" si="41"/>
        <v/>
      </c>
      <c r="O697" t="str">
        <f t="shared" si="42"/>
        <v/>
      </c>
      <c r="P697" t="str">
        <f>IF($A697="","",IF($E697=1,$F697*$O697,PNL!G697))</f>
        <v/>
      </c>
      <c r="T697" t="str">
        <f t="shared" si="43"/>
        <v/>
      </c>
    </row>
    <row r="698" spans="1:20" x14ac:dyDescent="0.45">
      <c r="A698" t="str">
        <f>IF(PNL!A698="","",PNL!A698)</f>
        <v/>
      </c>
      <c r="B698" t="str">
        <f>IF(PNL!B698="","",PNL!B698)</f>
        <v/>
      </c>
      <c r="C698" t="str">
        <f>IF(PNL!C698="","",PNL!C698)</f>
        <v/>
      </c>
      <c r="D698" t="str">
        <f>IF(PNL!D698="","",PNL!D698)</f>
        <v/>
      </c>
      <c r="E698" t="str">
        <f t="shared" si="40"/>
        <v/>
      </c>
      <c r="F698" t="str">
        <f>IF($A698="","",IF($E698=1,SUMIFS(Compta!$F$1:$F$675,Compta!$A$1:$A$675,$A698,Compta!$B$1:$B$675,$B698,Compta!$C$1:$C$675,"2026"),0))</f>
        <v/>
      </c>
      <c r="G698" t="str">
        <f>IF($A698="","",IF($D698="V01",cad!$C$23,IF($D698="V02",cad!$D$23,cad!$E$23)))</f>
        <v/>
      </c>
      <c r="H698" t="str">
        <f>IF($A698="","",IF($D698="V01",cad!$C$24,IF($D698="V02",cad!$D$24,cad!$E$24)))</f>
        <v/>
      </c>
      <c r="I698" t="str">
        <f>IF($A698="","",IF($D698="V01",cad!$C$32,IF($D698="V02",cad!$D$32,cad!$E$32)))</f>
        <v/>
      </c>
      <c r="J698" t="str">
        <f>IF($A698="","",IF($D698="V01",cad!$C$33,IF($D698="V02",cad!$D$33,cad!$E$33)))</f>
        <v/>
      </c>
      <c r="K698" t="str">
        <f>IF($A698="","",IF($D698="V01",cad!$C$34,IF($D698="V02",cad!$D$34,cad!$E$34)))</f>
        <v/>
      </c>
      <c r="L698" t="str">
        <f>IF($A698="","",IF($D698="V01",cad!$C$35,IF($D698="V02",cad!$D$35,cad!$E$35)))</f>
        <v/>
      </c>
      <c r="M698" t="str">
        <f>IF($A698="","",IF($D698="V01",cad!$C$36,IF($D698="V02",cad!$D$36,cad!$E$36)))</f>
        <v/>
      </c>
      <c r="N698" t="str">
        <f t="shared" si="41"/>
        <v/>
      </c>
      <c r="O698" t="str">
        <f t="shared" si="42"/>
        <v/>
      </c>
      <c r="P698" t="str">
        <f>IF($A698="","",IF($E698=1,$F698*$O698,PNL!G698))</f>
        <v/>
      </c>
      <c r="T698" t="str">
        <f t="shared" si="43"/>
        <v/>
      </c>
    </row>
    <row r="699" spans="1:20" x14ac:dyDescent="0.45">
      <c r="A699" t="str">
        <f>IF(PNL!A699="","",PNL!A699)</f>
        <v/>
      </c>
      <c r="B699" t="str">
        <f>IF(PNL!B699="","",PNL!B699)</f>
        <v/>
      </c>
      <c r="C699" t="str">
        <f>IF(PNL!C699="","",PNL!C699)</f>
        <v/>
      </c>
      <c r="D699" t="str">
        <f>IF(PNL!D699="","",PNL!D699)</f>
        <v/>
      </c>
      <c r="E699" t="str">
        <f t="shared" si="40"/>
        <v/>
      </c>
      <c r="F699" t="str">
        <f>IF($A699="","",IF($E699=1,SUMIFS(Compta!$F$1:$F$675,Compta!$A$1:$A$675,$A699,Compta!$B$1:$B$675,$B699,Compta!$C$1:$C$675,"2026"),0))</f>
        <v/>
      </c>
      <c r="G699" t="str">
        <f>IF($A699="","",IF($D699="V01",cad!$C$23,IF($D699="V02",cad!$D$23,cad!$E$23)))</f>
        <v/>
      </c>
      <c r="H699" t="str">
        <f>IF($A699="","",IF($D699="V01",cad!$C$24,IF($D699="V02",cad!$D$24,cad!$E$24)))</f>
        <v/>
      </c>
      <c r="I699" t="str">
        <f>IF($A699="","",IF($D699="V01",cad!$C$32,IF($D699="V02",cad!$D$32,cad!$E$32)))</f>
        <v/>
      </c>
      <c r="J699" t="str">
        <f>IF($A699="","",IF($D699="V01",cad!$C$33,IF($D699="V02",cad!$D$33,cad!$E$33)))</f>
        <v/>
      </c>
      <c r="K699" t="str">
        <f>IF($A699="","",IF($D699="V01",cad!$C$34,IF($D699="V02",cad!$D$34,cad!$E$34)))</f>
        <v/>
      </c>
      <c r="L699" t="str">
        <f>IF($A699="","",IF($D699="V01",cad!$C$35,IF($D699="V02",cad!$D$35,cad!$E$35)))</f>
        <v/>
      </c>
      <c r="M699" t="str">
        <f>IF($A699="","",IF($D699="V01",cad!$C$36,IF($D699="V02",cad!$D$36,cad!$E$36)))</f>
        <v/>
      </c>
      <c r="N699" t="str">
        <f t="shared" si="41"/>
        <v/>
      </c>
      <c r="O699" t="str">
        <f t="shared" si="42"/>
        <v/>
      </c>
      <c r="P699" t="str">
        <f>IF($A699="","",IF($E699=1,$F699*$O699,PNL!G699))</f>
        <v/>
      </c>
      <c r="T699" t="str">
        <f t="shared" si="43"/>
        <v/>
      </c>
    </row>
    <row r="700" spans="1:20" x14ac:dyDescent="0.45">
      <c r="A700" t="str">
        <f>IF(PNL!A700="","",PNL!A700)</f>
        <v/>
      </c>
      <c r="B700" t="str">
        <f>IF(PNL!B700="","",PNL!B700)</f>
        <v/>
      </c>
      <c r="C700" t="str">
        <f>IF(PNL!C700="","",PNL!C700)</f>
        <v/>
      </c>
      <c r="D700" t="str">
        <f>IF(PNL!D700="","",PNL!D700)</f>
        <v/>
      </c>
      <c r="E700" t="str">
        <f t="shared" si="40"/>
        <v/>
      </c>
      <c r="F700" t="str">
        <f>IF($A700="","",IF($E700=1,SUMIFS(Compta!$F$1:$F$675,Compta!$A$1:$A$675,$A700,Compta!$B$1:$B$675,$B700,Compta!$C$1:$C$675,"2026"),0))</f>
        <v/>
      </c>
      <c r="G700" t="str">
        <f>IF($A700="","",IF($D700="V01",cad!$C$23,IF($D700="V02",cad!$D$23,cad!$E$23)))</f>
        <v/>
      </c>
      <c r="H700" t="str">
        <f>IF($A700="","",IF($D700="V01",cad!$C$24,IF($D700="V02",cad!$D$24,cad!$E$24)))</f>
        <v/>
      </c>
      <c r="I700" t="str">
        <f>IF($A700="","",IF($D700="V01",cad!$C$32,IF($D700="V02",cad!$D$32,cad!$E$32)))</f>
        <v/>
      </c>
      <c r="J700" t="str">
        <f>IF($A700="","",IF($D700="V01",cad!$C$33,IF($D700="V02",cad!$D$33,cad!$E$33)))</f>
        <v/>
      </c>
      <c r="K700" t="str">
        <f>IF($A700="","",IF($D700="V01",cad!$C$34,IF($D700="V02",cad!$D$34,cad!$E$34)))</f>
        <v/>
      </c>
      <c r="L700" t="str">
        <f>IF($A700="","",IF($D700="V01",cad!$C$35,IF($D700="V02",cad!$D$35,cad!$E$35)))</f>
        <v/>
      </c>
      <c r="M700" t="str">
        <f>IF($A700="","",IF($D700="V01",cad!$C$36,IF($D700="V02",cad!$D$36,cad!$E$36)))</f>
        <v/>
      </c>
      <c r="N700" t="str">
        <f t="shared" si="41"/>
        <v/>
      </c>
      <c r="O700" t="str">
        <f t="shared" si="42"/>
        <v/>
      </c>
      <c r="P700" t="str">
        <f>IF($A700="","",IF($E700=1,$F700*$O700,PNL!G700))</f>
        <v/>
      </c>
      <c r="T700" t="str">
        <f t="shared" si="43"/>
        <v/>
      </c>
    </row>
    <row r="701" spans="1:20" x14ac:dyDescent="0.45">
      <c r="A701" t="str">
        <f>IF(PNL!A701="","",PNL!A701)</f>
        <v/>
      </c>
      <c r="B701" t="str">
        <f>IF(PNL!B701="","",PNL!B701)</f>
        <v/>
      </c>
      <c r="C701" t="str">
        <f>IF(PNL!C701="","",PNL!C701)</f>
        <v/>
      </c>
      <c r="D701" t="str">
        <f>IF(PNL!D701="","",PNL!D701)</f>
        <v/>
      </c>
      <c r="E701" t="str">
        <f t="shared" si="40"/>
        <v/>
      </c>
      <c r="F701" t="str">
        <f>IF($A701="","",IF($E701=1,SUMIFS(Compta!$F$1:$F$675,Compta!$A$1:$A$675,$A701,Compta!$B$1:$B$675,$B701,Compta!$C$1:$C$675,"2026"),0))</f>
        <v/>
      </c>
      <c r="G701" t="str">
        <f>IF($A701="","",IF($D701="V01",cad!$C$23,IF($D701="V02",cad!$D$23,cad!$E$23)))</f>
        <v/>
      </c>
      <c r="H701" t="str">
        <f>IF($A701="","",IF($D701="V01",cad!$C$24,IF($D701="V02",cad!$D$24,cad!$E$24)))</f>
        <v/>
      </c>
      <c r="I701" t="str">
        <f>IF($A701="","",IF($D701="V01",cad!$C$32,IF($D701="V02",cad!$D$32,cad!$E$32)))</f>
        <v/>
      </c>
      <c r="J701" t="str">
        <f>IF($A701="","",IF($D701="V01",cad!$C$33,IF($D701="V02",cad!$D$33,cad!$E$33)))</f>
        <v/>
      </c>
      <c r="K701" t="str">
        <f>IF($A701="","",IF($D701="V01",cad!$C$34,IF($D701="V02",cad!$D$34,cad!$E$34)))</f>
        <v/>
      </c>
      <c r="L701" t="str">
        <f>IF($A701="","",IF($D701="V01",cad!$C$35,IF($D701="V02",cad!$D$35,cad!$E$35)))</f>
        <v/>
      </c>
      <c r="M701" t="str">
        <f>IF($A701="","",IF($D701="V01",cad!$C$36,IF($D701="V02",cad!$D$36,cad!$E$36)))</f>
        <v/>
      </c>
      <c r="N701" t="str">
        <f t="shared" si="41"/>
        <v/>
      </c>
      <c r="O701" t="str">
        <f t="shared" si="42"/>
        <v/>
      </c>
      <c r="P701" t="str">
        <f>IF($A701="","",IF($E701=1,$F701*$O701,PNL!G701))</f>
        <v/>
      </c>
      <c r="T701" t="str">
        <f t="shared" si="43"/>
        <v/>
      </c>
    </row>
    <row r="702" spans="1:20" x14ac:dyDescent="0.45">
      <c r="A702" t="str">
        <f>IF(PNL!A702="","",PNL!A702)</f>
        <v/>
      </c>
      <c r="B702" t="str">
        <f>IF(PNL!B702="","",PNL!B702)</f>
        <v/>
      </c>
      <c r="C702" t="str">
        <f>IF(PNL!C702="","",PNL!C702)</f>
        <v/>
      </c>
      <c r="D702" t="str">
        <f>IF(PNL!D702="","",PNL!D702)</f>
        <v/>
      </c>
      <c r="E702" t="str">
        <f t="shared" si="40"/>
        <v/>
      </c>
      <c r="F702" t="str">
        <f>IF($A702="","",IF($E702=1,SUMIFS(Compta!$F$1:$F$675,Compta!$A$1:$A$675,$A702,Compta!$B$1:$B$675,$B702,Compta!$C$1:$C$675,"2026"),0))</f>
        <v/>
      </c>
      <c r="G702" t="str">
        <f>IF($A702="","",IF($D702="V01",cad!$C$23,IF($D702="V02",cad!$D$23,cad!$E$23)))</f>
        <v/>
      </c>
      <c r="H702" t="str">
        <f>IF($A702="","",IF($D702="V01",cad!$C$24,IF($D702="V02",cad!$D$24,cad!$E$24)))</f>
        <v/>
      </c>
      <c r="I702" t="str">
        <f>IF($A702="","",IF($D702="V01",cad!$C$32,IF($D702="V02",cad!$D$32,cad!$E$32)))</f>
        <v/>
      </c>
      <c r="J702" t="str">
        <f>IF($A702="","",IF($D702="V01",cad!$C$33,IF($D702="V02",cad!$D$33,cad!$E$33)))</f>
        <v/>
      </c>
      <c r="K702" t="str">
        <f>IF($A702="","",IF($D702="V01",cad!$C$34,IF($D702="V02",cad!$D$34,cad!$E$34)))</f>
        <v/>
      </c>
      <c r="L702" t="str">
        <f>IF($A702="","",IF($D702="V01",cad!$C$35,IF($D702="V02",cad!$D$35,cad!$E$35)))</f>
        <v/>
      </c>
      <c r="M702" t="str">
        <f>IF($A702="","",IF($D702="V01",cad!$C$36,IF($D702="V02",cad!$D$36,cad!$E$36)))</f>
        <v/>
      </c>
      <c r="N702" t="str">
        <f t="shared" si="41"/>
        <v/>
      </c>
      <c r="O702" t="str">
        <f t="shared" si="42"/>
        <v/>
      </c>
      <c r="P702" t="str">
        <f>IF($A702="","",IF($E702=1,$F702*$O702,PNL!G702))</f>
        <v/>
      </c>
      <c r="T702" t="str">
        <f t="shared" si="43"/>
        <v/>
      </c>
    </row>
    <row r="703" spans="1:20" x14ac:dyDescent="0.45">
      <c r="A703" t="str">
        <f>IF(PNL!A703="","",PNL!A703)</f>
        <v/>
      </c>
      <c r="B703" t="str">
        <f>IF(PNL!B703="","",PNL!B703)</f>
        <v/>
      </c>
      <c r="C703" t="str">
        <f>IF(PNL!C703="","",PNL!C703)</f>
        <v/>
      </c>
      <c r="D703" t="str">
        <f>IF(PNL!D703="","",PNL!D703)</f>
        <v/>
      </c>
      <c r="E703" t="str">
        <f t="shared" si="40"/>
        <v/>
      </c>
      <c r="F703" t="str">
        <f>IF($A703="","",IF($E703=1,SUMIFS(Compta!$F$1:$F$675,Compta!$A$1:$A$675,$A703,Compta!$B$1:$B$675,$B703,Compta!$C$1:$C$675,"2026"),0))</f>
        <v/>
      </c>
      <c r="G703" t="str">
        <f>IF($A703="","",IF($D703="V01",cad!$C$23,IF($D703="V02",cad!$D$23,cad!$E$23)))</f>
        <v/>
      </c>
      <c r="H703" t="str">
        <f>IF($A703="","",IF($D703="V01",cad!$C$24,IF($D703="V02",cad!$D$24,cad!$E$24)))</f>
        <v/>
      </c>
      <c r="I703" t="str">
        <f>IF($A703="","",IF($D703="V01",cad!$C$32,IF($D703="V02",cad!$D$32,cad!$E$32)))</f>
        <v/>
      </c>
      <c r="J703" t="str">
        <f>IF($A703="","",IF($D703="V01",cad!$C$33,IF($D703="V02",cad!$D$33,cad!$E$33)))</f>
        <v/>
      </c>
      <c r="K703" t="str">
        <f>IF($A703="","",IF($D703="V01",cad!$C$34,IF($D703="V02",cad!$D$34,cad!$E$34)))</f>
        <v/>
      </c>
      <c r="L703" t="str">
        <f>IF($A703="","",IF($D703="V01",cad!$C$35,IF($D703="V02",cad!$D$35,cad!$E$35)))</f>
        <v/>
      </c>
      <c r="M703" t="str">
        <f>IF($A703="","",IF($D703="V01",cad!$C$36,IF($D703="V02",cad!$D$36,cad!$E$36)))</f>
        <v/>
      </c>
      <c r="N703" t="str">
        <f t="shared" si="41"/>
        <v/>
      </c>
      <c r="O703" t="str">
        <f t="shared" si="42"/>
        <v/>
      </c>
      <c r="P703" t="str">
        <f>IF($A703="","",IF($E703=1,$F703*$O703,PNL!G703))</f>
        <v/>
      </c>
      <c r="T703" t="str">
        <f t="shared" si="43"/>
        <v/>
      </c>
    </row>
    <row r="704" spans="1:20" x14ac:dyDescent="0.45">
      <c r="A704" t="str">
        <f>IF(PNL!A704="","",PNL!A704)</f>
        <v/>
      </c>
      <c r="B704" t="str">
        <f>IF(PNL!B704="","",PNL!B704)</f>
        <v/>
      </c>
      <c r="C704" t="str">
        <f>IF(PNL!C704="","",PNL!C704)</f>
        <v/>
      </c>
      <c r="D704" t="str">
        <f>IF(PNL!D704="","",PNL!D704)</f>
        <v/>
      </c>
      <c r="E704" t="str">
        <f t="shared" si="40"/>
        <v/>
      </c>
      <c r="F704" t="str">
        <f>IF($A704="","",IF($E704=1,SUMIFS(Compta!$F$1:$F$675,Compta!$A$1:$A$675,$A704,Compta!$B$1:$B$675,$B704,Compta!$C$1:$C$675,"2026"),0))</f>
        <v/>
      </c>
      <c r="G704" t="str">
        <f>IF($A704="","",IF($D704="V01",cad!$C$23,IF($D704="V02",cad!$D$23,cad!$E$23)))</f>
        <v/>
      </c>
      <c r="H704" t="str">
        <f>IF($A704="","",IF($D704="V01",cad!$C$24,IF($D704="V02",cad!$D$24,cad!$E$24)))</f>
        <v/>
      </c>
      <c r="I704" t="str">
        <f>IF($A704="","",IF($D704="V01",cad!$C$32,IF($D704="V02",cad!$D$32,cad!$E$32)))</f>
        <v/>
      </c>
      <c r="J704" t="str">
        <f>IF($A704="","",IF($D704="V01",cad!$C$33,IF($D704="V02",cad!$D$33,cad!$E$33)))</f>
        <v/>
      </c>
      <c r="K704" t="str">
        <f>IF($A704="","",IF($D704="V01",cad!$C$34,IF($D704="V02",cad!$D$34,cad!$E$34)))</f>
        <v/>
      </c>
      <c r="L704" t="str">
        <f>IF($A704="","",IF($D704="V01",cad!$C$35,IF($D704="V02",cad!$D$35,cad!$E$35)))</f>
        <v/>
      </c>
      <c r="M704" t="str">
        <f>IF($A704="","",IF($D704="V01",cad!$C$36,IF($D704="V02",cad!$D$36,cad!$E$36)))</f>
        <v/>
      </c>
      <c r="N704" t="str">
        <f t="shared" si="41"/>
        <v/>
      </c>
      <c r="O704" t="str">
        <f t="shared" si="42"/>
        <v/>
      </c>
      <c r="P704" t="str">
        <f>IF($A704="","",IF($E704=1,$F704*$O704,PNL!G704))</f>
        <v/>
      </c>
      <c r="T704" t="str">
        <f t="shared" si="43"/>
        <v/>
      </c>
    </row>
    <row r="705" spans="1:20" x14ac:dyDescent="0.45">
      <c r="A705" t="str">
        <f>IF(PNL!A705="","",PNL!A705)</f>
        <v/>
      </c>
      <c r="B705" t="str">
        <f>IF(PNL!B705="","",PNL!B705)</f>
        <v/>
      </c>
      <c r="C705" t="str">
        <f>IF(PNL!C705="","",PNL!C705)</f>
        <v/>
      </c>
      <c r="D705" t="str">
        <f>IF(PNL!D705="","",PNL!D705)</f>
        <v/>
      </c>
      <c r="E705" t="str">
        <f t="shared" si="40"/>
        <v/>
      </c>
      <c r="F705" t="str">
        <f>IF($A705="","",IF($E705=1,SUMIFS(Compta!$F$1:$F$675,Compta!$A$1:$A$675,$A705,Compta!$B$1:$B$675,$B705,Compta!$C$1:$C$675,"2026"),0))</f>
        <v/>
      </c>
      <c r="G705" t="str">
        <f>IF($A705="","",IF($D705="V01",cad!$C$23,IF($D705="V02",cad!$D$23,cad!$E$23)))</f>
        <v/>
      </c>
      <c r="H705" t="str">
        <f>IF($A705="","",IF($D705="V01",cad!$C$24,IF($D705="V02",cad!$D$24,cad!$E$24)))</f>
        <v/>
      </c>
      <c r="I705" t="str">
        <f>IF($A705="","",IF($D705="V01",cad!$C$32,IF($D705="V02",cad!$D$32,cad!$E$32)))</f>
        <v/>
      </c>
      <c r="J705" t="str">
        <f>IF($A705="","",IF($D705="V01",cad!$C$33,IF($D705="V02",cad!$D$33,cad!$E$33)))</f>
        <v/>
      </c>
      <c r="K705" t="str">
        <f>IF($A705="","",IF($D705="V01",cad!$C$34,IF($D705="V02",cad!$D$34,cad!$E$34)))</f>
        <v/>
      </c>
      <c r="L705" t="str">
        <f>IF($A705="","",IF($D705="V01",cad!$C$35,IF($D705="V02",cad!$D$35,cad!$E$35)))</f>
        <v/>
      </c>
      <c r="M705" t="str">
        <f>IF($A705="","",IF($D705="V01",cad!$C$36,IF($D705="V02",cad!$D$36,cad!$E$36)))</f>
        <v/>
      </c>
      <c r="N705" t="str">
        <f t="shared" si="41"/>
        <v/>
      </c>
      <c r="O705" t="str">
        <f t="shared" si="42"/>
        <v/>
      </c>
      <c r="P705" t="str">
        <f>IF($A705="","",IF($E705=1,$F705*$O705,PNL!G705))</f>
        <v/>
      </c>
      <c r="T705" t="str">
        <f t="shared" si="43"/>
        <v/>
      </c>
    </row>
    <row r="706" spans="1:20" x14ac:dyDescent="0.45">
      <c r="A706" t="str">
        <f>IF(PNL!A706="","",PNL!A706)</f>
        <v/>
      </c>
      <c r="B706" t="str">
        <f>IF(PNL!B706="","",PNL!B706)</f>
        <v/>
      </c>
      <c r="C706" t="str">
        <f>IF(PNL!C706="","",PNL!C706)</f>
        <v/>
      </c>
      <c r="D706" t="str">
        <f>IF(PNL!D706="","",PNL!D706)</f>
        <v/>
      </c>
      <c r="E706" t="str">
        <f t="shared" ref="E706:E769" si="44">IF($A706="","",IF(AND($C706="2027",OR($D706="V01",$D706="V02",$D706="V03")),1,0))</f>
        <v/>
      </c>
      <c r="F706" t="str">
        <f>IF($A706="","",IF($E706=1,SUMIFS(Compta!$F$1:$F$675,Compta!$A$1:$A$675,$A706,Compta!$B$1:$B$675,$B706,Compta!$C$1:$C$675,"2026"),0))</f>
        <v/>
      </c>
      <c r="G706" t="str">
        <f>IF($A706="","",IF($D706="V01",cad!$C$23,IF($D706="V02",cad!$D$23,cad!$E$23)))</f>
        <v/>
      </c>
      <c r="H706" t="str">
        <f>IF($A706="","",IF($D706="V01",cad!$C$24,IF($D706="V02",cad!$D$24,cad!$E$24)))</f>
        <v/>
      </c>
      <c r="I706" t="str">
        <f>IF($A706="","",IF($D706="V01",cad!$C$32,IF($D706="V02",cad!$D$32,cad!$E$32)))</f>
        <v/>
      </c>
      <c r="J706" t="str">
        <f>IF($A706="","",IF($D706="V01",cad!$C$33,IF($D706="V02",cad!$D$33,cad!$E$33)))</f>
        <v/>
      </c>
      <c r="K706" t="str">
        <f>IF($A706="","",IF($D706="V01",cad!$C$34,IF($D706="V02",cad!$D$34,cad!$E$34)))</f>
        <v/>
      </c>
      <c r="L706" t="str">
        <f>IF($A706="","",IF($D706="V01",cad!$C$35,IF($D706="V02",cad!$D$35,cad!$E$35)))</f>
        <v/>
      </c>
      <c r="M706" t="str">
        <f>IF($A706="","",IF($D706="V01",cad!$C$36,IF($D706="V02",cad!$D$36,cad!$E$36)))</f>
        <v/>
      </c>
      <c r="N706" t="str">
        <f t="shared" ref="N706:N769" si="45">IF($A706="","",IF($D706="V01",$R$2,IF($D706="V02",$R$3,$R$4)))</f>
        <v/>
      </c>
      <c r="O706" t="str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 t="str">
        <f>IF($A706="","",IF($E706=1,$F706*$O706,PNL!G706))</f>
        <v/>
      </c>
      <c r="T706" t="str">
        <f t="shared" ref="T706:T769" si="47">IF($A706="","",IF($E706=1,IF(OR($B706="7062",$B706="706",$B706="708"),$P706,IF(AND(LEFT($B706,1)="6",$B706&lt;&gt;"6811"),-$P706,0)),0))</f>
        <v/>
      </c>
    </row>
    <row r="707" spans="1:20" x14ac:dyDescent="0.45">
      <c r="A707" t="str">
        <f>IF(PNL!A707="","",PNL!A707)</f>
        <v/>
      </c>
      <c r="B707" t="str">
        <f>IF(PNL!B707="","",PNL!B707)</f>
        <v/>
      </c>
      <c r="C707" t="str">
        <f>IF(PNL!C707="","",PNL!C707)</f>
        <v/>
      </c>
      <c r="D707" t="str">
        <f>IF(PNL!D707="","",PNL!D707)</f>
        <v/>
      </c>
      <c r="E707" t="str">
        <f t="shared" si="44"/>
        <v/>
      </c>
      <c r="F707" t="str">
        <f>IF($A707="","",IF($E707=1,SUMIFS(Compta!$F$1:$F$675,Compta!$A$1:$A$675,$A707,Compta!$B$1:$B$675,$B707,Compta!$C$1:$C$675,"2026"),0))</f>
        <v/>
      </c>
      <c r="G707" t="str">
        <f>IF($A707="","",IF($D707="V01",cad!$C$23,IF($D707="V02",cad!$D$23,cad!$E$23)))</f>
        <v/>
      </c>
      <c r="H707" t="str">
        <f>IF($A707="","",IF($D707="V01",cad!$C$24,IF($D707="V02",cad!$D$24,cad!$E$24)))</f>
        <v/>
      </c>
      <c r="I707" t="str">
        <f>IF($A707="","",IF($D707="V01",cad!$C$32,IF($D707="V02",cad!$D$32,cad!$E$32)))</f>
        <v/>
      </c>
      <c r="J707" t="str">
        <f>IF($A707="","",IF($D707="V01",cad!$C$33,IF($D707="V02",cad!$D$33,cad!$E$33)))</f>
        <v/>
      </c>
      <c r="K707" t="str">
        <f>IF($A707="","",IF($D707="V01",cad!$C$34,IF($D707="V02",cad!$D$34,cad!$E$34)))</f>
        <v/>
      </c>
      <c r="L707" t="str">
        <f>IF($A707="","",IF($D707="V01",cad!$C$35,IF($D707="V02",cad!$D$35,cad!$E$35)))</f>
        <v/>
      </c>
      <c r="M707" t="str">
        <f>IF($A707="","",IF($D707="V01",cad!$C$36,IF($D707="V02",cad!$D$36,cad!$E$36)))</f>
        <v/>
      </c>
      <c r="N707" t="str">
        <f t="shared" si="45"/>
        <v/>
      </c>
      <c r="O707" t="str">
        <f t="shared" si="46"/>
        <v/>
      </c>
      <c r="P707" t="str">
        <f>IF($A707="","",IF($E707=1,$F707*$O707,PNL!G707))</f>
        <v/>
      </c>
      <c r="T707" t="str">
        <f t="shared" si="47"/>
        <v/>
      </c>
    </row>
    <row r="708" spans="1:20" x14ac:dyDescent="0.45">
      <c r="A708" t="str">
        <f>IF(PNL!A708="","",PNL!A708)</f>
        <v/>
      </c>
      <c r="B708" t="str">
        <f>IF(PNL!B708="","",PNL!B708)</f>
        <v/>
      </c>
      <c r="C708" t="str">
        <f>IF(PNL!C708="","",PNL!C708)</f>
        <v/>
      </c>
      <c r="D708" t="str">
        <f>IF(PNL!D708="","",PNL!D708)</f>
        <v/>
      </c>
      <c r="E708" t="str">
        <f t="shared" si="44"/>
        <v/>
      </c>
      <c r="F708" t="str">
        <f>IF($A708="","",IF($E708=1,SUMIFS(Compta!$F$1:$F$675,Compta!$A$1:$A$675,$A708,Compta!$B$1:$B$675,$B708,Compta!$C$1:$C$675,"2026"),0))</f>
        <v/>
      </c>
      <c r="G708" t="str">
        <f>IF($A708="","",IF($D708="V01",cad!$C$23,IF($D708="V02",cad!$D$23,cad!$E$23)))</f>
        <v/>
      </c>
      <c r="H708" t="str">
        <f>IF($A708="","",IF($D708="V01",cad!$C$24,IF($D708="V02",cad!$D$24,cad!$E$24)))</f>
        <v/>
      </c>
      <c r="I708" t="str">
        <f>IF($A708="","",IF($D708="V01",cad!$C$32,IF($D708="V02",cad!$D$32,cad!$E$32)))</f>
        <v/>
      </c>
      <c r="J708" t="str">
        <f>IF($A708="","",IF($D708="V01",cad!$C$33,IF($D708="V02",cad!$D$33,cad!$E$33)))</f>
        <v/>
      </c>
      <c r="K708" t="str">
        <f>IF($A708="","",IF($D708="V01",cad!$C$34,IF($D708="V02",cad!$D$34,cad!$E$34)))</f>
        <v/>
      </c>
      <c r="L708" t="str">
        <f>IF($A708="","",IF($D708="V01",cad!$C$35,IF($D708="V02",cad!$D$35,cad!$E$35)))</f>
        <v/>
      </c>
      <c r="M708" t="str">
        <f>IF($A708="","",IF($D708="V01",cad!$C$36,IF($D708="V02",cad!$D$36,cad!$E$36)))</f>
        <v/>
      </c>
      <c r="N708" t="str">
        <f t="shared" si="45"/>
        <v/>
      </c>
      <c r="O708" t="str">
        <f t="shared" si="46"/>
        <v/>
      </c>
      <c r="P708" t="str">
        <f>IF($A708="","",IF($E708=1,$F708*$O708,PNL!G708))</f>
        <v/>
      </c>
      <c r="T708" t="str">
        <f t="shared" si="47"/>
        <v/>
      </c>
    </row>
    <row r="709" spans="1:20" x14ac:dyDescent="0.45">
      <c r="A709" t="str">
        <f>IF(PNL!A709="","",PNL!A709)</f>
        <v/>
      </c>
      <c r="B709" t="str">
        <f>IF(PNL!B709="","",PNL!B709)</f>
        <v/>
      </c>
      <c r="C709" t="str">
        <f>IF(PNL!C709="","",PNL!C709)</f>
        <v/>
      </c>
      <c r="D709" t="str">
        <f>IF(PNL!D709="","",PNL!D709)</f>
        <v/>
      </c>
      <c r="E709" t="str">
        <f t="shared" si="44"/>
        <v/>
      </c>
      <c r="F709" t="str">
        <f>IF($A709="","",IF($E709=1,SUMIFS(Compta!$F$1:$F$675,Compta!$A$1:$A$675,$A709,Compta!$B$1:$B$675,$B709,Compta!$C$1:$C$675,"2026"),0))</f>
        <v/>
      </c>
      <c r="G709" t="str">
        <f>IF($A709="","",IF($D709="V01",cad!$C$23,IF($D709="V02",cad!$D$23,cad!$E$23)))</f>
        <v/>
      </c>
      <c r="H709" t="str">
        <f>IF($A709="","",IF($D709="V01",cad!$C$24,IF($D709="V02",cad!$D$24,cad!$E$24)))</f>
        <v/>
      </c>
      <c r="I709" t="str">
        <f>IF($A709="","",IF($D709="V01",cad!$C$32,IF($D709="V02",cad!$D$32,cad!$E$32)))</f>
        <v/>
      </c>
      <c r="J709" t="str">
        <f>IF($A709="","",IF($D709="V01",cad!$C$33,IF($D709="V02",cad!$D$33,cad!$E$33)))</f>
        <v/>
      </c>
      <c r="K709" t="str">
        <f>IF($A709="","",IF($D709="V01",cad!$C$34,IF($D709="V02",cad!$D$34,cad!$E$34)))</f>
        <v/>
      </c>
      <c r="L709" t="str">
        <f>IF($A709="","",IF($D709="V01",cad!$C$35,IF($D709="V02",cad!$D$35,cad!$E$35)))</f>
        <v/>
      </c>
      <c r="M709" t="str">
        <f>IF($A709="","",IF($D709="V01",cad!$C$36,IF($D709="V02",cad!$D$36,cad!$E$36)))</f>
        <v/>
      </c>
      <c r="N709" t="str">
        <f t="shared" si="45"/>
        <v/>
      </c>
      <c r="O709" t="str">
        <f t="shared" si="46"/>
        <v/>
      </c>
      <c r="P709" t="str">
        <f>IF($A709="","",IF($E709=1,$F709*$O709,PNL!G709))</f>
        <v/>
      </c>
      <c r="T709" t="str">
        <f t="shared" si="47"/>
        <v/>
      </c>
    </row>
    <row r="710" spans="1:20" x14ac:dyDescent="0.45">
      <c r="A710" t="str">
        <f>IF(PNL!A710="","",PNL!A710)</f>
        <v/>
      </c>
      <c r="B710" t="str">
        <f>IF(PNL!B710="","",PNL!B710)</f>
        <v/>
      </c>
      <c r="C710" t="str">
        <f>IF(PNL!C710="","",PNL!C710)</f>
        <v/>
      </c>
      <c r="D710" t="str">
        <f>IF(PNL!D710="","",PNL!D710)</f>
        <v/>
      </c>
      <c r="E710" t="str">
        <f t="shared" si="44"/>
        <v/>
      </c>
      <c r="F710" t="str">
        <f>IF($A710="","",IF($E710=1,SUMIFS(Compta!$F$1:$F$675,Compta!$A$1:$A$675,$A710,Compta!$B$1:$B$675,$B710,Compta!$C$1:$C$675,"2026"),0))</f>
        <v/>
      </c>
      <c r="G710" t="str">
        <f>IF($A710="","",IF($D710="V01",cad!$C$23,IF($D710="V02",cad!$D$23,cad!$E$23)))</f>
        <v/>
      </c>
      <c r="H710" t="str">
        <f>IF($A710="","",IF($D710="V01",cad!$C$24,IF($D710="V02",cad!$D$24,cad!$E$24)))</f>
        <v/>
      </c>
      <c r="I710" t="str">
        <f>IF($A710="","",IF($D710="V01",cad!$C$32,IF($D710="V02",cad!$D$32,cad!$E$32)))</f>
        <v/>
      </c>
      <c r="J710" t="str">
        <f>IF($A710="","",IF($D710="V01",cad!$C$33,IF($D710="V02",cad!$D$33,cad!$E$33)))</f>
        <v/>
      </c>
      <c r="K710" t="str">
        <f>IF($A710="","",IF($D710="V01",cad!$C$34,IF($D710="V02",cad!$D$34,cad!$E$34)))</f>
        <v/>
      </c>
      <c r="L710" t="str">
        <f>IF($A710="","",IF($D710="V01",cad!$C$35,IF($D710="V02",cad!$D$35,cad!$E$35)))</f>
        <v/>
      </c>
      <c r="M710" t="str">
        <f>IF($A710="","",IF($D710="V01",cad!$C$36,IF($D710="V02",cad!$D$36,cad!$E$36)))</f>
        <v/>
      </c>
      <c r="N710" t="str">
        <f t="shared" si="45"/>
        <v/>
      </c>
      <c r="O710" t="str">
        <f t="shared" si="46"/>
        <v/>
      </c>
      <c r="P710" t="str">
        <f>IF($A710="","",IF($E710=1,$F710*$O710,PNL!G710))</f>
        <v/>
      </c>
      <c r="T710" t="str">
        <f t="shared" si="47"/>
        <v/>
      </c>
    </row>
    <row r="711" spans="1:20" x14ac:dyDescent="0.45">
      <c r="A711" t="str">
        <f>IF(PNL!A711="","",PNL!A711)</f>
        <v/>
      </c>
      <c r="B711" t="str">
        <f>IF(PNL!B711="","",PNL!B711)</f>
        <v/>
      </c>
      <c r="C711" t="str">
        <f>IF(PNL!C711="","",PNL!C711)</f>
        <v/>
      </c>
      <c r="D711" t="str">
        <f>IF(PNL!D711="","",PNL!D711)</f>
        <v/>
      </c>
      <c r="E711" t="str">
        <f t="shared" si="44"/>
        <v/>
      </c>
      <c r="F711" t="str">
        <f>IF($A711="","",IF($E711=1,SUMIFS(Compta!$F$1:$F$675,Compta!$A$1:$A$675,$A711,Compta!$B$1:$B$675,$B711,Compta!$C$1:$C$675,"2026"),0))</f>
        <v/>
      </c>
      <c r="G711" t="str">
        <f>IF($A711="","",IF($D711="V01",cad!$C$23,IF($D711="V02",cad!$D$23,cad!$E$23)))</f>
        <v/>
      </c>
      <c r="H711" t="str">
        <f>IF($A711="","",IF($D711="V01",cad!$C$24,IF($D711="V02",cad!$D$24,cad!$E$24)))</f>
        <v/>
      </c>
      <c r="I711" t="str">
        <f>IF($A711="","",IF($D711="V01",cad!$C$32,IF($D711="V02",cad!$D$32,cad!$E$32)))</f>
        <v/>
      </c>
      <c r="J711" t="str">
        <f>IF($A711="","",IF($D711="V01",cad!$C$33,IF($D711="V02",cad!$D$33,cad!$E$33)))</f>
        <v/>
      </c>
      <c r="K711" t="str">
        <f>IF($A711="","",IF($D711="V01",cad!$C$34,IF($D711="V02",cad!$D$34,cad!$E$34)))</f>
        <v/>
      </c>
      <c r="L711" t="str">
        <f>IF($A711="","",IF($D711="V01",cad!$C$35,IF($D711="V02",cad!$D$35,cad!$E$35)))</f>
        <v/>
      </c>
      <c r="M711" t="str">
        <f>IF($A711="","",IF($D711="V01",cad!$C$36,IF($D711="V02",cad!$D$36,cad!$E$36)))</f>
        <v/>
      </c>
      <c r="N711" t="str">
        <f t="shared" si="45"/>
        <v/>
      </c>
      <c r="O711" t="str">
        <f t="shared" si="46"/>
        <v/>
      </c>
      <c r="P711" t="str">
        <f>IF($A711="","",IF($E711=1,$F711*$O711,PNL!G711))</f>
        <v/>
      </c>
      <c r="T711" t="str">
        <f t="shared" si="47"/>
        <v/>
      </c>
    </row>
    <row r="712" spans="1:20" x14ac:dyDescent="0.45">
      <c r="A712" t="str">
        <f>IF(PNL!A712="","",PNL!A712)</f>
        <v/>
      </c>
      <c r="B712" t="str">
        <f>IF(PNL!B712="","",PNL!B712)</f>
        <v/>
      </c>
      <c r="C712" t="str">
        <f>IF(PNL!C712="","",PNL!C712)</f>
        <v/>
      </c>
      <c r="D712" t="str">
        <f>IF(PNL!D712="","",PNL!D712)</f>
        <v/>
      </c>
      <c r="E712" t="str">
        <f t="shared" si="44"/>
        <v/>
      </c>
      <c r="F712" t="str">
        <f>IF($A712="","",IF($E712=1,SUMIFS(Compta!$F$1:$F$675,Compta!$A$1:$A$675,$A712,Compta!$B$1:$B$675,$B712,Compta!$C$1:$C$675,"2026"),0))</f>
        <v/>
      </c>
      <c r="G712" t="str">
        <f>IF($A712="","",IF($D712="V01",cad!$C$23,IF($D712="V02",cad!$D$23,cad!$E$23)))</f>
        <v/>
      </c>
      <c r="H712" t="str">
        <f>IF($A712="","",IF($D712="V01",cad!$C$24,IF($D712="V02",cad!$D$24,cad!$E$24)))</f>
        <v/>
      </c>
      <c r="I712" t="str">
        <f>IF($A712="","",IF($D712="V01",cad!$C$32,IF($D712="V02",cad!$D$32,cad!$E$32)))</f>
        <v/>
      </c>
      <c r="J712" t="str">
        <f>IF($A712="","",IF($D712="V01",cad!$C$33,IF($D712="V02",cad!$D$33,cad!$E$33)))</f>
        <v/>
      </c>
      <c r="K712" t="str">
        <f>IF($A712="","",IF($D712="V01",cad!$C$34,IF($D712="V02",cad!$D$34,cad!$E$34)))</f>
        <v/>
      </c>
      <c r="L712" t="str">
        <f>IF($A712="","",IF($D712="V01",cad!$C$35,IF($D712="V02",cad!$D$35,cad!$E$35)))</f>
        <v/>
      </c>
      <c r="M712" t="str">
        <f>IF($A712="","",IF($D712="V01",cad!$C$36,IF($D712="V02",cad!$D$36,cad!$E$36)))</f>
        <v/>
      </c>
      <c r="N712" t="str">
        <f t="shared" si="45"/>
        <v/>
      </c>
      <c r="O712" t="str">
        <f t="shared" si="46"/>
        <v/>
      </c>
      <c r="P712" t="str">
        <f>IF($A712="","",IF($E712=1,$F712*$O712,PNL!G712))</f>
        <v/>
      </c>
      <c r="T712" t="str">
        <f t="shared" si="47"/>
        <v/>
      </c>
    </row>
    <row r="713" spans="1:20" x14ac:dyDescent="0.45">
      <c r="A713" t="str">
        <f>IF(PNL!A713="","",PNL!A713)</f>
        <v/>
      </c>
      <c r="B713" t="str">
        <f>IF(PNL!B713="","",PNL!B713)</f>
        <v/>
      </c>
      <c r="C713" t="str">
        <f>IF(PNL!C713="","",PNL!C713)</f>
        <v/>
      </c>
      <c r="D713" t="str">
        <f>IF(PNL!D713="","",PNL!D713)</f>
        <v/>
      </c>
      <c r="E713" t="str">
        <f t="shared" si="44"/>
        <v/>
      </c>
      <c r="F713" t="str">
        <f>IF($A713="","",IF($E713=1,SUMIFS(Compta!$F$1:$F$675,Compta!$A$1:$A$675,$A713,Compta!$B$1:$B$675,$B713,Compta!$C$1:$C$675,"2026"),0))</f>
        <v/>
      </c>
      <c r="G713" t="str">
        <f>IF($A713="","",IF($D713="V01",cad!$C$23,IF($D713="V02",cad!$D$23,cad!$E$23)))</f>
        <v/>
      </c>
      <c r="H713" t="str">
        <f>IF($A713="","",IF($D713="V01",cad!$C$24,IF($D713="V02",cad!$D$24,cad!$E$24)))</f>
        <v/>
      </c>
      <c r="I713" t="str">
        <f>IF($A713="","",IF($D713="V01",cad!$C$32,IF($D713="V02",cad!$D$32,cad!$E$32)))</f>
        <v/>
      </c>
      <c r="J713" t="str">
        <f>IF($A713="","",IF($D713="V01",cad!$C$33,IF($D713="V02",cad!$D$33,cad!$E$33)))</f>
        <v/>
      </c>
      <c r="K713" t="str">
        <f>IF($A713="","",IF($D713="V01",cad!$C$34,IF($D713="V02",cad!$D$34,cad!$E$34)))</f>
        <v/>
      </c>
      <c r="L713" t="str">
        <f>IF($A713="","",IF($D713="V01",cad!$C$35,IF($D713="V02",cad!$D$35,cad!$E$35)))</f>
        <v/>
      </c>
      <c r="M713" t="str">
        <f>IF($A713="","",IF($D713="V01",cad!$C$36,IF($D713="V02",cad!$D$36,cad!$E$36)))</f>
        <v/>
      </c>
      <c r="N713" t="str">
        <f t="shared" si="45"/>
        <v/>
      </c>
      <c r="O713" t="str">
        <f t="shared" si="46"/>
        <v/>
      </c>
      <c r="P713" t="str">
        <f>IF($A713="","",IF($E713=1,$F713*$O713,PNL!G713))</f>
        <v/>
      </c>
      <c r="T713" t="str">
        <f t="shared" si="47"/>
        <v/>
      </c>
    </row>
    <row r="714" spans="1:20" x14ac:dyDescent="0.45">
      <c r="A714" t="str">
        <f>IF(PNL!A714="","",PNL!A714)</f>
        <v/>
      </c>
      <c r="B714" t="str">
        <f>IF(PNL!B714="","",PNL!B714)</f>
        <v/>
      </c>
      <c r="C714" t="str">
        <f>IF(PNL!C714="","",PNL!C714)</f>
        <v/>
      </c>
      <c r="D714" t="str">
        <f>IF(PNL!D714="","",PNL!D714)</f>
        <v/>
      </c>
      <c r="E714" t="str">
        <f t="shared" si="44"/>
        <v/>
      </c>
      <c r="F714" t="str">
        <f>IF($A714="","",IF($E714=1,SUMIFS(Compta!$F$1:$F$675,Compta!$A$1:$A$675,$A714,Compta!$B$1:$B$675,$B714,Compta!$C$1:$C$675,"2026"),0))</f>
        <v/>
      </c>
      <c r="G714" t="str">
        <f>IF($A714="","",IF($D714="V01",cad!$C$23,IF($D714="V02",cad!$D$23,cad!$E$23)))</f>
        <v/>
      </c>
      <c r="H714" t="str">
        <f>IF($A714="","",IF($D714="V01",cad!$C$24,IF($D714="V02",cad!$D$24,cad!$E$24)))</f>
        <v/>
      </c>
      <c r="I714" t="str">
        <f>IF($A714="","",IF($D714="V01",cad!$C$32,IF($D714="V02",cad!$D$32,cad!$E$32)))</f>
        <v/>
      </c>
      <c r="J714" t="str">
        <f>IF($A714="","",IF($D714="V01",cad!$C$33,IF($D714="V02",cad!$D$33,cad!$E$33)))</f>
        <v/>
      </c>
      <c r="K714" t="str">
        <f>IF($A714="","",IF($D714="V01",cad!$C$34,IF($D714="V02",cad!$D$34,cad!$E$34)))</f>
        <v/>
      </c>
      <c r="L714" t="str">
        <f>IF($A714="","",IF($D714="V01",cad!$C$35,IF($D714="V02",cad!$D$35,cad!$E$35)))</f>
        <v/>
      </c>
      <c r="M714" t="str">
        <f>IF($A714="","",IF($D714="V01",cad!$C$36,IF($D714="V02",cad!$D$36,cad!$E$36)))</f>
        <v/>
      </c>
      <c r="N714" t="str">
        <f t="shared" si="45"/>
        <v/>
      </c>
      <c r="O714" t="str">
        <f t="shared" si="46"/>
        <v/>
      </c>
      <c r="P714" t="str">
        <f>IF($A714="","",IF($E714=1,$F714*$O714,PNL!G714))</f>
        <v/>
      </c>
      <c r="T714" t="str">
        <f t="shared" si="47"/>
        <v/>
      </c>
    </row>
    <row r="715" spans="1:20" x14ac:dyDescent="0.45">
      <c r="A715" t="str">
        <f>IF(PNL!A715="","",PNL!A715)</f>
        <v/>
      </c>
      <c r="B715" t="str">
        <f>IF(PNL!B715="","",PNL!B715)</f>
        <v/>
      </c>
      <c r="C715" t="str">
        <f>IF(PNL!C715="","",PNL!C715)</f>
        <v/>
      </c>
      <c r="D715" t="str">
        <f>IF(PNL!D715="","",PNL!D715)</f>
        <v/>
      </c>
      <c r="E715" t="str">
        <f t="shared" si="44"/>
        <v/>
      </c>
      <c r="F715" t="str">
        <f>IF($A715="","",IF($E715=1,SUMIFS(Compta!$F$1:$F$675,Compta!$A$1:$A$675,$A715,Compta!$B$1:$B$675,$B715,Compta!$C$1:$C$675,"2026"),0))</f>
        <v/>
      </c>
      <c r="G715" t="str">
        <f>IF($A715="","",IF($D715="V01",cad!$C$23,IF($D715="V02",cad!$D$23,cad!$E$23)))</f>
        <v/>
      </c>
      <c r="H715" t="str">
        <f>IF($A715="","",IF($D715="V01",cad!$C$24,IF($D715="V02",cad!$D$24,cad!$E$24)))</f>
        <v/>
      </c>
      <c r="I715" t="str">
        <f>IF($A715="","",IF($D715="V01",cad!$C$32,IF($D715="V02",cad!$D$32,cad!$E$32)))</f>
        <v/>
      </c>
      <c r="J715" t="str">
        <f>IF($A715="","",IF($D715="V01",cad!$C$33,IF($D715="V02",cad!$D$33,cad!$E$33)))</f>
        <v/>
      </c>
      <c r="K715" t="str">
        <f>IF($A715="","",IF($D715="V01",cad!$C$34,IF($D715="V02",cad!$D$34,cad!$E$34)))</f>
        <v/>
      </c>
      <c r="L715" t="str">
        <f>IF($A715="","",IF($D715="V01",cad!$C$35,IF($D715="V02",cad!$D$35,cad!$E$35)))</f>
        <v/>
      </c>
      <c r="M715" t="str">
        <f>IF($A715="","",IF($D715="V01",cad!$C$36,IF($D715="V02",cad!$D$36,cad!$E$36)))</f>
        <v/>
      </c>
      <c r="N715" t="str">
        <f t="shared" si="45"/>
        <v/>
      </c>
      <c r="O715" t="str">
        <f t="shared" si="46"/>
        <v/>
      </c>
      <c r="P715" t="str">
        <f>IF($A715="","",IF($E715=1,$F715*$O715,PNL!G715))</f>
        <v/>
      </c>
      <c r="T715" t="str">
        <f t="shared" si="47"/>
        <v/>
      </c>
    </row>
    <row r="716" spans="1:20" x14ac:dyDescent="0.45">
      <c r="A716" t="str">
        <f>IF(PNL!A716="","",PNL!A716)</f>
        <v/>
      </c>
      <c r="B716" t="str">
        <f>IF(PNL!B716="","",PNL!B716)</f>
        <v/>
      </c>
      <c r="C716" t="str">
        <f>IF(PNL!C716="","",PNL!C716)</f>
        <v/>
      </c>
      <c r="D716" t="str">
        <f>IF(PNL!D716="","",PNL!D716)</f>
        <v/>
      </c>
      <c r="E716" t="str">
        <f t="shared" si="44"/>
        <v/>
      </c>
      <c r="F716" t="str">
        <f>IF($A716="","",IF($E716=1,SUMIFS(Compta!$F$1:$F$675,Compta!$A$1:$A$675,$A716,Compta!$B$1:$B$675,$B716,Compta!$C$1:$C$675,"2026"),0))</f>
        <v/>
      </c>
      <c r="G716" t="str">
        <f>IF($A716="","",IF($D716="V01",cad!$C$23,IF($D716="V02",cad!$D$23,cad!$E$23)))</f>
        <v/>
      </c>
      <c r="H716" t="str">
        <f>IF($A716="","",IF($D716="V01",cad!$C$24,IF($D716="V02",cad!$D$24,cad!$E$24)))</f>
        <v/>
      </c>
      <c r="I716" t="str">
        <f>IF($A716="","",IF($D716="V01",cad!$C$32,IF($D716="V02",cad!$D$32,cad!$E$32)))</f>
        <v/>
      </c>
      <c r="J716" t="str">
        <f>IF($A716="","",IF($D716="V01",cad!$C$33,IF($D716="V02",cad!$D$33,cad!$E$33)))</f>
        <v/>
      </c>
      <c r="K716" t="str">
        <f>IF($A716="","",IF($D716="V01",cad!$C$34,IF($D716="V02",cad!$D$34,cad!$E$34)))</f>
        <v/>
      </c>
      <c r="L716" t="str">
        <f>IF($A716="","",IF($D716="V01",cad!$C$35,IF($D716="V02",cad!$D$35,cad!$E$35)))</f>
        <v/>
      </c>
      <c r="M716" t="str">
        <f>IF($A716="","",IF($D716="V01",cad!$C$36,IF($D716="V02",cad!$D$36,cad!$E$36)))</f>
        <v/>
      </c>
      <c r="N716" t="str">
        <f t="shared" si="45"/>
        <v/>
      </c>
      <c r="O716" t="str">
        <f t="shared" si="46"/>
        <v/>
      </c>
      <c r="P716" t="str">
        <f>IF($A716="","",IF($E716=1,$F716*$O716,PNL!G716))</f>
        <v/>
      </c>
      <c r="T716" t="str">
        <f t="shared" si="47"/>
        <v/>
      </c>
    </row>
    <row r="717" spans="1:20" x14ac:dyDescent="0.45">
      <c r="A717" t="str">
        <f>IF(PNL!A717="","",PNL!A717)</f>
        <v/>
      </c>
      <c r="B717" t="str">
        <f>IF(PNL!B717="","",PNL!B717)</f>
        <v/>
      </c>
      <c r="C717" t="str">
        <f>IF(PNL!C717="","",PNL!C717)</f>
        <v/>
      </c>
      <c r="D717" t="str">
        <f>IF(PNL!D717="","",PNL!D717)</f>
        <v/>
      </c>
      <c r="E717" t="str">
        <f t="shared" si="44"/>
        <v/>
      </c>
      <c r="F717" t="str">
        <f>IF($A717="","",IF($E717=1,SUMIFS(Compta!$F$1:$F$675,Compta!$A$1:$A$675,$A717,Compta!$B$1:$B$675,$B717,Compta!$C$1:$C$675,"2026"),0))</f>
        <v/>
      </c>
      <c r="G717" t="str">
        <f>IF($A717="","",IF($D717="V01",cad!$C$23,IF($D717="V02",cad!$D$23,cad!$E$23)))</f>
        <v/>
      </c>
      <c r="H717" t="str">
        <f>IF($A717="","",IF($D717="V01",cad!$C$24,IF($D717="V02",cad!$D$24,cad!$E$24)))</f>
        <v/>
      </c>
      <c r="I717" t="str">
        <f>IF($A717="","",IF($D717="V01",cad!$C$32,IF($D717="V02",cad!$D$32,cad!$E$32)))</f>
        <v/>
      </c>
      <c r="J717" t="str">
        <f>IF($A717="","",IF($D717="V01",cad!$C$33,IF($D717="V02",cad!$D$33,cad!$E$33)))</f>
        <v/>
      </c>
      <c r="K717" t="str">
        <f>IF($A717="","",IF($D717="V01",cad!$C$34,IF($D717="V02",cad!$D$34,cad!$E$34)))</f>
        <v/>
      </c>
      <c r="L717" t="str">
        <f>IF($A717="","",IF($D717="V01",cad!$C$35,IF($D717="V02",cad!$D$35,cad!$E$35)))</f>
        <v/>
      </c>
      <c r="M717" t="str">
        <f>IF($A717="","",IF($D717="V01",cad!$C$36,IF($D717="V02",cad!$D$36,cad!$E$36)))</f>
        <v/>
      </c>
      <c r="N717" t="str">
        <f t="shared" si="45"/>
        <v/>
      </c>
      <c r="O717" t="str">
        <f t="shared" si="46"/>
        <v/>
      </c>
      <c r="P717" t="str">
        <f>IF($A717="","",IF($E717=1,$F717*$O717,PNL!G717))</f>
        <v/>
      </c>
      <c r="T717" t="str">
        <f t="shared" si="47"/>
        <v/>
      </c>
    </row>
    <row r="718" spans="1:20" x14ac:dyDescent="0.45">
      <c r="A718" t="str">
        <f>IF(PNL!A718="","",PNL!A718)</f>
        <v/>
      </c>
      <c r="B718" t="str">
        <f>IF(PNL!B718="","",PNL!B718)</f>
        <v/>
      </c>
      <c r="C718" t="str">
        <f>IF(PNL!C718="","",PNL!C718)</f>
        <v/>
      </c>
      <c r="D718" t="str">
        <f>IF(PNL!D718="","",PNL!D718)</f>
        <v/>
      </c>
      <c r="E718" t="str">
        <f t="shared" si="44"/>
        <v/>
      </c>
      <c r="F718" t="str">
        <f>IF($A718="","",IF($E718=1,SUMIFS(Compta!$F$1:$F$675,Compta!$A$1:$A$675,$A718,Compta!$B$1:$B$675,$B718,Compta!$C$1:$C$675,"2026"),0))</f>
        <v/>
      </c>
      <c r="G718" t="str">
        <f>IF($A718="","",IF($D718="V01",cad!$C$23,IF($D718="V02",cad!$D$23,cad!$E$23)))</f>
        <v/>
      </c>
      <c r="H718" t="str">
        <f>IF($A718="","",IF($D718="V01",cad!$C$24,IF($D718="V02",cad!$D$24,cad!$E$24)))</f>
        <v/>
      </c>
      <c r="I718" t="str">
        <f>IF($A718="","",IF($D718="V01",cad!$C$32,IF($D718="V02",cad!$D$32,cad!$E$32)))</f>
        <v/>
      </c>
      <c r="J718" t="str">
        <f>IF($A718="","",IF($D718="V01",cad!$C$33,IF($D718="V02",cad!$D$33,cad!$E$33)))</f>
        <v/>
      </c>
      <c r="K718" t="str">
        <f>IF($A718="","",IF($D718="V01",cad!$C$34,IF($D718="V02",cad!$D$34,cad!$E$34)))</f>
        <v/>
      </c>
      <c r="L718" t="str">
        <f>IF($A718="","",IF($D718="V01",cad!$C$35,IF($D718="V02",cad!$D$35,cad!$E$35)))</f>
        <v/>
      </c>
      <c r="M718" t="str">
        <f>IF($A718="","",IF($D718="V01",cad!$C$36,IF($D718="V02",cad!$D$36,cad!$E$36)))</f>
        <v/>
      </c>
      <c r="N718" t="str">
        <f t="shared" si="45"/>
        <v/>
      </c>
      <c r="O718" t="str">
        <f t="shared" si="46"/>
        <v/>
      </c>
      <c r="P718" t="str">
        <f>IF($A718="","",IF($E718=1,$F718*$O718,PNL!G718))</f>
        <v/>
      </c>
      <c r="T718" t="str">
        <f t="shared" si="47"/>
        <v/>
      </c>
    </row>
    <row r="719" spans="1:20" x14ac:dyDescent="0.45">
      <c r="A719" t="str">
        <f>IF(PNL!A719="","",PNL!A719)</f>
        <v/>
      </c>
      <c r="B719" t="str">
        <f>IF(PNL!B719="","",PNL!B719)</f>
        <v/>
      </c>
      <c r="C719" t="str">
        <f>IF(PNL!C719="","",PNL!C719)</f>
        <v/>
      </c>
      <c r="D719" t="str">
        <f>IF(PNL!D719="","",PNL!D719)</f>
        <v/>
      </c>
      <c r="E719" t="str">
        <f t="shared" si="44"/>
        <v/>
      </c>
      <c r="F719" t="str">
        <f>IF($A719="","",IF($E719=1,SUMIFS(Compta!$F$1:$F$675,Compta!$A$1:$A$675,$A719,Compta!$B$1:$B$675,$B719,Compta!$C$1:$C$675,"2026"),0))</f>
        <v/>
      </c>
      <c r="G719" t="str">
        <f>IF($A719="","",IF($D719="V01",cad!$C$23,IF($D719="V02",cad!$D$23,cad!$E$23)))</f>
        <v/>
      </c>
      <c r="H719" t="str">
        <f>IF($A719="","",IF($D719="V01",cad!$C$24,IF($D719="V02",cad!$D$24,cad!$E$24)))</f>
        <v/>
      </c>
      <c r="I719" t="str">
        <f>IF($A719="","",IF($D719="V01",cad!$C$32,IF($D719="V02",cad!$D$32,cad!$E$32)))</f>
        <v/>
      </c>
      <c r="J719" t="str">
        <f>IF($A719="","",IF($D719="V01",cad!$C$33,IF($D719="V02",cad!$D$33,cad!$E$33)))</f>
        <v/>
      </c>
      <c r="K719" t="str">
        <f>IF($A719="","",IF($D719="V01",cad!$C$34,IF($D719="V02",cad!$D$34,cad!$E$34)))</f>
        <v/>
      </c>
      <c r="L719" t="str">
        <f>IF($A719="","",IF($D719="V01",cad!$C$35,IF($D719="V02",cad!$D$35,cad!$E$35)))</f>
        <v/>
      </c>
      <c r="M719" t="str">
        <f>IF($A719="","",IF($D719="V01",cad!$C$36,IF($D719="V02",cad!$D$36,cad!$E$36)))</f>
        <v/>
      </c>
      <c r="N719" t="str">
        <f t="shared" si="45"/>
        <v/>
      </c>
      <c r="O719" t="str">
        <f t="shared" si="46"/>
        <v/>
      </c>
      <c r="P719" t="str">
        <f>IF($A719="","",IF($E719=1,$F719*$O719,PNL!G719))</f>
        <v/>
      </c>
      <c r="T719" t="str">
        <f t="shared" si="47"/>
        <v/>
      </c>
    </row>
    <row r="720" spans="1:20" x14ac:dyDescent="0.45">
      <c r="A720" t="str">
        <f>IF(PNL!A720="","",PNL!A720)</f>
        <v/>
      </c>
      <c r="B720" t="str">
        <f>IF(PNL!B720="","",PNL!B720)</f>
        <v/>
      </c>
      <c r="C720" t="str">
        <f>IF(PNL!C720="","",PNL!C720)</f>
        <v/>
      </c>
      <c r="D720" t="str">
        <f>IF(PNL!D720="","",PNL!D720)</f>
        <v/>
      </c>
      <c r="E720" t="str">
        <f t="shared" si="44"/>
        <v/>
      </c>
      <c r="F720" t="str">
        <f>IF($A720="","",IF($E720=1,SUMIFS(Compta!$F$1:$F$675,Compta!$A$1:$A$675,$A720,Compta!$B$1:$B$675,$B720,Compta!$C$1:$C$675,"2026"),0))</f>
        <v/>
      </c>
      <c r="G720" t="str">
        <f>IF($A720="","",IF($D720="V01",cad!$C$23,IF($D720="V02",cad!$D$23,cad!$E$23)))</f>
        <v/>
      </c>
      <c r="H720" t="str">
        <f>IF($A720="","",IF($D720="V01",cad!$C$24,IF($D720="V02",cad!$D$24,cad!$E$24)))</f>
        <v/>
      </c>
      <c r="I720" t="str">
        <f>IF($A720="","",IF($D720="V01",cad!$C$32,IF($D720="V02",cad!$D$32,cad!$E$32)))</f>
        <v/>
      </c>
      <c r="J720" t="str">
        <f>IF($A720="","",IF($D720="V01",cad!$C$33,IF($D720="V02",cad!$D$33,cad!$E$33)))</f>
        <v/>
      </c>
      <c r="K720" t="str">
        <f>IF($A720="","",IF($D720="V01",cad!$C$34,IF($D720="V02",cad!$D$34,cad!$E$34)))</f>
        <v/>
      </c>
      <c r="L720" t="str">
        <f>IF($A720="","",IF($D720="V01",cad!$C$35,IF($D720="V02",cad!$D$35,cad!$E$35)))</f>
        <v/>
      </c>
      <c r="M720" t="str">
        <f>IF($A720="","",IF($D720="V01",cad!$C$36,IF($D720="V02",cad!$D$36,cad!$E$36)))</f>
        <v/>
      </c>
      <c r="N720" t="str">
        <f t="shared" si="45"/>
        <v/>
      </c>
      <c r="O720" t="str">
        <f t="shared" si="46"/>
        <v/>
      </c>
      <c r="P720" t="str">
        <f>IF($A720="","",IF($E720=1,$F720*$O720,PNL!G720))</f>
        <v/>
      </c>
      <c r="T720" t="str">
        <f t="shared" si="47"/>
        <v/>
      </c>
    </row>
    <row r="721" spans="1:20" x14ac:dyDescent="0.45">
      <c r="A721" t="str">
        <f>IF(PNL!A721="","",PNL!A721)</f>
        <v/>
      </c>
      <c r="B721" t="str">
        <f>IF(PNL!B721="","",PNL!B721)</f>
        <v/>
      </c>
      <c r="C721" t="str">
        <f>IF(PNL!C721="","",PNL!C721)</f>
        <v/>
      </c>
      <c r="D721" t="str">
        <f>IF(PNL!D721="","",PNL!D721)</f>
        <v/>
      </c>
      <c r="E721" t="str">
        <f t="shared" si="44"/>
        <v/>
      </c>
      <c r="F721" t="str">
        <f>IF($A721="","",IF($E721=1,SUMIFS(Compta!$F$1:$F$675,Compta!$A$1:$A$675,$A721,Compta!$B$1:$B$675,$B721,Compta!$C$1:$C$675,"2026"),0))</f>
        <v/>
      </c>
      <c r="G721" t="str">
        <f>IF($A721="","",IF($D721="V01",cad!$C$23,IF($D721="V02",cad!$D$23,cad!$E$23)))</f>
        <v/>
      </c>
      <c r="H721" t="str">
        <f>IF($A721="","",IF($D721="V01",cad!$C$24,IF($D721="V02",cad!$D$24,cad!$E$24)))</f>
        <v/>
      </c>
      <c r="I721" t="str">
        <f>IF($A721="","",IF($D721="V01",cad!$C$32,IF($D721="V02",cad!$D$32,cad!$E$32)))</f>
        <v/>
      </c>
      <c r="J721" t="str">
        <f>IF($A721="","",IF($D721="V01",cad!$C$33,IF($D721="V02",cad!$D$33,cad!$E$33)))</f>
        <v/>
      </c>
      <c r="K721" t="str">
        <f>IF($A721="","",IF($D721="V01",cad!$C$34,IF($D721="V02",cad!$D$34,cad!$E$34)))</f>
        <v/>
      </c>
      <c r="L721" t="str">
        <f>IF($A721="","",IF($D721="V01",cad!$C$35,IF($D721="V02",cad!$D$35,cad!$E$35)))</f>
        <v/>
      </c>
      <c r="M721" t="str">
        <f>IF($A721="","",IF($D721="V01",cad!$C$36,IF($D721="V02",cad!$D$36,cad!$E$36)))</f>
        <v/>
      </c>
      <c r="N721" t="str">
        <f t="shared" si="45"/>
        <v/>
      </c>
      <c r="O721" t="str">
        <f t="shared" si="46"/>
        <v/>
      </c>
      <c r="P721" t="str">
        <f>IF($A721="","",IF($E721=1,$F721*$O721,PNL!G721))</f>
        <v/>
      </c>
      <c r="T721" t="str">
        <f t="shared" si="47"/>
        <v/>
      </c>
    </row>
    <row r="722" spans="1:20" x14ac:dyDescent="0.45">
      <c r="A722" t="str">
        <f>IF(PNL!A722="","",PNL!A722)</f>
        <v/>
      </c>
      <c r="B722" t="str">
        <f>IF(PNL!B722="","",PNL!B722)</f>
        <v/>
      </c>
      <c r="C722" t="str">
        <f>IF(PNL!C722="","",PNL!C722)</f>
        <v/>
      </c>
      <c r="D722" t="str">
        <f>IF(PNL!D722="","",PNL!D722)</f>
        <v/>
      </c>
      <c r="E722" t="str">
        <f t="shared" si="44"/>
        <v/>
      </c>
      <c r="F722" t="str">
        <f>IF($A722="","",IF($E722=1,SUMIFS(Compta!$F$1:$F$675,Compta!$A$1:$A$675,$A722,Compta!$B$1:$B$675,$B722,Compta!$C$1:$C$675,"2026"),0))</f>
        <v/>
      </c>
      <c r="G722" t="str">
        <f>IF($A722="","",IF($D722="V01",cad!$C$23,IF($D722="V02",cad!$D$23,cad!$E$23)))</f>
        <v/>
      </c>
      <c r="H722" t="str">
        <f>IF($A722="","",IF($D722="V01",cad!$C$24,IF($D722="V02",cad!$D$24,cad!$E$24)))</f>
        <v/>
      </c>
      <c r="I722" t="str">
        <f>IF($A722="","",IF($D722="V01",cad!$C$32,IF($D722="V02",cad!$D$32,cad!$E$32)))</f>
        <v/>
      </c>
      <c r="J722" t="str">
        <f>IF($A722="","",IF($D722="V01",cad!$C$33,IF($D722="V02",cad!$D$33,cad!$E$33)))</f>
        <v/>
      </c>
      <c r="K722" t="str">
        <f>IF($A722="","",IF($D722="V01",cad!$C$34,IF($D722="V02",cad!$D$34,cad!$E$34)))</f>
        <v/>
      </c>
      <c r="L722" t="str">
        <f>IF($A722="","",IF($D722="V01",cad!$C$35,IF($D722="V02",cad!$D$35,cad!$E$35)))</f>
        <v/>
      </c>
      <c r="M722" t="str">
        <f>IF($A722="","",IF($D722="V01",cad!$C$36,IF($D722="V02",cad!$D$36,cad!$E$36)))</f>
        <v/>
      </c>
      <c r="N722" t="str">
        <f t="shared" si="45"/>
        <v/>
      </c>
      <c r="O722" t="str">
        <f t="shared" si="46"/>
        <v/>
      </c>
      <c r="P722" t="str">
        <f>IF($A722="","",IF($E722=1,$F722*$O722,PNL!G722))</f>
        <v/>
      </c>
      <c r="T722" t="str">
        <f t="shared" si="47"/>
        <v/>
      </c>
    </row>
    <row r="723" spans="1:20" x14ac:dyDescent="0.45">
      <c r="A723" t="str">
        <f>IF(PNL!A723="","",PNL!A723)</f>
        <v/>
      </c>
      <c r="B723" t="str">
        <f>IF(PNL!B723="","",PNL!B723)</f>
        <v/>
      </c>
      <c r="C723" t="str">
        <f>IF(PNL!C723="","",PNL!C723)</f>
        <v/>
      </c>
      <c r="D723" t="str">
        <f>IF(PNL!D723="","",PNL!D723)</f>
        <v/>
      </c>
      <c r="E723" t="str">
        <f t="shared" si="44"/>
        <v/>
      </c>
      <c r="F723" t="str">
        <f>IF($A723="","",IF($E723=1,SUMIFS(Compta!$F$1:$F$675,Compta!$A$1:$A$675,$A723,Compta!$B$1:$B$675,$B723,Compta!$C$1:$C$675,"2026"),0))</f>
        <v/>
      </c>
      <c r="G723" t="str">
        <f>IF($A723="","",IF($D723="V01",cad!$C$23,IF($D723="V02",cad!$D$23,cad!$E$23)))</f>
        <v/>
      </c>
      <c r="H723" t="str">
        <f>IF($A723="","",IF($D723="V01",cad!$C$24,IF($D723="V02",cad!$D$24,cad!$E$24)))</f>
        <v/>
      </c>
      <c r="I723" t="str">
        <f>IF($A723="","",IF($D723="V01",cad!$C$32,IF($D723="V02",cad!$D$32,cad!$E$32)))</f>
        <v/>
      </c>
      <c r="J723" t="str">
        <f>IF($A723="","",IF($D723="V01",cad!$C$33,IF($D723="V02",cad!$D$33,cad!$E$33)))</f>
        <v/>
      </c>
      <c r="K723" t="str">
        <f>IF($A723="","",IF($D723="V01",cad!$C$34,IF($D723="V02",cad!$D$34,cad!$E$34)))</f>
        <v/>
      </c>
      <c r="L723" t="str">
        <f>IF($A723="","",IF($D723="V01",cad!$C$35,IF($D723="V02",cad!$D$35,cad!$E$35)))</f>
        <v/>
      </c>
      <c r="M723" t="str">
        <f>IF($A723="","",IF($D723="V01",cad!$C$36,IF($D723="V02",cad!$D$36,cad!$E$36)))</f>
        <v/>
      </c>
      <c r="N723" t="str">
        <f t="shared" si="45"/>
        <v/>
      </c>
      <c r="O723" t="str">
        <f t="shared" si="46"/>
        <v/>
      </c>
      <c r="P723" t="str">
        <f>IF($A723="","",IF($E723=1,$F723*$O723,PNL!G723))</f>
        <v/>
      </c>
      <c r="T723" t="str">
        <f t="shared" si="47"/>
        <v/>
      </c>
    </row>
    <row r="724" spans="1:20" x14ac:dyDescent="0.45">
      <c r="A724" t="str">
        <f>IF(PNL!A724="","",PNL!A724)</f>
        <v/>
      </c>
      <c r="B724" t="str">
        <f>IF(PNL!B724="","",PNL!B724)</f>
        <v/>
      </c>
      <c r="C724" t="str">
        <f>IF(PNL!C724="","",PNL!C724)</f>
        <v/>
      </c>
      <c r="D724" t="str">
        <f>IF(PNL!D724="","",PNL!D724)</f>
        <v/>
      </c>
      <c r="E724" t="str">
        <f t="shared" si="44"/>
        <v/>
      </c>
      <c r="F724" t="str">
        <f>IF($A724="","",IF($E724=1,SUMIFS(Compta!$F$1:$F$675,Compta!$A$1:$A$675,$A724,Compta!$B$1:$B$675,$B724,Compta!$C$1:$C$675,"2026"),0))</f>
        <v/>
      </c>
      <c r="G724" t="str">
        <f>IF($A724="","",IF($D724="V01",cad!$C$23,IF($D724="V02",cad!$D$23,cad!$E$23)))</f>
        <v/>
      </c>
      <c r="H724" t="str">
        <f>IF($A724="","",IF($D724="V01",cad!$C$24,IF($D724="V02",cad!$D$24,cad!$E$24)))</f>
        <v/>
      </c>
      <c r="I724" t="str">
        <f>IF($A724="","",IF($D724="V01",cad!$C$32,IF($D724="V02",cad!$D$32,cad!$E$32)))</f>
        <v/>
      </c>
      <c r="J724" t="str">
        <f>IF($A724="","",IF($D724="V01",cad!$C$33,IF($D724="V02",cad!$D$33,cad!$E$33)))</f>
        <v/>
      </c>
      <c r="K724" t="str">
        <f>IF($A724="","",IF($D724="V01",cad!$C$34,IF($D724="V02",cad!$D$34,cad!$E$34)))</f>
        <v/>
      </c>
      <c r="L724" t="str">
        <f>IF($A724="","",IF($D724="V01",cad!$C$35,IF($D724="V02",cad!$D$35,cad!$E$35)))</f>
        <v/>
      </c>
      <c r="M724" t="str">
        <f>IF($A724="","",IF($D724="V01",cad!$C$36,IF($D724="V02",cad!$D$36,cad!$E$36)))</f>
        <v/>
      </c>
      <c r="N724" t="str">
        <f t="shared" si="45"/>
        <v/>
      </c>
      <c r="O724" t="str">
        <f t="shared" si="46"/>
        <v/>
      </c>
      <c r="P724" t="str">
        <f>IF($A724="","",IF($E724=1,$F724*$O724,PNL!G724))</f>
        <v/>
      </c>
      <c r="T724" t="str">
        <f t="shared" si="47"/>
        <v/>
      </c>
    </row>
    <row r="725" spans="1:20" x14ac:dyDescent="0.45">
      <c r="A725" t="str">
        <f>IF(PNL!A725="","",PNL!A725)</f>
        <v/>
      </c>
      <c r="B725" t="str">
        <f>IF(PNL!B725="","",PNL!B725)</f>
        <v/>
      </c>
      <c r="C725" t="str">
        <f>IF(PNL!C725="","",PNL!C725)</f>
        <v/>
      </c>
      <c r="D725" t="str">
        <f>IF(PNL!D725="","",PNL!D725)</f>
        <v/>
      </c>
      <c r="E725" t="str">
        <f t="shared" si="44"/>
        <v/>
      </c>
      <c r="F725" t="str">
        <f>IF($A725="","",IF($E725=1,SUMIFS(Compta!$F$1:$F$675,Compta!$A$1:$A$675,$A725,Compta!$B$1:$B$675,$B725,Compta!$C$1:$C$675,"2026"),0))</f>
        <v/>
      </c>
      <c r="G725" t="str">
        <f>IF($A725="","",IF($D725="V01",cad!$C$23,IF($D725="V02",cad!$D$23,cad!$E$23)))</f>
        <v/>
      </c>
      <c r="H725" t="str">
        <f>IF($A725="","",IF($D725="V01",cad!$C$24,IF($D725="V02",cad!$D$24,cad!$E$24)))</f>
        <v/>
      </c>
      <c r="I725" t="str">
        <f>IF($A725="","",IF($D725="V01",cad!$C$32,IF($D725="V02",cad!$D$32,cad!$E$32)))</f>
        <v/>
      </c>
      <c r="J725" t="str">
        <f>IF($A725="","",IF($D725="V01",cad!$C$33,IF($D725="V02",cad!$D$33,cad!$E$33)))</f>
        <v/>
      </c>
      <c r="K725" t="str">
        <f>IF($A725="","",IF($D725="V01",cad!$C$34,IF($D725="V02",cad!$D$34,cad!$E$34)))</f>
        <v/>
      </c>
      <c r="L725" t="str">
        <f>IF($A725="","",IF($D725="V01",cad!$C$35,IF($D725="V02",cad!$D$35,cad!$E$35)))</f>
        <v/>
      </c>
      <c r="M725" t="str">
        <f>IF($A725="","",IF($D725="V01",cad!$C$36,IF($D725="V02",cad!$D$36,cad!$E$36)))</f>
        <v/>
      </c>
      <c r="N725" t="str">
        <f t="shared" si="45"/>
        <v/>
      </c>
      <c r="O725" t="str">
        <f t="shared" si="46"/>
        <v/>
      </c>
      <c r="P725" t="str">
        <f>IF($A725="","",IF($E725=1,$F725*$O725,PNL!G725))</f>
        <v/>
      </c>
      <c r="T725" t="str">
        <f t="shared" si="47"/>
        <v/>
      </c>
    </row>
    <row r="726" spans="1:20" x14ac:dyDescent="0.45">
      <c r="A726" t="str">
        <f>IF(PNL!A726="","",PNL!A726)</f>
        <v/>
      </c>
      <c r="B726" t="str">
        <f>IF(PNL!B726="","",PNL!B726)</f>
        <v/>
      </c>
      <c r="C726" t="str">
        <f>IF(PNL!C726="","",PNL!C726)</f>
        <v/>
      </c>
      <c r="D726" t="str">
        <f>IF(PNL!D726="","",PNL!D726)</f>
        <v/>
      </c>
      <c r="E726" t="str">
        <f t="shared" si="44"/>
        <v/>
      </c>
      <c r="F726" t="str">
        <f>IF($A726="","",IF($E726=1,SUMIFS(Compta!$F$1:$F$675,Compta!$A$1:$A$675,$A726,Compta!$B$1:$B$675,$B726,Compta!$C$1:$C$675,"2026"),0))</f>
        <v/>
      </c>
      <c r="G726" t="str">
        <f>IF($A726="","",IF($D726="V01",cad!$C$23,IF($D726="V02",cad!$D$23,cad!$E$23)))</f>
        <v/>
      </c>
      <c r="H726" t="str">
        <f>IF($A726="","",IF($D726="V01",cad!$C$24,IF($D726="V02",cad!$D$24,cad!$E$24)))</f>
        <v/>
      </c>
      <c r="I726" t="str">
        <f>IF($A726="","",IF($D726="V01",cad!$C$32,IF($D726="V02",cad!$D$32,cad!$E$32)))</f>
        <v/>
      </c>
      <c r="J726" t="str">
        <f>IF($A726="","",IF($D726="V01",cad!$C$33,IF($D726="V02",cad!$D$33,cad!$E$33)))</f>
        <v/>
      </c>
      <c r="K726" t="str">
        <f>IF($A726="","",IF($D726="V01",cad!$C$34,IF($D726="V02",cad!$D$34,cad!$E$34)))</f>
        <v/>
      </c>
      <c r="L726" t="str">
        <f>IF($A726="","",IF($D726="V01",cad!$C$35,IF($D726="V02",cad!$D$35,cad!$E$35)))</f>
        <v/>
      </c>
      <c r="M726" t="str">
        <f>IF($A726="","",IF($D726="V01",cad!$C$36,IF($D726="V02",cad!$D$36,cad!$E$36)))</f>
        <v/>
      </c>
      <c r="N726" t="str">
        <f t="shared" si="45"/>
        <v/>
      </c>
      <c r="O726" t="str">
        <f t="shared" si="46"/>
        <v/>
      </c>
      <c r="P726" t="str">
        <f>IF($A726="","",IF($E726=1,$F726*$O726,PNL!G726))</f>
        <v/>
      </c>
      <c r="T726" t="str">
        <f t="shared" si="47"/>
        <v/>
      </c>
    </row>
    <row r="727" spans="1:20" x14ac:dyDescent="0.45">
      <c r="A727" t="str">
        <f>IF(PNL!A727="","",PNL!A727)</f>
        <v/>
      </c>
      <c r="B727" t="str">
        <f>IF(PNL!B727="","",PNL!B727)</f>
        <v/>
      </c>
      <c r="C727" t="str">
        <f>IF(PNL!C727="","",PNL!C727)</f>
        <v/>
      </c>
      <c r="D727" t="str">
        <f>IF(PNL!D727="","",PNL!D727)</f>
        <v/>
      </c>
      <c r="E727" t="str">
        <f t="shared" si="44"/>
        <v/>
      </c>
      <c r="F727" t="str">
        <f>IF($A727="","",IF($E727=1,SUMIFS(Compta!$F$1:$F$675,Compta!$A$1:$A$675,$A727,Compta!$B$1:$B$675,$B727,Compta!$C$1:$C$675,"2026"),0))</f>
        <v/>
      </c>
      <c r="G727" t="str">
        <f>IF($A727="","",IF($D727="V01",cad!$C$23,IF($D727="V02",cad!$D$23,cad!$E$23)))</f>
        <v/>
      </c>
      <c r="H727" t="str">
        <f>IF($A727="","",IF($D727="V01",cad!$C$24,IF($D727="V02",cad!$D$24,cad!$E$24)))</f>
        <v/>
      </c>
      <c r="I727" t="str">
        <f>IF($A727="","",IF($D727="V01",cad!$C$32,IF($D727="V02",cad!$D$32,cad!$E$32)))</f>
        <v/>
      </c>
      <c r="J727" t="str">
        <f>IF($A727="","",IF($D727="V01",cad!$C$33,IF($D727="V02",cad!$D$33,cad!$E$33)))</f>
        <v/>
      </c>
      <c r="K727" t="str">
        <f>IF($A727="","",IF($D727="V01",cad!$C$34,IF($D727="V02",cad!$D$34,cad!$E$34)))</f>
        <v/>
      </c>
      <c r="L727" t="str">
        <f>IF($A727="","",IF($D727="V01",cad!$C$35,IF($D727="V02",cad!$D$35,cad!$E$35)))</f>
        <v/>
      </c>
      <c r="M727" t="str">
        <f>IF($A727="","",IF($D727="V01",cad!$C$36,IF($D727="V02",cad!$D$36,cad!$E$36)))</f>
        <v/>
      </c>
      <c r="N727" t="str">
        <f t="shared" si="45"/>
        <v/>
      </c>
      <c r="O727" t="str">
        <f t="shared" si="46"/>
        <v/>
      </c>
      <c r="P727" t="str">
        <f>IF($A727="","",IF($E727=1,$F727*$O727,PNL!G727))</f>
        <v/>
      </c>
      <c r="T727" t="str">
        <f t="shared" si="47"/>
        <v/>
      </c>
    </row>
    <row r="728" spans="1:20" x14ac:dyDescent="0.45">
      <c r="A728" t="str">
        <f>IF(PNL!A728="","",PNL!A728)</f>
        <v/>
      </c>
      <c r="B728" t="str">
        <f>IF(PNL!B728="","",PNL!B728)</f>
        <v/>
      </c>
      <c r="C728" t="str">
        <f>IF(PNL!C728="","",PNL!C728)</f>
        <v/>
      </c>
      <c r="D728" t="str">
        <f>IF(PNL!D728="","",PNL!D728)</f>
        <v/>
      </c>
      <c r="E728" t="str">
        <f t="shared" si="44"/>
        <v/>
      </c>
      <c r="F728" t="str">
        <f>IF($A728="","",IF($E728=1,SUMIFS(Compta!$F$1:$F$675,Compta!$A$1:$A$675,$A728,Compta!$B$1:$B$675,$B728,Compta!$C$1:$C$675,"2026"),0))</f>
        <v/>
      </c>
      <c r="G728" t="str">
        <f>IF($A728="","",IF($D728="V01",cad!$C$23,IF($D728="V02",cad!$D$23,cad!$E$23)))</f>
        <v/>
      </c>
      <c r="H728" t="str">
        <f>IF($A728="","",IF($D728="V01",cad!$C$24,IF($D728="V02",cad!$D$24,cad!$E$24)))</f>
        <v/>
      </c>
      <c r="I728" t="str">
        <f>IF($A728="","",IF($D728="V01",cad!$C$32,IF($D728="V02",cad!$D$32,cad!$E$32)))</f>
        <v/>
      </c>
      <c r="J728" t="str">
        <f>IF($A728="","",IF($D728="V01",cad!$C$33,IF($D728="V02",cad!$D$33,cad!$E$33)))</f>
        <v/>
      </c>
      <c r="K728" t="str">
        <f>IF($A728="","",IF($D728="V01",cad!$C$34,IF($D728="V02",cad!$D$34,cad!$E$34)))</f>
        <v/>
      </c>
      <c r="L728" t="str">
        <f>IF($A728="","",IF($D728="V01",cad!$C$35,IF($D728="V02",cad!$D$35,cad!$E$35)))</f>
        <v/>
      </c>
      <c r="M728" t="str">
        <f>IF($A728="","",IF($D728="V01",cad!$C$36,IF($D728="V02",cad!$D$36,cad!$E$36)))</f>
        <v/>
      </c>
      <c r="N728" t="str">
        <f t="shared" si="45"/>
        <v/>
      </c>
      <c r="O728" t="str">
        <f t="shared" si="46"/>
        <v/>
      </c>
      <c r="P728" t="str">
        <f>IF($A728="","",IF($E728=1,$F728*$O728,PNL!G728))</f>
        <v/>
      </c>
      <c r="T728" t="str">
        <f t="shared" si="47"/>
        <v/>
      </c>
    </row>
    <row r="729" spans="1:20" x14ac:dyDescent="0.45">
      <c r="A729" t="str">
        <f>IF(PNL!A729="","",PNL!A729)</f>
        <v/>
      </c>
      <c r="B729" t="str">
        <f>IF(PNL!B729="","",PNL!B729)</f>
        <v/>
      </c>
      <c r="C729" t="str">
        <f>IF(PNL!C729="","",PNL!C729)</f>
        <v/>
      </c>
      <c r="D729" t="str">
        <f>IF(PNL!D729="","",PNL!D729)</f>
        <v/>
      </c>
      <c r="E729" t="str">
        <f t="shared" si="44"/>
        <v/>
      </c>
      <c r="F729" t="str">
        <f>IF($A729="","",IF($E729=1,SUMIFS(Compta!$F$1:$F$675,Compta!$A$1:$A$675,$A729,Compta!$B$1:$B$675,$B729,Compta!$C$1:$C$675,"2026"),0))</f>
        <v/>
      </c>
      <c r="G729" t="str">
        <f>IF($A729="","",IF($D729="V01",cad!$C$23,IF($D729="V02",cad!$D$23,cad!$E$23)))</f>
        <v/>
      </c>
      <c r="H729" t="str">
        <f>IF($A729="","",IF($D729="V01",cad!$C$24,IF($D729="V02",cad!$D$24,cad!$E$24)))</f>
        <v/>
      </c>
      <c r="I729" t="str">
        <f>IF($A729="","",IF($D729="V01",cad!$C$32,IF($D729="V02",cad!$D$32,cad!$E$32)))</f>
        <v/>
      </c>
      <c r="J729" t="str">
        <f>IF($A729="","",IF($D729="V01",cad!$C$33,IF($D729="V02",cad!$D$33,cad!$E$33)))</f>
        <v/>
      </c>
      <c r="K729" t="str">
        <f>IF($A729="","",IF($D729="V01",cad!$C$34,IF($D729="V02",cad!$D$34,cad!$E$34)))</f>
        <v/>
      </c>
      <c r="L729" t="str">
        <f>IF($A729="","",IF($D729="V01",cad!$C$35,IF($D729="V02",cad!$D$35,cad!$E$35)))</f>
        <v/>
      </c>
      <c r="M729" t="str">
        <f>IF($A729="","",IF($D729="V01",cad!$C$36,IF($D729="V02",cad!$D$36,cad!$E$36)))</f>
        <v/>
      </c>
      <c r="N729" t="str">
        <f t="shared" si="45"/>
        <v/>
      </c>
      <c r="O729" t="str">
        <f t="shared" si="46"/>
        <v/>
      </c>
      <c r="P729" t="str">
        <f>IF($A729="","",IF($E729=1,$F729*$O729,PNL!G729))</f>
        <v/>
      </c>
      <c r="T729" t="str">
        <f t="shared" si="47"/>
        <v/>
      </c>
    </row>
    <row r="730" spans="1:20" x14ac:dyDescent="0.45">
      <c r="A730" t="str">
        <f>IF(PNL!A730="","",PNL!A730)</f>
        <v/>
      </c>
      <c r="B730" t="str">
        <f>IF(PNL!B730="","",PNL!B730)</f>
        <v/>
      </c>
      <c r="C730" t="str">
        <f>IF(PNL!C730="","",PNL!C730)</f>
        <v/>
      </c>
      <c r="D730" t="str">
        <f>IF(PNL!D730="","",PNL!D730)</f>
        <v/>
      </c>
      <c r="E730" t="str">
        <f t="shared" si="44"/>
        <v/>
      </c>
      <c r="F730" t="str">
        <f>IF($A730="","",IF($E730=1,SUMIFS(Compta!$F$1:$F$675,Compta!$A$1:$A$675,$A730,Compta!$B$1:$B$675,$B730,Compta!$C$1:$C$675,"2026"),0))</f>
        <v/>
      </c>
      <c r="G730" t="str">
        <f>IF($A730="","",IF($D730="V01",cad!$C$23,IF($D730="V02",cad!$D$23,cad!$E$23)))</f>
        <v/>
      </c>
      <c r="H730" t="str">
        <f>IF($A730="","",IF($D730="V01",cad!$C$24,IF($D730="V02",cad!$D$24,cad!$E$24)))</f>
        <v/>
      </c>
      <c r="I730" t="str">
        <f>IF($A730="","",IF($D730="V01",cad!$C$32,IF($D730="V02",cad!$D$32,cad!$E$32)))</f>
        <v/>
      </c>
      <c r="J730" t="str">
        <f>IF($A730="","",IF($D730="V01",cad!$C$33,IF($D730="V02",cad!$D$33,cad!$E$33)))</f>
        <v/>
      </c>
      <c r="K730" t="str">
        <f>IF($A730="","",IF($D730="V01",cad!$C$34,IF($D730="V02",cad!$D$34,cad!$E$34)))</f>
        <v/>
      </c>
      <c r="L730" t="str">
        <f>IF($A730="","",IF($D730="V01",cad!$C$35,IF($D730="V02",cad!$D$35,cad!$E$35)))</f>
        <v/>
      </c>
      <c r="M730" t="str">
        <f>IF($A730="","",IF($D730="V01",cad!$C$36,IF($D730="V02",cad!$D$36,cad!$E$36)))</f>
        <v/>
      </c>
      <c r="N730" t="str">
        <f t="shared" si="45"/>
        <v/>
      </c>
      <c r="O730" t="str">
        <f t="shared" si="46"/>
        <v/>
      </c>
      <c r="P730" t="str">
        <f>IF($A730="","",IF($E730=1,$F730*$O730,PNL!G730))</f>
        <v/>
      </c>
      <c r="T730" t="str">
        <f t="shared" si="47"/>
        <v/>
      </c>
    </row>
    <row r="731" spans="1:20" x14ac:dyDescent="0.45">
      <c r="A731" t="str">
        <f>IF(PNL!A731="","",PNL!A731)</f>
        <v/>
      </c>
      <c r="B731" t="str">
        <f>IF(PNL!B731="","",PNL!B731)</f>
        <v/>
      </c>
      <c r="C731" t="str">
        <f>IF(PNL!C731="","",PNL!C731)</f>
        <v/>
      </c>
      <c r="D731" t="str">
        <f>IF(PNL!D731="","",PNL!D731)</f>
        <v/>
      </c>
      <c r="E731" t="str">
        <f t="shared" si="44"/>
        <v/>
      </c>
      <c r="F731" t="str">
        <f>IF($A731="","",IF($E731=1,SUMIFS(Compta!$F$1:$F$675,Compta!$A$1:$A$675,$A731,Compta!$B$1:$B$675,$B731,Compta!$C$1:$C$675,"2026"),0))</f>
        <v/>
      </c>
      <c r="G731" t="str">
        <f>IF($A731="","",IF($D731="V01",cad!$C$23,IF($D731="V02",cad!$D$23,cad!$E$23)))</f>
        <v/>
      </c>
      <c r="H731" t="str">
        <f>IF($A731="","",IF($D731="V01",cad!$C$24,IF($D731="V02",cad!$D$24,cad!$E$24)))</f>
        <v/>
      </c>
      <c r="I731" t="str">
        <f>IF($A731="","",IF($D731="V01",cad!$C$32,IF($D731="V02",cad!$D$32,cad!$E$32)))</f>
        <v/>
      </c>
      <c r="J731" t="str">
        <f>IF($A731="","",IF($D731="V01",cad!$C$33,IF($D731="V02",cad!$D$33,cad!$E$33)))</f>
        <v/>
      </c>
      <c r="K731" t="str">
        <f>IF($A731="","",IF($D731="V01",cad!$C$34,IF($D731="V02",cad!$D$34,cad!$E$34)))</f>
        <v/>
      </c>
      <c r="L731" t="str">
        <f>IF($A731="","",IF($D731="V01",cad!$C$35,IF($D731="V02",cad!$D$35,cad!$E$35)))</f>
        <v/>
      </c>
      <c r="M731" t="str">
        <f>IF($A731="","",IF($D731="V01",cad!$C$36,IF($D731="V02",cad!$D$36,cad!$E$36)))</f>
        <v/>
      </c>
      <c r="N731" t="str">
        <f t="shared" si="45"/>
        <v/>
      </c>
      <c r="O731" t="str">
        <f t="shared" si="46"/>
        <v/>
      </c>
      <c r="P731" t="str">
        <f>IF($A731="","",IF($E731=1,$F731*$O731,PNL!G731))</f>
        <v/>
      </c>
      <c r="T731" t="str">
        <f t="shared" si="47"/>
        <v/>
      </c>
    </row>
    <row r="732" spans="1:20" x14ac:dyDescent="0.45">
      <c r="A732" t="str">
        <f>IF(PNL!A732="","",PNL!A732)</f>
        <v/>
      </c>
      <c r="B732" t="str">
        <f>IF(PNL!B732="","",PNL!B732)</f>
        <v/>
      </c>
      <c r="C732" t="str">
        <f>IF(PNL!C732="","",PNL!C732)</f>
        <v/>
      </c>
      <c r="D732" t="str">
        <f>IF(PNL!D732="","",PNL!D732)</f>
        <v/>
      </c>
      <c r="E732" t="str">
        <f t="shared" si="44"/>
        <v/>
      </c>
      <c r="F732" t="str">
        <f>IF($A732="","",IF($E732=1,SUMIFS(Compta!$F$1:$F$675,Compta!$A$1:$A$675,$A732,Compta!$B$1:$B$675,$B732,Compta!$C$1:$C$675,"2026"),0))</f>
        <v/>
      </c>
      <c r="G732" t="str">
        <f>IF($A732="","",IF($D732="V01",cad!$C$23,IF($D732="V02",cad!$D$23,cad!$E$23)))</f>
        <v/>
      </c>
      <c r="H732" t="str">
        <f>IF($A732="","",IF($D732="V01",cad!$C$24,IF($D732="V02",cad!$D$24,cad!$E$24)))</f>
        <v/>
      </c>
      <c r="I732" t="str">
        <f>IF($A732="","",IF($D732="V01",cad!$C$32,IF($D732="V02",cad!$D$32,cad!$E$32)))</f>
        <v/>
      </c>
      <c r="J732" t="str">
        <f>IF($A732="","",IF($D732="V01",cad!$C$33,IF($D732="V02",cad!$D$33,cad!$E$33)))</f>
        <v/>
      </c>
      <c r="K732" t="str">
        <f>IF($A732="","",IF($D732="V01",cad!$C$34,IF($D732="V02",cad!$D$34,cad!$E$34)))</f>
        <v/>
      </c>
      <c r="L732" t="str">
        <f>IF($A732="","",IF($D732="V01",cad!$C$35,IF($D732="V02",cad!$D$35,cad!$E$35)))</f>
        <v/>
      </c>
      <c r="M732" t="str">
        <f>IF($A732="","",IF($D732="V01",cad!$C$36,IF($D732="V02",cad!$D$36,cad!$E$36)))</f>
        <v/>
      </c>
      <c r="N732" t="str">
        <f t="shared" si="45"/>
        <v/>
      </c>
      <c r="O732" t="str">
        <f t="shared" si="46"/>
        <v/>
      </c>
      <c r="P732" t="str">
        <f>IF($A732="","",IF($E732=1,$F732*$O732,PNL!G732))</f>
        <v/>
      </c>
      <c r="T732" t="str">
        <f t="shared" si="47"/>
        <v/>
      </c>
    </row>
    <row r="733" spans="1:20" x14ac:dyDescent="0.45">
      <c r="A733" t="str">
        <f>IF(PNL!A733="","",PNL!A733)</f>
        <v/>
      </c>
      <c r="B733" t="str">
        <f>IF(PNL!B733="","",PNL!B733)</f>
        <v/>
      </c>
      <c r="C733" t="str">
        <f>IF(PNL!C733="","",PNL!C733)</f>
        <v/>
      </c>
      <c r="D733" t="str">
        <f>IF(PNL!D733="","",PNL!D733)</f>
        <v/>
      </c>
      <c r="E733" t="str">
        <f t="shared" si="44"/>
        <v/>
      </c>
      <c r="F733" t="str">
        <f>IF($A733="","",IF($E733=1,SUMIFS(Compta!$F$1:$F$675,Compta!$A$1:$A$675,$A733,Compta!$B$1:$B$675,$B733,Compta!$C$1:$C$675,"2026"),0))</f>
        <v/>
      </c>
      <c r="G733" t="str">
        <f>IF($A733="","",IF($D733="V01",cad!$C$23,IF($D733="V02",cad!$D$23,cad!$E$23)))</f>
        <v/>
      </c>
      <c r="H733" t="str">
        <f>IF($A733="","",IF($D733="V01",cad!$C$24,IF($D733="V02",cad!$D$24,cad!$E$24)))</f>
        <v/>
      </c>
      <c r="I733" t="str">
        <f>IF($A733="","",IF($D733="V01",cad!$C$32,IF($D733="V02",cad!$D$32,cad!$E$32)))</f>
        <v/>
      </c>
      <c r="J733" t="str">
        <f>IF($A733="","",IF($D733="V01",cad!$C$33,IF($D733="V02",cad!$D$33,cad!$E$33)))</f>
        <v/>
      </c>
      <c r="K733" t="str">
        <f>IF($A733="","",IF($D733="V01",cad!$C$34,IF($D733="V02",cad!$D$34,cad!$E$34)))</f>
        <v/>
      </c>
      <c r="L733" t="str">
        <f>IF($A733="","",IF($D733="V01",cad!$C$35,IF($D733="V02",cad!$D$35,cad!$E$35)))</f>
        <v/>
      </c>
      <c r="M733" t="str">
        <f>IF($A733="","",IF($D733="V01",cad!$C$36,IF($D733="V02",cad!$D$36,cad!$E$36)))</f>
        <v/>
      </c>
      <c r="N733" t="str">
        <f t="shared" si="45"/>
        <v/>
      </c>
      <c r="O733" t="str">
        <f t="shared" si="46"/>
        <v/>
      </c>
      <c r="P733" t="str">
        <f>IF($A733="","",IF($E733=1,$F733*$O733,PNL!G733))</f>
        <v/>
      </c>
      <c r="T733" t="str">
        <f t="shared" si="47"/>
        <v/>
      </c>
    </row>
    <row r="734" spans="1:20" x14ac:dyDescent="0.45">
      <c r="A734" t="str">
        <f>IF(PNL!A734="","",PNL!A734)</f>
        <v/>
      </c>
      <c r="B734" t="str">
        <f>IF(PNL!B734="","",PNL!B734)</f>
        <v/>
      </c>
      <c r="C734" t="str">
        <f>IF(PNL!C734="","",PNL!C734)</f>
        <v/>
      </c>
      <c r="D734" t="str">
        <f>IF(PNL!D734="","",PNL!D734)</f>
        <v/>
      </c>
      <c r="E734" t="str">
        <f t="shared" si="44"/>
        <v/>
      </c>
      <c r="F734" t="str">
        <f>IF($A734="","",IF($E734=1,SUMIFS(Compta!$F$1:$F$675,Compta!$A$1:$A$675,$A734,Compta!$B$1:$B$675,$B734,Compta!$C$1:$C$675,"2026"),0))</f>
        <v/>
      </c>
      <c r="G734" t="str">
        <f>IF($A734="","",IF($D734="V01",cad!$C$23,IF($D734="V02",cad!$D$23,cad!$E$23)))</f>
        <v/>
      </c>
      <c r="H734" t="str">
        <f>IF($A734="","",IF($D734="V01",cad!$C$24,IF($D734="V02",cad!$D$24,cad!$E$24)))</f>
        <v/>
      </c>
      <c r="I734" t="str">
        <f>IF($A734="","",IF($D734="V01",cad!$C$32,IF($D734="V02",cad!$D$32,cad!$E$32)))</f>
        <v/>
      </c>
      <c r="J734" t="str">
        <f>IF($A734="","",IF($D734="V01",cad!$C$33,IF($D734="V02",cad!$D$33,cad!$E$33)))</f>
        <v/>
      </c>
      <c r="K734" t="str">
        <f>IF($A734="","",IF($D734="V01",cad!$C$34,IF($D734="V02",cad!$D$34,cad!$E$34)))</f>
        <v/>
      </c>
      <c r="L734" t="str">
        <f>IF($A734="","",IF($D734="V01",cad!$C$35,IF($D734="V02",cad!$D$35,cad!$E$35)))</f>
        <v/>
      </c>
      <c r="M734" t="str">
        <f>IF($A734="","",IF($D734="V01",cad!$C$36,IF($D734="V02",cad!$D$36,cad!$E$36)))</f>
        <v/>
      </c>
      <c r="N734" t="str">
        <f t="shared" si="45"/>
        <v/>
      </c>
      <c r="O734" t="str">
        <f t="shared" si="46"/>
        <v/>
      </c>
      <c r="P734" t="str">
        <f>IF($A734="","",IF($E734=1,$F734*$O734,PNL!G734))</f>
        <v/>
      </c>
      <c r="T734" t="str">
        <f t="shared" si="47"/>
        <v/>
      </c>
    </row>
    <row r="735" spans="1:20" x14ac:dyDescent="0.45">
      <c r="A735" t="str">
        <f>IF(PNL!A735="","",PNL!A735)</f>
        <v/>
      </c>
      <c r="B735" t="str">
        <f>IF(PNL!B735="","",PNL!B735)</f>
        <v/>
      </c>
      <c r="C735" t="str">
        <f>IF(PNL!C735="","",PNL!C735)</f>
        <v/>
      </c>
      <c r="D735" t="str">
        <f>IF(PNL!D735="","",PNL!D735)</f>
        <v/>
      </c>
      <c r="E735" t="str">
        <f t="shared" si="44"/>
        <v/>
      </c>
      <c r="F735" t="str">
        <f>IF($A735="","",IF($E735=1,SUMIFS(Compta!$F$1:$F$675,Compta!$A$1:$A$675,$A735,Compta!$B$1:$B$675,$B735,Compta!$C$1:$C$675,"2026"),0))</f>
        <v/>
      </c>
      <c r="G735" t="str">
        <f>IF($A735="","",IF($D735="V01",cad!$C$23,IF($D735="V02",cad!$D$23,cad!$E$23)))</f>
        <v/>
      </c>
      <c r="H735" t="str">
        <f>IF($A735="","",IF($D735="V01",cad!$C$24,IF($D735="V02",cad!$D$24,cad!$E$24)))</f>
        <v/>
      </c>
      <c r="I735" t="str">
        <f>IF($A735="","",IF($D735="V01",cad!$C$32,IF($D735="V02",cad!$D$32,cad!$E$32)))</f>
        <v/>
      </c>
      <c r="J735" t="str">
        <f>IF($A735="","",IF($D735="V01",cad!$C$33,IF($D735="V02",cad!$D$33,cad!$E$33)))</f>
        <v/>
      </c>
      <c r="K735" t="str">
        <f>IF($A735="","",IF($D735="V01",cad!$C$34,IF($D735="V02",cad!$D$34,cad!$E$34)))</f>
        <v/>
      </c>
      <c r="L735" t="str">
        <f>IF($A735="","",IF($D735="V01",cad!$C$35,IF($D735="V02",cad!$D$35,cad!$E$35)))</f>
        <v/>
      </c>
      <c r="M735" t="str">
        <f>IF($A735="","",IF($D735="V01",cad!$C$36,IF($D735="V02",cad!$D$36,cad!$E$36)))</f>
        <v/>
      </c>
      <c r="N735" t="str">
        <f t="shared" si="45"/>
        <v/>
      </c>
      <c r="O735" t="str">
        <f t="shared" si="46"/>
        <v/>
      </c>
      <c r="P735" t="str">
        <f>IF($A735="","",IF($E735=1,$F735*$O735,PNL!G735))</f>
        <v/>
      </c>
      <c r="T735" t="str">
        <f t="shared" si="47"/>
        <v/>
      </c>
    </row>
    <row r="736" spans="1:20" x14ac:dyDescent="0.45">
      <c r="A736" t="str">
        <f>IF(PNL!A736="","",PNL!A736)</f>
        <v/>
      </c>
      <c r="B736" t="str">
        <f>IF(PNL!B736="","",PNL!B736)</f>
        <v/>
      </c>
      <c r="C736" t="str">
        <f>IF(PNL!C736="","",PNL!C736)</f>
        <v/>
      </c>
      <c r="D736" t="str">
        <f>IF(PNL!D736="","",PNL!D736)</f>
        <v/>
      </c>
      <c r="E736" t="str">
        <f t="shared" si="44"/>
        <v/>
      </c>
      <c r="F736" t="str">
        <f>IF($A736="","",IF($E736=1,SUMIFS(Compta!$F$1:$F$675,Compta!$A$1:$A$675,$A736,Compta!$B$1:$B$675,$B736,Compta!$C$1:$C$675,"2026"),0))</f>
        <v/>
      </c>
      <c r="G736" t="str">
        <f>IF($A736="","",IF($D736="V01",cad!$C$23,IF($D736="V02",cad!$D$23,cad!$E$23)))</f>
        <v/>
      </c>
      <c r="H736" t="str">
        <f>IF($A736="","",IF($D736="V01",cad!$C$24,IF($D736="V02",cad!$D$24,cad!$E$24)))</f>
        <v/>
      </c>
      <c r="I736" t="str">
        <f>IF($A736="","",IF($D736="V01",cad!$C$32,IF($D736="V02",cad!$D$32,cad!$E$32)))</f>
        <v/>
      </c>
      <c r="J736" t="str">
        <f>IF($A736="","",IF($D736="V01",cad!$C$33,IF($D736="V02",cad!$D$33,cad!$E$33)))</f>
        <v/>
      </c>
      <c r="K736" t="str">
        <f>IF($A736="","",IF($D736="V01",cad!$C$34,IF($D736="V02",cad!$D$34,cad!$E$34)))</f>
        <v/>
      </c>
      <c r="L736" t="str">
        <f>IF($A736="","",IF($D736="V01",cad!$C$35,IF($D736="V02",cad!$D$35,cad!$E$35)))</f>
        <v/>
      </c>
      <c r="M736" t="str">
        <f>IF($A736="","",IF($D736="V01",cad!$C$36,IF($D736="V02",cad!$D$36,cad!$E$36)))</f>
        <v/>
      </c>
      <c r="N736" t="str">
        <f t="shared" si="45"/>
        <v/>
      </c>
      <c r="O736" t="str">
        <f t="shared" si="46"/>
        <v/>
      </c>
      <c r="P736" t="str">
        <f>IF($A736="","",IF($E736=1,$F736*$O736,PNL!G736))</f>
        <v/>
      </c>
      <c r="T736" t="str">
        <f t="shared" si="47"/>
        <v/>
      </c>
    </row>
    <row r="737" spans="1:20" x14ac:dyDescent="0.45">
      <c r="A737" t="str">
        <f>IF(PNL!A737="","",PNL!A737)</f>
        <v/>
      </c>
      <c r="B737" t="str">
        <f>IF(PNL!B737="","",PNL!B737)</f>
        <v/>
      </c>
      <c r="C737" t="str">
        <f>IF(PNL!C737="","",PNL!C737)</f>
        <v/>
      </c>
      <c r="D737" t="str">
        <f>IF(PNL!D737="","",PNL!D737)</f>
        <v/>
      </c>
      <c r="E737" t="str">
        <f t="shared" si="44"/>
        <v/>
      </c>
      <c r="F737" t="str">
        <f>IF($A737="","",IF($E737=1,SUMIFS(Compta!$F$1:$F$675,Compta!$A$1:$A$675,$A737,Compta!$B$1:$B$675,$B737,Compta!$C$1:$C$675,"2026"),0))</f>
        <v/>
      </c>
      <c r="G737" t="str">
        <f>IF($A737="","",IF($D737="V01",cad!$C$23,IF($D737="V02",cad!$D$23,cad!$E$23)))</f>
        <v/>
      </c>
      <c r="H737" t="str">
        <f>IF($A737="","",IF($D737="V01",cad!$C$24,IF($D737="V02",cad!$D$24,cad!$E$24)))</f>
        <v/>
      </c>
      <c r="I737" t="str">
        <f>IF($A737="","",IF($D737="V01",cad!$C$32,IF($D737="V02",cad!$D$32,cad!$E$32)))</f>
        <v/>
      </c>
      <c r="J737" t="str">
        <f>IF($A737="","",IF($D737="V01",cad!$C$33,IF($D737="V02",cad!$D$33,cad!$E$33)))</f>
        <v/>
      </c>
      <c r="K737" t="str">
        <f>IF($A737="","",IF($D737="V01",cad!$C$34,IF($D737="V02",cad!$D$34,cad!$E$34)))</f>
        <v/>
      </c>
      <c r="L737" t="str">
        <f>IF($A737="","",IF($D737="V01",cad!$C$35,IF($D737="V02",cad!$D$35,cad!$E$35)))</f>
        <v/>
      </c>
      <c r="M737" t="str">
        <f>IF($A737="","",IF($D737="V01",cad!$C$36,IF($D737="V02",cad!$D$36,cad!$E$36)))</f>
        <v/>
      </c>
      <c r="N737" t="str">
        <f t="shared" si="45"/>
        <v/>
      </c>
      <c r="O737" t="str">
        <f t="shared" si="46"/>
        <v/>
      </c>
      <c r="P737" t="str">
        <f>IF($A737="","",IF($E737=1,$F737*$O737,PNL!G737))</f>
        <v/>
      </c>
      <c r="T737" t="str">
        <f t="shared" si="47"/>
        <v/>
      </c>
    </row>
    <row r="738" spans="1:20" x14ac:dyDescent="0.45">
      <c r="A738" t="str">
        <f>IF(PNL!A738="","",PNL!A738)</f>
        <v/>
      </c>
      <c r="B738" t="str">
        <f>IF(PNL!B738="","",PNL!B738)</f>
        <v/>
      </c>
      <c r="C738" t="str">
        <f>IF(PNL!C738="","",PNL!C738)</f>
        <v/>
      </c>
      <c r="D738" t="str">
        <f>IF(PNL!D738="","",PNL!D738)</f>
        <v/>
      </c>
      <c r="E738" t="str">
        <f t="shared" si="44"/>
        <v/>
      </c>
      <c r="F738" t="str">
        <f>IF($A738="","",IF($E738=1,SUMIFS(Compta!$F$1:$F$675,Compta!$A$1:$A$675,$A738,Compta!$B$1:$B$675,$B738,Compta!$C$1:$C$675,"2026"),0))</f>
        <v/>
      </c>
      <c r="G738" t="str">
        <f>IF($A738="","",IF($D738="V01",cad!$C$23,IF($D738="V02",cad!$D$23,cad!$E$23)))</f>
        <v/>
      </c>
      <c r="H738" t="str">
        <f>IF($A738="","",IF($D738="V01",cad!$C$24,IF($D738="V02",cad!$D$24,cad!$E$24)))</f>
        <v/>
      </c>
      <c r="I738" t="str">
        <f>IF($A738="","",IF($D738="V01",cad!$C$32,IF($D738="V02",cad!$D$32,cad!$E$32)))</f>
        <v/>
      </c>
      <c r="J738" t="str">
        <f>IF($A738="","",IF($D738="V01",cad!$C$33,IF($D738="V02",cad!$D$33,cad!$E$33)))</f>
        <v/>
      </c>
      <c r="K738" t="str">
        <f>IF($A738="","",IF($D738="V01",cad!$C$34,IF($D738="V02",cad!$D$34,cad!$E$34)))</f>
        <v/>
      </c>
      <c r="L738" t="str">
        <f>IF($A738="","",IF($D738="V01",cad!$C$35,IF($D738="V02",cad!$D$35,cad!$E$35)))</f>
        <v/>
      </c>
      <c r="M738" t="str">
        <f>IF($A738="","",IF($D738="V01",cad!$C$36,IF($D738="V02",cad!$D$36,cad!$E$36)))</f>
        <v/>
      </c>
      <c r="N738" t="str">
        <f t="shared" si="45"/>
        <v/>
      </c>
      <c r="O738" t="str">
        <f t="shared" si="46"/>
        <v/>
      </c>
      <c r="P738" t="str">
        <f>IF($A738="","",IF($E738=1,$F738*$O738,PNL!G738))</f>
        <v/>
      </c>
      <c r="T738" t="str">
        <f t="shared" si="47"/>
        <v/>
      </c>
    </row>
    <row r="739" spans="1:20" x14ac:dyDescent="0.45">
      <c r="A739" t="str">
        <f>IF(PNL!A739="","",PNL!A739)</f>
        <v/>
      </c>
      <c r="B739" t="str">
        <f>IF(PNL!B739="","",PNL!B739)</f>
        <v/>
      </c>
      <c r="C739" t="str">
        <f>IF(PNL!C739="","",PNL!C739)</f>
        <v/>
      </c>
      <c r="D739" t="str">
        <f>IF(PNL!D739="","",PNL!D739)</f>
        <v/>
      </c>
      <c r="E739" t="str">
        <f t="shared" si="44"/>
        <v/>
      </c>
      <c r="F739" t="str">
        <f>IF($A739="","",IF($E739=1,SUMIFS(Compta!$F$1:$F$675,Compta!$A$1:$A$675,$A739,Compta!$B$1:$B$675,$B739,Compta!$C$1:$C$675,"2026"),0))</f>
        <v/>
      </c>
      <c r="G739" t="str">
        <f>IF($A739="","",IF($D739="V01",cad!$C$23,IF($D739="V02",cad!$D$23,cad!$E$23)))</f>
        <v/>
      </c>
      <c r="H739" t="str">
        <f>IF($A739="","",IF($D739="V01",cad!$C$24,IF($D739="V02",cad!$D$24,cad!$E$24)))</f>
        <v/>
      </c>
      <c r="I739" t="str">
        <f>IF($A739="","",IF($D739="V01",cad!$C$32,IF($D739="V02",cad!$D$32,cad!$E$32)))</f>
        <v/>
      </c>
      <c r="J739" t="str">
        <f>IF($A739="","",IF($D739="V01",cad!$C$33,IF($D739="V02",cad!$D$33,cad!$E$33)))</f>
        <v/>
      </c>
      <c r="K739" t="str">
        <f>IF($A739="","",IF($D739="V01",cad!$C$34,IF($D739="V02",cad!$D$34,cad!$E$34)))</f>
        <v/>
      </c>
      <c r="L739" t="str">
        <f>IF($A739="","",IF($D739="V01",cad!$C$35,IF($D739="V02",cad!$D$35,cad!$E$35)))</f>
        <v/>
      </c>
      <c r="M739" t="str">
        <f>IF($A739="","",IF($D739="V01",cad!$C$36,IF($D739="V02",cad!$D$36,cad!$E$36)))</f>
        <v/>
      </c>
      <c r="N739" t="str">
        <f t="shared" si="45"/>
        <v/>
      </c>
      <c r="O739" t="str">
        <f t="shared" si="46"/>
        <v/>
      </c>
      <c r="P739" t="str">
        <f>IF($A739="","",IF($E739=1,$F739*$O739,PNL!G739))</f>
        <v/>
      </c>
      <c r="T739" t="str">
        <f t="shared" si="47"/>
        <v/>
      </c>
    </row>
    <row r="740" spans="1:20" x14ac:dyDescent="0.45">
      <c r="A740" t="str">
        <f>IF(PNL!A740="","",PNL!A740)</f>
        <v/>
      </c>
      <c r="B740" t="str">
        <f>IF(PNL!B740="","",PNL!B740)</f>
        <v/>
      </c>
      <c r="C740" t="str">
        <f>IF(PNL!C740="","",PNL!C740)</f>
        <v/>
      </c>
      <c r="D740" t="str">
        <f>IF(PNL!D740="","",PNL!D740)</f>
        <v/>
      </c>
      <c r="E740" t="str">
        <f t="shared" si="44"/>
        <v/>
      </c>
      <c r="F740" t="str">
        <f>IF($A740="","",IF($E740=1,SUMIFS(Compta!$F$1:$F$675,Compta!$A$1:$A$675,$A740,Compta!$B$1:$B$675,$B740,Compta!$C$1:$C$675,"2026"),0))</f>
        <v/>
      </c>
      <c r="G740" t="str">
        <f>IF($A740="","",IF($D740="V01",cad!$C$23,IF($D740="V02",cad!$D$23,cad!$E$23)))</f>
        <v/>
      </c>
      <c r="H740" t="str">
        <f>IF($A740="","",IF($D740="V01",cad!$C$24,IF($D740="V02",cad!$D$24,cad!$E$24)))</f>
        <v/>
      </c>
      <c r="I740" t="str">
        <f>IF($A740="","",IF($D740="V01",cad!$C$32,IF($D740="V02",cad!$D$32,cad!$E$32)))</f>
        <v/>
      </c>
      <c r="J740" t="str">
        <f>IF($A740="","",IF($D740="V01",cad!$C$33,IF($D740="V02",cad!$D$33,cad!$E$33)))</f>
        <v/>
      </c>
      <c r="K740" t="str">
        <f>IF($A740="","",IF($D740="V01",cad!$C$34,IF($D740="V02",cad!$D$34,cad!$E$34)))</f>
        <v/>
      </c>
      <c r="L740" t="str">
        <f>IF($A740="","",IF($D740="V01",cad!$C$35,IF($D740="V02",cad!$D$35,cad!$E$35)))</f>
        <v/>
      </c>
      <c r="M740" t="str">
        <f>IF($A740="","",IF($D740="V01",cad!$C$36,IF($D740="V02",cad!$D$36,cad!$E$36)))</f>
        <v/>
      </c>
      <c r="N740" t="str">
        <f t="shared" si="45"/>
        <v/>
      </c>
      <c r="O740" t="str">
        <f t="shared" si="46"/>
        <v/>
      </c>
      <c r="P740" t="str">
        <f>IF($A740="","",IF($E740=1,$F740*$O740,PNL!G740))</f>
        <v/>
      </c>
      <c r="T740" t="str">
        <f t="shared" si="47"/>
        <v/>
      </c>
    </row>
    <row r="741" spans="1:20" x14ac:dyDescent="0.45">
      <c r="A741" t="str">
        <f>IF(PNL!A741="","",PNL!A741)</f>
        <v/>
      </c>
      <c r="B741" t="str">
        <f>IF(PNL!B741="","",PNL!B741)</f>
        <v/>
      </c>
      <c r="C741" t="str">
        <f>IF(PNL!C741="","",PNL!C741)</f>
        <v/>
      </c>
      <c r="D741" t="str">
        <f>IF(PNL!D741="","",PNL!D741)</f>
        <v/>
      </c>
      <c r="E741" t="str">
        <f t="shared" si="44"/>
        <v/>
      </c>
      <c r="F741" t="str">
        <f>IF($A741="","",IF($E741=1,SUMIFS(Compta!$F$1:$F$675,Compta!$A$1:$A$675,$A741,Compta!$B$1:$B$675,$B741,Compta!$C$1:$C$675,"2026"),0))</f>
        <v/>
      </c>
      <c r="G741" t="str">
        <f>IF($A741="","",IF($D741="V01",cad!$C$23,IF($D741="V02",cad!$D$23,cad!$E$23)))</f>
        <v/>
      </c>
      <c r="H741" t="str">
        <f>IF($A741="","",IF($D741="V01",cad!$C$24,IF($D741="V02",cad!$D$24,cad!$E$24)))</f>
        <v/>
      </c>
      <c r="I741" t="str">
        <f>IF($A741="","",IF($D741="V01",cad!$C$32,IF($D741="V02",cad!$D$32,cad!$E$32)))</f>
        <v/>
      </c>
      <c r="J741" t="str">
        <f>IF($A741="","",IF($D741="V01",cad!$C$33,IF($D741="V02",cad!$D$33,cad!$E$33)))</f>
        <v/>
      </c>
      <c r="K741" t="str">
        <f>IF($A741="","",IF($D741="V01",cad!$C$34,IF($D741="V02",cad!$D$34,cad!$E$34)))</f>
        <v/>
      </c>
      <c r="L741" t="str">
        <f>IF($A741="","",IF($D741="V01",cad!$C$35,IF($D741="V02",cad!$D$35,cad!$E$35)))</f>
        <v/>
      </c>
      <c r="M741" t="str">
        <f>IF($A741="","",IF($D741="V01",cad!$C$36,IF($D741="V02",cad!$D$36,cad!$E$36)))</f>
        <v/>
      </c>
      <c r="N741" t="str">
        <f t="shared" si="45"/>
        <v/>
      </c>
      <c r="O741" t="str">
        <f t="shared" si="46"/>
        <v/>
      </c>
      <c r="P741" t="str">
        <f>IF($A741="","",IF($E741=1,$F741*$O741,PNL!G741))</f>
        <v/>
      </c>
      <c r="T741" t="str">
        <f t="shared" si="47"/>
        <v/>
      </c>
    </row>
    <row r="742" spans="1:20" x14ac:dyDescent="0.45">
      <c r="A742" t="str">
        <f>IF(PNL!A742="","",PNL!A742)</f>
        <v/>
      </c>
      <c r="B742" t="str">
        <f>IF(PNL!B742="","",PNL!B742)</f>
        <v/>
      </c>
      <c r="C742" t="str">
        <f>IF(PNL!C742="","",PNL!C742)</f>
        <v/>
      </c>
      <c r="D742" t="str">
        <f>IF(PNL!D742="","",PNL!D742)</f>
        <v/>
      </c>
      <c r="E742" t="str">
        <f t="shared" si="44"/>
        <v/>
      </c>
      <c r="F742" t="str">
        <f>IF($A742="","",IF($E742=1,SUMIFS(Compta!$F$1:$F$675,Compta!$A$1:$A$675,$A742,Compta!$B$1:$B$675,$B742,Compta!$C$1:$C$675,"2026"),0))</f>
        <v/>
      </c>
      <c r="G742" t="str">
        <f>IF($A742="","",IF($D742="V01",cad!$C$23,IF($D742="V02",cad!$D$23,cad!$E$23)))</f>
        <v/>
      </c>
      <c r="H742" t="str">
        <f>IF($A742="","",IF($D742="V01",cad!$C$24,IF($D742="V02",cad!$D$24,cad!$E$24)))</f>
        <v/>
      </c>
      <c r="I742" t="str">
        <f>IF($A742="","",IF($D742="V01",cad!$C$32,IF($D742="V02",cad!$D$32,cad!$E$32)))</f>
        <v/>
      </c>
      <c r="J742" t="str">
        <f>IF($A742="","",IF($D742="V01",cad!$C$33,IF($D742="V02",cad!$D$33,cad!$E$33)))</f>
        <v/>
      </c>
      <c r="K742" t="str">
        <f>IF($A742="","",IF($D742="V01",cad!$C$34,IF($D742="V02",cad!$D$34,cad!$E$34)))</f>
        <v/>
      </c>
      <c r="L742" t="str">
        <f>IF($A742="","",IF($D742="V01",cad!$C$35,IF($D742="V02",cad!$D$35,cad!$E$35)))</f>
        <v/>
      </c>
      <c r="M742" t="str">
        <f>IF($A742="","",IF($D742="V01",cad!$C$36,IF($D742="V02",cad!$D$36,cad!$E$36)))</f>
        <v/>
      </c>
      <c r="N742" t="str">
        <f t="shared" si="45"/>
        <v/>
      </c>
      <c r="O742" t="str">
        <f t="shared" si="46"/>
        <v/>
      </c>
      <c r="P742" t="str">
        <f>IF($A742="","",IF($E742=1,$F742*$O742,PNL!G742))</f>
        <v/>
      </c>
      <c r="T742" t="str">
        <f t="shared" si="47"/>
        <v/>
      </c>
    </row>
    <row r="743" spans="1:20" x14ac:dyDescent="0.45">
      <c r="A743" t="str">
        <f>IF(PNL!A743="","",PNL!A743)</f>
        <v/>
      </c>
      <c r="B743" t="str">
        <f>IF(PNL!B743="","",PNL!B743)</f>
        <v/>
      </c>
      <c r="C743" t="str">
        <f>IF(PNL!C743="","",PNL!C743)</f>
        <v/>
      </c>
      <c r="D743" t="str">
        <f>IF(PNL!D743="","",PNL!D743)</f>
        <v/>
      </c>
      <c r="E743" t="str">
        <f t="shared" si="44"/>
        <v/>
      </c>
      <c r="F743" t="str">
        <f>IF($A743="","",IF($E743=1,SUMIFS(Compta!$F$1:$F$675,Compta!$A$1:$A$675,$A743,Compta!$B$1:$B$675,$B743,Compta!$C$1:$C$675,"2026"),0))</f>
        <v/>
      </c>
      <c r="G743" t="str">
        <f>IF($A743="","",IF($D743="V01",cad!$C$23,IF($D743="V02",cad!$D$23,cad!$E$23)))</f>
        <v/>
      </c>
      <c r="H743" t="str">
        <f>IF($A743="","",IF($D743="V01",cad!$C$24,IF($D743="V02",cad!$D$24,cad!$E$24)))</f>
        <v/>
      </c>
      <c r="I743" t="str">
        <f>IF($A743="","",IF($D743="V01",cad!$C$32,IF($D743="V02",cad!$D$32,cad!$E$32)))</f>
        <v/>
      </c>
      <c r="J743" t="str">
        <f>IF($A743="","",IF($D743="V01",cad!$C$33,IF($D743="V02",cad!$D$33,cad!$E$33)))</f>
        <v/>
      </c>
      <c r="K743" t="str">
        <f>IF($A743="","",IF($D743="V01",cad!$C$34,IF($D743="V02",cad!$D$34,cad!$E$34)))</f>
        <v/>
      </c>
      <c r="L743" t="str">
        <f>IF($A743="","",IF($D743="V01",cad!$C$35,IF($D743="V02",cad!$D$35,cad!$E$35)))</f>
        <v/>
      </c>
      <c r="M743" t="str">
        <f>IF($A743="","",IF($D743="V01",cad!$C$36,IF($D743="V02",cad!$D$36,cad!$E$36)))</f>
        <v/>
      </c>
      <c r="N743" t="str">
        <f t="shared" si="45"/>
        <v/>
      </c>
      <c r="O743" t="str">
        <f t="shared" si="46"/>
        <v/>
      </c>
      <c r="P743" t="str">
        <f>IF($A743="","",IF($E743=1,$F743*$O743,PNL!G743))</f>
        <v/>
      </c>
      <c r="T743" t="str">
        <f t="shared" si="47"/>
        <v/>
      </c>
    </row>
    <row r="744" spans="1:20" x14ac:dyDescent="0.45">
      <c r="A744" t="str">
        <f>IF(PNL!A744="","",PNL!A744)</f>
        <v/>
      </c>
      <c r="B744" t="str">
        <f>IF(PNL!B744="","",PNL!B744)</f>
        <v/>
      </c>
      <c r="C744" t="str">
        <f>IF(PNL!C744="","",PNL!C744)</f>
        <v/>
      </c>
      <c r="D744" t="str">
        <f>IF(PNL!D744="","",PNL!D744)</f>
        <v/>
      </c>
      <c r="E744" t="str">
        <f t="shared" si="44"/>
        <v/>
      </c>
      <c r="F744" t="str">
        <f>IF($A744="","",IF($E744=1,SUMIFS(Compta!$F$1:$F$675,Compta!$A$1:$A$675,$A744,Compta!$B$1:$B$675,$B744,Compta!$C$1:$C$675,"2026"),0))</f>
        <v/>
      </c>
      <c r="G744" t="str">
        <f>IF($A744="","",IF($D744="V01",cad!$C$23,IF($D744="V02",cad!$D$23,cad!$E$23)))</f>
        <v/>
      </c>
      <c r="H744" t="str">
        <f>IF($A744="","",IF($D744="V01",cad!$C$24,IF($D744="V02",cad!$D$24,cad!$E$24)))</f>
        <v/>
      </c>
      <c r="I744" t="str">
        <f>IF($A744="","",IF($D744="V01",cad!$C$32,IF($D744="V02",cad!$D$32,cad!$E$32)))</f>
        <v/>
      </c>
      <c r="J744" t="str">
        <f>IF($A744="","",IF($D744="V01",cad!$C$33,IF($D744="V02",cad!$D$33,cad!$E$33)))</f>
        <v/>
      </c>
      <c r="K744" t="str">
        <f>IF($A744="","",IF($D744="V01",cad!$C$34,IF($D744="V02",cad!$D$34,cad!$E$34)))</f>
        <v/>
      </c>
      <c r="L744" t="str">
        <f>IF($A744="","",IF($D744="V01",cad!$C$35,IF($D744="V02",cad!$D$35,cad!$E$35)))</f>
        <v/>
      </c>
      <c r="M744" t="str">
        <f>IF($A744="","",IF($D744="V01",cad!$C$36,IF($D744="V02",cad!$D$36,cad!$E$36)))</f>
        <v/>
      </c>
      <c r="N744" t="str">
        <f t="shared" si="45"/>
        <v/>
      </c>
      <c r="O744" t="str">
        <f t="shared" si="46"/>
        <v/>
      </c>
      <c r="P744" t="str">
        <f>IF($A744="","",IF($E744=1,$F744*$O744,PNL!G744))</f>
        <v/>
      </c>
      <c r="T744" t="str">
        <f t="shared" si="47"/>
        <v/>
      </c>
    </row>
    <row r="745" spans="1:20" x14ac:dyDescent="0.45">
      <c r="A745" t="str">
        <f>IF(PNL!A745="","",PNL!A745)</f>
        <v/>
      </c>
      <c r="B745" t="str">
        <f>IF(PNL!B745="","",PNL!B745)</f>
        <v/>
      </c>
      <c r="C745" t="str">
        <f>IF(PNL!C745="","",PNL!C745)</f>
        <v/>
      </c>
      <c r="D745" t="str">
        <f>IF(PNL!D745="","",PNL!D745)</f>
        <v/>
      </c>
      <c r="E745" t="str">
        <f t="shared" si="44"/>
        <v/>
      </c>
      <c r="F745" t="str">
        <f>IF($A745="","",IF($E745=1,SUMIFS(Compta!$F$1:$F$675,Compta!$A$1:$A$675,$A745,Compta!$B$1:$B$675,$B745,Compta!$C$1:$C$675,"2026"),0))</f>
        <v/>
      </c>
      <c r="G745" t="str">
        <f>IF($A745="","",IF($D745="V01",cad!$C$23,IF($D745="V02",cad!$D$23,cad!$E$23)))</f>
        <v/>
      </c>
      <c r="H745" t="str">
        <f>IF($A745="","",IF($D745="V01",cad!$C$24,IF($D745="V02",cad!$D$24,cad!$E$24)))</f>
        <v/>
      </c>
      <c r="I745" t="str">
        <f>IF($A745="","",IF($D745="V01",cad!$C$32,IF($D745="V02",cad!$D$32,cad!$E$32)))</f>
        <v/>
      </c>
      <c r="J745" t="str">
        <f>IF($A745="","",IF($D745="V01",cad!$C$33,IF($D745="V02",cad!$D$33,cad!$E$33)))</f>
        <v/>
      </c>
      <c r="K745" t="str">
        <f>IF($A745="","",IF($D745="V01",cad!$C$34,IF($D745="V02",cad!$D$34,cad!$E$34)))</f>
        <v/>
      </c>
      <c r="L745" t="str">
        <f>IF($A745="","",IF($D745="V01",cad!$C$35,IF($D745="V02",cad!$D$35,cad!$E$35)))</f>
        <v/>
      </c>
      <c r="M745" t="str">
        <f>IF($A745="","",IF($D745="V01",cad!$C$36,IF($D745="V02",cad!$D$36,cad!$E$36)))</f>
        <v/>
      </c>
      <c r="N745" t="str">
        <f t="shared" si="45"/>
        <v/>
      </c>
      <c r="O745" t="str">
        <f t="shared" si="46"/>
        <v/>
      </c>
      <c r="P745" t="str">
        <f>IF($A745="","",IF($E745=1,$F745*$O745,PNL!G745))</f>
        <v/>
      </c>
      <c r="T745" t="str">
        <f t="shared" si="47"/>
        <v/>
      </c>
    </row>
    <row r="746" spans="1:20" x14ac:dyDescent="0.45">
      <c r="A746" t="str">
        <f>IF(PNL!A746="","",PNL!A746)</f>
        <v/>
      </c>
      <c r="B746" t="str">
        <f>IF(PNL!B746="","",PNL!B746)</f>
        <v/>
      </c>
      <c r="C746" t="str">
        <f>IF(PNL!C746="","",PNL!C746)</f>
        <v/>
      </c>
      <c r="D746" t="str">
        <f>IF(PNL!D746="","",PNL!D746)</f>
        <v/>
      </c>
      <c r="E746" t="str">
        <f t="shared" si="44"/>
        <v/>
      </c>
      <c r="F746" t="str">
        <f>IF($A746="","",IF($E746=1,SUMIFS(Compta!$F$1:$F$675,Compta!$A$1:$A$675,$A746,Compta!$B$1:$B$675,$B746,Compta!$C$1:$C$675,"2026"),0))</f>
        <v/>
      </c>
      <c r="G746" t="str">
        <f>IF($A746="","",IF($D746="V01",cad!$C$23,IF($D746="V02",cad!$D$23,cad!$E$23)))</f>
        <v/>
      </c>
      <c r="H746" t="str">
        <f>IF($A746="","",IF($D746="V01",cad!$C$24,IF($D746="V02",cad!$D$24,cad!$E$24)))</f>
        <v/>
      </c>
      <c r="I746" t="str">
        <f>IF($A746="","",IF($D746="V01",cad!$C$32,IF($D746="V02",cad!$D$32,cad!$E$32)))</f>
        <v/>
      </c>
      <c r="J746" t="str">
        <f>IF($A746="","",IF($D746="V01",cad!$C$33,IF($D746="V02",cad!$D$33,cad!$E$33)))</f>
        <v/>
      </c>
      <c r="K746" t="str">
        <f>IF($A746="","",IF($D746="V01",cad!$C$34,IF($D746="V02",cad!$D$34,cad!$E$34)))</f>
        <v/>
      </c>
      <c r="L746" t="str">
        <f>IF($A746="","",IF($D746="V01",cad!$C$35,IF($D746="V02",cad!$D$35,cad!$E$35)))</f>
        <v/>
      </c>
      <c r="M746" t="str">
        <f>IF($A746="","",IF($D746="V01",cad!$C$36,IF($D746="V02",cad!$D$36,cad!$E$36)))</f>
        <v/>
      </c>
      <c r="N746" t="str">
        <f t="shared" si="45"/>
        <v/>
      </c>
      <c r="O746" t="str">
        <f t="shared" si="46"/>
        <v/>
      </c>
      <c r="P746" t="str">
        <f>IF($A746="","",IF($E746=1,$F746*$O746,PNL!G746))</f>
        <v/>
      </c>
      <c r="T746" t="str">
        <f t="shared" si="47"/>
        <v/>
      </c>
    </row>
    <row r="747" spans="1:20" x14ac:dyDescent="0.45">
      <c r="A747" t="str">
        <f>IF(PNL!A747="","",PNL!A747)</f>
        <v/>
      </c>
      <c r="B747" t="str">
        <f>IF(PNL!B747="","",PNL!B747)</f>
        <v/>
      </c>
      <c r="C747" t="str">
        <f>IF(PNL!C747="","",PNL!C747)</f>
        <v/>
      </c>
      <c r="D747" t="str">
        <f>IF(PNL!D747="","",PNL!D747)</f>
        <v/>
      </c>
      <c r="E747" t="str">
        <f t="shared" si="44"/>
        <v/>
      </c>
      <c r="F747" t="str">
        <f>IF($A747="","",IF($E747=1,SUMIFS(Compta!$F$1:$F$675,Compta!$A$1:$A$675,$A747,Compta!$B$1:$B$675,$B747,Compta!$C$1:$C$675,"2026"),0))</f>
        <v/>
      </c>
      <c r="G747" t="str">
        <f>IF($A747="","",IF($D747="V01",cad!$C$23,IF($D747="V02",cad!$D$23,cad!$E$23)))</f>
        <v/>
      </c>
      <c r="H747" t="str">
        <f>IF($A747="","",IF($D747="V01",cad!$C$24,IF($D747="V02",cad!$D$24,cad!$E$24)))</f>
        <v/>
      </c>
      <c r="I747" t="str">
        <f>IF($A747="","",IF($D747="V01",cad!$C$32,IF($D747="V02",cad!$D$32,cad!$E$32)))</f>
        <v/>
      </c>
      <c r="J747" t="str">
        <f>IF($A747="","",IF($D747="V01",cad!$C$33,IF($D747="V02",cad!$D$33,cad!$E$33)))</f>
        <v/>
      </c>
      <c r="K747" t="str">
        <f>IF($A747="","",IF($D747="V01",cad!$C$34,IF($D747="V02",cad!$D$34,cad!$E$34)))</f>
        <v/>
      </c>
      <c r="L747" t="str">
        <f>IF($A747="","",IF($D747="V01",cad!$C$35,IF($D747="V02",cad!$D$35,cad!$E$35)))</f>
        <v/>
      </c>
      <c r="M747" t="str">
        <f>IF($A747="","",IF($D747="V01",cad!$C$36,IF($D747="V02",cad!$D$36,cad!$E$36)))</f>
        <v/>
      </c>
      <c r="N747" t="str">
        <f t="shared" si="45"/>
        <v/>
      </c>
      <c r="O747" t="str">
        <f t="shared" si="46"/>
        <v/>
      </c>
      <c r="P747" t="str">
        <f>IF($A747="","",IF($E747=1,$F747*$O747,PNL!G747))</f>
        <v/>
      </c>
      <c r="T747" t="str">
        <f t="shared" si="47"/>
        <v/>
      </c>
    </row>
    <row r="748" spans="1:20" x14ac:dyDescent="0.45">
      <c r="A748" t="str">
        <f>IF(PNL!A748="","",PNL!A748)</f>
        <v/>
      </c>
      <c r="B748" t="str">
        <f>IF(PNL!B748="","",PNL!B748)</f>
        <v/>
      </c>
      <c r="C748" t="str">
        <f>IF(PNL!C748="","",PNL!C748)</f>
        <v/>
      </c>
      <c r="D748" t="str">
        <f>IF(PNL!D748="","",PNL!D748)</f>
        <v/>
      </c>
      <c r="E748" t="str">
        <f t="shared" si="44"/>
        <v/>
      </c>
      <c r="F748" t="str">
        <f>IF($A748="","",IF($E748=1,SUMIFS(Compta!$F$1:$F$675,Compta!$A$1:$A$675,$A748,Compta!$B$1:$B$675,$B748,Compta!$C$1:$C$675,"2026"),0))</f>
        <v/>
      </c>
      <c r="G748" t="str">
        <f>IF($A748="","",IF($D748="V01",cad!$C$23,IF($D748="V02",cad!$D$23,cad!$E$23)))</f>
        <v/>
      </c>
      <c r="H748" t="str">
        <f>IF($A748="","",IF($D748="V01",cad!$C$24,IF($D748="V02",cad!$D$24,cad!$E$24)))</f>
        <v/>
      </c>
      <c r="I748" t="str">
        <f>IF($A748="","",IF($D748="V01",cad!$C$32,IF($D748="V02",cad!$D$32,cad!$E$32)))</f>
        <v/>
      </c>
      <c r="J748" t="str">
        <f>IF($A748="","",IF($D748="V01",cad!$C$33,IF($D748="V02",cad!$D$33,cad!$E$33)))</f>
        <v/>
      </c>
      <c r="K748" t="str">
        <f>IF($A748="","",IF($D748="V01",cad!$C$34,IF($D748="V02",cad!$D$34,cad!$E$34)))</f>
        <v/>
      </c>
      <c r="L748" t="str">
        <f>IF($A748="","",IF($D748="V01",cad!$C$35,IF($D748="V02",cad!$D$35,cad!$E$35)))</f>
        <v/>
      </c>
      <c r="M748" t="str">
        <f>IF($A748="","",IF($D748="V01",cad!$C$36,IF($D748="V02",cad!$D$36,cad!$E$36)))</f>
        <v/>
      </c>
      <c r="N748" t="str">
        <f t="shared" si="45"/>
        <v/>
      </c>
      <c r="O748" t="str">
        <f t="shared" si="46"/>
        <v/>
      </c>
      <c r="P748" t="str">
        <f>IF($A748="","",IF($E748=1,$F748*$O748,PNL!G748))</f>
        <v/>
      </c>
      <c r="T748" t="str">
        <f t="shared" si="47"/>
        <v/>
      </c>
    </row>
    <row r="749" spans="1:20" x14ac:dyDescent="0.45">
      <c r="A749" t="str">
        <f>IF(PNL!A749="","",PNL!A749)</f>
        <v/>
      </c>
      <c r="B749" t="str">
        <f>IF(PNL!B749="","",PNL!B749)</f>
        <v/>
      </c>
      <c r="C749" t="str">
        <f>IF(PNL!C749="","",PNL!C749)</f>
        <v/>
      </c>
      <c r="D749" t="str">
        <f>IF(PNL!D749="","",PNL!D749)</f>
        <v/>
      </c>
      <c r="E749" t="str">
        <f t="shared" si="44"/>
        <v/>
      </c>
      <c r="F749" t="str">
        <f>IF($A749="","",IF($E749=1,SUMIFS(Compta!$F$1:$F$675,Compta!$A$1:$A$675,$A749,Compta!$B$1:$B$675,$B749,Compta!$C$1:$C$675,"2026"),0))</f>
        <v/>
      </c>
      <c r="G749" t="str">
        <f>IF($A749="","",IF($D749="V01",cad!$C$23,IF($D749="V02",cad!$D$23,cad!$E$23)))</f>
        <v/>
      </c>
      <c r="H749" t="str">
        <f>IF($A749="","",IF($D749="V01",cad!$C$24,IF($D749="V02",cad!$D$24,cad!$E$24)))</f>
        <v/>
      </c>
      <c r="I749" t="str">
        <f>IF($A749="","",IF($D749="V01",cad!$C$32,IF($D749="V02",cad!$D$32,cad!$E$32)))</f>
        <v/>
      </c>
      <c r="J749" t="str">
        <f>IF($A749="","",IF($D749="V01",cad!$C$33,IF($D749="V02",cad!$D$33,cad!$E$33)))</f>
        <v/>
      </c>
      <c r="K749" t="str">
        <f>IF($A749="","",IF($D749="V01",cad!$C$34,IF($D749="V02",cad!$D$34,cad!$E$34)))</f>
        <v/>
      </c>
      <c r="L749" t="str">
        <f>IF($A749="","",IF($D749="V01",cad!$C$35,IF($D749="V02",cad!$D$35,cad!$E$35)))</f>
        <v/>
      </c>
      <c r="M749" t="str">
        <f>IF($A749="","",IF($D749="V01",cad!$C$36,IF($D749="V02",cad!$D$36,cad!$E$36)))</f>
        <v/>
      </c>
      <c r="N749" t="str">
        <f t="shared" si="45"/>
        <v/>
      </c>
      <c r="O749" t="str">
        <f t="shared" si="46"/>
        <v/>
      </c>
      <c r="P749" t="str">
        <f>IF($A749="","",IF($E749=1,$F749*$O749,PNL!G749))</f>
        <v/>
      </c>
      <c r="T749" t="str">
        <f t="shared" si="47"/>
        <v/>
      </c>
    </row>
    <row r="750" spans="1:20" x14ac:dyDescent="0.45">
      <c r="A750" t="str">
        <f>IF(PNL!A750="","",PNL!A750)</f>
        <v/>
      </c>
      <c r="B750" t="str">
        <f>IF(PNL!B750="","",PNL!B750)</f>
        <v/>
      </c>
      <c r="C750" t="str">
        <f>IF(PNL!C750="","",PNL!C750)</f>
        <v/>
      </c>
      <c r="D750" t="str">
        <f>IF(PNL!D750="","",PNL!D750)</f>
        <v/>
      </c>
      <c r="E750" t="str">
        <f t="shared" si="44"/>
        <v/>
      </c>
      <c r="F750" t="str">
        <f>IF($A750="","",IF($E750=1,SUMIFS(Compta!$F$1:$F$675,Compta!$A$1:$A$675,$A750,Compta!$B$1:$B$675,$B750,Compta!$C$1:$C$675,"2026"),0))</f>
        <v/>
      </c>
      <c r="G750" t="str">
        <f>IF($A750="","",IF($D750="V01",cad!$C$23,IF($D750="V02",cad!$D$23,cad!$E$23)))</f>
        <v/>
      </c>
      <c r="H750" t="str">
        <f>IF($A750="","",IF($D750="V01",cad!$C$24,IF($D750="V02",cad!$D$24,cad!$E$24)))</f>
        <v/>
      </c>
      <c r="I750" t="str">
        <f>IF($A750="","",IF($D750="V01",cad!$C$32,IF($D750="V02",cad!$D$32,cad!$E$32)))</f>
        <v/>
      </c>
      <c r="J750" t="str">
        <f>IF($A750="","",IF($D750="V01",cad!$C$33,IF($D750="V02",cad!$D$33,cad!$E$33)))</f>
        <v/>
      </c>
      <c r="K750" t="str">
        <f>IF($A750="","",IF($D750="V01",cad!$C$34,IF($D750="V02",cad!$D$34,cad!$E$34)))</f>
        <v/>
      </c>
      <c r="L750" t="str">
        <f>IF($A750="","",IF($D750="V01",cad!$C$35,IF($D750="V02",cad!$D$35,cad!$E$35)))</f>
        <v/>
      </c>
      <c r="M750" t="str">
        <f>IF($A750="","",IF($D750="V01",cad!$C$36,IF($D750="V02",cad!$D$36,cad!$E$36)))</f>
        <v/>
      </c>
      <c r="N750" t="str">
        <f t="shared" si="45"/>
        <v/>
      </c>
      <c r="O750" t="str">
        <f t="shared" si="46"/>
        <v/>
      </c>
      <c r="P750" t="str">
        <f>IF($A750="","",IF($E750=1,$F750*$O750,PNL!G750))</f>
        <v/>
      </c>
      <c r="T750" t="str">
        <f t="shared" si="47"/>
        <v/>
      </c>
    </row>
    <row r="751" spans="1:20" x14ac:dyDescent="0.45">
      <c r="A751" t="str">
        <f>IF(PNL!A751="","",PNL!A751)</f>
        <v/>
      </c>
      <c r="B751" t="str">
        <f>IF(PNL!B751="","",PNL!B751)</f>
        <v/>
      </c>
      <c r="C751" t="str">
        <f>IF(PNL!C751="","",PNL!C751)</f>
        <v/>
      </c>
      <c r="D751" t="str">
        <f>IF(PNL!D751="","",PNL!D751)</f>
        <v/>
      </c>
      <c r="E751" t="str">
        <f t="shared" si="44"/>
        <v/>
      </c>
      <c r="F751" t="str">
        <f>IF($A751="","",IF($E751=1,SUMIFS(Compta!$F$1:$F$675,Compta!$A$1:$A$675,$A751,Compta!$B$1:$B$675,$B751,Compta!$C$1:$C$675,"2026"),0))</f>
        <v/>
      </c>
      <c r="G751" t="str">
        <f>IF($A751="","",IF($D751="V01",cad!$C$23,IF($D751="V02",cad!$D$23,cad!$E$23)))</f>
        <v/>
      </c>
      <c r="H751" t="str">
        <f>IF($A751="","",IF($D751="V01",cad!$C$24,IF($D751="V02",cad!$D$24,cad!$E$24)))</f>
        <v/>
      </c>
      <c r="I751" t="str">
        <f>IF($A751="","",IF($D751="V01",cad!$C$32,IF($D751="V02",cad!$D$32,cad!$E$32)))</f>
        <v/>
      </c>
      <c r="J751" t="str">
        <f>IF($A751="","",IF($D751="V01",cad!$C$33,IF($D751="V02",cad!$D$33,cad!$E$33)))</f>
        <v/>
      </c>
      <c r="K751" t="str">
        <f>IF($A751="","",IF($D751="V01",cad!$C$34,IF($D751="V02",cad!$D$34,cad!$E$34)))</f>
        <v/>
      </c>
      <c r="L751" t="str">
        <f>IF($A751="","",IF($D751="V01",cad!$C$35,IF($D751="V02",cad!$D$35,cad!$E$35)))</f>
        <v/>
      </c>
      <c r="M751" t="str">
        <f>IF($A751="","",IF($D751="V01",cad!$C$36,IF($D751="V02",cad!$D$36,cad!$E$36)))</f>
        <v/>
      </c>
      <c r="N751" t="str">
        <f t="shared" si="45"/>
        <v/>
      </c>
      <c r="O751" t="str">
        <f t="shared" si="46"/>
        <v/>
      </c>
      <c r="P751" t="str">
        <f>IF($A751="","",IF($E751=1,$F751*$O751,PNL!G751))</f>
        <v/>
      </c>
      <c r="T751" t="str">
        <f t="shared" si="47"/>
        <v/>
      </c>
    </row>
    <row r="752" spans="1:20" x14ac:dyDescent="0.45">
      <c r="A752" t="str">
        <f>IF(PNL!A752="","",PNL!A752)</f>
        <v/>
      </c>
      <c r="B752" t="str">
        <f>IF(PNL!B752="","",PNL!B752)</f>
        <v/>
      </c>
      <c r="C752" t="str">
        <f>IF(PNL!C752="","",PNL!C752)</f>
        <v/>
      </c>
      <c r="D752" t="str">
        <f>IF(PNL!D752="","",PNL!D752)</f>
        <v/>
      </c>
      <c r="E752" t="str">
        <f t="shared" si="44"/>
        <v/>
      </c>
      <c r="F752" t="str">
        <f>IF($A752="","",IF($E752=1,SUMIFS(Compta!$F$1:$F$675,Compta!$A$1:$A$675,$A752,Compta!$B$1:$B$675,$B752,Compta!$C$1:$C$675,"2026"),0))</f>
        <v/>
      </c>
      <c r="G752" t="str">
        <f>IF($A752="","",IF($D752="V01",cad!$C$23,IF($D752="V02",cad!$D$23,cad!$E$23)))</f>
        <v/>
      </c>
      <c r="H752" t="str">
        <f>IF($A752="","",IF($D752="V01",cad!$C$24,IF($D752="V02",cad!$D$24,cad!$E$24)))</f>
        <v/>
      </c>
      <c r="I752" t="str">
        <f>IF($A752="","",IF($D752="V01",cad!$C$32,IF($D752="V02",cad!$D$32,cad!$E$32)))</f>
        <v/>
      </c>
      <c r="J752" t="str">
        <f>IF($A752="","",IF($D752="V01",cad!$C$33,IF($D752="V02",cad!$D$33,cad!$E$33)))</f>
        <v/>
      </c>
      <c r="K752" t="str">
        <f>IF($A752="","",IF($D752="V01",cad!$C$34,IF($D752="V02",cad!$D$34,cad!$E$34)))</f>
        <v/>
      </c>
      <c r="L752" t="str">
        <f>IF($A752="","",IF($D752="V01",cad!$C$35,IF($D752="V02",cad!$D$35,cad!$E$35)))</f>
        <v/>
      </c>
      <c r="M752" t="str">
        <f>IF($A752="","",IF($D752="V01",cad!$C$36,IF($D752="V02",cad!$D$36,cad!$E$36)))</f>
        <v/>
      </c>
      <c r="N752" t="str">
        <f t="shared" si="45"/>
        <v/>
      </c>
      <c r="O752" t="str">
        <f t="shared" si="46"/>
        <v/>
      </c>
      <c r="P752" t="str">
        <f>IF($A752="","",IF($E752=1,$F752*$O752,PNL!G752))</f>
        <v/>
      </c>
      <c r="T752" t="str">
        <f t="shared" si="47"/>
        <v/>
      </c>
    </row>
    <row r="753" spans="1:20" x14ac:dyDescent="0.45">
      <c r="A753" t="str">
        <f>IF(PNL!A753="","",PNL!A753)</f>
        <v/>
      </c>
      <c r="B753" t="str">
        <f>IF(PNL!B753="","",PNL!B753)</f>
        <v/>
      </c>
      <c r="C753" t="str">
        <f>IF(PNL!C753="","",PNL!C753)</f>
        <v/>
      </c>
      <c r="D753" t="str">
        <f>IF(PNL!D753="","",PNL!D753)</f>
        <v/>
      </c>
      <c r="E753" t="str">
        <f t="shared" si="44"/>
        <v/>
      </c>
      <c r="F753" t="str">
        <f>IF($A753="","",IF($E753=1,SUMIFS(Compta!$F$1:$F$675,Compta!$A$1:$A$675,$A753,Compta!$B$1:$B$675,$B753,Compta!$C$1:$C$675,"2026"),0))</f>
        <v/>
      </c>
      <c r="G753" t="str">
        <f>IF($A753="","",IF($D753="V01",cad!$C$23,IF($D753="V02",cad!$D$23,cad!$E$23)))</f>
        <v/>
      </c>
      <c r="H753" t="str">
        <f>IF($A753="","",IF($D753="V01",cad!$C$24,IF($D753="V02",cad!$D$24,cad!$E$24)))</f>
        <v/>
      </c>
      <c r="I753" t="str">
        <f>IF($A753="","",IF($D753="V01",cad!$C$32,IF($D753="V02",cad!$D$32,cad!$E$32)))</f>
        <v/>
      </c>
      <c r="J753" t="str">
        <f>IF($A753="","",IF($D753="V01",cad!$C$33,IF($D753="V02",cad!$D$33,cad!$E$33)))</f>
        <v/>
      </c>
      <c r="K753" t="str">
        <f>IF($A753="","",IF($D753="V01",cad!$C$34,IF($D753="V02",cad!$D$34,cad!$E$34)))</f>
        <v/>
      </c>
      <c r="L753" t="str">
        <f>IF($A753="","",IF($D753="V01",cad!$C$35,IF($D753="V02",cad!$D$35,cad!$E$35)))</f>
        <v/>
      </c>
      <c r="M753" t="str">
        <f>IF($A753="","",IF($D753="V01",cad!$C$36,IF($D753="V02",cad!$D$36,cad!$E$36)))</f>
        <v/>
      </c>
      <c r="N753" t="str">
        <f t="shared" si="45"/>
        <v/>
      </c>
      <c r="O753" t="str">
        <f t="shared" si="46"/>
        <v/>
      </c>
      <c r="P753" t="str">
        <f>IF($A753="","",IF($E753=1,$F753*$O753,PNL!G753))</f>
        <v/>
      </c>
      <c r="T753" t="str">
        <f t="shared" si="47"/>
        <v/>
      </c>
    </row>
    <row r="754" spans="1:20" x14ac:dyDescent="0.45">
      <c r="A754" t="str">
        <f>IF(PNL!A754="","",PNL!A754)</f>
        <v/>
      </c>
      <c r="B754" t="str">
        <f>IF(PNL!B754="","",PNL!B754)</f>
        <v/>
      </c>
      <c r="C754" t="str">
        <f>IF(PNL!C754="","",PNL!C754)</f>
        <v/>
      </c>
      <c r="D754" t="str">
        <f>IF(PNL!D754="","",PNL!D754)</f>
        <v/>
      </c>
      <c r="E754" t="str">
        <f t="shared" si="44"/>
        <v/>
      </c>
      <c r="F754" t="str">
        <f>IF($A754="","",IF($E754=1,SUMIFS(Compta!$F$1:$F$675,Compta!$A$1:$A$675,$A754,Compta!$B$1:$B$675,$B754,Compta!$C$1:$C$675,"2026"),0))</f>
        <v/>
      </c>
      <c r="G754" t="str">
        <f>IF($A754="","",IF($D754="V01",cad!$C$23,IF($D754="V02",cad!$D$23,cad!$E$23)))</f>
        <v/>
      </c>
      <c r="H754" t="str">
        <f>IF($A754="","",IF($D754="V01",cad!$C$24,IF($D754="V02",cad!$D$24,cad!$E$24)))</f>
        <v/>
      </c>
      <c r="I754" t="str">
        <f>IF($A754="","",IF($D754="V01",cad!$C$32,IF($D754="V02",cad!$D$32,cad!$E$32)))</f>
        <v/>
      </c>
      <c r="J754" t="str">
        <f>IF($A754="","",IF($D754="V01",cad!$C$33,IF($D754="V02",cad!$D$33,cad!$E$33)))</f>
        <v/>
      </c>
      <c r="K754" t="str">
        <f>IF($A754="","",IF($D754="V01",cad!$C$34,IF($D754="V02",cad!$D$34,cad!$E$34)))</f>
        <v/>
      </c>
      <c r="L754" t="str">
        <f>IF($A754="","",IF($D754="V01",cad!$C$35,IF($D754="V02",cad!$D$35,cad!$E$35)))</f>
        <v/>
      </c>
      <c r="M754" t="str">
        <f>IF($A754="","",IF($D754="V01",cad!$C$36,IF($D754="V02",cad!$D$36,cad!$E$36)))</f>
        <v/>
      </c>
      <c r="N754" t="str">
        <f t="shared" si="45"/>
        <v/>
      </c>
      <c r="O754" t="str">
        <f t="shared" si="46"/>
        <v/>
      </c>
      <c r="P754" t="str">
        <f>IF($A754="","",IF($E754=1,$F754*$O754,PNL!G754))</f>
        <v/>
      </c>
      <c r="T754" t="str">
        <f t="shared" si="47"/>
        <v/>
      </c>
    </row>
    <row r="755" spans="1:20" x14ac:dyDescent="0.45">
      <c r="A755" t="str">
        <f>IF(PNL!A755="","",PNL!A755)</f>
        <v/>
      </c>
      <c r="B755" t="str">
        <f>IF(PNL!B755="","",PNL!B755)</f>
        <v/>
      </c>
      <c r="C755" t="str">
        <f>IF(PNL!C755="","",PNL!C755)</f>
        <v/>
      </c>
      <c r="D755" t="str">
        <f>IF(PNL!D755="","",PNL!D755)</f>
        <v/>
      </c>
      <c r="E755" t="str">
        <f t="shared" si="44"/>
        <v/>
      </c>
      <c r="F755" t="str">
        <f>IF($A755="","",IF($E755=1,SUMIFS(Compta!$F$1:$F$675,Compta!$A$1:$A$675,$A755,Compta!$B$1:$B$675,$B755,Compta!$C$1:$C$675,"2026"),0))</f>
        <v/>
      </c>
      <c r="G755" t="str">
        <f>IF($A755="","",IF($D755="V01",cad!$C$23,IF($D755="V02",cad!$D$23,cad!$E$23)))</f>
        <v/>
      </c>
      <c r="H755" t="str">
        <f>IF($A755="","",IF($D755="V01",cad!$C$24,IF($D755="V02",cad!$D$24,cad!$E$24)))</f>
        <v/>
      </c>
      <c r="I755" t="str">
        <f>IF($A755="","",IF($D755="V01",cad!$C$32,IF($D755="V02",cad!$D$32,cad!$E$32)))</f>
        <v/>
      </c>
      <c r="J755" t="str">
        <f>IF($A755="","",IF($D755="V01",cad!$C$33,IF($D755="V02",cad!$D$33,cad!$E$33)))</f>
        <v/>
      </c>
      <c r="K755" t="str">
        <f>IF($A755="","",IF($D755="V01",cad!$C$34,IF($D755="V02",cad!$D$34,cad!$E$34)))</f>
        <v/>
      </c>
      <c r="L755" t="str">
        <f>IF($A755="","",IF($D755="V01",cad!$C$35,IF($D755="V02",cad!$D$35,cad!$E$35)))</f>
        <v/>
      </c>
      <c r="M755" t="str">
        <f>IF($A755="","",IF($D755="V01",cad!$C$36,IF($D755="V02",cad!$D$36,cad!$E$36)))</f>
        <v/>
      </c>
      <c r="N755" t="str">
        <f t="shared" si="45"/>
        <v/>
      </c>
      <c r="O755" t="str">
        <f t="shared" si="46"/>
        <v/>
      </c>
      <c r="P755" t="str">
        <f>IF($A755="","",IF($E755=1,$F755*$O755,PNL!G755))</f>
        <v/>
      </c>
      <c r="T755" t="str">
        <f t="shared" si="47"/>
        <v/>
      </c>
    </row>
    <row r="756" spans="1:20" x14ac:dyDescent="0.45">
      <c r="A756" t="str">
        <f>IF(PNL!A756="","",PNL!A756)</f>
        <v/>
      </c>
      <c r="B756" t="str">
        <f>IF(PNL!B756="","",PNL!B756)</f>
        <v/>
      </c>
      <c r="C756" t="str">
        <f>IF(PNL!C756="","",PNL!C756)</f>
        <v/>
      </c>
      <c r="D756" t="str">
        <f>IF(PNL!D756="","",PNL!D756)</f>
        <v/>
      </c>
      <c r="E756" t="str">
        <f t="shared" si="44"/>
        <v/>
      </c>
      <c r="F756" t="str">
        <f>IF($A756="","",IF($E756=1,SUMIFS(Compta!$F$1:$F$675,Compta!$A$1:$A$675,$A756,Compta!$B$1:$B$675,$B756,Compta!$C$1:$C$675,"2026"),0))</f>
        <v/>
      </c>
      <c r="G756" t="str">
        <f>IF($A756="","",IF($D756="V01",cad!$C$23,IF($D756="V02",cad!$D$23,cad!$E$23)))</f>
        <v/>
      </c>
      <c r="H756" t="str">
        <f>IF($A756="","",IF($D756="V01",cad!$C$24,IF($D756="V02",cad!$D$24,cad!$E$24)))</f>
        <v/>
      </c>
      <c r="I756" t="str">
        <f>IF($A756="","",IF($D756="V01",cad!$C$32,IF($D756="V02",cad!$D$32,cad!$E$32)))</f>
        <v/>
      </c>
      <c r="J756" t="str">
        <f>IF($A756="","",IF($D756="V01",cad!$C$33,IF($D756="V02",cad!$D$33,cad!$E$33)))</f>
        <v/>
      </c>
      <c r="K756" t="str">
        <f>IF($A756="","",IF($D756="V01",cad!$C$34,IF($D756="V02",cad!$D$34,cad!$E$34)))</f>
        <v/>
      </c>
      <c r="L756" t="str">
        <f>IF($A756="","",IF($D756="V01",cad!$C$35,IF($D756="V02",cad!$D$35,cad!$E$35)))</f>
        <v/>
      </c>
      <c r="M756" t="str">
        <f>IF($A756="","",IF($D756="V01",cad!$C$36,IF($D756="V02",cad!$D$36,cad!$E$36)))</f>
        <v/>
      </c>
      <c r="N756" t="str">
        <f t="shared" si="45"/>
        <v/>
      </c>
      <c r="O756" t="str">
        <f t="shared" si="46"/>
        <v/>
      </c>
      <c r="P756" t="str">
        <f>IF($A756="","",IF($E756=1,$F756*$O756,PNL!G756))</f>
        <v/>
      </c>
      <c r="T756" t="str">
        <f t="shared" si="47"/>
        <v/>
      </c>
    </row>
    <row r="757" spans="1:20" x14ac:dyDescent="0.45">
      <c r="A757" t="str">
        <f>IF(PNL!A757="","",PNL!A757)</f>
        <v/>
      </c>
      <c r="B757" t="str">
        <f>IF(PNL!B757="","",PNL!B757)</f>
        <v/>
      </c>
      <c r="C757" t="str">
        <f>IF(PNL!C757="","",PNL!C757)</f>
        <v/>
      </c>
      <c r="D757" t="str">
        <f>IF(PNL!D757="","",PNL!D757)</f>
        <v/>
      </c>
      <c r="E757" t="str">
        <f t="shared" si="44"/>
        <v/>
      </c>
      <c r="F757" t="str">
        <f>IF($A757="","",IF($E757=1,SUMIFS(Compta!$F$1:$F$675,Compta!$A$1:$A$675,$A757,Compta!$B$1:$B$675,$B757,Compta!$C$1:$C$675,"2026"),0))</f>
        <v/>
      </c>
      <c r="G757" t="str">
        <f>IF($A757="","",IF($D757="V01",cad!$C$23,IF($D757="V02",cad!$D$23,cad!$E$23)))</f>
        <v/>
      </c>
      <c r="H757" t="str">
        <f>IF($A757="","",IF($D757="V01",cad!$C$24,IF($D757="V02",cad!$D$24,cad!$E$24)))</f>
        <v/>
      </c>
      <c r="I757" t="str">
        <f>IF($A757="","",IF($D757="V01",cad!$C$32,IF($D757="V02",cad!$D$32,cad!$E$32)))</f>
        <v/>
      </c>
      <c r="J757" t="str">
        <f>IF($A757="","",IF($D757="V01",cad!$C$33,IF($D757="V02",cad!$D$33,cad!$E$33)))</f>
        <v/>
      </c>
      <c r="K757" t="str">
        <f>IF($A757="","",IF($D757="V01",cad!$C$34,IF($D757="V02",cad!$D$34,cad!$E$34)))</f>
        <v/>
      </c>
      <c r="L757" t="str">
        <f>IF($A757="","",IF($D757="V01",cad!$C$35,IF($D757="V02",cad!$D$35,cad!$E$35)))</f>
        <v/>
      </c>
      <c r="M757" t="str">
        <f>IF($A757="","",IF($D757="V01",cad!$C$36,IF($D757="V02",cad!$D$36,cad!$E$36)))</f>
        <v/>
      </c>
      <c r="N757" t="str">
        <f t="shared" si="45"/>
        <v/>
      </c>
      <c r="O757" t="str">
        <f t="shared" si="46"/>
        <v/>
      </c>
      <c r="P757" t="str">
        <f>IF($A757="","",IF($E757=1,$F757*$O757,PNL!G757))</f>
        <v/>
      </c>
      <c r="T757" t="str">
        <f t="shared" si="47"/>
        <v/>
      </c>
    </row>
    <row r="758" spans="1:20" x14ac:dyDescent="0.45">
      <c r="A758" t="str">
        <f>IF(PNL!A758="","",PNL!A758)</f>
        <v/>
      </c>
      <c r="B758" t="str">
        <f>IF(PNL!B758="","",PNL!B758)</f>
        <v/>
      </c>
      <c r="C758" t="str">
        <f>IF(PNL!C758="","",PNL!C758)</f>
        <v/>
      </c>
      <c r="D758" t="str">
        <f>IF(PNL!D758="","",PNL!D758)</f>
        <v/>
      </c>
      <c r="E758" t="str">
        <f t="shared" si="44"/>
        <v/>
      </c>
      <c r="F758" t="str">
        <f>IF($A758="","",IF($E758=1,SUMIFS(Compta!$F$1:$F$675,Compta!$A$1:$A$675,$A758,Compta!$B$1:$B$675,$B758,Compta!$C$1:$C$675,"2026"),0))</f>
        <v/>
      </c>
      <c r="G758" t="str">
        <f>IF($A758="","",IF($D758="V01",cad!$C$23,IF($D758="V02",cad!$D$23,cad!$E$23)))</f>
        <v/>
      </c>
      <c r="H758" t="str">
        <f>IF($A758="","",IF($D758="V01",cad!$C$24,IF($D758="V02",cad!$D$24,cad!$E$24)))</f>
        <v/>
      </c>
      <c r="I758" t="str">
        <f>IF($A758="","",IF($D758="V01",cad!$C$32,IF($D758="V02",cad!$D$32,cad!$E$32)))</f>
        <v/>
      </c>
      <c r="J758" t="str">
        <f>IF($A758="","",IF($D758="V01",cad!$C$33,IF($D758="V02",cad!$D$33,cad!$E$33)))</f>
        <v/>
      </c>
      <c r="K758" t="str">
        <f>IF($A758="","",IF($D758="V01",cad!$C$34,IF($D758="V02",cad!$D$34,cad!$E$34)))</f>
        <v/>
      </c>
      <c r="L758" t="str">
        <f>IF($A758="","",IF($D758="V01",cad!$C$35,IF($D758="V02",cad!$D$35,cad!$E$35)))</f>
        <v/>
      </c>
      <c r="M758" t="str">
        <f>IF($A758="","",IF($D758="V01",cad!$C$36,IF($D758="V02",cad!$D$36,cad!$E$36)))</f>
        <v/>
      </c>
      <c r="N758" t="str">
        <f t="shared" si="45"/>
        <v/>
      </c>
      <c r="O758" t="str">
        <f t="shared" si="46"/>
        <v/>
      </c>
      <c r="P758" t="str">
        <f>IF($A758="","",IF($E758=1,$F758*$O758,PNL!G758))</f>
        <v/>
      </c>
      <c r="T758" t="str">
        <f t="shared" si="47"/>
        <v/>
      </c>
    </row>
    <row r="759" spans="1:20" x14ac:dyDescent="0.45">
      <c r="A759" t="str">
        <f>IF(PNL!A759="","",PNL!A759)</f>
        <v/>
      </c>
      <c r="B759" t="str">
        <f>IF(PNL!B759="","",PNL!B759)</f>
        <v/>
      </c>
      <c r="C759" t="str">
        <f>IF(PNL!C759="","",PNL!C759)</f>
        <v/>
      </c>
      <c r="D759" t="str">
        <f>IF(PNL!D759="","",PNL!D759)</f>
        <v/>
      </c>
      <c r="E759" t="str">
        <f t="shared" si="44"/>
        <v/>
      </c>
      <c r="F759" t="str">
        <f>IF($A759="","",IF($E759=1,SUMIFS(Compta!$F$1:$F$675,Compta!$A$1:$A$675,$A759,Compta!$B$1:$B$675,$B759,Compta!$C$1:$C$675,"2026"),0))</f>
        <v/>
      </c>
      <c r="G759" t="str">
        <f>IF($A759="","",IF($D759="V01",cad!$C$23,IF($D759="V02",cad!$D$23,cad!$E$23)))</f>
        <v/>
      </c>
      <c r="H759" t="str">
        <f>IF($A759="","",IF($D759="V01",cad!$C$24,IF($D759="V02",cad!$D$24,cad!$E$24)))</f>
        <v/>
      </c>
      <c r="I759" t="str">
        <f>IF($A759="","",IF($D759="V01",cad!$C$32,IF($D759="V02",cad!$D$32,cad!$E$32)))</f>
        <v/>
      </c>
      <c r="J759" t="str">
        <f>IF($A759="","",IF($D759="V01",cad!$C$33,IF($D759="V02",cad!$D$33,cad!$E$33)))</f>
        <v/>
      </c>
      <c r="K759" t="str">
        <f>IF($A759="","",IF($D759="V01",cad!$C$34,IF($D759="V02",cad!$D$34,cad!$E$34)))</f>
        <v/>
      </c>
      <c r="L759" t="str">
        <f>IF($A759="","",IF($D759="V01",cad!$C$35,IF($D759="V02",cad!$D$35,cad!$E$35)))</f>
        <v/>
      </c>
      <c r="M759" t="str">
        <f>IF($A759="","",IF($D759="V01",cad!$C$36,IF($D759="V02",cad!$D$36,cad!$E$36)))</f>
        <v/>
      </c>
      <c r="N759" t="str">
        <f t="shared" si="45"/>
        <v/>
      </c>
      <c r="O759" t="str">
        <f t="shared" si="46"/>
        <v/>
      </c>
      <c r="P759" t="str">
        <f>IF($A759="","",IF($E759=1,$F759*$O759,PNL!G759))</f>
        <v/>
      </c>
      <c r="T759" t="str">
        <f t="shared" si="47"/>
        <v/>
      </c>
    </row>
    <row r="760" spans="1:20" x14ac:dyDescent="0.45">
      <c r="A760" t="str">
        <f>IF(PNL!A760="","",PNL!A760)</f>
        <v/>
      </c>
      <c r="B760" t="str">
        <f>IF(PNL!B760="","",PNL!B760)</f>
        <v/>
      </c>
      <c r="C760" t="str">
        <f>IF(PNL!C760="","",PNL!C760)</f>
        <v/>
      </c>
      <c r="D760" t="str">
        <f>IF(PNL!D760="","",PNL!D760)</f>
        <v/>
      </c>
      <c r="E760" t="str">
        <f t="shared" si="44"/>
        <v/>
      </c>
      <c r="F760" t="str">
        <f>IF($A760="","",IF($E760=1,SUMIFS(Compta!$F$1:$F$675,Compta!$A$1:$A$675,$A760,Compta!$B$1:$B$675,$B760,Compta!$C$1:$C$675,"2026"),0))</f>
        <v/>
      </c>
      <c r="G760" t="str">
        <f>IF($A760="","",IF($D760="V01",cad!$C$23,IF($D760="V02",cad!$D$23,cad!$E$23)))</f>
        <v/>
      </c>
      <c r="H760" t="str">
        <f>IF($A760="","",IF($D760="V01",cad!$C$24,IF($D760="V02",cad!$D$24,cad!$E$24)))</f>
        <v/>
      </c>
      <c r="I760" t="str">
        <f>IF($A760="","",IF($D760="V01",cad!$C$32,IF($D760="V02",cad!$D$32,cad!$E$32)))</f>
        <v/>
      </c>
      <c r="J760" t="str">
        <f>IF($A760="","",IF($D760="V01",cad!$C$33,IF($D760="V02",cad!$D$33,cad!$E$33)))</f>
        <v/>
      </c>
      <c r="K760" t="str">
        <f>IF($A760="","",IF($D760="V01",cad!$C$34,IF($D760="V02",cad!$D$34,cad!$E$34)))</f>
        <v/>
      </c>
      <c r="L760" t="str">
        <f>IF($A760="","",IF($D760="V01",cad!$C$35,IF($D760="V02",cad!$D$35,cad!$E$35)))</f>
        <v/>
      </c>
      <c r="M760" t="str">
        <f>IF($A760="","",IF($D760="V01",cad!$C$36,IF($D760="V02",cad!$D$36,cad!$E$36)))</f>
        <v/>
      </c>
      <c r="N760" t="str">
        <f t="shared" si="45"/>
        <v/>
      </c>
      <c r="O760" t="str">
        <f t="shared" si="46"/>
        <v/>
      </c>
      <c r="P760" t="str">
        <f>IF($A760="","",IF($E760=1,$F760*$O760,PNL!G760))</f>
        <v/>
      </c>
      <c r="T760" t="str">
        <f t="shared" si="47"/>
        <v/>
      </c>
    </row>
    <row r="761" spans="1:20" x14ac:dyDescent="0.45">
      <c r="A761" t="str">
        <f>IF(PNL!A761="","",PNL!A761)</f>
        <v/>
      </c>
      <c r="B761" t="str">
        <f>IF(PNL!B761="","",PNL!B761)</f>
        <v/>
      </c>
      <c r="C761" t="str">
        <f>IF(PNL!C761="","",PNL!C761)</f>
        <v/>
      </c>
      <c r="D761" t="str">
        <f>IF(PNL!D761="","",PNL!D761)</f>
        <v/>
      </c>
      <c r="E761" t="str">
        <f t="shared" si="44"/>
        <v/>
      </c>
      <c r="F761" t="str">
        <f>IF($A761="","",IF($E761=1,SUMIFS(Compta!$F$1:$F$675,Compta!$A$1:$A$675,$A761,Compta!$B$1:$B$675,$B761,Compta!$C$1:$C$675,"2026"),0))</f>
        <v/>
      </c>
      <c r="G761" t="str">
        <f>IF($A761="","",IF($D761="V01",cad!$C$23,IF($D761="V02",cad!$D$23,cad!$E$23)))</f>
        <v/>
      </c>
      <c r="H761" t="str">
        <f>IF($A761="","",IF($D761="V01",cad!$C$24,IF($D761="V02",cad!$D$24,cad!$E$24)))</f>
        <v/>
      </c>
      <c r="I761" t="str">
        <f>IF($A761="","",IF($D761="V01",cad!$C$32,IF($D761="V02",cad!$D$32,cad!$E$32)))</f>
        <v/>
      </c>
      <c r="J761" t="str">
        <f>IF($A761="","",IF($D761="V01",cad!$C$33,IF($D761="V02",cad!$D$33,cad!$E$33)))</f>
        <v/>
      </c>
      <c r="K761" t="str">
        <f>IF($A761="","",IF($D761="V01",cad!$C$34,IF($D761="V02",cad!$D$34,cad!$E$34)))</f>
        <v/>
      </c>
      <c r="L761" t="str">
        <f>IF($A761="","",IF($D761="V01",cad!$C$35,IF($D761="V02",cad!$D$35,cad!$E$35)))</f>
        <v/>
      </c>
      <c r="M761" t="str">
        <f>IF($A761="","",IF($D761="V01",cad!$C$36,IF($D761="V02",cad!$D$36,cad!$E$36)))</f>
        <v/>
      </c>
      <c r="N761" t="str">
        <f t="shared" si="45"/>
        <v/>
      </c>
      <c r="O761" t="str">
        <f t="shared" si="46"/>
        <v/>
      </c>
      <c r="P761" t="str">
        <f>IF($A761="","",IF($E761=1,$F761*$O761,PNL!G761))</f>
        <v/>
      </c>
      <c r="T761" t="str">
        <f t="shared" si="47"/>
        <v/>
      </c>
    </row>
    <row r="762" spans="1:20" x14ac:dyDescent="0.45">
      <c r="A762" t="str">
        <f>IF(PNL!A762="","",PNL!A762)</f>
        <v/>
      </c>
      <c r="B762" t="str">
        <f>IF(PNL!B762="","",PNL!B762)</f>
        <v/>
      </c>
      <c r="C762" t="str">
        <f>IF(PNL!C762="","",PNL!C762)</f>
        <v/>
      </c>
      <c r="D762" t="str">
        <f>IF(PNL!D762="","",PNL!D762)</f>
        <v/>
      </c>
      <c r="E762" t="str">
        <f t="shared" si="44"/>
        <v/>
      </c>
      <c r="F762" t="str">
        <f>IF($A762="","",IF($E762=1,SUMIFS(Compta!$F$1:$F$675,Compta!$A$1:$A$675,$A762,Compta!$B$1:$B$675,$B762,Compta!$C$1:$C$675,"2026"),0))</f>
        <v/>
      </c>
      <c r="G762" t="str">
        <f>IF($A762="","",IF($D762="V01",cad!$C$23,IF($D762="V02",cad!$D$23,cad!$E$23)))</f>
        <v/>
      </c>
      <c r="H762" t="str">
        <f>IF($A762="","",IF($D762="V01",cad!$C$24,IF($D762="V02",cad!$D$24,cad!$E$24)))</f>
        <v/>
      </c>
      <c r="I762" t="str">
        <f>IF($A762="","",IF($D762="V01",cad!$C$32,IF($D762="V02",cad!$D$32,cad!$E$32)))</f>
        <v/>
      </c>
      <c r="J762" t="str">
        <f>IF($A762="","",IF($D762="V01",cad!$C$33,IF($D762="V02",cad!$D$33,cad!$E$33)))</f>
        <v/>
      </c>
      <c r="K762" t="str">
        <f>IF($A762="","",IF($D762="V01",cad!$C$34,IF($D762="V02",cad!$D$34,cad!$E$34)))</f>
        <v/>
      </c>
      <c r="L762" t="str">
        <f>IF($A762="","",IF($D762="V01",cad!$C$35,IF($D762="V02",cad!$D$35,cad!$E$35)))</f>
        <v/>
      </c>
      <c r="M762" t="str">
        <f>IF($A762="","",IF($D762="V01",cad!$C$36,IF($D762="V02",cad!$D$36,cad!$E$36)))</f>
        <v/>
      </c>
      <c r="N762" t="str">
        <f t="shared" si="45"/>
        <v/>
      </c>
      <c r="O762" t="str">
        <f t="shared" si="46"/>
        <v/>
      </c>
      <c r="P762" t="str">
        <f>IF($A762="","",IF($E762=1,$F762*$O762,PNL!G762))</f>
        <v/>
      </c>
      <c r="T762" t="str">
        <f t="shared" si="47"/>
        <v/>
      </c>
    </row>
    <row r="763" spans="1:20" x14ac:dyDescent="0.45">
      <c r="A763" t="str">
        <f>IF(PNL!A763="","",PNL!A763)</f>
        <v/>
      </c>
      <c r="B763" t="str">
        <f>IF(PNL!B763="","",PNL!B763)</f>
        <v/>
      </c>
      <c r="C763" t="str">
        <f>IF(PNL!C763="","",PNL!C763)</f>
        <v/>
      </c>
      <c r="D763" t="str">
        <f>IF(PNL!D763="","",PNL!D763)</f>
        <v/>
      </c>
      <c r="E763" t="str">
        <f t="shared" si="44"/>
        <v/>
      </c>
      <c r="F763" t="str">
        <f>IF($A763="","",IF($E763=1,SUMIFS(Compta!$F$1:$F$675,Compta!$A$1:$A$675,$A763,Compta!$B$1:$B$675,$B763,Compta!$C$1:$C$675,"2026"),0))</f>
        <v/>
      </c>
      <c r="G763" t="str">
        <f>IF($A763="","",IF($D763="V01",cad!$C$23,IF($D763="V02",cad!$D$23,cad!$E$23)))</f>
        <v/>
      </c>
      <c r="H763" t="str">
        <f>IF($A763="","",IF($D763="V01",cad!$C$24,IF($D763="V02",cad!$D$24,cad!$E$24)))</f>
        <v/>
      </c>
      <c r="I763" t="str">
        <f>IF($A763="","",IF($D763="V01",cad!$C$32,IF($D763="V02",cad!$D$32,cad!$E$32)))</f>
        <v/>
      </c>
      <c r="J763" t="str">
        <f>IF($A763="","",IF($D763="V01",cad!$C$33,IF($D763="V02",cad!$D$33,cad!$E$33)))</f>
        <v/>
      </c>
      <c r="K763" t="str">
        <f>IF($A763="","",IF($D763="V01",cad!$C$34,IF($D763="V02",cad!$D$34,cad!$E$34)))</f>
        <v/>
      </c>
      <c r="L763" t="str">
        <f>IF($A763="","",IF($D763="V01",cad!$C$35,IF($D763="V02",cad!$D$35,cad!$E$35)))</f>
        <v/>
      </c>
      <c r="M763" t="str">
        <f>IF($A763="","",IF($D763="V01",cad!$C$36,IF($D763="V02",cad!$D$36,cad!$E$36)))</f>
        <v/>
      </c>
      <c r="N763" t="str">
        <f t="shared" si="45"/>
        <v/>
      </c>
      <c r="O763" t="str">
        <f t="shared" si="46"/>
        <v/>
      </c>
      <c r="P763" t="str">
        <f>IF($A763="","",IF($E763=1,$F763*$O763,PNL!G763))</f>
        <v/>
      </c>
      <c r="T763" t="str">
        <f t="shared" si="47"/>
        <v/>
      </c>
    </row>
    <row r="764" spans="1:20" x14ac:dyDescent="0.45">
      <c r="A764" t="str">
        <f>IF(PNL!A764="","",PNL!A764)</f>
        <v/>
      </c>
      <c r="B764" t="str">
        <f>IF(PNL!B764="","",PNL!B764)</f>
        <v/>
      </c>
      <c r="C764" t="str">
        <f>IF(PNL!C764="","",PNL!C764)</f>
        <v/>
      </c>
      <c r="D764" t="str">
        <f>IF(PNL!D764="","",PNL!D764)</f>
        <v/>
      </c>
      <c r="E764" t="str">
        <f t="shared" si="44"/>
        <v/>
      </c>
      <c r="F764" t="str">
        <f>IF($A764="","",IF($E764=1,SUMIFS(Compta!$F$1:$F$675,Compta!$A$1:$A$675,$A764,Compta!$B$1:$B$675,$B764,Compta!$C$1:$C$675,"2026"),0))</f>
        <v/>
      </c>
      <c r="G764" t="str">
        <f>IF($A764="","",IF($D764="V01",cad!$C$23,IF($D764="V02",cad!$D$23,cad!$E$23)))</f>
        <v/>
      </c>
      <c r="H764" t="str">
        <f>IF($A764="","",IF($D764="V01",cad!$C$24,IF($D764="V02",cad!$D$24,cad!$E$24)))</f>
        <v/>
      </c>
      <c r="I764" t="str">
        <f>IF($A764="","",IF($D764="V01",cad!$C$32,IF($D764="V02",cad!$D$32,cad!$E$32)))</f>
        <v/>
      </c>
      <c r="J764" t="str">
        <f>IF($A764="","",IF($D764="V01",cad!$C$33,IF($D764="V02",cad!$D$33,cad!$E$33)))</f>
        <v/>
      </c>
      <c r="K764" t="str">
        <f>IF($A764="","",IF($D764="V01",cad!$C$34,IF($D764="V02",cad!$D$34,cad!$E$34)))</f>
        <v/>
      </c>
      <c r="L764" t="str">
        <f>IF($A764="","",IF($D764="V01",cad!$C$35,IF($D764="V02",cad!$D$35,cad!$E$35)))</f>
        <v/>
      </c>
      <c r="M764" t="str">
        <f>IF($A764="","",IF($D764="V01",cad!$C$36,IF($D764="V02",cad!$D$36,cad!$E$36)))</f>
        <v/>
      </c>
      <c r="N764" t="str">
        <f t="shared" si="45"/>
        <v/>
      </c>
      <c r="O764" t="str">
        <f t="shared" si="46"/>
        <v/>
      </c>
      <c r="P764" t="str">
        <f>IF($A764="","",IF($E764=1,$F764*$O764,PNL!G764))</f>
        <v/>
      </c>
      <c r="T764" t="str">
        <f t="shared" si="47"/>
        <v/>
      </c>
    </row>
    <row r="765" spans="1:20" x14ac:dyDescent="0.45">
      <c r="A765" t="str">
        <f>IF(PNL!A765="","",PNL!A765)</f>
        <v/>
      </c>
      <c r="B765" t="str">
        <f>IF(PNL!B765="","",PNL!B765)</f>
        <v/>
      </c>
      <c r="C765" t="str">
        <f>IF(PNL!C765="","",PNL!C765)</f>
        <v/>
      </c>
      <c r="D765" t="str">
        <f>IF(PNL!D765="","",PNL!D765)</f>
        <v/>
      </c>
      <c r="E765" t="str">
        <f t="shared" si="44"/>
        <v/>
      </c>
      <c r="F765" t="str">
        <f>IF($A765="","",IF($E765=1,SUMIFS(Compta!$F$1:$F$675,Compta!$A$1:$A$675,$A765,Compta!$B$1:$B$675,$B765,Compta!$C$1:$C$675,"2026"),0))</f>
        <v/>
      </c>
      <c r="G765" t="str">
        <f>IF($A765="","",IF($D765="V01",cad!$C$23,IF($D765="V02",cad!$D$23,cad!$E$23)))</f>
        <v/>
      </c>
      <c r="H765" t="str">
        <f>IF($A765="","",IF($D765="V01",cad!$C$24,IF($D765="V02",cad!$D$24,cad!$E$24)))</f>
        <v/>
      </c>
      <c r="I765" t="str">
        <f>IF($A765="","",IF($D765="V01",cad!$C$32,IF($D765="V02",cad!$D$32,cad!$E$32)))</f>
        <v/>
      </c>
      <c r="J765" t="str">
        <f>IF($A765="","",IF($D765="V01",cad!$C$33,IF($D765="V02",cad!$D$33,cad!$E$33)))</f>
        <v/>
      </c>
      <c r="K765" t="str">
        <f>IF($A765="","",IF($D765="V01",cad!$C$34,IF($D765="V02",cad!$D$34,cad!$E$34)))</f>
        <v/>
      </c>
      <c r="L765" t="str">
        <f>IF($A765="","",IF($D765="V01",cad!$C$35,IF($D765="V02",cad!$D$35,cad!$E$35)))</f>
        <v/>
      </c>
      <c r="M765" t="str">
        <f>IF($A765="","",IF($D765="V01",cad!$C$36,IF($D765="V02",cad!$D$36,cad!$E$36)))</f>
        <v/>
      </c>
      <c r="N765" t="str">
        <f t="shared" si="45"/>
        <v/>
      </c>
      <c r="O765" t="str">
        <f t="shared" si="46"/>
        <v/>
      </c>
      <c r="P765" t="str">
        <f>IF($A765="","",IF($E765=1,$F765*$O765,PNL!G765))</f>
        <v/>
      </c>
      <c r="T765" t="str">
        <f t="shared" si="47"/>
        <v/>
      </c>
    </row>
    <row r="766" spans="1:20" x14ac:dyDescent="0.45">
      <c r="A766" t="str">
        <f>IF(PNL!A766="","",PNL!A766)</f>
        <v/>
      </c>
      <c r="B766" t="str">
        <f>IF(PNL!B766="","",PNL!B766)</f>
        <v/>
      </c>
      <c r="C766" t="str">
        <f>IF(PNL!C766="","",PNL!C766)</f>
        <v/>
      </c>
      <c r="D766" t="str">
        <f>IF(PNL!D766="","",PNL!D766)</f>
        <v/>
      </c>
      <c r="E766" t="str">
        <f t="shared" si="44"/>
        <v/>
      </c>
      <c r="F766" t="str">
        <f>IF($A766="","",IF($E766=1,SUMIFS(Compta!$F$1:$F$675,Compta!$A$1:$A$675,$A766,Compta!$B$1:$B$675,$B766,Compta!$C$1:$C$675,"2026"),0))</f>
        <v/>
      </c>
      <c r="G766" t="str">
        <f>IF($A766="","",IF($D766="V01",cad!$C$23,IF($D766="V02",cad!$D$23,cad!$E$23)))</f>
        <v/>
      </c>
      <c r="H766" t="str">
        <f>IF($A766="","",IF($D766="V01",cad!$C$24,IF($D766="V02",cad!$D$24,cad!$E$24)))</f>
        <v/>
      </c>
      <c r="I766" t="str">
        <f>IF($A766="","",IF($D766="V01",cad!$C$32,IF($D766="V02",cad!$D$32,cad!$E$32)))</f>
        <v/>
      </c>
      <c r="J766" t="str">
        <f>IF($A766="","",IF($D766="V01",cad!$C$33,IF($D766="V02",cad!$D$33,cad!$E$33)))</f>
        <v/>
      </c>
      <c r="K766" t="str">
        <f>IF($A766="","",IF($D766="V01",cad!$C$34,IF($D766="V02",cad!$D$34,cad!$E$34)))</f>
        <v/>
      </c>
      <c r="L766" t="str">
        <f>IF($A766="","",IF($D766="V01",cad!$C$35,IF($D766="V02",cad!$D$35,cad!$E$35)))</f>
        <v/>
      </c>
      <c r="M766" t="str">
        <f>IF($A766="","",IF($D766="V01",cad!$C$36,IF($D766="V02",cad!$D$36,cad!$E$36)))</f>
        <v/>
      </c>
      <c r="N766" t="str">
        <f t="shared" si="45"/>
        <v/>
      </c>
      <c r="O766" t="str">
        <f t="shared" si="46"/>
        <v/>
      </c>
      <c r="P766" t="str">
        <f>IF($A766="","",IF($E766=1,$F766*$O766,PNL!G766))</f>
        <v/>
      </c>
      <c r="T766" t="str">
        <f t="shared" si="47"/>
        <v/>
      </c>
    </row>
    <row r="767" spans="1:20" x14ac:dyDescent="0.45">
      <c r="A767" t="str">
        <f>IF(PNL!A767="","",PNL!A767)</f>
        <v/>
      </c>
      <c r="B767" t="str">
        <f>IF(PNL!B767="","",PNL!B767)</f>
        <v/>
      </c>
      <c r="C767" t="str">
        <f>IF(PNL!C767="","",PNL!C767)</f>
        <v/>
      </c>
      <c r="D767" t="str">
        <f>IF(PNL!D767="","",PNL!D767)</f>
        <v/>
      </c>
      <c r="E767" t="str">
        <f t="shared" si="44"/>
        <v/>
      </c>
      <c r="F767" t="str">
        <f>IF($A767="","",IF($E767=1,SUMIFS(Compta!$F$1:$F$675,Compta!$A$1:$A$675,$A767,Compta!$B$1:$B$675,$B767,Compta!$C$1:$C$675,"2026"),0))</f>
        <v/>
      </c>
      <c r="G767" t="str">
        <f>IF($A767="","",IF($D767="V01",cad!$C$23,IF($D767="V02",cad!$D$23,cad!$E$23)))</f>
        <v/>
      </c>
      <c r="H767" t="str">
        <f>IF($A767="","",IF($D767="V01",cad!$C$24,IF($D767="V02",cad!$D$24,cad!$E$24)))</f>
        <v/>
      </c>
      <c r="I767" t="str">
        <f>IF($A767="","",IF($D767="V01",cad!$C$32,IF($D767="V02",cad!$D$32,cad!$E$32)))</f>
        <v/>
      </c>
      <c r="J767" t="str">
        <f>IF($A767="","",IF($D767="V01",cad!$C$33,IF($D767="V02",cad!$D$33,cad!$E$33)))</f>
        <v/>
      </c>
      <c r="K767" t="str">
        <f>IF($A767="","",IF($D767="V01",cad!$C$34,IF($D767="V02",cad!$D$34,cad!$E$34)))</f>
        <v/>
      </c>
      <c r="L767" t="str">
        <f>IF($A767="","",IF($D767="V01",cad!$C$35,IF($D767="V02",cad!$D$35,cad!$E$35)))</f>
        <v/>
      </c>
      <c r="M767" t="str">
        <f>IF($A767="","",IF($D767="V01",cad!$C$36,IF($D767="V02",cad!$D$36,cad!$E$36)))</f>
        <v/>
      </c>
      <c r="N767" t="str">
        <f t="shared" si="45"/>
        <v/>
      </c>
      <c r="O767" t="str">
        <f t="shared" si="46"/>
        <v/>
      </c>
      <c r="P767" t="str">
        <f>IF($A767="","",IF($E767=1,$F767*$O767,PNL!G767))</f>
        <v/>
      </c>
      <c r="T767" t="str">
        <f t="shared" si="47"/>
        <v/>
      </c>
    </row>
    <row r="768" spans="1:20" x14ac:dyDescent="0.45">
      <c r="A768" t="str">
        <f>IF(PNL!A768="","",PNL!A768)</f>
        <v/>
      </c>
      <c r="B768" t="str">
        <f>IF(PNL!B768="","",PNL!B768)</f>
        <v/>
      </c>
      <c r="C768" t="str">
        <f>IF(PNL!C768="","",PNL!C768)</f>
        <v/>
      </c>
      <c r="D768" t="str">
        <f>IF(PNL!D768="","",PNL!D768)</f>
        <v/>
      </c>
      <c r="E768" t="str">
        <f t="shared" si="44"/>
        <v/>
      </c>
      <c r="F768" t="str">
        <f>IF($A768="","",IF($E768=1,SUMIFS(Compta!$F$1:$F$675,Compta!$A$1:$A$675,$A768,Compta!$B$1:$B$675,$B768,Compta!$C$1:$C$675,"2026"),0))</f>
        <v/>
      </c>
      <c r="G768" t="str">
        <f>IF($A768="","",IF($D768="V01",cad!$C$23,IF($D768="V02",cad!$D$23,cad!$E$23)))</f>
        <v/>
      </c>
      <c r="H768" t="str">
        <f>IF($A768="","",IF($D768="V01",cad!$C$24,IF($D768="V02",cad!$D$24,cad!$E$24)))</f>
        <v/>
      </c>
      <c r="I768" t="str">
        <f>IF($A768="","",IF($D768="V01",cad!$C$32,IF($D768="V02",cad!$D$32,cad!$E$32)))</f>
        <v/>
      </c>
      <c r="J768" t="str">
        <f>IF($A768="","",IF($D768="V01",cad!$C$33,IF($D768="V02",cad!$D$33,cad!$E$33)))</f>
        <v/>
      </c>
      <c r="K768" t="str">
        <f>IF($A768="","",IF($D768="V01",cad!$C$34,IF($D768="V02",cad!$D$34,cad!$E$34)))</f>
        <v/>
      </c>
      <c r="L768" t="str">
        <f>IF($A768="","",IF($D768="V01",cad!$C$35,IF($D768="V02",cad!$D$35,cad!$E$35)))</f>
        <v/>
      </c>
      <c r="M768" t="str">
        <f>IF($A768="","",IF($D768="V01",cad!$C$36,IF($D768="V02",cad!$D$36,cad!$E$36)))</f>
        <v/>
      </c>
      <c r="N768" t="str">
        <f t="shared" si="45"/>
        <v/>
      </c>
      <c r="O768" t="str">
        <f t="shared" si="46"/>
        <v/>
      </c>
      <c r="P768" t="str">
        <f>IF($A768="","",IF($E768=1,$F768*$O768,PNL!G768))</f>
        <v/>
      </c>
      <c r="T768" t="str">
        <f t="shared" si="47"/>
        <v/>
      </c>
    </row>
    <row r="769" spans="1:20" x14ac:dyDescent="0.45">
      <c r="A769" t="str">
        <f>IF(PNL!A769="","",PNL!A769)</f>
        <v/>
      </c>
      <c r="B769" t="str">
        <f>IF(PNL!B769="","",PNL!B769)</f>
        <v/>
      </c>
      <c r="C769" t="str">
        <f>IF(PNL!C769="","",PNL!C769)</f>
        <v/>
      </c>
      <c r="D769" t="str">
        <f>IF(PNL!D769="","",PNL!D769)</f>
        <v/>
      </c>
      <c r="E769" t="str">
        <f t="shared" si="44"/>
        <v/>
      </c>
      <c r="F769" t="str">
        <f>IF($A769="","",IF($E769=1,SUMIFS(Compta!$F$1:$F$675,Compta!$A$1:$A$675,$A769,Compta!$B$1:$B$675,$B769,Compta!$C$1:$C$675,"2026"),0))</f>
        <v/>
      </c>
      <c r="G769" t="str">
        <f>IF($A769="","",IF($D769="V01",cad!$C$23,IF($D769="V02",cad!$D$23,cad!$E$23)))</f>
        <v/>
      </c>
      <c r="H769" t="str">
        <f>IF($A769="","",IF($D769="V01",cad!$C$24,IF($D769="V02",cad!$D$24,cad!$E$24)))</f>
        <v/>
      </c>
      <c r="I769" t="str">
        <f>IF($A769="","",IF($D769="V01",cad!$C$32,IF($D769="V02",cad!$D$32,cad!$E$32)))</f>
        <v/>
      </c>
      <c r="J769" t="str">
        <f>IF($A769="","",IF($D769="V01",cad!$C$33,IF($D769="V02",cad!$D$33,cad!$E$33)))</f>
        <v/>
      </c>
      <c r="K769" t="str">
        <f>IF($A769="","",IF($D769="V01",cad!$C$34,IF($D769="V02",cad!$D$34,cad!$E$34)))</f>
        <v/>
      </c>
      <c r="L769" t="str">
        <f>IF($A769="","",IF($D769="V01",cad!$C$35,IF($D769="V02",cad!$D$35,cad!$E$35)))</f>
        <v/>
      </c>
      <c r="M769" t="str">
        <f>IF($A769="","",IF($D769="V01",cad!$C$36,IF($D769="V02",cad!$D$36,cad!$E$36)))</f>
        <v/>
      </c>
      <c r="N769" t="str">
        <f t="shared" si="45"/>
        <v/>
      </c>
      <c r="O769" t="str">
        <f t="shared" si="46"/>
        <v/>
      </c>
      <c r="P769" t="str">
        <f>IF($A769="","",IF($E769=1,$F769*$O769,PNL!G769))</f>
        <v/>
      </c>
      <c r="T769" t="str">
        <f t="shared" si="47"/>
        <v/>
      </c>
    </row>
    <row r="770" spans="1:20" x14ac:dyDescent="0.45">
      <c r="A770" t="str">
        <f>IF(PNL!A770="","",PNL!A770)</f>
        <v/>
      </c>
      <c r="B770" t="str">
        <f>IF(PNL!B770="","",PNL!B770)</f>
        <v/>
      </c>
      <c r="C770" t="str">
        <f>IF(PNL!C770="","",PNL!C770)</f>
        <v/>
      </c>
      <c r="D770" t="str">
        <f>IF(PNL!D770="","",PNL!D770)</f>
        <v/>
      </c>
      <c r="E770" t="str">
        <f t="shared" ref="E770:E833" si="48">IF($A770="","",IF(AND($C770="2027",OR($D770="V01",$D770="V02",$D770="V03")),1,0))</f>
        <v/>
      </c>
      <c r="F770" t="str">
        <f>IF($A770="","",IF($E770=1,SUMIFS(Compta!$F$1:$F$675,Compta!$A$1:$A$675,$A770,Compta!$B$1:$B$675,$B770,Compta!$C$1:$C$675,"2026"),0))</f>
        <v/>
      </c>
      <c r="G770" t="str">
        <f>IF($A770="","",IF($D770="V01",cad!$C$23,IF($D770="V02",cad!$D$23,cad!$E$23)))</f>
        <v/>
      </c>
      <c r="H770" t="str">
        <f>IF($A770="","",IF($D770="V01",cad!$C$24,IF($D770="V02",cad!$D$24,cad!$E$24)))</f>
        <v/>
      </c>
      <c r="I770" t="str">
        <f>IF($A770="","",IF($D770="V01",cad!$C$32,IF($D770="V02",cad!$D$32,cad!$E$32)))</f>
        <v/>
      </c>
      <c r="J770" t="str">
        <f>IF($A770="","",IF($D770="V01",cad!$C$33,IF($D770="V02",cad!$D$33,cad!$E$33)))</f>
        <v/>
      </c>
      <c r="K770" t="str">
        <f>IF($A770="","",IF($D770="V01",cad!$C$34,IF($D770="V02",cad!$D$34,cad!$E$34)))</f>
        <v/>
      </c>
      <c r="L770" t="str">
        <f>IF($A770="","",IF($D770="V01",cad!$C$35,IF($D770="V02",cad!$D$35,cad!$E$35)))</f>
        <v/>
      </c>
      <c r="M770" t="str">
        <f>IF($A770="","",IF($D770="V01",cad!$C$36,IF($D770="V02",cad!$D$36,cad!$E$36)))</f>
        <v/>
      </c>
      <c r="N770" t="str">
        <f t="shared" ref="N770:N833" si="49">IF($A770="","",IF($D770="V01",$R$2,IF($D770="V02",$R$3,$R$4)))</f>
        <v/>
      </c>
      <c r="O770" t="str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 t="str">
        <f>IF($A770="","",IF($E770=1,$F770*$O770,PNL!G770))</f>
        <v/>
      </c>
      <c r="T770" t="str">
        <f t="shared" ref="T770:T833" si="51">IF($A770="","",IF($E770=1,IF(OR($B770="7062",$B770="706",$B770="708"),$P770,IF(AND(LEFT($B770,1)="6",$B770&lt;&gt;"6811"),-$P770,0)),0))</f>
        <v/>
      </c>
    </row>
    <row r="771" spans="1:20" x14ac:dyDescent="0.45">
      <c r="A771" t="str">
        <f>IF(PNL!A771="","",PNL!A771)</f>
        <v/>
      </c>
      <c r="B771" t="str">
        <f>IF(PNL!B771="","",PNL!B771)</f>
        <v/>
      </c>
      <c r="C771" t="str">
        <f>IF(PNL!C771="","",PNL!C771)</f>
        <v/>
      </c>
      <c r="D771" t="str">
        <f>IF(PNL!D771="","",PNL!D771)</f>
        <v/>
      </c>
      <c r="E771" t="str">
        <f t="shared" si="48"/>
        <v/>
      </c>
      <c r="F771" t="str">
        <f>IF($A771="","",IF($E771=1,SUMIFS(Compta!$F$1:$F$675,Compta!$A$1:$A$675,$A771,Compta!$B$1:$B$675,$B771,Compta!$C$1:$C$675,"2026"),0))</f>
        <v/>
      </c>
      <c r="G771" t="str">
        <f>IF($A771="","",IF($D771="V01",cad!$C$23,IF($D771="V02",cad!$D$23,cad!$E$23)))</f>
        <v/>
      </c>
      <c r="H771" t="str">
        <f>IF($A771="","",IF($D771="V01",cad!$C$24,IF($D771="V02",cad!$D$24,cad!$E$24)))</f>
        <v/>
      </c>
      <c r="I771" t="str">
        <f>IF($A771="","",IF($D771="V01",cad!$C$32,IF($D771="V02",cad!$D$32,cad!$E$32)))</f>
        <v/>
      </c>
      <c r="J771" t="str">
        <f>IF($A771="","",IF($D771="V01",cad!$C$33,IF($D771="V02",cad!$D$33,cad!$E$33)))</f>
        <v/>
      </c>
      <c r="K771" t="str">
        <f>IF($A771="","",IF($D771="V01",cad!$C$34,IF($D771="V02",cad!$D$34,cad!$E$34)))</f>
        <v/>
      </c>
      <c r="L771" t="str">
        <f>IF($A771="","",IF($D771="V01",cad!$C$35,IF($D771="V02",cad!$D$35,cad!$E$35)))</f>
        <v/>
      </c>
      <c r="M771" t="str">
        <f>IF($A771="","",IF($D771="V01",cad!$C$36,IF($D771="V02",cad!$D$36,cad!$E$36)))</f>
        <v/>
      </c>
      <c r="N771" t="str">
        <f t="shared" si="49"/>
        <v/>
      </c>
      <c r="O771" t="str">
        <f t="shared" si="50"/>
        <v/>
      </c>
      <c r="P771" t="str">
        <f>IF($A771="","",IF($E771=1,$F771*$O771,PNL!G771))</f>
        <v/>
      </c>
      <c r="T771" t="str">
        <f t="shared" si="51"/>
        <v/>
      </c>
    </row>
    <row r="772" spans="1:20" x14ac:dyDescent="0.45">
      <c r="A772" t="str">
        <f>IF(PNL!A772="","",PNL!A772)</f>
        <v/>
      </c>
      <c r="B772" t="str">
        <f>IF(PNL!B772="","",PNL!B772)</f>
        <v/>
      </c>
      <c r="C772" t="str">
        <f>IF(PNL!C772="","",PNL!C772)</f>
        <v/>
      </c>
      <c r="D772" t="str">
        <f>IF(PNL!D772="","",PNL!D772)</f>
        <v/>
      </c>
      <c r="E772" t="str">
        <f t="shared" si="48"/>
        <v/>
      </c>
      <c r="F772" t="str">
        <f>IF($A772="","",IF($E772=1,SUMIFS(Compta!$F$1:$F$675,Compta!$A$1:$A$675,$A772,Compta!$B$1:$B$675,$B772,Compta!$C$1:$C$675,"2026"),0))</f>
        <v/>
      </c>
      <c r="G772" t="str">
        <f>IF($A772="","",IF($D772="V01",cad!$C$23,IF($D772="V02",cad!$D$23,cad!$E$23)))</f>
        <v/>
      </c>
      <c r="H772" t="str">
        <f>IF($A772="","",IF($D772="V01",cad!$C$24,IF($D772="V02",cad!$D$24,cad!$E$24)))</f>
        <v/>
      </c>
      <c r="I772" t="str">
        <f>IF($A772="","",IF($D772="V01",cad!$C$32,IF($D772="V02",cad!$D$32,cad!$E$32)))</f>
        <v/>
      </c>
      <c r="J772" t="str">
        <f>IF($A772="","",IF($D772="V01",cad!$C$33,IF($D772="V02",cad!$D$33,cad!$E$33)))</f>
        <v/>
      </c>
      <c r="K772" t="str">
        <f>IF($A772="","",IF($D772="V01",cad!$C$34,IF($D772="V02",cad!$D$34,cad!$E$34)))</f>
        <v/>
      </c>
      <c r="L772" t="str">
        <f>IF($A772="","",IF($D772="V01",cad!$C$35,IF($D772="V02",cad!$D$35,cad!$E$35)))</f>
        <v/>
      </c>
      <c r="M772" t="str">
        <f>IF($A772="","",IF($D772="V01",cad!$C$36,IF($D772="V02",cad!$D$36,cad!$E$36)))</f>
        <v/>
      </c>
      <c r="N772" t="str">
        <f t="shared" si="49"/>
        <v/>
      </c>
      <c r="O772" t="str">
        <f t="shared" si="50"/>
        <v/>
      </c>
      <c r="P772" t="str">
        <f>IF($A772="","",IF($E772=1,$F772*$O772,PNL!G772))</f>
        <v/>
      </c>
      <c r="T772" t="str">
        <f t="shared" si="51"/>
        <v/>
      </c>
    </row>
    <row r="773" spans="1:20" x14ac:dyDescent="0.45">
      <c r="A773" t="str">
        <f>IF(PNL!A773="","",PNL!A773)</f>
        <v/>
      </c>
      <c r="B773" t="str">
        <f>IF(PNL!B773="","",PNL!B773)</f>
        <v/>
      </c>
      <c r="C773" t="str">
        <f>IF(PNL!C773="","",PNL!C773)</f>
        <v/>
      </c>
      <c r="D773" t="str">
        <f>IF(PNL!D773="","",PNL!D773)</f>
        <v/>
      </c>
      <c r="E773" t="str">
        <f t="shared" si="48"/>
        <v/>
      </c>
      <c r="F773" t="str">
        <f>IF($A773="","",IF($E773=1,SUMIFS(Compta!$F$1:$F$675,Compta!$A$1:$A$675,$A773,Compta!$B$1:$B$675,$B773,Compta!$C$1:$C$675,"2026"),0))</f>
        <v/>
      </c>
      <c r="G773" t="str">
        <f>IF($A773="","",IF($D773="V01",cad!$C$23,IF($D773="V02",cad!$D$23,cad!$E$23)))</f>
        <v/>
      </c>
      <c r="H773" t="str">
        <f>IF($A773="","",IF($D773="V01",cad!$C$24,IF($D773="V02",cad!$D$24,cad!$E$24)))</f>
        <v/>
      </c>
      <c r="I773" t="str">
        <f>IF($A773="","",IF($D773="V01",cad!$C$32,IF($D773="V02",cad!$D$32,cad!$E$32)))</f>
        <v/>
      </c>
      <c r="J773" t="str">
        <f>IF($A773="","",IF($D773="V01",cad!$C$33,IF($D773="V02",cad!$D$33,cad!$E$33)))</f>
        <v/>
      </c>
      <c r="K773" t="str">
        <f>IF($A773="","",IF($D773="V01",cad!$C$34,IF($D773="V02",cad!$D$34,cad!$E$34)))</f>
        <v/>
      </c>
      <c r="L773" t="str">
        <f>IF($A773="","",IF($D773="V01",cad!$C$35,IF($D773="V02",cad!$D$35,cad!$E$35)))</f>
        <v/>
      </c>
      <c r="M773" t="str">
        <f>IF($A773="","",IF($D773="V01",cad!$C$36,IF($D773="V02",cad!$D$36,cad!$E$36)))</f>
        <v/>
      </c>
      <c r="N773" t="str">
        <f t="shared" si="49"/>
        <v/>
      </c>
      <c r="O773" t="str">
        <f t="shared" si="50"/>
        <v/>
      </c>
      <c r="P773" t="str">
        <f>IF($A773="","",IF($E773=1,$F773*$O773,PNL!G773))</f>
        <v/>
      </c>
      <c r="T773" t="str">
        <f t="shared" si="51"/>
        <v/>
      </c>
    </row>
    <row r="774" spans="1:20" x14ac:dyDescent="0.45">
      <c r="A774" t="str">
        <f>IF(PNL!A774="","",PNL!A774)</f>
        <v/>
      </c>
      <c r="B774" t="str">
        <f>IF(PNL!B774="","",PNL!B774)</f>
        <v/>
      </c>
      <c r="C774" t="str">
        <f>IF(PNL!C774="","",PNL!C774)</f>
        <v/>
      </c>
      <c r="D774" t="str">
        <f>IF(PNL!D774="","",PNL!D774)</f>
        <v/>
      </c>
      <c r="E774" t="str">
        <f t="shared" si="48"/>
        <v/>
      </c>
      <c r="F774" t="str">
        <f>IF($A774="","",IF($E774=1,SUMIFS(Compta!$F$1:$F$675,Compta!$A$1:$A$675,$A774,Compta!$B$1:$B$675,$B774,Compta!$C$1:$C$675,"2026"),0))</f>
        <v/>
      </c>
      <c r="G774" t="str">
        <f>IF($A774="","",IF($D774="V01",cad!$C$23,IF($D774="V02",cad!$D$23,cad!$E$23)))</f>
        <v/>
      </c>
      <c r="H774" t="str">
        <f>IF($A774="","",IF($D774="V01",cad!$C$24,IF($D774="V02",cad!$D$24,cad!$E$24)))</f>
        <v/>
      </c>
      <c r="I774" t="str">
        <f>IF($A774="","",IF($D774="V01",cad!$C$32,IF($D774="V02",cad!$D$32,cad!$E$32)))</f>
        <v/>
      </c>
      <c r="J774" t="str">
        <f>IF($A774="","",IF($D774="V01",cad!$C$33,IF($D774="V02",cad!$D$33,cad!$E$33)))</f>
        <v/>
      </c>
      <c r="K774" t="str">
        <f>IF($A774="","",IF($D774="V01",cad!$C$34,IF($D774="V02",cad!$D$34,cad!$E$34)))</f>
        <v/>
      </c>
      <c r="L774" t="str">
        <f>IF($A774="","",IF($D774="V01",cad!$C$35,IF($D774="V02",cad!$D$35,cad!$E$35)))</f>
        <v/>
      </c>
      <c r="M774" t="str">
        <f>IF($A774="","",IF($D774="V01",cad!$C$36,IF($D774="V02",cad!$D$36,cad!$E$36)))</f>
        <v/>
      </c>
      <c r="N774" t="str">
        <f t="shared" si="49"/>
        <v/>
      </c>
      <c r="O774" t="str">
        <f t="shared" si="50"/>
        <v/>
      </c>
      <c r="P774" t="str">
        <f>IF($A774="","",IF($E774=1,$F774*$O774,PNL!G774))</f>
        <v/>
      </c>
      <c r="T774" t="str">
        <f t="shared" si="51"/>
        <v/>
      </c>
    </row>
    <row r="775" spans="1:20" x14ac:dyDescent="0.45">
      <c r="A775" t="str">
        <f>IF(PNL!A775="","",PNL!A775)</f>
        <v/>
      </c>
      <c r="B775" t="str">
        <f>IF(PNL!B775="","",PNL!B775)</f>
        <v/>
      </c>
      <c r="C775" t="str">
        <f>IF(PNL!C775="","",PNL!C775)</f>
        <v/>
      </c>
      <c r="D775" t="str">
        <f>IF(PNL!D775="","",PNL!D775)</f>
        <v/>
      </c>
      <c r="E775" t="str">
        <f t="shared" si="48"/>
        <v/>
      </c>
      <c r="F775" t="str">
        <f>IF($A775="","",IF($E775=1,SUMIFS(Compta!$F$1:$F$675,Compta!$A$1:$A$675,$A775,Compta!$B$1:$B$675,$B775,Compta!$C$1:$C$675,"2026"),0))</f>
        <v/>
      </c>
      <c r="G775" t="str">
        <f>IF($A775="","",IF($D775="V01",cad!$C$23,IF($D775="V02",cad!$D$23,cad!$E$23)))</f>
        <v/>
      </c>
      <c r="H775" t="str">
        <f>IF($A775="","",IF($D775="V01",cad!$C$24,IF($D775="V02",cad!$D$24,cad!$E$24)))</f>
        <v/>
      </c>
      <c r="I775" t="str">
        <f>IF($A775="","",IF($D775="V01",cad!$C$32,IF($D775="V02",cad!$D$32,cad!$E$32)))</f>
        <v/>
      </c>
      <c r="J775" t="str">
        <f>IF($A775="","",IF($D775="V01",cad!$C$33,IF($D775="V02",cad!$D$33,cad!$E$33)))</f>
        <v/>
      </c>
      <c r="K775" t="str">
        <f>IF($A775="","",IF($D775="V01",cad!$C$34,IF($D775="V02",cad!$D$34,cad!$E$34)))</f>
        <v/>
      </c>
      <c r="L775" t="str">
        <f>IF($A775="","",IF($D775="V01",cad!$C$35,IF($D775="V02",cad!$D$35,cad!$E$35)))</f>
        <v/>
      </c>
      <c r="M775" t="str">
        <f>IF($A775="","",IF($D775="V01",cad!$C$36,IF($D775="V02",cad!$D$36,cad!$E$36)))</f>
        <v/>
      </c>
      <c r="N775" t="str">
        <f t="shared" si="49"/>
        <v/>
      </c>
      <c r="O775" t="str">
        <f t="shared" si="50"/>
        <v/>
      </c>
      <c r="P775" t="str">
        <f>IF($A775="","",IF($E775=1,$F775*$O775,PNL!G775))</f>
        <v/>
      </c>
      <c r="T775" t="str">
        <f t="shared" si="51"/>
        <v/>
      </c>
    </row>
    <row r="776" spans="1:20" x14ac:dyDescent="0.45">
      <c r="A776" t="str">
        <f>IF(PNL!A776="","",PNL!A776)</f>
        <v/>
      </c>
      <c r="B776" t="str">
        <f>IF(PNL!B776="","",PNL!B776)</f>
        <v/>
      </c>
      <c r="C776" t="str">
        <f>IF(PNL!C776="","",PNL!C776)</f>
        <v/>
      </c>
      <c r="D776" t="str">
        <f>IF(PNL!D776="","",PNL!D776)</f>
        <v/>
      </c>
      <c r="E776" t="str">
        <f t="shared" si="48"/>
        <v/>
      </c>
      <c r="F776" t="str">
        <f>IF($A776="","",IF($E776=1,SUMIFS(Compta!$F$1:$F$675,Compta!$A$1:$A$675,$A776,Compta!$B$1:$B$675,$B776,Compta!$C$1:$C$675,"2026"),0))</f>
        <v/>
      </c>
      <c r="G776" t="str">
        <f>IF($A776="","",IF($D776="V01",cad!$C$23,IF($D776="V02",cad!$D$23,cad!$E$23)))</f>
        <v/>
      </c>
      <c r="H776" t="str">
        <f>IF($A776="","",IF($D776="V01",cad!$C$24,IF($D776="V02",cad!$D$24,cad!$E$24)))</f>
        <v/>
      </c>
      <c r="I776" t="str">
        <f>IF($A776="","",IF($D776="V01",cad!$C$32,IF($D776="V02",cad!$D$32,cad!$E$32)))</f>
        <v/>
      </c>
      <c r="J776" t="str">
        <f>IF($A776="","",IF($D776="V01",cad!$C$33,IF($D776="V02",cad!$D$33,cad!$E$33)))</f>
        <v/>
      </c>
      <c r="K776" t="str">
        <f>IF($A776="","",IF($D776="V01",cad!$C$34,IF($D776="V02",cad!$D$34,cad!$E$34)))</f>
        <v/>
      </c>
      <c r="L776" t="str">
        <f>IF($A776="","",IF($D776="V01",cad!$C$35,IF($D776="V02",cad!$D$35,cad!$E$35)))</f>
        <v/>
      </c>
      <c r="M776" t="str">
        <f>IF($A776="","",IF($D776="V01",cad!$C$36,IF($D776="V02",cad!$D$36,cad!$E$36)))</f>
        <v/>
      </c>
      <c r="N776" t="str">
        <f t="shared" si="49"/>
        <v/>
      </c>
      <c r="O776" t="str">
        <f t="shared" si="50"/>
        <v/>
      </c>
      <c r="P776" t="str">
        <f>IF($A776="","",IF($E776=1,$F776*$O776,PNL!G776))</f>
        <v/>
      </c>
      <c r="T776" t="str">
        <f t="shared" si="51"/>
        <v/>
      </c>
    </row>
    <row r="777" spans="1:20" x14ac:dyDescent="0.45">
      <c r="A777" t="str">
        <f>IF(PNL!A777="","",PNL!A777)</f>
        <v/>
      </c>
      <c r="B777" t="str">
        <f>IF(PNL!B777="","",PNL!B777)</f>
        <v/>
      </c>
      <c r="C777" t="str">
        <f>IF(PNL!C777="","",PNL!C777)</f>
        <v/>
      </c>
      <c r="D777" t="str">
        <f>IF(PNL!D777="","",PNL!D777)</f>
        <v/>
      </c>
      <c r="E777" t="str">
        <f t="shared" si="48"/>
        <v/>
      </c>
      <c r="F777" t="str">
        <f>IF($A777="","",IF($E777=1,SUMIFS(Compta!$F$1:$F$675,Compta!$A$1:$A$675,$A777,Compta!$B$1:$B$675,$B777,Compta!$C$1:$C$675,"2026"),0))</f>
        <v/>
      </c>
      <c r="G777" t="str">
        <f>IF($A777="","",IF($D777="V01",cad!$C$23,IF($D777="V02",cad!$D$23,cad!$E$23)))</f>
        <v/>
      </c>
      <c r="H777" t="str">
        <f>IF($A777="","",IF($D777="V01",cad!$C$24,IF($D777="V02",cad!$D$24,cad!$E$24)))</f>
        <v/>
      </c>
      <c r="I777" t="str">
        <f>IF($A777="","",IF($D777="V01",cad!$C$32,IF($D777="V02",cad!$D$32,cad!$E$32)))</f>
        <v/>
      </c>
      <c r="J777" t="str">
        <f>IF($A777="","",IF($D777="V01",cad!$C$33,IF($D777="V02",cad!$D$33,cad!$E$33)))</f>
        <v/>
      </c>
      <c r="K777" t="str">
        <f>IF($A777="","",IF($D777="V01",cad!$C$34,IF($D777="V02",cad!$D$34,cad!$E$34)))</f>
        <v/>
      </c>
      <c r="L777" t="str">
        <f>IF($A777="","",IF($D777="V01",cad!$C$35,IF($D777="V02",cad!$D$35,cad!$E$35)))</f>
        <v/>
      </c>
      <c r="M777" t="str">
        <f>IF($A777="","",IF($D777="V01",cad!$C$36,IF($D777="V02",cad!$D$36,cad!$E$36)))</f>
        <v/>
      </c>
      <c r="N777" t="str">
        <f t="shared" si="49"/>
        <v/>
      </c>
      <c r="O777" t="str">
        <f t="shared" si="50"/>
        <v/>
      </c>
      <c r="P777" t="str">
        <f>IF($A777="","",IF($E777=1,$F777*$O777,PNL!G777))</f>
        <v/>
      </c>
      <c r="T777" t="str">
        <f t="shared" si="51"/>
        <v/>
      </c>
    </row>
    <row r="778" spans="1:20" x14ac:dyDescent="0.45">
      <c r="A778" t="str">
        <f>IF(PNL!A778="","",PNL!A778)</f>
        <v/>
      </c>
      <c r="B778" t="str">
        <f>IF(PNL!B778="","",PNL!B778)</f>
        <v/>
      </c>
      <c r="C778" t="str">
        <f>IF(PNL!C778="","",PNL!C778)</f>
        <v/>
      </c>
      <c r="D778" t="str">
        <f>IF(PNL!D778="","",PNL!D778)</f>
        <v/>
      </c>
      <c r="E778" t="str">
        <f t="shared" si="48"/>
        <v/>
      </c>
      <c r="F778" t="str">
        <f>IF($A778="","",IF($E778=1,SUMIFS(Compta!$F$1:$F$675,Compta!$A$1:$A$675,$A778,Compta!$B$1:$B$675,$B778,Compta!$C$1:$C$675,"2026"),0))</f>
        <v/>
      </c>
      <c r="G778" t="str">
        <f>IF($A778="","",IF($D778="V01",cad!$C$23,IF($D778="V02",cad!$D$23,cad!$E$23)))</f>
        <v/>
      </c>
      <c r="H778" t="str">
        <f>IF($A778="","",IF($D778="V01",cad!$C$24,IF($D778="V02",cad!$D$24,cad!$E$24)))</f>
        <v/>
      </c>
      <c r="I778" t="str">
        <f>IF($A778="","",IF($D778="V01",cad!$C$32,IF($D778="V02",cad!$D$32,cad!$E$32)))</f>
        <v/>
      </c>
      <c r="J778" t="str">
        <f>IF($A778="","",IF($D778="V01",cad!$C$33,IF($D778="V02",cad!$D$33,cad!$E$33)))</f>
        <v/>
      </c>
      <c r="K778" t="str">
        <f>IF($A778="","",IF($D778="V01",cad!$C$34,IF($D778="V02",cad!$D$34,cad!$E$34)))</f>
        <v/>
      </c>
      <c r="L778" t="str">
        <f>IF($A778="","",IF($D778="V01",cad!$C$35,IF($D778="V02",cad!$D$35,cad!$E$35)))</f>
        <v/>
      </c>
      <c r="M778" t="str">
        <f>IF($A778="","",IF($D778="V01",cad!$C$36,IF($D778="V02",cad!$D$36,cad!$E$36)))</f>
        <v/>
      </c>
      <c r="N778" t="str">
        <f t="shared" si="49"/>
        <v/>
      </c>
      <c r="O778" t="str">
        <f t="shared" si="50"/>
        <v/>
      </c>
      <c r="P778" t="str">
        <f>IF($A778="","",IF($E778=1,$F778*$O778,PNL!G778))</f>
        <v/>
      </c>
      <c r="T778" t="str">
        <f t="shared" si="51"/>
        <v/>
      </c>
    </row>
    <row r="779" spans="1:20" x14ac:dyDescent="0.45">
      <c r="A779" t="str">
        <f>IF(PNL!A779="","",PNL!A779)</f>
        <v/>
      </c>
      <c r="B779" t="str">
        <f>IF(PNL!B779="","",PNL!B779)</f>
        <v/>
      </c>
      <c r="C779" t="str">
        <f>IF(PNL!C779="","",PNL!C779)</f>
        <v/>
      </c>
      <c r="D779" t="str">
        <f>IF(PNL!D779="","",PNL!D779)</f>
        <v/>
      </c>
      <c r="E779" t="str">
        <f t="shared" si="48"/>
        <v/>
      </c>
      <c r="F779" t="str">
        <f>IF($A779="","",IF($E779=1,SUMIFS(Compta!$F$1:$F$675,Compta!$A$1:$A$675,$A779,Compta!$B$1:$B$675,$B779,Compta!$C$1:$C$675,"2026"),0))</f>
        <v/>
      </c>
      <c r="G779" t="str">
        <f>IF($A779="","",IF($D779="V01",cad!$C$23,IF($D779="V02",cad!$D$23,cad!$E$23)))</f>
        <v/>
      </c>
      <c r="H779" t="str">
        <f>IF($A779="","",IF($D779="V01",cad!$C$24,IF($D779="V02",cad!$D$24,cad!$E$24)))</f>
        <v/>
      </c>
      <c r="I779" t="str">
        <f>IF($A779="","",IF($D779="V01",cad!$C$32,IF($D779="V02",cad!$D$32,cad!$E$32)))</f>
        <v/>
      </c>
      <c r="J779" t="str">
        <f>IF($A779="","",IF($D779="V01",cad!$C$33,IF($D779="V02",cad!$D$33,cad!$E$33)))</f>
        <v/>
      </c>
      <c r="K779" t="str">
        <f>IF($A779="","",IF($D779="V01",cad!$C$34,IF($D779="V02",cad!$D$34,cad!$E$34)))</f>
        <v/>
      </c>
      <c r="L779" t="str">
        <f>IF($A779="","",IF($D779="V01",cad!$C$35,IF($D779="V02",cad!$D$35,cad!$E$35)))</f>
        <v/>
      </c>
      <c r="M779" t="str">
        <f>IF($A779="","",IF($D779="V01",cad!$C$36,IF($D779="V02",cad!$D$36,cad!$E$36)))</f>
        <v/>
      </c>
      <c r="N779" t="str">
        <f t="shared" si="49"/>
        <v/>
      </c>
      <c r="O779" t="str">
        <f t="shared" si="50"/>
        <v/>
      </c>
      <c r="P779" t="str">
        <f>IF($A779="","",IF($E779=1,$F779*$O779,PNL!G779))</f>
        <v/>
      </c>
      <c r="T779" t="str">
        <f t="shared" si="51"/>
        <v/>
      </c>
    </row>
    <row r="780" spans="1:20" x14ac:dyDescent="0.45">
      <c r="A780" t="str">
        <f>IF(PNL!A780="","",PNL!A780)</f>
        <v/>
      </c>
      <c r="B780" t="str">
        <f>IF(PNL!B780="","",PNL!B780)</f>
        <v/>
      </c>
      <c r="C780" t="str">
        <f>IF(PNL!C780="","",PNL!C780)</f>
        <v/>
      </c>
      <c r="D780" t="str">
        <f>IF(PNL!D780="","",PNL!D780)</f>
        <v/>
      </c>
      <c r="E780" t="str">
        <f t="shared" si="48"/>
        <v/>
      </c>
      <c r="F780" t="str">
        <f>IF($A780="","",IF($E780=1,SUMIFS(Compta!$F$1:$F$675,Compta!$A$1:$A$675,$A780,Compta!$B$1:$B$675,$B780,Compta!$C$1:$C$675,"2026"),0))</f>
        <v/>
      </c>
      <c r="G780" t="str">
        <f>IF($A780="","",IF($D780="V01",cad!$C$23,IF($D780="V02",cad!$D$23,cad!$E$23)))</f>
        <v/>
      </c>
      <c r="H780" t="str">
        <f>IF($A780="","",IF($D780="V01",cad!$C$24,IF($D780="V02",cad!$D$24,cad!$E$24)))</f>
        <v/>
      </c>
      <c r="I780" t="str">
        <f>IF($A780="","",IF($D780="V01",cad!$C$32,IF($D780="V02",cad!$D$32,cad!$E$32)))</f>
        <v/>
      </c>
      <c r="J780" t="str">
        <f>IF($A780="","",IF($D780="V01",cad!$C$33,IF($D780="V02",cad!$D$33,cad!$E$33)))</f>
        <v/>
      </c>
      <c r="K780" t="str">
        <f>IF($A780="","",IF($D780="V01",cad!$C$34,IF($D780="V02",cad!$D$34,cad!$E$34)))</f>
        <v/>
      </c>
      <c r="L780" t="str">
        <f>IF($A780="","",IF($D780="V01",cad!$C$35,IF($D780="V02",cad!$D$35,cad!$E$35)))</f>
        <v/>
      </c>
      <c r="M780" t="str">
        <f>IF($A780="","",IF($D780="V01",cad!$C$36,IF($D780="V02",cad!$D$36,cad!$E$36)))</f>
        <v/>
      </c>
      <c r="N780" t="str">
        <f t="shared" si="49"/>
        <v/>
      </c>
      <c r="O780" t="str">
        <f t="shared" si="50"/>
        <v/>
      </c>
      <c r="P780" t="str">
        <f>IF($A780="","",IF($E780=1,$F780*$O780,PNL!G780))</f>
        <v/>
      </c>
      <c r="T780" t="str">
        <f t="shared" si="51"/>
        <v/>
      </c>
    </row>
    <row r="781" spans="1:20" x14ac:dyDescent="0.45">
      <c r="A781" t="str">
        <f>IF(PNL!A781="","",PNL!A781)</f>
        <v/>
      </c>
      <c r="B781" t="str">
        <f>IF(PNL!B781="","",PNL!B781)</f>
        <v/>
      </c>
      <c r="C781" t="str">
        <f>IF(PNL!C781="","",PNL!C781)</f>
        <v/>
      </c>
      <c r="D781" t="str">
        <f>IF(PNL!D781="","",PNL!D781)</f>
        <v/>
      </c>
      <c r="E781" t="str">
        <f t="shared" si="48"/>
        <v/>
      </c>
      <c r="F781" t="str">
        <f>IF($A781="","",IF($E781=1,SUMIFS(Compta!$F$1:$F$675,Compta!$A$1:$A$675,$A781,Compta!$B$1:$B$675,$B781,Compta!$C$1:$C$675,"2026"),0))</f>
        <v/>
      </c>
      <c r="G781" t="str">
        <f>IF($A781="","",IF($D781="V01",cad!$C$23,IF($D781="V02",cad!$D$23,cad!$E$23)))</f>
        <v/>
      </c>
      <c r="H781" t="str">
        <f>IF($A781="","",IF($D781="V01",cad!$C$24,IF($D781="V02",cad!$D$24,cad!$E$24)))</f>
        <v/>
      </c>
      <c r="I781" t="str">
        <f>IF($A781="","",IF($D781="V01",cad!$C$32,IF($D781="V02",cad!$D$32,cad!$E$32)))</f>
        <v/>
      </c>
      <c r="J781" t="str">
        <f>IF($A781="","",IF($D781="V01",cad!$C$33,IF($D781="V02",cad!$D$33,cad!$E$33)))</f>
        <v/>
      </c>
      <c r="K781" t="str">
        <f>IF($A781="","",IF($D781="V01",cad!$C$34,IF($D781="V02",cad!$D$34,cad!$E$34)))</f>
        <v/>
      </c>
      <c r="L781" t="str">
        <f>IF($A781="","",IF($D781="V01",cad!$C$35,IF($D781="V02",cad!$D$35,cad!$E$35)))</f>
        <v/>
      </c>
      <c r="M781" t="str">
        <f>IF($A781="","",IF($D781="V01",cad!$C$36,IF($D781="V02",cad!$D$36,cad!$E$36)))</f>
        <v/>
      </c>
      <c r="N781" t="str">
        <f t="shared" si="49"/>
        <v/>
      </c>
      <c r="O781" t="str">
        <f t="shared" si="50"/>
        <v/>
      </c>
      <c r="P781" t="str">
        <f>IF($A781="","",IF($E781=1,$F781*$O781,PNL!G781))</f>
        <v/>
      </c>
      <c r="T781" t="str">
        <f t="shared" si="51"/>
        <v/>
      </c>
    </row>
    <row r="782" spans="1:20" x14ac:dyDescent="0.45">
      <c r="A782" t="str">
        <f>IF(PNL!A782="","",PNL!A782)</f>
        <v/>
      </c>
      <c r="B782" t="str">
        <f>IF(PNL!B782="","",PNL!B782)</f>
        <v/>
      </c>
      <c r="C782" t="str">
        <f>IF(PNL!C782="","",PNL!C782)</f>
        <v/>
      </c>
      <c r="D782" t="str">
        <f>IF(PNL!D782="","",PNL!D782)</f>
        <v/>
      </c>
      <c r="E782" t="str">
        <f t="shared" si="48"/>
        <v/>
      </c>
      <c r="F782" t="str">
        <f>IF($A782="","",IF($E782=1,SUMIFS(Compta!$F$1:$F$675,Compta!$A$1:$A$675,$A782,Compta!$B$1:$B$675,$B782,Compta!$C$1:$C$675,"2026"),0))</f>
        <v/>
      </c>
      <c r="G782" t="str">
        <f>IF($A782="","",IF($D782="V01",cad!$C$23,IF($D782="V02",cad!$D$23,cad!$E$23)))</f>
        <v/>
      </c>
      <c r="H782" t="str">
        <f>IF($A782="","",IF($D782="V01",cad!$C$24,IF($D782="V02",cad!$D$24,cad!$E$24)))</f>
        <v/>
      </c>
      <c r="I782" t="str">
        <f>IF($A782="","",IF($D782="V01",cad!$C$32,IF($D782="V02",cad!$D$32,cad!$E$32)))</f>
        <v/>
      </c>
      <c r="J782" t="str">
        <f>IF($A782="","",IF($D782="V01",cad!$C$33,IF($D782="V02",cad!$D$33,cad!$E$33)))</f>
        <v/>
      </c>
      <c r="K782" t="str">
        <f>IF($A782="","",IF($D782="V01",cad!$C$34,IF($D782="V02",cad!$D$34,cad!$E$34)))</f>
        <v/>
      </c>
      <c r="L782" t="str">
        <f>IF($A782="","",IF($D782="V01",cad!$C$35,IF($D782="V02",cad!$D$35,cad!$E$35)))</f>
        <v/>
      </c>
      <c r="M782" t="str">
        <f>IF($A782="","",IF($D782="V01",cad!$C$36,IF($D782="V02",cad!$D$36,cad!$E$36)))</f>
        <v/>
      </c>
      <c r="N782" t="str">
        <f t="shared" si="49"/>
        <v/>
      </c>
      <c r="O782" t="str">
        <f t="shared" si="50"/>
        <v/>
      </c>
      <c r="P782" t="str">
        <f>IF($A782="","",IF($E782=1,$F782*$O782,PNL!G782))</f>
        <v/>
      </c>
      <c r="T782" t="str">
        <f t="shared" si="51"/>
        <v/>
      </c>
    </row>
    <row r="783" spans="1:20" x14ac:dyDescent="0.45">
      <c r="A783" t="str">
        <f>IF(PNL!A783="","",PNL!A783)</f>
        <v/>
      </c>
      <c r="B783" t="str">
        <f>IF(PNL!B783="","",PNL!B783)</f>
        <v/>
      </c>
      <c r="C783" t="str">
        <f>IF(PNL!C783="","",PNL!C783)</f>
        <v/>
      </c>
      <c r="D783" t="str">
        <f>IF(PNL!D783="","",PNL!D783)</f>
        <v/>
      </c>
      <c r="E783" t="str">
        <f t="shared" si="48"/>
        <v/>
      </c>
      <c r="F783" t="str">
        <f>IF($A783="","",IF($E783=1,SUMIFS(Compta!$F$1:$F$675,Compta!$A$1:$A$675,$A783,Compta!$B$1:$B$675,$B783,Compta!$C$1:$C$675,"2026"),0))</f>
        <v/>
      </c>
      <c r="G783" t="str">
        <f>IF($A783="","",IF($D783="V01",cad!$C$23,IF($D783="V02",cad!$D$23,cad!$E$23)))</f>
        <v/>
      </c>
      <c r="H783" t="str">
        <f>IF($A783="","",IF($D783="V01",cad!$C$24,IF($D783="V02",cad!$D$24,cad!$E$24)))</f>
        <v/>
      </c>
      <c r="I783" t="str">
        <f>IF($A783="","",IF($D783="V01",cad!$C$32,IF($D783="V02",cad!$D$32,cad!$E$32)))</f>
        <v/>
      </c>
      <c r="J783" t="str">
        <f>IF($A783="","",IF($D783="V01",cad!$C$33,IF($D783="V02",cad!$D$33,cad!$E$33)))</f>
        <v/>
      </c>
      <c r="K783" t="str">
        <f>IF($A783="","",IF($D783="V01",cad!$C$34,IF($D783="V02",cad!$D$34,cad!$E$34)))</f>
        <v/>
      </c>
      <c r="L783" t="str">
        <f>IF($A783="","",IF($D783="V01",cad!$C$35,IF($D783="V02",cad!$D$35,cad!$E$35)))</f>
        <v/>
      </c>
      <c r="M783" t="str">
        <f>IF($A783="","",IF($D783="V01",cad!$C$36,IF($D783="V02",cad!$D$36,cad!$E$36)))</f>
        <v/>
      </c>
      <c r="N783" t="str">
        <f t="shared" si="49"/>
        <v/>
      </c>
      <c r="O783" t="str">
        <f t="shared" si="50"/>
        <v/>
      </c>
      <c r="P783" t="str">
        <f>IF($A783="","",IF($E783=1,$F783*$O783,PNL!G783))</f>
        <v/>
      </c>
      <c r="T783" t="str">
        <f t="shared" si="51"/>
        <v/>
      </c>
    </row>
    <row r="784" spans="1:20" x14ac:dyDescent="0.45">
      <c r="A784" t="str">
        <f>IF(PNL!A784="","",PNL!A784)</f>
        <v/>
      </c>
      <c r="B784" t="str">
        <f>IF(PNL!B784="","",PNL!B784)</f>
        <v/>
      </c>
      <c r="C784" t="str">
        <f>IF(PNL!C784="","",PNL!C784)</f>
        <v/>
      </c>
      <c r="D784" t="str">
        <f>IF(PNL!D784="","",PNL!D784)</f>
        <v/>
      </c>
      <c r="E784" t="str">
        <f t="shared" si="48"/>
        <v/>
      </c>
      <c r="F784" t="str">
        <f>IF($A784="","",IF($E784=1,SUMIFS(Compta!$F$1:$F$675,Compta!$A$1:$A$675,$A784,Compta!$B$1:$B$675,$B784,Compta!$C$1:$C$675,"2026"),0))</f>
        <v/>
      </c>
      <c r="G784" t="str">
        <f>IF($A784="","",IF($D784="V01",cad!$C$23,IF($D784="V02",cad!$D$23,cad!$E$23)))</f>
        <v/>
      </c>
      <c r="H784" t="str">
        <f>IF($A784="","",IF($D784="V01",cad!$C$24,IF($D784="V02",cad!$D$24,cad!$E$24)))</f>
        <v/>
      </c>
      <c r="I784" t="str">
        <f>IF($A784="","",IF($D784="V01",cad!$C$32,IF($D784="V02",cad!$D$32,cad!$E$32)))</f>
        <v/>
      </c>
      <c r="J784" t="str">
        <f>IF($A784="","",IF($D784="V01",cad!$C$33,IF($D784="V02",cad!$D$33,cad!$E$33)))</f>
        <v/>
      </c>
      <c r="K784" t="str">
        <f>IF($A784="","",IF($D784="V01",cad!$C$34,IF($D784="V02",cad!$D$34,cad!$E$34)))</f>
        <v/>
      </c>
      <c r="L784" t="str">
        <f>IF($A784="","",IF($D784="V01",cad!$C$35,IF($D784="V02",cad!$D$35,cad!$E$35)))</f>
        <v/>
      </c>
      <c r="M784" t="str">
        <f>IF($A784="","",IF($D784="V01",cad!$C$36,IF($D784="V02",cad!$D$36,cad!$E$36)))</f>
        <v/>
      </c>
      <c r="N784" t="str">
        <f t="shared" si="49"/>
        <v/>
      </c>
      <c r="O784" t="str">
        <f t="shared" si="50"/>
        <v/>
      </c>
      <c r="P784" t="str">
        <f>IF($A784="","",IF($E784=1,$F784*$O784,PNL!G784))</f>
        <v/>
      </c>
      <c r="T784" t="str">
        <f t="shared" si="51"/>
        <v/>
      </c>
    </row>
    <row r="785" spans="1:20" x14ac:dyDescent="0.45">
      <c r="A785" t="str">
        <f>IF(PNL!A785="","",PNL!A785)</f>
        <v/>
      </c>
      <c r="B785" t="str">
        <f>IF(PNL!B785="","",PNL!B785)</f>
        <v/>
      </c>
      <c r="C785" t="str">
        <f>IF(PNL!C785="","",PNL!C785)</f>
        <v/>
      </c>
      <c r="D785" t="str">
        <f>IF(PNL!D785="","",PNL!D785)</f>
        <v/>
      </c>
      <c r="E785" t="str">
        <f t="shared" si="48"/>
        <v/>
      </c>
      <c r="F785" t="str">
        <f>IF($A785="","",IF($E785=1,SUMIFS(Compta!$F$1:$F$675,Compta!$A$1:$A$675,$A785,Compta!$B$1:$B$675,$B785,Compta!$C$1:$C$675,"2026"),0))</f>
        <v/>
      </c>
      <c r="G785" t="str">
        <f>IF($A785="","",IF($D785="V01",cad!$C$23,IF($D785="V02",cad!$D$23,cad!$E$23)))</f>
        <v/>
      </c>
      <c r="H785" t="str">
        <f>IF($A785="","",IF($D785="V01",cad!$C$24,IF($D785="V02",cad!$D$24,cad!$E$24)))</f>
        <v/>
      </c>
      <c r="I785" t="str">
        <f>IF($A785="","",IF($D785="V01",cad!$C$32,IF($D785="V02",cad!$D$32,cad!$E$32)))</f>
        <v/>
      </c>
      <c r="J785" t="str">
        <f>IF($A785="","",IF($D785="V01",cad!$C$33,IF($D785="V02",cad!$D$33,cad!$E$33)))</f>
        <v/>
      </c>
      <c r="K785" t="str">
        <f>IF($A785="","",IF($D785="V01",cad!$C$34,IF($D785="V02",cad!$D$34,cad!$E$34)))</f>
        <v/>
      </c>
      <c r="L785" t="str">
        <f>IF($A785="","",IF($D785="V01",cad!$C$35,IF($D785="V02",cad!$D$35,cad!$E$35)))</f>
        <v/>
      </c>
      <c r="M785" t="str">
        <f>IF($A785="","",IF($D785="V01",cad!$C$36,IF($D785="V02",cad!$D$36,cad!$E$36)))</f>
        <v/>
      </c>
      <c r="N785" t="str">
        <f t="shared" si="49"/>
        <v/>
      </c>
      <c r="O785" t="str">
        <f t="shared" si="50"/>
        <v/>
      </c>
      <c r="P785" t="str">
        <f>IF($A785="","",IF($E785=1,$F785*$O785,PNL!G785))</f>
        <v/>
      </c>
      <c r="T785" t="str">
        <f t="shared" si="51"/>
        <v/>
      </c>
    </row>
    <row r="786" spans="1:20" x14ac:dyDescent="0.45">
      <c r="A786" t="str">
        <f>IF(PNL!A786="","",PNL!A786)</f>
        <v/>
      </c>
      <c r="B786" t="str">
        <f>IF(PNL!B786="","",PNL!B786)</f>
        <v/>
      </c>
      <c r="C786" t="str">
        <f>IF(PNL!C786="","",PNL!C786)</f>
        <v/>
      </c>
      <c r="D786" t="str">
        <f>IF(PNL!D786="","",PNL!D786)</f>
        <v/>
      </c>
      <c r="E786" t="str">
        <f t="shared" si="48"/>
        <v/>
      </c>
      <c r="F786" t="str">
        <f>IF($A786="","",IF($E786=1,SUMIFS(Compta!$F$1:$F$675,Compta!$A$1:$A$675,$A786,Compta!$B$1:$B$675,$B786,Compta!$C$1:$C$675,"2026"),0))</f>
        <v/>
      </c>
      <c r="G786" t="str">
        <f>IF($A786="","",IF($D786="V01",cad!$C$23,IF($D786="V02",cad!$D$23,cad!$E$23)))</f>
        <v/>
      </c>
      <c r="H786" t="str">
        <f>IF($A786="","",IF($D786="V01",cad!$C$24,IF($D786="V02",cad!$D$24,cad!$E$24)))</f>
        <v/>
      </c>
      <c r="I786" t="str">
        <f>IF($A786="","",IF($D786="V01",cad!$C$32,IF($D786="V02",cad!$D$32,cad!$E$32)))</f>
        <v/>
      </c>
      <c r="J786" t="str">
        <f>IF($A786="","",IF($D786="V01",cad!$C$33,IF($D786="V02",cad!$D$33,cad!$E$33)))</f>
        <v/>
      </c>
      <c r="K786" t="str">
        <f>IF($A786="","",IF($D786="V01",cad!$C$34,IF($D786="V02",cad!$D$34,cad!$E$34)))</f>
        <v/>
      </c>
      <c r="L786" t="str">
        <f>IF($A786="","",IF($D786="V01",cad!$C$35,IF($D786="V02",cad!$D$35,cad!$E$35)))</f>
        <v/>
      </c>
      <c r="M786" t="str">
        <f>IF($A786="","",IF($D786="V01",cad!$C$36,IF($D786="V02",cad!$D$36,cad!$E$36)))</f>
        <v/>
      </c>
      <c r="N786" t="str">
        <f t="shared" si="49"/>
        <v/>
      </c>
      <c r="O786" t="str">
        <f t="shared" si="50"/>
        <v/>
      </c>
      <c r="P786" t="str">
        <f>IF($A786="","",IF($E786=1,$F786*$O786,PNL!G786))</f>
        <v/>
      </c>
      <c r="T786" t="str">
        <f t="shared" si="51"/>
        <v/>
      </c>
    </row>
    <row r="787" spans="1:20" x14ac:dyDescent="0.45">
      <c r="A787" t="str">
        <f>IF(PNL!A787="","",PNL!A787)</f>
        <v/>
      </c>
      <c r="B787" t="str">
        <f>IF(PNL!B787="","",PNL!B787)</f>
        <v/>
      </c>
      <c r="C787" t="str">
        <f>IF(PNL!C787="","",PNL!C787)</f>
        <v/>
      </c>
      <c r="D787" t="str">
        <f>IF(PNL!D787="","",PNL!D787)</f>
        <v/>
      </c>
      <c r="E787" t="str">
        <f t="shared" si="48"/>
        <v/>
      </c>
      <c r="F787" t="str">
        <f>IF($A787="","",IF($E787=1,SUMIFS(Compta!$F$1:$F$675,Compta!$A$1:$A$675,$A787,Compta!$B$1:$B$675,$B787,Compta!$C$1:$C$675,"2026"),0))</f>
        <v/>
      </c>
      <c r="G787" t="str">
        <f>IF($A787="","",IF($D787="V01",cad!$C$23,IF($D787="V02",cad!$D$23,cad!$E$23)))</f>
        <v/>
      </c>
      <c r="H787" t="str">
        <f>IF($A787="","",IF($D787="V01",cad!$C$24,IF($D787="V02",cad!$D$24,cad!$E$24)))</f>
        <v/>
      </c>
      <c r="I787" t="str">
        <f>IF($A787="","",IF($D787="V01",cad!$C$32,IF($D787="V02",cad!$D$32,cad!$E$32)))</f>
        <v/>
      </c>
      <c r="J787" t="str">
        <f>IF($A787="","",IF($D787="V01",cad!$C$33,IF($D787="V02",cad!$D$33,cad!$E$33)))</f>
        <v/>
      </c>
      <c r="K787" t="str">
        <f>IF($A787="","",IF($D787="V01",cad!$C$34,IF($D787="V02",cad!$D$34,cad!$E$34)))</f>
        <v/>
      </c>
      <c r="L787" t="str">
        <f>IF($A787="","",IF($D787="V01",cad!$C$35,IF($D787="V02",cad!$D$35,cad!$E$35)))</f>
        <v/>
      </c>
      <c r="M787" t="str">
        <f>IF($A787="","",IF($D787="V01",cad!$C$36,IF($D787="V02",cad!$D$36,cad!$E$36)))</f>
        <v/>
      </c>
      <c r="N787" t="str">
        <f t="shared" si="49"/>
        <v/>
      </c>
      <c r="O787" t="str">
        <f t="shared" si="50"/>
        <v/>
      </c>
      <c r="P787" t="str">
        <f>IF($A787="","",IF($E787=1,$F787*$O787,PNL!G787))</f>
        <v/>
      </c>
      <c r="T787" t="str">
        <f t="shared" si="51"/>
        <v/>
      </c>
    </row>
    <row r="788" spans="1:20" x14ac:dyDescent="0.45">
      <c r="A788" t="str">
        <f>IF(PNL!A788="","",PNL!A788)</f>
        <v/>
      </c>
      <c r="B788" t="str">
        <f>IF(PNL!B788="","",PNL!B788)</f>
        <v/>
      </c>
      <c r="C788" t="str">
        <f>IF(PNL!C788="","",PNL!C788)</f>
        <v/>
      </c>
      <c r="D788" t="str">
        <f>IF(PNL!D788="","",PNL!D788)</f>
        <v/>
      </c>
      <c r="E788" t="str">
        <f t="shared" si="48"/>
        <v/>
      </c>
      <c r="F788" t="str">
        <f>IF($A788="","",IF($E788=1,SUMIFS(Compta!$F$1:$F$675,Compta!$A$1:$A$675,$A788,Compta!$B$1:$B$675,$B788,Compta!$C$1:$C$675,"2026"),0))</f>
        <v/>
      </c>
      <c r="G788" t="str">
        <f>IF($A788="","",IF($D788="V01",cad!$C$23,IF($D788="V02",cad!$D$23,cad!$E$23)))</f>
        <v/>
      </c>
      <c r="H788" t="str">
        <f>IF($A788="","",IF($D788="V01",cad!$C$24,IF($D788="V02",cad!$D$24,cad!$E$24)))</f>
        <v/>
      </c>
      <c r="I788" t="str">
        <f>IF($A788="","",IF($D788="V01",cad!$C$32,IF($D788="V02",cad!$D$32,cad!$E$32)))</f>
        <v/>
      </c>
      <c r="J788" t="str">
        <f>IF($A788="","",IF($D788="V01",cad!$C$33,IF($D788="V02",cad!$D$33,cad!$E$33)))</f>
        <v/>
      </c>
      <c r="K788" t="str">
        <f>IF($A788="","",IF($D788="V01",cad!$C$34,IF($D788="V02",cad!$D$34,cad!$E$34)))</f>
        <v/>
      </c>
      <c r="L788" t="str">
        <f>IF($A788="","",IF($D788="V01",cad!$C$35,IF($D788="V02",cad!$D$35,cad!$E$35)))</f>
        <v/>
      </c>
      <c r="M788" t="str">
        <f>IF($A788="","",IF($D788="V01",cad!$C$36,IF($D788="V02",cad!$D$36,cad!$E$36)))</f>
        <v/>
      </c>
      <c r="N788" t="str">
        <f t="shared" si="49"/>
        <v/>
      </c>
      <c r="O788" t="str">
        <f t="shared" si="50"/>
        <v/>
      </c>
      <c r="P788" t="str">
        <f>IF($A788="","",IF($E788=1,$F788*$O788,PNL!G788))</f>
        <v/>
      </c>
      <c r="T788" t="str">
        <f t="shared" si="51"/>
        <v/>
      </c>
    </row>
    <row r="789" spans="1:20" x14ac:dyDescent="0.45">
      <c r="A789" t="str">
        <f>IF(PNL!A789="","",PNL!A789)</f>
        <v/>
      </c>
      <c r="B789" t="str">
        <f>IF(PNL!B789="","",PNL!B789)</f>
        <v/>
      </c>
      <c r="C789" t="str">
        <f>IF(PNL!C789="","",PNL!C789)</f>
        <v/>
      </c>
      <c r="D789" t="str">
        <f>IF(PNL!D789="","",PNL!D789)</f>
        <v/>
      </c>
      <c r="E789" t="str">
        <f t="shared" si="48"/>
        <v/>
      </c>
      <c r="F789" t="str">
        <f>IF($A789="","",IF($E789=1,SUMIFS(Compta!$F$1:$F$675,Compta!$A$1:$A$675,$A789,Compta!$B$1:$B$675,$B789,Compta!$C$1:$C$675,"2026"),0))</f>
        <v/>
      </c>
      <c r="G789" t="str">
        <f>IF($A789="","",IF($D789="V01",cad!$C$23,IF($D789="V02",cad!$D$23,cad!$E$23)))</f>
        <v/>
      </c>
      <c r="H789" t="str">
        <f>IF($A789="","",IF($D789="V01",cad!$C$24,IF($D789="V02",cad!$D$24,cad!$E$24)))</f>
        <v/>
      </c>
      <c r="I789" t="str">
        <f>IF($A789="","",IF($D789="V01",cad!$C$32,IF($D789="V02",cad!$D$32,cad!$E$32)))</f>
        <v/>
      </c>
      <c r="J789" t="str">
        <f>IF($A789="","",IF($D789="V01",cad!$C$33,IF($D789="V02",cad!$D$33,cad!$E$33)))</f>
        <v/>
      </c>
      <c r="K789" t="str">
        <f>IF($A789="","",IF($D789="V01",cad!$C$34,IF($D789="V02",cad!$D$34,cad!$E$34)))</f>
        <v/>
      </c>
      <c r="L789" t="str">
        <f>IF($A789="","",IF($D789="V01",cad!$C$35,IF($D789="V02",cad!$D$35,cad!$E$35)))</f>
        <v/>
      </c>
      <c r="M789" t="str">
        <f>IF($A789="","",IF($D789="V01",cad!$C$36,IF($D789="V02",cad!$D$36,cad!$E$36)))</f>
        <v/>
      </c>
      <c r="N789" t="str">
        <f t="shared" si="49"/>
        <v/>
      </c>
      <c r="O789" t="str">
        <f t="shared" si="50"/>
        <v/>
      </c>
      <c r="P789" t="str">
        <f>IF($A789="","",IF($E789=1,$F789*$O789,PNL!G789))</f>
        <v/>
      </c>
      <c r="T789" t="str">
        <f t="shared" si="51"/>
        <v/>
      </c>
    </row>
    <row r="790" spans="1:20" x14ac:dyDescent="0.45">
      <c r="A790" t="str">
        <f>IF(PNL!A790="","",PNL!A790)</f>
        <v/>
      </c>
      <c r="B790" t="str">
        <f>IF(PNL!B790="","",PNL!B790)</f>
        <v/>
      </c>
      <c r="C790" t="str">
        <f>IF(PNL!C790="","",PNL!C790)</f>
        <v/>
      </c>
      <c r="D790" t="str">
        <f>IF(PNL!D790="","",PNL!D790)</f>
        <v/>
      </c>
      <c r="E790" t="str">
        <f t="shared" si="48"/>
        <v/>
      </c>
      <c r="F790" t="str">
        <f>IF($A790="","",IF($E790=1,SUMIFS(Compta!$F$1:$F$675,Compta!$A$1:$A$675,$A790,Compta!$B$1:$B$675,$B790,Compta!$C$1:$C$675,"2026"),0))</f>
        <v/>
      </c>
      <c r="G790" t="str">
        <f>IF($A790="","",IF($D790="V01",cad!$C$23,IF($D790="V02",cad!$D$23,cad!$E$23)))</f>
        <v/>
      </c>
      <c r="H790" t="str">
        <f>IF($A790="","",IF($D790="V01",cad!$C$24,IF($D790="V02",cad!$D$24,cad!$E$24)))</f>
        <v/>
      </c>
      <c r="I790" t="str">
        <f>IF($A790="","",IF($D790="V01",cad!$C$32,IF($D790="V02",cad!$D$32,cad!$E$32)))</f>
        <v/>
      </c>
      <c r="J790" t="str">
        <f>IF($A790="","",IF($D790="V01",cad!$C$33,IF($D790="V02",cad!$D$33,cad!$E$33)))</f>
        <v/>
      </c>
      <c r="K790" t="str">
        <f>IF($A790="","",IF($D790="V01",cad!$C$34,IF($D790="V02",cad!$D$34,cad!$E$34)))</f>
        <v/>
      </c>
      <c r="L790" t="str">
        <f>IF($A790="","",IF($D790="V01",cad!$C$35,IF($D790="V02",cad!$D$35,cad!$E$35)))</f>
        <v/>
      </c>
      <c r="M790" t="str">
        <f>IF($A790="","",IF($D790="V01",cad!$C$36,IF($D790="V02",cad!$D$36,cad!$E$36)))</f>
        <v/>
      </c>
      <c r="N790" t="str">
        <f t="shared" si="49"/>
        <v/>
      </c>
      <c r="O790" t="str">
        <f t="shared" si="50"/>
        <v/>
      </c>
      <c r="P790" t="str">
        <f>IF($A790="","",IF($E790=1,$F790*$O790,PNL!G790))</f>
        <v/>
      </c>
      <c r="T790" t="str">
        <f t="shared" si="51"/>
        <v/>
      </c>
    </row>
    <row r="791" spans="1:20" x14ac:dyDescent="0.45">
      <c r="A791" t="str">
        <f>IF(PNL!A791="","",PNL!A791)</f>
        <v/>
      </c>
      <c r="B791" t="str">
        <f>IF(PNL!B791="","",PNL!B791)</f>
        <v/>
      </c>
      <c r="C791" t="str">
        <f>IF(PNL!C791="","",PNL!C791)</f>
        <v/>
      </c>
      <c r="D791" t="str">
        <f>IF(PNL!D791="","",PNL!D791)</f>
        <v/>
      </c>
      <c r="E791" t="str">
        <f t="shared" si="48"/>
        <v/>
      </c>
      <c r="F791" t="str">
        <f>IF($A791="","",IF($E791=1,SUMIFS(Compta!$F$1:$F$675,Compta!$A$1:$A$675,$A791,Compta!$B$1:$B$675,$B791,Compta!$C$1:$C$675,"2026"),0))</f>
        <v/>
      </c>
      <c r="G791" t="str">
        <f>IF($A791="","",IF($D791="V01",cad!$C$23,IF($D791="V02",cad!$D$23,cad!$E$23)))</f>
        <v/>
      </c>
      <c r="H791" t="str">
        <f>IF($A791="","",IF($D791="V01",cad!$C$24,IF($D791="V02",cad!$D$24,cad!$E$24)))</f>
        <v/>
      </c>
      <c r="I791" t="str">
        <f>IF($A791="","",IF($D791="V01",cad!$C$32,IF($D791="V02",cad!$D$32,cad!$E$32)))</f>
        <v/>
      </c>
      <c r="J791" t="str">
        <f>IF($A791="","",IF($D791="V01",cad!$C$33,IF($D791="V02",cad!$D$33,cad!$E$33)))</f>
        <v/>
      </c>
      <c r="K791" t="str">
        <f>IF($A791="","",IF($D791="V01",cad!$C$34,IF($D791="V02",cad!$D$34,cad!$E$34)))</f>
        <v/>
      </c>
      <c r="L791" t="str">
        <f>IF($A791="","",IF($D791="V01",cad!$C$35,IF($D791="V02",cad!$D$35,cad!$E$35)))</f>
        <v/>
      </c>
      <c r="M791" t="str">
        <f>IF($A791="","",IF($D791="V01",cad!$C$36,IF($D791="V02",cad!$D$36,cad!$E$36)))</f>
        <v/>
      </c>
      <c r="N791" t="str">
        <f t="shared" si="49"/>
        <v/>
      </c>
      <c r="O791" t="str">
        <f t="shared" si="50"/>
        <v/>
      </c>
      <c r="P791" t="str">
        <f>IF($A791="","",IF($E791=1,$F791*$O791,PNL!G791))</f>
        <v/>
      </c>
      <c r="T791" t="str">
        <f t="shared" si="51"/>
        <v/>
      </c>
    </row>
    <row r="792" spans="1:20" x14ac:dyDescent="0.45">
      <c r="A792" t="str">
        <f>IF(PNL!A792="","",PNL!A792)</f>
        <v/>
      </c>
      <c r="B792" t="str">
        <f>IF(PNL!B792="","",PNL!B792)</f>
        <v/>
      </c>
      <c r="C792" t="str">
        <f>IF(PNL!C792="","",PNL!C792)</f>
        <v/>
      </c>
      <c r="D792" t="str">
        <f>IF(PNL!D792="","",PNL!D792)</f>
        <v/>
      </c>
      <c r="E792" t="str">
        <f t="shared" si="48"/>
        <v/>
      </c>
      <c r="F792" t="str">
        <f>IF($A792="","",IF($E792=1,SUMIFS(Compta!$F$1:$F$675,Compta!$A$1:$A$675,$A792,Compta!$B$1:$B$675,$B792,Compta!$C$1:$C$675,"2026"),0))</f>
        <v/>
      </c>
      <c r="G792" t="str">
        <f>IF($A792="","",IF($D792="V01",cad!$C$23,IF($D792="V02",cad!$D$23,cad!$E$23)))</f>
        <v/>
      </c>
      <c r="H792" t="str">
        <f>IF($A792="","",IF($D792="V01",cad!$C$24,IF($D792="V02",cad!$D$24,cad!$E$24)))</f>
        <v/>
      </c>
      <c r="I792" t="str">
        <f>IF($A792="","",IF($D792="V01",cad!$C$32,IF($D792="V02",cad!$D$32,cad!$E$32)))</f>
        <v/>
      </c>
      <c r="J792" t="str">
        <f>IF($A792="","",IF($D792="V01",cad!$C$33,IF($D792="V02",cad!$D$33,cad!$E$33)))</f>
        <v/>
      </c>
      <c r="K792" t="str">
        <f>IF($A792="","",IF($D792="V01",cad!$C$34,IF($D792="V02",cad!$D$34,cad!$E$34)))</f>
        <v/>
      </c>
      <c r="L792" t="str">
        <f>IF($A792="","",IF($D792="V01",cad!$C$35,IF($D792="V02",cad!$D$35,cad!$E$35)))</f>
        <v/>
      </c>
      <c r="M792" t="str">
        <f>IF($A792="","",IF($D792="V01",cad!$C$36,IF($D792="V02",cad!$D$36,cad!$E$36)))</f>
        <v/>
      </c>
      <c r="N792" t="str">
        <f t="shared" si="49"/>
        <v/>
      </c>
      <c r="O792" t="str">
        <f t="shared" si="50"/>
        <v/>
      </c>
      <c r="P792" t="str">
        <f>IF($A792="","",IF($E792=1,$F792*$O792,PNL!G792))</f>
        <v/>
      </c>
      <c r="T792" t="str">
        <f t="shared" si="51"/>
        <v/>
      </c>
    </row>
    <row r="793" spans="1:20" x14ac:dyDescent="0.45">
      <c r="A793" t="str">
        <f>IF(PNL!A793="","",PNL!A793)</f>
        <v/>
      </c>
      <c r="B793" t="str">
        <f>IF(PNL!B793="","",PNL!B793)</f>
        <v/>
      </c>
      <c r="C793" t="str">
        <f>IF(PNL!C793="","",PNL!C793)</f>
        <v/>
      </c>
      <c r="D793" t="str">
        <f>IF(PNL!D793="","",PNL!D793)</f>
        <v/>
      </c>
      <c r="E793" t="str">
        <f t="shared" si="48"/>
        <v/>
      </c>
      <c r="F793" t="str">
        <f>IF($A793="","",IF($E793=1,SUMIFS(Compta!$F$1:$F$675,Compta!$A$1:$A$675,$A793,Compta!$B$1:$B$675,$B793,Compta!$C$1:$C$675,"2026"),0))</f>
        <v/>
      </c>
      <c r="G793" t="str">
        <f>IF($A793="","",IF($D793="V01",cad!$C$23,IF($D793="V02",cad!$D$23,cad!$E$23)))</f>
        <v/>
      </c>
      <c r="H793" t="str">
        <f>IF($A793="","",IF($D793="V01",cad!$C$24,IF($D793="V02",cad!$D$24,cad!$E$24)))</f>
        <v/>
      </c>
      <c r="I793" t="str">
        <f>IF($A793="","",IF($D793="V01",cad!$C$32,IF($D793="V02",cad!$D$32,cad!$E$32)))</f>
        <v/>
      </c>
      <c r="J793" t="str">
        <f>IF($A793="","",IF($D793="V01",cad!$C$33,IF($D793="V02",cad!$D$33,cad!$E$33)))</f>
        <v/>
      </c>
      <c r="K793" t="str">
        <f>IF($A793="","",IF($D793="V01",cad!$C$34,IF($D793="V02",cad!$D$34,cad!$E$34)))</f>
        <v/>
      </c>
      <c r="L793" t="str">
        <f>IF($A793="","",IF($D793="V01",cad!$C$35,IF($D793="V02",cad!$D$35,cad!$E$35)))</f>
        <v/>
      </c>
      <c r="M793" t="str">
        <f>IF($A793="","",IF($D793="V01",cad!$C$36,IF($D793="V02",cad!$D$36,cad!$E$36)))</f>
        <v/>
      </c>
      <c r="N793" t="str">
        <f t="shared" si="49"/>
        <v/>
      </c>
      <c r="O793" t="str">
        <f t="shared" si="50"/>
        <v/>
      </c>
      <c r="P793" t="str">
        <f>IF($A793="","",IF($E793=1,$F793*$O793,PNL!G793))</f>
        <v/>
      </c>
      <c r="T793" t="str">
        <f t="shared" si="51"/>
        <v/>
      </c>
    </row>
    <row r="794" spans="1:20" x14ac:dyDescent="0.45">
      <c r="A794" t="str">
        <f>IF(PNL!A794="","",PNL!A794)</f>
        <v/>
      </c>
      <c r="B794" t="str">
        <f>IF(PNL!B794="","",PNL!B794)</f>
        <v/>
      </c>
      <c r="C794" t="str">
        <f>IF(PNL!C794="","",PNL!C794)</f>
        <v/>
      </c>
      <c r="D794" t="str">
        <f>IF(PNL!D794="","",PNL!D794)</f>
        <v/>
      </c>
      <c r="E794" t="str">
        <f t="shared" si="48"/>
        <v/>
      </c>
      <c r="F794" t="str">
        <f>IF($A794="","",IF($E794=1,SUMIFS(Compta!$F$1:$F$675,Compta!$A$1:$A$675,$A794,Compta!$B$1:$B$675,$B794,Compta!$C$1:$C$675,"2026"),0))</f>
        <v/>
      </c>
      <c r="G794" t="str">
        <f>IF($A794="","",IF($D794="V01",cad!$C$23,IF($D794="V02",cad!$D$23,cad!$E$23)))</f>
        <v/>
      </c>
      <c r="H794" t="str">
        <f>IF($A794="","",IF($D794="V01",cad!$C$24,IF($D794="V02",cad!$D$24,cad!$E$24)))</f>
        <v/>
      </c>
      <c r="I794" t="str">
        <f>IF($A794="","",IF($D794="V01",cad!$C$32,IF($D794="V02",cad!$D$32,cad!$E$32)))</f>
        <v/>
      </c>
      <c r="J794" t="str">
        <f>IF($A794="","",IF($D794="V01",cad!$C$33,IF($D794="V02",cad!$D$33,cad!$E$33)))</f>
        <v/>
      </c>
      <c r="K794" t="str">
        <f>IF($A794="","",IF($D794="V01",cad!$C$34,IF($D794="V02",cad!$D$34,cad!$E$34)))</f>
        <v/>
      </c>
      <c r="L794" t="str">
        <f>IF($A794="","",IF($D794="V01",cad!$C$35,IF($D794="V02",cad!$D$35,cad!$E$35)))</f>
        <v/>
      </c>
      <c r="M794" t="str">
        <f>IF($A794="","",IF($D794="V01",cad!$C$36,IF($D794="V02",cad!$D$36,cad!$E$36)))</f>
        <v/>
      </c>
      <c r="N794" t="str">
        <f t="shared" si="49"/>
        <v/>
      </c>
      <c r="O794" t="str">
        <f t="shared" si="50"/>
        <v/>
      </c>
      <c r="P794" t="str">
        <f>IF($A794="","",IF($E794=1,$F794*$O794,PNL!G794))</f>
        <v/>
      </c>
      <c r="T794" t="str">
        <f t="shared" si="51"/>
        <v/>
      </c>
    </row>
    <row r="795" spans="1:20" x14ac:dyDescent="0.45">
      <c r="A795" t="str">
        <f>IF(PNL!A795="","",PNL!A795)</f>
        <v/>
      </c>
      <c r="B795" t="str">
        <f>IF(PNL!B795="","",PNL!B795)</f>
        <v/>
      </c>
      <c r="C795" t="str">
        <f>IF(PNL!C795="","",PNL!C795)</f>
        <v/>
      </c>
      <c r="D795" t="str">
        <f>IF(PNL!D795="","",PNL!D795)</f>
        <v/>
      </c>
      <c r="E795" t="str">
        <f t="shared" si="48"/>
        <v/>
      </c>
      <c r="F795" t="str">
        <f>IF($A795="","",IF($E795=1,SUMIFS(Compta!$F$1:$F$675,Compta!$A$1:$A$675,$A795,Compta!$B$1:$B$675,$B795,Compta!$C$1:$C$675,"2026"),0))</f>
        <v/>
      </c>
      <c r="G795" t="str">
        <f>IF($A795="","",IF($D795="V01",cad!$C$23,IF($D795="V02",cad!$D$23,cad!$E$23)))</f>
        <v/>
      </c>
      <c r="H795" t="str">
        <f>IF($A795="","",IF($D795="V01",cad!$C$24,IF($D795="V02",cad!$D$24,cad!$E$24)))</f>
        <v/>
      </c>
      <c r="I795" t="str">
        <f>IF($A795="","",IF($D795="V01",cad!$C$32,IF($D795="V02",cad!$D$32,cad!$E$32)))</f>
        <v/>
      </c>
      <c r="J795" t="str">
        <f>IF($A795="","",IF($D795="V01",cad!$C$33,IF($D795="V02",cad!$D$33,cad!$E$33)))</f>
        <v/>
      </c>
      <c r="K795" t="str">
        <f>IF($A795="","",IF($D795="V01",cad!$C$34,IF($D795="V02",cad!$D$34,cad!$E$34)))</f>
        <v/>
      </c>
      <c r="L795" t="str">
        <f>IF($A795="","",IF($D795="V01",cad!$C$35,IF($D795="V02",cad!$D$35,cad!$E$35)))</f>
        <v/>
      </c>
      <c r="M795" t="str">
        <f>IF($A795="","",IF($D795="V01",cad!$C$36,IF($D795="V02",cad!$D$36,cad!$E$36)))</f>
        <v/>
      </c>
      <c r="N795" t="str">
        <f t="shared" si="49"/>
        <v/>
      </c>
      <c r="O795" t="str">
        <f t="shared" si="50"/>
        <v/>
      </c>
      <c r="P795" t="str">
        <f>IF($A795="","",IF($E795=1,$F795*$O795,PNL!G795))</f>
        <v/>
      </c>
      <c r="T795" t="str">
        <f t="shared" si="51"/>
        <v/>
      </c>
    </row>
    <row r="796" spans="1:20" x14ac:dyDescent="0.45">
      <c r="A796" t="str">
        <f>IF(PNL!A796="","",PNL!A796)</f>
        <v/>
      </c>
      <c r="B796" t="str">
        <f>IF(PNL!B796="","",PNL!B796)</f>
        <v/>
      </c>
      <c r="C796" t="str">
        <f>IF(PNL!C796="","",PNL!C796)</f>
        <v/>
      </c>
      <c r="D796" t="str">
        <f>IF(PNL!D796="","",PNL!D796)</f>
        <v/>
      </c>
      <c r="E796" t="str">
        <f t="shared" si="48"/>
        <v/>
      </c>
      <c r="F796" t="str">
        <f>IF($A796="","",IF($E796=1,SUMIFS(Compta!$F$1:$F$675,Compta!$A$1:$A$675,$A796,Compta!$B$1:$B$675,$B796,Compta!$C$1:$C$675,"2026"),0))</f>
        <v/>
      </c>
      <c r="G796" t="str">
        <f>IF($A796="","",IF($D796="V01",cad!$C$23,IF($D796="V02",cad!$D$23,cad!$E$23)))</f>
        <v/>
      </c>
      <c r="H796" t="str">
        <f>IF($A796="","",IF($D796="V01",cad!$C$24,IF($D796="V02",cad!$D$24,cad!$E$24)))</f>
        <v/>
      </c>
      <c r="I796" t="str">
        <f>IF($A796="","",IF($D796="V01",cad!$C$32,IF($D796="V02",cad!$D$32,cad!$E$32)))</f>
        <v/>
      </c>
      <c r="J796" t="str">
        <f>IF($A796="","",IF($D796="V01",cad!$C$33,IF($D796="V02",cad!$D$33,cad!$E$33)))</f>
        <v/>
      </c>
      <c r="K796" t="str">
        <f>IF($A796="","",IF($D796="V01",cad!$C$34,IF($D796="V02",cad!$D$34,cad!$E$34)))</f>
        <v/>
      </c>
      <c r="L796" t="str">
        <f>IF($A796="","",IF($D796="V01",cad!$C$35,IF($D796="V02",cad!$D$35,cad!$E$35)))</f>
        <v/>
      </c>
      <c r="M796" t="str">
        <f>IF($A796="","",IF($D796="V01",cad!$C$36,IF($D796="V02",cad!$D$36,cad!$E$36)))</f>
        <v/>
      </c>
      <c r="N796" t="str">
        <f t="shared" si="49"/>
        <v/>
      </c>
      <c r="O796" t="str">
        <f t="shared" si="50"/>
        <v/>
      </c>
      <c r="P796" t="str">
        <f>IF($A796="","",IF($E796=1,$F796*$O796,PNL!G796))</f>
        <v/>
      </c>
      <c r="T796" t="str">
        <f t="shared" si="51"/>
        <v/>
      </c>
    </row>
    <row r="797" spans="1:20" x14ac:dyDescent="0.45">
      <c r="A797" t="str">
        <f>IF(PNL!A797="","",PNL!A797)</f>
        <v/>
      </c>
      <c r="B797" t="str">
        <f>IF(PNL!B797="","",PNL!B797)</f>
        <v/>
      </c>
      <c r="C797" t="str">
        <f>IF(PNL!C797="","",PNL!C797)</f>
        <v/>
      </c>
      <c r="D797" t="str">
        <f>IF(PNL!D797="","",PNL!D797)</f>
        <v/>
      </c>
      <c r="E797" t="str">
        <f t="shared" si="48"/>
        <v/>
      </c>
      <c r="F797" t="str">
        <f>IF($A797="","",IF($E797=1,SUMIFS(Compta!$F$1:$F$675,Compta!$A$1:$A$675,$A797,Compta!$B$1:$B$675,$B797,Compta!$C$1:$C$675,"2026"),0))</f>
        <v/>
      </c>
      <c r="G797" t="str">
        <f>IF($A797="","",IF($D797="V01",cad!$C$23,IF($D797="V02",cad!$D$23,cad!$E$23)))</f>
        <v/>
      </c>
      <c r="H797" t="str">
        <f>IF($A797="","",IF($D797="V01",cad!$C$24,IF($D797="V02",cad!$D$24,cad!$E$24)))</f>
        <v/>
      </c>
      <c r="I797" t="str">
        <f>IF($A797="","",IF($D797="V01",cad!$C$32,IF($D797="V02",cad!$D$32,cad!$E$32)))</f>
        <v/>
      </c>
      <c r="J797" t="str">
        <f>IF($A797="","",IF($D797="V01",cad!$C$33,IF($D797="V02",cad!$D$33,cad!$E$33)))</f>
        <v/>
      </c>
      <c r="K797" t="str">
        <f>IF($A797="","",IF($D797="V01",cad!$C$34,IF($D797="V02",cad!$D$34,cad!$E$34)))</f>
        <v/>
      </c>
      <c r="L797" t="str">
        <f>IF($A797="","",IF($D797="V01",cad!$C$35,IF($D797="V02",cad!$D$35,cad!$E$35)))</f>
        <v/>
      </c>
      <c r="M797" t="str">
        <f>IF($A797="","",IF($D797="V01",cad!$C$36,IF($D797="V02",cad!$D$36,cad!$E$36)))</f>
        <v/>
      </c>
      <c r="N797" t="str">
        <f t="shared" si="49"/>
        <v/>
      </c>
      <c r="O797" t="str">
        <f t="shared" si="50"/>
        <v/>
      </c>
      <c r="P797" t="str">
        <f>IF($A797="","",IF($E797=1,$F797*$O797,PNL!G797))</f>
        <v/>
      </c>
      <c r="T797" t="str">
        <f t="shared" si="51"/>
        <v/>
      </c>
    </row>
    <row r="798" spans="1:20" x14ac:dyDescent="0.45">
      <c r="A798" t="str">
        <f>IF(PNL!A798="","",PNL!A798)</f>
        <v/>
      </c>
      <c r="B798" t="str">
        <f>IF(PNL!B798="","",PNL!B798)</f>
        <v/>
      </c>
      <c r="C798" t="str">
        <f>IF(PNL!C798="","",PNL!C798)</f>
        <v/>
      </c>
      <c r="D798" t="str">
        <f>IF(PNL!D798="","",PNL!D798)</f>
        <v/>
      </c>
      <c r="E798" t="str">
        <f t="shared" si="48"/>
        <v/>
      </c>
      <c r="F798" t="str">
        <f>IF($A798="","",IF($E798=1,SUMIFS(Compta!$F$1:$F$675,Compta!$A$1:$A$675,$A798,Compta!$B$1:$B$675,$B798,Compta!$C$1:$C$675,"2026"),0))</f>
        <v/>
      </c>
      <c r="G798" t="str">
        <f>IF($A798="","",IF($D798="V01",cad!$C$23,IF($D798="V02",cad!$D$23,cad!$E$23)))</f>
        <v/>
      </c>
      <c r="H798" t="str">
        <f>IF($A798="","",IF($D798="V01",cad!$C$24,IF($D798="V02",cad!$D$24,cad!$E$24)))</f>
        <v/>
      </c>
      <c r="I798" t="str">
        <f>IF($A798="","",IF($D798="V01",cad!$C$32,IF($D798="V02",cad!$D$32,cad!$E$32)))</f>
        <v/>
      </c>
      <c r="J798" t="str">
        <f>IF($A798="","",IF($D798="V01",cad!$C$33,IF($D798="V02",cad!$D$33,cad!$E$33)))</f>
        <v/>
      </c>
      <c r="K798" t="str">
        <f>IF($A798="","",IF($D798="V01",cad!$C$34,IF($D798="V02",cad!$D$34,cad!$E$34)))</f>
        <v/>
      </c>
      <c r="L798" t="str">
        <f>IF($A798="","",IF($D798="V01",cad!$C$35,IF($D798="V02",cad!$D$35,cad!$E$35)))</f>
        <v/>
      </c>
      <c r="M798" t="str">
        <f>IF($A798="","",IF($D798="V01",cad!$C$36,IF($D798="V02",cad!$D$36,cad!$E$36)))</f>
        <v/>
      </c>
      <c r="N798" t="str">
        <f t="shared" si="49"/>
        <v/>
      </c>
      <c r="O798" t="str">
        <f t="shared" si="50"/>
        <v/>
      </c>
      <c r="P798" t="str">
        <f>IF($A798="","",IF($E798=1,$F798*$O798,PNL!G798))</f>
        <v/>
      </c>
      <c r="T798" t="str">
        <f t="shared" si="51"/>
        <v/>
      </c>
    </row>
    <row r="799" spans="1:20" x14ac:dyDescent="0.45">
      <c r="A799" t="str">
        <f>IF(PNL!A799="","",PNL!A799)</f>
        <v/>
      </c>
      <c r="B799" t="str">
        <f>IF(PNL!B799="","",PNL!B799)</f>
        <v/>
      </c>
      <c r="C799" t="str">
        <f>IF(PNL!C799="","",PNL!C799)</f>
        <v/>
      </c>
      <c r="D799" t="str">
        <f>IF(PNL!D799="","",PNL!D799)</f>
        <v/>
      </c>
      <c r="E799" t="str">
        <f t="shared" si="48"/>
        <v/>
      </c>
      <c r="F799" t="str">
        <f>IF($A799="","",IF($E799=1,SUMIFS(Compta!$F$1:$F$675,Compta!$A$1:$A$675,$A799,Compta!$B$1:$B$675,$B799,Compta!$C$1:$C$675,"2026"),0))</f>
        <v/>
      </c>
      <c r="G799" t="str">
        <f>IF($A799="","",IF($D799="V01",cad!$C$23,IF($D799="V02",cad!$D$23,cad!$E$23)))</f>
        <v/>
      </c>
      <c r="H799" t="str">
        <f>IF($A799="","",IF($D799="V01",cad!$C$24,IF($D799="V02",cad!$D$24,cad!$E$24)))</f>
        <v/>
      </c>
      <c r="I799" t="str">
        <f>IF($A799="","",IF($D799="V01",cad!$C$32,IF($D799="V02",cad!$D$32,cad!$E$32)))</f>
        <v/>
      </c>
      <c r="J799" t="str">
        <f>IF($A799="","",IF($D799="V01",cad!$C$33,IF($D799="V02",cad!$D$33,cad!$E$33)))</f>
        <v/>
      </c>
      <c r="K799" t="str">
        <f>IF($A799="","",IF($D799="V01",cad!$C$34,IF($D799="V02",cad!$D$34,cad!$E$34)))</f>
        <v/>
      </c>
      <c r="L799" t="str">
        <f>IF($A799="","",IF($D799="V01",cad!$C$35,IF($D799="V02",cad!$D$35,cad!$E$35)))</f>
        <v/>
      </c>
      <c r="M799" t="str">
        <f>IF($A799="","",IF($D799="V01",cad!$C$36,IF($D799="V02",cad!$D$36,cad!$E$36)))</f>
        <v/>
      </c>
      <c r="N799" t="str">
        <f t="shared" si="49"/>
        <v/>
      </c>
      <c r="O799" t="str">
        <f t="shared" si="50"/>
        <v/>
      </c>
      <c r="P799" t="str">
        <f>IF($A799="","",IF($E799=1,$F799*$O799,PNL!G799))</f>
        <v/>
      </c>
      <c r="T799" t="str">
        <f t="shared" si="51"/>
        <v/>
      </c>
    </row>
    <row r="800" spans="1:20" x14ac:dyDescent="0.45">
      <c r="A800" t="str">
        <f>IF(PNL!A800="","",PNL!A800)</f>
        <v/>
      </c>
      <c r="B800" t="str">
        <f>IF(PNL!B800="","",PNL!B800)</f>
        <v/>
      </c>
      <c r="C800" t="str">
        <f>IF(PNL!C800="","",PNL!C800)</f>
        <v/>
      </c>
      <c r="D800" t="str">
        <f>IF(PNL!D800="","",PNL!D800)</f>
        <v/>
      </c>
      <c r="E800" t="str">
        <f t="shared" si="48"/>
        <v/>
      </c>
      <c r="F800" t="str">
        <f>IF($A800="","",IF($E800=1,SUMIFS(Compta!$F$1:$F$675,Compta!$A$1:$A$675,$A800,Compta!$B$1:$B$675,$B800,Compta!$C$1:$C$675,"2026"),0))</f>
        <v/>
      </c>
      <c r="G800" t="str">
        <f>IF($A800="","",IF($D800="V01",cad!$C$23,IF($D800="V02",cad!$D$23,cad!$E$23)))</f>
        <v/>
      </c>
      <c r="H800" t="str">
        <f>IF($A800="","",IF($D800="V01",cad!$C$24,IF($D800="V02",cad!$D$24,cad!$E$24)))</f>
        <v/>
      </c>
      <c r="I800" t="str">
        <f>IF($A800="","",IF($D800="V01",cad!$C$32,IF($D800="V02",cad!$D$32,cad!$E$32)))</f>
        <v/>
      </c>
      <c r="J800" t="str">
        <f>IF($A800="","",IF($D800="V01",cad!$C$33,IF($D800="V02",cad!$D$33,cad!$E$33)))</f>
        <v/>
      </c>
      <c r="K800" t="str">
        <f>IF($A800="","",IF($D800="V01",cad!$C$34,IF($D800="V02",cad!$D$34,cad!$E$34)))</f>
        <v/>
      </c>
      <c r="L800" t="str">
        <f>IF($A800="","",IF($D800="V01",cad!$C$35,IF($D800="V02",cad!$D$35,cad!$E$35)))</f>
        <v/>
      </c>
      <c r="M800" t="str">
        <f>IF($A800="","",IF($D800="V01",cad!$C$36,IF($D800="V02",cad!$D$36,cad!$E$36)))</f>
        <v/>
      </c>
      <c r="N800" t="str">
        <f t="shared" si="49"/>
        <v/>
      </c>
      <c r="O800" t="str">
        <f t="shared" si="50"/>
        <v/>
      </c>
      <c r="P800" t="str">
        <f>IF($A800="","",IF($E800=1,$F800*$O800,PNL!G800))</f>
        <v/>
      </c>
      <c r="T800" t="str">
        <f t="shared" si="51"/>
        <v/>
      </c>
    </row>
    <row r="801" spans="1:20" x14ac:dyDescent="0.45">
      <c r="A801" t="str">
        <f>IF(PNL!A801="","",PNL!A801)</f>
        <v/>
      </c>
      <c r="B801" t="str">
        <f>IF(PNL!B801="","",PNL!B801)</f>
        <v/>
      </c>
      <c r="C801" t="str">
        <f>IF(PNL!C801="","",PNL!C801)</f>
        <v/>
      </c>
      <c r="D801" t="str">
        <f>IF(PNL!D801="","",PNL!D801)</f>
        <v/>
      </c>
      <c r="E801" t="str">
        <f t="shared" si="48"/>
        <v/>
      </c>
      <c r="F801" t="str">
        <f>IF($A801="","",IF($E801=1,SUMIFS(Compta!$F$1:$F$675,Compta!$A$1:$A$675,$A801,Compta!$B$1:$B$675,$B801,Compta!$C$1:$C$675,"2026"),0))</f>
        <v/>
      </c>
      <c r="G801" t="str">
        <f>IF($A801="","",IF($D801="V01",cad!$C$23,IF($D801="V02",cad!$D$23,cad!$E$23)))</f>
        <v/>
      </c>
      <c r="H801" t="str">
        <f>IF($A801="","",IF($D801="V01",cad!$C$24,IF($D801="V02",cad!$D$24,cad!$E$24)))</f>
        <v/>
      </c>
      <c r="I801" t="str">
        <f>IF($A801="","",IF($D801="V01",cad!$C$32,IF($D801="V02",cad!$D$32,cad!$E$32)))</f>
        <v/>
      </c>
      <c r="J801" t="str">
        <f>IF($A801="","",IF($D801="V01",cad!$C$33,IF($D801="V02",cad!$D$33,cad!$E$33)))</f>
        <v/>
      </c>
      <c r="K801" t="str">
        <f>IF($A801="","",IF($D801="V01",cad!$C$34,IF($D801="V02",cad!$D$34,cad!$E$34)))</f>
        <v/>
      </c>
      <c r="L801" t="str">
        <f>IF($A801="","",IF($D801="V01",cad!$C$35,IF($D801="V02",cad!$D$35,cad!$E$35)))</f>
        <v/>
      </c>
      <c r="M801" t="str">
        <f>IF($A801="","",IF($D801="V01",cad!$C$36,IF($D801="V02",cad!$D$36,cad!$E$36)))</f>
        <v/>
      </c>
      <c r="N801" t="str">
        <f t="shared" si="49"/>
        <v/>
      </c>
      <c r="O801" t="str">
        <f t="shared" si="50"/>
        <v/>
      </c>
      <c r="P801" t="str">
        <f>IF($A801="","",IF($E801=1,$F801*$O801,PNL!G801))</f>
        <v/>
      </c>
      <c r="T801" t="str">
        <f t="shared" si="51"/>
        <v/>
      </c>
    </row>
    <row r="802" spans="1:20" x14ac:dyDescent="0.45">
      <c r="A802" t="str">
        <f>IF(PNL!A802="","",PNL!A802)</f>
        <v/>
      </c>
      <c r="B802" t="str">
        <f>IF(PNL!B802="","",PNL!B802)</f>
        <v/>
      </c>
      <c r="C802" t="str">
        <f>IF(PNL!C802="","",PNL!C802)</f>
        <v/>
      </c>
      <c r="D802" t="str">
        <f>IF(PNL!D802="","",PNL!D802)</f>
        <v/>
      </c>
      <c r="E802" t="str">
        <f t="shared" si="48"/>
        <v/>
      </c>
      <c r="F802" t="str">
        <f>IF($A802="","",IF($E802=1,SUMIFS(Compta!$F$1:$F$675,Compta!$A$1:$A$675,$A802,Compta!$B$1:$B$675,$B802,Compta!$C$1:$C$675,"2026"),0))</f>
        <v/>
      </c>
      <c r="G802" t="str">
        <f>IF($A802="","",IF($D802="V01",cad!$C$23,IF($D802="V02",cad!$D$23,cad!$E$23)))</f>
        <v/>
      </c>
      <c r="H802" t="str">
        <f>IF($A802="","",IF($D802="V01",cad!$C$24,IF($D802="V02",cad!$D$24,cad!$E$24)))</f>
        <v/>
      </c>
      <c r="I802" t="str">
        <f>IF($A802="","",IF($D802="V01",cad!$C$32,IF($D802="V02",cad!$D$32,cad!$E$32)))</f>
        <v/>
      </c>
      <c r="J802" t="str">
        <f>IF($A802="","",IF($D802="V01",cad!$C$33,IF($D802="V02",cad!$D$33,cad!$E$33)))</f>
        <v/>
      </c>
      <c r="K802" t="str">
        <f>IF($A802="","",IF($D802="V01",cad!$C$34,IF($D802="V02",cad!$D$34,cad!$E$34)))</f>
        <v/>
      </c>
      <c r="L802" t="str">
        <f>IF($A802="","",IF($D802="V01",cad!$C$35,IF($D802="V02",cad!$D$35,cad!$E$35)))</f>
        <v/>
      </c>
      <c r="M802" t="str">
        <f>IF($A802="","",IF($D802="V01",cad!$C$36,IF($D802="V02",cad!$D$36,cad!$E$36)))</f>
        <v/>
      </c>
      <c r="N802" t="str">
        <f t="shared" si="49"/>
        <v/>
      </c>
      <c r="O802" t="str">
        <f t="shared" si="50"/>
        <v/>
      </c>
      <c r="P802" t="str">
        <f>IF($A802="","",IF($E802=1,$F802*$O802,PNL!G802))</f>
        <v/>
      </c>
      <c r="T802" t="str">
        <f t="shared" si="51"/>
        <v/>
      </c>
    </row>
    <row r="803" spans="1:20" x14ac:dyDescent="0.45">
      <c r="A803" t="str">
        <f>IF(PNL!A803="","",PNL!A803)</f>
        <v/>
      </c>
      <c r="B803" t="str">
        <f>IF(PNL!B803="","",PNL!B803)</f>
        <v/>
      </c>
      <c r="C803" t="str">
        <f>IF(PNL!C803="","",PNL!C803)</f>
        <v/>
      </c>
      <c r="D803" t="str">
        <f>IF(PNL!D803="","",PNL!D803)</f>
        <v/>
      </c>
      <c r="E803" t="str">
        <f t="shared" si="48"/>
        <v/>
      </c>
      <c r="F803" t="str">
        <f>IF($A803="","",IF($E803=1,SUMIFS(Compta!$F$1:$F$675,Compta!$A$1:$A$675,$A803,Compta!$B$1:$B$675,$B803,Compta!$C$1:$C$675,"2026"),0))</f>
        <v/>
      </c>
      <c r="G803" t="str">
        <f>IF($A803="","",IF($D803="V01",cad!$C$23,IF($D803="V02",cad!$D$23,cad!$E$23)))</f>
        <v/>
      </c>
      <c r="H803" t="str">
        <f>IF($A803="","",IF($D803="V01",cad!$C$24,IF($D803="V02",cad!$D$24,cad!$E$24)))</f>
        <v/>
      </c>
      <c r="I803" t="str">
        <f>IF($A803="","",IF($D803="V01",cad!$C$32,IF($D803="V02",cad!$D$32,cad!$E$32)))</f>
        <v/>
      </c>
      <c r="J803" t="str">
        <f>IF($A803="","",IF($D803="V01",cad!$C$33,IF($D803="V02",cad!$D$33,cad!$E$33)))</f>
        <v/>
      </c>
      <c r="K803" t="str">
        <f>IF($A803="","",IF($D803="V01",cad!$C$34,IF($D803="V02",cad!$D$34,cad!$E$34)))</f>
        <v/>
      </c>
      <c r="L803" t="str">
        <f>IF($A803="","",IF($D803="V01",cad!$C$35,IF($D803="V02",cad!$D$35,cad!$E$35)))</f>
        <v/>
      </c>
      <c r="M803" t="str">
        <f>IF($A803="","",IF($D803="V01",cad!$C$36,IF($D803="V02",cad!$D$36,cad!$E$36)))</f>
        <v/>
      </c>
      <c r="N803" t="str">
        <f t="shared" si="49"/>
        <v/>
      </c>
      <c r="O803" t="str">
        <f t="shared" si="50"/>
        <v/>
      </c>
      <c r="P803" t="str">
        <f>IF($A803="","",IF($E803=1,$F803*$O803,PNL!G803))</f>
        <v/>
      </c>
      <c r="T803" t="str">
        <f t="shared" si="51"/>
        <v/>
      </c>
    </row>
    <row r="804" spans="1:20" x14ac:dyDescent="0.45">
      <c r="A804" t="str">
        <f>IF(PNL!A804="","",PNL!A804)</f>
        <v/>
      </c>
      <c r="B804" t="str">
        <f>IF(PNL!B804="","",PNL!B804)</f>
        <v/>
      </c>
      <c r="C804" t="str">
        <f>IF(PNL!C804="","",PNL!C804)</f>
        <v/>
      </c>
      <c r="D804" t="str">
        <f>IF(PNL!D804="","",PNL!D804)</f>
        <v/>
      </c>
      <c r="E804" t="str">
        <f t="shared" si="48"/>
        <v/>
      </c>
      <c r="F804" t="str">
        <f>IF($A804="","",IF($E804=1,SUMIFS(Compta!$F$1:$F$675,Compta!$A$1:$A$675,$A804,Compta!$B$1:$B$675,$B804,Compta!$C$1:$C$675,"2026"),0))</f>
        <v/>
      </c>
      <c r="G804" t="str">
        <f>IF($A804="","",IF($D804="V01",cad!$C$23,IF($D804="V02",cad!$D$23,cad!$E$23)))</f>
        <v/>
      </c>
      <c r="H804" t="str">
        <f>IF($A804="","",IF($D804="V01",cad!$C$24,IF($D804="V02",cad!$D$24,cad!$E$24)))</f>
        <v/>
      </c>
      <c r="I804" t="str">
        <f>IF($A804="","",IF($D804="V01",cad!$C$32,IF($D804="V02",cad!$D$32,cad!$E$32)))</f>
        <v/>
      </c>
      <c r="J804" t="str">
        <f>IF($A804="","",IF($D804="V01",cad!$C$33,IF($D804="V02",cad!$D$33,cad!$E$33)))</f>
        <v/>
      </c>
      <c r="K804" t="str">
        <f>IF($A804="","",IF($D804="V01",cad!$C$34,IF($D804="V02",cad!$D$34,cad!$E$34)))</f>
        <v/>
      </c>
      <c r="L804" t="str">
        <f>IF($A804="","",IF($D804="V01",cad!$C$35,IF($D804="V02",cad!$D$35,cad!$E$35)))</f>
        <v/>
      </c>
      <c r="M804" t="str">
        <f>IF($A804="","",IF($D804="V01",cad!$C$36,IF($D804="V02",cad!$D$36,cad!$E$36)))</f>
        <v/>
      </c>
      <c r="N804" t="str">
        <f t="shared" si="49"/>
        <v/>
      </c>
      <c r="O804" t="str">
        <f t="shared" si="50"/>
        <v/>
      </c>
      <c r="P804" t="str">
        <f>IF($A804="","",IF($E804=1,$F804*$O804,PNL!G804))</f>
        <v/>
      </c>
      <c r="T804" t="str">
        <f t="shared" si="51"/>
        <v/>
      </c>
    </row>
    <row r="805" spans="1:20" x14ac:dyDescent="0.45">
      <c r="A805" t="str">
        <f>IF(PNL!A805="","",PNL!A805)</f>
        <v/>
      </c>
      <c r="B805" t="str">
        <f>IF(PNL!B805="","",PNL!B805)</f>
        <v/>
      </c>
      <c r="C805" t="str">
        <f>IF(PNL!C805="","",PNL!C805)</f>
        <v/>
      </c>
      <c r="D805" t="str">
        <f>IF(PNL!D805="","",PNL!D805)</f>
        <v/>
      </c>
      <c r="E805" t="str">
        <f t="shared" si="48"/>
        <v/>
      </c>
      <c r="F805" t="str">
        <f>IF($A805="","",IF($E805=1,SUMIFS(Compta!$F$1:$F$675,Compta!$A$1:$A$675,$A805,Compta!$B$1:$B$675,$B805,Compta!$C$1:$C$675,"2026"),0))</f>
        <v/>
      </c>
      <c r="G805" t="str">
        <f>IF($A805="","",IF($D805="V01",cad!$C$23,IF($D805="V02",cad!$D$23,cad!$E$23)))</f>
        <v/>
      </c>
      <c r="H805" t="str">
        <f>IF($A805="","",IF($D805="V01",cad!$C$24,IF($D805="V02",cad!$D$24,cad!$E$24)))</f>
        <v/>
      </c>
      <c r="I805" t="str">
        <f>IF($A805="","",IF($D805="V01",cad!$C$32,IF($D805="V02",cad!$D$32,cad!$E$32)))</f>
        <v/>
      </c>
      <c r="J805" t="str">
        <f>IF($A805="","",IF($D805="V01",cad!$C$33,IF($D805="V02",cad!$D$33,cad!$E$33)))</f>
        <v/>
      </c>
      <c r="K805" t="str">
        <f>IF($A805="","",IF($D805="V01",cad!$C$34,IF($D805="V02",cad!$D$34,cad!$E$34)))</f>
        <v/>
      </c>
      <c r="L805" t="str">
        <f>IF($A805="","",IF($D805="V01",cad!$C$35,IF($D805="V02",cad!$D$35,cad!$E$35)))</f>
        <v/>
      </c>
      <c r="M805" t="str">
        <f>IF($A805="","",IF($D805="V01",cad!$C$36,IF($D805="V02",cad!$D$36,cad!$E$36)))</f>
        <v/>
      </c>
      <c r="N805" t="str">
        <f t="shared" si="49"/>
        <v/>
      </c>
      <c r="O805" t="str">
        <f t="shared" si="50"/>
        <v/>
      </c>
      <c r="P805" t="str">
        <f>IF($A805="","",IF($E805=1,$F805*$O805,PNL!G805))</f>
        <v/>
      </c>
      <c r="T805" t="str">
        <f t="shared" si="51"/>
        <v/>
      </c>
    </row>
    <row r="806" spans="1:20" x14ac:dyDescent="0.45">
      <c r="A806" t="str">
        <f>IF(PNL!A806="","",PNL!A806)</f>
        <v/>
      </c>
      <c r="B806" t="str">
        <f>IF(PNL!B806="","",PNL!B806)</f>
        <v/>
      </c>
      <c r="C806" t="str">
        <f>IF(PNL!C806="","",PNL!C806)</f>
        <v/>
      </c>
      <c r="D806" t="str">
        <f>IF(PNL!D806="","",PNL!D806)</f>
        <v/>
      </c>
      <c r="E806" t="str">
        <f t="shared" si="48"/>
        <v/>
      </c>
      <c r="F806" t="str">
        <f>IF($A806="","",IF($E806=1,SUMIFS(Compta!$F$1:$F$675,Compta!$A$1:$A$675,$A806,Compta!$B$1:$B$675,$B806,Compta!$C$1:$C$675,"2026"),0))</f>
        <v/>
      </c>
      <c r="G806" t="str">
        <f>IF($A806="","",IF($D806="V01",cad!$C$23,IF($D806="V02",cad!$D$23,cad!$E$23)))</f>
        <v/>
      </c>
      <c r="H806" t="str">
        <f>IF($A806="","",IF($D806="V01",cad!$C$24,IF($D806="V02",cad!$D$24,cad!$E$24)))</f>
        <v/>
      </c>
      <c r="I806" t="str">
        <f>IF($A806="","",IF($D806="V01",cad!$C$32,IF($D806="V02",cad!$D$32,cad!$E$32)))</f>
        <v/>
      </c>
      <c r="J806" t="str">
        <f>IF($A806="","",IF($D806="V01",cad!$C$33,IF($D806="V02",cad!$D$33,cad!$E$33)))</f>
        <v/>
      </c>
      <c r="K806" t="str">
        <f>IF($A806="","",IF($D806="V01",cad!$C$34,IF($D806="V02",cad!$D$34,cad!$E$34)))</f>
        <v/>
      </c>
      <c r="L806" t="str">
        <f>IF($A806="","",IF($D806="V01",cad!$C$35,IF($D806="V02",cad!$D$35,cad!$E$35)))</f>
        <v/>
      </c>
      <c r="M806" t="str">
        <f>IF($A806="","",IF($D806="V01",cad!$C$36,IF($D806="V02",cad!$D$36,cad!$E$36)))</f>
        <v/>
      </c>
      <c r="N806" t="str">
        <f t="shared" si="49"/>
        <v/>
      </c>
      <c r="O806" t="str">
        <f t="shared" si="50"/>
        <v/>
      </c>
      <c r="P806" t="str">
        <f>IF($A806="","",IF($E806=1,$F806*$O806,PNL!G806))</f>
        <v/>
      </c>
      <c r="T806" t="str">
        <f t="shared" si="51"/>
        <v/>
      </c>
    </row>
    <row r="807" spans="1:20" x14ac:dyDescent="0.45">
      <c r="A807" t="str">
        <f>IF(PNL!A807="","",PNL!A807)</f>
        <v/>
      </c>
      <c r="B807" t="str">
        <f>IF(PNL!B807="","",PNL!B807)</f>
        <v/>
      </c>
      <c r="C807" t="str">
        <f>IF(PNL!C807="","",PNL!C807)</f>
        <v/>
      </c>
      <c r="D807" t="str">
        <f>IF(PNL!D807="","",PNL!D807)</f>
        <v/>
      </c>
      <c r="E807" t="str">
        <f t="shared" si="48"/>
        <v/>
      </c>
      <c r="F807" t="str">
        <f>IF($A807="","",IF($E807=1,SUMIFS(Compta!$F$1:$F$675,Compta!$A$1:$A$675,$A807,Compta!$B$1:$B$675,$B807,Compta!$C$1:$C$675,"2026"),0))</f>
        <v/>
      </c>
      <c r="G807" t="str">
        <f>IF($A807="","",IF($D807="V01",cad!$C$23,IF($D807="V02",cad!$D$23,cad!$E$23)))</f>
        <v/>
      </c>
      <c r="H807" t="str">
        <f>IF($A807="","",IF($D807="V01",cad!$C$24,IF($D807="V02",cad!$D$24,cad!$E$24)))</f>
        <v/>
      </c>
      <c r="I807" t="str">
        <f>IF($A807="","",IF($D807="V01",cad!$C$32,IF($D807="V02",cad!$D$32,cad!$E$32)))</f>
        <v/>
      </c>
      <c r="J807" t="str">
        <f>IF($A807="","",IF($D807="V01",cad!$C$33,IF($D807="V02",cad!$D$33,cad!$E$33)))</f>
        <v/>
      </c>
      <c r="K807" t="str">
        <f>IF($A807="","",IF($D807="V01",cad!$C$34,IF($D807="V02",cad!$D$34,cad!$E$34)))</f>
        <v/>
      </c>
      <c r="L807" t="str">
        <f>IF($A807="","",IF($D807="V01",cad!$C$35,IF($D807="V02",cad!$D$35,cad!$E$35)))</f>
        <v/>
      </c>
      <c r="M807" t="str">
        <f>IF($A807="","",IF($D807="V01",cad!$C$36,IF($D807="V02",cad!$D$36,cad!$E$36)))</f>
        <v/>
      </c>
      <c r="N807" t="str">
        <f t="shared" si="49"/>
        <v/>
      </c>
      <c r="O807" t="str">
        <f t="shared" si="50"/>
        <v/>
      </c>
      <c r="P807" t="str">
        <f>IF($A807="","",IF($E807=1,$F807*$O807,PNL!G807))</f>
        <v/>
      </c>
      <c r="T807" t="str">
        <f t="shared" si="51"/>
        <v/>
      </c>
    </row>
    <row r="808" spans="1:20" x14ac:dyDescent="0.45">
      <c r="A808" t="str">
        <f>IF(PNL!A808="","",PNL!A808)</f>
        <v/>
      </c>
      <c r="B808" t="str">
        <f>IF(PNL!B808="","",PNL!B808)</f>
        <v/>
      </c>
      <c r="C808" t="str">
        <f>IF(PNL!C808="","",PNL!C808)</f>
        <v/>
      </c>
      <c r="D808" t="str">
        <f>IF(PNL!D808="","",PNL!D808)</f>
        <v/>
      </c>
      <c r="E808" t="str">
        <f t="shared" si="48"/>
        <v/>
      </c>
      <c r="F808" t="str">
        <f>IF($A808="","",IF($E808=1,SUMIFS(Compta!$F$1:$F$675,Compta!$A$1:$A$675,$A808,Compta!$B$1:$B$675,$B808,Compta!$C$1:$C$675,"2026"),0))</f>
        <v/>
      </c>
      <c r="G808" t="str">
        <f>IF($A808="","",IF($D808="V01",cad!$C$23,IF($D808="V02",cad!$D$23,cad!$E$23)))</f>
        <v/>
      </c>
      <c r="H808" t="str">
        <f>IF($A808="","",IF($D808="V01",cad!$C$24,IF($D808="V02",cad!$D$24,cad!$E$24)))</f>
        <v/>
      </c>
      <c r="I808" t="str">
        <f>IF($A808="","",IF($D808="V01",cad!$C$32,IF($D808="V02",cad!$D$32,cad!$E$32)))</f>
        <v/>
      </c>
      <c r="J808" t="str">
        <f>IF($A808="","",IF($D808="V01",cad!$C$33,IF($D808="V02",cad!$D$33,cad!$E$33)))</f>
        <v/>
      </c>
      <c r="K808" t="str">
        <f>IF($A808="","",IF($D808="V01",cad!$C$34,IF($D808="V02",cad!$D$34,cad!$E$34)))</f>
        <v/>
      </c>
      <c r="L808" t="str">
        <f>IF($A808="","",IF($D808="V01",cad!$C$35,IF($D808="V02",cad!$D$35,cad!$E$35)))</f>
        <v/>
      </c>
      <c r="M808" t="str">
        <f>IF($A808="","",IF($D808="V01",cad!$C$36,IF($D808="V02",cad!$D$36,cad!$E$36)))</f>
        <v/>
      </c>
      <c r="N808" t="str">
        <f t="shared" si="49"/>
        <v/>
      </c>
      <c r="O808" t="str">
        <f t="shared" si="50"/>
        <v/>
      </c>
      <c r="P808" t="str">
        <f>IF($A808="","",IF($E808=1,$F808*$O808,PNL!G808))</f>
        <v/>
      </c>
      <c r="T808" t="str">
        <f t="shared" si="51"/>
        <v/>
      </c>
    </row>
    <row r="809" spans="1:20" x14ac:dyDescent="0.45">
      <c r="A809" t="str">
        <f>IF(PNL!A809="","",PNL!A809)</f>
        <v/>
      </c>
      <c r="B809" t="str">
        <f>IF(PNL!B809="","",PNL!B809)</f>
        <v/>
      </c>
      <c r="C809" t="str">
        <f>IF(PNL!C809="","",PNL!C809)</f>
        <v/>
      </c>
      <c r="D809" t="str">
        <f>IF(PNL!D809="","",PNL!D809)</f>
        <v/>
      </c>
      <c r="E809" t="str">
        <f t="shared" si="48"/>
        <v/>
      </c>
      <c r="F809" t="str">
        <f>IF($A809="","",IF($E809=1,SUMIFS(Compta!$F$1:$F$675,Compta!$A$1:$A$675,$A809,Compta!$B$1:$B$675,$B809,Compta!$C$1:$C$675,"2026"),0))</f>
        <v/>
      </c>
      <c r="G809" t="str">
        <f>IF($A809="","",IF($D809="V01",cad!$C$23,IF($D809="V02",cad!$D$23,cad!$E$23)))</f>
        <v/>
      </c>
      <c r="H809" t="str">
        <f>IF($A809="","",IF($D809="V01",cad!$C$24,IF($D809="V02",cad!$D$24,cad!$E$24)))</f>
        <v/>
      </c>
      <c r="I809" t="str">
        <f>IF($A809="","",IF($D809="V01",cad!$C$32,IF($D809="V02",cad!$D$32,cad!$E$32)))</f>
        <v/>
      </c>
      <c r="J809" t="str">
        <f>IF($A809="","",IF($D809="V01",cad!$C$33,IF($D809="V02",cad!$D$33,cad!$E$33)))</f>
        <v/>
      </c>
      <c r="K809" t="str">
        <f>IF($A809="","",IF($D809="V01",cad!$C$34,IF($D809="V02",cad!$D$34,cad!$E$34)))</f>
        <v/>
      </c>
      <c r="L809" t="str">
        <f>IF($A809="","",IF($D809="V01",cad!$C$35,IF($D809="V02",cad!$D$35,cad!$E$35)))</f>
        <v/>
      </c>
      <c r="M809" t="str">
        <f>IF($A809="","",IF($D809="V01",cad!$C$36,IF($D809="V02",cad!$D$36,cad!$E$36)))</f>
        <v/>
      </c>
      <c r="N809" t="str">
        <f t="shared" si="49"/>
        <v/>
      </c>
      <c r="O809" t="str">
        <f t="shared" si="50"/>
        <v/>
      </c>
      <c r="P809" t="str">
        <f>IF($A809="","",IF($E809=1,$F809*$O809,PNL!G809))</f>
        <v/>
      </c>
      <c r="T809" t="str">
        <f t="shared" si="51"/>
        <v/>
      </c>
    </row>
    <row r="810" spans="1:20" x14ac:dyDescent="0.45">
      <c r="A810" t="str">
        <f>IF(PNL!A810="","",PNL!A810)</f>
        <v/>
      </c>
      <c r="B810" t="str">
        <f>IF(PNL!B810="","",PNL!B810)</f>
        <v/>
      </c>
      <c r="C810" t="str">
        <f>IF(PNL!C810="","",PNL!C810)</f>
        <v/>
      </c>
      <c r="D810" t="str">
        <f>IF(PNL!D810="","",PNL!D810)</f>
        <v/>
      </c>
      <c r="E810" t="str">
        <f t="shared" si="48"/>
        <v/>
      </c>
      <c r="F810" t="str">
        <f>IF($A810="","",IF($E810=1,SUMIFS(Compta!$F$1:$F$675,Compta!$A$1:$A$675,$A810,Compta!$B$1:$B$675,$B810,Compta!$C$1:$C$675,"2026"),0))</f>
        <v/>
      </c>
      <c r="G810" t="str">
        <f>IF($A810="","",IF($D810="V01",cad!$C$23,IF($D810="V02",cad!$D$23,cad!$E$23)))</f>
        <v/>
      </c>
      <c r="H810" t="str">
        <f>IF($A810="","",IF($D810="V01",cad!$C$24,IF($D810="V02",cad!$D$24,cad!$E$24)))</f>
        <v/>
      </c>
      <c r="I810" t="str">
        <f>IF($A810="","",IF($D810="V01",cad!$C$32,IF($D810="V02",cad!$D$32,cad!$E$32)))</f>
        <v/>
      </c>
      <c r="J810" t="str">
        <f>IF($A810="","",IF($D810="V01",cad!$C$33,IF($D810="V02",cad!$D$33,cad!$E$33)))</f>
        <v/>
      </c>
      <c r="K810" t="str">
        <f>IF($A810="","",IF($D810="V01",cad!$C$34,IF($D810="V02",cad!$D$34,cad!$E$34)))</f>
        <v/>
      </c>
      <c r="L810" t="str">
        <f>IF($A810="","",IF($D810="V01",cad!$C$35,IF($D810="V02",cad!$D$35,cad!$E$35)))</f>
        <v/>
      </c>
      <c r="M810" t="str">
        <f>IF($A810="","",IF($D810="V01",cad!$C$36,IF($D810="V02",cad!$D$36,cad!$E$36)))</f>
        <v/>
      </c>
      <c r="N810" t="str">
        <f t="shared" si="49"/>
        <v/>
      </c>
      <c r="O810" t="str">
        <f t="shared" si="50"/>
        <v/>
      </c>
      <c r="P810" t="str">
        <f>IF($A810="","",IF($E810=1,$F810*$O810,PNL!G810))</f>
        <v/>
      </c>
      <c r="T810" t="str">
        <f t="shared" si="51"/>
        <v/>
      </c>
    </row>
    <row r="811" spans="1:20" x14ac:dyDescent="0.45">
      <c r="A811" t="str">
        <f>IF(PNL!A811="","",PNL!A811)</f>
        <v/>
      </c>
      <c r="B811" t="str">
        <f>IF(PNL!B811="","",PNL!B811)</f>
        <v/>
      </c>
      <c r="C811" t="str">
        <f>IF(PNL!C811="","",PNL!C811)</f>
        <v/>
      </c>
      <c r="D811" t="str">
        <f>IF(PNL!D811="","",PNL!D811)</f>
        <v/>
      </c>
      <c r="E811" t="str">
        <f t="shared" si="48"/>
        <v/>
      </c>
      <c r="F811" t="str">
        <f>IF($A811="","",IF($E811=1,SUMIFS(Compta!$F$1:$F$675,Compta!$A$1:$A$675,$A811,Compta!$B$1:$B$675,$B811,Compta!$C$1:$C$675,"2026"),0))</f>
        <v/>
      </c>
      <c r="G811" t="str">
        <f>IF($A811="","",IF($D811="V01",cad!$C$23,IF($D811="V02",cad!$D$23,cad!$E$23)))</f>
        <v/>
      </c>
      <c r="H811" t="str">
        <f>IF($A811="","",IF($D811="V01",cad!$C$24,IF($D811="V02",cad!$D$24,cad!$E$24)))</f>
        <v/>
      </c>
      <c r="I811" t="str">
        <f>IF($A811="","",IF($D811="V01",cad!$C$32,IF($D811="V02",cad!$D$32,cad!$E$32)))</f>
        <v/>
      </c>
      <c r="J811" t="str">
        <f>IF($A811="","",IF($D811="V01",cad!$C$33,IF($D811="V02",cad!$D$33,cad!$E$33)))</f>
        <v/>
      </c>
      <c r="K811" t="str">
        <f>IF($A811="","",IF($D811="V01",cad!$C$34,IF($D811="V02",cad!$D$34,cad!$E$34)))</f>
        <v/>
      </c>
      <c r="L811" t="str">
        <f>IF($A811="","",IF($D811="V01",cad!$C$35,IF($D811="V02",cad!$D$35,cad!$E$35)))</f>
        <v/>
      </c>
      <c r="M811" t="str">
        <f>IF($A811="","",IF($D811="V01",cad!$C$36,IF($D811="V02",cad!$D$36,cad!$E$36)))</f>
        <v/>
      </c>
      <c r="N811" t="str">
        <f t="shared" si="49"/>
        <v/>
      </c>
      <c r="O811" t="str">
        <f t="shared" si="50"/>
        <v/>
      </c>
      <c r="P811" t="str">
        <f>IF($A811="","",IF($E811=1,$F811*$O811,PNL!G811))</f>
        <v/>
      </c>
      <c r="T811" t="str">
        <f t="shared" si="51"/>
        <v/>
      </c>
    </row>
    <row r="812" spans="1:20" x14ac:dyDescent="0.45">
      <c r="A812" t="str">
        <f>IF(PNL!A812="","",PNL!A812)</f>
        <v/>
      </c>
      <c r="B812" t="str">
        <f>IF(PNL!B812="","",PNL!B812)</f>
        <v/>
      </c>
      <c r="C812" t="str">
        <f>IF(PNL!C812="","",PNL!C812)</f>
        <v/>
      </c>
      <c r="D812" t="str">
        <f>IF(PNL!D812="","",PNL!D812)</f>
        <v/>
      </c>
      <c r="E812" t="str">
        <f t="shared" si="48"/>
        <v/>
      </c>
      <c r="F812" t="str">
        <f>IF($A812="","",IF($E812=1,SUMIFS(Compta!$F$1:$F$675,Compta!$A$1:$A$675,$A812,Compta!$B$1:$B$675,$B812,Compta!$C$1:$C$675,"2026"),0))</f>
        <v/>
      </c>
      <c r="G812" t="str">
        <f>IF($A812="","",IF($D812="V01",cad!$C$23,IF($D812="V02",cad!$D$23,cad!$E$23)))</f>
        <v/>
      </c>
      <c r="H812" t="str">
        <f>IF($A812="","",IF($D812="V01",cad!$C$24,IF($D812="V02",cad!$D$24,cad!$E$24)))</f>
        <v/>
      </c>
      <c r="I812" t="str">
        <f>IF($A812="","",IF($D812="V01",cad!$C$32,IF($D812="V02",cad!$D$32,cad!$E$32)))</f>
        <v/>
      </c>
      <c r="J812" t="str">
        <f>IF($A812="","",IF($D812="V01",cad!$C$33,IF($D812="V02",cad!$D$33,cad!$E$33)))</f>
        <v/>
      </c>
      <c r="K812" t="str">
        <f>IF($A812="","",IF($D812="V01",cad!$C$34,IF($D812="V02",cad!$D$34,cad!$E$34)))</f>
        <v/>
      </c>
      <c r="L812" t="str">
        <f>IF($A812="","",IF($D812="V01",cad!$C$35,IF($D812="V02",cad!$D$35,cad!$E$35)))</f>
        <v/>
      </c>
      <c r="M812" t="str">
        <f>IF($A812="","",IF($D812="V01",cad!$C$36,IF($D812="V02",cad!$D$36,cad!$E$36)))</f>
        <v/>
      </c>
      <c r="N812" t="str">
        <f t="shared" si="49"/>
        <v/>
      </c>
      <c r="O812" t="str">
        <f t="shared" si="50"/>
        <v/>
      </c>
      <c r="P812" t="str">
        <f>IF($A812="","",IF($E812=1,$F812*$O812,PNL!G812))</f>
        <v/>
      </c>
      <c r="T812" t="str">
        <f t="shared" si="51"/>
        <v/>
      </c>
    </row>
    <row r="813" spans="1:20" x14ac:dyDescent="0.45">
      <c r="A813" t="str">
        <f>IF(PNL!A813="","",PNL!A813)</f>
        <v/>
      </c>
      <c r="B813" t="str">
        <f>IF(PNL!B813="","",PNL!B813)</f>
        <v/>
      </c>
      <c r="C813" t="str">
        <f>IF(PNL!C813="","",PNL!C813)</f>
        <v/>
      </c>
      <c r="D813" t="str">
        <f>IF(PNL!D813="","",PNL!D813)</f>
        <v/>
      </c>
      <c r="E813" t="str">
        <f t="shared" si="48"/>
        <v/>
      </c>
      <c r="F813" t="str">
        <f>IF($A813="","",IF($E813=1,SUMIFS(Compta!$F$1:$F$675,Compta!$A$1:$A$675,$A813,Compta!$B$1:$B$675,$B813,Compta!$C$1:$C$675,"2026"),0))</f>
        <v/>
      </c>
      <c r="G813" t="str">
        <f>IF($A813="","",IF($D813="V01",cad!$C$23,IF($D813="V02",cad!$D$23,cad!$E$23)))</f>
        <v/>
      </c>
      <c r="H813" t="str">
        <f>IF($A813="","",IF($D813="V01",cad!$C$24,IF($D813="V02",cad!$D$24,cad!$E$24)))</f>
        <v/>
      </c>
      <c r="I813" t="str">
        <f>IF($A813="","",IF($D813="V01",cad!$C$32,IF($D813="V02",cad!$D$32,cad!$E$32)))</f>
        <v/>
      </c>
      <c r="J813" t="str">
        <f>IF($A813="","",IF($D813="V01",cad!$C$33,IF($D813="V02",cad!$D$33,cad!$E$33)))</f>
        <v/>
      </c>
      <c r="K813" t="str">
        <f>IF($A813="","",IF($D813="V01",cad!$C$34,IF($D813="V02",cad!$D$34,cad!$E$34)))</f>
        <v/>
      </c>
      <c r="L813" t="str">
        <f>IF($A813="","",IF($D813="V01",cad!$C$35,IF($D813="V02",cad!$D$35,cad!$E$35)))</f>
        <v/>
      </c>
      <c r="M813" t="str">
        <f>IF($A813="","",IF($D813="V01",cad!$C$36,IF($D813="V02",cad!$D$36,cad!$E$36)))</f>
        <v/>
      </c>
      <c r="N813" t="str">
        <f t="shared" si="49"/>
        <v/>
      </c>
      <c r="O813" t="str">
        <f t="shared" si="50"/>
        <v/>
      </c>
      <c r="P813" t="str">
        <f>IF($A813="","",IF($E813=1,$F813*$O813,PNL!G813))</f>
        <v/>
      </c>
      <c r="T813" t="str">
        <f t="shared" si="51"/>
        <v/>
      </c>
    </row>
    <row r="814" spans="1:20" x14ac:dyDescent="0.45">
      <c r="A814" t="str">
        <f>IF(PNL!A814="","",PNL!A814)</f>
        <v/>
      </c>
      <c r="B814" t="str">
        <f>IF(PNL!B814="","",PNL!B814)</f>
        <v/>
      </c>
      <c r="C814" t="str">
        <f>IF(PNL!C814="","",PNL!C814)</f>
        <v/>
      </c>
      <c r="D814" t="str">
        <f>IF(PNL!D814="","",PNL!D814)</f>
        <v/>
      </c>
      <c r="E814" t="str">
        <f t="shared" si="48"/>
        <v/>
      </c>
      <c r="F814" t="str">
        <f>IF($A814="","",IF($E814=1,SUMIFS(Compta!$F$1:$F$675,Compta!$A$1:$A$675,$A814,Compta!$B$1:$B$675,$B814,Compta!$C$1:$C$675,"2026"),0))</f>
        <v/>
      </c>
      <c r="G814" t="str">
        <f>IF($A814="","",IF($D814="V01",cad!$C$23,IF($D814="V02",cad!$D$23,cad!$E$23)))</f>
        <v/>
      </c>
      <c r="H814" t="str">
        <f>IF($A814="","",IF($D814="V01",cad!$C$24,IF($D814="V02",cad!$D$24,cad!$E$24)))</f>
        <v/>
      </c>
      <c r="I814" t="str">
        <f>IF($A814="","",IF($D814="V01",cad!$C$32,IF($D814="V02",cad!$D$32,cad!$E$32)))</f>
        <v/>
      </c>
      <c r="J814" t="str">
        <f>IF($A814="","",IF($D814="V01",cad!$C$33,IF($D814="V02",cad!$D$33,cad!$E$33)))</f>
        <v/>
      </c>
      <c r="K814" t="str">
        <f>IF($A814="","",IF($D814="V01",cad!$C$34,IF($D814="V02",cad!$D$34,cad!$E$34)))</f>
        <v/>
      </c>
      <c r="L814" t="str">
        <f>IF($A814="","",IF($D814="V01",cad!$C$35,IF($D814="V02",cad!$D$35,cad!$E$35)))</f>
        <v/>
      </c>
      <c r="M814" t="str">
        <f>IF($A814="","",IF($D814="V01",cad!$C$36,IF($D814="V02",cad!$D$36,cad!$E$36)))</f>
        <v/>
      </c>
      <c r="N814" t="str">
        <f t="shared" si="49"/>
        <v/>
      </c>
      <c r="O814" t="str">
        <f t="shared" si="50"/>
        <v/>
      </c>
      <c r="P814" t="str">
        <f>IF($A814="","",IF($E814=1,$F814*$O814,PNL!G814))</f>
        <v/>
      </c>
      <c r="T814" t="str">
        <f t="shared" si="51"/>
        <v/>
      </c>
    </row>
    <row r="815" spans="1:20" x14ac:dyDescent="0.45">
      <c r="A815" t="str">
        <f>IF(PNL!A815="","",PNL!A815)</f>
        <v/>
      </c>
      <c r="B815" t="str">
        <f>IF(PNL!B815="","",PNL!B815)</f>
        <v/>
      </c>
      <c r="C815" t="str">
        <f>IF(PNL!C815="","",PNL!C815)</f>
        <v/>
      </c>
      <c r="D815" t="str">
        <f>IF(PNL!D815="","",PNL!D815)</f>
        <v/>
      </c>
      <c r="E815" t="str">
        <f t="shared" si="48"/>
        <v/>
      </c>
      <c r="F815" t="str">
        <f>IF($A815="","",IF($E815=1,SUMIFS(Compta!$F$1:$F$675,Compta!$A$1:$A$675,$A815,Compta!$B$1:$B$675,$B815,Compta!$C$1:$C$675,"2026"),0))</f>
        <v/>
      </c>
      <c r="G815" t="str">
        <f>IF($A815="","",IF($D815="V01",cad!$C$23,IF($D815="V02",cad!$D$23,cad!$E$23)))</f>
        <v/>
      </c>
      <c r="H815" t="str">
        <f>IF($A815="","",IF($D815="V01",cad!$C$24,IF($D815="V02",cad!$D$24,cad!$E$24)))</f>
        <v/>
      </c>
      <c r="I815" t="str">
        <f>IF($A815="","",IF($D815="V01",cad!$C$32,IF($D815="V02",cad!$D$32,cad!$E$32)))</f>
        <v/>
      </c>
      <c r="J815" t="str">
        <f>IF($A815="","",IF($D815="V01",cad!$C$33,IF($D815="V02",cad!$D$33,cad!$E$33)))</f>
        <v/>
      </c>
      <c r="K815" t="str">
        <f>IF($A815="","",IF($D815="V01",cad!$C$34,IF($D815="V02",cad!$D$34,cad!$E$34)))</f>
        <v/>
      </c>
      <c r="L815" t="str">
        <f>IF($A815="","",IF($D815="V01",cad!$C$35,IF($D815="V02",cad!$D$35,cad!$E$35)))</f>
        <v/>
      </c>
      <c r="M815" t="str">
        <f>IF($A815="","",IF($D815="V01",cad!$C$36,IF($D815="V02",cad!$D$36,cad!$E$36)))</f>
        <v/>
      </c>
      <c r="N815" t="str">
        <f t="shared" si="49"/>
        <v/>
      </c>
      <c r="O815" t="str">
        <f t="shared" si="50"/>
        <v/>
      </c>
      <c r="P815" t="str">
        <f>IF($A815="","",IF($E815=1,$F815*$O815,PNL!G815))</f>
        <v/>
      </c>
      <c r="T815" t="str">
        <f t="shared" si="51"/>
        <v/>
      </c>
    </row>
    <row r="816" spans="1:20" x14ac:dyDescent="0.45">
      <c r="A816" t="str">
        <f>IF(PNL!A816="","",PNL!A816)</f>
        <v/>
      </c>
      <c r="B816" t="str">
        <f>IF(PNL!B816="","",PNL!B816)</f>
        <v/>
      </c>
      <c r="C816" t="str">
        <f>IF(PNL!C816="","",PNL!C816)</f>
        <v/>
      </c>
      <c r="D816" t="str">
        <f>IF(PNL!D816="","",PNL!D816)</f>
        <v/>
      </c>
      <c r="E816" t="str">
        <f t="shared" si="48"/>
        <v/>
      </c>
      <c r="F816" t="str">
        <f>IF($A816="","",IF($E816=1,SUMIFS(Compta!$F$1:$F$675,Compta!$A$1:$A$675,$A816,Compta!$B$1:$B$675,$B816,Compta!$C$1:$C$675,"2026"),0))</f>
        <v/>
      </c>
      <c r="G816" t="str">
        <f>IF($A816="","",IF($D816="V01",cad!$C$23,IF($D816="V02",cad!$D$23,cad!$E$23)))</f>
        <v/>
      </c>
      <c r="H816" t="str">
        <f>IF($A816="","",IF($D816="V01",cad!$C$24,IF($D816="V02",cad!$D$24,cad!$E$24)))</f>
        <v/>
      </c>
      <c r="I816" t="str">
        <f>IF($A816="","",IF($D816="V01",cad!$C$32,IF($D816="V02",cad!$D$32,cad!$E$32)))</f>
        <v/>
      </c>
      <c r="J816" t="str">
        <f>IF($A816="","",IF($D816="V01",cad!$C$33,IF($D816="V02",cad!$D$33,cad!$E$33)))</f>
        <v/>
      </c>
      <c r="K816" t="str">
        <f>IF($A816="","",IF($D816="V01",cad!$C$34,IF($D816="V02",cad!$D$34,cad!$E$34)))</f>
        <v/>
      </c>
      <c r="L816" t="str">
        <f>IF($A816="","",IF($D816="V01",cad!$C$35,IF($D816="V02",cad!$D$35,cad!$E$35)))</f>
        <v/>
      </c>
      <c r="M816" t="str">
        <f>IF($A816="","",IF($D816="V01",cad!$C$36,IF($D816="V02",cad!$D$36,cad!$E$36)))</f>
        <v/>
      </c>
      <c r="N816" t="str">
        <f t="shared" si="49"/>
        <v/>
      </c>
      <c r="O816" t="str">
        <f t="shared" si="50"/>
        <v/>
      </c>
      <c r="P816" t="str">
        <f>IF($A816="","",IF($E816=1,$F816*$O816,PNL!G816))</f>
        <v/>
      </c>
      <c r="T816" t="str">
        <f t="shared" si="51"/>
        <v/>
      </c>
    </row>
    <row r="817" spans="1:20" x14ac:dyDescent="0.45">
      <c r="A817" t="str">
        <f>IF(PNL!A817="","",PNL!A817)</f>
        <v/>
      </c>
      <c r="B817" t="str">
        <f>IF(PNL!B817="","",PNL!B817)</f>
        <v/>
      </c>
      <c r="C817" t="str">
        <f>IF(PNL!C817="","",PNL!C817)</f>
        <v/>
      </c>
      <c r="D817" t="str">
        <f>IF(PNL!D817="","",PNL!D817)</f>
        <v/>
      </c>
      <c r="E817" t="str">
        <f t="shared" si="48"/>
        <v/>
      </c>
      <c r="F817" t="str">
        <f>IF($A817="","",IF($E817=1,SUMIFS(Compta!$F$1:$F$675,Compta!$A$1:$A$675,$A817,Compta!$B$1:$B$675,$B817,Compta!$C$1:$C$675,"2026"),0))</f>
        <v/>
      </c>
      <c r="G817" t="str">
        <f>IF($A817="","",IF($D817="V01",cad!$C$23,IF($D817="V02",cad!$D$23,cad!$E$23)))</f>
        <v/>
      </c>
      <c r="H817" t="str">
        <f>IF($A817="","",IF($D817="V01",cad!$C$24,IF($D817="V02",cad!$D$24,cad!$E$24)))</f>
        <v/>
      </c>
      <c r="I817" t="str">
        <f>IF($A817="","",IF($D817="V01",cad!$C$32,IF($D817="V02",cad!$D$32,cad!$E$32)))</f>
        <v/>
      </c>
      <c r="J817" t="str">
        <f>IF($A817="","",IF($D817="V01",cad!$C$33,IF($D817="V02",cad!$D$33,cad!$E$33)))</f>
        <v/>
      </c>
      <c r="K817" t="str">
        <f>IF($A817="","",IF($D817="V01",cad!$C$34,IF($D817="V02",cad!$D$34,cad!$E$34)))</f>
        <v/>
      </c>
      <c r="L817" t="str">
        <f>IF($A817="","",IF($D817="V01",cad!$C$35,IF($D817="V02",cad!$D$35,cad!$E$35)))</f>
        <v/>
      </c>
      <c r="M817" t="str">
        <f>IF($A817="","",IF($D817="V01",cad!$C$36,IF($D817="V02",cad!$D$36,cad!$E$36)))</f>
        <v/>
      </c>
      <c r="N817" t="str">
        <f t="shared" si="49"/>
        <v/>
      </c>
      <c r="O817" t="str">
        <f t="shared" si="50"/>
        <v/>
      </c>
      <c r="P817" t="str">
        <f>IF($A817="","",IF($E817=1,$F817*$O817,PNL!G817))</f>
        <v/>
      </c>
      <c r="T817" t="str">
        <f t="shared" si="51"/>
        <v/>
      </c>
    </row>
    <row r="818" spans="1:20" x14ac:dyDescent="0.45">
      <c r="A818" t="str">
        <f>IF(PNL!A818="","",PNL!A818)</f>
        <v/>
      </c>
      <c r="B818" t="str">
        <f>IF(PNL!B818="","",PNL!B818)</f>
        <v/>
      </c>
      <c r="C818" t="str">
        <f>IF(PNL!C818="","",PNL!C818)</f>
        <v/>
      </c>
      <c r="D818" t="str">
        <f>IF(PNL!D818="","",PNL!D818)</f>
        <v/>
      </c>
      <c r="E818" t="str">
        <f t="shared" si="48"/>
        <v/>
      </c>
      <c r="F818" t="str">
        <f>IF($A818="","",IF($E818=1,SUMIFS(Compta!$F$1:$F$675,Compta!$A$1:$A$675,$A818,Compta!$B$1:$B$675,$B818,Compta!$C$1:$C$675,"2026"),0))</f>
        <v/>
      </c>
      <c r="G818" t="str">
        <f>IF($A818="","",IF($D818="V01",cad!$C$23,IF($D818="V02",cad!$D$23,cad!$E$23)))</f>
        <v/>
      </c>
      <c r="H818" t="str">
        <f>IF($A818="","",IF($D818="V01",cad!$C$24,IF($D818="V02",cad!$D$24,cad!$E$24)))</f>
        <v/>
      </c>
      <c r="I818" t="str">
        <f>IF($A818="","",IF($D818="V01",cad!$C$32,IF($D818="V02",cad!$D$32,cad!$E$32)))</f>
        <v/>
      </c>
      <c r="J818" t="str">
        <f>IF($A818="","",IF($D818="V01",cad!$C$33,IF($D818="V02",cad!$D$33,cad!$E$33)))</f>
        <v/>
      </c>
      <c r="K818" t="str">
        <f>IF($A818="","",IF($D818="V01",cad!$C$34,IF($D818="V02",cad!$D$34,cad!$E$34)))</f>
        <v/>
      </c>
      <c r="L818" t="str">
        <f>IF($A818="","",IF($D818="V01",cad!$C$35,IF($D818="V02",cad!$D$35,cad!$E$35)))</f>
        <v/>
      </c>
      <c r="M818" t="str">
        <f>IF($A818="","",IF($D818="V01",cad!$C$36,IF($D818="V02",cad!$D$36,cad!$E$36)))</f>
        <v/>
      </c>
      <c r="N818" t="str">
        <f t="shared" si="49"/>
        <v/>
      </c>
      <c r="O818" t="str">
        <f t="shared" si="50"/>
        <v/>
      </c>
      <c r="P818" t="str">
        <f>IF($A818="","",IF($E818=1,$F818*$O818,PNL!G818))</f>
        <v/>
      </c>
      <c r="T818" t="str">
        <f t="shared" si="51"/>
        <v/>
      </c>
    </row>
    <row r="819" spans="1:20" x14ac:dyDescent="0.45">
      <c r="A819" t="str">
        <f>IF(PNL!A819="","",PNL!A819)</f>
        <v/>
      </c>
      <c r="B819" t="str">
        <f>IF(PNL!B819="","",PNL!B819)</f>
        <v/>
      </c>
      <c r="C819" t="str">
        <f>IF(PNL!C819="","",PNL!C819)</f>
        <v/>
      </c>
      <c r="D819" t="str">
        <f>IF(PNL!D819="","",PNL!D819)</f>
        <v/>
      </c>
      <c r="E819" t="str">
        <f t="shared" si="48"/>
        <v/>
      </c>
      <c r="F819" t="str">
        <f>IF($A819="","",IF($E819=1,SUMIFS(Compta!$F$1:$F$675,Compta!$A$1:$A$675,$A819,Compta!$B$1:$B$675,$B819,Compta!$C$1:$C$675,"2026"),0))</f>
        <v/>
      </c>
      <c r="G819" t="str">
        <f>IF($A819="","",IF($D819="V01",cad!$C$23,IF($D819="V02",cad!$D$23,cad!$E$23)))</f>
        <v/>
      </c>
      <c r="H819" t="str">
        <f>IF($A819="","",IF($D819="V01",cad!$C$24,IF($D819="V02",cad!$D$24,cad!$E$24)))</f>
        <v/>
      </c>
      <c r="I819" t="str">
        <f>IF($A819="","",IF($D819="V01",cad!$C$32,IF($D819="V02",cad!$D$32,cad!$E$32)))</f>
        <v/>
      </c>
      <c r="J819" t="str">
        <f>IF($A819="","",IF($D819="V01",cad!$C$33,IF($D819="V02",cad!$D$33,cad!$E$33)))</f>
        <v/>
      </c>
      <c r="K819" t="str">
        <f>IF($A819="","",IF($D819="V01",cad!$C$34,IF($D819="V02",cad!$D$34,cad!$E$34)))</f>
        <v/>
      </c>
      <c r="L819" t="str">
        <f>IF($A819="","",IF($D819="V01",cad!$C$35,IF($D819="V02",cad!$D$35,cad!$E$35)))</f>
        <v/>
      </c>
      <c r="M819" t="str">
        <f>IF($A819="","",IF($D819="V01",cad!$C$36,IF($D819="V02",cad!$D$36,cad!$E$36)))</f>
        <v/>
      </c>
      <c r="N819" t="str">
        <f t="shared" si="49"/>
        <v/>
      </c>
      <c r="O819" t="str">
        <f t="shared" si="50"/>
        <v/>
      </c>
      <c r="P819" t="str">
        <f>IF($A819="","",IF($E819=1,$F819*$O819,PNL!G819))</f>
        <v/>
      </c>
      <c r="T819" t="str">
        <f t="shared" si="51"/>
        <v/>
      </c>
    </row>
    <row r="820" spans="1:20" x14ac:dyDescent="0.45">
      <c r="A820" t="str">
        <f>IF(PNL!A820="","",PNL!A820)</f>
        <v/>
      </c>
      <c r="B820" t="str">
        <f>IF(PNL!B820="","",PNL!B820)</f>
        <v/>
      </c>
      <c r="C820" t="str">
        <f>IF(PNL!C820="","",PNL!C820)</f>
        <v/>
      </c>
      <c r="D820" t="str">
        <f>IF(PNL!D820="","",PNL!D820)</f>
        <v/>
      </c>
      <c r="E820" t="str">
        <f t="shared" si="48"/>
        <v/>
      </c>
      <c r="F820" t="str">
        <f>IF($A820="","",IF($E820=1,SUMIFS(Compta!$F$1:$F$675,Compta!$A$1:$A$675,$A820,Compta!$B$1:$B$675,$B820,Compta!$C$1:$C$675,"2026"),0))</f>
        <v/>
      </c>
      <c r="G820" t="str">
        <f>IF($A820="","",IF($D820="V01",cad!$C$23,IF($D820="V02",cad!$D$23,cad!$E$23)))</f>
        <v/>
      </c>
      <c r="H820" t="str">
        <f>IF($A820="","",IF($D820="V01",cad!$C$24,IF($D820="V02",cad!$D$24,cad!$E$24)))</f>
        <v/>
      </c>
      <c r="I820" t="str">
        <f>IF($A820="","",IF($D820="V01",cad!$C$32,IF($D820="V02",cad!$D$32,cad!$E$32)))</f>
        <v/>
      </c>
      <c r="J820" t="str">
        <f>IF($A820="","",IF($D820="V01",cad!$C$33,IF($D820="V02",cad!$D$33,cad!$E$33)))</f>
        <v/>
      </c>
      <c r="K820" t="str">
        <f>IF($A820="","",IF($D820="V01",cad!$C$34,IF($D820="V02",cad!$D$34,cad!$E$34)))</f>
        <v/>
      </c>
      <c r="L820" t="str">
        <f>IF($A820="","",IF($D820="V01",cad!$C$35,IF($D820="V02",cad!$D$35,cad!$E$35)))</f>
        <v/>
      </c>
      <c r="M820" t="str">
        <f>IF($A820="","",IF($D820="V01",cad!$C$36,IF($D820="V02",cad!$D$36,cad!$E$36)))</f>
        <v/>
      </c>
      <c r="N820" t="str">
        <f t="shared" si="49"/>
        <v/>
      </c>
      <c r="O820" t="str">
        <f t="shared" si="50"/>
        <v/>
      </c>
      <c r="P820" t="str">
        <f>IF($A820="","",IF($E820=1,$F820*$O820,PNL!G820))</f>
        <v/>
      </c>
      <c r="T820" t="str">
        <f t="shared" si="51"/>
        <v/>
      </c>
    </row>
    <row r="821" spans="1:20" x14ac:dyDescent="0.45">
      <c r="A821" t="str">
        <f>IF(PNL!A821="","",PNL!A821)</f>
        <v/>
      </c>
      <c r="B821" t="str">
        <f>IF(PNL!B821="","",PNL!B821)</f>
        <v/>
      </c>
      <c r="C821" t="str">
        <f>IF(PNL!C821="","",PNL!C821)</f>
        <v/>
      </c>
      <c r="D821" t="str">
        <f>IF(PNL!D821="","",PNL!D821)</f>
        <v/>
      </c>
      <c r="E821" t="str">
        <f t="shared" si="48"/>
        <v/>
      </c>
      <c r="F821" t="str">
        <f>IF($A821="","",IF($E821=1,SUMIFS(Compta!$F$1:$F$675,Compta!$A$1:$A$675,$A821,Compta!$B$1:$B$675,$B821,Compta!$C$1:$C$675,"2026"),0))</f>
        <v/>
      </c>
      <c r="G821" t="str">
        <f>IF($A821="","",IF($D821="V01",cad!$C$23,IF($D821="V02",cad!$D$23,cad!$E$23)))</f>
        <v/>
      </c>
      <c r="H821" t="str">
        <f>IF($A821="","",IF($D821="V01",cad!$C$24,IF($D821="V02",cad!$D$24,cad!$E$24)))</f>
        <v/>
      </c>
      <c r="I821" t="str">
        <f>IF($A821="","",IF($D821="V01",cad!$C$32,IF($D821="V02",cad!$D$32,cad!$E$32)))</f>
        <v/>
      </c>
      <c r="J821" t="str">
        <f>IF($A821="","",IF($D821="V01",cad!$C$33,IF($D821="V02",cad!$D$33,cad!$E$33)))</f>
        <v/>
      </c>
      <c r="K821" t="str">
        <f>IF($A821="","",IF($D821="V01",cad!$C$34,IF($D821="V02",cad!$D$34,cad!$E$34)))</f>
        <v/>
      </c>
      <c r="L821" t="str">
        <f>IF($A821="","",IF($D821="V01",cad!$C$35,IF($D821="V02",cad!$D$35,cad!$E$35)))</f>
        <v/>
      </c>
      <c r="M821" t="str">
        <f>IF($A821="","",IF($D821="V01",cad!$C$36,IF($D821="V02",cad!$D$36,cad!$E$36)))</f>
        <v/>
      </c>
      <c r="N821" t="str">
        <f t="shared" si="49"/>
        <v/>
      </c>
      <c r="O821" t="str">
        <f t="shared" si="50"/>
        <v/>
      </c>
      <c r="P821" t="str">
        <f>IF($A821="","",IF($E821=1,$F821*$O821,PNL!G821))</f>
        <v/>
      </c>
      <c r="T821" t="str">
        <f t="shared" si="51"/>
        <v/>
      </c>
    </row>
    <row r="822" spans="1:20" x14ac:dyDescent="0.45">
      <c r="A822" t="str">
        <f>IF(PNL!A822="","",PNL!A822)</f>
        <v/>
      </c>
      <c r="B822" t="str">
        <f>IF(PNL!B822="","",PNL!B822)</f>
        <v/>
      </c>
      <c r="C822" t="str">
        <f>IF(PNL!C822="","",PNL!C822)</f>
        <v/>
      </c>
      <c r="D822" t="str">
        <f>IF(PNL!D822="","",PNL!D822)</f>
        <v/>
      </c>
      <c r="E822" t="str">
        <f t="shared" si="48"/>
        <v/>
      </c>
      <c r="F822" t="str">
        <f>IF($A822="","",IF($E822=1,SUMIFS(Compta!$F$1:$F$675,Compta!$A$1:$A$675,$A822,Compta!$B$1:$B$675,$B822,Compta!$C$1:$C$675,"2026"),0))</f>
        <v/>
      </c>
      <c r="G822" t="str">
        <f>IF($A822="","",IF($D822="V01",cad!$C$23,IF($D822="V02",cad!$D$23,cad!$E$23)))</f>
        <v/>
      </c>
      <c r="H822" t="str">
        <f>IF($A822="","",IF($D822="V01",cad!$C$24,IF($D822="V02",cad!$D$24,cad!$E$24)))</f>
        <v/>
      </c>
      <c r="I822" t="str">
        <f>IF($A822="","",IF($D822="V01",cad!$C$32,IF($D822="V02",cad!$D$32,cad!$E$32)))</f>
        <v/>
      </c>
      <c r="J822" t="str">
        <f>IF($A822="","",IF($D822="V01",cad!$C$33,IF($D822="V02",cad!$D$33,cad!$E$33)))</f>
        <v/>
      </c>
      <c r="K822" t="str">
        <f>IF($A822="","",IF($D822="V01",cad!$C$34,IF($D822="V02",cad!$D$34,cad!$E$34)))</f>
        <v/>
      </c>
      <c r="L822" t="str">
        <f>IF($A822="","",IF($D822="V01",cad!$C$35,IF($D822="V02",cad!$D$35,cad!$E$35)))</f>
        <v/>
      </c>
      <c r="M822" t="str">
        <f>IF($A822="","",IF($D822="V01",cad!$C$36,IF($D822="V02",cad!$D$36,cad!$E$36)))</f>
        <v/>
      </c>
      <c r="N822" t="str">
        <f t="shared" si="49"/>
        <v/>
      </c>
      <c r="O822" t="str">
        <f t="shared" si="50"/>
        <v/>
      </c>
      <c r="P822" t="str">
        <f>IF($A822="","",IF($E822=1,$F822*$O822,PNL!G822))</f>
        <v/>
      </c>
      <c r="T822" t="str">
        <f t="shared" si="51"/>
        <v/>
      </c>
    </row>
    <row r="823" spans="1:20" x14ac:dyDescent="0.45">
      <c r="A823" t="str">
        <f>IF(PNL!A823="","",PNL!A823)</f>
        <v/>
      </c>
      <c r="B823" t="str">
        <f>IF(PNL!B823="","",PNL!B823)</f>
        <v/>
      </c>
      <c r="C823" t="str">
        <f>IF(PNL!C823="","",PNL!C823)</f>
        <v/>
      </c>
      <c r="D823" t="str">
        <f>IF(PNL!D823="","",PNL!D823)</f>
        <v/>
      </c>
      <c r="E823" t="str">
        <f t="shared" si="48"/>
        <v/>
      </c>
      <c r="F823" t="str">
        <f>IF($A823="","",IF($E823=1,SUMIFS(Compta!$F$1:$F$675,Compta!$A$1:$A$675,$A823,Compta!$B$1:$B$675,$B823,Compta!$C$1:$C$675,"2026"),0))</f>
        <v/>
      </c>
      <c r="G823" t="str">
        <f>IF($A823="","",IF($D823="V01",cad!$C$23,IF($D823="V02",cad!$D$23,cad!$E$23)))</f>
        <v/>
      </c>
      <c r="H823" t="str">
        <f>IF($A823="","",IF($D823="V01",cad!$C$24,IF($D823="V02",cad!$D$24,cad!$E$24)))</f>
        <v/>
      </c>
      <c r="I823" t="str">
        <f>IF($A823="","",IF($D823="V01",cad!$C$32,IF($D823="V02",cad!$D$32,cad!$E$32)))</f>
        <v/>
      </c>
      <c r="J823" t="str">
        <f>IF($A823="","",IF($D823="V01",cad!$C$33,IF($D823="V02",cad!$D$33,cad!$E$33)))</f>
        <v/>
      </c>
      <c r="K823" t="str">
        <f>IF($A823="","",IF($D823="V01",cad!$C$34,IF($D823="V02",cad!$D$34,cad!$E$34)))</f>
        <v/>
      </c>
      <c r="L823" t="str">
        <f>IF($A823="","",IF($D823="V01",cad!$C$35,IF($D823="V02",cad!$D$35,cad!$E$35)))</f>
        <v/>
      </c>
      <c r="M823" t="str">
        <f>IF($A823="","",IF($D823="V01",cad!$C$36,IF($D823="V02",cad!$D$36,cad!$E$36)))</f>
        <v/>
      </c>
      <c r="N823" t="str">
        <f t="shared" si="49"/>
        <v/>
      </c>
      <c r="O823" t="str">
        <f t="shared" si="50"/>
        <v/>
      </c>
      <c r="P823" t="str">
        <f>IF($A823="","",IF($E823=1,$F823*$O823,PNL!G823))</f>
        <v/>
      </c>
      <c r="T823" t="str">
        <f t="shared" si="51"/>
        <v/>
      </c>
    </row>
    <row r="824" spans="1:20" x14ac:dyDescent="0.45">
      <c r="A824" t="str">
        <f>IF(PNL!A824="","",PNL!A824)</f>
        <v/>
      </c>
      <c r="B824" t="str">
        <f>IF(PNL!B824="","",PNL!B824)</f>
        <v/>
      </c>
      <c r="C824" t="str">
        <f>IF(PNL!C824="","",PNL!C824)</f>
        <v/>
      </c>
      <c r="D824" t="str">
        <f>IF(PNL!D824="","",PNL!D824)</f>
        <v/>
      </c>
      <c r="E824" t="str">
        <f t="shared" si="48"/>
        <v/>
      </c>
      <c r="F824" t="str">
        <f>IF($A824="","",IF($E824=1,SUMIFS(Compta!$F$1:$F$675,Compta!$A$1:$A$675,$A824,Compta!$B$1:$B$675,$B824,Compta!$C$1:$C$675,"2026"),0))</f>
        <v/>
      </c>
      <c r="G824" t="str">
        <f>IF($A824="","",IF($D824="V01",cad!$C$23,IF($D824="V02",cad!$D$23,cad!$E$23)))</f>
        <v/>
      </c>
      <c r="H824" t="str">
        <f>IF($A824="","",IF($D824="V01",cad!$C$24,IF($D824="V02",cad!$D$24,cad!$E$24)))</f>
        <v/>
      </c>
      <c r="I824" t="str">
        <f>IF($A824="","",IF($D824="V01",cad!$C$32,IF($D824="V02",cad!$D$32,cad!$E$32)))</f>
        <v/>
      </c>
      <c r="J824" t="str">
        <f>IF($A824="","",IF($D824="V01",cad!$C$33,IF($D824="V02",cad!$D$33,cad!$E$33)))</f>
        <v/>
      </c>
      <c r="K824" t="str">
        <f>IF($A824="","",IF($D824="V01",cad!$C$34,IF($D824="V02",cad!$D$34,cad!$E$34)))</f>
        <v/>
      </c>
      <c r="L824" t="str">
        <f>IF($A824="","",IF($D824="V01",cad!$C$35,IF($D824="V02",cad!$D$35,cad!$E$35)))</f>
        <v/>
      </c>
      <c r="M824" t="str">
        <f>IF($A824="","",IF($D824="V01",cad!$C$36,IF($D824="V02",cad!$D$36,cad!$E$36)))</f>
        <v/>
      </c>
      <c r="N824" t="str">
        <f t="shared" si="49"/>
        <v/>
      </c>
      <c r="O824" t="str">
        <f t="shared" si="50"/>
        <v/>
      </c>
      <c r="P824" t="str">
        <f>IF($A824="","",IF($E824=1,$F824*$O824,PNL!G824))</f>
        <v/>
      </c>
      <c r="T824" t="str">
        <f t="shared" si="51"/>
        <v/>
      </c>
    </row>
    <row r="825" spans="1:20" x14ac:dyDescent="0.45">
      <c r="A825" t="str">
        <f>IF(PNL!A825="","",PNL!A825)</f>
        <v/>
      </c>
      <c r="B825" t="str">
        <f>IF(PNL!B825="","",PNL!B825)</f>
        <v/>
      </c>
      <c r="C825" t="str">
        <f>IF(PNL!C825="","",PNL!C825)</f>
        <v/>
      </c>
      <c r="D825" t="str">
        <f>IF(PNL!D825="","",PNL!D825)</f>
        <v/>
      </c>
      <c r="E825" t="str">
        <f t="shared" si="48"/>
        <v/>
      </c>
      <c r="F825" t="str">
        <f>IF($A825="","",IF($E825=1,SUMIFS(Compta!$F$1:$F$675,Compta!$A$1:$A$675,$A825,Compta!$B$1:$B$675,$B825,Compta!$C$1:$C$675,"2026"),0))</f>
        <v/>
      </c>
      <c r="G825" t="str">
        <f>IF($A825="","",IF($D825="V01",cad!$C$23,IF($D825="V02",cad!$D$23,cad!$E$23)))</f>
        <v/>
      </c>
      <c r="H825" t="str">
        <f>IF($A825="","",IF($D825="V01",cad!$C$24,IF($D825="V02",cad!$D$24,cad!$E$24)))</f>
        <v/>
      </c>
      <c r="I825" t="str">
        <f>IF($A825="","",IF($D825="V01",cad!$C$32,IF($D825="V02",cad!$D$32,cad!$E$32)))</f>
        <v/>
      </c>
      <c r="J825" t="str">
        <f>IF($A825="","",IF($D825="V01",cad!$C$33,IF($D825="V02",cad!$D$33,cad!$E$33)))</f>
        <v/>
      </c>
      <c r="K825" t="str">
        <f>IF($A825="","",IF($D825="V01",cad!$C$34,IF($D825="V02",cad!$D$34,cad!$E$34)))</f>
        <v/>
      </c>
      <c r="L825" t="str">
        <f>IF($A825="","",IF($D825="V01",cad!$C$35,IF($D825="V02",cad!$D$35,cad!$E$35)))</f>
        <v/>
      </c>
      <c r="M825" t="str">
        <f>IF($A825="","",IF($D825="V01",cad!$C$36,IF($D825="V02",cad!$D$36,cad!$E$36)))</f>
        <v/>
      </c>
      <c r="N825" t="str">
        <f t="shared" si="49"/>
        <v/>
      </c>
      <c r="O825" t="str">
        <f t="shared" si="50"/>
        <v/>
      </c>
      <c r="P825" t="str">
        <f>IF($A825="","",IF($E825=1,$F825*$O825,PNL!G825))</f>
        <v/>
      </c>
      <c r="T825" t="str">
        <f t="shared" si="51"/>
        <v/>
      </c>
    </row>
    <row r="826" spans="1:20" x14ac:dyDescent="0.45">
      <c r="A826" t="str">
        <f>IF(PNL!A826="","",PNL!A826)</f>
        <v/>
      </c>
      <c r="B826" t="str">
        <f>IF(PNL!B826="","",PNL!B826)</f>
        <v/>
      </c>
      <c r="C826" t="str">
        <f>IF(PNL!C826="","",PNL!C826)</f>
        <v/>
      </c>
      <c r="D826" t="str">
        <f>IF(PNL!D826="","",PNL!D826)</f>
        <v/>
      </c>
      <c r="E826" t="str">
        <f t="shared" si="48"/>
        <v/>
      </c>
      <c r="F826" t="str">
        <f>IF($A826="","",IF($E826=1,SUMIFS(Compta!$F$1:$F$675,Compta!$A$1:$A$675,$A826,Compta!$B$1:$B$675,$B826,Compta!$C$1:$C$675,"2026"),0))</f>
        <v/>
      </c>
      <c r="G826" t="str">
        <f>IF($A826="","",IF($D826="V01",cad!$C$23,IF($D826="V02",cad!$D$23,cad!$E$23)))</f>
        <v/>
      </c>
      <c r="H826" t="str">
        <f>IF($A826="","",IF($D826="V01",cad!$C$24,IF($D826="V02",cad!$D$24,cad!$E$24)))</f>
        <v/>
      </c>
      <c r="I826" t="str">
        <f>IF($A826="","",IF($D826="V01",cad!$C$32,IF($D826="V02",cad!$D$32,cad!$E$32)))</f>
        <v/>
      </c>
      <c r="J826" t="str">
        <f>IF($A826="","",IF($D826="V01",cad!$C$33,IF($D826="V02",cad!$D$33,cad!$E$33)))</f>
        <v/>
      </c>
      <c r="K826" t="str">
        <f>IF($A826="","",IF($D826="V01",cad!$C$34,IF($D826="V02",cad!$D$34,cad!$E$34)))</f>
        <v/>
      </c>
      <c r="L826" t="str">
        <f>IF($A826="","",IF($D826="V01",cad!$C$35,IF($D826="V02",cad!$D$35,cad!$E$35)))</f>
        <v/>
      </c>
      <c r="M826" t="str">
        <f>IF($A826="","",IF($D826="V01",cad!$C$36,IF($D826="V02",cad!$D$36,cad!$E$36)))</f>
        <v/>
      </c>
      <c r="N826" t="str">
        <f t="shared" si="49"/>
        <v/>
      </c>
      <c r="O826" t="str">
        <f t="shared" si="50"/>
        <v/>
      </c>
      <c r="P826" t="str">
        <f>IF($A826="","",IF($E826=1,$F826*$O826,PNL!G826))</f>
        <v/>
      </c>
      <c r="T826" t="str">
        <f t="shared" si="51"/>
        <v/>
      </c>
    </row>
    <row r="827" spans="1:20" x14ac:dyDescent="0.45">
      <c r="A827" t="str">
        <f>IF(PNL!A827="","",PNL!A827)</f>
        <v/>
      </c>
      <c r="B827" t="str">
        <f>IF(PNL!B827="","",PNL!B827)</f>
        <v/>
      </c>
      <c r="C827" t="str">
        <f>IF(PNL!C827="","",PNL!C827)</f>
        <v/>
      </c>
      <c r="D827" t="str">
        <f>IF(PNL!D827="","",PNL!D827)</f>
        <v/>
      </c>
      <c r="E827" t="str">
        <f t="shared" si="48"/>
        <v/>
      </c>
      <c r="F827" t="str">
        <f>IF($A827="","",IF($E827=1,SUMIFS(Compta!$F$1:$F$675,Compta!$A$1:$A$675,$A827,Compta!$B$1:$B$675,$B827,Compta!$C$1:$C$675,"2026"),0))</f>
        <v/>
      </c>
      <c r="G827" t="str">
        <f>IF($A827="","",IF($D827="V01",cad!$C$23,IF($D827="V02",cad!$D$23,cad!$E$23)))</f>
        <v/>
      </c>
      <c r="H827" t="str">
        <f>IF($A827="","",IF($D827="V01",cad!$C$24,IF($D827="V02",cad!$D$24,cad!$E$24)))</f>
        <v/>
      </c>
      <c r="I827" t="str">
        <f>IF($A827="","",IF($D827="V01",cad!$C$32,IF($D827="V02",cad!$D$32,cad!$E$32)))</f>
        <v/>
      </c>
      <c r="J827" t="str">
        <f>IF($A827="","",IF($D827="V01",cad!$C$33,IF($D827="V02",cad!$D$33,cad!$E$33)))</f>
        <v/>
      </c>
      <c r="K827" t="str">
        <f>IF($A827="","",IF($D827="V01",cad!$C$34,IF($D827="V02",cad!$D$34,cad!$E$34)))</f>
        <v/>
      </c>
      <c r="L827" t="str">
        <f>IF($A827="","",IF($D827="V01",cad!$C$35,IF($D827="V02",cad!$D$35,cad!$E$35)))</f>
        <v/>
      </c>
      <c r="M827" t="str">
        <f>IF($A827="","",IF($D827="V01",cad!$C$36,IF($D827="V02",cad!$D$36,cad!$E$36)))</f>
        <v/>
      </c>
      <c r="N827" t="str">
        <f t="shared" si="49"/>
        <v/>
      </c>
      <c r="O827" t="str">
        <f t="shared" si="50"/>
        <v/>
      </c>
      <c r="P827" t="str">
        <f>IF($A827="","",IF($E827=1,$F827*$O827,PNL!G827))</f>
        <v/>
      </c>
      <c r="T827" t="str">
        <f t="shared" si="51"/>
        <v/>
      </c>
    </row>
    <row r="828" spans="1:20" x14ac:dyDescent="0.45">
      <c r="A828" t="str">
        <f>IF(PNL!A828="","",PNL!A828)</f>
        <v/>
      </c>
      <c r="B828" t="str">
        <f>IF(PNL!B828="","",PNL!B828)</f>
        <v/>
      </c>
      <c r="C828" t="str">
        <f>IF(PNL!C828="","",PNL!C828)</f>
        <v/>
      </c>
      <c r="D828" t="str">
        <f>IF(PNL!D828="","",PNL!D828)</f>
        <v/>
      </c>
      <c r="E828" t="str">
        <f t="shared" si="48"/>
        <v/>
      </c>
      <c r="F828" t="str">
        <f>IF($A828="","",IF($E828=1,SUMIFS(Compta!$F$1:$F$675,Compta!$A$1:$A$675,$A828,Compta!$B$1:$B$675,$B828,Compta!$C$1:$C$675,"2026"),0))</f>
        <v/>
      </c>
      <c r="G828" t="str">
        <f>IF($A828="","",IF($D828="V01",cad!$C$23,IF($D828="V02",cad!$D$23,cad!$E$23)))</f>
        <v/>
      </c>
      <c r="H828" t="str">
        <f>IF($A828="","",IF($D828="V01",cad!$C$24,IF($D828="V02",cad!$D$24,cad!$E$24)))</f>
        <v/>
      </c>
      <c r="I828" t="str">
        <f>IF($A828="","",IF($D828="V01",cad!$C$32,IF($D828="V02",cad!$D$32,cad!$E$32)))</f>
        <v/>
      </c>
      <c r="J828" t="str">
        <f>IF($A828="","",IF($D828="V01",cad!$C$33,IF($D828="V02",cad!$D$33,cad!$E$33)))</f>
        <v/>
      </c>
      <c r="K828" t="str">
        <f>IF($A828="","",IF($D828="V01",cad!$C$34,IF($D828="V02",cad!$D$34,cad!$E$34)))</f>
        <v/>
      </c>
      <c r="L828" t="str">
        <f>IF($A828="","",IF($D828="V01",cad!$C$35,IF($D828="V02",cad!$D$35,cad!$E$35)))</f>
        <v/>
      </c>
      <c r="M828" t="str">
        <f>IF($A828="","",IF($D828="V01",cad!$C$36,IF($D828="V02",cad!$D$36,cad!$E$36)))</f>
        <v/>
      </c>
      <c r="N828" t="str">
        <f t="shared" si="49"/>
        <v/>
      </c>
      <c r="O828" t="str">
        <f t="shared" si="50"/>
        <v/>
      </c>
      <c r="P828" t="str">
        <f>IF($A828="","",IF($E828=1,$F828*$O828,PNL!G828))</f>
        <v/>
      </c>
      <c r="T828" t="str">
        <f t="shared" si="51"/>
        <v/>
      </c>
    </row>
    <row r="829" spans="1:20" x14ac:dyDescent="0.45">
      <c r="A829" t="str">
        <f>IF(PNL!A829="","",PNL!A829)</f>
        <v/>
      </c>
      <c r="B829" t="str">
        <f>IF(PNL!B829="","",PNL!B829)</f>
        <v/>
      </c>
      <c r="C829" t="str">
        <f>IF(PNL!C829="","",PNL!C829)</f>
        <v/>
      </c>
      <c r="D829" t="str">
        <f>IF(PNL!D829="","",PNL!D829)</f>
        <v/>
      </c>
      <c r="E829" t="str">
        <f t="shared" si="48"/>
        <v/>
      </c>
      <c r="F829" t="str">
        <f>IF($A829="","",IF($E829=1,SUMIFS(Compta!$F$1:$F$675,Compta!$A$1:$A$675,$A829,Compta!$B$1:$B$675,$B829,Compta!$C$1:$C$675,"2026"),0))</f>
        <v/>
      </c>
      <c r="G829" t="str">
        <f>IF($A829="","",IF($D829="V01",cad!$C$23,IF($D829="V02",cad!$D$23,cad!$E$23)))</f>
        <v/>
      </c>
      <c r="H829" t="str">
        <f>IF($A829="","",IF($D829="V01",cad!$C$24,IF($D829="V02",cad!$D$24,cad!$E$24)))</f>
        <v/>
      </c>
      <c r="I829" t="str">
        <f>IF($A829="","",IF($D829="V01",cad!$C$32,IF($D829="V02",cad!$D$32,cad!$E$32)))</f>
        <v/>
      </c>
      <c r="J829" t="str">
        <f>IF($A829="","",IF($D829="V01",cad!$C$33,IF($D829="V02",cad!$D$33,cad!$E$33)))</f>
        <v/>
      </c>
      <c r="K829" t="str">
        <f>IF($A829="","",IF($D829="V01",cad!$C$34,IF($D829="V02",cad!$D$34,cad!$E$34)))</f>
        <v/>
      </c>
      <c r="L829" t="str">
        <f>IF($A829="","",IF($D829="V01",cad!$C$35,IF($D829="V02",cad!$D$35,cad!$E$35)))</f>
        <v/>
      </c>
      <c r="M829" t="str">
        <f>IF($A829="","",IF($D829="V01",cad!$C$36,IF($D829="V02",cad!$D$36,cad!$E$36)))</f>
        <v/>
      </c>
      <c r="N829" t="str">
        <f t="shared" si="49"/>
        <v/>
      </c>
      <c r="O829" t="str">
        <f t="shared" si="50"/>
        <v/>
      </c>
      <c r="P829" t="str">
        <f>IF($A829="","",IF($E829=1,$F829*$O829,PNL!G829))</f>
        <v/>
      </c>
      <c r="T829" t="str">
        <f t="shared" si="51"/>
        <v/>
      </c>
    </row>
    <row r="830" spans="1:20" x14ac:dyDescent="0.45">
      <c r="A830" t="str">
        <f>IF(PNL!A830="","",PNL!A830)</f>
        <v/>
      </c>
      <c r="B830" t="str">
        <f>IF(PNL!B830="","",PNL!B830)</f>
        <v/>
      </c>
      <c r="C830" t="str">
        <f>IF(PNL!C830="","",PNL!C830)</f>
        <v/>
      </c>
      <c r="D830" t="str">
        <f>IF(PNL!D830="","",PNL!D830)</f>
        <v/>
      </c>
      <c r="E830" t="str">
        <f t="shared" si="48"/>
        <v/>
      </c>
      <c r="F830" t="str">
        <f>IF($A830="","",IF($E830=1,SUMIFS(Compta!$F$1:$F$675,Compta!$A$1:$A$675,$A830,Compta!$B$1:$B$675,$B830,Compta!$C$1:$C$675,"2026"),0))</f>
        <v/>
      </c>
      <c r="G830" t="str">
        <f>IF($A830="","",IF($D830="V01",cad!$C$23,IF($D830="V02",cad!$D$23,cad!$E$23)))</f>
        <v/>
      </c>
      <c r="H830" t="str">
        <f>IF($A830="","",IF($D830="V01",cad!$C$24,IF($D830="V02",cad!$D$24,cad!$E$24)))</f>
        <v/>
      </c>
      <c r="I830" t="str">
        <f>IF($A830="","",IF($D830="V01",cad!$C$32,IF($D830="V02",cad!$D$32,cad!$E$32)))</f>
        <v/>
      </c>
      <c r="J830" t="str">
        <f>IF($A830="","",IF($D830="V01",cad!$C$33,IF($D830="V02",cad!$D$33,cad!$E$33)))</f>
        <v/>
      </c>
      <c r="K830" t="str">
        <f>IF($A830="","",IF($D830="V01",cad!$C$34,IF($D830="V02",cad!$D$34,cad!$E$34)))</f>
        <v/>
      </c>
      <c r="L830" t="str">
        <f>IF($A830="","",IF($D830="V01",cad!$C$35,IF($D830="V02",cad!$D$35,cad!$E$35)))</f>
        <v/>
      </c>
      <c r="M830" t="str">
        <f>IF($A830="","",IF($D830="V01",cad!$C$36,IF($D830="V02",cad!$D$36,cad!$E$36)))</f>
        <v/>
      </c>
      <c r="N830" t="str">
        <f t="shared" si="49"/>
        <v/>
      </c>
      <c r="O830" t="str">
        <f t="shared" si="50"/>
        <v/>
      </c>
      <c r="P830" t="str">
        <f>IF($A830="","",IF($E830=1,$F830*$O830,PNL!G830))</f>
        <v/>
      </c>
      <c r="T830" t="str">
        <f t="shared" si="51"/>
        <v/>
      </c>
    </row>
    <row r="831" spans="1:20" x14ac:dyDescent="0.45">
      <c r="A831" t="str">
        <f>IF(PNL!A831="","",PNL!A831)</f>
        <v/>
      </c>
      <c r="B831" t="str">
        <f>IF(PNL!B831="","",PNL!B831)</f>
        <v/>
      </c>
      <c r="C831" t="str">
        <f>IF(PNL!C831="","",PNL!C831)</f>
        <v/>
      </c>
      <c r="D831" t="str">
        <f>IF(PNL!D831="","",PNL!D831)</f>
        <v/>
      </c>
      <c r="E831" t="str">
        <f t="shared" si="48"/>
        <v/>
      </c>
      <c r="F831" t="str">
        <f>IF($A831="","",IF($E831=1,SUMIFS(Compta!$F$1:$F$675,Compta!$A$1:$A$675,$A831,Compta!$B$1:$B$675,$B831,Compta!$C$1:$C$675,"2026"),0))</f>
        <v/>
      </c>
      <c r="G831" t="str">
        <f>IF($A831="","",IF($D831="V01",cad!$C$23,IF($D831="V02",cad!$D$23,cad!$E$23)))</f>
        <v/>
      </c>
      <c r="H831" t="str">
        <f>IF($A831="","",IF($D831="V01",cad!$C$24,IF($D831="V02",cad!$D$24,cad!$E$24)))</f>
        <v/>
      </c>
      <c r="I831" t="str">
        <f>IF($A831="","",IF($D831="V01",cad!$C$32,IF($D831="V02",cad!$D$32,cad!$E$32)))</f>
        <v/>
      </c>
      <c r="J831" t="str">
        <f>IF($A831="","",IF($D831="V01",cad!$C$33,IF($D831="V02",cad!$D$33,cad!$E$33)))</f>
        <v/>
      </c>
      <c r="K831" t="str">
        <f>IF($A831="","",IF($D831="V01",cad!$C$34,IF($D831="V02",cad!$D$34,cad!$E$34)))</f>
        <v/>
      </c>
      <c r="L831" t="str">
        <f>IF($A831="","",IF($D831="V01",cad!$C$35,IF($D831="V02",cad!$D$35,cad!$E$35)))</f>
        <v/>
      </c>
      <c r="M831" t="str">
        <f>IF($A831="","",IF($D831="V01",cad!$C$36,IF($D831="V02",cad!$D$36,cad!$E$36)))</f>
        <v/>
      </c>
      <c r="N831" t="str">
        <f t="shared" si="49"/>
        <v/>
      </c>
      <c r="O831" t="str">
        <f t="shared" si="50"/>
        <v/>
      </c>
      <c r="P831" t="str">
        <f>IF($A831="","",IF($E831=1,$F831*$O831,PNL!G831))</f>
        <v/>
      </c>
      <c r="T831" t="str">
        <f t="shared" si="51"/>
        <v/>
      </c>
    </row>
    <row r="832" spans="1:20" x14ac:dyDescent="0.45">
      <c r="A832" t="str">
        <f>IF(PNL!A832="","",PNL!A832)</f>
        <v/>
      </c>
      <c r="B832" t="str">
        <f>IF(PNL!B832="","",PNL!B832)</f>
        <v/>
      </c>
      <c r="C832" t="str">
        <f>IF(PNL!C832="","",PNL!C832)</f>
        <v/>
      </c>
      <c r="D832" t="str">
        <f>IF(PNL!D832="","",PNL!D832)</f>
        <v/>
      </c>
      <c r="E832" t="str">
        <f t="shared" si="48"/>
        <v/>
      </c>
      <c r="F832" t="str">
        <f>IF($A832="","",IF($E832=1,SUMIFS(Compta!$F$1:$F$675,Compta!$A$1:$A$675,$A832,Compta!$B$1:$B$675,$B832,Compta!$C$1:$C$675,"2026"),0))</f>
        <v/>
      </c>
      <c r="G832" t="str">
        <f>IF($A832="","",IF($D832="V01",cad!$C$23,IF($D832="V02",cad!$D$23,cad!$E$23)))</f>
        <v/>
      </c>
      <c r="H832" t="str">
        <f>IF($A832="","",IF($D832="V01",cad!$C$24,IF($D832="V02",cad!$D$24,cad!$E$24)))</f>
        <v/>
      </c>
      <c r="I832" t="str">
        <f>IF($A832="","",IF($D832="V01",cad!$C$32,IF($D832="V02",cad!$D$32,cad!$E$32)))</f>
        <v/>
      </c>
      <c r="J832" t="str">
        <f>IF($A832="","",IF($D832="V01",cad!$C$33,IF($D832="V02",cad!$D$33,cad!$E$33)))</f>
        <v/>
      </c>
      <c r="K832" t="str">
        <f>IF($A832="","",IF($D832="V01",cad!$C$34,IF($D832="V02",cad!$D$34,cad!$E$34)))</f>
        <v/>
      </c>
      <c r="L832" t="str">
        <f>IF($A832="","",IF($D832="V01",cad!$C$35,IF($D832="V02",cad!$D$35,cad!$E$35)))</f>
        <v/>
      </c>
      <c r="M832" t="str">
        <f>IF($A832="","",IF($D832="V01",cad!$C$36,IF($D832="V02",cad!$D$36,cad!$E$36)))</f>
        <v/>
      </c>
      <c r="N832" t="str">
        <f t="shared" si="49"/>
        <v/>
      </c>
      <c r="O832" t="str">
        <f t="shared" si="50"/>
        <v/>
      </c>
      <c r="P832" t="str">
        <f>IF($A832="","",IF($E832=1,$F832*$O832,PNL!G832))</f>
        <v/>
      </c>
      <c r="T832" t="str">
        <f t="shared" si="51"/>
        <v/>
      </c>
    </row>
    <row r="833" spans="1:20" x14ac:dyDescent="0.45">
      <c r="A833" t="str">
        <f>IF(PNL!A833="","",PNL!A833)</f>
        <v/>
      </c>
      <c r="B833" t="str">
        <f>IF(PNL!B833="","",PNL!B833)</f>
        <v/>
      </c>
      <c r="C833" t="str">
        <f>IF(PNL!C833="","",PNL!C833)</f>
        <v/>
      </c>
      <c r="D833" t="str">
        <f>IF(PNL!D833="","",PNL!D833)</f>
        <v/>
      </c>
      <c r="E833" t="str">
        <f t="shared" si="48"/>
        <v/>
      </c>
      <c r="F833" t="str">
        <f>IF($A833="","",IF($E833=1,SUMIFS(Compta!$F$1:$F$675,Compta!$A$1:$A$675,$A833,Compta!$B$1:$B$675,$B833,Compta!$C$1:$C$675,"2026"),0))</f>
        <v/>
      </c>
      <c r="G833" t="str">
        <f>IF($A833="","",IF($D833="V01",cad!$C$23,IF($D833="V02",cad!$D$23,cad!$E$23)))</f>
        <v/>
      </c>
      <c r="H833" t="str">
        <f>IF($A833="","",IF($D833="V01",cad!$C$24,IF($D833="V02",cad!$D$24,cad!$E$24)))</f>
        <v/>
      </c>
      <c r="I833" t="str">
        <f>IF($A833="","",IF($D833="V01",cad!$C$32,IF($D833="V02",cad!$D$32,cad!$E$32)))</f>
        <v/>
      </c>
      <c r="J833" t="str">
        <f>IF($A833="","",IF($D833="V01",cad!$C$33,IF($D833="V02",cad!$D$33,cad!$E$33)))</f>
        <v/>
      </c>
      <c r="K833" t="str">
        <f>IF($A833="","",IF($D833="V01",cad!$C$34,IF($D833="V02",cad!$D$34,cad!$E$34)))</f>
        <v/>
      </c>
      <c r="L833" t="str">
        <f>IF($A833="","",IF($D833="V01",cad!$C$35,IF($D833="V02",cad!$D$35,cad!$E$35)))</f>
        <v/>
      </c>
      <c r="M833" t="str">
        <f>IF($A833="","",IF($D833="V01",cad!$C$36,IF($D833="V02",cad!$D$36,cad!$E$36)))</f>
        <v/>
      </c>
      <c r="N833" t="str">
        <f t="shared" si="49"/>
        <v/>
      </c>
      <c r="O833" t="str">
        <f t="shared" si="50"/>
        <v/>
      </c>
      <c r="P833" t="str">
        <f>IF($A833="","",IF($E833=1,$F833*$O833,PNL!G833))</f>
        <v/>
      </c>
      <c r="T833" t="str">
        <f t="shared" si="51"/>
        <v/>
      </c>
    </row>
    <row r="834" spans="1:20" x14ac:dyDescent="0.45">
      <c r="A834" t="str">
        <f>IF(PNL!A834="","",PNL!A834)</f>
        <v/>
      </c>
      <c r="B834" t="str">
        <f>IF(PNL!B834="","",PNL!B834)</f>
        <v/>
      </c>
      <c r="C834" t="str">
        <f>IF(PNL!C834="","",PNL!C834)</f>
        <v/>
      </c>
      <c r="D834" t="str">
        <f>IF(PNL!D834="","",PNL!D834)</f>
        <v/>
      </c>
      <c r="E834" t="str">
        <f t="shared" ref="E834:E897" si="52">IF($A834="","",IF(AND($C834="2027",OR($D834="V01",$D834="V02",$D834="V03")),1,0))</f>
        <v/>
      </c>
      <c r="F834" t="str">
        <f>IF($A834="","",IF($E834=1,SUMIFS(Compta!$F$1:$F$675,Compta!$A$1:$A$675,$A834,Compta!$B$1:$B$675,$B834,Compta!$C$1:$C$675,"2026"),0))</f>
        <v/>
      </c>
      <c r="G834" t="str">
        <f>IF($A834="","",IF($D834="V01",cad!$C$23,IF($D834="V02",cad!$D$23,cad!$E$23)))</f>
        <v/>
      </c>
      <c r="H834" t="str">
        <f>IF($A834="","",IF($D834="V01",cad!$C$24,IF($D834="V02",cad!$D$24,cad!$E$24)))</f>
        <v/>
      </c>
      <c r="I834" t="str">
        <f>IF($A834="","",IF($D834="V01",cad!$C$32,IF($D834="V02",cad!$D$32,cad!$E$32)))</f>
        <v/>
      </c>
      <c r="J834" t="str">
        <f>IF($A834="","",IF($D834="V01",cad!$C$33,IF($D834="V02",cad!$D$33,cad!$E$33)))</f>
        <v/>
      </c>
      <c r="K834" t="str">
        <f>IF($A834="","",IF($D834="V01",cad!$C$34,IF($D834="V02",cad!$D$34,cad!$E$34)))</f>
        <v/>
      </c>
      <c r="L834" t="str">
        <f>IF($A834="","",IF($D834="V01",cad!$C$35,IF($D834="V02",cad!$D$35,cad!$E$35)))</f>
        <v/>
      </c>
      <c r="M834" t="str">
        <f>IF($A834="","",IF($D834="V01",cad!$C$36,IF($D834="V02",cad!$D$36,cad!$E$36)))</f>
        <v/>
      </c>
      <c r="N834" t="str">
        <f t="shared" ref="N834:N897" si="53">IF($A834="","",IF($D834="V01",$R$2,IF($D834="V02",$R$3,$R$4)))</f>
        <v/>
      </c>
      <c r="O834" t="str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 t="str">
        <f>IF($A834="","",IF($E834=1,$F834*$O834,PNL!G834))</f>
        <v/>
      </c>
      <c r="T834" t="str">
        <f t="shared" ref="T834:T897" si="55">IF($A834="","",IF($E834=1,IF(OR($B834="7062",$B834="706",$B834="708"),$P834,IF(AND(LEFT($B834,1)="6",$B834&lt;&gt;"6811"),-$P834,0)),0))</f>
        <v/>
      </c>
    </row>
    <row r="835" spans="1:20" x14ac:dyDescent="0.45">
      <c r="A835" t="str">
        <f>IF(PNL!A835="","",PNL!A835)</f>
        <v/>
      </c>
      <c r="B835" t="str">
        <f>IF(PNL!B835="","",PNL!B835)</f>
        <v/>
      </c>
      <c r="C835" t="str">
        <f>IF(PNL!C835="","",PNL!C835)</f>
        <v/>
      </c>
      <c r="D835" t="str">
        <f>IF(PNL!D835="","",PNL!D835)</f>
        <v/>
      </c>
      <c r="E835" t="str">
        <f t="shared" si="52"/>
        <v/>
      </c>
      <c r="F835" t="str">
        <f>IF($A835="","",IF($E835=1,SUMIFS(Compta!$F$1:$F$675,Compta!$A$1:$A$675,$A835,Compta!$B$1:$B$675,$B835,Compta!$C$1:$C$675,"2026"),0))</f>
        <v/>
      </c>
      <c r="G835" t="str">
        <f>IF($A835="","",IF($D835="V01",cad!$C$23,IF($D835="V02",cad!$D$23,cad!$E$23)))</f>
        <v/>
      </c>
      <c r="H835" t="str">
        <f>IF($A835="","",IF($D835="V01",cad!$C$24,IF($D835="V02",cad!$D$24,cad!$E$24)))</f>
        <v/>
      </c>
      <c r="I835" t="str">
        <f>IF($A835="","",IF($D835="V01",cad!$C$32,IF($D835="V02",cad!$D$32,cad!$E$32)))</f>
        <v/>
      </c>
      <c r="J835" t="str">
        <f>IF($A835="","",IF($D835="V01",cad!$C$33,IF($D835="V02",cad!$D$33,cad!$E$33)))</f>
        <v/>
      </c>
      <c r="K835" t="str">
        <f>IF($A835="","",IF($D835="V01",cad!$C$34,IF($D835="V02",cad!$D$34,cad!$E$34)))</f>
        <v/>
      </c>
      <c r="L835" t="str">
        <f>IF($A835="","",IF($D835="V01",cad!$C$35,IF($D835="V02",cad!$D$35,cad!$E$35)))</f>
        <v/>
      </c>
      <c r="M835" t="str">
        <f>IF($A835="","",IF($D835="V01",cad!$C$36,IF($D835="V02",cad!$D$36,cad!$E$36)))</f>
        <v/>
      </c>
      <c r="N835" t="str">
        <f t="shared" si="53"/>
        <v/>
      </c>
      <c r="O835" t="str">
        <f t="shared" si="54"/>
        <v/>
      </c>
      <c r="P835" t="str">
        <f>IF($A835="","",IF($E835=1,$F835*$O835,PNL!G835))</f>
        <v/>
      </c>
      <c r="T835" t="str">
        <f t="shared" si="55"/>
        <v/>
      </c>
    </row>
    <row r="836" spans="1:20" x14ac:dyDescent="0.45">
      <c r="A836" t="str">
        <f>IF(PNL!A836="","",PNL!A836)</f>
        <v/>
      </c>
      <c r="B836" t="str">
        <f>IF(PNL!B836="","",PNL!B836)</f>
        <v/>
      </c>
      <c r="C836" t="str">
        <f>IF(PNL!C836="","",PNL!C836)</f>
        <v/>
      </c>
      <c r="D836" t="str">
        <f>IF(PNL!D836="","",PNL!D836)</f>
        <v/>
      </c>
      <c r="E836" t="str">
        <f t="shared" si="52"/>
        <v/>
      </c>
      <c r="F836" t="str">
        <f>IF($A836="","",IF($E836=1,SUMIFS(Compta!$F$1:$F$675,Compta!$A$1:$A$675,$A836,Compta!$B$1:$B$675,$B836,Compta!$C$1:$C$675,"2026"),0))</f>
        <v/>
      </c>
      <c r="G836" t="str">
        <f>IF($A836="","",IF($D836="V01",cad!$C$23,IF($D836="V02",cad!$D$23,cad!$E$23)))</f>
        <v/>
      </c>
      <c r="H836" t="str">
        <f>IF($A836="","",IF($D836="V01",cad!$C$24,IF($D836="V02",cad!$D$24,cad!$E$24)))</f>
        <v/>
      </c>
      <c r="I836" t="str">
        <f>IF($A836="","",IF($D836="V01",cad!$C$32,IF($D836="V02",cad!$D$32,cad!$E$32)))</f>
        <v/>
      </c>
      <c r="J836" t="str">
        <f>IF($A836="","",IF($D836="V01",cad!$C$33,IF($D836="V02",cad!$D$33,cad!$E$33)))</f>
        <v/>
      </c>
      <c r="K836" t="str">
        <f>IF($A836="","",IF($D836="V01",cad!$C$34,IF($D836="V02",cad!$D$34,cad!$E$34)))</f>
        <v/>
      </c>
      <c r="L836" t="str">
        <f>IF($A836="","",IF($D836="V01",cad!$C$35,IF($D836="V02",cad!$D$35,cad!$E$35)))</f>
        <v/>
      </c>
      <c r="M836" t="str">
        <f>IF($A836="","",IF($D836="V01",cad!$C$36,IF($D836="V02",cad!$D$36,cad!$E$36)))</f>
        <v/>
      </c>
      <c r="N836" t="str">
        <f t="shared" si="53"/>
        <v/>
      </c>
      <c r="O836" t="str">
        <f t="shared" si="54"/>
        <v/>
      </c>
      <c r="P836" t="str">
        <f>IF($A836="","",IF($E836=1,$F836*$O836,PNL!G836))</f>
        <v/>
      </c>
      <c r="T836" t="str">
        <f t="shared" si="55"/>
        <v/>
      </c>
    </row>
    <row r="837" spans="1:20" x14ac:dyDescent="0.45">
      <c r="A837" t="str">
        <f>IF(PNL!A837="","",PNL!A837)</f>
        <v/>
      </c>
      <c r="B837" t="str">
        <f>IF(PNL!B837="","",PNL!B837)</f>
        <v/>
      </c>
      <c r="C837" t="str">
        <f>IF(PNL!C837="","",PNL!C837)</f>
        <v/>
      </c>
      <c r="D837" t="str">
        <f>IF(PNL!D837="","",PNL!D837)</f>
        <v/>
      </c>
      <c r="E837" t="str">
        <f t="shared" si="52"/>
        <v/>
      </c>
      <c r="F837" t="str">
        <f>IF($A837="","",IF($E837=1,SUMIFS(Compta!$F$1:$F$675,Compta!$A$1:$A$675,$A837,Compta!$B$1:$B$675,$B837,Compta!$C$1:$C$675,"2026"),0))</f>
        <v/>
      </c>
      <c r="G837" t="str">
        <f>IF($A837="","",IF($D837="V01",cad!$C$23,IF($D837="V02",cad!$D$23,cad!$E$23)))</f>
        <v/>
      </c>
      <c r="H837" t="str">
        <f>IF($A837="","",IF($D837="V01",cad!$C$24,IF($D837="V02",cad!$D$24,cad!$E$24)))</f>
        <v/>
      </c>
      <c r="I837" t="str">
        <f>IF($A837="","",IF($D837="V01",cad!$C$32,IF($D837="V02",cad!$D$32,cad!$E$32)))</f>
        <v/>
      </c>
      <c r="J837" t="str">
        <f>IF($A837="","",IF($D837="V01",cad!$C$33,IF($D837="V02",cad!$D$33,cad!$E$33)))</f>
        <v/>
      </c>
      <c r="K837" t="str">
        <f>IF($A837="","",IF($D837="V01",cad!$C$34,IF($D837="V02",cad!$D$34,cad!$E$34)))</f>
        <v/>
      </c>
      <c r="L837" t="str">
        <f>IF($A837="","",IF($D837="V01",cad!$C$35,IF($D837="V02",cad!$D$35,cad!$E$35)))</f>
        <v/>
      </c>
      <c r="M837" t="str">
        <f>IF($A837="","",IF($D837="V01",cad!$C$36,IF($D837="V02",cad!$D$36,cad!$E$36)))</f>
        <v/>
      </c>
      <c r="N837" t="str">
        <f t="shared" si="53"/>
        <v/>
      </c>
      <c r="O837" t="str">
        <f t="shared" si="54"/>
        <v/>
      </c>
      <c r="P837" t="str">
        <f>IF($A837="","",IF($E837=1,$F837*$O837,PNL!G837))</f>
        <v/>
      </c>
      <c r="T837" t="str">
        <f t="shared" si="55"/>
        <v/>
      </c>
    </row>
    <row r="838" spans="1:20" x14ac:dyDescent="0.45">
      <c r="A838" t="str">
        <f>IF(PNL!A838="","",PNL!A838)</f>
        <v/>
      </c>
      <c r="B838" t="str">
        <f>IF(PNL!B838="","",PNL!B838)</f>
        <v/>
      </c>
      <c r="C838" t="str">
        <f>IF(PNL!C838="","",PNL!C838)</f>
        <v/>
      </c>
      <c r="D838" t="str">
        <f>IF(PNL!D838="","",PNL!D838)</f>
        <v/>
      </c>
      <c r="E838" t="str">
        <f t="shared" si="52"/>
        <v/>
      </c>
      <c r="F838" t="str">
        <f>IF($A838="","",IF($E838=1,SUMIFS(Compta!$F$1:$F$675,Compta!$A$1:$A$675,$A838,Compta!$B$1:$B$675,$B838,Compta!$C$1:$C$675,"2026"),0))</f>
        <v/>
      </c>
      <c r="G838" t="str">
        <f>IF($A838="","",IF($D838="V01",cad!$C$23,IF($D838="V02",cad!$D$23,cad!$E$23)))</f>
        <v/>
      </c>
      <c r="H838" t="str">
        <f>IF($A838="","",IF($D838="V01",cad!$C$24,IF($D838="V02",cad!$D$24,cad!$E$24)))</f>
        <v/>
      </c>
      <c r="I838" t="str">
        <f>IF($A838="","",IF($D838="V01",cad!$C$32,IF($D838="V02",cad!$D$32,cad!$E$32)))</f>
        <v/>
      </c>
      <c r="J838" t="str">
        <f>IF($A838="","",IF($D838="V01",cad!$C$33,IF($D838="V02",cad!$D$33,cad!$E$33)))</f>
        <v/>
      </c>
      <c r="K838" t="str">
        <f>IF($A838="","",IF($D838="V01",cad!$C$34,IF($D838="V02",cad!$D$34,cad!$E$34)))</f>
        <v/>
      </c>
      <c r="L838" t="str">
        <f>IF($A838="","",IF($D838="V01",cad!$C$35,IF($D838="V02",cad!$D$35,cad!$E$35)))</f>
        <v/>
      </c>
      <c r="M838" t="str">
        <f>IF($A838="","",IF($D838="V01",cad!$C$36,IF($D838="V02",cad!$D$36,cad!$E$36)))</f>
        <v/>
      </c>
      <c r="N838" t="str">
        <f t="shared" si="53"/>
        <v/>
      </c>
      <c r="O838" t="str">
        <f t="shared" si="54"/>
        <v/>
      </c>
      <c r="P838" t="str">
        <f>IF($A838="","",IF($E838=1,$F838*$O838,PNL!G838))</f>
        <v/>
      </c>
      <c r="T838" t="str">
        <f t="shared" si="55"/>
        <v/>
      </c>
    </row>
    <row r="839" spans="1:20" x14ac:dyDescent="0.45">
      <c r="A839" t="str">
        <f>IF(PNL!A839="","",PNL!A839)</f>
        <v/>
      </c>
      <c r="B839" t="str">
        <f>IF(PNL!B839="","",PNL!B839)</f>
        <v/>
      </c>
      <c r="C839" t="str">
        <f>IF(PNL!C839="","",PNL!C839)</f>
        <v/>
      </c>
      <c r="D839" t="str">
        <f>IF(PNL!D839="","",PNL!D839)</f>
        <v/>
      </c>
      <c r="E839" t="str">
        <f t="shared" si="52"/>
        <v/>
      </c>
      <c r="F839" t="str">
        <f>IF($A839="","",IF($E839=1,SUMIFS(Compta!$F$1:$F$675,Compta!$A$1:$A$675,$A839,Compta!$B$1:$B$675,$B839,Compta!$C$1:$C$675,"2026"),0))</f>
        <v/>
      </c>
      <c r="G839" t="str">
        <f>IF($A839="","",IF($D839="V01",cad!$C$23,IF($D839="V02",cad!$D$23,cad!$E$23)))</f>
        <v/>
      </c>
      <c r="H839" t="str">
        <f>IF($A839="","",IF($D839="V01",cad!$C$24,IF($D839="V02",cad!$D$24,cad!$E$24)))</f>
        <v/>
      </c>
      <c r="I839" t="str">
        <f>IF($A839="","",IF($D839="V01",cad!$C$32,IF($D839="V02",cad!$D$32,cad!$E$32)))</f>
        <v/>
      </c>
      <c r="J839" t="str">
        <f>IF($A839="","",IF($D839="V01",cad!$C$33,IF($D839="V02",cad!$D$33,cad!$E$33)))</f>
        <v/>
      </c>
      <c r="K839" t="str">
        <f>IF($A839="","",IF($D839="V01",cad!$C$34,IF($D839="V02",cad!$D$34,cad!$E$34)))</f>
        <v/>
      </c>
      <c r="L839" t="str">
        <f>IF($A839="","",IF($D839="V01",cad!$C$35,IF($D839="V02",cad!$D$35,cad!$E$35)))</f>
        <v/>
      </c>
      <c r="M839" t="str">
        <f>IF($A839="","",IF($D839="V01",cad!$C$36,IF($D839="V02",cad!$D$36,cad!$E$36)))</f>
        <v/>
      </c>
      <c r="N839" t="str">
        <f t="shared" si="53"/>
        <v/>
      </c>
      <c r="O839" t="str">
        <f t="shared" si="54"/>
        <v/>
      </c>
      <c r="P839" t="str">
        <f>IF($A839="","",IF($E839=1,$F839*$O839,PNL!G839))</f>
        <v/>
      </c>
      <c r="T839" t="str">
        <f t="shared" si="55"/>
        <v/>
      </c>
    </row>
    <row r="840" spans="1:20" x14ac:dyDescent="0.45">
      <c r="A840" t="str">
        <f>IF(PNL!A840="","",PNL!A840)</f>
        <v/>
      </c>
      <c r="B840" t="str">
        <f>IF(PNL!B840="","",PNL!B840)</f>
        <v/>
      </c>
      <c r="C840" t="str">
        <f>IF(PNL!C840="","",PNL!C840)</f>
        <v/>
      </c>
      <c r="D840" t="str">
        <f>IF(PNL!D840="","",PNL!D840)</f>
        <v/>
      </c>
      <c r="E840" t="str">
        <f t="shared" si="52"/>
        <v/>
      </c>
      <c r="F840" t="str">
        <f>IF($A840="","",IF($E840=1,SUMIFS(Compta!$F$1:$F$675,Compta!$A$1:$A$675,$A840,Compta!$B$1:$B$675,$B840,Compta!$C$1:$C$675,"2026"),0))</f>
        <v/>
      </c>
      <c r="G840" t="str">
        <f>IF($A840="","",IF($D840="V01",cad!$C$23,IF($D840="V02",cad!$D$23,cad!$E$23)))</f>
        <v/>
      </c>
      <c r="H840" t="str">
        <f>IF($A840="","",IF($D840="V01",cad!$C$24,IF($D840="V02",cad!$D$24,cad!$E$24)))</f>
        <v/>
      </c>
      <c r="I840" t="str">
        <f>IF($A840="","",IF($D840="V01",cad!$C$32,IF($D840="V02",cad!$D$32,cad!$E$32)))</f>
        <v/>
      </c>
      <c r="J840" t="str">
        <f>IF($A840="","",IF($D840="V01",cad!$C$33,IF($D840="V02",cad!$D$33,cad!$E$33)))</f>
        <v/>
      </c>
      <c r="K840" t="str">
        <f>IF($A840="","",IF($D840="V01",cad!$C$34,IF($D840="V02",cad!$D$34,cad!$E$34)))</f>
        <v/>
      </c>
      <c r="L840" t="str">
        <f>IF($A840="","",IF($D840="V01",cad!$C$35,IF($D840="V02",cad!$D$35,cad!$E$35)))</f>
        <v/>
      </c>
      <c r="M840" t="str">
        <f>IF($A840="","",IF($D840="V01",cad!$C$36,IF($D840="V02",cad!$D$36,cad!$E$36)))</f>
        <v/>
      </c>
      <c r="N840" t="str">
        <f t="shared" si="53"/>
        <v/>
      </c>
      <c r="O840" t="str">
        <f t="shared" si="54"/>
        <v/>
      </c>
      <c r="P840" t="str">
        <f>IF($A840="","",IF($E840=1,$F840*$O840,PNL!G840))</f>
        <v/>
      </c>
      <c r="T840" t="str">
        <f t="shared" si="55"/>
        <v/>
      </c>
    </row>
    <row r="841" spans="1:20" x14ac:dyDescent="0.45">
      <c r="A841" t="str">
        <f>IF(PNL!A841="","",PNL!A841)</f>
        <v/>
      </c>
      <c r="B841" t="str">
        <f>IF(PNL!B841="","",PNL!B841)</f>
        <v/>
      </c>
      <c r="C841" t="str">
        <f>IF(PNL!C841="","",PNL!C841)</f>
        <v/>
      </c>
      <c r="D841" t="str">
        <f>IF(PNL!D841="","",PNL!D841)</f>
        <v/>
      </c>
      <c r="E841" t="str">
        <f t="shared" si="52"/>
        <v/>
      </c>
      <c r="F841" t="str">
        <f>IF($A841="","",IF($E841=1,SUMIFS(Compta!$F$1:$F$675,Compta!$A$1:$A$675,$A841,Compta!$B$1:$B$675,$B841,Compta!$C$1:$C$675,"2026"),0))</f>
        <v/>
      </c>
      <c r="G841" t="str">
        <f>IF($A841="","",IF($D841="V01",cad!$C$23,IF($D841="V02",cad!$D$23,cad!$E$23)))</f>
        <v/>
      </c>
      <c r="H841" t="str">
        <f>IF($A841="","",IF($D841="V01",cad!$C$24,IF($D841="V02",cad!$D$24,cad!$E$24)))</f>
        <v/>
      </c>
      <c r="I841" t="str">
        <f>IF($A841="","",IF($D841="V01",cad!$C$32,IF($D841="V02",cad!$D$32,cad!$E$32)))</f>
        <v/>
      </c>
      <c r="J841" t="str">
        <f>IF($A841="","",IF($D841="V01",cad!$C$33,IF($D841="V02",cad!$D$33,cad!$E$33)))</f>
        <v/>
      </c>
      <c r="K841" t="str">
        <f>IF($A841="","",IF($D841="V01",cad!$C$34,IF($D841="V02",cad!$D$34,cad!$E$34)))</f>
        <v/>
      </c>
      <c r="L841" t="str">
        <f>IF($A841="","",IF($D841="V01",cad!$C$35,IF($D841="V02",cad!$D$35,cad!$E$35)))</f>
        <v/>
      </c>
      <c r="M841" t="str">
        <f>IF($A841="","",IF($D841="V01",cad!$C$36,IF($D841="V02",cad!$D$36,cad!$E$36)))</f>
        <v/>
      </c>
      <c r="N841" t="str">
        <f t="shared" si="53"/>
        <v/>
      </c>
      <c r="O841" t="str">
        <f t="shared" si="54"/>
        <v/>
      </c>
      <c r="P841" t="str">
        <f>IF($A841="","",IF($E841=1,$F841*$O841,PNL!G841))</f>
        <v/>
      </c>
      <c r="T841" t="str">
        <f t="shared" si="55"/>
        <v/>
      </c>
    </row>
    <row r="842" spans="1:20" x14ac:dyDescent="0.45">
      <c r="A842" t="str">
        <f>IF(PNL!A842="","",PNL!A842)</f>
        <v/>
      </c>
      <c r="B842" t="str">
        <f>IF(PNL!B842="","",PNL!B842)</f>
        <v/>
      </c>
      <c r="C842" t="str">
        <f>IF(PNL!C842="","",PNL!C842)</f>
        <v/>
      </c>
      <c r="D842" t="str">
        <f>IF(PNL!D842="","",PNL!D842)</f>
        <v/>
      </c>
      <c r="E842" t="str">
        <f t="shared" si="52"/>
        <v/>
      </c>
      <c r="F842" t="str">
        <f>IF($A842="","",IF($E842=1,SUMIFS(Compta!$F$1:$F$675,Compta!$A$1:$A$675,$A842,Compta!$B$1:$B$675,$B842,Compta!$C$1:$C$675,"2026"),0))</f>
        <v/>
      </c>
      <c r="G842" t="str">
        <f>IF($A842="","",IF($D842="V01",cad!$C$23,IF($D842="V02",cad!$D$23,cad!$E$23)))</f>
        <v/>
      </c>
      <c r="H842" t="str">
        <f>IF($A842="","",IF($D842="V01",cad!$C$24,IF($D842="V02",cad!$D$24,cad!$E$24)))</f>
        <v/>
      </c>
      <c r="I842" t="str">
        <f>IF($A842="","",IF($D842="V01",cad!$C$32,IF($D842="V02",cad!$D$32,cad!$E$32)))</f>
        <v/>
      </c>
      <c r="J842" t="str">
        <f>IF($A842="","",IF($D842="V01",cad!$C$33,IF($D842="V02",cad!$D$33,cad!$E$33)))</f>
        <v/>
      </c>
      <c r="K842" t="str">
        <f>IF($A842="","",IF($D842="V01",cad!$C$34,IF($D842="V02",cad!$D$34,cad!$E$34)))</f>
        <v/>
      </c>
      <c r="L842" t="str">
        <f>IF($A842="","",IF($D842="V01",cad!$C$35,IF($D842="V02",cad!$D$35,cad!$E$35)))</f>
        <v/>
      </c>
      <c r="M842" t="str">
        <f>IF($A842="","",IF($D842="V01",cad!$C$36,IF($D842="V02",cad!$D$36,cad!$E$36)))</f>
        <v/>
      </c>
      <c r="N842" t="str">
        <f t="shared" si="53"/>
        <v/>
      </c>
      <c r="O842" t="str">
        <f t="shared" si="54"/>
        <v/>
      </c>
      <c r="P842" t="str">
        <f>IF($A842="","",IF($E842=1,$F842*$O842,PNL!G842))</f>
        <v/>
      </c>
      <c r="T842" t="str">
        <f t="shared" si="55"/>
        <v/>
      </c>
    </row>
    <row r="843" spans="1:20" x14ac:dyDescent="0.45">
      <c r="A843" t="str">
        <f>IF(PNL!A843="","",PNL!A843)</f>
        <v/>
      </c>
      <c r="B843" t="str">
        <f>IF(PNL!B843="","",PNL!B843)</f>
        <v/>
      </c>
      <c r="C843" t="str">
        <f>IF(PNL!C843="","",PNL!C843)</f>
        <v/>
      </c>
      <c r="D843" t="str">
        <f>IF(PNL!D843="","",PNL!D843)</f>
        <v/>
      </c>
      <c r="E843" t="str">
        <f t="shared" si="52"/>
        <v/>
      </c>
      <c r="F843" t="str">
        <f>IF($A843="","",IF($E843=1,SUMIFS(Compta!$F$1:$F$675,Compta!$A$1:$A$675,$A843,Compta!$B$1:$B$675,$B843,Compta!$C$1:$C$675,"2026"),0))</f>
        <v/>
      </c>
      <c r="G843" t="str">
        <f>IF($A843="","",IF($D843="V01",cad!$C$23,IF($D843="V02",cad!$D$23,cad!$E$23)))</f>
        <v/>
      </c>
      <c r="H843" t="str">
        <f>IF($A843="","",IF($D843="V01",cad!$C$24,IF($D843="V02",cad!$D$24,cad!$E$24)))</f>
        <v/>
      </c>
      <c r="I843" t="str">
        <f>IF($A843="","",IF($D843="V01",cad!$C$32,IF($D843="V02",cad!$D$32,cad!$E$32)))</f>
        <v/>
      </c>
      <c r="J843" t="str">
        <f>IF($A843="","",IF($D843="V01",cad!$C$33,IF($D843="V02",cad!$D$33,cad!$E$33)))</f>
        <v/>
      </c>
      <c r="K843" t="str">
        <f>IF($A843="","",IF($D843="V01",cad!$C$34,IF($D843="V02",cad!$D$34,cad!$E$34)))</f>
        <v/>
      </c>
      <c r="L843" t="str">
        <f>IF($A843="","",IF($D843="V01",cad!$C$35,IF($D843="V02",cad!$D$35,cad!$E$35)))</f>
        <v/>
      </c>
      <c r="M843" t="str">
        <f>IF($A843="","",IF($D843="V01",cad!$C$36,IF($D843="V02",cad!$D$36,cad!$E$36)))</f>
        <v/>
      </c>
      <c r="N843" t="str">
        <f t="shared" si="53"/>
        <v/>
      </c>
      <c r="O843" t="str">
        <f t="shared" si="54"/>
        <v/>
      </c>
      <c r="P843" t="str">
        <f>IF($A843="","",IF($E843=1,$F843*$O843,PNL!G843))</f>
        <v/>
      </c>
      <c r="T843" t="str">
        <f t="shared" si="55"/>
        <v/>
      </c>
    </row>
    <row r="844" spans="1:20" x14ac:dyDescent="0.45">
      <c r="A844" t="str">
        <f>IF(PNL!A844="","",PNL!A844)</f>
        <v/>
      </c>
      <c r="B844" t="str">
        <f>IF(PNL!B844="","",PNL!B844)</f>
        <v/>
      </c>
      <c r="C844" t="str">
        <f>IF(PNL!C844="","",PNL!C844)</f>
        <v/>
      </c>
      <c r="D844" t="str">
        <f>IF(PNL!D844="","",PNL!D844)</f>
        <v/>
      </c>
      <c r="E844" t="str">
        <f t="shared" si="52"/>
        <v/>
      </c>
      <c r="F844" t="str">
        <f>IF($A844="","",IF($E844=1,SUMIFS(Compta!$F$1:$F$675,Compta!$A$1:$A$675,$A844,Compta!$B$1:$B$675,$B844,Compta!$C$1:$C$675,"2026"),0))</f>
        <v/>
      </c>
      <c r="G844" t="str">
        <f>IF($A844="","",IF($D844="V01",cad!$C$23,IF($D844="V02",cad!$D$23,cad!$E$23)))</f>
        <v/>
      </c>
      <c r="H844" t="str">
        <f>IF($A844="","",IF($D844="V01",cad!$C$24,IF($D844="V02",cad!$D$24,cad!$E$24)))</f>
        <v/>
      </c>
      <c r="I844" t="str">
        <f>IF($A844="","",IF($D844="V01",cad!$C$32,IF($D844="V02",cad!$D$32,cad!$E$32)))</f>
        <v/>
      </c>
      <c r="J844" t="str">
        <f>IF($A844="","",IF($D844="V01",cad!$C$33,IF($D844="V02",cad!$D$33,cad!$E$33)))</f>
        <v/>
      </c>
      <c r="K844" t="str">
        <f>IF($A844="","",IF($D844="V01",cad!$C$34,IF($D844="V02",cad!$D$34,cad!$E$34)))</f>
        <v/>
      </c>
      <c r="L844" t="str">
        <f>IF($A844="","",IF($D844="V01",cad!$C$35,IF($D844="V02",cad!$D$35,cad!$E$35)))</f>
        <v/>
      </c>
      <c r="M844" t="str">
        <f>IF($A844="","",IF($D844="V01",cad!$C$36,IF($D844="V02",cad!$D$36,cad!$E$36)))</f>
        <v/>
      </c>
      <c r="N844" t="str">
        <f t="shared" si="53"/>
        <v/>
      </c>
      <c r="O844" t="str">
        <f t="shared" si="54"/>
        <v/>
      </c>
      <c r="P844" t="str">
        <f>IF($A844="","",IF($E844=1,$F844*$O844,PNL!G844))</f>
        <v/>
      </c>
      <c r="T844" t="str">
        <f t="shared" si="55"/>
        <v/>
      </c>
    </row>
    <row r="845" spans="1:20" x14ac:dyDescent="0.45">
      <c r="A845" t="str">
        <f>IF(PNL!A845="","",PNL!A845)</f>
        <v/>
      </c>
      <c r="B845" t="str">
        <f>IF(PNL!B845="","",PNL!B845)</f>
        <v/>
      </c>
      <c r="C845" t="str">
        <f>IF(PNL!C845="","",PNL!C845)</f>
        <v/>
      </c>
      <c r="D845" t="str">
        <f>IF(PNL!D845="","",PNL!D845)</f>
        <v/>
      </c>
      <c r="E845" t="str">
        <f t="shared" si="52"/>
        <v/>
      </c>
      <c r="F845" t="str">
        <f>IF($A845="","",IF($E845=1,SUMIFS(Compta!$F$1:$F$675,Compta!$A$1:$A$675,$A845,Compta!$B$1:$B$675,$B845,Compta!$C$1:$C$675,"2026"),0))</f>
        <v/>
      </c>
      <c r="G845" t="str">
        <f>IF($A845="","",IF($D845="V01",cad!$C$23,IF($D845="V02",cad!$D$23,cad!$E$23)))</f>
        <v/>
      </c>
      <c r="H845" t="str">
        <f>IF($A845="","",IF($D845="V01",cad!$C$24,IF($D845="V02",cad!$D$24,cad!$E$24)))</f>
        <v/>
      </c>
      <c r="I845" t="str">
        <f>IF($A845="","",IF($D845="V01",cad!$C$32,IF($D845="V02",cad!$D$32,cad!$E$32)))</f>
        <v/>
      </c>
      <c r="J845" t="str">
        <f>IF($A845="","",IF($D845="V01",cad!$C$33,IF($D845="V02",cad!$D$33,cad!$E$33)))</f>
        <v/>
      </c>
      <c r="K845" t="str">
        <f>IF($A845="","",IF($D845="V01",cad!$C$34,IF($D845="V02",cad!$D$34,cad!$E$34)))</f>
        <v/>
      </c>
      <c r="L845" t="str">
        <f>IF($A845="","",IF($D845="V01",cad!$C$35,IF($D845="V02",cad!$D$35,cad!$E$35)))</f>
        <v/>
      </c>
      <c r="M845" t="str">
        <f>IF($A845="","",IF($D845="V01",cad!$C$36,IF($D845="V02",cad!$D$36,cad!$E$36)))</f>
        <v/>
      </c>
      <c r="N845" t="str">
        <f t="shared" si="53"/>
        <v/>
      </c>
      <c r="O845" t="str">
        <f t="shared" si="54"/>
        <v/>
      </c>
      <c r="P845" t="str">
        <f>IF($A845="","",IF($E845=1,$F845*$O845,PNL!G845))</f>
        <v/>
      </c>
      <c r="T845" t="str">
        <f t="shared" si="55"/>
        <v/>
      </c>
    </row>
    <row r="846" spans="1:20" x14ac:dyDescent="0.45">
      <c r="A846" t="str">
        <f>IF(PNL!A846="","",PNL!A846)</f>
        <v/>
      </c>
      <c r="B846" t="str">
        <f>IF(PNL!B846="","",PNL!B846)</f>
        <v/>
      </c>
      <c r="C846" t="str">
        <f>IF(PNL!C846="","",PNL!C846)</f>
        <v/>
      </c>
      <c r="D846" t="str">
        <f>IF(PNL!D846="","",PNL!D846)</f>
        <v/>
      </c>
      <c r="E846" t="str">
        <f t="shared" si="52"/>
        <v/>
      </c>
      <c r="F846" t="str">
        <f>IF($A846="","",IF($E846=1,SUMIFS(Compta!$F$1:$F$675,Compta!$A$1:$A$675,$A846,Compta!$B$1:$B$675,$B846,Compta!$C$1:$C$675,"2026"),0))</f>
        <v/>
      </c>
      <c r="G846" t="str">
        <f>IF($A846="","",IF($D846="V01",cad!$C$23,IF($D846="V02",cad!$D$23,cad!$E$23)))</f>
        <v/>
      </c>
      <c r="H846" t="str">
        <f>IF($A846="","",IF($D846="V01",cad!$C$24,IF($D846="V02",cad!$D$24,cad!$E$24)))</f>
        <v/>
      </c>
      <c r="I846" t="str">
        <f>IF($A846="","",IF($D846="V01",cad!$C$32,IF($D846="V02",cad!$D$32,cad!$E$32)))</f>
        <v/>
      </c>
      <c r="J846" t="str">
        <f>IF($A846="","",IF($D846="V01",cad!$C$33,IF($D846="V02",cad!$D$33,cad!$E$33)))</f>
        <v/>
      </c>
      <c r="K846" t="str">
        <f>IF($A846="","",IF($D846="V01",cad!$C$34,IF($D846="V02",cad!$D$34,cad!$E$34)))</f>
        <v/>
      </c>
      <c r="L846" t="str">
        <f>IF($A846="","",IF($D846="V01",cad!$C$35,IF($D846="V02",cad!$D$35,cad!$E$35)))</f>
        <v/>
      </c>
      <c r="M846" t="str">
        <f>IF($A846="","",IF($D846="V01",cad!$C$36,IF($D846="V02",cad!$D$36,cad!$E$36)))</f>
        <v/>
      </c>
      <c r="N846" t="str">
        <f t="shared" si="53"/>
        <v/>
      </c>
      <c r="O846" t="str">
        <f t="shared" si="54"/>
        <v/>
      </c>
      <c r="P846" t="str">
        <f>IF($A846="","",IF($E846=1,$F846*$O846,PNL!G846))</f>
        <v/>
      </c>
      <c r="T846" t="str">
        <f t="shared" si="55"/>
        <v/>
      </c>
    </row>
    <row r="847" spans="1:20" x14ac:dyDescent="0.45">
      <c r="A847" t="str">
        <f>IF(PNL!A847="","",PNL!A847)</f>
        <v/>
      </c>
      <c r="B847" t="str">
        <f>IF(PNL!B847="","",PNL!B847)</f>
        <v/>
      </c>
      <c r="C847" t="str">
        <f>IF(PNL!C847="","",PNL!C847)</f>
        <v/>
      </c>
      <c r="D847" t="str">
        <f>IF(PNL!D847="","",PNL!D847)</f>
        <v/>
      </c>
      <c r="E847" t="str">
        <f t="shared" si="52"/>
        <v/>
      </c>
      <c r="F847" t="str">
        <f>IF($A847="","",IF($E847=1,SUMIFS(Compta!$F$1:$F$675,Compta!$A$1:$A$675,$A847,Compta!$B$1:$B$675,$B847,Compta!$C$1:$C$675,"2026"),0))</f>
        <v/>
      </c>
      <c r="G847" t="str">
        <f>IF($A847="","",IF($D847="V01",cad!$C$23,IF($D847="V02",cad!$D$23,cad!$E$23)))</f>
        <v/>
      </c>
      <c r="H847" t="str">
        <f>IF($A847="","",IF($D847="V01",cad!$C$24,IF($D847="V02",cad!$D$24,cad!$E$24)))</f>
        <v/>
      </c>
      <c r="I847" t="str">
        <f>IF($A847="","",IF($D847="V01",cad!$C$32,IF($D847="V02",cad!$D$32,cad!$E$32)))</f>
        <v/>
      </c>
      <c r="J847" t="str">
        <f>IF($A847="","",IF($D847="V01",cad!$C$33,IF($D847="V02",cad!$D$33,cad!$E$33)))</f>
        <v/>
      </c>
      <c r="K847" t="str">
        <f>IF($A847="","",IF($D847="V01",cad!$C$34,IF($D847="V02",cad!$D$34,cad!$E$34)))</f>
        <v/>
      </c>
      <c r="L847" t="str">
        <f>IF($A847="","",IF($D847="V01",cad!$C$35,IF($D847="V02",cad!$D$35,cad!$E$35)))</f>
        <v/>
      </c>
      <c r="M847" t="str">
        <f>IF($A847="","",IF($D847="V01",cad!$C$36,IF($D847="V02",cad!$D$36,cad!$E$36)))</f>
        <v/>
      </c>
      <c r="N847" t="str">
        <f t="shared" si="53"/>
        <v/>
      </c>
      <c r="O847" t="str">
        <f t="shared" si="54"/>
        <v/>
      </c>
      <c r="P847" t="str">
        <f>IF($A847="","",IF($E847=1,$F847*$O847,PNL!G847))</f>
        <v/>
      </c>
      <c r="T847" t="str">
        <f t="shared" si="55"/>
        <v/>
      </c>
    </row>
    <row r="848" spans="1:20" x14ac:dyDescent="0.45">
      <c r="A848" t="str">
        <f>IF(PNL!A848="","",PNL!A848)</f>
        <v/>
      </c>
      <c r="B848" t="str">
        <f>IF(PNL!B848="","",PNL!B848)</f>
        <v/>
      </c>
      <c r="C848" t="str">
        <f>IF(PNL!C848="","",PNL!C848)</f>
        <v/>
      </c>
      <c r="D848" t="str">
        <f>IF(PNL!D848="","",PNL!D848)</f>
        <v/>
      </c>
      <c r="E848" t="str">
        <f t="shared" si="52"/>
        <v/>
      </c>
      <c r="F848" t="str">
        <f>IF($A848="","",IF($E848=1,SUMIFS(Compta!$F$1:$F$675,Compta!$A$1:$A$675,$A848,Compta!$B$1:$B$675,$B848,Compta!$C$1:$C$675,"2026"),0))</f>
        <v/>
      </c>
      <c r="G848" t="str">
        <f>IF($A848="","",IF($D848="V01",cad!$C$23,IF($D848="V02",cad!$D$23,cad!$E$23)))</f>
        <v/>
      </c>
      <c r="H848" t="str">
        <f>IF($A848="","",IF($D848="V01",cad!$C$24,IF($D848="V02",cad!$D$24,cad!$E$24)))</f>
        <v/>
      </c>
      <c r="I848" t="str">
        <f>IF($A848="","",IF($D848="V01",cad!$C$32,IF($D848="V02",cad!$D$32,cad!$E$32)))</f>
        <v/>
      </c>
      <c r="J848" t="str">
        <f>IF($A848="","",IF($D848="V01",cad!$C$33,IF($D848="V02",cad!$D$33,cad!$E$33)))</f>
        <v/>
      </c>
      <c r="K848" t="str">
        <f>IF($A848="","",IF($D848="V01",cad!$C$34,IF($D848="V02",cad!$D$34,cad!$E$34)))</f>
        <v/>
      </c>
      <c r="L848" t="str">
        <f>IF($A848="","",IF($D848="V01",cad!$C$35,IF($D848="V02",cad!$D$35,cad!$E$35)))</f>
        <v/>
      </c>
      <c r="M848" t="str">
        <f>IF($A848="","",IF($D848="V01",cad!$C$36,IF($D848="V02",cad!$D$36,cad!$E$36)))</f>
        <v/>
      </c>
      <c r="N848" t="str">
        <f t="shared" si="53"/>
        <v/>
      </c>
      <c r="O848" t="str">
        <f t="shared" si="54"/>
        <v/>
      </c>
      <c r="P848" t="str">
        <f>IF($A848="","",IF($E848=1,$F848*$O848,PNL!G848))</f>
        <v/>
      </c>
      <c r="T848" t="str">
        <f t="shared" si="55"/>
        <v/>
      </c>
    </row>
    <row r="849" spans="1:20" x14ac:dyDescent="0.45">
      <c r="A849" t="str">
        <f>IF(PNL!A849="","",PNL!A849)</f>
        <v/>
      </c>
      <c r="B849" t="str">
        <f>IF(PNL!B849="","",PNL!B849)</f>
        <v/>
      </c>
      <c r="C849" t="str">
        <f>IF(PNL!C849="","",PNL!C849)</f>
        <v/>
      </c>
      <c r="D849" t="str">
        <f>IF(PNL!D849="","",PNL!D849)</f>
        <v/>
      </c>
      <c r="E849" t="str">
        <f t="shared" si="52"/>
        <v/>
      </c>
      <c r="F849" t="str">
        <f>IF($A849="","",IF($E849=1,SUMIFS(Compta!$F$1:$F$675,Compta!$A$1:$A$675,$A849,Compta!$B$1:$B$675,$B849,Compta!$C$1:$C$675,"2026"),0))</f>
        <v/>
      </c>
      <c r="G849" t="str">
        <f>IF($A849="","",IF($D849="V01",cad!$C$23,IF($D849="V02",cad!$D$23,cad!$E$23)))</f>
        <v/>
      </c>
      <c r="H849" t="str">
        <f>IF($A849="","",IF($D849="V01",cad!$C$24,IF($D849="V02",cad!$D$24,cad!$E$24)))</f>
        <v/>
      </c>
      <c r="I849" t="str">
        <f>IF($A849="","",IF($D849="V01",cad!$C$32,IF($D849="V02",cad!$D$32,cad!$E$32)))</f>
        <v/>
      </c>
      <c r="J849" t="str">
        <f>IF($A849="","",IF($D849="V01",cad!$C$33,IF($D849="V02",cad!$D$33,cad!$E$33)))</f>
        <v/>
      </c>
      <c r="K849" t="str">
        <f>IF($A849="","",IF($D849="V01",cad!$C$34,IF($D849="V02",cad!$D$34,cad!$E$34)))</f>
        <v/>
      </c>
      <c r="L849" t="str">
        <f>IF($A849="","",IF($D849="V01",cad!$C$35,IF($D849="V02",cad!$D$35,cad!$E$35)))</f>
        <v/>
      </c>
      <c r="M849" t="str">
        <f>IF($A849="","",IF($D849="V01",cad!$C$36,IF($D849="V02",cad!$D$36,cad!$E$36)))</f>
        <v/>
      </c>
      <c r="N849" t="str">
        <f t="shared" si="53"/>
        <v/>
      </c>
      <c r="O849" t="str">
        <f t="shared" si="54"/>
        <v/>
      </c>
      <c r="P849" t="str">
        <f>IF($A849="","",IF($E849=1,$F849*$O849,PNL!G849))</f>
        <v/>
      </c>
      <c r="T849" t="str">
        <f t="shared" si="55"/>
        <v/>
      </c>
    </row>
    <row r="850" spans="1:20" x14ac:dyDescent="0.45">
      <c r="A850" t="str">
        <f>IF(PNL!A850="","",PNL!A850)</f>
        <v/>
      </c>
      <c r="B850" t="str">
        <f>IF(PNL!B850="","",PNL!B850)</f>
        <v/>
      </c>
      <c r="C850" t="str">
        <f>IF(PNL!C850="","",PNL!C850)</f>
        <v/>
      </c>
      <c r="D850" t="str">
        <f>IF(PNL!D850="","",PNL!D850)</f>
        <v/>
      </c>
      <c r="E850" t="str">
        <f t="shared" si="52"/>
        <v/>
      </c>
      <c r="F850" t="str">
        <f>IF($A850="","",IF($E850=1,SUMIFS(Compta!$F$1:$F$675,Compta!$A$1:$A$675,$A850,Compta!$B$1:$B$675,$B850,Compta!$C$1:$C$675,"2026"),0))</f>
        <v/>
      </c>
      <c r="G850" t="str">
        <f>IF($A850="","",IF($D850="V01",cad!$C$23,IF($D850="V02",cad!$D$23,cad!$E$23)))</f>
        <v/>
      </c>
      <c r="H850" t="str">
        <f>IF($A850="","",IF($D850="V01",cad!$C$24,IF($D850="V02",cad!$D$24,cad!$E$24)))</f>
        <v/>
      </c>
      <c r="I850" t="str">
        <f>IF($A850="","",IF($D850="V01",cad!$C$32,IF($D850="V02",cad!$D$32,cad!$E$32)))</f>
        <v/>
      </c>
      <c r="J850" t="str">
        <f>IF($A850="","",IF($D850="V01",cad!$C$33,IF($D850="V02",cad!$D$33,cad!$E$33)))</f>
        <v/>
      </c>
      <c r="K850" t="str">
        <f>IF($A850="","",IF($D850="V01",cad!$C$34,IF($D850="V02",cad!$D$34,cad!$E$34)))</f>
        <v/>
      </c>
      <c r="L850" t="str">
        <f>IF($A850="","",IF($D850="V01",cad!$C$35,IF($D850="V02",cad!$D$35,cad!$E$35)))</f>
        <v/>
      </c>
      <c r="M850" t="str">
        <f>IF($A850="","",IF($D850="V01",cad!$C$36,IF($D850="V02",cad!$D$36,cad!$E$36)))</f>
        <v/>
      </c>
      <c r="N850" t="str">
        <f t="shared" si="53"/>
        <v/>
      </c>
      <c r="O850" t="str">
        <f t="shared" si="54"/>
        <v/>
      </c>
      <c r="P850" t="str">
        <f>IF($A850="","",IF($E850=1,$F850*$O850,PNL!G850))</f>
        <v/>
      </c>
      <c r="T850" t="str">
        <f t="shared" si="55"/>
        <v/>
      </c>
    </row>
    <row r="851" spans="1:20" x14ac:dyDescent="0.45">
      <c r="A851" t="str">
        <f>IF(PNL!A851="","",PNL!A851)</f>
        <v/>
      </c>
      <c r="B851" t="str">
        <f>IF(PNL!B851="","",PNL!B851)</f>
        <v/>
      </c>
      <c r="C851" t="str">
        <f>IF(PNL!C851="","",PNL!C851)</f>
        <v/>
      </c>
      <c r="D851" t="str">
        <f>IF(PNL!D851="","",PNL!D851)</f>
        <v/>
      </c>
      <c r="E851" t="str">
        <f t="shared" si="52"/>
        <v/>
      </c>
      <c r="F851" t="str">
        <f>IF($A851="","",IF($E851=1,SUMIFS(Compta!$F$1:$F$675,Compta!$A$1:$A$675,$A851,Compta!$B$1:$B$675,$B851,Compta!$C$1:$C$675,"2026"),0))</f>
        <v/>
      </c>
      <c r="G851" t="str">
        <f>IF($A851="","",IF($D851="V01",cad!$C$23,IF($D851="V02",cad!$D$23,cad!$E$23)))</f>
        <v/>
      </c>
      <c r="H851" t="str">
        <f>IF($A851="","",IF($D851="V01",cad!$C$24,IF($D851="V02",cad!$D$24,cad!$E$24)))</f>
        <v/>
      </c>
      <c r="I851" t="str">
        <f>IF($A851="","",IF($D851="V01",cad!$C$32,IF($D851="V02",cad!$D$32,cad!$E$32)))</f>
        <v/>
      </c>
      <c r="J851" t="str">
        <f>IF($A851="","",IF($D851="V01",cad!$C$33,IF($D851="V02",cad!$D$33,cad!$E$33)))</f>
        <v/>
      </c>
      <c r="K851" t="str">
        <f>IF($A851="","",IF($D851="V01",cad!$C$34,IF($D851="V02",cad!$D$34,cad!$E$34)))</f>
        <v/>
      </c>
      <c r="L851" t="str">
        <f>IF($A851="","",IF($D851="V01",cad!$C$35,IF($D851="V02",cad!$D$35,cad!$E$35)))</f>
        <v/>
      </c>
      <c r="M851" t="str">
        <f>IF($A851="","",IF($D851="V01",cad!$C$36,IF($D851="V02",cad!$D$36,cad!$E$36)))</f>
        <v/>
      </c>
      <c r="N851" t="str">
        <f t="shared" si="53"/>
        <v/>
      </c>
      <c r="O851" t="str">
        <f t="shared" si="54"/>
        <v/>
      </c>
      <c r="P851" t="str">
        <f>IF($A851="","",IF($E851=1,$F851*$O851,PNL!G851))</f>
        <v/>
      </c>
      <c r="T851" t="str">
        <f t="shared" si="55"/>
        <v/>
      </c>
    </row>
    <row r="852" spans="1:20" x14ac:dyDescent="0.45">
      <c r="A852" t="str">
        <f>IF(PNL!A852="","",PNL!A852)</f>
        <v/>
      </c>
      <c r="B852" t="str">
        <f>IF(PNL!B852="","",PNL!B852)</f>
        <v/>
      </c>
      <c r="C852" t="str">
        <f>IF(PNL!C852="","",PNL!C852)</f>
        <v/>
      </c>
      <c r="D852" t="str">
        <f>IF(PNL!D852="","",PNL!D852)</f>
        <v/>
      </c>
      <c r="E852" t="str">
        <f t="shared" si="52"/>
        <v/>
      </c>
      <c r="F852" t="str">
        <f>IF($A852="","",IF($E852=1,SUMIFS(Compta!$F$1:$F$675,Compta!$A$1:$A$675,$A852,Compta!$B$1:$B$675,$B852,Compta!$C$1:$C$675,"2026"),0))</f>
        <v/>
      </c>
      <c r="G852" t="str">
        <f>IF($A852="","",IF($D852="V01",cad!$C$23,IF($D852="V02",cad!$D$23,cad!$E$23)))</f>
        <v/>
      </c>
      <c r="H852" t="str">
        <f>IF($A852="","",IF($D852="V01",cad!$C$24,IF($D852="V02",cad!$D$24,cad!$E$24)))</f>
        <v/>
      </c>
      <c r="I852" t="str">
        <f>IF($A852="","",IF($D852="V01",cad!$C$32,IF($D852="V02",cad!$D$32,cad!$E$32)))</f>
        <v/>
      </c>
      <c r="J852" t="str">
        <f>IF($A852="","",IF($D852="V01",cad!$C$33,IF($D852="V02",cad!$D$33,cad!$E$33)))</f>
        <v/>
      </c>
      <c r="K852" t="str">
        <f>IF($A852="","",IF($D852="V01",cad!$C$34,IF($D852="V02",cad!$D$34,cad!$E$34)))</f>
        <v/>
      </c>
      <c r="L852" t="str">
        <f>IF($A852="","",IF($D852="V01",cad!$C$35,IF($D852="V02",cad!$D$35,cad!$E$35)))</f>
        <v/>
      </c>
      <c r="M852" t="str">
        <f>IF($A852="","",IF($D852="V01",cad!$C$36,IF($D852="V02",cad!$D$36,cad!$E$36)))</f>
        <v/>
      </c>
      <c r="N852" t="str">
        <f t="shared" si="53"/>
        <v/>
      </c>
      <c r="O852" t="str">
        <f t="shared" si="54"/>
        <v/>
      </c>
      <c r="P852" t="str">
        <f>IF($A852="","",IF($E852=1,$F852*$O852,PNL!G852))</f>
        <v/>
      </c>
      <c r="T852" t="str">
        <f t="shared" si="55"/>
        <v/>
      </c>
    </row>
    <row r="853" spans="1:20" x14ac:dyDescent="0.45">
      <c r="A853" t="str">
        <f>IF(PNL!A853="","",PNL!A853)</f>
        <v/>
      </c>
      <c r="B853" t="str">
        <f>IF(PNL!B853="","",PNL!B853)</f>
        <v/>
      </c>
      <c r="C853" t="str">
        <f>IF(PNL!C853="","",PNL!C853)</f>
        <v/>
      </c>
      <c r="D853" t="str">
        <f>IF(PNL!D853="","",PNL!D853)</f>
        <v/>
      </c>
      <c r="E853" t="str">
        <f t="shared" si="52"/>
        <v/>
      </c>
      <c r="F853" t="str">
        <f>IF($A853="","",IF($E853=1,SUMIFS(Compta!$F$1:$F$675,Compta!$A$1:$A$675,$A853,Compta!$B$1:$B$675,$B853,Compta!$C$1:$C$675,"2026"),0))</f>
        <v/>
      </c>
      <c r="G853" t="str">
        <f>IF($A853="","",IF($D853="V01",cad!$C$23,IF($D853="V02",cad!$D$23,cad!$E$23)))</f>
        <v/>
      </c>
      <c r="H853" t="str">
        <f>IF($A853="","",IF($D853="V01",cad!$C$24,IF($D853="V02",cad!$D$24,cad!$E$24)))</f>
        <v/>
      </c>
      <c r="I853" t="str">
        <f>IF($A853="","",IF($D853="V01",cad!$C$32,IF($D853="V02",cad!$D$32,cad!$E$32)))</f>
        <v/>
      </c>
      <c r="J853" t="str">
        <f>IF($A853="","",IF($D853="V01",cad!$C$33,IF($D853="V02",cad!$D$33,cad!$E$33)))</f>
        <v/>
      </c>
      <c r="K853" t="str">
        <f>IF($A853="","",IF($D853="V01",cad!$C$34,IF($D853="V02",cad!$D$34,cad!$E$34)))</f>
        <v/>
      </c>
      <c r="L853" t="str">
        <f>IF($A853="","",IF($D853="V01",cad!$C$35,IF($D853="V02",cad!$D$35,cad!$E$35)))</f>
        <v/>
      </c>
      <c r="M853" t="str">
        <f>IF($A853="","",IF($D853="V01",cad!$C$36,IF($D853="V02",cad!$D$36,cad!$E$36)))</f>
        <v/>
      </c>
      <c r="N853" t="str">
        <f t="shared" si="53"/>
        <v/>
      </c>
      <c r="O853" t="str">
        <f t="shared" si="54"/>
        <v/>
      </c>
      <c r="P853" t="str">
        <f>IF($A853="","",IF($E853=1,$F853*$O853,PNL!G853))</f>
        <v/>
      </c>
      <c r="T853" t="str">
        <f t="shared" si="55"/>
        <v/>
      </c>
    </row>
    <row r="854" spans="1:20" x14ac:dyDescent="0.45">
      <c r="A854" t="str">
        <f>IF(PNL!A854="","",PNL!A854)</f>
        <v/>
      </c>
      <c r="B854" t="str">
        <f>IF(PNL!B854="","",PNL!B854)</f>
        <v/>
      </c>
      <c r="C854" t="str">
        <f>IF(PNL!C854="","",PNL!C854)</f>
        <v/>
      </c>
      <c r="D854" t="str">
        <f>IF(PNL!D854="","",PNL!D854)</f>
        <v/>
      </c>
      <c r="E854" t="str">
        <f t="shared" si="52"/>
        <v/>
      </c>
      <c r="F854" t="str">
        <f>IF($A854="","",IF($E854=1,SUMIFS(Compta!$F$1:$F$675,Compta!$A$1:$A$675,$A854,Compta!$B$1:$B$675,$B854,Compta!$C$1:$C$675,"2026"),0))</f>
        <v/>
      </c>
      <c r="G854" t="str">
        <f>IF($A854="","",IF($D854="V01",cad!$C$23,IF($D854="V02",cad!$D$23,cad!$E$23)))</f>
        <v/>
      </c>
      <c r="H854" t="str">
        <f>IF($A854="","",IF($D854="V01",cad!$C$24,IF($D854="V02",cad!$D$24,cad!$E$24)))</f>
        <v/>
      </c>
      <c r="I854" t="str">
        <f>IF($A854="","",IF($D854="V01",cad!$C$32,IF($D854="V02",cad!$D$32,cad!$E$32)))</f>
        <v/>
      </c>
      <c r="J854" t="str">
        <f>IF($A854="","",IF($D854="V01",cad!$C$33,IF($D854="V02",cad!$D$33,cad!$E$33)))</f>
        <v/>
      </c>
      <c r="K854" t="str">
        <f>IF($A854="","",IF($D854="V01",cad!$C$34,IF($D854="V02",cad!$D$34,cad!$E$34)))</f>
        <v/>
      </c>
      <c r="L854" t="str">
        <f>IF($A854="","",IF($D854="V01",cad!$C$35,IF($D854="V02",cad!$D$35,cad!$E$35)))</f>
        <v/>
      </c>
      <c r="M854" t="str">
        <f>IF($A854="","",IF($D854="V01",cad!$C$36,IF($D854="V02",cad!$D$36,cad!$E$36)))</f>
        <v/>
      </c>
      <c r="N854" t="str">
        <f t="shared" si="53"/>
        <v/>
      </c>
      <c r="O854" t="str">
        <f t="shared" si="54"/>
        <v/>
      </c>
      <c r="P854" t="str">
        <f>IF($A854="","",IF($E854=1,$F854*$O854,PNL!G854))</f>
        <v/>
      </c>
      <c r="T854" t="str">
        <f t="shared" si="55"/>
        <v/>
      </c>
    </row>
    <row r="855" spans="1:20" x14ac:dyDescent="0.45">
      <c r="A855" t="str">
        <f>IF(PNL!A855="","",PNL!A855)</f>
        <v/>
      </c>
      <c r="B855" t="str">
        <f>IF(PNL!B855="","",PNL!B855)</f>
        <v/>
      </c>
      <c r="C855" t="str">
        <f>IF(PNL!C855="","",PNL!C855)</f>
        <v/>
      </c>
      <c r="D855" t="str">
        <f>IF(PNL!D855="","",PNL!D855)</f>
        <v/>
      </c>
      <c r="E855" t="str">
        <f t="shared" si="52"/>
        <v/>
      </c>
      <c r="F855" t="str">
        <f>IF($A855="","",IF($E855=1,SUMIFS(Compta!$F$1:$F$675,Compta!$A$1:$A$675,$A855,Compta!$B$1:$B$675,$B855,Compta!$C$1:$C$675,"2026"),0))</f>
        <v/>
      </c>
      <c r="G855" t="str">
        <f>IF($A855="","",IF($D855="V01",cad!$C$23,IF($D855="V02",cad!$D$23,cad!$E$23)))</f>
        <v/>
      </c>
      <c r="H855" t="str">
        <f>IF($A855="","",IF($D855="V01",cad!$C$24,IF($D855="V02",cad!$D$24,cad!$E$24)))</f>
        <v/>
      </c>
      <c r="I855" t="str">
        <f>IF($A855="","",IF($D855="V01",cad!$C$32,IF($D855="V02",cad!$D$32,cad!$E$32)))</f>
        <v/>
      </c>
      <c r="J855" t="str">
        <f>IF($A855="","",IF($D855="V01",cad!$C$33,IF($D855="V02",cad!$D$33,cad!$E$33)))</f>
        <v/>
      </c>
      <c r="K855" t="str">
        <f>IF($A855="","",IF($D855="V01",cad!$C$34,IF($D855="V02",cad!$D$34,cad!$E$34)))</f>
        <v/>
      </c>
      <c r="L855" t="str">
        <f>IF($A855="","",IF($D855="V01",cad!$C$35,IF($D855="V02",cad!$D$35,cad!$E$35)))</f>
        <v/>
      </c>
      <c r="M855" t="str">
        <f>IF($A855="","",IF($D855="V01",cad!$C$36,IF($D855="V02",cad!$D$36,cad!$E$36)))</f>
        <v/>
      </c>
      <c r="N855" t="str">
        <f t="shared" si="53"/>
        <v/>
      </c>
      <c r="O855" t="str">
        <f t="shared" si="54"/>
        <v/>
      </c>
      <c r="P855" t="str">
        <f>IF($A855="","",IF($E855=1,$F855*$O855,PNL!G855))</f>
        <v/>
      </c>
      <c r="T855" t="str">
        <f t="shared" si="55"/>
        <v/>
      </c>
    </row>
    <row r="856" spans="1:20" x14ac:dyDescent="0.45">
      <c r="A856" t="str">
        <f>IF(PNL!A856="","",PNL!A856)</f>
        <v/>
      </c>
      <c r="B856" t="str">
        <f>IF(PNL!B856="","",PNL!B856)</f>
        <v/>
      </c>
      <c r="C856" t="str">
        <f>IF(PNL!C856="","",PNL!C856)</f>
        <v/>
      </c>
      <c r="D856" t="str">
        <f>IF(PNL!D856="","",PNL!D856)</f>
        <v/>
      </c>
      <c r="E856" t="str">
        <f t="shared" si="52"/>
        <v/>
      </c>
      <c r="F856" t="str">
        <f>IF($A856="","",IF($E856=1,SUMIFS(Compta!$F$1:$F$675,Compta!$A$1:$A$675,$A856,Compta!$B$1:$B$675,$B856,Compta!$C$1:$C$675,"2026"),0))</f>
        <v/>
      </c>
      <c r="G856" t="str">
        <f>IF($A856="","",IF($D856="V01",cad!$C$23,IF($D856="V02",cad!$D$23,cad!$E$23)))</f>
        <v/>
      </c>
      <c r="H856" t="str">
        <f>IF($A856="","",IF($D856="V01",cad!$C$24,IF($D856="V02",cad!$D$24,cad!$E$24)))</f>
        <v/>
      </c>
      <c r="I856" t="str">
        <f>IF($A856="","",IF($D856="V01",cad!$C$32,IF($D856="V02",cad!$D$32,cad!$E$32)))</f>
        <v/>
      </c>
      <c r="J856" t="str">
        <f>IF($A856="","",IF($D856="V01",cad!$C$33,IF($D856="V02",cad!$D$33,cad!$E$33)))</f>
        <v/>
      </c>
      <c r="K856" t="str">
        <f>IF($A856="","",IF($D856="V01",cad!$C$34,IF($D856="V02",cad!$D$34,cad!$E$34)))</f>
        <v/>
      </c>
      <c r="L856" t="str">
        <f>IF($A856="","",IF($D856="V01",cad!$C$35,IF($D856="V02",cad!$D$35,cad!$E$35)))</f>
        <v/>
      </c>
      <c r="M856" t="str">
        <f>IF($A856="","",IF($D856="V01",cad!$C$36,IF($D856="V02",cad!$D$36,cad!$E$36)))</f>
        <v/>
      </c>
      <c r="N856" t="str">
        <f t="shared" si="53"/>
        <v/>
      </c>
      <c r="O856" t="str">
        <f t="shared" si="54"/>
        <v/>
      </c>
      <c r="P856" t="str">
        <f>IF($A856="","",IF($E856=1,$F856*$O856,PNL!G856))</f>
        <v/>
      </c>
      <c r="T856" t="str">
        <f t="shared" si="55"/>
        <v/>
      </c>
    </row>
    <row r="857" spans="1:20" x14ac:dyDescent="0.45">
      <c r="A857" t="str">
        <f>IF(PNL!A857="","",PNL!A857)</f>
        <v/>
      </c>
      <c r="B857" t="str">
        <f>IF(PNL!B857="","",PNL!B857)</f>
        <v/>
      </c>
      <c r="C857" t="str">
        <f>IF(PNL!C857="","",PNL!C857)</f>
        <v/>
      </c>
      <c r="D857" t="str">
        <f>IF(PNL!D857="","",PNL!D857)</f>
        <v/>
      </c>
      <c r="E857" t="str">
        <f t="shared" si="52"/>
        <v/>
      </c>
      <c r="F857" t="str">
        <f>IF($A857="","",IF($E857=1,SUMIFS(Compta!$F$1:$F$675,Compta!$A$1:$A$675,$A857,Compta!$B$1:$B$675,$B857,Compta!$C$1:$C$675,"2026"),0))</f>
        <v/>
      </c>
      <c r="G857" t="str">
        <f>IF($A857="","",IF($D857="V01",cad!$C$23,IF($D857="V02",cad!$D$23,cad!$E$23)))</f>
        <v/>
      </c>
      <c r="H857" t="str">
        <f>IF($A857="","",IF($D857="V01",cad!$C$24,IF($D857="V02",cad!$D$24,cad!$E$24)))</f>
        <v/>
      </c>
      <c r="I857" t="str">
        <f>IF($A857="","",IF($D857="V01",cad!$C$32,IF($D857="V02",cad!$D$32,cad!$E$32)))</f>
        <v/>
      </c>
      <c r="J857" t="str">
        <f>IF($A857="","",IF($D857="V01",cad!$C$33,IF($D857="V02",cad!$D$33,cad!$E$33)))</f>
        <v/>
      </c>
      <c r="K857" t="str">
        <f>IF($A857="","",IF($D857="V01",cad!$C$34,IF($D857="V02",cad!$D$34,cad!$E$34)))</f>
        <v/>
      </c>
      <c r="L857" t="str">
        <f>IF($A857="","",IF($D857="V01",cad!$C$35,IF($D857="V02",cad!$D$35,cad!$E$35)))</f>
        <v/>
      </c>
      <c r="M857" t="str">
        <f>IF($A857="","",IF($D857="V01",cad!$C$36,IF($D857="V02",cad!$D$36,cad!$E$36)))</f>
        <v/>
      </c>
      <c r="N857" t="str">
        <f t="shared" si="53"/>
        <v/>
      </c>
      <c r="O857" t="str">
        <f t="shared" si="54"/>
        <v/>
      </c>
      <c r="P857" t="str">
        <f>IF($A857="","",IF($E857=1,$F857*$O857,PNL!G857))</f>
        <v/>
      </c>
      <c r="T857" t="str">
        <f t="shared" si="55"/>
        <v/>
      </c>
    </row>
    <row r="858" spans="1:20" x14ac:dyDescent="0.45">
      <c r="A858" t="str">
        <f>IF(PNL!A858="","",PNL!A858)</f>
        <v/>
      </c>
      <c r="B858" t="str">
        <f>IF(PNL!B858="","",PNL!B858)</f>
        <v/>
      </c>
      <c r="C858" t="str">
        <f>IF(PNL!C858="","",PNL!C858)</f>
        <v/>
      </c>
      <c r="D858" t="str">
        <f>IF(PNL!D858="","",PNL!D858)</f>
        <v/>
      </c>
      <c r="E858" t="str">
        <f t="shared" si="52"/>
        <v/>
      </c>
      <c r="F858" t="str">
        <f>IF($A858="","",IF($E858=1,SUMIFS(Compta!$F$1:$F$675,Compta!$A$1:$A$675,$A858,Compta!$B$1:$B$675,$B858,Compta!$C$1:$C$675,"2026"),0))</f>
        <v/>
      </c>
      <c r="G858" t="str">
        <f>IF($A858="","",IF($D858="V01",cad!$C$23,IF($D858="V02",cad!$D$23,cad!$E$23)))</f>
        <v/>
      </c>
      <c r="H858" t="str">
        <f>IF($A858="","",IF($D858="V01",cad!$C$24,IF($D858="V02",cad!$D$24,cad!$E$24)))</f>
        <v/>
      </c>
      <c r="I858" t="str">
        <f>IF($A858="","",IF($D858="V01",cad!$C$32,IF($D858="V02",cad!$D$32,cad!$E$32)))</f>
        <v/>
      </c>
      <c r="J858" t="str">
        <f>IF($A858="","",IF($D858="V01",cad!$C$33,IF($D858="V02",cad!$D$33,cad!$E$33)))</f>
        <v/>
      </c>
      <c r="K858" t="str">
        <f>IF($A858="","",IF($D858="V01",cad!$C$34,IF($D858="V02",cad!$D$34,cad!$E$34)))</f>
        <v/>
      </c>
      <c r="L858" t="str">
        <f>IF($A858="","",IF($D858="V01",cad!$C$35,IF($D858="V02",cad!$D$35,cad!$E$35)))</f>
        <v/>
      </c>
      <c r="M858" t="str">
        <f>IF($A858="","",IF($D858="V01",cad!$C$36,IF($D858="V02",cad!$D$36,cad!$E$36)))</f>
        <v/>
      </c>
      <c r="N858" t="str">
        <f t="shared" si="53"/>
        <v/>
      </c>
      <c r="O858" t="str">
        <f t="shared" si="54"/>
        <v/>
      </c>
      <c r="P858" t="str">
        <f>IF($A858="","",IF($E858=1,$F858*$O858,PNL!G858))</f>
        <v/>
      </c>
      <c r="T858" t="str">
        <f t="shared" si="55"/>
        <v/>
      </c>
    </row>
    <row r="859" spans="1:20" x14ac:dyDescent="0.45">
      <c r="A859" t="str">
        <f>IF(PNL!A859="","",PNL!A859)</f>
        <v/>
      </c>
      <c r="B859" t="str">
        <f>IF(PNL!B859="","",PNL!B859)</f>
        <v/>
      </c>
      <c r="C859" t="str">
        <f>IF(PNL!C859="","",PNL!C859)</f>
        <v/>
      </c>
      <c r="D859" t="str">
        <f>IF(PNL!D859="","",PNL!D859)</f>
        <v/>
      </c>
      <c r="E859" t="str">
        <f t="shared" si="52"/>
        <v/>
      </c>
      <c r="F859" t="str">
        <f>IF($A859="","",IF($E859=1,SUMIFS(Compta!$F$1:$F$675,Compta!$A$1:$A$675,$A859,Compta!$B$1:$B$675,$B859,Compta!$C$1:$C$675,"2026"),0))</f>
        <v/>
      </c>
      <c r="G859" t="str">
        <f>IF($A859="","",IF($D859="V01",cad!$C$23,IF($D859="V02",cad!$D$23,cad!$E$23)))</f>
        <v/>
      </c>
      <c r="H859" t="str">
        <f>IF($A859="","",IF($D859="V01",cad!$C$24,IF($D859="V02",cad!$D$24,cad!$E$24)))</f>
        <v/>
      </c>
      <c r="I859" t="str">
        <f>IF($A859="","",IF($D859="V01",cad!$C$32,IF($D859="V02",cad!$D$32,cad!$E$32)))</f>
        <v/>
      </c>
      <c r="J859" t="str">
        <f>IF($A859="","",IF($D859="V01",cad!$C$33,IF($D859="V02",cad!$D$33,cad!$E$33)))</f>
        <v/>
      </c>
      <c r="K859" t="str">
        <f>IF($A859="","",IF($D859="V01",cad!$C$34,IF($D859="V02",cad!$D$34,cad!$E$34)))</f>
        <v/>
      </c>
      <c r="L859" t="str">
        <f>IF($A859="","",IF($D859="V01",cad!$C$35,IF($D859="V02",cad!$D$35,cad!$E$35)))</f>
        <v/>
      </c>
      <c r="M859" t="str">
        <f>IF($A859="","",IF($D859="V01",cad!$C$36,IF($D859="V02",cad!$D$36,cad!$E$36)))</f>
        <v/>
      </c>
      <c r="N859" t="str">
        <f t="shared" si="53"/>
        <v/>
      </c>
      <c r="O859" t="str">
        <f t="shared" si="54"/>
        <v/>
      </c>
      <c r="P859" t="str">
        <f>IF($A859="","",IF($E859=1,$F859*$O859,PNL!G859))</f>
        <v/>
      </c>
      <c r="T859" t="str">
        <f t="shared" si="55"/>
        <v/>
      </c>
    </row>
    <row r="860" spans="1:20" x14ac:dyDescent="0.45">
      <c r="A860" t="str">
        <f>IF(PNL!A860="","",PNL!A860)</f>
        <v/>
      </c>
      <c r="B860" t="str">
        <f>IF(PNL!B860="","",PNL!B860)</f>
        <v/>
      </c>
      <c r="C860" t="str">
        <f>IF(PNL!C860="","",PNL!C860)</f>
        <v/>
      </c>
      <c r="D860" t="str">
        <f>IF(PNL!D860="","",PNL!D860)</f>
        <v/>
      </c>
      <c r="E860" t="str">
        <f t="shared" si="52"/>
        <v/>
      </c>
      <c r="F860" t="str">
        <f>IF($A860="","",IF($E860=1,SUMIFS(Compta!$F$1:$F$675,Compta!$A$1:$A$675,$A860,Compta!$B$1:$B$675,$B860,Compta!$C$1:$C$675,"2026"),0))</f>
        <v/>
      </c>
      <c r="G860" t="str">
        <f>IF($A860="","",IF($D860="V01",cad!$C$23,IF($D860="V02",cad!$D$23,cad!$E$23)))</f>
        <v/>
      </c>
      <c r="H860" t="str">
        <f>IF($A860="","",IF($D860="V01",cad!$C$24,IF($D860="V02",cad!$D$24,cad!$E$24)))</f>
        <v/>
      </c>
      <c r="I860" t="str">
        <f>IF($A860="","",IF($D860="V01",cad!$C$32,IF($D860="V02",cad!$D$32,cad!$E$32)))</f>
        <v/>
      </c>
      <c r="J860" t="str">
        <f>IF($A860="","",IF($D860="V01",cad!$C$33,IF($D860="V02",cad!$D$33,cad!$E$33)))</f>
        <v/>
      </c>
      <c r="K860" t="str">
        <f>IF($A860="","",IF($D860="V01",cad!$C$34,IF($D860="V02",cad!$D$34,cad!$E$34)))</f>
        <v/>
      </c>
      <c r="L860" t="str">
        <f>IF($A860="","",IF($D860="V01",cad!$C$35,IF($D860="V02",cad!$D$35,cad!$E$35)))</f>
        <v/>
      </c>
      <c r="M860" t="str">
        <f>IF($A860="","",IF($D860="V01",cad!$C$36,IF($D860="V02",cad!$D$36,cad!$E$36)))</f>
        <v/>
      </c>
      <c r="N860" t="str">
        <f t="shared" si="53"/>
        <v/>
      </c>
      <c r="O860" t="str">
        <f t="shared" si="54"/>
        <v/>
      </c>
      <c r="P860" t="str">
        <f>IF($A860="","",IF($E860=1,$F860*$O860,PNL!G860))</f>
        <v/>
      </c>
      <c r="T860" t="str">
        <f t="shared" si="55"/>
        <v/>
      </c>
    </row>
    <row r="861" spans="1:20" x14ac:dyDescent="0.45">
      <c r="A861" t="str">
        <f>IF(PNL!A861="","",PNL!A861)</f>
        <v/>
      </c>
      <c r="B861" t="str">
        <f>IF(PNL!B861="","",PNL!B861)</f>
        <v/>
      </c>
      <c r="C861" t="str">
        <f>IF(PNL!C861="","",PNL!C861)</f>
        <v/>
      </c>
      <c r="D861" t="str">
        <f>IF(PNL!D861="","",PNL!D861)</f>
        <v/>
      </c>
      <c r="E861" t="str">
        <f t="shared" si="52"/>
        <v/>
      </c>
      <c r="F861" t="str">
        <f>IF($A861="","",IF($E861=1,SUMIFS(Compta!$F$1:$F$675,Compta!$A$1:$A$675,$A861,Compta!$B$1:$B$675,$B861,Compta!$C$1:$C$675,"2026"),0))</f>
        <v/>
      </c>
      <c r="G861" t="str">
        <f>IF($A861="","",IF($D861="V01",cad!$C$23,IF($D861="V02",cad!$D$23,cad!$E$23)))</f>
        <v/>
      </c>
      <c r="H861" t="str">
        <f>IF($A861="","",IF($D861="V01",cad!$C$24,IF($D861="V02",cad!$D$24,cad!$E$24)))</f>
        <v/>
      </c>
      <c r="I861" t="str">
        <f>IF($A861="","",IF($D861="V01",cad!$C$32,IF($D861="V02",cad!$D$32,cad!$E$32)))</f>
        <v/>
      </c>
      <c r="J861" t="str">
        <f>IF($A861="","",IF($D861="V01",cad!$C$33,IF($D861="V02",cad!$D$33,cad!$E$33)))</f>
        <v/>
      </c>
      <c r="K861" t="str">
        <f>IF($A861="","",IF($D861="V01",cad!$C$34,IF($D861="V02",cad!$D$34,cad!$E$34)))</f>
        <v/>
      </c>
      <c r="L861" t="str">
        <f>IF($A861="","",IF($D861="V01",cad!$C$35,IF($D861="V02",cad!$D$35,cad!$E$35)))</f>
        <v/>
      </c>
      <c r="M861" t="str">
        <f>IF($A861="","",IF($D861="V01",cad!$C$36,IF($D861="V02",cad!$D$36,cad!$E$36)))</f>
        <v/>
      </c>
      <c r="N861" t="str">
        <f t="shared" si="53"/>
        <v/>
      </c>
      <c r="O861" t="str">
        <f t="shared" si="54"/>
        <v/>
      </c>
      <c r="P861" t="str">
        <f>IF($A861="","",IF($E861=1,$F861*$O861,PNL!G861))</f>
        <v/>
      </c>
      <c r="T861" t="str">
        <f t="shared" si="55"/>
        <v/>
      </c>
    </row>
    <row r="862" spans="1:20" x14ac:dyDescent="0.45">
      <c r="A862" t="str">
        <f>IF(PNL!A862="","",PNL!A862)</f>
        <v/>
      </c>
      <c r="B862" t="str">
        <f>IF(PNL!B862="","",PNL!B862)</f>
        <v/>
      </c>
      <c r="C862" t="str">
        <f>IF(PNL!C862="","",PNL!C862)</f>
        <v/>
      </c>
      <c r="D862" t="str">
        <f>IF(PNL!D862="","",PNL!D862)</f>
        <v/>
      </c>
      <c r="E862" t="str">
        <f t="shared" si="52"/>
        <v/>
      </c>
      <c r="F862" t="str">
        <f>IF($A862="","",IF($E862=1,SUMIFS(Compta!$F$1:$F$675,Compta!$A$1:$A$675,$A862,Compta!$B$1:$B$675,$B862,Compta!$C$1:$C$675,"2026"),0))</f>
        <v/>
      </c>
      <c r="G862" t="str">
        <f>IF($A862="","",IF($D862="V01",cad!$C$23,IF($D862="V02",cad!$D$23,cad!$E$23)))</f>
        <v/>
      </c>
      <c r="H862" t="str">
        <f>IF($A862="","",IF($D862="V01",cad!$C$24,IF($D862="V02",cad!$D$24,cad!$E$24)))</f>
        <v/>
      </c>
      <c r="I862" t="str">
        <f>IF($A862="","",IF($D862="V01",cad!$C$32,IF($D862="V02",cad!$D$32,cad!$E$32)))</f>
        <v/>
      </c>
      <c r="J862" t="str">
        <f>IF($A862="","",IF($D862="V01",cad!$C$33,IF($D862="V02",cad!$D$33,cad!$E$33)))</f>
        <v/>
      </c>
      <c r="K862" t="str">
        <f>IF($A862="","",IF($D862="V01",cad!$C$34,IF($D862="V02",cad!$D$34,cad!$E$34)))</f>
        <v/>
      </c>
      <c r="L862" t="str">
        <f>IF($A862="","",IF($D862="V01",cad!$C$35,IF($D862="V02",cad!$D$35,cad!$E$35)))</f>
        <v/>
      </c>
      <c r="M862" t="str">
        <f>IF($A862="","",IF($D862="V01",cad!$C$36,IF($D862="V02",cad!$D$36,cad!$E$36)))</f>
        <v/>
      </c>
      <c r="N862" t="str">
        <f t="shared" si="53"/>
        <v/>
      </c>
      <c r="O862" t="str">
        <f t="shared" si="54"/>
        <v/>
      </c>
      <c r="P862" t="str">
        <f>IF($A862="","",IF($E862=1,$F862*$O862,PNL!G862))</f>
        <v/>
      </c>
      <c r="T862" t="str">
        <f t="shared" si="55"/>
        <v/>
      </c>
    </row>
    <row r="863" spans="1:20" x14ac:dyDescent="0.45">
      <c r="A863" t="str">
        <f>IF(PNL!A863="","",PNL!A863)</f>
        <v/>
      </c>
      <c r="B863" t="str">
        <f>IF(PNL!B863="","",PNL!B863)</f>
        <v/>
      </c>
      <c r="C863" t="str">
        <f>IF(PNL!C863="","",PNL!C863)</f>
        <v/>
      </c>
      <c r="D863" t="str">
        <f>IF(PNL!D863="","",PNL!D863)</f>
        <v/>
      </c>
      <c r="E863" t="str">
        <f t="shared" si="52"/>
        <v/>
      </c>
      <c r="F863" t="str">
        <f>IF($A863="","",IF($E863=1,SUMIFS(Compta!$F$1:$F$675,Compta!$A$1:$A$675,$A863,Compta!$B$1:$B$675,$B863,Compta!$C$1:$C$675,"2026"),0))</f>
        <v/>
      </c>
      <c r="G863" t="str">
        <f>IF($A863="","",IF($D863="V01",cad!$C$23,IF($D863="V02",cad!$D$23,cad!$E$23)))</f>
        <v/>
      </c>
      <c r="H863" t="str">
        <f>IF($A863="","",IF($D863="V01",cad!$C$24,IF($D863="V02",cad!$D$24,cad!$E$24)))</f>
        <v/>
      </c>
      <c r="I863" t="str">
        <f>IF($A863="","",IF($D863="V01",cad!$C$32,IF($D863="V02",cad!$D$32,cad!$E$32)))</f>
        <v/>
      </c>
      <c r="J863" t="str">
        <f>IF($A863="","",IF($D863="V01",cad!$C$33,IF($D863="V02",cad!$D$33,cad!$E$33)))</f>
        <v/>
      </c>
      <c r="K863" t="str">
        <f>IF($A863="","",IF($D863="V01",cad!$C$34,IF($D863="V02",cad!$D$34,cad!$E$34)))</f>
        <v/>
      </c>
      <c r="L863" t="str">
        <f>IF($A863="","",IF($D863="V01",cad!$C$35,IF($D863="V02",cad!$D$35,cad!$E$35)))</f>
        <v/>
      </c>
      <c r="M863" t="str">
        <f>IF($A863="","",IF($D863="V01",cad!$C$36,IF($D863="V02",cad!$D$36,cad!$E$36)))</f>
        <v/>
      </c>
      <c r="N863" t="str">
        <f t="shared" si="53"/>
        <v/>
      </c>
      <c r="O863" t="str">
        <f t="shared" si="54"/>
        <v/>
      </c>
      <c r="P863" t="str">
        <f>IF($A863="","",IF($E863=1,$F863*$O863,PNL!G863))</f>
        <v/>
      </c>
      <c r="T863" t="str">
        <f t="shared" si="55"/>
        <v/>
      </c>
    </row>
    <row r="864" spans="1:20" x14ac:dyDescent="0.45">
      <c r="A864" t="str">
        <f>IF(PNL!A864="","",PNL!A864)</f>
        <v/>
      </c>
      <c r="B864" t="str">
        <f>IF(PNL!B864="","",PNL!B864)</f>
        <v/>
      </c>
      <c r="C864" t="str">
        <f>IF(PNL!C864="","",PNL!C864)</f>
        <v/>
      </c>
      <c r="D864" t="str">
        <f>IF(PNL!D864="","",PNL!D864)</f>
        <v/>
      </c>
      <c r="E864" t="str">
        <f t="shared" si="52"/>
        <v/>
      </c>
      <c r="F864" t="str">
        <f>IF($A864="","",IF($E864=1,SUMIFS(Compta!$F$1:$F$675,Compta!$A$1:$A$675,$A864,Compta!$B$1:$B$675,$B864,Compta!$C$1:$C$675,"2026"),0))</f>
        <v/>
      </c>
      <c r="G864" t="str">
        <f>IF($A864="","",IF($D864="V01",cad!$C$23,IF($D864="V02",cad!$D$23,cad!$E$23)))</f>
        <v/>
      </c>
      <c r="H864" t="str">
        <f>IF($A864="","",IF($D864="V01",cad!$C$24,IF($D864="V02",cad!$D$24,cad!$E$24)))</f>
        <v/>
      </c>
      <c r="I864" t="str">
        <f>IF($A864="","",IF($D864="V01",cad!$C$32,IF($D864="V02",cad!$D$32,cad!$E$32)))</f>
        <v/>
      </c>
      <c r="J864" t="str">
        <f>IF($A864="","",IF($D864="V01",cad!$C$33,IF($D864="V02",cad!$D$33,cad!$E$33)))</f>
        <v/>
      </c>
      <c r="K864" t="str">
        <f>IF($A864="","",IF($D864="V01",cad!$C$34,IF($D864="V02",cad!$D$34,cad!$E$34)))</f>
        <v/>
      </c>
      <c r="L864" t="str">
        <f>IF($A864="","",IF($D864="V01",cad!$C$35,IF($D864="V02",cad!$D$35,cad!$E$35)))</f>
        <v/>
      </c>
      <c r="M864" t="str">
        <f>IF($A864="","",IF($D864="V01",cad!$C$36,IF($D864="V02",cad!$D$36,cad!$E$36)))</f>
        <v/>
      </c>
      <c r="N864" t="str">
        <f t="shared" si="53"/>
        <v/>
      </c>
      <c r="O864" t="str">
        <f t="shared" si="54"/>
        <v/>
      </c>
      <c r="P864" t="str">
        <f>IF($A864="","",IF($E864=1,$F864*$O864,PNL!G864))</f>
        <v/>
      </c>
      <c r="T864" t="str">
        <f t="shared" si="55"/>
        <v/>
      </c>
    </row>
    <row r="865" spans="1:20" x14ac:dyDescent="0.45">
      <c r="A865" t="str">
        <f>IF(PNL!A865="","",PNL!A865)</f>
        <v/>
      </c>
      <c r="B865" t="str">
        <f>IF(PNL!B865="","",PNL!B865)</f>
        <v/>
      </c>
      <c r="C865" t="str">
        <f>IF(PNL!C865="","",PNL!C865)</f>
        <v/>
      </c>
      <c r="D865" t="str">
        <f>IF(PNL!D865="","",PNL!D865)</f>
        <v/>
      </c>
      <c r="E865" t="str">
        <f t="shared" si="52"/>
        <v/>
      </c>
      <c r="F865" t="str">
        <f>IF($A865="","",IF($E865=1,SUMIFS(Compta!$F$1:$F$675,Compta!$A$1:$A$675,$A865,Compta!$B$1:$B$675,$B865,Compta!$C$1:$C$675,"2026"),0))</f>
        <v/>
      </c>
      <c r="G865" t="str">
        <f>IF($A865="","",IF($D865="V01",cad!$C$23,IF($D865="V02",cad!$D$23,cad!$E$23)))</f>
        <v/>
      </c>
      <c r="H865" t="str">
        <f>IF($A865="","",IF($D865="V01",cad!$C$24,IF($D865="V02",cad!$D$24,cad!$E$24)))</f>
        <v/>
      </c>
      <c r="I865" t="str">
        <f>IF($A865="","",IF($D865="V01",cad!$C$32,IF($D865="V02",cad!$D$32,cad!$E$32)))</f>
        <v/>
      </c>
      <c r="J865" t="str">
        <f>IF($A865="","",IF($D865="V01",cad!$C$33,IF($D865="V02",cad!$D$33,cad!$E$33)))</f>
        <v/>
      </c>
      <c r="K865" t="str">
        <f>IF($A865="","",IF($D865="V01",cad!$C$34,IF($D865="V02",cad!$D$34,cad!$E$34)))</f>
        <v/>
      </c>
      <c r="L865" t="str">
        <f>IF($A865="","",IF($D865="V01",cad!$C$35,IF($D865="V02",cad!$D$35,cad!$E$35)))</f>
        <v/>
      </c>
      <c r="M865" t="str">
        <f>IF($A865="","",IF($D865="V01",cad!$C$36,IF($D865="V02",cad!$D$36,cad!$E$36)))</f>
        <v/>
      </c>
      <c r="N865" t="str">
        <f t="shared" si="53"/>
        <v/>
      </c>
      <c r="O865" t="str">
        <f t="shared" si="54"/>
        <v/>
      </c>
      <c r="P865" t="str">
        <f>IF($A865="","",IF($E865=1,$F865*$O865,PNL!G865))</f>
        <v/>
      </c>
      <c r="T865" t="str">
        <f t="shared" si="55"/>
        <v/>
      </c>
    </row>
    <row r="866" spans="1:20" x14ac:dyDescent="0.45">
      <c r="A866" t="str">
        <f>IF(PNL!A866="","",PNL!A866)</f>
        <v/>
      </c>
      <c r="B866" t="str">
        <f>IF(PNL!B866="","",PNL!B866)</f>
        <v/>
      </c>
      <c r="C866" t="str">
        <f>IF(PNL!C866="","",PNL!C866)</f>
        <v/>
      </c>
      <c r="D866" t="str">
        <f>IF(PNL!D866="","",PNL!D866)</f>
        <v/>
      </c>
      <c r="E866" t="str">
        <f t="shared" si="52"/>
        <v/>
      </c>
      <c r="F866" t="str">
        <f>IF($A866="","",IF($E866=1,SUMIFS(Compta!$F$1:$F$675,Compta!$A$1:$A$675,$A866,Compta!$B$1:$B$675,$B866,Compta!$C$1:$C$675,"2026"),0))</f>
        <v/>
      </c>
      <c r="G866" t="str">
        <f>IF($A866="","",IF($D866="V01",cad!$C$23,IF($D866="V02",cad!$D$23,cad!$E$23)))</f>
        <v/>
      </c>
      <c r="H866" t="str">
        <f>IF($A866="","",IF($D866="V01",cad!$C$24,IF($D866="V02",cad!$D$24,cad!$E$24)))</f>
        <v/>
      </c>
      <c r="I866" t="str">
        <f>IF($A866="","",IF($D866="V01",cad!$C$32,IF($D866="V02",cad!$D$32,cad!$E$32)))</f>
        <v/>
      </c>
      <c r="J866" t="str">
        <f>IF($A866="","",IF($D866="V01",cad!$C$33,IF($D866="V02",cad!$D$33,cad!$E$33)))</f>
        <v/>
      </c>
      <c r="K866" t="str">
        <f>IF($A866="","",IF($D866="V01",cad!$C$34,IF($D866="V02",cad!$D$34,cad!$E$34)))</f>
        <v/>
      </c>
      <c r="L866" t="str">
        <f>IF($A866="","",IF($D866="V01",cad!$C$35,IF($D866="V02",cad!$D$35,cad!$E$35)))</f>
        <v/>
      </c>
      <c r="M866" t="str">
        <f>IF($A866="","",IF($D866="V01",cad!$C$36,IF($D866="V02",cad!$D$36,cad!$E$36)))</f>
        <v/>
      </c>
      <c r="N866" t="str">
        <f t="shared" si="53"/>
        <v/>
      </c>
      <c r="O866" t="str">
        <f t="shared" si="54"/>
        <v/>
      </c>
      <c r="P866" t="str">
        <f>IF($A866="","",IF($E866=1,$F866*$O866,PNL!G866))</f>
        <v/>
      </c>
      <c r="T866" t="str">
        <f t="shared" si="55"/>
        <v/>
      </c>
    </row>
    <row r="867" spans="1:20" x14ac:dyDescent="0.45">
      <c r="A867" t="str">
        <f>IF(PNL!A867="","",PNL!A867)</f>
        <v/>
      </c>
      <c r="B867" t="str">
        <f>IF(PNL!B867="","",PNL!B867)</f>
        <v/>
      </c>
      <c r="C867" t="str">
        <f>IF(PNL!C867="","",PNL!C867)</f>
        <v/>
      </c>
      <c r="D867" t="str">
        <f>IF(PNL!D867="","",PNL!D867)</f>
        <v/>
      </c>
      <c r="E867" t="str">
        <f t="shared" si="52"/>
        <v/>
      </c>
      <c r="F867" t="str">
        <f>IF($A867="","",IF($E867=1,SUMIFS(Compta!$F$1:$F$675,Compta!$A$1:$A$675,$A867,Compta!$B$1:$B$675,$B867,Compta!$C$1:$C$675,"2026"),0))</f>
        <v/>
      </c>
      <c r="G867" t="str">
        <f>IF($A867="","",IF($D867="V01",cad!$C$23,IF($D867="V02",cad!$D$23,cad!$E$23)))</f>
        <v/>
      </c>
      <c r="H867" t="str">
        <f>IF($A867="","",IF($D867="V01",cad!$C$24,IF($D867="V02",cad!$D$24,cad!$E$24)))</f>
        <v/>
      </c>
      <c r="I867" t="str">
        <f>IF($A867="","",IF($D867="V01",cad!$C$32,IF($D867="V02",cad!$D$32,cad!$E$32)))</f>
        <v/>
      </c>
      <c r="J867" t="str">
        <f>IF($A867="","",IF($D867="V01",cad!$C$33,IF($D867="V02",cad!$D$33,cad!$E$33)))</f>
        <v/>
      </c>
      <c r="K867" t="str">
        <f>IF($A867="","",IF($D867="V01",cad!$C$34,IF($D867="V02",cad!$D$34,cad!$E$34)))</f>
        <v/>
      </c>
      <c r="L867" t="str">
        <f>IF($A867="","",IF($D867="V01",cad!$C$35,IF($D867="V02",cad!$D$35,cad!$E$35)))</f>
        <v/>
      </c>
      <c r="M867" t="str">
        <f>IF($A867="","",IF($D867="V01",cad!$C$36,IF($D867="V02",cad!$D$36,cad!$E$36)))</f>
        <v/>
      </c>
      <c r="N867" t="str">
        <f t="shared" si="53"/>
        <v/>
      </c>
      <c r="O867" t="str">
        <f t="shared" si="54"/>
        <v/>
      </c>
      <c r="P867" t="str">
        <f>IF($A867="","",IF($E867=1,$F867*$O867,PNL!G867))</f>
        <v/>
      </c>
      <c r="T867" t="str">
        <f t="shared" si="55"/>
        <v/>
      </c>
    </row>
    <row r="868" spans="1:20" x14ac:dyDescent="0.45">
      <c r="A868" t="str">
        <f>IF(PNL!A868="","",PNL!A868)</f>
        <v/>
      </c>
      <c r="B868" t="str">
        <f>IF(PNL!B868="","",PNL!B868)</f>
        <v/>
      </c>
      <c r="C868" t="str">
        <f>IF(PNL!C868="","",PNL!C868)</f>
        <v/>
      </c>
      <c r="D868" t="str">
        <f>IF(PNL!D868="","",PNL!D868)</f>
        <v/>
      </c>
      <c r="E868" t="str">
        <f t="shared" si="52"/>
        <v/>
      </c>
      <c r="F868" t="str">
        <f>IF($A868="","",IF($E868=1,SUMIFS(Compta!$F$1:$F$675,Compta!$A$1:$A$675,$A868,Compta!$B$1:$B$675,$B868,Compta!$C$1:$C$675,"2026"),0))</f>
        <v/>
      </c>
      <c r="G868" t="str">
        <f>IF($A868="","",IF($D868="V01",cad!$C$23,IF($D868="V02",cad!$D$23,cad!$E$23)))</f>
        <v/>
      </c>
      <c r="H868" t="str">
        <f>IF($A868="","",IF($D868="V01",cad!$C$24,IF($D868="V02",cad!$D$24,cad!$E$24)))</f>
        <v/>
      </c>
      <c r="I868" t="str">
        <f>IF($A868="","",IF($D868="V01",cad!$C$32,IF($D868="V02",cad!$D$32,cad!$E$32)))</f>
        <v/>
      </c>
      <c r="J868" t="str">
        <f>IF($A868="","",IF($D868="V01",cad!$C$33,IF($D868="V02",cad!$D$33,cad!$E$33)))</f>
        <v/>
      </c>
      <c r="K868" t="str">
        <f>IF($A868="","",IF($D868="V01",cad!$C$34,IF($D868="V02",cad!$D$34,cad!$E$34)))</f>
        <v/>
      </c>
      <c r="L868" t="str">
        <f>IF($A868="","",IF($D868="V01",cad!$C$35,IF($D868="V02",cad!$D$35,cad!$E$35)))</f>
        <v/>
      </c>
      <c r="M868" t="str">
        <f>IF($A868="","",IF($D868="V01",cad!$C$36,IF($D868="V02",cad!$D$36,cad!$E$36)))</f>
        <v/>
      </c>
      <c r="N868" t="str">
        <f t="shared" si="53"/>
        <v/>
      </c>
      <c r="O868" t="str">
        <f t="shared" si="54"/>
        <v/>
      </c>
      <c r="P868" t="str">
        <f>IF($A868="","",IF($E868=1,$F868*$O868,PNL!G868))</f>
        <v/>
      </c>
      <c r="T868" t="str">
        <f t="shared" si="55"/>
        <v/>
      </c>
    </row>
    <row r="869" spans="1:20" x14ac:dyDescent="0.45">
      <c r="A869" t="str">
        <f>IF(PNL!A869="","",PNL!A869)</f>
        <v/>
      </c>
      <c r="B869" t="str">
        <f>IF(PNL!B869="","",PNL!B869)</f>
        <v/>
      </c>
      <c r="C869" t="str">
        <f>IF(PNL!C869="","",PNL!C869)</f>
        <v/>
      </c>
      <c r="D869" t="str">
        <f>IF(PNL!D869="","",PNL!D869)</f>
        <v/>
      </c>
      <c r="E869" t="str">
        <f t="shared" si="52"/>
        <v/>
      </c>
      <c r="F869" t="str">
        <f>IF($A869="","",IF($E869=1,SUMIFS(Compta!$F$1:$F$675,Compta!$A$1:$A$675,$A869,Compta!$B$1:$B$675,$B869,Compta!$C$1:$C$675,"2026"),0))</f>
        <v/>
      </c>
      <c r="G869" t="str">
        <f>IF($A869="","",IF($D869="V01",cad!$C$23,IF($D869="V02",cad!$D$23,cad!$E$23)))</f>
        <v/>
      </c>
      <c r="H869" t="str">
        <f>IF($A869="","",IF($D869="V01",cad!$C$24,IF($D869="V02",cad!$D$24,cad!$E$24)))</f>
        <v/>
      </c>
      <c r="I869" t="str">
        <f>IF($A869="","",IF($D869="V01",cad!$C$32,IF($D869="V02",cad!$D$32,cad!$E$32)))</f>
        <v/>
      </c>
      <c r="J869" t="str">
        <f>IF($A869="","",IF($D869="V01",cad!$C$33,IF($D869="V02",cad!$D$33,cad!$E$33)))</f>
        <v/>
      </c>
      <c r="K869" t="str">
        <f>IF($A869="","",IF($D869="V01",cad!$C$34,IF($D869="V02",cad!$D$34,cad!$E$34)))</f>
        <v/>
      </c>
      <c r="L869" t="str">
        <f>IF($A869="","",IF($D869="V01",cad!$C$35,IF($D869="V02",cad!$D$35,cad!$E$35)))</f>
        <v/>
      </c>
      <c r="M869" t="str">
        <f>IF($A869="","",IF($D869="V01",cad!$C$36,IF($D869="V02",cad!$D$36,cad!$E$36)))</f>
        <v/>
      </c>
      <c r="N869" t="str">
        <f t="shared" si="53"/>
        <v/>
      </c>
      <c r="O869" t="str">
        <f t="shared" si="54"/>
        <v/>
      </c>
      <c r="P869" t="str">
        <f>IF($A869="","",IF($E869=1,$F869*$O869,PNL!G869))</f>
        <v/>
      </c>
      <c r="T869" t="str">
        <f t="shared" si="55"/>
        <v/>
      </c>
    </row>
    <row r="870" spans="1:20" x14ac:dyDescent="0.45">
      <c r="A870" t="str">
        <f>IF(PNL!A870="","",PNL!A870)</f>
        <v/>
      </c>
      <c r="B870" t="str">
        <f>IF(PNL!B870="","",PNL!B870)</f>
        <v/>
      </c>
      <c r="C870" t="str">
        <f>IF(PNL!C870="","",PNL!C870)</f>
        <v/>
      </c>
      <c r="D870" t="str">
        <f>IF(PNL!D870="","",PNL!D870)</f>
        <v/>
      </c>
      <c r="E870" t="str">
        <f t="shared" si="52"/>
        <v/>
      </c>
      <c r="F870" t="str">
        <f>IF($A870="","",IF($E870=1,SUMIFS(Compta!$F$1:$F$675,Compta!$A$1:$A$675,$A870,Compta!$B$1:$B$675,$B870,Compta!$C$1:$C$675,"2026"),0))</f>
        <v/>
      </c>
      <c r="G870" t="str">
        <f>IF($A870="","",IF($D870="V01",cad!$C$23,IF($D870="V02",cad!$D$23,cad!$E$23)))</f>
        <v/>
      </c>
      <c r="H870" t="str">
        <f>IF($A870="","",IF($D870="V01",cad!$C$24,IF($D870="V02",cad!$D$24,cad!$E$24)))</f>
        <v/>
      </c>
      <c r="I870" t="str">
        <f>IF($A870="","",IF($D870="V01",cad!$C$32,IF($D870="V02",cad!$D$32,cad!$E$32)))</f>
        <v/>
      </c>
      <c r="J870" t="str">
        <f>IF($A870="","",IF($D870="V01",cad!$C$33,IF($D870="V02",cad!$D$33,cad!$E$33)))</f>
        <v/>
      </c>
      <c r="K870" t="str">
        <f>IF($A870="","",IF($D870="V01",cad!$C$34,IF($D870="V02",cad!$D$34,cad!$E$34)))</f>
        <v/>
      </c>
      <c r="L870" t="str">
        <f>IF($A870="","",IF($D870="V01",cad!$C$35,IF($D870="V02",cad!$D$35,cad!$E$35)))</f>
        <v/>
      </c>
      <c r="M870" t="str">
        <f>IF($A870="","",IF($D870="V01",cad!$C$36,IF($D870="V02",cad!$D$36,cad!$E$36)))</f>
        <v/>
      </c>
      <c r="N870" t="str">
        <f t="shared" si="53"/>
        <v/>
      </c>
      <c r="O870" t="str">
        <f t="shared" si="54"/>
        <v/>
      </c>
      <c r="P870" t="str">
        <f>IF($A870="","",IF($E870=1,$F870*$O870,PNL!G870))</f>
        <v/>
      </c>
      <c r="T870" t="str">
        <f t="shared" si="55"/>
        <v/>
      </c>
    </row>
    <row r="871" spans="1:20" x14ac:dyDescent="0.45">
      <c r="A871" t="str">
        <f>IF(PNL!A871="","",PNL!A871)</f>
        <v/>
      </c>
      <c r="B871" t="str">
        <f>IF(PNL!B871="","",PNL!B871)</f>
        <v/>
      </c>
      <c r="C871" t="str">
        <f>IF(PNL!C871="","",PNL!C871)</f>
        <v/>
      </c>
      <c r="D871" t="str">
        <f>IF(PNL!D871="","",PNL!D871)</f>
        <v/>
      </c>
      <c r="E871" t="str">
        <f t="shared" si="52"/>
        <v/>
      </c>
      <c r="F871" t="str">
        <f>IF($A871="","",IF($E871=1,SUMIFS(Compta!$F$1:$F$675,Compta!$A$1:$A$675,$A871,Compta!$B$1:$B$675,$B871,Compta!$C$1:$C$675,"2026"),0))</f>
        <v/>
      </c>
      <c r="G871" t="str">
        <f>IF($A871="","",IF($D871="V01",cad!$C$23,IF($D871="V02",cad!$D$23,cad!$E$23)))</f>
        <v/>
      </c>
      <c r="H871" t="str">
        <f>IF($A871="","",IF($D871="V01",cad!$C$24,IF($D871="V02",cad!$D$24,cad!$E$24)))</f>
        <v/>
      </c>
      <c r="I871" t="str">
        <f>IF($A871="","",IF($D871="V01",cad!$C$32,IF($D871="V02",cad!$D$32,cad!$E$32)))</f>
        <v/>
      </c>
      <c r="J871" t="str">
        <f>IF($A871="","",IF($D871="V01",cad!$C$33,IF($D871="V02",cad!$D$33,cad!$E$33)))</f>
        <v/>
      </c>
      <c r="K871" t="str">
        <f>IF($A871="","",IF($D871="V01",cad!$C$34,IF($D871="V02",cad!$D$34,cad!$E$34)))</f>
        <v/>
      </c>
      <c r="L871" t="str">
        <f>IF($A871="","",IF($D871="V01",cad!$C$35,IF($D871="V02",cad!$D$35,cad!$E$35)))</f>
        <v/>
      </c>
      <c r="M871" t="str">
        <f>IF($A871="","",IF($D871="V01",cad!$C$36,IF($D871="V02",cad!$D$36,cad!$E$36)))</f>
        <v/>
      </c>
      <c r="N871" t="str">
        <f t="shared" si="53"/>
        <v/>
      </c>
      <c r="O871" t="str">
        <f t="shared" si="54"/>
        <v/>
      </c>
      <c r="P871" t="str">
        <f>IF($A871="","",IF($E871=1,$F871*$O871,PNL!G871))</f>
        <v/>
      </c>
      <c r="T871" t="str">
        <f t="shared" si="55"/>
        <v/>
      </c>
    </row>
    <row r="872" spans="1:20" x14ac:dyDescent="0.45">
      <c r="A872" t="str">
        <f>IF(PNL!A872="","",PNL!A872)</f>
        <v/>
      </c>
      <c r="B872" t="str">
        <f>IF(PNL!B872="","",PNL!B872)</f>
        <v/>
      </c>
      <c r="C872" t="str">
        <f>IF(PNL!C872="","",PNL!C872)</f>
        <v/>
      </c>
      <c r="D872" t="str">
        <f>IF(PNL!D872="","",PNL!D872)</f>
        <v/>
      </c>
      <c r="E872" t="str">
        <f t="shared" si="52"/>
        <v/>
      </c>
      <c r="F872" t="str">
        <f>IF($A872="","",IF($E872=1,SUMIFS(Compta!$F$1:$F$675,Compta!$A$1:$A$675,$A872,Compta!$B$1:$B$675,$B872,Compta!$C$1:$C$675,"2026"),0))</f>
        <v/>
      </c>
      <c r="G872" t="str">
        <f>IF($A872="","",IF($D872="V01",cad!$C$23,IF($D872="V02",cad!$D$23,cad!$E$23)))</f>
        <v/>
      </c>
      <c r="H872" t="str">
        <f>IF($A872="","",IF($D872="V01",cad!$C$24,IF($D872="V02",cad!$D$24,cad!$E$24)))</f>
        <v/>
      </c>
      <c r="I872" t="str">
        <f>IF($A872="","",IF($D872="V01",cad!$C$32,IF($D872="V02",cad!$D$32,cad!$E$32)))</f>
        <v/>
      </c>
      <c r="J872" t="str">
        <f>IF($A872="","",IF($D872="V01",cad!$C$33,IF($D872="V02",cad!$D$33,cad!$E$33)))</f>
        <v/>
      </c>
      <c r="K872" t="str">
        <f>IF($A872="","",IF($D872="V01",cad!$C$34,IF($D872="V02",cad!$D$34,cad!$E$34)))</f>
        <v/>
      </c>
      <c r="L872" t="str">
        <f>IF($A872="","",IF($D872="V01",cad!$C$35,IF($D872="V02",cad!$D$35,cad!$E$35)))</f>
        <v/>
      </c>
      <c r="M872" t="str">
        <f>IF($A872="","",IF($D872="V01",cad!$C$36,IF($D872="V02",cad!$D$36,cad!$E$36)))</f>
        <v/>
      </c>
      <c r="N872" t="str">
        <f t="shared" si="53"/>
        <v/>
      </c>
      <c r="O872" t="str">
        <f t="shared" si="54"/>
        <v/>
      </c>
      <c r="P872" t="str">
        <f>IF($A872="","",IF($E872=1,$F872*$O872,PNL!G872))</f>
        <v/>
      </c>
      <c r="T872" t="str">
        <f t="shared" si="55"/>
        <v/>
      </c>
    </row>
    <row r="873" spans="1:20" x14ac:dyDescent="0.45">
      <c r="A873" t="str">
        <f>IF(PNL!A873="","",PNL!A873)</f>
        <v/>
      </c>
      <c r="B873" t="str">
        <f>IF(PNL!B873="","",PNL!B873)</f>
        <v/>
      </c>
      <c r="C873" t="str">
        <f>IF(PNL!C873="","",PNL!C873)</f>
        <v/>
      </c>
      <c r="D873" t="str">
        <f>IF(PNL!D873="","",PNL!D873)</f>
        <v/>
      </c>
      <c r="E873" t="str">
        <f t="shared" si="52"/>
        <v/>
      </c>
      <c r="F873" t="str">
        <f>IF($A873="","",IF($E873=1,SUMIFS(Compta!$F$1:$F$675,Compta!$A$1:$A$675,$A873,Compta!$B$1:$B$675,$B873,Compta!$C$1:$C$675,"2026"),0))</f>
        <v/>
      </c>
      <c r="G873" t="str">
        <f>IF($A873="","",IF($D873="V01",cad!$C$23,IF($D873="V02",cad!$D$23,cad!$E$23)))</f>
        <v/>
      </c>
      <c r="H873" t="str">
        <f>IF($A873="","",IF($D873="V01",cad!$C$24,IF($D873="V02",cad!$D$24,cad!$E$24)))</f>
        <v/>
      </c>
      <c r="I873" t="str">
        <f>IF($A873="","",IF($D873="V01",cad!$C$32,IF($D873="V02",cad!$D$32,cad!$E$32)))</f>
        <v/>
      </c>
      <c r="J873" t="str">
        <f>IF($A873="","",IF($D873="V01",cad!$C$33,IF($D873="V02",cad!$D$33,cad!$E$33)))</f>
        <v/>
      </c>
      <c r="K873" t="str">
        <f>IF($A873="","",IF($D873="V01",cad!$C$34,IF($D873="V02",cad!$D$34,cad!$E$34)))</f>
        <v/>
      </c>
      <c r="L873" t="str">
        <f>IF($A873="","",IF($D873="V01",cad!$C$35,IF($D873="V02",cad!$D$35,cad!$E$35)))</f>
        <v/>
      </c>
      <c r="M873" t="str">
        <f>IF($A873="","",IF($D873="V01",cad!$C$36,IF($D873="V02",cad!$D$36,cad!$E$36)))</f>
        <v/>
      </c>
      <c r="N873" t="str">
        <f t="shared" si="53"/>
        <v/>
      </c>
      <c r="O873" t="str">
        <f t="shared" si="54"/>
        <v/>
      </c>
      <c r="P873" t="str">
        <f>IF($A873="","",IF($E873=1,$F873*$O873,PNL!G873))</f>
        <v/>
      </c>
      <c r="T873" t="str">
        <f t="shared" si="55"/>
        <v/>
      </c>
    </row>
    <row r="874" spans="1:20" x14ac:dyDescent="0.45">
      <c r="A874" t="str">
        <f>IF(PNL!A874="","",PNL!A874)</f>
        <v/>
      </c>
      <c r="B874" t="str">
        <f>IF(PNL!B874="","",PNL!B874)</f>
        <v/>
      </c>
      <c r="C874" t="str">
        <f>IF(PNL!C874="","",PNL!C874)</f>
        <v/>
      </c>
      <c r="D874" t="str">
        <f>IF(PNL!D874="","",PNL!D874)</f>
        <v/>
      </c>
      <c r="E874" t="str">
        <f t="shared" si="52"/>
        <v/>
      </c>
      <c r="F874" t="str">
        <f>IF($A874="","",IF($E874=1,SUMIFS(Compta!$F$1:$F$675,Compta!$A$1:$A$675,$A874,Compta!$B$1:$B$675,$B874,Compta!$C$1:$C$675,"2026"),0))</f>
        <v/>
      </c>
      <c r="G874" t="str">
        <f>IF($A874="","",IF($D874="V01",cad!$C$23,IF($D874="V02",cad!$D$23,cad!$E$23)))</f>
        <v/>
      </c>
      <c r="H874" t="str">
        <f>IF($A874="","",IF($D874="V01",cad!$C$24,IF($D874="V02",cad!$D$24,cad!$E$24)))</f>
        <v/>
      </c>
      <c r="I874" t="str">
        <f>IF($A874="","",IF($D874="V01",cad!$C$32,IF($D874="V02",cad!$D$32,cad!$E$32)))</f>
        <v/>
      </c>
      <c r="J874" t="str">
        <f>IF($A874="","",IF($D874="V01",cad!$C$33,IF($D874="V02",cad!$D$33,cad!$E$33)))</f>
        <v/>
      </c>
      <c r="K874" t="str">
        <f>IF($A874="","",IF($D874="V01",cad!$C$34,IF($D874="V02",cad!$D$34,cad!$E$34)))</f>
        <v/>
      </c>
      <c r="L874" t="str">
        <f>IF($A874="","",IF($D874="V01",cad!$C$35,IF($D874="V02",cad!$D$35,cad!$E$35)))</f>
        <v/>
      </c>
      <c r="M874" t="str">
        <f>IF($A874="","",IF($D874="V01",cad!$C$36,IF($D874="V02",cad!$D$36,cad!$E$36)))</f>
        <v/>
      </c>
      <c r="N874" t="str">
        <f t="shared" si="53"/>
        <v/>
      </c>
      <c r="O874" t="str">
        <f t="shared" si="54"/>
        <v/>
      </c>
      <c r="P874" t="str">
        <f>IF($A874="","",IF($E874=1,$F874*$O874,PNL!G874))</f>
        <v/>
      </c>
      <c r="T874" t="str">
        <f t="shared" si="55"/>
        <v/>
      </c>
    </row>
    <row r="875" spans="1:20" x14ac:dyDescent="0.45">
      <c r="A875" t="str">
        <f>IF(PNL!A875="","",PNL!A875)</f>
        <v/>
      </c>
      <c r="B875" t="str">
        <f>IF(PNL!B875="","",PNL!B875)</f>
        <v/>
      </c>
      <c r="C875" t="str">
        <f>IF(PNL!C875="","",PNL!C875)</f>
        <v/>
      </c>
      <c r="D875" t="str">
        <f>IF(PNL!D875="","",PNL!D875)</f>
        <v/>
      </c>
      <c r="E875" t="str">
        <f t="shared" si="52"/>
        <v/>
      </c>
      <c r="F875" t="str">
        <f>IF($A875="","",IF($E875=1,SUMIFS(Compta!$F$1:$F$675,Compta!$A$1:$A$675,$A875,Compta!$B$1:$B$675,$B875,Compta!$C$1:$C$675,"2026"),0))</f>
        <v/>
      </c>
      <c r="G875" t="str">
        <f>IF($A875="","",IF($D875="V01",cad!$C$23,IF($D875="V02",cad!$D$23,cad!$E$23)))</f>
        <v/>
      </c>
      <c r="H875" t="str">
        <f>IF($A875="","",IF($D875="V01",cad!$C$24,IF($D875="V02",cad!$D$24,cad!$E$24)))</f>
        <v/>
      </c>
      <c r="I875" t="str">
        <f>IF($A875="","",IF($D875="V01",cad!$C$32,IF($D875="V02",cad!$D$32,cad!$E$32)))</f>
        <v/>
      </c>
      <c r="J875" t="str">
        <f>IF($A875="","",IF($D875="V01",cad!$C$33,IF($D875="V02",cad!$D$33,cad!$E$33)))</f>
        <v/>
      </c>
      <c r="K875" t="str">
        <f>IF($A875="","",IF($D875="V01",cad!$C$34,IF($D875="V02",cad!$D$34,cad!$E$34)))</f>
        <v/>
      </c>
      <c r="L875" t="str">
        <f>IF($A875="","",IF($D875="V01",cad!$C$35,IF($D875="V02",cad!$D$35,cad!$E$35)))</f>
        <v/>
      </c>
      <c r="M875" t="str">
        <f>IF($A875="","",IF($D875="V01",cad!$C$36,IF($D875="V02",cad!$D$36,cad!$E$36)))</f>
        <v/>
      </c>
      <c r="N875" t="str">
        <f t="shared" si="53"/>
        <v/>
      </c>
      <c r="O875" t="str">
        <f t="shared" si="54"/>
        <v/>
      </c>
      <c r="P875" t="str">
        <f>IF($A875="","",IF($E875=1,$F875*$O875,PNL!G875))</f>
        <v/>
      </c>
      <c r="T875" t="str">
        <f t="shared" si="55"/>
        <v/>
      </c>
    </row>
    <row r="876" spans="1:20" x14ac:dyDescent="0.45">
      <c r="A876" t="str">
        <f>IF(PNL!A876="","",PNL!A876)</f>
        <v/>
      </c>
      <c r="B876" t="str">
        <f>IF(PNL!B876="","",PNL!B876)</f>
        <v/>
      </c>
      <c r="C876" t="str">
        <f>IF(PNL!C876="","",PNL!C876)</f>
        <v/>
      </c>
      <c r="D876" t="str">
        <f>IF(PNL!D876="","",PNL!D876)</f>
        <v/>
      </c>
      <c r="E876" t="str">
        <f t="shared" si="52"/>
        <v/>
      </c>
      <c r="F876" t="str">
        <f>IF($A876="","",IF($E876=1,SUMIFS(Compta!$F$1:$F$675,Compta!$A$1:$A$675,$A876,Compta!$B$1:$B$675,$B876,Compta!$C$1:$C$675,"2026"),0))</f>
        <v/>
      </c>
      <c r="G876" t="str">
        <f>IF($A876="","",IF($D876="V01",cad!$C$23,IF($D876="V02",cad!$D$23,cad!$E$23)))</f>
        <v/>
      </c>
      <c r="H876" t="str">
        <f>IF($A876="","",IF($D876="V01",cad!$C$24,IF($D876="V02",cad!$D$24,cad!$E$24)))</f>
        <v/>
      </c>
      <c r="I876" t="str">
        <f>IF($A876="","",IF($D876="V01",cad!$C$32,IF($D876="V02",cad!$D$32,cad!$E$32)))</f>
        <v/>
      </c>
      <c r="J876" t="str">
        <f>IF($A876="","",IF($D876="V01",cad!$C$33,IF($D876="V02",cad!$D$33,cad!$E$33)))</f>
        <v/>
      </c>
      <c r="K876" t="str">
        <f>IF($A876="","",IF($D876="V01",cad!$C$34,IF($D876="V02",cad!$D$34,cad!$E$34)))</f>
        <v/>
      </c>
      <c r="L876" t="str">
        <f>IF($A876="","",IF($D876="V01",cad!$C$35,IF($D876="V02",cad!$D$35,cad!$E$35)))</f>
        <v/>
      </c>
      <c r="M876" t="str">
        <f>IF($A876="","",IF($D876="V01",cad!$C$36,IF($D876="V02",cad!$D$36,cad!$E$36)))</f>
        <v/>
      </c>
      <c r="N876" t="str">
        <f t="shared" si="53"/>
        <v/>
      </c>
      <c r="O876" t="str">
        <f t="shared" si="54"/>
        <v/>
      </c>
      <c r="P876" t="str">
        <f>IF($A876="","",IF($E876=1,$F876*$O876,PNL!G876))</f>
        <v/>
      </c>
      <c r="T876" t="str">
        <f t="shared" si="55"/>
        <v/>
      </c>
    </row>
    <row r="877" spans="1:20" x14ac:dyDescent="0.45">
      <c r="A877" t="str">
        <f>IF(PNL!A877="","",PNL!A877)</f>
        <v/>
      </c>
      <c r="B877" t="str">
        <f>IF(PNL!B877="","",PNL!B877)</f>
        <v/>
      </c>
      <c r="C877" t="str">
        <f>IF(PNL!C877="","",PNL!C877)</f>
        <v/>
      </c>
      <c r="D877" t="str">
        <f>IF(PNL!D877="","",PNL!D877)</f>
        <v/>
      </c>
      <c r="E877" t="str">
        <f t="shared" si="52"/>
        <v/>
      </c>
      <c r="F877" t="str">
        <f>IF($A877="","",IF($E877=1,SUMIFS(Compta!$F$1:$F$675,Compta!$A$1:$A$675,$A877,Compta!$B$1:$B$675,$B877,Compta!$C$1:$C$675,"2026"),0))</f>
        <v/>
      </c>
      <c r="G877" t="str">
        <f>IF($A877="","",IF($D877="V01",cad!$C$23,IF($D877="V02",cad!$D$23,cad!$E$23)))</f>
        <v/>
      </c>
      <c r="H877" t="str">
        <f>IF($A877="","",IF($D877="V01",cad!$C$24,IF($D877="V02",cad!$D$24,cad!$E$24)))</f>
        <v/>
      </c>
      <c r="I877" t="str">
        <f>IF($A877="","",IF($D877="V01",cad!$C$32,IF($D877="V02",cad!$D$32,cad!$E$32)))</f>
        <v/>
      </c>
      <c r="J877" t="str">
        <f>IF($A877="","",IF($D877="V01",cad!$C$33,IF($D877="V02",cad!$D$33,cad!$E$33)))</f>
        <v/>
      </c>
      <c r="K877" t="str">
        <f>IF($A877="","",IF($D877="V01",cad!$C$34,IF($D877="V02",cad!$D$34,cad!$E$34)))</f>
        <v/>
      </c>
      <c r="L877" t="str">
        <f>IF($A877="","",IF($D877="V01",cad!$C$35,IF($D877="V02",cad!$D$35,cad!$E$35)))</f>
        <v/>
      </c>
      <c r="M877" t="str">
        <f>IF($A877="","",IF($D877="V01",cad!$C$36,IF($D877="V02",cad!$D$36,cad!$E$36)))</f>
        <v/>
      </c>
      <c r="N877" t="str">
        <f t="shared" si="53"/>
        <v/>
      </c>
      <c r="O877" t="str">
        <f t="shared" si="54"/>
        <v/>
      </c>
      <c r="P877" t="str">
        <f>IF($A877="","",IF($E877=1,$F877*$O877,PNL!G877))</f>
        <v/>
      </c>
      <c r="T877" t="str">
        <f t="shared" si="55"/>
        <v/>
      </c>
    </row>
    <row r="878" spans="1:20" x14ac:dyDescent="0.45">
      <c r="A878" t="str">
        <f>IF(PNL!A878="","",PNL!A878)</f>
        <v/>
      </c>
      <c r="B878" t="str">
        <f>IF(PNL!B878="","",PNL!B878)</f>
        <v/>
      </c>
      <c r="C878" t="str">
        <f>IF(PNL!C878="","",PNL!C878)</f>
        <v/>
      </c>
      <c r="D878" t="str">
        <f>IF(PNL!D878="","",PNL!D878)</f>
        <v/>
      </c>
      <c r="E878" t="str">
        <f t="shared" si="52"/>
        <v/>
      </c>
      <c r="F878" t="str">
        <f>IF($A878="","",IF($E878=1,SUMIFS(Compta!$F$1:$F$675,Compta!$A$1:$A$675,$A878,Compta!$B$1:$B$675,$B878,Compta!$C$1:$C$675,"2026"),0))</f>
        <v/>
      </c>
      <c r="G878" t="str">
        <f>IF($A878="","",IF($D878="V01",cad!$C$23,IF($D878="V02",cad!$D$23,cad!$E$23)))</f>
        <v/>
      </c>
      <c r="H878" t="str">
        <f>IF($A878="","",IF($D878="V01",cad!$C$24,IF($D878="V02",cad!$D$24,cad!$E$24)))</f>
        <v/>
      </c>
      <c r="I878" t="str">
        <f>IF($A878="","",IF($D878="V01",cad!$C$32,IF($D878="V02",cad!$D$32,cad!$E$32)))</f>
        <v/>
      </c>
      <c r="J878" t="str">
        <f>IF($A878="","",IF($D878="V01",cad!$C$33,IF($D878="V02",cad!$D$33,cad!$E$33)))</f>
        <v/>
      </c>
      <c r="K878" t="str">
        <f>IF($A878="","",IF($D878="V01",cad!$C$34,IF($D878="V02",cad!$D$34,cad!$E$34)))</f>
        <v/>
      </c>
      <c r="L878" t="str">
        <f>IF($A878="","",IF($D878="V01",cad!$C$35,IF($D878="V02",cad!$D$35,cad!$E$35)))</f>
        <v/>
      </c>
      <c r="M878" t="str">
        <f>IF($A878="","",IF($D878="V01",cad!$C$36,IF($D878="V02",cad!$D$36,cad!$E$36)))</f>
        <v/>
      </c>
      <c r="N878" t="str">
        <f t="shared" si="53"/>
        <v/>
      </c>
      <c r="O878" t="str">
        <f t="shared" si="54"/>
        <v/>
      </c>
      <c r="P878" t="str">
        <f>IF($A878="","",IF($E878=1,$F878*$O878,PNL!G878))</f>
        <v/>
      </c>
      <c r="T878" t="str">
        <f t="shared" si="55"/>
        <v/>
      </c>
    </row>
    <row r="879" spans="1:20" x14ac:dyDescent="0.45">
      <c r="A879" t="str">
        <f>IF(PNL!A879="","",PNL!A879)</f>
        <v/>
      </c>
      <c r="B879" t="str">
        <f>IF(PNL!B879="","",PNL!B879)</f>
        <v/>
      </c>
      <c r="C879" t="str">
        <f>IF(PNL!C879="","",PNL!C879)</f>
        <v/>
      </c>
      <c r="D879" t="str">
        <f>IF(PNL!D879="","",PNL!D879)</f>
        <v/>
      </c>
      <c r="E879" t="str">
        <f t="shared" si="52"/>
        <v/>
      </c>
      <c r="F879" t="str">
        <f>IF($A879="","",IF($E879=1,SUMIFS(Compta!$F$1:$F$675,Compta!$A$1:$A$675,$A879,Compta!$B$1:$B$675,$B879,Compta!$C$1:$C$675,"2026"),0))</f>
        <v/>
      </c>
      <c r="G879" t="str">
        <f>IF($A879="","",IF($D879="V01",cad!$C$23,IF($D879="V02",cad!$D$23,cad!$E$23)))</f>
        <v/>
      </c>
      <c r="H879" t="str">
        <f>IF($A879="","",IF($D879="V01",cad!$C$24,IF($D879="V02",cad!$D$24,cad!$E$24)))</f>
        <v/>
      </c>
      <c r="I879" t="str">
        <f>IF($A879="","",IF($D879="V01",cad!$C$32,IF($D879="V02",cad!$D$32,cad!$E$32)))</f>
        <v/>
      </c>
      <c r="J879" t="str">
        <f>IF($A879="","",IF($D879="V01",cad!$C$33,IF($D879="V02",cad!$D$33,cad!$E$33)))</f>
        <v/>
      </c>
      <c r="K879" t="str">
        <f>IF($A879="","",IF($D879="V01",cad!$C$34,IF($D879="V02",cad!$D$34,cad!$E$34)))</f>
        <v/>
      </c>
      <c r="L879" t="str">
        <f>IF($A879="","",IF($D879="V01",cad!$C$35,IF($D879="V02",cad!$D$35,cad!$E$35)))</f>
        <v/>
      </c>
      <c r="M879" t="str">
        <f>IF($A879="","",IF($D879="V01",cad!$C$36,IF($D879="V02",cad!$D$36,cad!$E$36)))</f>
        <v/>
      </c>
      <c r="N879" t="str">
        <f t="shared" si="53"/>
        <v/>
      </c>
      <c r="O879" t="str">
        <f t="shared" si="54"/>
        <v/>
      </c>
      <c r="P879" t="str">
        <f>IF($A879="","",IF($E879=1,$F879*$O879,PNL!G879))</f>
        <v/>
      </c>
      <c r="T879" t="str">
        <f t="shared" si="55"/>
        <v/>
      </c>
    </row>
    <row r="880" spans="1:20" x14ac:dyDescent="0.45">
      <c r="A880" t="str">
        <f>IF(PNL!A880="","",PNL!A880)</f>
        <v/>
      </c>
      <c r="B880" t="str">
        <f>IF(PNL!B880="","",PNL!B880)</f>
        <v/>
      </c>
      <c r="C880" t="str">
        <f>IF(PNL!C880="","",PNL!C880)</f>
        <v/>
      </c>
      <c r="D880" t="str">
        <f>IF(PNL!D880="","",PNL!D880)</f>
        <v/>
      </c>
      <c r="E880" t="str">
        <f t="shared" si="52"/>
        <v/>
      </c>
      <c r="F880" t="str">
        <f>IF($A880="","",IF($E880=1,SUMIFS(Compta!$F$1:$F$675,Compta!$A$1:$A$675,$A880,Compta!$B$1:$B$675,$B880,Compta!$C$1:$C$675,"2026"),0))</f>
        <v/>
      </c>
      <c r="G880" t="str">
        <f>IF($A880="","",IF($D880="V01",cad!$C$23,IF($D880="V02",cad!$D$23,cad!$E$23)))</f>
        <v/>
      </c>
      <c r="H880" t="str">
        <f>IF($A880="","",IF($D880="V01",cad!$C$24,IF($D880="V02",cad!$D$24,cad!$E$24)))</f>
        <v/>
      </c>
      <c r="I880" t="str">
        <f>IF($A880="","",IF($D880="V01",cad!$C$32,IF($D880="V02",cad!$D$32,cad!$E$32)))</f>
        <v/>
      </c>
      <c r="J880" t="str">
        <f>IF($A880="","",IF($D880="V01",cad!$C$33,IF($D880="V02",cad!$D$33,cad!$E$33)))</f>
        <v/>
      </c>
      <c r="K880" t="str">
        <f>IF($A880="","",IF($D880="V01",cad!$C$34,IF($D880="V02",cad!$D$34,cad!$E$34)))</f>
        <v/>
      </c>
      <c r="L880" t="str">
        <f>IF($A880="","",IF($D880="V01",cad!$C$35,IF($D880="V02",cad!$D$35,cad!$E$35)))</f>
        <v/>
      </c>
      <c r="M880" t="str">
        <f>IF($A880="","",IF($D880="V01",cad!$C$36,IF($D880="V02",cad!$D$36,cad!$E$36)))</f>
        <v/>
      </c>
      <c r="N880" t="str">
        <f t="shared" si="53"/>
        <v/>
      </c>
      <c r="O880" t="str">
        <f t="shared" si="54"/>
        <v/>
      </c>
      <c r="P880" t="str">
        <f>IF($A880="","",IF($E880=1,$F880*$O880,PNL!G880))</f>
        <v/>
      </c>
      <c r="T880" t="str">
        <f t="shared" si="55"/>
        <v/>
      </c>
    </row>
    <row r="881" spans="1:20" x14ac:dyDescent="0.45">
      <c r="A881" t="str">
        <f>IF(PNL!A881="","",PNL!A881)</f>
        <v/>
      </c>
      <c r="B881" t="str">
        <f>IF(PNL!B881="","",PNL!B881)</f>
        <v/>
      </c>
      <c r="C881" t="str">
        <f>IF(PNL!C881="","",PNL!C881)</f>
        <v/>
      </c>
      <c r="D881" t="str">
        <f>IF(PNL!D881="","",PNL!D881)</f>
        <v/>
      </c>
      <c r="E881" t="str">
        <f t="shared" si="52"/>
        <v/>
      </c>
      <c r="F881" t="str">
        <f>IF($A881="","",IF($E881=1,SUMIFS(Compta!$F$1:$F$675,Compta!$A$1:$A$675,$A881,Compta!$B$1:$B$675,$B881,Compta!$C$1:$C$675,"2026"),0))</f>
        <v/>
      </c>
      <c r="G881" t="str">
        <f>IF($A881="","",IF($D881="V01",cad!$C$23,IF($D881="V02",cad!$D$23,cad!$E$23)))</f>
        <v/>
      </c>
      <c r="H881" t="str">
        <f>IF($A881="","",IF($D881="V01",cad!$C$24,IF($D881="V02",cad!$D$24,cad!$E$24)))</f>
        <v/>
      </c>
      <c r="I881" t="str">
        <f>IF($A881="","",IF($D881="V01",cad!$C$32,IF($D881="V02",cad!$D$32,cad!$E$32)))</f>
        <v/>
      </c>
      <c r="J881" t="str">
        <f>IF($A881="","",IF($D881="V01",cad!$C$33,IF($D881="V02",cad!$D$33,cad!$E$33)))</f>
        <v/>
      </c>
      <c r="K881" t="str">
        <f>IF($A881="","",IF($D881="V01",cad!$C$34,IF($D881="V02",cad!$D$34,cad!$E$34)))</f>
        <v/>
      </c>
      <c r="L881" t="str">
        <f>IF($A881="","",IF($D881="V01",cad!$C$35,IF($D881="V02",cad!$D$35,cad!$E$35)))</f>
        <v/>
      </c>
      <c r="M881" t="str">
        <f>IF($A881="","",IF($D881="V01",cad!$C$36,IF($D881="V02",cad!$D$36,cad!$E$36)))</f>
        <v/>
      </c>
      <c r="N881" t="str">
        <f t="shared" si="53"/>
        <v/>
      </c>
      <c r="O881" t="str">
        <f t="shared" si="54"/>
        <v/>
      </c>
      <c r="P881" t="str">
        <f>IF($A881="","",IF($E881=1,$F881*$O881,PNL!G881))</f>
        <v/>
      </c>
      <c r="T881" t="str">
        <f t="shared" si="55"/>
        <v/>
      </c>
    </row>
    <row r="882" spans="1:20" x14ac:dyDescent="0.45">
      <c r="A882" t="str">
        <f>IF(PNL!A882="","",PNL!A882)</f>
        <v/>
      </c>
      <c r="B882" t="str">
        <f>IF(PNL!B882="","",PNL!B882)</f>
        <v/>
      </c>
      <c r="C882" t="str">
        <f>IF(PNL!C882="","",PNL!C882)</f>
        <v/>
      </c>
      <c r="D882" t="str">
        <f>IF(PNL!D882="","",PNL!D882)</f>
        <v/>
      </c>
      <c r="E882" t="str">
        <f t="shared" si="52"/>
        <v/>
      </c>
      <c r="F882" t="str">
        <f>IF($A882="","",IF($E882=1,SUMIFS(Compta!$F$1:$F$675,Compta!$A$1:$A$675,$A882,Compta!$B$1:$B$675,$B882,Compta!$C$1:$C$675,"2026"),0))</f>
        <v/>
      </c>
      <c r="G882" t="str">
        <f>IF($A882="","",IF($D882="V01",cad!$C$23,IF($D882="V02",cad!$D$23,cad!$E$23)))</f>
        <v/>
      </c>
      <c r="H882" t="str">
        <f>IF($A882="","",IF($D882="V01",cad!$C$24,IF($D882="V02",cad!$D$24,cad!$E$24)))</f>
        <v/>
      </c>
      <c r="I882" t="str">
        <f>IF($A882="","",IF($D882="V01",cad!$C$32,IF($D882="V02",cad!$D$32,cad!$E$32)))</f>
        <v/>
      </c>
      <c r="J882" t="str">
        <f>IF($A882="","",IF($D882="V01",cad!$C$33,IF($D882="V02",cad!$D$33,cad!$E$33)))</f>
        <v/>
      </c>
      <c r="K882" t="str">
        <f>IF($A882="","",IF($D882="V01",cad!$C$34,IF($D882="V02",cad!$D$34,cad!$E$34)))</f>
        <v/>
      </c>
      <c r="L882" t="str">
        <f>IF($A882="","",IF($D882="V01",cad!$C$35,IF($D882="V02",cad!$D$35,cad!$E$35)))</f>
        <v/>
      </c>
      <c r="M882" t="str">
        <f>IF($A882="","",IF($D882="V01",cad!$C$36,IF($D882="V02",cad!$D$36,cad!$E$36)))</f>
        <v/>
      </c>
      <c r="N882" t="str">
        <f t="shared" si="53"/>
        <v/>
      </c>
      <c r="O882" t="str">
        <f t="shared" si="54"/>
        <v/>
      </c>
      <c r="P882" t="str">
        <f>IF($A882="","",IF($E882=1,$F882*$O882,PNL!G882))</f>
        <v/>
      </c>
      <c r="T882" t="str">
        <f t="shared" si="55"/>
        <v/>
      </c>
    </row>
    <row r="883" spans="1:20" x14ac:dyDescent="0.45">
      <c r="A883" t="str">
        <f>IF(PNL!A883="","",PNL!A883)</f>
        <v/>
      </c>
      <c r="B883" t="str">
        <f>IF(PNL!B883="","",PNL!B883)</f>
        <v/>
      </c>
      <c r="C883" t="str">
        <f>IF(PNL!C883="","",PNL!C883)</f>
        <v/>
      </c>
      <c r="D883" t="str">
        <f>IF(PNL!D883="","",PNL!D883)</f>
        <v/>
      </c>
      <c r="E883" t="str">
        <f t="shared" si="52"/>
        <v/>
      </c>
      <c r="F883" t="str">
        <f>IF($A883="","",IF($E883=1,SUMIFS(Compta!$F$1:$F$675,Compta!$A$1:$A$675,$A883,Compta!$B$1:$B$675,$B883,Compta!$C$1:$C$675,"2026"),0))</f>
        <v/>
      </c>
      <c r="G883" t="str">
        <f>IF($A883="","",IF($D883="V01",cad!$C$23,IF($D883="V02",cad!$D$23,cad!$E$23)))</f>
        <v/>
      </c>
      <c r="H883" t="str">
        <f>IF($A883="","",IF($D883="V01",cad!$C$24,IF($D883="V02",cad!$D$24,cad!$E$24)))</f>
        <v/>
      </c>
      <c r="I883" t="str">
        <f>IF($A883="","",IF($D883="V01",cad!$C$32,IF($D883="V02",cad!$D$32,cad!$E$32)))</f>
        <v/>
      </c>
      <c r="J883" t="str">
        <f>IF($A883="","",IF($D883="V01",cad!$C$33,IF($D883="V02",cad!$D$33,cad!$E$33)))</f>
        <v/>
      </c>
      <c r="K883" t="str">
        <f>IF($A883="","",IF($D883="V01",cad!$C$34,IF($D883="V02",cad!$D$34,cad!$E$34)))</f>
        <v/>
      </c>
      <c r="L883" t="str">
        <f>IF($A883="","",IF($D883="V01",cad!$C$35,IF($D883="V02",cad!$D$35,cad!$E$35)))</f>
        <v/>
      </c>
      <c r="M883" t="str">
        <f>IF($A883="","",IF($D883="V01",cad!$C$36,IF($D883="V02",cad!$D$36,cad!$E$36)))</f>
        <v/>
      </c>
      <c r="N883" t="str">
        <f t="shared" si="53"/>
        <v/>
      </c>
      <c r="O883" t="str">
        <f t="shared" si="54"/>
        <v/>
      </c>
      <c r="P883" t="str">
        <f>IF($A883="","",IF($E883=1,$F883*$O883,PNL!G883))</f>
        <v/>
      </c>
      <c r="T883" t="str">
        <f t="shared" si="55"/>
        <v/>
      </c>
    </row>
    <row r="884" spans="1:20" x14ac:dyDescent="0.45">
      <c r="A884" t="str">
        <f>IF(PNL!A884="","",PNL!A884)</f>
        <v/>
      </c>
      <c r="B884" t="str">
        <f>IF(PNL!B884="","",PNL!B884)</f>
        <v/>
      </c>
      <c r="C884" t="str">
        <f>IF(PNL!C884="","",PNL!C884)</f>
        <v/>
      </c>
      <c r="D884" t="str">
        <f>IF(PNL!D884="","",PNL!D884)</f>
        <v/>
      </c>
      <c r="E884" t="str">
        <f t="shared" si="52"/>
        <v/>
      </c>
      <c r="F884" t="str">
        <f>IF($A884="","",IF($E884=1,SUMIFS(Compta!$F$1:$F$675,Compta!$A$1:$A$675,$A884,Compta!$B$1:$B$675,$B884,Compta!$C$1:$C$675,"2026"),0))</f>
        <v/>
      </c>
      <c r="G884" t="str">
        <f>IF($A884="","",IF($D884="V01",cad!$C$23,IF($D884="V02",cad!$D$23,cad!$E$23)))</f>
        <v/>
      </c>
      <c r="H884" t="str">
        <f>IF($A884="","",IF($D884="V01",cad!$C$24,IF($D884="V02",cad!$D$24,cad!$E$24)))</f>
        <v/>
      </c>
      <c r="I884" t="str">
        <f>IF($A884="","",IF($D884="V01",cad!$C$32,IF($D884="V02",cad!$D$32,cad!$E$32)))</f>
        <v/>
      </c>
      <c r="J884" t="str">
        <f>IF($A884="","",IF($D884="V01",cad!$C$33,IF($D884="V02",cad!$D$33,cad!$E$33)))</f>
        <v/>
      </c>
      <c r="K884" t="str">
        <f>IF($A884="","",IF($D884="V01",cad!$C$34,IF($D884="V02",cad!$D$34,cad!$E$34)))</f>
        <v/>
      </c>
      <c r="L884" t="str">
        <f>IF($A884="","",IF($D884="V01",cad!$C$35,IF($D884="V02",cad!$D$35,cad!$E$35)))</f>
        <v/>
      </c>
      <c r="M884" t="str">
        <f>IF($A884="","",IF($D884="V01",cad!$C$36,IF($D884="V02",cad!$D$36,cad!$E$36)))</f>
        <v/>
      </c>
      <c r="N884" t="str">
        <f t="shared" si="53"/>
        <v/>
      </c>
      <c r="O884" t="str">
        <f t="shared" si="54"/>
        <v/>
      </c>
      <c r="P884" t="str">
        <f>IF($A884="","",IF($E884=1,$F884*$O884,PNL!G884))</f>
        <v/>
      </c>
      <c r="T884" t="str">
        <f t="shared" si="55"/>
        <v/>
      </c>
    </row>
    <row r="885" spans="1:20" x14ac:dyDescent="0.45">
      <c r="A885" t="str">
        <f>IF(PNL!A885="","",PNL!A885)</f>
        <v/>
      </c>
      <c r="B885" t="str">
        <f>IF(PNL!B885="","",PNL!B885)</f>
        <v/>
      </c>
      <c r="C885" t="str">
        <f>IF(PNL!C885="","",PNL!C885)</f>
        <v/>
      </c>
      <c r="D885" t="str">
        <f>IF(PNL!D885="","",PNL!D885)</f>
        <v/>
      </c>
      <c r="E885" t="str">
        <f t="shared" si="52"/>
        <v/>
      </c>
      <c r="F885" t="str">
        <f>IF($A885="","",IF($E885=1,SUMIFS(Compta!$F$1:$F$675,Compta!$A$1:$A$675,$A885,Compta!$B$1:$B$675,$B885,Compta!$C$1:$C$675,"2026"),0))</f>
        <v/>
      </c>
      <c r="G885" t="str">
        <f>IF($A885="","",IF($D885="V01",cad!$C$23,IF($D885="V02",cad!$D$23,cad!$E$23)))</f>
        <v/>
      </c>
      <c r="H885" t="str">
        <f>IF($A885="","",IF($D885="V01",cad!$C$24,IF($D885="V02",cad!$D$24,cad!$E$24)))</f>
        <v/>
      </c>
      <c r="I885" t="str">
        <f>IF($A885="","",IF($D885="V01",cad!$C$32,IF($D885="V02",cad!$D$32,cad!$E$32)))</f>
        <v/>
      </c>
      <c r="J885" t="str">
        <f>IF($A885="","",IF($D885="V01",cad!$C$33,IF($D885="V02",cad!$D$33,cad!$E$33)))</f>
        <v/>
      </c>
      <c r="K885" t="str">
        <f>IF($A885="","",IF($D885="V01",cad!$C$34,IF($D885="V02",cad!$D$34,cad!$E$34)))</f>
        <v/>
      </c>
      <c r="L885" t="str">
        <f>IF($A885="","",IF($D885="V01",cad!$C$35,IF($D885="V02",cad!$D$35,cad!$E$35)))</f>
        <v/>
      </c>
      <c r="M885" t="str">
        <f>IF($A885="","",IF($D885="V01",cad!$C$36,IF($D885="V02",cad!$D$36,cad!$E$36)))</f>
        <v/>
      </c>
      <c r="N885" t="str">
        <f t="shared" si="53"/>
        <v/>
      </c>
      <c r="O885" t="str">
        <f t="shared" si="54"/>
        <v/>
      </c>
      <c r="P885" t="str">
        <f>IF($A885="","",IF($E885=1,$F885*$O885,PNL!G885))</f>
        <v/>
      </c>
      <c r="T885" t="str">
        <f t="shared" si="55"/>
        <v/>
      </c>
    </row>
    <row r="886" spans="1:20" x14ac:dyDescent="0.45">
      <c r="A886" t="str">
        <f>IF(PNL!A886="","",PNL!A886)</f>
        <v/>
      </c>
      <c r="B886" t="str">
        <f>IF(PNL!B886="","",PNL!B886)</f>
        <v/>
      </c>
      <c r="C886" t="str">
        <f>IF(PNL!C886="","",PNL!C886)</f>
        <v/>
      </c>
      <c r="D886" t="str">
        <f>IF(PNL!D886="","",PNL!D886)</f>
        <v/>
      </c>
      <c r="E886" t="str">
        <f t="shared" si="52"/>
        <v/>
      </c>
      <c r="F886" t="str">
        <f>IF($A886="","",IF($E886=1,SUMIFS(Compta!$F$1:$F$675,Compta!$A$1:$A$675,$A886,Compta!$B$1:$B$675,$B886,Compta!$C$1:$C$675,"2026"),0))</f>
        <v/>
      </c>
      <c r="G886" t="str">
        <f>IF($A886="","",IF($D886="V01",cad!$C$23,IF($D886="V02",cad!$D$23,cad!$E$23)))</f>
        <v/>
      </c>
      <c r="H886" t="str">
        <f>IF($A886="","",IF($D886="V01",cad!$C$24,IF($D886="V02",cad!$D$24,cad!$E$24)))</f>
        <v/>
      </c>
      <c r="I886" t="str">
        <f>IF($A886="","",IF($D886="V01",cad!$C$32,IF($D886="V02",cad!$D$32,cad!$E$32)))</f>
        <v/>
      </c>
      <c r="J886" t="str">
        <f>IF($A886="","",IF($D886="V01",cad!$C$33,IF($D886="V02",cad!$D$33,cad!$E$33)))</f>
        <v/>
      </c>
      <c r="K886" t="str">
        <f>IF($A886="","",IF($D886="V01",cad!$C$34,IF($D886="V02",cad!$D$34,cad!$E$34)))</f>
        <v/>
      </c>
      <c r="L886" t="str">
        <f>IF($A886="","",IF($D886="V01",cad!$C$35,IF($D886="V02",cad!$D$35,cad!$E$35)))</f>
        <v/>
      </c>
      <c r="M886" t="str">
        <f>IF($A886="","",IF($D886="V01",cad!$C$36,IF($D886="V02",cad!$D$36,cad!$E$36)))</f>
        <v/>
      </c>
      <c r="N886" t="str">
        <f t="shared" si="53"/>
        <v/>
      </c>
      <c r="O886" t="str">
        <f t="shared" si="54"/>
        <v/>
      </c>
      <c r="P886" t="str">
        <f>IF($A886="","",IF($E886=1,$F886*$O886,PNL!G886))</f>
        <v/>
      </c>
      <c r="T886" t="str">
        <f t="shared" si="55"/>
        <v/>
      </c>
    </row>
    <row r="887" spans="1:20" x14ac:dyDescent="0.45">
      <c r="A887" t="str">
        <f>IF(PNL!A887="","",PNL!A887)</f>
        <v/>
      </c>
      <c r="B887" t="str">
        <f>IF(PNL!B887="","",PNL!B887)</f>
        <v/>
      </c>
      <c r="C887" t="str">
        <f>IF(PNL!C887="","",PNL!C887)</f>
        <v/>
      </c>
      <c r="D887" t="str">
        <f>IF(PNL!D887="","",PNL!D887)</f>
        <v/>
      </c>
      <c r="E887" t="str">
        <f t="shared" si="52"/>
        <v/>
      </c>
      <c r="F887" t="str">
        <f>IF($A887="","",IF($E887=1,SUMIFS(Compta!$F$1:$F$675,Compta!$A$1:$A$675,$A887,Compta!$B$1:$B$675,$B887,Compta!$C$1:$C$675,"2026"),0))</f>
        <v/>
      </c>
      <c r="G887" t="str">
        <f>IF($A887="","",IF($D887="V01",cad!$C$23,IF($D887="V02",cad!$D$23,cad!$E$23)))</f>
        <v/>
      </c>
      <c r="H887" t="str">
        <f>IF($A887="","",IF($D887="V01",cad!$C$24,IF($D887="V02",cad!$D$24,cad!$E$24)))</f>
        <v/>
      </c>
      <c r="I887" t="str">
        <f>IF($A887="","",IF($D887="V01",cad!$C$32,IF($D887="V02",cad!$D$32,cad!$E$32)))</f>
        <v/>
      </c>
      <c r="J887" t="str">
        <f>IF($A887="","",IF($D887="V01",cad!$C$33,IF($D887="V02",cad!$D$33,cad!$E$33)))</f>
        <v/>
      </c>
      <c r="K887" t="str">
        <f>IF($A887="","",IF($D887="V01",cad!$C$34,IF($D887="V02",cad!$D$34,cad!$E$34)))</f>
        <v/>
      </c>
      <c r="L887" t="str">
        <f>IF($A887="","",IF($D887="V01",cad!$C$35,IF($D887="V02",cad!$D$35,cad!$E$35)))</f>
        <v/>
      </c>
      <c r="M887" t="str">
        <f>IF($A887="","",IF($D887="V01",cad!$C$36,IF($D887="V02",cad!$D$36,cad!$E$36)))</f>
        <v/>
      </c>
      <c r="N887" t="str">
        <f t="shared" si="53"/>
        <v/>
      </c>
      <c r="O887" t="str">
        <f t="shared" si="54"/>
        <v/>
      </c>
      <c r="P887" t="str">
        <f>IF($A887="","",IF($E887=1,$F887*$O887,PNL!G887))</f>
        <v/>
      </c>
      <c r="T887" t="str">
        <f t="shared" si="55"/>
        <v/>
      </c>
    </row>
    <row r="888" spans="1:20" x14ac:dyDescent="0.45">
      <c r="A888" t="str">
        <f>IF(PNL!A888="","",PNL!A888)</f>
        <v/>
      </c>
      <c r="B888" t="str">
        <f>IF(PNL!B888="","",PNL!B888)</f>
        <v/>
      </c>
      <c r="C888" t="str">
        <f>IF(PNL!C888="","",PNL!C888)</f>
        <v/>
      </c>
      <c r="D888" t="str">
        <f>IF(PNL!D888="","",PNL!D888)</f>
        <v/>
      </c>
      <c r="E888" t="str">
        <f t="shared" si="52"/>
        <v/>
      </c>
      <c r="F888" t="str">
        <f>IF($A888="","",IF($E888=1,SUMIFS(Compta!$F$1:$F$675,Compta!$A$1:$A$675,$A888,Compta!$B$1:$B$675,$B888,Compta!$C$1:$C$675,"2026"),0))</f>
        <v/>
      </c>
      <c r="G888" t="str">
        <f>IF($A888="","",IF($D888="V01",cad!$C$23,IF($D888="V02",cad!$D$23,cad!$E$23)))</f>
        <v/>
      </c>
      <c r="H888" t="str">
        <f>IF($A888="","",IF($D888="V01",cad!$C$24,IF($D888="V02",cad!$D$24,cad!$E$24)))</f>
        <v/>
      </c>
      <c r="I888" t="str">
        <f>IF($A888="","",IF($D888="V01",cad!$C$32,IF($D888="V02",cad!$D$32,cad!$E$32)))</f>
        <v/>
      </c>
      <c r="J888" t="str">
        <f>IF($A888="","",IF($D888="V01",cad!$C$33,IF($D888="V02",cad!$D$33,cad!$E$33)))</f>
        <v/>
      </c>
      <c r="K888" t="str">
        <f>IF($A888="","",IF($D888="V01",cad!$C$34,IF($D888="V02",cad!$D$34,cad!$E$34)))</f>
        <v/>
      </c>
      <c r="L888" t="str">
        <f>IF($A888="","",IF($D888="V01",cad!$C$35,IF($D888="V02",cad!$D$35,cad!$E$35)))</f>
        <v/>
      </c>
      <c r="M888" t="str">
        <f>IF($A888="","",IF($D888="V01",cad!$C$36,IF($D888="V02",cad!$D$36,cad!$E$36)))</f>
        <v/>
      </c>
      <c r="N888" t="str">
        <f t="shared" si="53"/>
        <v/>
      </c>
      <c r="O888" t="str">
        <f t="shared" si="54"/>
        <v/>
      </c>
      <c r="P888" t="str">
        <f>IF($A888="","",IF($E888=1,$F888*$O888,PNL!G888))</f>
        <v/>
      </c>
      <c r="T888" t="str">
        <f t="shared" si="55"/>
        <v/>
      </c>
    </row>
    <row r="889" spans="1:20" x14ac:dyDescent="0.45">
      <c r="A889" t="str">
        <f>IF(PNL!A889="","",PNL!A889)</f>
        <v/>
      </c>
      <c r="B889" t="str">
        <f>IF(PNL!B889="","",PNL!B889)</f>
        <v/>
      </c>
      <c r="C889" t="str">
        <f>IF(PNL!C889="","",PNL!C889)</f>
        <v/>
      </c>
      <c r="D889" t="str">
        <f>IF(PNL!D889="","",PNL!D889)</f>
        <v/>
      </c>
      <c r="E889" t="str">
        <f t="shared" si="52"/>
        <v/>
      </c>
      <c r="F889" t="str">
        <f>IF($A889="","",IF($E889=1,SUMIFS(Compta!$F$1:$F$675,Compta!$A$1:$A$675,$A889,Compta!$B$1:$B$675,$B889,Compta!$C$1:$C$675,"2026"),0))</f>
        <v/>
      </c>
      <c r="G889" t="str">
        <f>IF($A889="","",IF($D889="V01",cad!$C$23,IF($D889="V02",cad!$D$23,cad!$E$23)))</f>
        <v/>
      </c>
      <c r="H889" t="str">
        <f>IF($A889="","",IF($D889="V01",cad!$C$24,IF($D889="V02",cad!$D$24,cad!$E$24)))</f>
        <v/>
      </c>
      <c r="I889" t="str">
        <f>IF($A889="","",IF($D889="V01",cad!$C$32,IF($D889="V02",cad!$D$32,cad!$E$32)))</f>
        <v/>
      </c>
      <c r="J889" t="str">
        <f>IF($A889="","",IF($D889="V01",cad!$C$33,IF($D889="V02",cad!$D$33,cad!$E$33)))</f>
        <v/>
      </c>
      <c r="K889" t="str">
        <f>IF($A889="","",IF($D889="V01",cad!$C$34,IF($D889="V02",cad!$D$34,cad!$E$34)))</f>
        <v/>
      </c>
      <c r="L889" t="str">
        <f>IF($A889="","",IF($D889="V01",cad!$C$35,IF($D889="V02",cad!$D$35,cad!$E$35)))</f>
        <v/>
      </c>
      <c r="M889" t="str">
        <f>IF($A889="","",IF($D889="V01",cad!$C$36,IF($D889="V02",cad!$D$36,cad!$E$36)))</f>
        <v/>
      </c>
      <c r="N889" t="str">
        <f t="shared" si="53"/>
        <v/>
      </c>
      <c r="O889" t="str">
        <f t="shared" si="54"/>
        <v/>
      </c>
      <c r="P889" t="str">
        <f>IF($A889="","",IF($E889=1,$F889*$O889,PNL!G889))</f>
        <v/>
      </c>
      <c r="T889" t="str">
        <f t="shared" si="55"/>
        <v/>
      </c>
    </row>
    <row r="890" spans="1:20" x14ac:dyDescent="0.45">
      <c r="A890" t="str">
        <f>IF(PNL!A890="","",PNL!A890)</f>
        <v/>
      </c>
      <c r="B890" t="str">
        <f>IF(PNL!B890="","",PNL!B890)</f>
        <v/>
      </c>
      <c r="C890" t="str">
        <f>IF(PNL!C890="","",PNL!C890)</f>
        <v/>
      </c>
      <c r="D890" t="str">
        <f>IF(PNL!D890="","",PNL!D890)</f>
        <v/>
      </c>
      <c r="E890" t="str">
        <f t="shared" si="52"/>
        <v/>
      </c>
      <c r="F890" t="str">
        <f>IF($A890="","",IF($E890=1,SUMIFS(Compta!$F$1:$F$675,Compta!$A$1:$A$675,$A890,Compta!$B$1:$B$675,$B890,Compta!$C$1:$C$675,"2026"),0))</f>
        <v/>
      </c>
      <c r="G890" t="str">
        <f>IF($A890="","",IF($D890="V01",cad!$C$23,IF($D890="V02",cad!$D$23,cad!$E$23)))</f>
        <v/>
      </c>
      <c r="H890" t="str">
        <f>IF($A890="","",IF($D890="V01",cad!$C$24,IF($D890="V02",cad!$D$24,cad!$E$24)))</f>
        <v/>
      </c>
      <c r="I890" t="str">
        <f>IF($A890="","",IF($D890="V01",cad!$C$32,IF($D890="V02",cad!$D$32,cad!$E$32)))</f>
        <v/>
      </c>
      <c r="J890" t="str">
        <f>IF($A890="","",IF($D890="V01",cad!$C$33,IF($D890="V02",cad!$D$33,cad!$E$33)))</f>
        <v/>
      </c>
      <c r="K890" t="str">
        <f>IF($A890="","",IF($D890="V01",cad!$C$34,IF($D890="V02",cad!$D$34,cad!$E$34)))</f>
        <v/>
      </c>
      <c r="L890" t="str">
        <f>IF($A890="","",IF($D890="V01",cad!$C$35,IF($D890="V02",cad!$D$35,cad!$E$35)))</f>
        <v/>
      </c>
      <c r="M890" t="str">
        <f>IF($A890="","",IF($D890="V01",cad!$C$36,IF($D890="V02",cad!$D$36,cad!$E$36)))</f>
        <v/>
      </c>
      <c r="N890" t="str">
        <f t="shared" si="53"/>
        <v/>
      </c>
      <c r="O890" t="str">
        <f t="shared" si="54"/>
        <v/>
      </c>
      <c r="P890" t="str">
        <f>IF($A890="","",IF($E890=1,$F890*$O890,PNL!G890))</f>
        <v/>
      </c>
      <c r="T890" t="str">
        <f t="shared" si="55"/>
        <v/>
      </c>
    </row>
    <row r="891" spans="1:20" x14ac:dyDescent="0.45">
      <c r="A891" t="str">
        <f>IF(PNL!A891="","",PNL!A891)</f>
        <v/>
      </c>
      <c r="B891" t="str">
        <f>IF(PNL!B891="","",PNL!B891)</f>
        <v/>
      </c>
      <c r="C891" t="str">
        <f>IF(PNL!C891="","",PNL!C891)</f>
        <v/>
      </c>
      <c r="D891" t="str">
        <f>IF(PNL!D891="","",PNL!D891)</f>
        <v/>
      </c>
      <c r="E891" t="str">
        <f t="shared" si="52"/>
        <v/>
      </c>
      <c r="F891" t="str">
        <f>IF($A891="","",IF($E891=1,SUMIFS(Compta!$F$1:$F$675,Compta!$A$1:$A$675,$A891,Compta!$B$1:$B$675,$B891,Compta!$C$1:$C$675,"2026"),0))</f>
        <v/>
      </c>
      <c r="G891" t="str">
        <f>IF($A891="","",IF($D891="V01",cad!$C$23,IF($D891="V02",cad!$D$23,cad!$E$23)))</f>
        <v/>
      </c>
      <c r="H891" t="str">
        <f>IF($A891="","",IF($D891="V01",cad!$C$24,IF($D891="V02",cad!$D$24,cad!$E$24)))</f>
        <v/>
      </c>
      <c r="I891" t="str">
        <f>IF($A891="","",IF($D891="V01",cad!$C$32,IF($D891="V02",cad!$D$32,cad!$E$32)))</f>
        <v/>
      </c>
      <c r="J891" t="str">
        <f>IF($A891="","",IF($D891="V01",cad!$C$33,IF($D891="V02",cad!$D$33,cad!$E$33)))</f>
        <v/>
      </c>
      <c r="K891" t="str">
        <f>IF($A891="","",IF($D891="V01",cad!$C$34,IF($D891="V02",cad!$D$34,cad!$E$34)))</f>
        <v/>
      </c>
      <c r="L891" t="str">
        <f>IF($A891="","",IF($D891="V01",cad!$C$35,IF($D891="V02",cad!$D$35,cad!$E$35)))</f>
        <v/>
      </c>
      <c r="M891" t="str">
        <f>IF($A891="","",IF($D891="V01",cad!$C$36,IF($D891="V02",cad!$D$36,cad!$E$36)))</f>
        <v/>
      </c>
      <c r="N891" t="str">
        <f t="shared" si="53"/>
        <v/>
      </c>
      <c r="O891" t="str">
        <f t="shared" si="54"/>
        <v/>
      </c>
      <c r="P891" t="str">
        <f>IF($A891="","",IF($E891=1,$F891*$O891,PNL!G891))</f>
        <v/>
      </c>
      <c r="T891" t="str">
        <f t="shared" si="55"/>
        <v/>
      </c>
    </row>
    <row r="892" spans="1:20" x14ac:dyDescent="0.45">
      <c r="A892" t="str">
        <f>IF(PNL!A892="","",PNL!A892)</f>
        <v/>
      </c>
      <c r="B892" t="str">
        <f>IF(PNL!B892="","",PNL!B892)</f>
        <v/>
      </c>
      <c r="C892" t="str">
        <f>IF(PNL!C892="","",PNL!C892)</f>
        <v/>
      </c>
      <c r="D892" t="str">
        <f>IF(PNL!D892="","",PNL!D892)</f>
        <v/>
      </c>
      <c r="E892" t="str">
        <f t="shared" si="52"/>
        <v/>
      </c>
      <c r="F892" t="str">
        <f>IF($A892="","",IF($E892=1,SUMIFS(Compta!$F$1:$F$675,Compta!$A$1:$A$675,$A892,Compta!$B$1:$B$675,$B892,Compta!$C$1:$C$675,"2026"),0))</f>
        <v/>
      </c>
      <c r="G892" t="str">
        <f>IF($A892="","",IF($D892="V01",cad!$C$23,IF($D892="V02",cad!$D$23,cad!$E$23)))</f>
        <v/>
      </c>
      <c r="H892" t="str">
        <f>IF($A892="","",IF($D892="V01",cad!$C$24,IF($D892="V02",cad!$D$24,cad!$E$24)))</f>
        <v/>
      </c>
      <c r="I892" t="str">
        <f>IF($A892="","",IF($D892="V01",cad!$C$32,IF($D892="V02",cad!$D$32,cad!$E$32)))</f>
        <v/>
      </c>
      <c r="J892" t="str">
        <f>IF($A892="","",IF($D892="V01",cad!$C$33,IF($D892="V02",cad!$D$33,cad!$E$33)))</f>
        <v/>
      </c>
      <c r="K892" t="str">
        <f>IF($A892="","",IF($D892="V01",cad!$C$34,IF($D892="V02",cad!$D$34,cad!$E$34)))</f>
        <v/>
      </c>
      <c r="L892" t="str">
        <f>IF($A892="","",IF($D892="V01",cad!$C$35,IF($D892="V02",cad!$D$35,cad!$E$35)))</f>
        <v/>
      </c>
      <c r="M892" t="str">
        <f>IF($A892="","",IF($D892="V01",cad!$C$36,IF($D892="V02",cad!$D$36,cad!$E$36)))</f>
        <v/>
      </c>
      <c r="N892" t="str">
        <f t="shared" si="53"/>
        <v/>
      </c>
      <c r="O892" t="str">
        <f t="shared" si="54"/>
        <v/>
      </c>
      <c r="P892" t="str">
        <f>IF($A892="","",IF($E892=1,$F892*$O892,PNL!G892))</f>
        <v/>
      </c>
      <c r="T892" t="str">
        <f t="shared" si="55"/>
        <v/>
      </c>
    </row>
    <row r="893" spans="1:20" x14ac:dyDescent="0.45">
      <c r="A893" t="str">
        <f>IF(PNL!A893="","",PNL!A893)</f>
        <v/>
      </c>
      <c r="B893" t="str">
        <f>IF(PNL!B893="","",PNL!B893)</f>
        <v/>
      </c>
      <c r="C893" t="str">
        <f>IF(PNL!C893="","",PNL!C893)</f>
        <v/>
      </c>
      <c r="D893" t="str">
        <f>IF(PNL!D893="","",PNL!D893)</f>
        <v/>
      </c>
      <c r="E893" t="str">
        <f t="shared" si="52"/>
        <v/>
      </c>
      <c r="F893" t="str">
        <f>IF($A893="","",IF($E893=1,SUMIFS(Compta!$F$1:$F$675,Compta!$A$1:$A$675,$A893,Compta!$B$1:$B$675,$B893,Compta!$C$1:$C$675,"2026"),0))</f>
        <v/>
      </c>
      <c r="G893" t="str">
        <f>IF($A893="","",IF($D893="V01",cad!$C$23,IF($D893="V02",cad!$D$23,cad!$E$23)))</f>
        <v/>
      </c>
      <c r="H893" t="str">
        <f>IF($A893="","",IF($D893="V01",cad!$C$24,IF($D893="V02",cad!$D$24,cad!$E$24)))</f>
        <v/>
      </c>
      <c r="I893" t="str">
        <f>IF($A893="","",IF($D893="V01",cad!$C$32,IF($D893="V02",cad!$D$32,cad!$E$32)))</f>
        <v/>
      </c>
      <c r="J893" t="str">
        <f>IF($A893="","",IF($D893="V01",cad!$C$33,IF($D893="V02",cad!$D$33,cad!$E$33)))</f>
        <v/>
      </c>
      <c r="K893" t="str">
        <f>IF($A893="","",IF($D893="V01",cad!$C$34,IF($D893="V02",cad!$D$34,cad!$E$34)))</f>
        <v/>
      </c>
      <c r="L893" t="str">
        <f>IF($A893="","",IF($D893="V01",cad!$C$35,IF($D893="V02",cad!$D$35,cad!$E$35)))</f>
        <v/>
      </c>
      <c r="M893" t="str">
        <f>IF($A893="","",IF($D893="V01",cad!$C$36,IF($D893="V02",cad!$D$36,cad!$E$36)))</f>
        <v/>
      </c>
      <c r="N893" t="str">
        <f t="shared" si="53"/>
        <v/>
      </c>
      <c r="O893" t="str">
        <f t="shared" si="54"/>
        <v/>
      </c>
      <c r="P893" t="str">
        <f>IF($A893="","",IF($E893=1,$F893*$O893,PNL!G893))</f>
        <v/>
      </c>
      <c r="T893" t="str">
        <f t="shared" si="55"/>
        <v/>
      </c>
    </row>
    <row r="894" spans="1:20" x14ac:dyDescent="0.45">
      <c r="A894" t="str">
        <f>IF(PNL!A894="","",PNL!A894)</f>
        <v/>
      </c>
      <c r="B894" t="str">
        <f>IF(PNL!B894="","",PNL!B894)</f>
        <v/>
      </c>
      <c r="C894" t="str">
        <f>IF(PNL!C894="","",PNL!C894)</f>
        <v/>
      </c>
      <c r="D894" t="str">
        <f>IF(PNL!D894="","",PNL!D894)</f>
        <v/>
      </c>
      <c r="E894" t="str">
        <f t="shared" si="52"/>
        <v/>
      </c>
      <c r="F894" t="str">
        <f>IF($A894="","",IF($E894=1,SUMIFS(Compta!$F$1:$F$675,Compta!$A$1:$A$675,$A894,Compta!$B$1:$B$675,$B894,Compta!$C$1:$C$675,"2026"),0))</f>
        <v/>
      </c>
      <c r="G894" t="str">
        <f>IF($A894="","",IF($D894="V01",cad!$C$23,IF($D894="V02",cad!$D$23,cad!$E$23)))</f>
        <v/>
      </c>
      <c r="H894" t="str">
        <f>IF($A894="","",IF($D894="V01",cad!$C$24,IF($D894="V02",cad!$D$24,cad!$E$24)))</f>
        <v/>
      </c>
      <c r="I894" t="str">
        <f>IF($A894="","",IF($D894="V01",cad!$C$32,IF($D894="V02",cad!$D$32,cad!$E$32)))</f>
        <v/>
      </c>
      <c r="J894" t="str">
        <f>IF($A894="","",IF($D894="V01",cad!$C$33,IF($D894="V02",cad!$D$33,cad!$E$33)))</f>
        <v/>
      </c>
      <c r="K894" t="str">
        <f>IF($A894="","",IF($D894="V01",cad!$C$34,IF($D894="V02",cad!$D$34,cad!$E$34)))</f>
        <v/>
      </c>
      <c r="L894" t="str">
        <f>IF($A894="","",IF($D894="V01",cad!$C$35,IF($D894="V02",cad!$D$35,cad!$E$35)))</f>
        <v/>
      </c>
      <c r="M894" t="str">
        <f>IF($A894="","",IF($D894="V01",cad!$C$36,IF($D894="V02",cad!$D$36,cad!$E$36)))</f>
        <v/>
      </c>
      <c r="N894" t="str">
        <f t="shared" si="53"/>
        <v/>
      </c>
      <c r="O894" t="str">
        <f t="shared" si="54"/>
        <v/>
      </c>
      <c r="P894" t="str">
        <f>IF($A894="","",IF($E894=1,$F894*$O894,PNL!G894))</f>
        <v/>
      </c>
      <c r="T894" t="str">
        <f t="shared" si="55"/>
        <v/>
      </c>
    </row>
    <row r="895" spans="1:20" x14ac:dyDescent="0.45">
      <c r="A895" t="str">
        <f>IF(PNL!A895="","",PNL!A895)</f>
        <v/>
      </c>
      <c r="B895" t="str">
        <f>IF(PNL!B895="","",PNL!B895)</f>
        <v/>
      </c>
      <c r="C895" t="str">
        <f>IF(PNL!C895="","",PNL!C895)</f>
        <v/>
      </c>
      <c r="D895" t="str">
        <f>IF(PNL!D895="","",PNL!D895)</f>
        <v/>
      </c>
      <c r="E895" t="str">
        <f t="shared" si="52"/>
        <v/>
      </c>
      <c r="F895" t="str">
        <f>IF($A895="","",IF($E895=1,SUMIFS(Compta!$F$1:$F$675,Compta!$A$1:$A$675,$A895,Compta!$B$1:$B$675,$B895,Compta!$C$1:$C$675,"2026"),0))</f>
        <v/>
      </c>
      <c r="G895" t="str">
        <f>IF($A895="","",IF($D895="V01",cad!$C$23,IF($D895="V02",cad!$D$23,cad!$E$23)))</f>
        <v/>
      </c>
      <c r="H895" t="str">
        <f>IF($A895="","",IF($D895="V01",cad!$C$24,IF($D895="V02",cad!$D$24,cad!$E$24)))</f>
        <v/>
      </c>
      <c r="I895" t="str">
        <f>IF($A895="","",IF($D895="V01",cad!$C$32,IF($D895="V02",cad!$D$32,cad!$E$32)))</f>
        <v/>
      </c>
      <c r="J895" t="str">
        <f>IF($A895="","",IF($D895="V01",cad!$C$33,IF($D895="V02",cad!$D$33,cad!$E$33)))</f>
        <v/>
      </c>
      <c r="K895" t="str">
        <f>IF($A895="","",IF($D895="V01",cad!$C$34,IF($D895="V02",cad!$D$34,cad!$E$34)))</f>
        <v/>
      </c>
      <c r="L895" t="str">
        <f>IF($A895="","",IF($D895="V01",cad!$C$35,IF($D895="V02",cad!$D$35,cad!$E$35)))</f>
        <v/>
      </c>
      <c r="M895" t="str">
        <f>IF($A895="","",IF($D895="V01",cad!$C$36,IF($D895="V02",cad!$D$36,cad!$E$36)))</f>
        <v/>
      </c>
      <c r="N895" t="str">
        <f t="shared" si="53"/>
        <v/>
      </c>
      <c r="O895" t="str">
        <f t="shared" si="54"/>
        <v/>
      </c>
      <c r="P895" t="str">
        <f>IF($A895="","",IF($E895=1,$F895*$O895,PNL!G895))</f>
        <v/>
      </c>
      <c r="T895" t="str">
        <f t="shared" si="55"/>
        <v/>
      </c>
    </row>
    <row r="896" spans="1:20" x14ac:dyDescent="0.45">
      <c r="A896" t="str">
        <f>IF(PNL!A896="","",PNL!A896)</f>
        <v/>
      </c>
      <c r="B896" t="str">
        <f>IF(PNL!B896="","",PNL!B896)</f>
        <v/>
      </c>
      <c r="C896" t="str">
        <f>IF(PNL!C896="","",PNL!C896)</f>
        <v/>
      </c>
      <c r="D896" t="str">
        <f>IF(PNL!D896="","",PNL!D896)</f>
        <v/>
      </c>
      <c r="E896" t="str">
        <f t="shared" si="52"/>
        <v/>
      </c>
      <c r="F896" t="str">
        <f>IF($A896="","",IF($E896=1,SUMIFS(Compta!$F$1:$F$675,Compta!$A$1:$A$675,$A896,Compta!$B$1:$B$675,$B896,Compta!$C$1:$C$675,"2026"),0))</f>
        <v/>
      </c>
      <c r="G896" t="str">
        <f>IF($A896="","",IF($D896="V01",cad!$C$23,IF($D896="V02",cad!$D$23,cad!$E$23)))</f>
        <v/>
      </c>
      <c r="H896" t="str">
        <f>IF($A896="","",IF($D896="V01",cad!$C$24,IF($D896="V02",cad!$D$24,cad!$E$24)))</f>
        <v/>
      </c>
      <c r="I896" t="str">
        <f>IF($A896="","",IF($D896="V01",cad!$C$32,IF($D896="V02",cad!$D$32,cad!$E$32)))</f>
        <v/>
      </c>
      <c r="J896" t="str">
        <f>IF($A896="","",IF($D896="V01",cad!$C$33,IF($D896="V02",cad!$D$33,cad!$E$33)))</f>
        <v/>
      </c>
      <c r="K896" t="str">
        <f>IF($A896="","",IF($D896="V01",cad!$C$34,IF($D896="V02",cad!$D$34,cad!$E$34)))</f>
        <v/>
      </c>
      <c r="L896" t="str">
        <f>IF($A896="","",IF($D896="V01",cad!$C$35,IF($D896="V02",cad!$D$35,cad!$E$35)))</f>
        <v/>
      </c>
      <c r="M896" t="str">
        <f>IF($A896="","",IF($D896="V01",cad!$C$36,IF($D896="V02",cad!$D$36,cad!$E$36)))</f>
        <v/>
      </c>
      <c r="N896" t="str">
        <f t="shared" si="53"/>
        <v/>
      </c>
      <c r="O896" t="str">
        <f t="shared" si="54"/>
        <v/>
      </c>
      <c r="P896" t="str">
        <f>IF($A896="","",IF($E896=1,$F896*$O896,PNL!G896))</f>
        <v/>
      </c>
      <c r="T896" t="str">
        <f t="shared" si="55"/>
        <v/>
      </c>
    </row>
    <row r="897" spans="1:20" x14ac:dyDescent="0.45">
      <c r="A897" t="str">
        <f>IF(PNL!A897="","",PNL!A897)</f>
        <v/>
      </c>
      <c r="B897" t="str">
        <f>IF(PNL!B897="","",PNL!B897)</f>
        <v/>
      </c>
      <c r="C897" t="str">
        <f>IF(PNL!C897="","",PNL!C897)</f>
        <v/>
      </c>
      <c r="D897" t="str">
        <f>IF(PNL!D897="","",PNL!D897)</f>
        <v/>
      </c>
      <c r="E897" t="str">
        <f t="shared" si="52"/>
        <v/>
      </c>
      <c r="F897" t="str">
        <f>IF($A897="","",IF($E897=1,SUMIFS(Compta!$F$1:$F$675,Compta!$A$1:$A$675,$A897,Compta!$B$1:$B$675,$B897,Compta!$C$1:$C$675,"2026"),0))</f>
        <v/>
      </c>
      <c r="G897" t="str">
        <f>IF($A897="","",IF($D897="V01",cad!$C$23,IF($D897="V02",cad!$D$23,cad!$E$23)))</f>
        <v/>
      </c>
      <c r="H897" t="str">
        <f>IF($A897="","",IF($D897="V01",cad!$C$24,IF($D897="V02",cad!$D$24,cad!$E$24)))</f>
        <v/>
      </c>
      <c r="I897" t="str">
        <f>IF($A897="","",IF($D897="V01",cad!$C$32,IF($D897="V02",cad!$D$32,cad!$E$32)))</f>
        <v/>
      </c>
      <c r="J897" t="str">
        <f>IF($A897="","",IF($D897="V01",cad!$C$33,IF($D897="V02",cad!$D$33,cad!$E$33)))</f>
        <v/>
      </c>
      <c r="K897" t="str">
        <f>IF($A897="","",IF($D897="V01",cad!$C$34,IF($D897="V02",cad!$D$34,cad!$E$34)))</f>
        <v/>
      </c>
      <c r="L897" t="str">
        <f>IF($A897="","",IF($D897="V01",cad!$C$35,IF($D897="V02",cad!$D$35,cad!$E$35)))</f>
        <v/>
      </c>
      <c r="M897" t="str">
        <f>IF($A897="","",IF($D897="V01",cad!$C$36,IF($D897="V02",cad!$D$36,cad!$E$36)))</f>
        <v/>
      </c>
      <c r="N897" t="str">
        <f t="shared" si="53"/>
        <v/>
      </c>
      <c r="O897" t="str">
        <f t="shared" si="54"/>
        <v/>
      </c>
      <c r="P897" t="str">
        <f>IF($A897="","",IF($E897=1,$F897*$O897,PNL!G897))</f>
        <v/>
      </c>
      <c r="T897" t="str">
        <f t="shared" si="55"/>
        <v/>
      </c>
    </row>
    <row r="898" spans="1:20" x14ac:dyDescent="0.45">
      <c r="A898" t="str">
        <f>IF(PNL!A898="","",PNL!A898)</f>
        <v/>
      </c>
      <c r="B898" t="str">
        <f>IF(PNL!B898="","",PNL!B898)</f>
        <v/>
      </c>
      <c r="C898" t="str">
        <f>IF(PNL!C898="","",PNL!C898)</f>
        <v/>
      </c>
      <c r="D898" t="str">
        <f>IF(PNL!D898="","",PNL!D898)</f>
        <v/>
      </c>
      <c r="E898" t="str">
        <f t="shared" ref="E898:E961" si="56">IF($A898="","",IF(AND($C898="2027",OR($D898="V01",$D898="V02",$D898="V03")),1,0))</f>
        <v/>
      </c>
      <c r="F898" t="str">
        <f>IF($A898="","",IF($E898=1,SUMIFS(Compta!$F$1:$F$675,Compta!$A$1:$A$675,$A898,Compta!$B$1:$B$675,$B898,Compta!$C$1:$C$675,"2026"),0))</f>
        <v/>
      </c>
      <c r="G898" t="str">
        <f>IF($A898="","",IF($D898="V01",cad!$C$23,IF($D898="V02",cad!$D$23,cad!$E$23)))</f>
        <v/>
      </c>
      <c r="H898" t="str">
        <f>IF($A898="","",IF($D898="V01",cad!$C$24,IF($D898="V02",cad!$D$24,cad!$E$24)))</f>
        <v/>
      </c>
      <c r="I898" t="str">
        <f>IF($A898="","",IF($D898="V01",cad!$C$32,IF($D898="V02",cad!$D$32,cad!$E$32)))</f>
        <v/>
      </c>
      <c r="J898" t="str">
        <f>IF($A898="","",IF($D898="V01",cad!$C$33,IF($D898="V02",cad!$D$33,cad!$E$33)))</f>
        <v/>
      </c>
      <c r="K898" t="str">
        <f>IF($A898="","",IF($D898="V01",cad!$C$34,IF($D898="V02",cad!$D$34,cad!$E$34)))</f>
        <v/>
      </c>
      <c r="L898" t="str">
        <f>IF($A898="","",IF($D898="V01",cad!$C$35,IF($D898="V02",cad!$D$35,cad!$E$35)))</f>
        <v/>
      </c>
      <c r="M898" t="str">
        <f>IF($A898="","",IF($D898="V01",cad!$C$36,IF($D898="V02",cad!$D$36,cad!$E$36)))</f>
        <v/>
      </c>
      <c r="N898" t="str">
        <f t="shared" ref="N898:N961" si="57">IF($A898="","",IF($D898="V01",$R$2,IF($D898="V02",$R$3,$R$4)))</f>
        <v/>
      </c>
      <c r="O898" t="str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 t="str">
        <f>IF($A898="","",IF($E898=1,$F898*$O898,PNL!G898))</f>
        <v/>
      </c>
      <c r="T898" t="str">
        <f t="shared" ref="T898:T961" si="59">IF($A898="","",IF($E898=1,IF(OR($B898="7062",$B898="706",$B898="708"),$P898,IF(AND(LEFT($B898,1)="6",$B898&lt;&gt;"6811"),-$P898,0)),0))</f>
        <v/>
      </c>
    </row>
    <row r="899" spans="1:20" x14ac:dyDescent="0.45">
      <c r="A899" t="str">
        <f>IF(PNL!A899="","",PNL!A899)</f>
        <v/>
      </c>
      <c r="B899" t="str">
        <f>IF(PNL!B899="","",PNL!B899)</f>
        <v/>
      </c>
      <c r="C899" t="str">
        <f>IF(PNL!C899="","",PNL!C899)</f>
        <v/>
      </c>
      <c r="D899" t="str">
        <f>IF(PNL!D899="","",PNL!D899)</f>
        <v/>
      </c>
      <c r="E899" t="str">
        <f t="shared" si="56"/>
        <v/>
      </c>
      <c r="F899" t="str">
        <f>IF($A899="","",IF($E899=1,SUMIFS(Compta!$F$1:$F$675,Compta!$A$1:$A$675,$A899,Compta!$B$1:$B$675,$B899,Compta!$C$1:$C$675,"2026"),0))</f>
        <v/>
      </c>
      <c r="G899" t="str">
        <f>IF($A899="","",IF($D899="V01",cad!$C$23,IF($D899="V02",cad!$D$23,cad!$E$23)))</f>
        <v/>
      </c>
      <c r="H899" t="str">
        <f>IF($A899="","",IF($D899="V01",cad!$C$24,IF($D899="V02",cad!$D$24,cad!$E$24)))</f>
        <v/>
      </c>
      <c r="I899" t="str">
        <f>IF($A899="","",IF($D899="V01",cad!$C$32,IF($D899="V02",cad!$D$32,cad!$E$32)))</f>
        <v/>
      </c>
      <c r="J899" t="str">
        <f>IF($A899="","",IF($D899="V01",cad!$C$33,IF($D899="V02",cad!$D$33,cad!$E$33)))</f>
        <v/>
      </c>
      <c r="K899" t="str">
        <f>IF($A899="","",IF($D899="V01",cad!$C$34,IF($D899="V02",cad!$D$34,cad!$E$34)))</f>
        <v/>
      </c>
      <c r="L899" t="str">
        <f>IF($A899="","",IF($D899="V01",cad!$C$35,IF($D899="V02",cad!$D$35,cad!$E$35)))</f>
        <v/>
      </c>
      <c r="M899" t="str">
        <f>IF($A899="","",IF($D899="V01",cad!$C$36,IF($D899="V02",cad!$D$36,cad!$E$36)))</f>
        <v/>
      </c>
      <c r="N899" t="str">
        <f t="shared" si="57"/>
        <v/>
      </c>
      <c r="O899" t="str">
        <f t="shared" si="58"/>
        <v/>
      </c>
      <c r="P899" t="str">
        <f>IF($A899="","",IF($E899=1,$F899*$O899,PNL!G899))</f>
        <v/>
      </c>
      <c r="T899" t="str">
        <f t="shared" si="59"/>
        <v/>
      </c>
    </row>
    <row r="900" spans="1:20" x14ac:dyDescent="0.45">
      <c r="A900" t="str">
        <f>IF(PNL!A900="","",PNL!A900)</f>
        <v/>
      </c>
      <c r="B900" t="str">
        <f>IF(PNL!B900="","",PNL!B900)</f>
        <v/>
      </c>
      <c r="C900" t="str">
        <f>IF(PNL!C900="","",PNL!C900)</f>
        <v/>
      </c>
      <c r="D900" t="str">
        <f>IF(PNL!D900="","",PNL!D900)</f>
        <v/>
      </c>
      <c r="E900" t="str">
        <f t="shared" si="56"/>
        <v/>
      </c>
      <c r="F900" t="str">
        <f>IF($A900="","",IF($E900=1,SUMIFS(Compta!$F$1:$F$675,Compta!$A$1:$A$675,$A900,Compta!$B$1:$B$675,$B900,Compta!$C$1:$C$675,"2026"),0))</f>
        <v/>
      </c>
      <c r="G900" t="str">
        <f>IF($A900="","",IF($D900="V01",cad!$C$23,IF($D900="V02",cad!$D$23,cad!$E$23)))</f>
        <v/>
      </c>
      <c r="H900" t="str">
        <f>IF($A900="","",IF($D900="V01",cad!$C$24,IF($D900="V02",cad!$D$24,cad!$E$24)))</f>
        <v/>
      </c>
      <c r="I900" t="str">
        <f>IF($A900="","",IF($D900="V01",cad!$C$32,IF($D900="V02",cad!$D$32,cad!$E$32)))</f>
        <v/>
      </c>
      <c r="J900" t="str">
        <f>IF($A900="","",IF($D900="V01",cad!$C$33,IF($D900="V02",cad!$D$33,cad!$E$33)))</f>
        <v/>
      </c>
      <c r="K900" t="str">
        <f>IF($A900="","",IF($D900="V01",cad!$C$34,IF($D900="V02",cad!$D$34,cad!$E$34)))</f>
        <v/>
      </c>
      <c r="L900" t="str">
        <f>IF($A900="","",IF($D900="V01",cad!$C$35,IF($D900="V02",cad!$D$35,cad!$E$35)))</f>
        <v/>
      </c>
      <c r="M900" t="str">
        <f>IF($A900="","",IF($D900="V01",cad!$C$36,IF($D900="V02",cad!$D$36,cad!$E$36)))</f>
        <v/>
      </c>
      <c r="N900" t="str">
        <f t="shared" si="57"/>
        <v/>
      </c>
      <c r="O900" t="str">
        <f t="shared" si="58"/>
        <v/>
      </c>
      <c r="P900" t="str">
        <f>IF($A900="","",IF($E900=1,$F900*$O900,PNL!G900))</f>
        <v/>
      </c>
      <c r="T900" t="str">
        <f t="shared" si="59"/>
        <v/>
      </c>
    </row>
    <row r="901" spans="1:20" x14ac:dyDescent="0.45">
      <c r="A901" t="str">
        <f>IF(PNL!A901="","",PNL!A901)</f>
        <v/>
      </c>
      <c r="B901" t="str">
        <f>IF(PNL!B901="","",PNL!B901)</f>
        <v/>
      </c>
      <c r="C901" t="str">
        <f>IF(PNL!C901="","",PNL!C901)</f>
        <v/>
      </c>
      <c r="D901" t="str">
        <f>IF(PNL!D901="","",PNL!D901)</f>
        <v/>
      </c>
      <c r="E901" t="str">
        <f t="shared" si="56"/>
        <v/>
      </c>
      <c r="F901" t="str">
        <f>IF($A901="","",IF($E901=1,SUMIFS(Compta!$F$1:$F$675,Compta!$A$1:$A$675,$A901,Compta!$B$1:$B$675,$B901,Compta!$C$1:$C$675,"2026"),0))</f>
        <v/>
      </c>
      <c r="G901" t="str">
        <f>IF($A901="","",IF($D901="V01",cad!$C$23,IF($D901="V02",cad!$D$23,cad!$E$23)))</f>
        <v/>
      </c>
      <c r="H901" t="str">
        <f>IF($A901="","",IF($D901="V01",cad!$C$24,IF($D901="V02",cad!$D$24,cad!$E$24)))</f>
        <v/>
      </c>
      <c r="I901" t="str">
        <f>IF($A901="","",IF($D901="V01",cad!$C$32,IF($D901="V02",cad!$D$32,cad!$E$32)))</f>
        <v/>
      </c>
      <c r="J901" t="str">
        <f>IF($A901="","",IF($D901="V01",cad!$C$33,IF($D901="V02",cad!$D$33,cad!$E$33)))</f>
        <v/>
      </c>
      <c r="K901" t="str">
        <f>IF($A901="","",IF($D901="V01",cad!$C$34,IF($D901="V02",cad!$D$34,cad!$E$34)))</f>
        <v/>
      </c>
      <c r="L901" t="str">
        <f>IF($A901="","",IF($D901="V01",cad!$C$35,IF($D901="V02",cad!$D$35,cad!$E$35)))</f>
        <v/>
      </c>
      <c r="M901" t="str">
        <f>IF($A901="","",IF($D901="V01",cad!$C$36,IF($D901="V02",cad!$D$36,cad!$E$36)))</f>
        <v/>
      </c>
      <c r="N901" t="str">
        <f t="shared" si="57"/>
        <v/>
      </c>
      <c r="O901" t="str">
        <f t="shared" si="58"/>
        <v/>
      </c>
      <c r="P901" t="str">
        <f>IF($A901="","",IF($E901=1,$F901*$O901,PNL!G901))</f>
        <v/>
      </c>
      <c r="T901" t="str">
        <f t="shared" si="59"/>
        <v/>
      </c>
    </row>
    <row r="902" spans="1:20" x14ac:dyDescent="0.45">
      <c r="A902" t="str">
        <f>IF(PNL!A902="","",PNL!A902)</f>
        <v/>
      </c>
      <c r="B902" t="str">
        <f>IF(PNL!B902="","",PNL!B902)</f>
        <v/>
      </c>
      <c r="C902" t="str">
        <f>IF(PNL!C902="","",PNL!C902)</f>
        <v/>
      </c>
      <c r="D902" t="str">
        <f>IF(PNL!D902="","",PNL!D902)</f>
        <v/>
      </c>
      <c r="E902" t="str">
        <f t="shared" si="56"/>
        <v/>
      </c>
      <c r="F902" t="str">
        <f>IF($A902="","",IF($E902=1,SUMIFS(Compta!$F$1:$F$675,Compta!$A$1:$A$675,$A902,Compta!$B$1:$B$675,$B902,Compta!$C$1:$C$675,"2026"),0))</f>
        <v/>
      </c>
      <c r="G902" t="str">
        <f>IF($A902="","",IF($D902="V01",cad!$C$23,IF($D902="V02",cad!$D$23,cad!$E$23)))</f>
        <v/>
      </c>
      <c r="H902" t="str">
        <f>IF($A902="","",IF($D902="V01",cad!$C$24,IF($D902="V02",cad!$D$24,cad!$E$24)))</f>
        <v/>
      </c>
      <c r="I902" t="str">
        <f>IF($A902="","",IF($D902="V01",cad!$C$32,IF($D902="V02",cad!$D$32,cad!$E$32)))</f>
        <v/>
      </c>
      <c r="J902" t="str">
        <f>IF($A902="","",IF($D902="V01",cad!$C$33,IF($D902="V02",cad!$D$33,cad!$E$33)))</f>
        <v/>
      </c>
      <c r="K902" t="str">
        <f>IF($A902="","",IF($D902="V01",cad!$C$34,IF($D902="V02",cad!$D$34,cad!$E$34)))</f>
        <v/>
      </c>
      <c r="L902" t="str">
        <f>IF($A902="","",IF($D902="V01",cad!$C$35,IF($D902="V02",cad!$D$35,cad!$E$35)))</f>
        <v/>
      </c>
      <c r="M902" t="str">
        <f>IF($A902="","",IF($D902="V01",cad!$C$36,IF($D902="V02",cad!$D$36,cad!$E$36)))</f>
        <v/>
      </c>
      <c r="N902" t="str">
        <f t="shared" si="57"/>
        <v/>
      </c>
      <c r="O902" t="str">
        <f t="shared" si="58"/>
        <v/>
      </c>
      <c r="P902" t="str">
        <f>IF($A902="","",IF($E902=1,$F902*$O902,PNL!G902))</f>
        <v/>
      </c>
      <c r="T902" t="str">
        <f t="shared" si="59"/>
        <v/>
      </c>
    </row>
    <row r="903" spans="1:20" x14ac:dyDescent="0.45">
      <c r="A903" t="str">
        <f>IF(PNL!A903="","",PNL!A903)</f>
        <v/>
      </c>
      <c r="B903" t="str">
        <f>IF(PNL!B903="","",PNL!B903)</f>
        <v/>
      </c>
      <c r="C903" t="str">
        <f>IF(PNL!C903="","",PNL!C903)</f>
        <v/>
      </c>
      <c r="D903" t="str">
        <f>IF(PNL!D903="","",PNL!D903)</f>
        <v/>
      </c>
      <c r="E903" t="str">
        <f t="shared" si="56"/>
        <v/>
      </c>
      <c r="F903" t="str">
        <f>IF($A903="","",IF($E903=1,SUMIFS(Compta!$F$1:$F$675,Compta!$A$1:$A$675,$A903,Compta!$B$1:$B$675,$B903,Compta!$C$1:$C$675,"2026"),0))</f>
        <v/>
      </c>
      <c r="G903" t="str">
        <f>IF($A903="","",IF($D903="V01",cad!$C$23,IF($D903="V02",cad!$D$23,cad!$E$23)))</f>
        <v/>
      </c>
      <c r="H903" t="str">
        <f>IF($A903="","",IF($D903="V01",cad!$C$24,IF($D903="V02",cad!$D$24,cad!$E$24)))</f>
        <v/>
      </c>
      <c r="I903" t="str">
        <f>IF($A903="","",IF($D903="V01",cad!$C$32,IF($D903="V02",cad!$D$32,cad!$E$32)))</f>
        <v/>
      </c>
      <c r="J903" t="str">
        <f>IF($A903="","",IF($D903="V01",cad!$C$33,IF($D903="V02",cad!$D$33,cad!$E$33)))</f>
        <v/>
      </c>
      <c r="K903" t="str">
        <f>IF($A903="","",IF($D903="V01",cad!$C$34,IF($D903="V02",cad!$D$34,cad!$E$34)))</f>
        <v/>
      </c>
      <c r="L903" t="str">
        <f>IF($A903="","",IF($D903="V01",cad!$C$35,IF($D903="V02",cad!$D$35,cad!$E$35)))</f>
        <v/>
      </c>
      <c r="M903" t="str">
        <f>IF($A903="","",IF($D903="V01",cad!$C$36,IF($D903="V02",cad!$D$36,cad!$E$36)))</f>
        <v/>
      </c>
      <c r="N903" t="str">
        <f t="shared" si="57"/>
        <v/>
      </c>
      <c r="O903" t="str">
        <f t="shared" si="58"/>
        <v/>
      </c>
      <c r="P903" t="str">
        <f>IF($A903="","",IF($E903=1,$F903*$O903,PNL!G903))</f>
        <v/>
      </c>
      <c r="T903" t="str">
        <f t="shared" si="59"/>
        <v/>
      </c>
    </row>
    <row r="904" spans="1:20" x14ac:dyDescent="0.45">
      <c r="A904" t="str">
        <f>IF(PNL!A904="","",PNL!A904)</f>
        <v/>
      </c>
      <c r="B904" t="str">
        <f>IF(PNL!B904="","",PNL!B904)</f>
        <v/>
      </c>
      <c r="C904" t="str">
        <f>IF(PNL!C904="","",PNL!C904)</f>
        <v/>
      </c>
      <c r="D904" t="str">
        <f>IF(PNL!D904="","",PNL!D904)</f>
        <v/>
      </c>
      <c r="E904" t="str">
        <f t="shared" si="56"/>
        <v/>
      </c>
      <c r="F904" t="str">
        <f>IF($A904="","",IF($E904=1,SUMIFS(Compta!$F$1:$F$675,Compta!$A$1:$A$675,$A904,Compta!$B$1:$B$675,$B904,Compta!$C$1:$C$675,"2026"),0))</f>
        <v/>
      </c>
      <c r="G904" t="str">
        <f>IF($A904="","",IF($D904="V01",cad!$C$23,IF($D904="V02",cad!$D$23,cad!$E$23)))</f>
        <v/>
      </c>
      <c r="H904" t="str">
        <f>IF($A904="","",IF($D904="V01",cad!$C$24,IF($D904="V02",cad!$D$24,cad!$E$24)))</f>
        <v/>
      </c>
      <c r="I904" t="str">
        <f>IF($A904="","",IF($D904="V01",cad!$C$32,IF($D904="V02",cad!$D$32,cad!$E$32)))</f>
        <v/>
      </c>
      <c r="J904" t="str">
        <f>IF($A904="","",IF($D904="V01",cad!$C$33,IF($D904="V02",cad!$D$33,cad!$E$33)))</f>
        <v/>
      </c>
      <c r="K904" t="str">
        <f>IF($A904="","",IF($D904="V01",cad!$C$34,IF($D904="V02",cad!$D$34,cad!$E$34)))</f>
        <v/>
      </c>
      <c r="L904" t="str">
        <f>IF($A904="","",IF($D904="V01",cad!$C$35,IF($D904="V02",cad!$D$35,cad!$E$35)))</f>
        <v/>
      </c>
      <c r="M904" t="str">
        <f>IF($A904="","",IF($D904="V01",cad!$C$36,IF($D904="V02",cad!$D$36,cad!$E$36)))</f>
        <v/>
      </c>
      <c r="N904" t="str">
        <f t="shared" si="57"/>
        <v/>
      </c>
      <c r="O904" t="str">
        <f t="shared" si="58"/>
        <v/>
      </c>
      <c r="P904" t="str">
        <f>IF($A904="","",IF($E904=1,$F904*$O904,PNL!G904))</f>
        <v/>
      </c>
      <c r="T904" t="str">
        <f t="shared" si="59"/>
        <v/>
      </c>
    </row>
    <row r="905" spans="1:20" x14ac:dyDescent="0.45">
      <c r="A905" t="str">
        <f>IF(PNL!A905="","",PNL!A905)</f>
        <v/>
      </c>
      <c r="B905" t="str">
        <f>IF(PNL!B905="","",PNL!B905)</f>
        <v/>
      </c>
      <c r="C905" t="str">
        <f>IF(PNL!C905="","",PNL!C905)</f>
        <v/>
      </c>
      <c r="D905" t="str">
        <f>IF(PNL!D905="","",PNL!D905)</f>
        <v/>
      </c>
      <c r="E905" t="str">
        <f t="shared" si="56"/>
        <v/>
      </c>
      <c r="F905" t="str">
        <f>IF($A905="","",IF($E905=1,SUMIFS(Compta!$F$1:$F$675,Compta!$A$1:$A$675,$A905,Compta!$B$1:$B$675,$B905,Compta!$C$1:$C$675,"2026"),0))</f>
        <v/>
      </c>
      <c r="G905" t="str">
        <f>IF($A905="","",IF($D905="V01",cad!$C$23,IF($D905="V02",cad!$D$23,cad!$E$23)))</f>
        <v/>
      </c>
      <c r="H905" t="str">
        <f>IF($A905="","",IF($D905="V01",cad!$C$24,IF($D905="V02",cad!$D$24,cad!$E$24)))</f>
        <v/>
      </c>
      <c r="I905" t="str">
        <f>IF($A905="","",IF($D905="V01",cad!$C$32,IF($D905="V02",cad!$D$32,cad!$E$32)))</f>
        <v/>
      </c>
      <c r="J905" t="str">
        <f>IF($A905="","",IF($D905="V01",cad!$C$33,IF($D905="V02",cad!$D$33,cad!$E$33)))</f>
        <v/>
      </c>
      <c r="K905" t="str">
        <f>IF($A905="","",IF($D905="V01",cad!$C$34,IF($D905="V02",cad!$D$34,cad!$E$34)))</f>
        <v/>
      </c>
      <c r="L905" t="str">
        <f>IF($A905="","",IF($D905="V01",cad!$C$35,IF($D905="V02",cad!$D$35,cad!$E$35)))</f>
        <v/>
      </c>
      <c r="M905" t="str">
        <f>IF($A905="","",IF($D905="V01",cad!$C$36,IF($D905="V02",cad!$D$36,cad!$E$36)))</f>
        <v/>
      </c>
      <c r="N905" t="str">
        <f t="shared" si="57"/>
        <v/>
      </c>
      <c r="O905" t="str">
        <f t="shared" si="58"/>
        <v/>
      </c>
      <c r="P905" t="str">
        <f>IF($A905="","",IF($E905=1,$F905*$O905,PNL!G905))</f>
        <v/>
      </c>
      <c r="T905" t="str">
        <f t="shared" si="59"/>
        <v/>
      </c>
    </row>
    <row r="906" spans="1:20" x14ac:dyDescent="0.45">
      <c r="A906" t="str">
        <f>IF(PNL!A906="","",PNL!A906)</f>
        <v/>
      </c>
      <c r="B906" t="str">
        <f>IF(PNL!B906="","",PNL!B906)</f>
        <v/>
      </c>
      <c r="C906" t="str">
        <f>IF(PNL!C906="","",PNL!C906)</f>
        <v/>
      </c>
      <c r="D906" t="str">
        <f>IF(PNL!D906="","",PNL!D906)</f>
        <v/>
      </c>
      <c r="E906" t="str">
        <f t="shared" si="56"/>
        <v/>
      </c>
      <c r="F906" t="str">
        <f>IF($A906="","",IF($E906=1,SUMIFS(Compta!$F$1:$F$675,Compta!$A$1:$A$675,$A906,Compta!$B$1:$B$675,$B906,Compta!$C$1:$C$675,"2026"),0))</f>
        <v/>
      </c>
      <c r="G906" t="str">
        <f>IF($A906="","",IF($D906="V01",cad!$C$23,IF($D906="V02",cad!$D$23,cad!$E$23)))</f>
        <v/>
      </c>
      <c r="H906" t="str">
        <f>IF($A906="","",IF($D906="V01",cad!$C$24,IF($D906="V02",cad!$D$24,cad!$E$24)))</f>
        <v/>
      </c>
      <c r="I906" t="str">
        <f>IF($A906="","",IF($D906="V01",cad!$C$32,IF($D906="V02",cad!$D$32,cad!$E$32)))</f>
        <v/>
      </c>
      <c r="J906" t="str">
        <f>IF($A906="","",IF($D906="V01",cad!$C$33,IF($D906="V02",cad!$D$33,cad!$E$33)))</f>
        <v/>
      </c>
      <c r="K906" t="str">
        <f>IF($A906="","",IF($D906="V01",cad!$C$34,IF($D906="V02",cad!$D$34,cad!$E$34)))</f>
        <v/>
      </c>
      <c r="L906" t="str">
        <f>IF($A906="","",IF($D906="V01",cad!$C$35,IF($D906="V02",cad!$D$35,cad!$E$35)))</f>
        <v/>
      </c>
      <c r="M906" t="str">
        <f>IF($A906="","",IF($D906="V01",cad!$C$36,IF($D906="V02",cad!$D$36,cad!$E$36)))</f>
        <v/>
      </c>
      <c r="N906" t="str">
        <f t="shared" si="57"/>
        <v/>
      </c>
      <c r="O906" t="str">
        <f t="shared" si="58"/>
        <v/>
      </c>
      <c r="P906" t="str">
        <f>IF($A906="","",IF($E906=1,$F906*$O906,PNL!G906))</f>
        <v/>
      </c>
      <c r="T906" t="str">
        <f t="shared" si="59"/>
        <v/>
      </c>
    </row>
    <row r="907" spans="1:20" x14ac:dyDescent="0.45">
      <c r="A907" t="str">
        <f>IF(PNL!A907="","",PNL!A907)</f>
        <v/>
      </c>
      <c r="B907" t="str">
        <f>IF(PNL!B907="","",PNL!B907)</f>
        <v/>
      </c>
      <c r="C907" t="str">
        <f>IF(PNL!C907="","",PNL!C907)</f>
        <v/>
      </c>
      <c r="D907" t="str">
        <f>IF(PNL!D907="","",PNL!D907)</f>
        <v/>
      </c>
      <c r="E907" t="str">
        <f t="shared" si="56"/>
        <v/>
      </c>
      <c r="F907" t="str">
        <f>IF($A907="","",IF($E907=1,SUMIFS(Compta!$F$1:$F$675,Compta!$A$1:$A$675,$A907,Compta!$B$1:$B$675,$B907,Compta!$C$1:$C$675,"2026"),0))</f>
        <v/>
      </c>
      <c r="G907" t="str">
        <f>IF($A907="","",IF($D907="V01",cad!$C$23,IF($D907="V02",cad!$D$23,cad!$E$23)))</f>
        <v/>
      </c>
      <c r="H907" t="str">
        <f>IF($A907="","",IF($D907="V01",cad!$C$24,IF($D907="V02",cad!$D$24,cad!$E$24)))</f>
        <v/>
      </c>
      <c r="I907" t="str">
        <f>IF($A907="","",IF($D907="V01",cad!$C$32,IF($D907="V02",cad!$D$32,cad!$E$32)))</f>
        <v/>
      </c>
      <c r="J907" t="str">
        <f>IF($A907="","",IF($D907="V01",cad!$C$33,IF($D907="V02",cad!$D$33,cad!$E$33)))</f>
        <v/>
      </c>
      <c r="K907" t="str">
        <f>IF($A907="","",IF($D907="V01",cad!$C$34,IF($D907="V02",cad!$D$34,cad!$E$34)))</f>
        <v/>
      </c>
      <c r="L907" t="str">
        <f>IF($A907="","",IF($D907="V01",cad!$C$35,IF($D907="V02",cad!$D$35,cad!$E$35)))</f>
        <v/>
      </c>
      <c r="M907" t="str">
        <f>IF($A907="","",IF($D907="V01",cad!$C$36,IF($D907="V02",cad!$D$36,cad!$E$36)))</f>
        <v/>
      </c>
      <c r="N907" t="str">
        <f t="shared" si="57"/>
        <v/>
      </c>
      <c r="O907" t="str">
        <f t="shared" si="58"/>
        <v/>
      </c>
      <c r="P907" t="str">
        <f>IF($A907="","",IF($E907=1,$F907*$O907,PNL!G907))</f>
        <v/>
      </c>
      <c r="T907" t="str">
        <f t="shared" si="59"/>
        <v/>
      </c>
    </row>
    <row r="908" spans="1:20" x14ac:dyDescent="0.45">
      <c r="A908" t="str">
        <f>IF(PNL!A908="","",PNL!A908)</f>
        <v/>
      </c>
      <c r="B908" t="str">
        <f>IF(PNL!B908="","",PNL!B908)</f>
        <v/>
      </c>
      <c r="C908" t="str">
        <f>IF(PNL!C908="","",PNL!C908)</f>
        <v/>
      </c>
      <c r="D908" t="str">
        <f>IF(PNL!D908="","",PNL!D908)</f>
        <v/>
      </c>
      <c r="E908" t="str">
        <f t="shared" si="56"/>
        <v/>
      </c>
      <c r="F908" t="str">
        <f>IF($A908="","",IF($E908=1,SUMIFS(Compta!$F$1:$F$675,Compta!$A$1:$A$675,$A908,Compta!$B$1:$B$675,$B908,Compta!$C$1:$C$675,"2026"),0))</f>
        <v/>
      </c>
      <c r="G908" t="str">
        <f>IF($A908="","",IF($D908="V01",cad!$C$23,IF($D908="V02",cad!$D$23,cad!$E$23)))</f>
        <v/>
      </c>
      <c r="H908" t="str">
        <f>IF($A908="","",IF($D908="V01",cad!$C$24,IF($D908="V02",cad!$D$24,cad!$E$24)))</f>
        <v/>
      </c>
      <c r="I908" t="str">
        <f>IF($A908="","",IF($D908="V01",cad!$C$32,IF($D908="V02",cad!$D$32,cad!$E$32)))</f>
        <v/>
      </c>
      <c r="J908" t="str">
        <f>IF($A908="","",IF($D908="V01",cad!$C$33,IF($D908="V02",cad!$D$33,cad!$E$33)))</f>
        <v/>
      </c>
      <c r="K908" t="str">
        <f>IF($A908="","",IF($D908="V01",cad!$C$34,IF($D908="V02",cad!$D$34,cad!$E$34)))</f>
        <v/>
      </c>
      <c r="L908" t="str">
        <f>IF($A908="","",IF($D908="V01",cad!$C$35,IF($D908="V02",cad!$D$35,cad!$E$35)))</f>
        <v/>
      </c>
      <c r="M908" t="str">
        <f>IF($A908="","",IF($D908="V01",cad!$C$36,IF($D908="V02",cad!$D$36,cad!$E$36)))</f>
        <v/>
      </c>
      <c r="N908" t="str">
        <f t="shared" si="57"/>
        <v/>
      </c>
      <c r="O908" t="str">
        <f t="shared" si="58"/>
        <v/>
      </c>
      <c r="P908" t="str">
        <f>IF($A908="","",IF($E908=1,$F908*$O908,PNL!G908))</f>
        <v/>
      </c>
      <c r="T908" t="str">
        <f t="shared" si="59"/>
        <v/>
      </c>
    </row>
    <row r="909" spans="1:20" x14ac:dyDescent="0.45">
      <c r="A909" t="str">
        <f>IF(PNL!A909="","",PNL!A909)</f>
        <v/>
      </c>
      <c r="B909" t="str">
        <f>IF(PNL!B909="","",PNL!B909)</f>
        <v/>
      </c>
      <c r="C909" t="str">
        <f>IF(PNL!C909="","",PNL!C909)</f>
        <v/>
      </c>
      <c r="D909" t="str">
        <f>IF(PNL!D909="","",PNL!D909)</f>
        <v/>
      </c>
      <c r="E909" t="str">
        <f t="shared" si="56"/>
        <v/>
      </c>
      <c r="F909" t="str">
        <f>IF($A909="","",IF($E909=1,SUMIFS(Compta!$F$1:$F$675,Compta!$A$1:$A$675,$A909,Compta!$B$1:$B$675,$B909,Compta!$C$1:$C$675,"2026"),0))</f>
        <v/>
      </c>
      <c r="G909" t="str">
        <f>IF($A909="","",IF($D909="V01",cad!$C$23,IF($D909="V02",cad!$D$23,cad!$E$23)))</f>
        <v/>
      </c>
      <c r="H909" t="str">
        <f>IF($A909="","",IF($D909="V01",cad!$C$24,IF($D909="V02",cad!$D$24,cad!$E$24)))</f>
        <v/>
      </c>
      <c r="I909" t="str">
        <f>IF($A909="","",IF($D909="V01",cad!$C$32,IF($D909="V02",cad!$D$32,cad!$E$32)))</f>
        <v/>
      </c>
      <c r="J909" t="str">
        <f>IF($A909="","",IF($D909="V01",cad!$C$33,IF($D909="V02",cad!$D$33,cad!$E$33)))</f>
        <v/>
      </c>
      <c r="K909" t="str">
        <f>IF($A909="","",IF($D909="V01",cad!$C$34,IF($D909="V02",cad!$D$34,cad!$E$34)))</f>
        <v/>
      </c>
      <c r="L909" t="str">
        <f>IF($A909="","",IF($D909="V01",cad!$C$35,IF($D909="V02",cad!$D$35,cad!$E$35)))</f>
        <v/>
      </c>
      <c r="M909" t="str">
        <f>IF($A909="","",IF($D909="V01",cad!$C$36,IF($D909="V02",cad!$D$36,cad!$E$36)))</f>
        <v/>
      </c>
      <c r="N909" t="str">
        <f t="shared" si="57"/>
        <v/>
      </c>
      <c r="O909" t="str">
        <f t="shared" si="58"/>
        <v/>
      </c>
      <c r="P909" t="str">
        <f>IF($A909="","",IF($E909=1,$F909*$O909,PNL!G909))</f>
        <v/>
      </c>
      <c r="T909" t="str">
        <f t="shared" si="59"/>
        <v/>
      </c>
    </row>
    <row r="910" spans="1:20" x14ac:dyDescent="0.45">
      <c r="A910" t="str">
        <f>IF(PNL!A910="","",PNL!A910)</f>
        <v/>
      </c>
      <c r="B910" t="str">
        <f>IF(PNL!B910="","",PNL!B910)</f>
        <v/>
      </c>
      <c r="C910" t="str">
        <f>IF(PNL!C910="","",PNL!C910)</f>
        <v/>
      </c>
      <c r="D910" t="str">
        <f>IF(PNL!D910="","",PNL!D910)</f>
        <v/>
      </c>
      <c r="E910" t="str">
        <f t="shared" si="56"/>
        <v/>
      </c>
      <c r="F910" t="str">
        <f>IF($A910="","",IF($E910=1,SUMIFS(Compta!$F$1:$F$675,Compta!$A$1:$A$675,$A910,Compta!$B$1:$B$675,$B910,Compta!$C$1:$C$675,"2026"),0))</f>
        <v/>
      </c>
      <c r="G910" t="str">
        <f>IF($A910="","",IF($D910="V01",cad!$C$23,IF($D910="V02",cad!$D$23,cad!$E$23)))</f>
        <v/>
      </c>
      <c r="H910" t="str">
        <f>IF($A910="","",IF($D910="V01",cad!$C$24,IF($D910="V02",cad!$D$24,cad!$E$24)))</f>
        <v/>
      </c>
      <c r="I910" t="str">
        <f>IF($A910="","",IF($D910="V01",cad!$C$32,IF($D910="V02",cad!$D$32,cad!$E$32)))</f>
        <v/>
      </c>
      <c r="J910" t="str">
        <f>IF($A910="","",IF($D910="V01",cad!$C$33,IF($D910="V02",cad!$D$33,cad!$E$33)))</f>
        <v/>
      </c>
      <c r="K910" t="str">
        <f>IF($A910="","",IF($D910="V01",cad!$C$34,IF($D910="V02",cad!$D$34,cad!$E$34)))</f>
        <v/>
      </c>
      <c r="L910" t="str">
        <f>IF($A910="","",IF($D910="V01",cad!$C$35,IF($D910="V02",cad!$D$35,cad!$E$35)))</f>
        <v/>
      </c>
      <c r="M910" t="str">
        <f>IF($A910="","",IF($D910="V01",cad!$C$36,IF($D910="V02",cad!$D$36,cad!$E$36)))</f>
        <v/>
      </c>
      <c r="N910" t="str">
        <f t="shared" si="57"/>
        <v/>
      </c>
      <c r="O910" t="str">
        <f t="shared" si="58"/>
        <v/>
      </c>
      <c r="P910" t="str">
        <f>IF($A910="","",IF($E910=1,$F910*$O910,PNL!G910))</f>
        <v/>
      </c>
      <c r="T910" t="str">
        <f t="shared" si="59"/>
        <v/>
      </c>
    </row>
    <row r="911" spans="1:20" x14ac:dyDescent="0.45">
      <c r="A911" t="str">
        <f>IF(PNL!A911="","",PNL!A911)</f>
        <v/>
      </c>
      <c r="B911" t="str">
        <f>IF(PNL!B911="","",PNL!B911)</f>
        <v/>
      </c>
      <c r="C911" t="str">
        <f>IF(PNL!C911="","",PNL!C911)</f>
        <v/>
      </c>
      <c r="D911" t="str">
        <f>IF(PNL!D911="","",PNL!D911)</f>
        <v/>
      </c>
      <c r="E911" t="str">
        <f t="shared" si="56"/>
        <v/>
      </c>
      <c r="F911" t="str">
        <f>IF($A911="","",IF($E911=1,SUMIFS(Compta!$F$1:$F$675,Compta!$A$1:$A$675,$A911,Compta!$B$1:$B$675,$B911,Compta!$C$1:$C$675,"2026"),0))</f>
        <v/>
      </c>
      <c r="G911" t="str">
        <f>IF($A911="","",IF($D911="V01",cad!$C$23,IF($D911="V02",cad!$D$23,cad!$E$23)))</f>
        <v/>
      </c>
      <c r="H911" t="str">
        <f>IF($A911="","",IF($D911="V01",cad!$C$24,IF($D911="V02",cad!$D$24,cad!$E$24)))</f>
        <v/>
      </c>
      <c r="I911" t="str">
        <f>IF($A911="","",IF($D911="V01",cad!$C$32,IF($D911="V02",cad!$D$32,cad!$E$32)))</f>
        <v/>
      </c>
      <c r="J911" t="str">
        <f>IF($A911="","",IF($D911="V01",cad!$C$33,IF($D911="V02",cad!$D$33,cad!$E$33)))</f>
        <v/>
      </c>
      <c r="K911" t="str">
        <f>IF($A911="","",IF($D911="V01",cad!$C$34,IF($D911="V02",cad!$D$34,cad!$E$34)))</f>
        <v/>
      </c>
      <c r="L911" t="str">
        <f>IF($A911="","",IF($D911="V01",cad!$C$35,IF($D911="V02",cad!$D$35,cad!$E$35)))</f>
        <v/>
      </c>
      <c r="M911" t="str">
        <f>IF($A911="","",IF($D911="V01",cad!$C$36,IF($D911="V02",cad!$D$36,cad!$E$36)))</f>
        <v/>
      </c>
      <c r="N911" t="str">
        <f t="shared" si="57"/>
        <v/>
      </c>
      <c r="O911" t="str">
        <f t="shared" si="58"/>
        <v/>
      </c>
      <c r="P911" t="str">
        <f>IF($A911="","",IF($E911=1,$F911*$O911,PNL!G911))</f>
        <v/>
      </c>
      <c r="T911" t="str">
        <f t="shared" si="59"/>
        <v/>
      </c>
    </row>
    <row r="912" spans="1:20" x14ac:dyDescent="0.45">
      <c r="A912" t="str">
        <f>IF(PNL!A912="","",PNL!A912)</f>
        <v/>
      </c>
      <c r="B912" t="str">
        <f>IF(PNL!B912="","",PNL!B912)</f>
        <v/>
      </c>
      <c r="C912" t="str">
        <f>IF(PNL!C912="","",PNL!C912)</f>
        <v/>
      </c>
      <c r="D912" t="str">
        <f>IF(PNL!D912="","",PNL!D912)</f>
        <v/>
      </c>
      <c r="E912" t="str">
        <f t="shared" si="56"/>
        <v/>
      </c>
      <c r="F912" t="str">
        <f>IF($A912="","",IF($E912=1,SUMIFS(Compta!$F$1:$F$675,Compta!$A$1:$A$675,$A912,Compta!$B$1:$B$675,$B912,Compta!$C$1:$C$675,"2026"),0))</f>
        <v/>
      </c>
      <c r="G912" t="str">
        <f>IF($A912="","",IF($D912="V01",cad!$C$23,IF($D912="V02",cad!$D$23,cad!$E$23)))</f>
        <v/>
      </c>
      <c r="H912" t="str">
        <f>IF($A912="","",IF($D912="V01",cad!$C$24,IF($D912="V02",cad!$D$24,cad!$E$24)))</f>
        <v/>
      </c>
      <c r="I912" t="str">
        <f>IF($A912="","",IF($D912="V01",cad!$C$32,IF($D912="V02",cad!$D$32,cad!$E$32)))</f>
        <v/>
      </c>
      <c r="J912" t="str">
        <f>IF($A912="","",IF($D912="V01",cad!$C$33,IF($D912="V02",cad!$D$33,cad!$E$33)))</f>
        <v/>
      </c>
      <c r="K912" t="str">
        <f>IF($A912="","",IF($D912="V01",cad!$C$34,IF($D912="V02",cad!$D$34,cad!$E$34)))</f>
        <v/>
      </c>
      <c r="L912" t="str">
        <f>IF($A912="","",IF($D912="V01",cad!$C$35,IF($D912="V02",cad!$D$35,cad!$E$35)))</f>
        <v/>
      </c>
      <c r="M912" t="str">
        <f>IF($A912="","",IF($D912="V01",cad!$C$36,IF($D912="V02",cad!$D$36,cad!$E$36)))</f>
        <v/>
      </c>
      <c r="N912" t="str">
        <f t="shared" si="57"/>
        <v/>
      </c>
      <c r="O912" t="str">
        <f t="shared" si="58"/>
        <v/>
      </c>
      <c r="P912" t="str">
        <f>IF($A912="","",IF($E912=1,$F912*$O912,PNL!G912))</f>
        <v/>
      </c>
      <c r="T912" t="str">
        <f t="shared" si="59"/>
        <v/>
      </c>
    </row>
    <row r="913" spans="1:20" x14ac:dyDescent="0.45">
      <c r="A913" t="str">
        <f>IF(PNL!A913="","",PNL!A913)</f>
        <v/>
      </c>
      <c r="B913" t="str">
        <f>IF(PNL!B913="","",PNL!B913)</f>
        <v/>
      </c>
      <c r="C913" t="str">
        <f>IF(PNL!C913="","",PNL!C913)</f>
        <v/>
      </c>
      <c r="D913" t="str">
        <f>IF(PNL!D913="","",PNL!D913)</f>
        <v/>
      </c>
      <c r="E913" t="str">
        <f t="shared" si="56"/>
        <v/>
      </c>
      <c r="F913" t="str">
        <f>IF($A913="","",IF($E913=1,SUMIFS(Compta!$F$1:$F$675,Compta!$A$1:$A$675,$A913,Compta!$B$1:$B$675,$B913,Compta!$C$1:$C$675,"2026"),0))</f>
        <v/>
      </c>
      <c r="G913" t="str">
        <f>IF($A913="","",IF($D913="V01",cad!$C$23,IF($D913="V02",cad!$D$23,cad!$E$23)))</f>
        <v/>
      </c>
      <c r="H913" t="str">
        <f>IF($A913="","",IF($D913="V01",cad!$C$24,IF($D913="V02",cad!$D$24,cad!$E$24)))</f>
        <v/>
      </c>
      <c r="I913" t="str">
        <f>IF($A913="","",IF($D913="V01",cad!$C$32,IF($D913="V02",cad!$D$32,cad!$E$32)))</f>
        <v/>
      </c>
      <c r="J913" t="str">
        <f>IF($A913="","",IF($D913="V01",cad!$C$33,IF($D913="V02",cad!$D$33,cad!$E$33)))</f>
        <v/>
      </c>
      <c r="K913" t="str">
        <f>IF($A913="","",IF($D913="V01",cad!$C$34,IF($D913="V02",cad!$D$34,cad!$E$34)))</f>
        <v/>
      </c>
      <c r="L913" t="str">
        <f>IF($A913="","",IF($D913="V01",cad!$C$35,IF($D913="V02",cad!$D$35,cad!$E$35)))</f>
        <v/>
      </c>
      <c r="M913" t="str">
        <f>IF($A913="","",IF($D913="V01",cad!$C$36,IF($D913="V02",cad!$D$36,cad!$E$36)))</f>
        <v/>
      </c>
      <c r="N913" t="str">
        <f t="shared" si="57"/>
        <v/>
      </c>
      <c r="O913" t="str">
        <f t="shared" si="58"/>
        <v/>
      </c>
      <c r="P913" t="str">
        <f>IF($A913="","",IF($E913=1,$F913*$O913,PNL!G913))</f>
        <v/>
      </c>
      <c r="T913" t="str">
        <f t="shared" si="59"/>
        <v/>
      </c>
    </row>
    <row r="914" spans="1:20" x14ac:dyDescent="0.45">
      <c r="A914" t="str">
        <f>IF(PNL!A914="","",PNL!A914)</f>
        <v/>
      </c>
      <c r="B914" t="str">
        <f>IF(PNL!B914="","",PNL!B914)</f>
        <v/>
      </c>
      <c r="C914" t="str">
        <f>IF(PNL!C914="","",PNL!C914)</f>
        <v/>
      </c>
      <c r="D914" t="str">
        <f>IF(PNL!D914="","",PNL!D914)</f>
        <v/>
      </c>
      <c r="E914" t="str">
        <f t="shared" si="56"/>
        <v/>
      </c>
      <c r="F914" t="str">
        <f>IF($A914="","",IF($E914=1,SUMIFS(Compta!$F$1:$F$675,Compta!$A$1:$A$675,$A914,Compta!$B$1:$B$675,$B914,Compta!$C$1:$C$675,"2026"),0))</f>
        <v/>
      </c>
      <c r="G914" t="str">
        <f>IF($A914="","",IF($D914="V01",cad!$C$23,IF($D914="V02",cad!$D$23,cad!$E$23)))</f>
        <v/>
      </c>
      <c r="H914" t="str">
        <f>IF($A914="","",IF($D914="V01",cad!$C$24,IF($D914="V02",cad!$D$24,cad!$E$24)))</f>
        <v/>
      </c>
      <c r="I914" t="str">
        <f>IF($A914="","",IF($D914="V01",cad!$C$32,IF($D914="V02",cad!$D$32,cad!$E$32)))</f>
        <v/>
      </c>
      <c r="J914" t="str">
        <f>IF($A914="","",IF($D914="V01",cad!$C$33,IF($D914="V02",cad!$D$33,cad!$E$33)))</f>
        <v/>
      </c>
      <c r="K914" t="str">
        <f>IF($A914="","",IF($D914="V01",cad!$C$34,IF($D914="V02",cad!$D$34,cad!$E$34)))</f>
        <v/>
      </c>
      <c r="L914" t="str">
        <f>IF($A914="","",IF($D914="V01",cad!$C$35,IF($D914="V02",cad!$D$35,cad!$E$35)))</f>
        <v/>
      </c>
      <c r="M914" t="str">
        <f>IF($A914="","",IF($D914="V01",cad!$C$36,IF($D914="V02",cad!$D$36,cad!$E$36)))</f>
        <v/>
      </c>
      <c r="N914" t="str">
        <f t="shared" si="57"/>
        <v/>
      </c>
      <c r="O914" t="str">
        <f t="shared" si="58"/>
        <v/>
      </c>
      <c r="P914" t="str">
        <f>IF($A914="","",IF($E914=1,$F914*$O914,PNL!G914))</f>
        <v/>
      </c>
      <c r="T914" t="str">
        <f t="shared" si="59"/>
        <v/>
      </c>
    </row>
    <row r="915" spans="1:20" x14ac:dyDescent="0.45">
      <c r="A915" t="str">
        <f>IF(PNL!A915="","",PNL!A915)</f>
        <v/>
      </c>
      <c r="B915" t="str">
        <f>IF(PNL!B915="","",PNL!B915)</f>
        <v/>
      </c>
      <c r="C915" t="str">
        <f>IF(PNL!C915="","",PNL!C915)</f>
        <v/>
      </c>
      <c r="D915" t="str">
        <f>IF(PNL!D915="","",PNL!D915)</f>
        <v/>
      </c>
      <c r="E915" t="str">
        <f t="shared" si="56"/>
        <v/>
      </c>
      <c r="F915" t="str">
        <f>IF($A915="","",IF($E915=1,SUMIFS(Compta!$F$1:$F$675,Compta!$A$1:$A$675,$A915,Compta!$B$1:$B$675,$B915,Compta!$C$1:$C$675,"2026"),0))</f>
        <v/>
      </c>
      <c r="G915" t="str">
        <f>IF($A915="","",IF($D915="V01",cad!$C$23,IF($D915="V02",cad!$D$23,cad!$E$23)))</f>
        <v/>
      </c>
      <c r="H915" t="str">
        <f>IF($A915="","",IF($D915="V01",cad!$C$24,IF($D915="V02",cad!$D$24,cad!$E$24)))</f>
        <v/>
      </c>
      <c r="I915" t="str">
        <f>IF($A915="","",IF($D915="V01",cad!$C$32,IF($D915="V02",cad!$D$32,cad!$E$32)))</f>
        <v/>
      </c>
      <c r="J915" t="str">
        <f>IF($A915="","",IF($D915="V01",cad!$C$33,IF($D915="V02",cad!$D$33,cad!$E$33)))</f>
        <v/>
      </c>
      <c r="K915" t="str">
        <f>IF($A915="","",IF($D915="V01",cad!$C$34,IF($D915="V02",cad!$D$34,cad!$E$34)))</f>
        <v/>
      </c>
      <c r="L915" t="str">
        <f>IF($A915="","",IF($D915="V01",cad!$C$35,IF($D915="V02",cad!$D$35,cad!$E$35)))</f>
        <v/>
      </c>
      <c r="M915" t="str">
        <f>IF($A915="","",IF($D915="V01",cad!$C$36,IF($D915="V02",cad!$D$36,cad!$E$36)))</f>
        <v/>
      </c>
      <c r="N915" t="str">
        <f t="shared" si="57"/>
        <v/>
      </c>
      <c r="O915" t="str">
        <f t="shared" si="58"/>
        <v/>
      </c>
      <c r="P915" t="str">
        <f>IF($A915="","",IF($E915=1,$F915*$O915,PNL!G915))</f>
        <v/>
      </c>
      <c r="T915" t="str">
        <f t="shared" si="59"/>
        <v/>
      </c>
    </row>
    <row r="916" spans="1:20" x14ac:dyDescent="0.45">
      <c r="A916" t="str">
        <f>IF(PNL!A916="","",PNL!A916)</f>
        <v/>
      </c>
      <c r="B916" t="str">
        <f>IF(PNL!B916="","",PNL!B916)</f>
        <v/>
      </c>
      <c r="C916" t="str">
        <f>IF(PNL!C916="","",PNL!C916)</f>
        <v/>
      </c>
      <c r="D916" t="str">
        <f>IF(PNL!D916="","",PNL!D916)</f>
        <v/>
      </c>
      <c r="E916" t="str">
        <f t="shared" si="56"/>
        <v/>
      </c>
      <c r="F916" t="str">
        <f>IF($A916="","",IF($E916=1,SUMIFS(Compta!$F$1:$F$675,Compta!$A$1:$A$675,$A916,Compta!$B$1:$B$675,$B916,Compta!$C$1:$C$675,"2026"),0))</f>
        <v/>
      </c>
      <c r="G916" t="str">
        <f>IF($A916="","",IF($D916="V01",cad!$C$23,IF($D916="V02",cad!$D$23,cad!$E$23)))</f>
        <v/>
      </c>
      <c r="H916" t="str">
        <f>IF($A916="","",IF($D916="V01",cad!$C$24,IF($D916="V02",cad!$D$24,cad!$E$24)))</f>
        <v/>
      </c>
      <c r="I916" t="str">
        <f>IF($A916="","",IF($D916="V01",cad!$C$32,IF($D916="V02",cad!$D$32,cad!$E$32)))</f>
        <v/>
      </c>
      <c r="J916" t="str">
        <f>IF($A916="","",IF($D916="V01",cad!$C$33,IF($D916="V02",cad!$D$33,cad!$E$33)))</f>
        <v/>
      </c>
      <c r="K916" t="str">
        <f>IF($A916="","",IF($D916="V01",cad!$C$34,IF($D916="V02",cad!$D$34,cad!$E$34)))</f>
        <v/>
      </c>
      <c r="L916" t="str">
        <f>IF($A916="","",IF($D916="V01",cad!$C$35,IF($D916="V02",cad!$D$35,cad!$E$35)))</f>
        <v/>
      </c>
      <c r="M916" t="str">
        <f>IF($A916="","",IF($D916="V01",cad!$C$36,IF($D916="V02",cad!$D$36,cad!$E$36)))</f>
        <v/>
      </c>
      <c r="N916" t="str">
        <f t="shared" si="57"/>
        <v/>
      </c>
      <c r="O916" t="str">
        <f t="shared" si="58"/>
        <v/>
      </c>
      <c r="P916" t="str">
        <f>IF($A916="","",IF($E916=1,$F916*$O916,PNL!G916))</f>
        <v/>
      </c>
      <c r="T916" t="str">
        <f t="shared" si="59"/>
        <v/>
      </c>
    </row>
    <row r="917" spans="1:20" x14ac:dyDescent="0.45">
      <c r="A917" t="str">
        <f>IF(PNL!A917="","",PNL!A917)</f>
        <v/>
      </c>
      <c r="B917" t="str">
        <f>IF(PNL!B917="","",PNL!B917)</f>
        <v/>
      </c>
      <c r="C917" t="str">
        <f>IF(PNL!C917="","",PNL!C917)</f>
        <v/>
      </c>
      <c r="D917" t="str">
        <f>IF(PNL!D917="","",PNL!D917)</f>
        <v/>
      </c>
      <c r="E917" t="str">
        <f t="shared" si="56"/>
        <v/>
      </c>
      <c r="F917" t="str">
        <f>IF($A917="","",IF($E917=1,SUMIFS(Compta!$F$1:$F$675,Compta!$A$1:$A$675,$A917,Compta!$B$1:$B$675,$B917,Compta!$C$1:$C$675,"2026"),0))</f>
        <v/>
      </c>
      <c r="G917" t="str">
        <f>IF($A917="","",IF($D917="V01",cad!$C$23,IF($D917="V02",cad!$D$23,cad!$E$23)))</f>
        <v/>
      </c>
      <c r="H917" t="str">
        <f>IF($A917="","",IF($D917="V01",cad!$C$24,IF($D917="V02",cad!$D$24,cad!$E$24)))</f>
        <v/>
      </c>
      <c r="I917" t="str">
        <f>IF($A917="","",IF($D917="V01",cad!$C$32,IF($D917="V02",cad!$D$32,cad!$E$32)))</f>
        <v/>
      </c>
      <c r="J917" t="str">
        <f>IF($A917="","",IF($D917="V01",cad!$C$33,IF($D917="V02",cad!$D$33,cad!$E$33)))</f>
        <v/>
      </c>
      <c r="K917" t="str">
        <f>IF($A917="","",IF($D917="V01",cad!$C$34,IF($D917="V02",cad!$D$34,cad!$E$34)))</f>
        <v/>
      </c>
      <c r="L917" t="str">
        <f>IF($A917="","",IF($D917="V01",cad!$C$35,IF($D917="V02",cad!$D$35,cad!$E$35)))</f>
        <v/>
      </c>
      <c r="M917" t="str">
        <f>IF($A917="","",IF($D917="V01",cad!$C$36,IF($D917="V02",cad!$D$36,cad!$E$36)))</f>
        <v/>
      </c>
      <c r="N917" t="str">
        <f t="shared" si="57"/>
        <v/>
      </c>
      <c r="O917" t="str">
        <f t="shared" si="58"/>
        <v/>
      </c>
      <c r="P917" t="str">
        <f>IF($A917="","",IF($E917=1,$F917*$O917,PNL!G917))</f>
        <v/>
      </c>
      <c r="T917" t="str">
        <f t="shared" si="59"/>
        <v/>
      </c>
    </row>
    <row r="918" spans="1:20" x14ac:dyDescent="0.45">
      <c r="A918" t="str">
        <f>IF(PNL!A918="","",PNL!A918)</f>
        <v/>
      </c>
      <c r="B918" t="str">
        <f>IF(PNL!B918="","",PNL!B918)</f>
        <v/>
      </c>
      <c r="C918" t="str">
        <f>IF(PNL!C918="","",PNL!C918)</f>
        <v/>
      </c>
      <c r="D918" t="str">
        <f>IF(PNL!D918="","",PNL!D918)</f>
        <v/>
      </c>
      <c r="E918" t="str">
        <f t="shared" si="56"/>
        <v/>
      </c>
      <c r="F918" t="str">
        <f>IF($A918="","",IF($E918=1,SUMIFS(Compta!$F$1:$F$675,Compta!$A$1:$A$675,$A918,Compta!$B$1:$B$675,$B918,Compta!$C$1:$C$675,"2026"),0))</f>
        <v/>
      </c>
      <c r="G918" t="str">
        <f>IF($A918="","",IF($D918="V01",cad!$C$23,IF($D918="V02",cad!$D$23,cad!$E$23)))</f>
        <v/>
      </c>
      <c r="H918" t="str">
        <f>IF($A918="","",IF($D918="V01",cad!$C$24,IF($D918="V02",cad!$D$24,cad!$E$24)))</f>
        <v/>
      </c>
      <c r="I918" t="str">
        <f>IF($A918="","",IF($D918="V01",cad!$C$32,IF($D918="V02",cad!$D$32,cad!$E$32)))</f>
        <v/>
      </c>
      <c r="J918" t="str">
        <f>IF($A918="","",IF($D918="V01",cad!$C$33,IF($D918="V02",cad!$D$33,cad!$E$33)))</f>
        <v/>
      </c>
      <c r="K918" t="str">
        <f>IF($A918="","",IF($D918="V01",cad!$C$34,IF($D918="V02",cad!$D$34,cad!$E$34)))</f>
        <v/>
      </c>
      <c r="L918" t="str">
        <f>IF($A918="","",IF($D918="V01",cad!$C$35,IF($D918="V02",cad!$D$35,cad!$E$35)))</f>
        <v/>
      </c>
      <c r="M918" t="str">
        <f>IF($A918="","",IF($D918="V01",cad!$C$36,IF($D918="V02",cad!$D$36,cad!$E$36)))</f>
        <v/>
      </c>
      <c r="N918" t="str">
        <f t="shared" si="57"/>
        <v/>
      </c>
      <c r="O918" t="str">
        <f t="shared" si="58"/>
        <v/>
      </c>
      <c r="P918" t="str">
        <f>IF($A918="","",IF($E918=1,$F918*$O918,PNL!G918))</f>
        <v/>
      </c>
      <c r="T918" t="str">
        <f t="shared" si="59"/>
        <v/>
      </c>
    </row>
    <row r="919" spans="1:20" x14ac:dyDescent="0.45">
      <c r="A919" t="str">
        <f>IF(PNL!A919="","",PNL!A919)</f>
        <v/>
      </c>
      <c r="B919" t="str">
        <f>IF(PNL!B919="","",PNL!B919)</f>
        <v/>
      </c>
      <c r="C919" t="str">
        <f>IF(PNL!C919="","",PNL!C919)</f>
        <v/>
      </c>
      <c r="D919" t="str">
        <f>IF(PNL!D919="","",PNL!D919)</f>
        <v/>
      </c>
      <c r="E919" t="str">
        <f t="shared" si="56"/>
        <v/>
      </c>
      <c r="F919" t="str">
        <f>IF($A919="","",IF($E919=1,SUMIFS(Compta!$F$1:$F$675,Compta!$A$1:$A$675,$A919,Compta!$B$1:$B$675,$B919,Compta!$C$1:$C$675,"2026"),0))</f>
        <v/>
      </c>
      <c r="G919" t="str">
        <f>IF($A919="","",IF($D919="V01",cad!$C$23,IF($D919="V02",cad!$D$23,cad!$E$23)))</f>
        <v/>
      </c>
      <c r="H919" t="str">
        <f>IF($A919="","",IF($D919="V01",cad!$C$24,IF($D919="V02",cad!$D$24,cad!$E$24)))</f>
        <v/>
      </c>
      <c r="I919" t="str">
        <f>IF($A919="","",IF($D919="V01",cad!$C$32,IF($D919="V02",cad!$D$32,cad!$E$32)))</f>
        <v/>
      </c>
      <c r="J919" t="str">
        <f>IF($A919="","",IF($D919="V01",cad!$C$33,IF($D919="V02",cad!$D$33,cad!$E$33)))</f>
        <v/>
      </c>
      <c r="K919" t="str">
        <f>IF($A919="","",IF($D919="V01",cad!$C$34,IF($D919="V02",cad!$D$34,cad!$E$34)))</f>
        <v/>
      </c>
      <c r="L919" t="str">
        <f>IF($A919="","",IF($D919="V01",cad!$C$35,IF($D919="V02",cad!$D$35,cad!$E$35)))</f>
        <v/>
      </c>
      <c r="M919" t="str">
        <f>IF($A919="","",IF($D919="V01",cad!$C$36,IF($D919="V02",cad!$D$36,cad!$E$36)))</f>
        <v/>
      </c>
      <c r="N919" t="str">
        <f t="shared" si="57"/>
        <v/>
      </c>
      <c r="O919" t="str">
        <f t="shared" si="58"/>
        <v/>
      </c>
      <c r="P919" t="str">
        <f>IF($A919="","",IF($E919=1,$F919*$O919,PNL!G919))</f>
        <v/>
      </c>
      <c r="T919" t="str">
        <f t="shared" si="59"/>
        <v/>
      </c>
    </row>
    <row r="920" spans="1:20" x14ac:dyDescent="0.45">
      <c r="A920" t="str">
        <f>IF(PNL!A920="","",PNL!A920)</f>
        <v/>
      </c>
      <c r="B920" t="str">
        <f>IF(PNL!B920="","",PNL!B920)</f>
        <v/>
      </c>
      <c r="C920" t="str">
        <f>IF(PNL!C920="","",PNL!C920)</f>
        <v/>
      </c>
      <c r="D920" t="str">
        <f>IF(PNL!D920="","",PNL!D920)</f>
        <v/>
      </c>
      <c r="E920" t="str">
        <f t="shared" si="56"/>
        <v/>
      </c>
      <c r="F920" t="str">
        <f>IF($A920="","",IF($E920=1,SUMIFS(Compta!$F$1:$F$675,Compta!$A$1:$A$675,$A920,Compta!$B$1:$B$675,$B920,Compta!$C$1:$C$675,"2026"),0))</f>
        <v/>
      </c>
      <c r="G920" t="str">
        <f>IF($A920="","",IF($D920="V01",cad!$C$23,IF($D920="V02",cad!$D$23,cad!$E$23)))</f>
        <v/>
      </c>
      <c r="H920" t="str">
        <f>IF($A920="","",IF($D920="V01",cad!$C$24,IF($D920="V02",cad!$D$24,cad!$E$24)))</f>
        <v/>
      </c>
      <c r="I920" t="str">
        <f>IF($A920="","",IF($D920="V01",cad!$C$32,IF($D920="V02",cad!$D$32,cad!$E$32)))</f>
        <v/>
      </c>
      <c r="J920" t="str">
        <f>IF($A920="","",IF($D920="V01",cad!$C$33,IF($D920="V02",cad!$D$33,cad!$E$33)))</f>
        <v/>
      </c>
      <c r="K920" t="str">
        <f>IF($A920="","",IF($D920="V01",cad!$C$34,IF($D920="V02",cad!$D$34,cad!$E$34)))</f>
        <v/>
      </c>
      <c r="L920" t="str">
        <f>IF($A920="","",IF($D920="V01",cad!$C$35,IF($D920="V02",cad!$D$35,cad!$E$35)))</f>
        <v/>
      </c>
      <c r="M920" t="str">
        <f>IF($A920="","",IF($D920="V01",cad!$C$36,IF($D920="V02",cad!$D$36,cad!$E$36)))</f>
        <v/>
      </c>
      <c r="N920" t="str">
        <f t="shared" si="57"/>
        <v/>
      </c>
      <c r="O920" t="str">
        <f t="shared" si="58"/>
        <v/>
      </c>
      <c r="P920" t="str">
        <f>IF($A920="","",IF($E920=1,$F920*$O920,PNL!G920))</f>
        <v/>
      </c>
      <c r="T920" t="str">
        <f t="shared" si="59"/>
        <v/>
      </c>
    </row>
    <row r="921" spans="1:20" x14ac:dyDescent="0.45">
      <c r="A921" t="str">
        <f>IF(PNL!A921="","",PNL!A921)</f>
        <v/>
      </c>
      <c r="B921" t="str">
        <f>IF(PNL!B921="","",PNL!B921)</f>
        <v/>
      </c>
      <c r="C921" t="str">
        <f>IF(PNL!C921="","",PNL!C921)</f>
        <v/>
      </c>
      <c r="D921" t="str">
        <f>IF(PNL!D921="","",PNL!D921)</f>
        <v/>
      </c>
      <c r="E921" t="str">
        <f t="shared" si="56"/>
        <v/>
      </c>
      <c r="F921" t="str">
        <f>IF($A921="","",IF($E921=1,SUMIFS(Compta!$F$1:$F$675,Compta!$A$1:$A$675,$A921,Compta!$B$1:$B$675,$B921,Compta!$C$1:$C$675,"2026"),0))</f>
        <v/>
      </c>
      <c r="G921" t="str">
        <f>IF($A921="","",IF($D921="V01",cad!$C$23,IF($D921="V02",cad!$D$23,cad!$E$23)))</f>
        <v/>
      </c>
      <c r="H921" t="str">
        <f>IF($A921="","",IF($D921="V01",cad!$C$24,IF($D921="V02",cad!$D$24,cad!$E$24)))</f>
        <v/>
      </c>
      <c r="I921" t="str">
        <f>IF($A921="","",IF($D921="V01",cad!$C$32,IF($D921="V02",cad!$D$32,cad!$E$32)))</f>
        <v/>
      </c>
      <c r="J921" t="str">
        <f>IF($A921="","",IF($D921="V01",cad!$C$33,IF($D921="V02",cad!$D$33,cad!$E$33)))</f>
        <v/>
      </c>
      <c r="K921" t="str">
        <f>IF($A921="","",IF($D921="V01",cad!$C$34,IF($D921="V02",cad!$D$34,cad!$E$34)))</f>
        <v/>
      </c>
      <c r="L921" t="str">
        <f>IF($A921="","",IF($D921="V01",cad!$C$35,IF($D921="V02",cad!$D$35,cad!$E$35)))</f>
        <v/>
      </c>
      <c r="M921" t="str">
        <f>IF($A921="","",IF($D921="V01",cad!$C$36,IF($D921="V02",cad!$D$36,cad!$E$36)))</f>
        <v/>
      </c>
      <c r="N921" t="str">
        <f t="shared" si="57"/>
        <v/>
      </c>
      <c r="O921" t="str">
        <f t="shared" si="58"/>
        <v/>
      </c>
      <c r="P921" t="str">
        <f>IF($A921="","",IF($E921=1,$F921*$O921,PNL!G921))</f>
        <v/>
      </c>
      <c r="T921" t="str">
        <f t="shared" si="59"/>
        <v/>
      </c>
    </row>
    <row r="922" spans="1:20" x14ac:dyDescent="0.45">
      <c r="A922" t="str">
        <f>IF(PNL!A922="","",PNL!A922)</f>
        <v/>
      </c>
      <c r="B922" t="str">
        <f>IF(PNL!B922="","",PNL!B922)</f>
        <v/>
      </c>
      <c r="C922" t="str">
        <f>IF(PNL!C922="","",PNL!C922)</f>
        <v/>
      </c>
      <c r="D922" t="str">
        <f>IF(PNL!D922="","",PNL!D922)</f>
        <v/>
      </c>
      <c r="E922" t="str">
        <f t="shared" si="56"/>
        <v/>
      </c>
      <c r="F922" t="str">
        <f>IF($A922="","",IF($E922=1,SUMIFS(Compta!$F$1:$F$675,Compta!$A$1:$A$675,$A922,Compta!$B$1:$B$675,$B922,Compta!$C$1:$C$675,"2026"),0))</f>
        <v/>
      </c>
      <c r="G922" t="str">
        <f>IF($A922="","",IF($D922="V01",cad!$C$23,IF($D922="V02",cad!$D$23,cad!$E$23)))</f>
        <v/>
      </c>
      <c r="H922" t="str">
        <f>IF($A922="","",IF($D922="V01",cad!$C$24,IF($D922="V02",cad!$D$24,cad!$E$24)))</f>
        <v/>
      </c>
      <c r="I922" t="str">
        <f>IF($A922="","",IF($D922="V01",cad!$C$32,IF($D922="V02",cad!$D$32,cad!$E$32)))</f>
        <v/>
      </c>
      <c r="J922" t="str">
        <f>IF($A922="","",IF($D922="V01",cad!$C$33,IF($D922="V02",cad!$D$33,cad!$E$33)))</f>
        <v/>
      </c>
      <c r="K922" t="str">
        <f>IF($A922="","",IF($D922="V01",cad!$C$34,IF($D922="V02",cad!$D$34,cad!$E$34)))</f>
        <v/>
      </c>
      <c r="L922" t="str">
        <f>IF($A922="","",IF($D922="V01",cad!$C$35,IF($D922="V02",cad!$D$35,cad!$E$35)))</f>
        <v/>
      </c>
      <c r="M922" t="str">
        <f>IF($A922="","",IF($D922="V01",cad!$C$36,IF($D922="V02",cad!$D$36,cad!$E$36)))</f>
        <v/>
      </c>
      <c r="N922" t="str">
        <f t="shared" si="57"/>
        <v/>
      </c>
      <c r="O922" t="str">
        <f t="shared" si="58"/>
        <v/>
      </c>
      <c r="P922" t="str">
        <f>IF($A922="","",IF($E922=1,$F922*$O922,PNL!G922))</f>
        <v/>
      </c>
      <c r="T922" t="str">
        <f t="shared" si="59"/>
        <v/>
      </c>
    </row>
    <row r="923" spans="1:20" x14ac:dyDescent="0.45">
      <c r="A923" t="str">
        <f>IF(PNL!A923="","",PNL!A923)</f>
        <v/>
      </c>
      <c r="B923" t="str">
        <f>IF(PNL!B923="","",PNL!B923)</f>
        <v/>
      </c>
      <c r="C923" t="str">
        <f>IF(PNL!C923="","",PNL!C923)</f>
        <v/>
      </c>
      <c r="D923" t="str">
        <f>IF(PNL!D923="","",PNL!D923)</f>
        <v/>
      </c>
      <c r="E923" t="str">
        <f t="shared" si="56"/>
        <v/>
      </c>
      <c r="F923" t="str">
        <f>IF($A923="","",IF($E923=1,SUMIFS(Compta!$F$1:$F$675,Compta!$A$1:$A$675,$A923,Compta!$B$1:$B$675,$B923,Compta!$C$1:$C$675,"2026"),0))</f>
        <v/>
      </c>
      <c r="G923" t="str">
        <f>IF($A923="","",IF($D923="V01",cad!$C$23,IF($D923="V02",cad!$D$23,cad!$E$23)))</f>
        <v/>
      </c>
      <c r="H923" t="str">
        <f>IF($A923="","",IF($D923="V01",cad!$C$24,IF($D923="V02",cad!$D$24,cad!$E$24)))</f>
        <v/>
      </c>
      <c r="I923" t="str">
        <f>IF($A923="","",IF($D923="V01",cad!$C$32,IF($D923="V02",cad!$D$32,cad!$E$32)))</f>
        <v/>
      </c>
      <c r="J923" t="str">
        <f>IF($A923="","",IF($D923="V01",cad!$C$33,IF($D923="V02",cad!$D$33,cad!$E$33)))</f>
        <v/>
      </c>
      <c r="K923" t="str">
        <f>IF($A923="","",IF($D923="V01",cad!$C$34,IF($D923="V02",cad!$D$34,cad!$E$34)))</f>
        <v/>
      </c>
      <c r="L923" t="str">
        <f>IF($A923="","",IF($D923="V01",cad!$C$35,IF($D923="V02",cad!$D$35,cad!$E$35)))</f>
        <v/>
      </c>
      <c r="M923" t="str">
        <f>IF($A923="","",IF($D923="V01",cad!$C$36,IF($D923="V02",cad!$D$36,cad!$E$36)))</f>
        <v/>
      </c>
      <c r="N923" t="str">
        <f t="shared" si="57"/>
        <v/>
      </c>
      <c r="O923" t="str">
        <f t="shared" si="58"/>
        <v/>
      </c>
      <c r="P923" t="str">
        <f>IF($A923="","",IF($E923=1,$F923*$O923,PNL!G923))</f>
        <v/>
      </c>
      <c r="T923" t="str">
        <f t="shared" si="59"/>
        <v/>
      </c>
    </row>
    <row r="924" spans="1:20" x14ac:dyDescent="0.45">
      <c r="A924" t="str">
        <f>IF(PNL!A924="","",PNL!A924)</f>
        <v/>
      </c>
      <c r="B924" t="str">
        <f>IF(PNL!B924="","",PNL!B924)</f>
        <v/>
      </c>
      <c r="C924" t="str">
        <f>IF(PNL!C924="","",PNL!C924)</f>
        <v/>
      </c>
      <c r="D924" t="str">
        <f>IF(PNL!D924="","",PNL!D924)</f>
        <v/>
      </c>
      <c r="E924" t="str">
        <f t="shared" si="56"/>
        <v/>
      </c>
      <c r="F924" t="str">
        <f>IF($A924="","",IF($E924=1,SUMIFS(Compta!$F$1:$F$675,Compta!$A$1:$A$675,$A924,Compta!$B$1:$B$675,$B924,Compta!$C$1:$C$675,"2026"),0))</f>
        <v/>
      </c>
      <c r="G924" t="str">
        <f>IF($A924="","",IF($D924="V01",cad!$C$23,IF($D924="V02",cad!$D$23,cad!$E$23)))</f>
        <v/>
      </c>
      <c r="H924" t="str">
        <f>IF($A924="","",IF($D924="V01",cad!$C$24,IF($D924="V02",cad!$D$24,cad!$E$24)))</f>
        <v/>
      </c>
      <c r="I924" t="str">
        <f>IF($A924="","",IF($D924="V01",cad!$C$32,IF($D924="V02",cad!$D$32,cad!$E$32)))</f>
        <v/>
      </c>
      <c r="J924" t="str">
        <f>IF($A924="","",IF($D924="V01",cad!$C$33,IF($D924="V02",cad!$D$33,cad!$E$33)))</f>
        <v/>
      </c>
      <c r="K924" t="str">
        <f>IF($A924="","",IF($D924="V01",cad!$C$34,IF($D924="V02",cad!$D$34,cad!$E$34)))</f>
        <v/>
      </c>
      <c r="L924" t="str">
        <f>IF($A924="","",IF($D924="V01",cad!$C$35,IF($D924="V02",cad!$D$35,cad!$E$35)))</f>
        <v/>
      </c>
      <c r="M924" t="str">
        <f>IF($A924="","",IF($D924="V01",cad!$C$36,IF($D924="V02",cad!$D$36,cad!$E$36)))</f>
        <v/>
      </c>
      <c r="N924" t="str">
        <f t="shared" si="57"/>
        <v/>
      </c>
      <c r="O924" t="str">
        <f t="shared" si="58"/>
        <v/>
      </c>
      <c r="P924" t="str">
        <f>IF($A924="","",IF($E924=1,$F924*$O924,PNL!G924))</f>
        <v/>
      </c>
      <c r="T924" t="str">
        <f t="shared" si="59"/>
        <v/>
      </c>
    </row>
    <row r="925" spans="1:20" x14ac:dyDescent="0.45">
      <c r="A925" t="str">
        <f>IF(PNL!A925="","",PNL!A925)</f>
        <v/>
      </c>
      <c r="B925" t="str">
        <f>IF(PNL!B925="","",PNL!B925)</f>
        <v/>
      </c>
      <c r="C925" t="str">
        <f>IF(PNL!C925="","",PNL!C925)</f>
        <v/>
      </c>
      <c r="D925" t="str">
        <f>IF(PNL!D925="","",PNL!D925)</f>
        <v/>
      </c>
      <c r="E925" t="str">
        <f t="shared" si="56"/>
        <v/>
      </c>
      <c r="F925" t="str">
        <f>IF($A925="","",IF($E925=1,SUMIFS(Compta!$F$1:$F$675,Compta!$A$1:$A$675,$A925,Compta!$B$1:$B$675,$B925,Compta!$C$1:$C$675,"2026"),0))</f>
        <v/>
      </c>
      <c r="G925" t="str">
        <f>IF($A925="","",IF($D925="V01",cad!$C$23,IF($D925="V02",cad!$D$23,cad!$E$23)))</f>
        <v/>
      </c>
      <c r="H925" t="str">
        <f>IF($A925="","",IF($D925="V01",cad!$C$24,IF($D925="V02",cad!$D$24,cad!$E$24)))</f>
        <v/>
      </c>
      <c r="I925" t="str">
        <f>IF($A925="","",IF($D925="V01",cad!$C$32,IF($D925="V02",cad!$D$32,cad!$E$32)))</f>
        <v/>
      </c>
      <c r="J925" t="str">
        <f>IF($A925="","",IF($D925="V01",cad!$C$33,IF($D925="V02",cad!$D$33,cad!$E$33)))</f>
        <v/>
      </c>
      <c r="K925" t="str">
        <f>IF($A925="","",IF($D925="V01",cad!$C$34,IF($D925="V02",cad!$D$34,cad!$E$34)))</f>
        <v/>
      </c>
      <c r="L925" t="str">
        <f>IF($A925="","",IF($D925="V01",cad!$C$35,IF($D925="V02",cad!$D$35,cad!$E$35)))</f>
        <v/>
      </c>
      <c r="M925" t="str">
        <f>IF($A925="","",IF($D925="V01",cad!$C$36,IF($D925="V02",cad!$D$36,cad!$E$36)))</f>
        <v/>
      </c>
      <c r="N925" t="str">
        <f t="shared" si="57"/>
        <v/>
      </c>
      <c r="O925" t="str">
        <f t="shared" si="58"/>
        <v/>
      </c>
      <c r="P925" t="str">
        <f>IF($A925="","",IF($E925=1,$F925*$O925,PNL!G925))</f>
        <v/>
      </c>
      <c r="T925" t="str">
        <f t="shared" si="59"/>
        <v/>
      </c>
    </row>
    <row r="926" spans="1:20" x14ac:dyDescent="0.45">
      <c r="A926" t="str">
        <f>IF(PNL!A926="","",PNL!A926)</f>
        <v/>
      </c>
      <c r="B926" t="str">
        <f>IF(PNL!B926="","",PNL!B926)</f>
        <v/>
      </c>
      <c r="C926" t="str">
        <f>IF(PNL!C926="","",PNL!C926)</f>
        <v/>
      </c>
      <c r="D926" t="str">
        <f>IF(PNL!D926="","",PNL!D926)</f>
        <v/>
      </c>
      <c r="E926" t="str">
        <f t="shared" si="56"/>
        <v/>
      </c>
      <c r="F926" t="str">
        <f>IF($A926="","",IF($E926=1,SUMIFS(Compta!$F$1:$F$675,Compta!$A$1:$A$675,$A926,Compta!$B$1:$B$675,$B926,Compta!$C$1:$C$675,"2026"),0))</f>
        <v/>
      </c>
      <c r="G926" t="str">
        <f>IF($A926="","",IF($D926="V01",cad!$C$23,IF($D926="V02",cad!$D$23,cad!$E$23)))</f>
        <v/>
      </c>
      <c r="H926" t="str">
        <f>IF($A926="","",IF($D926="V01",cad!$C$24,IF($D926="V02",cad!$D$24,cad!$E$24)))</f>
        <v/>
      </c>
      <c r="I926" t="str">
        <f>IF($A926="","",IF($D926="V01",cad!$C$32,IF($D926="V02",cad!$D$32,cad!$E$32)))</f>
        <v/>
      </c>
      <c r="J926" t="str">
        <f>IF($A926="","",IF($D926="V01",cad!$C$33,IF($D926="V02",cad!$D$33,cad!$E$33)))</f>
        <v/>
      </c>
      <c r="K926" t="str">
        <f>IF($A926="","",IF($D926="V01",cad!$C$34,IF($D926="V02",cad!$D$34,cad!$E$34)))</f>
        <v/>
      </c>
      <c r="L926" t="str">
        <f>IF($A926="","",IF($D926="V01",cad!$C$35,IF($D926="V02",cad!$D$35,cad!$E$35)))</f>
        <v/>
      </c>
      <c r="M926" t="str">
        <f>IF($A926="","",IF($D926="V01",cad!$C$36,IF($D926="V02",cad!$D$36,cad!$E$36)))</f>
        <v/>
      </c>
      <c r="N926" t="str">
        <f t="shared" si="57"/>
        <v/>
      </c>
      <c r="O926" t="str">
        <f t="shared" si="58"/>
        <v/>
      </c>
      <c r="P926" t="str">
        <f>IF($A926="","",IF($E926=1,$F926*$O926,PNL!G926))</f>
        <v/>
      </c>
      <c r="T926" t="str">
        <f t="shared" si="59"/>
        <v/>
      </c>
    </row>
    <row r="927" spans="1:20" x14ac:dyDescent="0.45">
      <c r="A927" t="str">
        <f>IF(PNL!A927="","",PNL!A927)</f>
        <v/>
      </c>
      <c r="B927" t="str">
        <f>IF(PNL!B927="","",PNL!B927)</f>
        <v/>
      </c>
      <c r="C927" t="str">
        <f>IF(PNL!C927="","",PNL!C927)</f>
        <v/>
      </c>
      <c r="D927" t="str">
        <f>IF(PNL!D927="","",PNL!D927)</f>
        <v/>
      </c>
      <c r="E927" t="str">
        <f t="shared" si="56"/>
        <v/>
      </c>
      <c r="F927" t="str">
        <f>IF($A927="","",IF($E927=1,SUMIFS(Compta!$F$1:$F$675,Compta!$A$1:$A$675,$A927,Compta!$B$1:$B$675,$B927,Compta!$C$1:$C$675,"2026"),0))</f>
        <v/>
      </c>
      <c r="G927" t="str">
        <f>IF($A927="","",IF($D927="V01",cad!$C$23,IF($D927="V02",cad!$D$23,cad!$E$23)))</f>
        <v/>
      </c>
      <c r="H927" t="str">
        <f>IF($A927="","",IF($D927="V01",cad!$C$24,IF($D927="V02",cad!$D$24,cad!$E$24)))</f>
        <v/>
      </c>
      <c r="I927" t="str">
        <f>IF($A927="","",IF($D927="V01",cad!$C$32,IF($D927="V02",cad!$D$32,cad!$E$32)))</f>
        <v/>
      </c>
      <c r="J927" t="str">
        <f>IF($A927="","",IF($D927="V01",cad!$C$33,IF($D927="V02",cad!$D$33,cad!$E$33)))</f>
        <v/>
      </c>
      <c r="K927" t="str">
        <f>IF($A927="","",IF($D927="V01",cad!$C$34,IF($D927="V02",cad!$D$34,cad!$E$34)))</f>
        <v/>
      </c>
      <c r="L927" t="str">
        <f>IF($A927="","",IF($D927="V01",cad!$C$35,IF($D927="V02",cad!$D$35,cad!$E$35)))</f>
        <v/>
      </c>
      <c r="M927" t="str">
        <f>IF($A927="","",IF($D927="V01",cad!$C$36,IF($D927="V02",cad!$D$36,cad!$E$36)))</f>
        <v/>
      </c>
      <c r="N927" t="str">
        <f t="shared" si="57"/>
        <v/>
      </c>
      <c r="O927" t="str">
        <f t="shared" si="58"/>
        <v/>
      </c>
      <c r="P927" t="str">
        <f>IF($A927="","",IF($E927=1,$F927*$O927,PNL!G927))</f>
        <v/>
      </c>
      <c r="T927" t="str">
        <f t="shared" si="59"/>
        <v/>
      </c>
    </row>
    <row r="928" spans="1:20" x14ac:dyDescent="0.45">
      <c r="A928" t="str">
        <f>IF(PNL!A928="","",PNL!A928)</f>
        <v/>
      </c>
      <c r="B928" t="str">
        <f>IF(PNL!B928="","",PNL!B928)</f>
        <v/>
      </c>
      <c r="C928" t="str">
        <f>IF(PNL!C928="","",PNL!C928)</f>
        <v/>
      </c>
      <c r="D928" t="str">
        <f>IF(PNL!D928="","",PNL!D928)</f>
        <v/>
      </c>
      <c r="E928" t="str">
        <f t="shared" si="56"/>
        <v/>
      </c>
      <c r="F928" t="str">
        <f>IF($A928="","",IF($E928=1,SUMIFS(Compta!$F$1:$F$675,Compta!$A$1:$A$675,$A928,Compta!$B$1:$B$675,$B928,Compta!$C$1:$C$675,"2026"),0))</f>
        <v/>
      </c>
      <c r="G928" t="str">
        <f>IF($A928="","",IF($D928="V01",cad!$C$23,IF($D928="V02",cad!$D$23,cad!$E$23)))</f>
        <v/>
      </c>
      <c r="H928" t="str">
        <f>IF($A928="","",IF($D928="V01",cad!$C$24,IF($D928="V02",cad!$D$24,cad!$E$24)))</f>
        <v/>
      </c>
      <c r="I928" t="str">
        <f>IF($A928="","",IF($D928="V01",cad!$C$32,IF($D928="V02",cad!$D$32,cad!$E$32)))</f>
        <v/>
      </c>
      <c r="J928" t="str">
        <f>IF($A928="","",IF($D928="V01",cad!$C$33,IF($D928="V02",cad!$D$33,cad!$E$33)))</f>
        <v/>
      </c>
      <c r="K928" t="str">
        <f>IF($A928="","",IF($D928="V01",cad!$C$34,IF($D928="V02",cad!$D$34,cad!$E$34)))</f>
        <v/>
      </c>
      <c r="L928" t="str">
        <f>IF($A928="","",IF($D928="V01",cad!$C$35,IF($D928="V02",cad!$D$35,cad!$E$35)))</f>
        <v/>
      </c>
      <c r="M928" t="str">
        <f>IF($A928="","",IF($D928="V01",cad!$C$36,IF($D928="V02",cad!$D$36,cad!$E$36)))</f>
        <v/>
      </c>
      <c r="N928" t="str">
        <f t="shared" si="57"/>
        <v/>
      </c>
      <c r="O928" t="str">
        <f t="shared" si="58"/>
        <v/>
      </c>
      <c r="P928" t="str">
        <f>IF($A928="","",IF($E928=1,$F928*$O928,PNL!G928))</f>
        <v/>
      </c>
      <c r="T928" t="str">
        <f t="shared" si="59"/>
        <v/>
      </c>
    </row>
    <row r="929" spans="1:20" x14ac:dyDescent="0.45">
      <c r="A929" t="str">
        <f>IF(PNL!A929="","",PNL!A929)</f>
        <v/>
      </c>
      <c r="B929" t="str">
        <f>IF(PNL!B929="","",PNL!B929)</f>
        <v/>
      </c>
      <c r="C929" t="str">
        <f>IF(PNL!C929="","",PNL!C929)</f>
        <v/>
      </c>
      <c r="D929" t="str">
        <f>IF(PNL!D929="","",PNL!D929)</f>
        <v/>
      </c>
      <c r="E929" t="str">
        <f t="shared" si="56"/>
        <v/>
      </c>
      <c r="F929" t="str">
        <f>IF($A929="","",IF($E929=1,SUMIFS(Compta!$F$1:$F$675,Compta!$A$1:$A$675,$A929,Compta!$B$1:$B$675,$B929,Compta!$C$1:$C$675,"2026"),0))</f>
        <v/>
      </c>
      <c r="G929" t="str">
        <f>IF($A929="","",IF($D929="V01",cad!$C$23,IF($D929="V02",cad!$D$23,cad!$E$23)))</f>
        <v/>
      </c>
      <c r="H929" t="str">
        <f>IF($A929="","",IF($D929="V01",cad!$C$24,IF($D929="V02",cad!$D$24,cad!$E$24)))</f>
        <v/>
      </c>
      <c r="I929" t="str">
        <f>IF($A929="","",IF($D929="V01",cad!$C$32,IF($D929="V02",cad!$D$32,cad!$E$32)))</f>
        <v/>
      </c>
      <c r="J929" t="str">
        <f>IF($A929="","",IF($D929="V01",cad!$C$33,IF($D929="V02",cad!$D$33,cad!$E$33)))</f>
        <v/>
      </c>
      <c r="K929" t="str">
        <f>IF($A929="","",IF($D929="V01",cad!$C$34,IF($D929="V02",cad!$D$34,cad!$E$34)))</f>
        <v/>
      </c>
      <c r="L929" t="str">
        <f>IF($A929="","",IF($D929="V01",cad!$C$35,IF($D929="V02",cad!$D$35,cad!$E$35)))</f>
        <v/>
      </c>
      <c r="M929" t="str">
        <f>IF($A929="","",IF($D929="V01",cad!$C$36,IF($D929="V02",cad!$D$36,cad!$E$36)))</f>
        <v/>
      </c>
      <c r="N929" t="str">
        <f t="shared" si="57"/>
        <v/>
      </c>
      <c r="O929" t="str">
        <f t="shared" si="58"/>
        <v/>
      </c>
      <c r="P929" t="str">
        <f>IF($A929="","",IF($E929=1,$F929*$O929,PNL!G929))</f>
        <v/>
      </c>
      <c r="T929" t="str">
        <f t="shared" si="59"/>
        <v/>
      </c>
    </row>
    <row r="930" spans="1:20" x14ac:dyDescent="0.45">
      <c r="A930" t="str">
        <f>IF(PNL!A930="","",PNL!A930)</f>
        <v/>
      </c>
      <c r="B930" t="str">
        <f>IF(PNL!B930="","",PNL!B930)</f>
        <v/>
      </c>
      <c r="C930" t="str">
        <f>IF(PNL!C930="","",PNL!C930)</f>
        <v/>
      </c>
      <c r="D930" t="str">
        <f>IF(PNL!D930="","",PNL!D930)</f>
        <v/>
      </c>
      <c r="E930" t="str">
        <f t="shared" si="56"/>
        <v/>
      </c>
      <c r="F930" t="str">
        <f>IF($A930="","",IF($E930=1,SUMIFS(Compta!$F$1:$F$675,Compta!$A$1:$A$675,$A930,Compta!$B$1:$B$675,$B930,Compta!$C$1:$C$675,"2026"),0))</f>
        <v/>
      </c>
      <c r="G930" t="str">
        <f>IF($A930="","",IF($D930="V01",cad!$C$23,IF($D930="V02",cad!$D$23,cad!$E$23)))</f>
        <v/>
      </c>
      <c r="H930" t="str">
        <f>IF($A930="","",IF($D930="V01",cad!$C$24,IF($D930="V02",cad!$D$24,cad!$E$24)))</f>
        <v/>
      </c>
      <c r="I930" t="str">
        <f>IF($A930="","",IF($D930="V01",cad!$C$32,IF($D930="V02",cad!$D$32,cad!$E$32)))</f>
        <v/>
      </c>
      <c r="J930" t="str">
        <f>IF($A930="","",IF($D930="V01",cad!$C$33,IF($D930="V02",cad!$D$33,cad!$E$33)))</f>
        <v/>
      </c>
      <c r="K930" t="str">
        <f>IF($A930="","",IF($D930="V01",cad!$C$34,IF($D930="V02",cad!$D$34,cad!$E$34)))</f>
        <v/>
      </c>
      <c r="L930" t="str">
        <f>IF($A930="","",IF($D930="V01",cad!$C$35,IF($D930="V02",cad!$D$35,cad!$E$35)))</f>
        <v/>
      </c>
      <c r="M930" t="str">
        <f>IF($A930="","",IF($D930="V01",cad!$C$36,IF($D930="V02",cad!$D$36,cad!$E$36)))</f>
        <v/>
      </c>
      <c r="N930" t="str">
        <f t="shared" si="57"/>
        <v/>
      </c>
      <c r="O930" t="str">
        <f t="shared" si="58"/>
        <v/>
      </c>
      <c r="P930" t="str">
        <f>IF($A930="","",IF($E930=1,$F930*$O930,PNL!G930))</f>
        <v/>
      </c>
      <c r="T930" t="str">
        <f t="shared" si="59"/>
        <v/>
      </c>
    </row>
    <row r="931" spans="1:20" x14ac:dyDescent="0.45">
      <c r="A931" t="str">
        <f>IF(PNL!A931="","",PNL!A931)</f>
        <v/>
      </c>
      <c r="B931" t="str">
        <f>IF(PNL!B931="","",PNL!B931)</f>
        <v/>
      </c>
      <c r="C931" t="str">
        <f>IF(PNL!C931="","",PNL!C931)</f>
        <v/>
      </c>
      <c r="D931" t="str">
        <f>IF(PNL!D931="","",PNL!D931)</f>
        <v/>
      </c>
      <c r="E931" t="str">
        <f t="shared" si="56"/>
        <v/>
      </c>
      <c r="F931" t="str">
        <f>IF($A931="","",IF($E931=1,SUMIFS(Compta!$F$1:$F$675,Compta!$A$1:$A$675,$A931,Compta!$B$1:$B$675,$B931,Compta!$C$1:$C$675,"2026"),0))</f>
        <v/>
      </c>
      <c r="G931" t="str">
        <f>IF($A931="","",IF($D931="V01",cad!$C$23,IF($D931="V02",cad!$D$23,cad!$E$23)))</f>
        <v/>
      </c>
      <c r="H931" t="str">
        <f>IF($A931="","",IF($D931="V01",cad!$C$24,IF($D931="V02",cad!$D$24,cad!$E$24)))</f>
        <v/>
      </c>
      <c r="I931" t="str">
        <f>IF($A931="","",IF($D931="V01",cad!$C$32,IF($D931="V02",cad!$D$32,cad!$E$32)))</f>
        <v/>
      </c>
      <c r="J931" t="str">
        <f>IF($A931="","",IF($D931="V01",cad!$C$33,IF($D931="V02",cad!$D$33,cad!$E$33)))</f>
        <v/>
      </c>
      <c r="K931" t="str">
        <f>IF($A931="","",IF($D931="V01",cad!$C$34,IF($D931="V02",cad!$D$34,cad!$E$34)))</f>
        <v/>
      </c>
      <c r="L931" t="str">
        <f>IF($A931="","",IF($D931="V01",cad!$C$35,IF($D931="V02",cad!$D$35,cad!$E$35)))</f>
        <v/>
      </c>
      <c r="M931" t="str">
        <f>IF($A931="","",IF($D931="V01",cad!$C$36,IF($D931="V02",cad!$D$36,cad!$E$36)))</f>
        <v/>
      </c>
      <c r="N931" t="str">
        <f t="shared" si="57"/>
        <v/>
      </c>
      <c r="O931" t="str">
        <f t="shared" si="58"/>
        <v/>
      </c>
      <c r="P931" t="str">
        <f>IF($A931="","",IF($E931=1,$F931*$O931,PNL!G931))</f>
        <v/>
      </c>
      <c r="T931" t="str">
        <f t="shared" si="59"/>
        <v/>
      </c>
    </row>
    <row r="932" spans="1:20" x14ac:dyDescent="0.45">
      <c r="A932" t="str">
        <f>IF(PNL!A932="","",PNL!A932)</f>
        <v/>
      </c>
      <c r="B932" t="str">
        <f>IF(PNL!B932="","",PNL!B932)</f>
        <v/>
      </c>
      <c r="C932" t="str">
        <f>IF(PNL!C932="","",PNL!C932)</f>
        <v/>
      </c>
      <c r="D932" t="str">
        <f>IF(PNL!D932="","",PNL!D932)</f>
        <v/>
      </c>
      <c r="E932" t="str">
        <f t="shared" si="56"/>
        <v/>
      </c>
      <c r="F932" t="str">
        <f>IF($A932="","",IF($E932=1,SUMIFS(Compta!$F$1:$F$675,Compta!$A$1:$A$675,$A932,Compta!$B$1:$B$675,$B932,Compta!$C$1:$C$675,"2026"),0))</f>
        <v/>
      </c>
      <c r="G932" t="str">
        <f>IF($A932="","",IF($D932="V01",cad!$C$23,IF($D932="V02",cad!$D$23,cad!$E$23)))</f>
        <v/>
      </c>
      <c r="H932" t="str">
        <f>IF($A932="","",IF($D932="V01",cad!$C$24,IF($D932="V02",cad!$D$24,cad!$E$24)))</f>
        <v/>
      </c>
      <c r="I932" t="str">
        <f>IF($A932="","",IF($D932="V01",cad!$C$32,IF($D932="V02",cad!$D$32,cad!$E$32)))</f>
        <v/>
      </c>
      <c r="J932" t="str">
        <f>IF($A932="","",IF($D932="V01",cad!$C$33,IF($D932="V02",cad!$D$33,cad!$E$33)))</f>
        <v/>
      </c>
      <c r="K932" t="str">
        <f>IF($A932="","",IF($D932="V01",cad!$C$34,IF($D932="V02",cad!$D$34,cad!$E$34)))</f>
        <v/>
      </c>
      <c r="L932" t="str">
        <f>IF($A932="","",IF($D932="V01",cad!$C$35,IF($D932="V02",cad!$D$35,cad!$E$35)))</f>
        <v/>
      </c>
      <c r="M932" t="str">
        <f>IF($A932="","",IF($D932="V01",cad!$C$36,IF($D932="V02",cad!$D$36,cad!$E$36)))</f>
        <v/>
      </c>
      <c r="N932" t="str">
        <f t="shared" si="57"/>
        <v/>
      </c>
      <c r="O932" t="str">
        <f t="shared" si="58"/>
        <v/>
      </c>
      <c r="P932" t="str">
        <f>IF($A932="","",IF($E932=1,$F932*$O932,PNL!G932))</f>
        <v/>
      </c>
      <c r="T932" t="str">
        <f t="shared" si="59"/>
        <v/>
      </c>
    </row>
    <row r="933" spans="1:20" x14ac:dyDescent="0.45">
      <c r="A933" t="str">
        <f>IF(PNL!A933="","",PNL!A933)</f>
        <v/>
      </c>
      <c r="B933" t="str">
        <f>IF(PNL!B933="","",PNL!B933)</f>
        <v/>
      </c>
      <c r="C933" t="str">
        <f>IF(PNL!C933="","",PNL!C933)</f>
        <v/>
      </c>
      <c r="D933" t="str">
        <f>IF(PNL!D933="","",PNL!D933)</f>
        <v/>
      </c>
      <c r="E933" t="str">
        <f t="shared" si="56"/>
        <v/>
      </c>
      <c r="F933" t="str">
        <f>IF($A933="","",IF($E933=1,SUMIFS(Compta!$F$1:$F$675,Compta!$A$1:$A$675,$A933,Compta!$B$1:$B$675,$B933,Compta!$C$1:$C$675,"2026"),0))</f>
        <v/>
      </c>
      <c r="G933" t="str">
        <f>IF($A933="","",IF($D933="V01",cad!$C$23,IF($D933="V02",cad!$D$23,cad!$E$23)))</f>
        <v/>
      </c>
      <c r="H933" t="str">
        <f>IF($A933="","",IF($D933="V01",cad!$C$24,IF($D933="V02",cad!$D$24,cad!$E$24)))</f>
        <v/>
      </c>
      <c r="I933" t="str">
        <f>IF($A933="","",IF($D933="V01",cad!$C$32,IF($D933="V02",cad!$D$32,cad!$E$32)))</f>
        <v/>
      </c>
      <c r="J933" t="str">
        <f>IF($A933="","",IF($D933="V01",cad!$C$33,IF($D933="V02",cad!$D$33,cad!$E$33)))</f>
        <v/>
      </c>
      <c r="K933" t="str">
        <f>IF($A933="","",IF($D933="V01",cad!$C$34,IF($D933="V02",cad!$D$34,cad!$E$34)))</f>
        <v/>
      </c>
      <c r="L933" t="str">
        <f>IF($A933="","",IF($D933="V01",cad!$C$35,IF($D933="V02",cad!$D$35,cad!$E$35)))</f>
        <v/>
      </c>
      <c r="M933" t="str">
        <f>IF($A933="","",IF($D933="V01",cad!$C$36,IF($D933="V02",cad!$D$36,cad!$E$36)))</f>
        <v/>
      </c>
      <c r="N933" t="str">
        <f t="shared" si="57"/>
        <v/>
      </c>
      <c r="O933" t="str">
        <f t="shared" si="58"/>
        <v/>
      </c>
      <c r="P933" t="str">
        <f>IF($A933="","",IF($E933=1,$F933*$O933,PNL!G933))</f>
        <v/>
      </c>
      <c r="T933" t="str">
        <f t="shared" si="59"/>
        <v/>
      </c>
    </row>
    <row r="934" spans="1:20" x14ac:dyDescent="0.45">
      <c r="A934" t="str">
        <f>IF(PNL!A934="","",PNL!A934)</f>
        <v/>
      </c>
      <c r="B934" t="str">
        <f>IF(PNL!B934="","",PNL!B934)</f>
        <v/>
      </c>
      <c r="C934" t="str">
        <f>IF(PNL!C934="","",PNL!C934)</f>
        <v/>
      </c>
      <c r="D934" t="str">
        <f>IF(PNL!D934="","",PNL!D934)</f>
        <v/>
      </c>
      <c r="E934" t="str">
        <f t="shared" si="56"/>
        <v/>
      </c>
      <c r="F934" t="str">
        <f>IF($A934="","",IF($E934=1,SUMIFS(Compta!$F$1:$F$675,Compta!$A$1:$A$675,$A934,Compta!$B$1:$B$675,$B934,Compta!$C$1:$C$675,"2026"),0))</f>
        <v/>
      </c>
      <c r="G934" t="str">
        <f>IF($A934="","",IF($D934="V01",cad!$C$23,IF($D934="V02",cad!$D$23,cad!$E$23)))</f>
        <v/>
      </c>
      <c r="H934" t="str">
        <f>IF($A934="","",IF($D934="V01",cad!$C$24,IF($D934="V02",cad!$D$24,cad!$E$24)))</f>
        <v/>
      </c>
      <c r="I934" t="str">
        <f>IF($A934="","",IF($D934="V01",cad!$C$32,IF($D934="V02",cad!$D$32,cad!$E$32)))</f>
        <v/>
      </c>
      <c r="J934" t="str">
        <f>IF($A934="","",IF($D934="V01",cad!$C$33,IF($D934="V02",cad!$D$33,cad!$E$33)))</f>
        <v/>
      </c>
      <c r="K934" t="str">
        <f>IF($A934="","",IF($D934="V01",cad!$C$34,IF($D934="V02",cad!$D$34,cad!$E$34)))</f>
        <v/>
      </c>
      <c r="L934" t="str">
        <f>IF($A934="","",IF($D934="V01",cad!$C$35,IF($D934="V02",cad!$D$35,cad!$E$35)))</f>
        <v/>
      </c>
      <c r="M934" t="str">
        <f>IF($A934="","",IF($D934="V01",cad!$C$36,IF($D934="V02",cad!$D$36,cad!$E$36)))</f>
        <v/>
      </c>
      <c r="N934" t="str">
        <f t="shared" si="57"/>
        <v/>
      </c>
      <c r="O934" t="str">
        <f t="shared" si="58"/>
        <v/>
      </c>
      <c r="P934" t="str">
        <f>IF($A934="","",IF($E934=1,$F934*$O934,PNL!G934))</f>
        <v/>
      </c>
      <c r="T934" t="str">
        <f t="shared" si="59"/>
        <v/>
      </c>
    </row>
    <row r="935" spans="1:20" x14ac:dyDescent="0.45">
      <c r="A935" t="str">
        <f>IF(PNL!A935="","",PNL!A935)</f>
        <v/>
      </c>
      <c r="B935" t="str">
        <f>IF(PNL!B935="","",PNL!B935)</f>
        <v/>
      </c>
      <c r="C935" t="str">
        <f>IF(PNL!C935="","",PNL!C935)</f>
        <v/>
      </c>
      <c r="D935" t="str">
        <f>IF(PNL!D935="","",PNL!D935)</f>
        <v/>
      </c>
      <c r="E935" t="str">
        <f t="shared" si="56"/>
        <v/>
      </c>
      <c r="F935" t="str">
        <f>IF($A935="","",IF($E935=1,SUMIFS(Compta!$F$1:$F$675,Compta!$A$1:$A$675,$A935,Compta!$B$1:$B$675,$B935,Compta!$C$1:$C$675,"2026"),0))</f>
        <v/>
      </c>
      <c r="G935" t="str">
        <f>IF($A935="","",IF($D935="V01",cad!$C$23,IF($D935="V02",cad!$D$23,cad!$E$23)))</f>
        <v/>
      </c>
      <c r="H935" t="str">
        <f>IF($A935="","",IF($D935="V01",cad!$C$24,IF($D935="V02",cad!$D$24,cad!$E$24)))</f>
        <v/>
      </c>
      <c r="I935" t="str">
        <f>IF($A935="","",IF($D935="V01",cad!$C$32,IF($D935="V02",cad!$D$32,cad!$E$32)))</f>
        <v/>
      </c>
      <c r="J935" t="str">
        <f>IF($A935="","",IF($D935="V01",cad!$C$33,IF($D935="V02",cad!$D$33,cad!$E$33)))</f>
        <v/>
      </c>
      <c r="K935" t="str">
        <f>IF($A935="","",IF($D935="V01",cad!$C$34,IF($D935="V02",cad!$D$34,cad!$E$34)))</f>
        <v/>
      </c>
      <c r="L935" t="str">
        <f>IF($A935="","",IF($D935="V01",cad!$C$35,IF($D935="V02",cad!$D$35,cad!$E$35)))</f>
        <v/>
      </c>
      <c r="M935" t="str">
        <f>IF($A935="","",IF($D935="V01",cad!$C$36,IF($D935="V02",cad!$D$36,cad!$E$36)))</f>
        <v/>
      </c>
      <c r="N935" t="str">
        <f t="shared" si="57"/>
        <v/>
      </c>
      <c r="O935" t="str">
        <f t="shared" si="58"/>
        <v/>
      </c>
      <c r="P935" t="str">
        <f>IF($A935="","",IF($E935=1,$F935*$O935,PNL!G935))</f>
        <v/>
      </c>
      <c r="T935" t="str">
        <f t="shared" si="59"/>
        <v/>
      </c>
    </row>
    <row r="936" spans="1:20" x14ac:dyDescent="0.45">
      <c r="A936" t="str">
        <f>IF(PNL!A936="","",PNL!A936)</f>
        <v/>
      </c>
      <c r="B936" t="str">
        <f>IF(PNL!B936="","",PNL!B936)</f>
        <v/>
      </c>
      <c r="C936" t="str">
        <f>IF(PNL!C936="","",PNL!C936)</f>
        <v/>
      </c>
      <c r="D936" t="str">
        <f>IF(PNL!D936="","",PNL!D936)</f>
        <v/>
      </c>
      <c r="E936" t="str">
        <f t="shared" si="56"/>
        <v/>
      </c>
      <c r="F936" t="str">
        <f>IF($A936="","",IF($E936=1,SUMIFS(Compta!$F$1:$F$675,Compta!$A$1:$A$675,$A936,Compta!$B$1:$B$675,$B936,Compta!$C$1:$C$675,"2026"),0))</f>
        <v/>
      </c>
      <c r="G936" t="str">
        <f>IF($A936="","",IF($D936="V01",cad!$C$23,IF($D936="V02",cad!$D$23,cad!$E$23)))</f>
        <v/>
      </c>
      <c r="H936" t="str">
        <f>IF($A936="","",IF($D936="V01",cad!$C$24,IF($D936="V02",cad!$D$24,cad!$E$24)))</f>
        <v/>
      </c>
      <c r="I936" t="str">
        <f>IF($A936="","",IF($D936="V01",cad!$C$32,IF($D936="V02",cad!$D$32,cad!$E$32)))</f>
        <v/>
      </c>
      <c r="J936" t="str">
        <f>IF($A936="","",IF($D936="V01",cad!$C$33,IF($D936="V02",cad!$D$33,cad!$E$33)))</f>
        <v/>
      </c>
      <c r="K936" t="str">
        <f>IF($A936="","",IF($D936="V01",cad!$C$34,IF($D936="V02",cad!$D$34,cad!$E$34)))</f>
        <v/>
      </c>
      <c r="L936" t="str">
        <f>IF($A936="","",IF($D936="V01",cad!$C$35,IF($D936="V02",cad!$D$35,cad!$E$35)))</f>
        <v/>
      </c>
      <c r="M936" t="str">
        <f>IF($A936="","",IF($D936="V01",cad!$C$36,IF($D936="V02",cad!$D$36,cad!$E$36)))</f>
        <v/>
      </c>
      <c r="N936" t="str">
        <f t="shared" si="57"/>
        <v/>
      </c>
      <c r="O936" t="str">
        <f t="shared" si="58"/>
        <v/>
      </c>
      <c r="P936" t="str">
        <f>IF($A936="","",IF($E936=1,$F936*$O936,PNL!G936))</f>
        <v/>
      </c>
      <c r="T936" t="str">
        <f t="shared" si="59"/>
        <v/>
      </c>
    </row>
    <row r="937" spans="1:20" x14ac:dyDescent="0.45">
      <c r="A937" t="str">
        <f>IF(PNL!A937="","",PNL!A937)</f>
        <v/>
      </c>
      <c r="B937" t="str">
        <f>IF(PNL!B937="","",PNL!B937)</f>
        <v/>
      </c>
      <c r="C937" t="str">
        <f>IF(PNL!C937="","",PNL!C937)</f>
        <v/>
      </c>
      <c r="D937" t="str">
        <f>IF(PNL!D937="","",PNL!D937)</f>
        <v/>
      </c>
      <c r="E937" t="str">
        <f t="shared" si="56"/>
        <v/>
      </c>
      <c r="F937" t="str">
        <f>IF($A937="","",IF($E937=1,SUMIFS(Compta!$F$1:$F$675,Compta!$A$1:$A$675,$A937,Compta!$B$1:$B$675,$B937,Compta!$C$1:$C$675,"2026"),0))</f>
        <v/>
      </c>
      <c r="G937" t="str">
        <f>IF($A937="","",IF($D937="V01",cad!$C$23,IF($D937="V02",cad!$D$23,cad!$E$23)))</f>
        <v/>
      </c>
      <c r="H937" t="str">
        <f>IF($A937="","",IF($D937="V01",cad!$C$24,IF($D937="V02",cad!$D$24,cad!$E$24)))</f>
        <v/>
      </c>
      <c r="I937" t="str">
        <f>IF($A937="","",IF($D937="V01",cad!$C$32,IF($D937="V02",cad!$D$32,cad!$E$32)))</f>
        <v/>
      </c>
      <c r="J937" t="str">
        <f>IF($A937="","",IF($D937="V01",cad!$C$33,IF($D937="V02",cad!$D$33,cad!$E$33)))</f>
        <v/>
      </c>
      <c r="K937" t="str">
        <f>IF($A937="","",IF($D937="V01",cad!$C$34,IF($D937="V02",cad!$D$34,cad!$E$34)))</f>
        <v/>
      </c>
      <c r="L937" t="str">
        <f>IF($A937="","",IF($D937="V01",cad!$C$35,IF($D937="V02",cad!$D$35,cad!$E$35)))</f>
        <v/>
      </c>
      <c r="M937" t="str">
        <f>IF($A937="","",IF($D937="V01",cad!$C$36,IF($D937="V02",cad!$D$36,cad!$E$36)))</f>
        <v/>
      </c>
      <c r="N937" t="str">
        <f t="shared" si="57"/>
        <v/>
      </c>
      <c r="O937" t="str">
        <f t="shared" si="58"/>
        <v/>
      </c>
      <c r="P937" t="str">
        <f>IF($A937="","",IF($E937=1,$F937*$O937,PNL!G937))</f>
        <v/>
      </c>
      <c r="T937" t="str">
        <f t="shared" si="59"/>
        <v/>
      </c>
    </row>
    <row r="938" spans="1:20" x14ac:dyDescent="0.45">
      <c r="A938" t="str">
        <f>IF(PNL!A938="","",PNL!A938)</f>
        <v/>
      </c>
      <c r="B938" t="str">
        <f>IF(PNL!B938="","",PNL!B938)</f>
        <v/>
      </c>
      <c r="C938" t="str">
        <f>IF(PNL!C938="","",PNL!C938)</f>
        <v/>
      </c>
      <c r="D938" t="str">
        <f>IF(PNL!D938="","",PNL!D938)</f>
        <v/>
      </c>
      <c r="E938" t="str">
        <f t="shared" si="56"/>
        <v/>
      </c>
      <c r="F938" t="str">
        <f>IF($A938="","",IF($E938=1,SUMIFS(Compta!$F$1:$F$675,Compta!$A$1:$A$675,$A938,Compta!$B$1:$B$675,$B938,Compta!$C$1:$C$675,"2026"),0))</f>
        <v/>
      </c>
      <c r="G938" t="str">
        <f>IF($A938="","",IF($D938="V01",cad!$C$23,IF($D938="V02",cad!$D$23,cad!$E$23)))</f>
        <v/>
      </c>
      <c r="H938" t="str">
        <f>IF($A938="","",IF($D938="V01",cad!$C$24,IF($D938="V02",cad!$D$24,cad!$E$24)))</f>
        <v/>
      </c>
      <c r="I938" t="str">
        <f>IF($A938="","",IF($D938="V01",cad!$C$32,IF($D938="V02",cad!$D$32,cad!$E$32)))</f>
        <v/>
      </c>
      <c r="J938" t="str">
        <f>IF($A938="","",IF($D938="V01",cad!$C$33,IF($D938="V02",cad!$D$33,cad!$E$33)))</f>
        <v/>
      </c>
      <c r="K938" t="str">
        <f>IF($A938="","",IF($D938="V01",cad!$C$34,IF($D938="V02",cad!$D$34,cad!$E$34)))</f>
        <v/>
      </c>
      <c r="L938" t="str">
        <f>IF($A938="","",IF($D938="V01",cad!$C$35,IF($D938="V02",cad!$D$35,cad!$E$35)))</f>
        <v/>
      </c>
      <c r="M938" t="str">
        <f>IF($A938="","",IF($D938="V01",cad!$C$36,IF($D938="V02",cad!$D$36,cad!$E$36)))</f>
        <v/>
      </c>
      <c r="N938" t="str">
        <f t="shared" si="57"/>
        <v/>
      </c>
      <c r="O938" t="str">
        <f t="shared" si="58"/>
        <v/>
      </c>
      <c r="P938" t="str">
        <f>IF($A938="","",IF($E938=1,$F938*$O938,PNL!G938))</f>
        <v/>
      </c>
      <c r="T938" t="str">
        <f t="shared" si="59"/>
        <v/>
      </c>
    </row>
    <row r="939" spans="1:20" x14ac:dyDescent="0.45">
      <c r="A939" t="str">
        <f>IF(PNL!A939="","",PNL!A939)</f>
        <v/>
      </c>
      <c r="B939" t="str">
        <f>IF(PNL!B939="","",PNL!B939)</f>
        <v/>
      </c>
      <c r="C939" t="str">
        <f>IF(PNL!C939="","",PNL!C939)</f>
        <v/>
      </c>
      <c r="D939" t="str">
        <f>IF(PNL!D939="","",PNL!D939)</f>
        <v/>
      </c>
      <c r="E939" t="str">
        <f t="shared" si="56"/>
        <v/>
      </c>
      <c r="F939" t="str">
        <f>IF($A939="","",IF($E939=1,SUMIFS(Compta!$F$1:$F$675,Compta!$A$1:$A$675,$A939,Compta!$B$1:$B$675,$B939,Compta!$C$1:$C$675,"2026"),0))</f>
        <v/>
      </c>
      <c r="G939" t="str">
        <f>IF($A939="","",IF($D939="V01",cad!$C$23,IF($D939="V02",cad!$D$23,cad!$E$23)))</f>
        <v/>
      </c>
      <c r="H939" t="str">
        <f>IF($A939="","",IF($D939="V01",cad!$C$24,IF($D939="V02",cad!$D$24,cad!$E$24)))</f>
        <v/>
      </c>
      <c r="I939" t="str">
        <f>IF($A939="","",IF($D939="V01",cad!$C$32,IF($D939="V02",cad!$D$32,cad!$E$32)))</f>
        <v/>
      </c>
      <c r="J939" t="str">
        <f>IF($A939="","",IF($D939="V01",cad!$C$33,IF($D939="V02",cad!$D$33,cad!$E$33)))</f>
        <v/>
      </c>
      <c r="K939" t="str">
        <f>IF($A939="","",IF($D939="V01",cad!$C$34,IF($D939="V02",cad!$D$34,cad!$E$34)))</f>
        <v/>
      </c>
      <c r="L939" t="str">
        <f>IF($A939="","",IF($D939="V01",cad!$C$35,IF($D939="V02",cad!$D$35,cad!$E$35)))</f>
        <v/>
      </c>
      <c r="M939" t="str">
        <f>IF($A939="","",IF($D939="V01",cad!$C$36,IF($D939="V02",cad!$D$36,cad!$E$36)))</f>
        <v/>
      </c>
      <c r="N939" t="str">
        <f t="shared" si="57"/>
        <v/>
      </c>
      <c r="O939" t="str">
        <f t="shared" si="58"/>
        <v/>
      </c>
      <c r="P939" t="str">
        <f>IF($A939="","",IF($E939=1,$F939*$O939,PNL!G939))</f>
        <v/>
      </c>
      <c r="T939" t="str">
        <f t="shared" si="59"/>
        <v/>
      </c>
    </row>
    <row r="940" spans="1:20" x14ac:dyDescent="0.45">
      <c r="A940" t="str">
        <f>IF(PNL!A940="","",PNL!A940)</f>
        <v/>
      </c>
      <c r="B940" t="str">
        <f>IF(PNL!B940="","",PNL!B940)</f>
        <v/>
      </c>
      <c r="C940" t="str">
        <f>IF(PNL!C940="","",PNL!C940)</f>
        <v/>
      </c>
      <c r="D940" t="str">
        <f>IF(PNL!D940="","",PNL!D940)</f>
        <v/>
      </c>
      <c r="E940" t="str">
        <f t="shared" si="56"/>
        <v/>
      </c>
      <c r="F940" t="str">
        <f>IF($A940="","",IF($E940=1,SUMIFS(Compta!$F$1:$F$675,Compta!$A$1:$A$675,$A940,Compta!$B$1:$B$675,$B940,Compta!$C$1:$C$675,"2026"),0))</f>
        <v/>
      </c>
      <c r="G940" t="str">
        <f>IF($A940="","",IF($D940="V01",cad!$C$23,IF($D940="V02",cad!$D$23,cad!$E$23)))</f>
        <v/>
      </c>
      <c r="H940" t="str">
        <f>IF($A940="","",IF($D940="V01",cad!$C$24,IF($D940="V02",cad!$D$24,cad!$E$24)))</f>
        <v/>
      </c>
      <c r="I940" t="str">
        <f>IF($A940="","",IF($D940="V01",cad!$C$32,IF($D940="V02",cad!$D$32,cad!$E$32)))</f>
        <v/>
      </c>
      <c r="J940" t="str">
        <f>IF($A940="","",IF($D940="V01",cad!$C$33,IF($D940="V02",cad!$D$33,cad!$E$33)))</f>
        <v/>
      </c>
      <c r="K940" t="str">
        <f>IF($A940="","",IF($D940="V01",cad!$C$34,IF($D940="V02",cad!$D$34,cad!$E$34)))</f>
        <v/>
      </c>
      <c r="L940" t="str">
        <f>IF($A940="","",IF($D940="V01",cad!$C$35,IF($D940="V02",cad!$D$35,cad!$E$35)))</f>
        <v/>
      </c>
      <c r="M940" t="str">
        <f>IF($A940="","",IF($D940="V01",cad!$C$36,IF($D940="V02",cad!$D$36,cad!$E$36)))</f>
        <v/>
      </c>
      <c r="N940" t="str">
        <f t="shared" si="57"/>
        <v/>
      </c>
      <c r="O940" t="str">
        <f t="shared" si="58"/>
        <v/>
      </c>
      <c r="P940" t="str">
        <f>IF($A940="","",IF($E940=1,$F940*$O940,PNL!G940))</f>
        <v/>
      </c>
      <c r="T940" t="str">
        <f t="shared" si="59"/>
        <v/>
      </c>
    </row>
    <row r="941" spans="1:20" x14ac:dyDescent="0.45">
      <c r="A941" t="str">
        <f>IF(PNL!A941="","",PNL!A941)</f>
        <v/>
      </c>
      <c r="B941" t="str">
        <f>IF(PNL!B941="","",PNL!B941)</f>
        <v/>
      </c>
      <c r="C941" t="str">
        <f>IF(PNL!C941="","",PNL!C941)</f>
        <v/>
      </c>
      <c r="D941" t="str">
        <f>IF(PNL!D941="","",PNL!D941)</f>
        <v/>
      </c>
      <c r="E941" t="str">
        <f t="shared" si="56"/>
        <v/>
      </c>
      <c r="F941" t="str">
        <f>IF($A941="","",IF($E941=1,SUMIFS(Compta!$F$1:$F$675,Compta!$A$1:$A$675,$A941,Compta!$B$1:$B$675,$B941,Compta!$C$1:$C$675,"2026"),0))</f>
        <v/>
      </c>
      <c r="G941" t="str">
        <f>IF($A941="","",IF($D941="V01",cad!$C$23,IF($D941="V02",cad!$D$23,cad!$E$23)))</f>
        <v/>
      </c>
      <c r="H941" t="str">
        <f>IF($A941="","",IF($D941="V01",cad!$C$24,IF($D941="V02",cad!$D$24,cad!$E$24)))</f>
        <v/>
      </c>
      <c r="I941" t="str">
        <f>IF($A941="","",IF($D941="V01",cad!$C$32,IF($D941="V02",cad!$D$32,cad!$E$32)))</f>
        <v/>
      </c>
      <c r="J941" t="str">
        <f>IF($A941="","",IF($D941="V01",cad!$C$33,IF($D941="V02",cad!$D$33,cad!$E$33)))</f>
        <v/>
      </c>
      <c r="K941" t="str">
        <f>IF($A941="","",IF($D941="V01",cad!$C$34,IF($D941="V02",cad!$D$34,cad!$E$34)))</f>
        <v/>
      </c>
      <c r="L941" t="str">
        <f>IF($A941="","",IF($D941="V01",cad!$C$35,IF($D941="V02",cad!$D$35,cad!$E$35)))</f>
        <v/>
      </c>
      <c r="M941" t="str">
        <f>IF($A941="","",IF($D941="V01",cad!$C$36,IF($D941="V02",cad!$D$36,cad!$E$36)))</f>
        <v/>
      </c>
      <c r="N941" t="str">
        <f t="shared" si="57"/>
        <v/>
      </c>
      <c r="O941" t="str">
        <f t="shared" si="58"/>
        <v/>
      </c>
      <c r="P941" t="str">
        <f>IF($A941="","",IF($E941=1,$F941*$O941,PNL!G941))</f>
        <v/>
      </c>
      <c r="T941" t="str">
        <f t="shared" si="59"/>
        <v/>
      </c>
    </row>
    <row r="942" spans="1:20" x14ac:dyDescent="0.45">
      <c r="A942" t="str">
        <f>IF(PNL!A942="","",PNL!A942)</f>
        <v/>
      </c>
      <c r="B942" t="str">
        <f>IF(PNL!B942="","",PNL!B942)</f>
        <v/>
      </c>
      <c r="C942" t="str">
        <f>IF(PNL!C942="","",PNL!C942)</f>
        <v/>
      </c>
      <c r="D942" t="str">
        <f>IF(PNL!D942="","",PNL!D942)</f>
        <v/>
      </c>
      <c r="E942" t="str">
        <f t="shared" si="56"/>
        <v/>
      </c>
      <c r="F942" t="str">
        <f>IF($A942="","",IF($E942=1,SUMIFS(Compta!$F$1:$F$675,Compta!$A$1:$A$675,$A942,Compta!$B$1:$B$675,$B942,Compta!$C$1:$C$675,"2026"),0))</f>
        <v/>
      </c>
      <c r="G942" t="str">
        <f>IF($A942="","",IF($D942="V01",cad!$C$23,IF($D942="V02",cad!$D$23,cad!$E$23)))</f>
        <v/>
      </c>
      <c r="H942" t="str">
        <f>IF($A942="","",IF($D942="V01",cad!$C$24,IF($D942="V02",cad!$D$24,cad!$E$24)))</f>
        <v/>
      </c>
      <c r="I942" t="str">
        <f>IF($A942="","",IF($D942="V01",cad!$C$32,IF($D942="V02",cad!$D$32,cad!$E$32)))</f>
        <v/>
      </c>
      <c r="J942" t="str">
        <f>IF($A942="","",IF($D942="V01",cad!$C$33,IF($D942="V02",cad!$D$33,cad!$E$33)))</f>
        <v/>
      </c>
      <c r="K942" t="str">
        <f>IF($A942="","",IF($D942="V01",cad!$C$34,IF($D942="V02",cad!$D$34,cad!$E$34)))</f>
        <v/>
      </c>
      <c r="L942" t="str">
        <f>IF($A942="","",IF($D942="V01",cad!$C$35,IF($D942="V02",cad!$D$35,cad!$E$35)))</f>
        <v/>
      </c>
      <c r="M942" t="str">
        <f>IF($A942="","",IF($D942="V01",cad!$C$36,IF($D942="V02",cad!$D$36,cad!$E$36)))</f>
        <v/>
      </c>
      <c r="N942" t="str">
        <f t="shared" si="57"/>
        <v/>
      </c>
      <c r="O942" t="str">
        <f t="shared" si="58"/>
        <v/>
      </c>
      <c r="P942" t="str">
        <f>IF($A942="","",IF($E942=1,$F942*$O942,PNL!G942))</f>
        <v/>
      </c>
      <c r="T942" t="str">
        <f t="shared" si="59"/>
        <v/>
      </c>
    </row>
    <row r="943" spans="1:20" x14ac:dyDescent="0.45">
      <c r="A943" t="str">
        <f>IF(PNL!A943="","",PNL!A943)</f>
        <v/>
      </c>
      <c r="B943" t="str">
        <f>IF(PNL!B943="","",PNL!B943)</f>
        <v/>
      </c>
      <c r="C943" t="str">
        <f>IF(PNL!C943="","",PNL!C943)</f>
        <v/>
      </c>
      <c r="D943" t="str">
        <f>IF(PNL!D943="","",PNL!D943)</f>
        <v/>
      </c>
      <c r="E943" t="str">
        <f t="shared" si="56"/>
        <v/>
      </c>
      <c r="F943" t="str">
        <f>IF($A943="","",IF($E943=1,SUMIFS(Compta!$F$1:$F$675,Compta!$A$1:$A$675,$A943,Compta!$B$1:$B$675,$B943,Compta!$C$1:$C$675,"2026"),0))</f>
        <v/>
      </c>
      <c r="G943" t="str">
        <f>IF($A943="","",IF($D943="V01",cad!$C$23,IF($D943="V02",cad!$D$23,cad!$E$23)))</f>
        <v/>
      </c>
      <c r="H943" t="str">
        <f>IF($A943="","",IF($D943="V01",cad!$C$24,IF($D943="V02",cad!$D$24,cad!$E$24)))</f>
        <v/>
      </c>
      <c r="I943" t="str">
        <f>IF($A943="","",IF($D943="V01",cad!$C$32,IF($D943="V02",cad!$D$32,cad!$E$32)))</f>
        <v/>
      </c>
      <c r="J943" t="str">
        <f>IF($A943="","",IF($D943="V01",cad!$C$33,IF($D943="V02",cad!$D$33,cad!$E$33)))</f>
        <v/>
      </c>
      <c r="K943" t="str">
        <f>IF($A943="","",IF($D943="V01",cad!$C$34,IF($D943="V02",cad!$D$34,cad!$E$34)))</f>
        <v/>
      </c>
      <c r="L943" t="str">
        <f>IF($A943="","",IF($D943="V01",cad!$C$35,IF($D943="V02",cad!$D$35,cad!$E$35)))</f>
        <v/>
      </c>
      <c r="M943" t="str">
        <f>IF($A943="","",IF($D943="V01",cad!$C$36,IF($D943="V02",cad!$D$36,cad!$E$36)))</f>
        <v/>
      </c>
      <c r="N943" t="str">
        <f t="shared" si="57"/>
        <v/>
      </c>
      <c r="O943" t="str">
        <f t="shared" si="58"/>
        <v/>
      </c>
      <c r="P943" t="str">
        <f>IF($A943="","",IF($E943=1,$F943*$O943,PNL!G943))</f>
        <v/>
      </c>
      <c r="T943" t="str">
        <f t="shared" si="59"/>
        <v/>
      </c>
    </row>
    <row r="944" spans="1:20" x14ac:dyDescent="0.45">
      <c r="A944" t="str">
        <f>IF(PNL!A944="","",PNL!A944)</f>
        <v/>
      </c>
      <c r="B944" t="str">
        <f>IF(PNL!B944="","",PNL!B944)</f>
        <v/>
      </c>
      <c r="C944" t="str">
        <f>IF(PNL!C944="","",PNL!C944)</f>
        <v/>
      </c>
      <c r="D944" t="str">
        <f>IF(PNL!D944="","",PNL!D944)</f>
        <v/>
      </c>
      <c r="E944" t="str">
        <f t="shared" si="56"/>
        <v/>
      </c>
      <c r="F944" t="str">
        <f>IF($A944="","",IF($E944=1,SUMIFS(Compta!$F$1:$F$675,Compta!$A$1:$A$675,$A944,Compta!$B$1:$B$675,$B944,Compta!$C$1:$C$675,"2026"),0))</f>
        <v/>
      </c>
      <c r="G944" t="str">
        <f>IF($A944="","",IF($D944="V01",cad!$C$23,IF($D944="V02",cad!$D$23,cad!$E$23)))</f>
        <v/>
      </c>
      <c r="H944" t="str">
        <f>IF($A944="","",IF($D944="V01",cad!$C$24,IF($D944="V02",cad!$D$24,cad!$E$24)))</f>
        <v/>
      </c>
      <c r="I944" t="str">
        <f>IF($A944="","",IF($D944="V01",cad!$C$32,IF($D944="V02",cad!$D$32,cad!$E$32)))</f>
        <v/>
      </c>
      <c r="J944" t="str">
        <f>IF($A944="","",IF($D944="V01",cad!$C$33,IF($D944="V02",cad!$D$33,cad!$E$33)))</f>
        <v/>
      </c>
      <c r="K944" t="str">
        <f>IF($A944="","",IF($D944="V01",cad!$C$34,IF($D944="V02",cad!$D$34,cad!$E$34)))</f>
        <v/>
      </c>
      <c r="L944" t="str">
        <f>IF($A944="","",IF($D944="V01",cad!$C$35,IF($D944="V02",cad!$D$35,cad!$E$35)))</f>
        <v/>
      </c>
      <c r="M944" t="str">
        <f>IF($A944="","",IF($D944="V01",cad!$C$36,IF($D944="V02",cad!$D$36,cad!$E$36)))</f>
        <v/>
      </c>
      <c r="N944" t="str">
        <f t="shared" si="57"/>
        <v/>
      </c>
      <c r="O944" t="str">
        <f t="shared" si="58"/>
        <v/>
      </c>
      <c r="P944" t="str">
        <f>IF($A944="","",IF($E944=1,$F944*$O944,PNL!G944))</f>
        <v/>
      </c>
      <c r="T944" t="str">
        <f t="shared" si="59"/>
        <v/>
      </c>
    </row>
    <row r="945" spans="1:20" x14ac:dyDescent="0.45">
      <c r="A945" t="str">
        <f>IF(PNL!A945="","",PNL!A945)</f>
        <v/>
      </c>
      <c r="B945" t="str">
        <f>IF(PNL!B945="","",PNL!B945)</f>
        <v/>
      </c>
      <c r="C945" t="str">
        <f>IF(PNL!C945="","",PNL!C945)</f>
        <v/>
      </c>
      <c r="D945" t="str">
        <f>IF(PNL!D945="","",PNL!D945)</f>
        <v/>
      </c>
      <c r="E945" t="str">
        <f t="shared" si="56"/>
        <v/>
      </c>
      <c r="F945" t="str">
        <f>IF($A945="","",IF($E945=1,SUMIFS(Compta!$F$1:$F$675,Compta!$A$1:$A$675,$A945,Compta!$B$1:$B$675,$B945,Compta!$C$1:$C$675,"2026"),0))</f>
        <v/>
      </c>
      <c r="G945" t="str">
        <f>IF($A945="","",IF($D945="V01",cad!$C$23,IF($D945="V02",cad!$D$23,cad!$E$23)))</f>
        <v/>
      </c>
      <c r="H945" t="str">
        <f>IF($A945="","",IF($D945="V01",cad!$C$24,IF($D945="V02",cad!$D$24,cad!$E$24)))</f>
        <v/>
      </c>
      <c r="I945" t="str">
        <f>IF($A945="","",IF($D945="V01",cad!$C$32,IF($D945="V02",cad!$D$32,cad!$E$32)))</f>
        <v/>
      </c>
      <c r="J945" t="str">
        <f>IF($A945="","",IF($D945="V01",cad!$C$33,IF($D945="V02",cad!$D$33,cad!$E$33)))</f>
        <v/>
      </c>
      <c r="K945" t="str">
        <f>IF($A945="","",IF($D945="V01",cad!$C$34,IF($D945="V02",cad!$D$34,cad!$E$34)))</f>
        <v/>
      </c>
      <c r="L945" t="str">
        <f>IF($A945="","",IF($D945="V01",cad!$C$35,IF($D945="V02",cad!$D$35,cad!$E$35)))</f>
        <v/>
      </c>
      <c r="M945" t="str">
        <f>IF($A945="","",IF($D945="V01",cad!$C$36,IF($D945="V02",cad!$D$36,cad!$E$36)))</f>
        <v/>
      </c>
      <c r="N945" t="str">
        <f t="shared" si="57"/>
        <v/>
      </c>
      <c r="O945" t="str">
        <f t="shared" si="58"/>
        <v/>
      </c>
      <c r="P945" t="str">
        <f>IF($A945="","",IF($E945=1,$F945*$O945,PNL!G945))</f>
        <v/>
      </c>
      <c r="T945" t="str">
        <f t="shared" si="59"/>
        <v/>
      </c>
    </row>
    <row r="946" spans="1:20" x14ac:dyDescent="0.45">
      <c r="A946" t="str">
        <f>IF(PNL!A946="","",PNL!A946)</f>
        <v/>
      </c>
      <c r="B946" t="str">
        <f>IF(PNL!B946="","",PNL!B946)</f>
        <v/>
      </c>
      <c r="C946" t="str">
        <f>IF(PNL!C946="","",PNL!C946)</f>
        <v/>
      </c>
      <c r="D946" t="str">
        <f>IF(PNL!D946="","",PNL!D946)</f>
        <v/>
      </c>
      <c r="E946" t="str">
        <f t="shared" si="56"/>
        <v/>
      </c>
      <c r="F946" t="str">
        <f>IF($A946="","",IF($E946=1,SUMIFS(Compta!$F$1:$F$675,Compta!$A$1:$A$675,$A946,Compta!$B$1:$B$675,$B946,Compta!$C$1:$C$675,"2026"),0))</f>
        <v/>
      </c>
      <c r="G946" t="str">
        <f>IF($A946="","",IF($D946="V01",cad!$C$23,IF($D946="V02",cad!$D$23,cad!$E$23)))</f>
        <v/>
      </c>
      <c r="H946" t="str">
        <f>IF($A946="","",IF($D946="V01",cad!$C$24,IF($D946="V02",cad!$D$24,cad!$E$24)))</f>
        <v/>
      </c>
      <c r="I946" t="str">
        <f>IF($A946="","",IF($D946="V01",cad!$C$32,IF($D946="V02",cad!$D$32,cad!$E$32)))</f>
        <v/>
      </c>
      <c r="J946" t="str">
        <f>IF($A946="","",IF($D946="V01",cad!$C$33,IF($D946="V02",cad!$D$33,cad!$E$33)))</f>
        <v/>
      </c>
      <c r="K946" t="str">
        <f>IF($A946="","",IF($D946="V01",cad!$C$34,IF($D946="V02",cad!$D$34,cad!$E$34)))</f>
        <v/>
      </c>
      <c r="L946" t="str">
        <f>IF($A946="","",IF($D946="V01",cad!$C$35,IF($D946="V02",cad!$D$35,cad!$E$35)))</f>
        <v/>
      </c>
      <c r="M946" t="str">
        <f>IF($A946="","",IF($D946="V01",cad!$C$36,IF($D946="V02",cad!$D$36,cad!$E$36)))</f>
        <v/>
      </c>
      <c r="N946" t="str">
        <f t="shared" si="57"/>
        <v/>
      </c>
      <c r="O946" t="str">
        <f t="shared" si="58"/>
        <v/>
      </c>
      <c r="P946" t="str">
        <f>IF($A946="","",IF($E946=1,$F946*$O946,PNL!G946))</f>
        <v/>
      </c>
      <c r="T946" t="str">
        <f t="shared" si="59"/>
        <v/>
      </c>
    </row>
    <row r="947" spans="1:20" x14ac:dyDescent="0.45">
      <c r="A947" t="str">
        <f>IF(PNL!A947="","",PNL!A947)</f>
        <v/>
      </c>
      <c r="B947" t="str">
        <f>IF(PNL!B947="","",PNL!B947)</f>
        <v/>
      </c>
      <c r="C947" t="str">
        <f>IF(PNL!C947="","",PNL!C947)</f>
        <v/>
      </c>
      <c r="D947" t="str">
        <f>IF(PNL!D947="","",PNL!D947)</f>
        <v/>
      </c>
      <c r="E947" t="str">
        <f t="shared" si="56"/>
        <v/>
      </c>
      <c r="F947" t="str">
        <f>IF($A947="","",IF($E947=1,SUMIFS(Compta!$F$1:$F$675,Compta!$A$1:$A$675,$A947,Compta!$B$1:$B$675,$B947,Compta!$C$1:$C$675,"2026"),0))</f>
        <v/>
      </c>
      <c r="G947" t="str">
        <f>IF($A947="","",IF($D947="V01",cad!$C$23,IF($D947="V02",cad!$D$23,cad!$E$23)))</f>
        <v/>
      </c>
      <c r="H947" t="str">
        <f>IF($A947="","",IF($D947="V01",cad!$C$24,IF($D947="V02",cad!$D$24,cad!$E$24)))</f>
        <v/>
      </c>
      <c r="I947" t="str">
        <f>IF($A947="","",IF($D947="V01",cad!$C$32,IF($D947="V02",cad!$D$32,cad!$E$32)))</f>
        <v/>
      </c>
      <c r="J947" t="str">
        <f>IF($A947="","",IF($D947="V01",cad!$C$33,IF($D947="V02",cad!$D$33,cad!$E$33)))</f>
        <v/>
      </c>
      <c r="K947" t="str">
        <f>IF($A947="","",IF($D947="V01",cad!$C$34,IF($D947="V02",cad!$D$34,cad!$E$34)))</f>
        <v/>
      </c>
      <c r="L947" t="str">
        <f>IF($A947="","",IF($D947="V01",cad!$C$35,IF($D947="V02",cad!$D$35,cad!$E$35)))</f>
        <v/>
      </c>
      <c r="M947" t="str">
        <f>IF($A947="","",IF($D947="V01",cad!$C$36,IF($D947="V02",cad!$D$36,cad!$E$36)))</f>
        <v/>
      </c>
      <c r="N947" t="str">
        <f t="shared" si="57"/>
        <v/>
      </c>
      <c r="O947" t="str">
        <f t="shared" si="58"/>
        <v/>
      </c>
      <c r="P947" t="str">
        <f>IF($A947="","",IF($E947=1,$F947*$O947,PNL!G947))</f>
        <v/>
      </c>
      <c r="T947" t="str">
        <f t="shared" si="59"/>
        <v/>
      </c>
    </row>
    <row r="948" spans="1:20" x14ac:dyDescent="0.45">
      <c r="A948" t="str">
        <f>IF(PNL!A948="","",PNL!A948)</f>
        <v/>
      </c>
      <c r="B948" t="str">
        <f>IF(PNL!B948="","",PNL!B948)</f>
        <v/>
      </c>
      <c r="C948" t="str">
        <f>IF(PNL!C948="","",PNL!C948)</f>
        <v/>
      </c>
      <c r="D948" t="str">
        <f>IF(PNL!D948="","",PNL!D948)</f>
        <v/>
      </c>
      <c r="E948" t="str">
        <f t="shared" si="56"/>
        <v/>
      </c>
      <c r="F948" t="str">
        <f>IF($A948="","",IF($E948=1,SUMIFS(Compta!$F$1:$F$675,Compta!$A$1:$A$675,$A948,Compta!$B$1:$B$675,$B948,Compta!$C$1:$C$675,"2026"),0))</f>
        <v/>
      </c>
      <c r="G948" t="str">
        <f>IF($A948="","",IF($D948="V01",cad!$C$23,IF($D948="V02",cad!$D$23,cad!$E$23)))</f>
        <v/>
      </c>
      <c r="H948" t="str">
        <f>IF($A948="","",IF($D948="V01",cad!$C$24,IF($D948="V02",cad!$D$24,cad!$E$24)))</f>
        <v/>
      </c>
      <c r="I948" t="str">
        <f>IF($A948="","",IF($D948="V01",cad!$C$32,IF($D948="V02",cad!$D$32,cad!$E$32)))</f>
        <v/>
      </c>
      <c r="J948" t="str">
        <f>IF($A948="","",IF($D948="V01",cad!$C$33,IF($D948="V02",cad!$D$33,cad!$E$33)))</f>
        <v/>
      </c>
      <c r="K948" t="str">
        <f>IF($A948="","",IF($D948="V01",cad!$C$34,IF($D948="V02",cad!$D$34,cad!$E$34)))</f>
        <v/>
      </c>
      <c r="L948" t="str">
        <f>IF($A948="","",IF($D948="V01",cad!$C$35,IF($D948="V02",cad!$D$35,cad!$E$35)))</f>
        <v/>
      </c>
      <c r="M948" t="str">
        <f>IF($A948="","",IF($D948="V01",cad!$C$36,IF($D948="V02",cad!$D$36,cad!$E$36)))</f>
        <v/>
      </c>
      <c r="N948" t="str">
        <f t="shared" si="57"/>
        <v/>
      </c>
      <c r="O948" t="str">
        <f t="shared" si="58"/>
        <v/>
      </c>
      <c r="P948" t="str">
        <f>IF($A948="","",IF($E948=1,$F948*$O948,PNL!G948))</f>
        <v/>
      </c>
      <c r="T948" t="str">
        <f t="shared" si="59"/>
        <v/>
      </c>
    </row>
    <row r="949" spans="1:20" x14ac:dyDescent="0.45">
      <c r="A949" t="str">
        <f>IF(PNL!A949="","",PNL!A949)</f>
        <v/>
      </c>
      <c r="B949" t="str">
        <f>IF(PNL!B949="","",PNL!B949)</f>
        <v/>
      </c>
      <c r="C949" t="str">
        <f>IF(PNL!C949="","",PNL!C949)</f>
        <v/>
      </c>
      <c r="D949" t="str">
        <f>IF(PNL!D949="","",PNL!D949)</f>
        <v/>
      </c>
      <c r="E949" t="str">
        <f t="shared" si="56"/>
        <v/>
      </c>
      <c r="F949" t="str">
        <f>IF($A949="","",IF($E949=1,SUMIFS(Compta!$F$1:$F$675,Compta!$A$1:$A$675,$A949,Compta!$B$1:$B$675,$B949,Compta!$C$1:$C$675,"2026"),0))</f>
        <v/>
      </c>
      <c r="G949" t="str">
        <f>IF($A949="","",IF($D949="V01",cad!$C$23,IF($D949="V02",cad!$D$23,cad!$E$23)))</f>
        <v/>
      </c>
      <c r="H949" t="str">
        <f>IF($A949="","",IF($D949="V01",cad!$C$24,IF($D949="V02",cad!$D$24,cad!$E$24)))</f>
        <v/>
      </c>
      <c r="I949" t="str">
        <f>IF($A949="","",IF($D949="V01",cad!$C$32,IF($D949="V02",cad!$D$32,cad!$E$32)))</f>
        <v/>
      </c>
      <c r="J949" t="str">
        <f>IF($A949="","",IF($D949="V01",cad!$C$33,IF($D949="V02",cad!$D$33,cad!$E$33)))</f>
        <v/>
      </c>
      <c r="K949" t="str">
        <f>IF($A949="","",IF($D949="V01",cad!$C$34,IF($D949="V02",cad!$D$34,cad!$E$34)))</f>
        <v/>
      </c>
      <c r="L949" t="str">
        <f>IF($A949="","",IF($D949="V01",cad!$C$35,IF($D949="V02",cad!$D$35,cad!$E$35)))</f>
        <v/>
      </c>
      <c r="M949" t="str">
        <f>IF($A949="","",IF($D949="V01",cad!$C$36,IF($D949="V02",cad!$D$36,cad!$E$36)))</f>
        <v/>
      </c>
      <c r="N949" t="str">
        <f t="shared" si="57"/>
        <v/>
      </c>
      <c r="O949" t="str">
        <f t="shared" si="58"/>
        <v/>
      </c>
      <c r="P949" t="str">
        <f>IF($A949="","",IF($E949=1,$F949*$O949,PNL!G949))</f>
        <v/>
      </c>
      <c r="T949" t="str">
        <f t="shared" si="59"/>
        <v/>
      </c>
    </row>
    <row r="950" spans="1:20" x14ac:dyDescent="0.45">
      <c r="A950" t="str">
        <f>IF(PNL!A950="","",PNL!A950)</f>
        <v/>
      </c>
      <c r="B950" t="str">
        <f>IF(PNL!B950="","",PNL!B950)</f>
        <v/>
      </c>
      <c r="C950" t="str">
        <f>IF(PNL!C950="","",PNL!C950)</f>
        <v/>
      </c>
      <c r="D950" t="str">
        <f>IF(PNL!D950="","",PNL!D950)</f>
        <v/>
      </c>
      <c r="E950" t="str">
        <f t="shared" si="56"/>
        <v/>
      </c>
      <c r="F950" t="str">
        <f>IF($A950="","",IF($E950=1,SUMIFS(Compta!$F$1:$F$675,Compta!$A$1:$A$675,$A950,Compta!$B$1:$B$675,$B950,Compta!$C$1:$C$675,"2026"),0))</f>
        <v/>
      </c>
      <c r="G950" t="str">
        <f>IF($A950="","",IF($D950="V01",cad!$C$23,IF($D950="V02",cad!$D$23,cad!$E$23)))</f>
        <v/>
      </c>
      <c r="H950" t="str">
        <f>IF($A950="","",IF($D950="V01",cad!$C$24,IF($D950="V02",cad!$D$24,cad!$E$24)))</f>
        <v/>
      </c>
      <c r="I950" t="str">
        <f>IF($A950="","",IF($D950="V01",cad!$C$32,IF($D950="V02",cad!$D$32,cad!$E$32)))</f>
        <v/>
      </c>
      <c r="J950" t="str">
        <f>IF($A950="","",IF($D950="V01",cad!$C$33,IF($D950="V02",cad!$D$33,cad!$E$33)))</f>
        <v/>
      </c>
      <c r="K950" t="str">
        <f>IF($A950="","",IF($D950="V01",cad!$C$34,IF($D950="V02",cad!$D$34,cad!$E$34)))</f>
        <v/>
      </c>
      <c r="L950" t="str">
        <f>IF($A950="","",IF($D950="V01",cad!$C$35,IF($D950="V02",cad!$D$35,cad!$E$35)))</f>
        <v/>
      </c>
      <c r="M950" t="str">
        <f>IF($A950="","",IF($D950="V01",cad!$C$36,IF($D950="V02",cad!$D$36,cad!$E$36)))</f>
        <v/>
      </c>
      <c r="N950" t="str">
        <f t="shared" si="57"/>
        <v/>
      </c>
      <c r="O950" t="str">
        <f t="shared" si="58"/>
        <v/>
      </c>
      <c r="P950" t="str">
        <f>IF($A950="","",IF($E950=1,$F950*$O950,PNL!G950))</f>
        <v/>
      </c>
      <c r="T950" t="str">
        <f t="shared" si="59"/>
        <v/>
      </c>
    </row>
    <row r="951" spans="1:20" x14ac:dyDescent="0.45">
      <c r="A951" t="str">
        <f>IF(PNL!A951="","",PNL!A951)</f>
        <v/>
      </c>
      <c r="B951" t="str">
        <f>IF(PNL!B951="","",PNL!B951)</f>
        <v/>
      </c>
      <c r="C951" t="str">
        <f>IF(PNL!C951="","",PNL!C951)</f>
        <v/>
      </c>
      <c r="D951" t="str">
        <f>IF(PNL!D951="","",PNL!D951)</f>
        <v/>
      </c>
      <c r="E951" t="str">
        <f t="shared" si="56"/>
        <v/>
      </c>
      <c r="F951" t="str">
        <f>IF($A951="","",IF($E951=1,SUMIFS(Compta!$F$1:$F$675,Compta!$A$1:$A$675,$A951,Compta!$B$1:$B$675,$B951,Compta!$C$1:$C$675,"2026"),0))</f>
        <v/>
      </c>
      <c r="G951" t="str">
        <f>IF($A951="","",IF($D951="V01",cad!$C$23,IF($D951="V02",cad!$D$23,cad!$E$23)))</f>
        <v/>
      </c>
      <c r="H951" t="str">
        <f>IF($A951="","",IF($D951="V01",cad!$C$24,IF($D951="V02",cad!$D$24,cad!$E$24)))</f>
        <v/>
      </c>
      <c r="I951" t="str">
        <f>IF($A951="","",IF($D951="V01",cad!$C$32,IF($D951="V02",cad!$D$32,cad!$E$32)))</f>
        <v/>
      </c>
      <c r="J951" t="str">
        <f>IF($A951="","",IF($D951="V01",cad!$C$33,IF($D951="V02",cad!$D$33,cad!$E$33)))</f>
        <v/>
      </c>
      <c r="K951" t="str">
        <f>IF($A951="","",IF($D951="V01",cad!$C$34,IF($D951="V02",cad!$D$34,cad!$E$34)))</f>
        <v/>
      </c>
      <c r="L951" t="str">
        <f>IF($A951="","",IF($D951="V01",cad!$C$35,IF($D951="V02",cad!$D$35,cad!$E$35)))</f>
        <v/>
      </c>
      <c r="M951" t="str">
        <f>IF($A951="","",IF($D951="V01",cad!$C$36,IF($D951="V02",cad!$D$36,cad!$E$36)))</f>
        <v/>
      </c>
      <c r="N951" t="str">
        <f t="shared" si="57"/>
        <v/>
      </c>
      <c r="O951" t="str">
        <f t="shared" si="58"/>
        <v/>
      </c>
      <c r="P951" t="str">
        <f>IF($A951="","",IF($E951=1,$F951*$O951,PNL!G951))</f>
        <v/>
      </c>
      <c r="T951" t="str">
        <f t="shared" si="59"/>
        <v/>
      </c>
    </row>
    <row r="952" spans="1:20" x14ac:dyDescent="0.45">
      <c r="A952" t="str">
        <f>IF(PNL!A952="","",PNL!A952)</f>
        <v/>
      </c>
      <c r="B952" t="str">
        <f>IF(PNL!B952="","",PNL!B952)</f>
        <v/>
      </c>
      <c r="C952" t="str">
        <f>IF(PNL!C952="","",PNL!C952)</f>
        <v/>
      </c>
      <c r="D952" t="str">
        <f>IF(PNL!D952="","",PNL!D952)</f>
        <v/>
      </c>
      <c r="E952" t="str">
        <f t="shared" si="56"/>
        <v/>
      </c>
      <c r="F952" t="str">
        <f>IF($A952="","",IF($E952=1,SUMIFS(Compta!$F$1:$F$675,Compta!$A$1:$A$675,$A952,Compta!$B$1:$B$675,$B952,Compta!$C$1:$C$675,"2026"),0))</f>
        <v/>
      </c>
      <c r="G952" t="str">
        <f>IF($A952="","",IF($D952="V01",cad!$C$23,IF($D952="V02",cad!$D$23,cad!$E$23)))</f>
        <v/>
      </c>
      <c r="H952" t="str">
        <f>IF($A952="","",IF($D952="V01",cad!$C$24,IF($D952="V02",cad!$D$24,cad!$E$24)))</f>
        <v/>
      </c>
      <c r="I952" t="str">
        <f>IF($A952="","",IF($D952="V01",cad!$C$32,IF($D952="V02",cad!$D$32,cad!$E$32)))</f>
        <v/>
      </c>
      <c r="J952" t="str">
        <f>IF($A952="","",IF($D952="V01",cad!$C$33,IF($D952="V02",cad!$D$33,cad!$E$33)))</f>
        <v/>
      </c>
      <c r="K952" t="str">
        <f>IF($A952="","",IF($D952="V01",cad!$C$34,IF($D952="V02",cad!$D$34,cad!$E$34)))</f>
        <v/>
      </c>
      <c r="L952" t="str">
        <f>IF($A952="","",IF($D952="V01",cad!$C$35,IF($D952="V02",cad!$D$35,cad!$E$35)))</f>
        <v/>
      </c>
      <c r="M952" t="str">
        <f>IF($A952="","",IF($D952="V01",cad!$C$36,IF($D952="V02",cad!$D$36,cad!$E$36)))</f>
        <v/>
      </c>
      <c r="N952" t="str">
        <f t="shared" si="57"/>
        <v/>
      </c>
      <c r="O952" t="str">
        <f t="shared" si="58"/>
        <v/>
      </c>
      <c r="P952" t="str">
        <f>IF($A952="","",IF($E952=1,$F952*$O952,PNL!G952))</f>
        <v/>
      </c>
      <c r="T952" t="str">
        <f t="shared" si="59"/>
        <v/>
      </c>
    </row>
    <row r="953" spans="1:20" x14ac:dyDescent="0.45">
      <c r="A953" t="str">
        <f>IF(PNL!A953="","",PNL!A953)</f>
        <v/>
      </c>
      <c r="B953" t="str">
        <f>IF(PNL!B953="","",PNL!B953)</f>
        <v/>
      </c>
      <c r="C953" t="str">
        <f>IF(PNL!C953="","",PNL!C953)</f>
        <v/>
      </c>
      <c r="D953" t="str">
        <f>IF(PNL!D953="","",PNL!D953)</f>
        <v/>
      </c>
      <c r="E953" t="str">
        <f t="shared" si="56"/>
        <v/>
      </c>
      <c r="F953" t="str">
        <f>IF($A953="","",IF($E953=1,SUMIFS(Compta!$F$1:$F$675,Compta!$A$1:$A$675,$A953,Compta!$B$1:$B$675,$B953,Compta!$C$1:$C$675,"2026"),0))</f>
        <v/>
      </c>
      <c r="G953" t="str">
        <f>IF($A953="","",IF($D953="V01",cad!$C$23,IF($D953="V02",cad!$D$23,cad!$E$23)))</f>
        <v/>
      </c>
      <c r="H953" t="str">
        <f>IF($A953="","",IF($D953="V01",cad!$C$24,IF($D953="V02",cad!$D$24,cad!$E$24)))</f>
        <v/>
      </c>
      <c r="I953" t="str">
        <f>IF($A953="","",IF($D953="V01",cad!$C$32,IF($D953="V02",cad!$D$32,cad!$E$32)))</f>
        <v/>
      </c>
      <c r="J953" t="str">
        <f>IF($A953="","",IF($D953="V01",cad!$C$33,IF($D953="V02",cad!$D$33,cad!$E$33)))</f>
        <v/>
      </c>
      <c r="K953" t="str">
        <f>IF($A953="","",IF($D953="V01",cad!$C$34,IF($D953="V02",cad!$D$34,cad!$E$34)))</f>
        <v/>
      </c>
      <c r="L953" t="str">
        <f>IF($A953="","",IF($D953="V01",cad!$C$35,IF($D953="V02",cad!$D$35,cad!$E$35)))</f>
        <v/>
      </c>
      <c r="M953" t="str">
        <f>IF($A953="","",IF($D953="V01",cad!$C$36,IF($D953="V02",cad!$D$36,cad!$E$36)))</f>
        <v/>
      </c>
      <c r="N953" t="str">
        <f t="shared" si="57"/>
        <v/>
      </c>
      <c r="O953" t="str">
        <f t="shared" si="58"/>
        <v/>
      </c>
      <c r="P953" t="str">
        <f>IF($A953="","",IF($E953=1,$F953*$O953,PNL!G953))</f>
        <v/>
      </c>
      <c r="T953" t="str">
        <f t="shared" si="59"/>
        <v/>
      </c>
    </row>
    <row r="954" spans="1:20" x14ac:dyDescent="0.45">
      <c r="A954" t="str">
        <f>IF(PNL!A954="","",PNL!A954)</f>
        <v/>
      </c>
      <c r="B954" t="str">
        <f>IF(PNL!B954="","",PNL!B954)</f>
        <v/>
      </c>
      <c r="C954" t="str">
        <f>IF(PNL!C954="","",PNL!C954)</f>
        <v/>
      </c>
      <c r="D954" t="str">
        <f>IF(PNL!D954="","",PNL!D954)</f>
        <v/>
      </c>
      <c r="E954" t="str">
        <f t="shared" si="56"/>
        <v/>
      </c>
      <c r="F954" t="str">
        <f>IF($A954="","",IF($E954=1,SUMIFS(Compta!$F$1:$F$675,Compta!$A$1:$A$675,$A954,Compta!$B$1:$B$675,$B954,Compta!$C$1:$C$675,"2026"),0))</f>
        <v/>
      </c>
      <c r="G954" t="str">
        <f>IF($A954="","",IF($D954="V01",cad!$C$23,IF($D954="V02",cad!$D$23,cad!$E$23)))</f>
        <v/>
      </c>
      <c r="H954" t="str">
        <f>IF($A954="","",IF($D954="V01",cad!$C$24,IF($D954="V02",cad!$D$24,cad!$E$24)))</f>
        <v/>
      </c>
      <c r="I954" t="str">
        <f>IF($A954="","",IF($D954="V01",cad!$C$32,IF($D954="V02",cad!$D$32,cad!$E$32)))</f>
        <v/>
      </c>
      <c r="J954" t="str">
        <f>IF($A954="","",IF($D954="V01",cad!$C$33,IF($D954="V02",cad!$D$33,cad!$E$33)))</f>
        <v/>
      </c>
      <c r="K954" t="str">
        <f>IF($A954="","",IF($D954="V01",cad!$C$34,IF($D954="V02",cad!$D$34,cad!$E$34)))</f>
        <v/>
      </c>
      <c r="L954" t="str">
        <f>IF($A954="","",IF($D954="V01",cad!$C$35,IF($D954="V02",cad!$D$35,cad!$E$35)))</f>
        <v/>
      </c>
      <c r="M954" t="str">
        <f>IF($A954="","",IF($D954="V01",cad!$C$36,IF($D954="V02",cad!$D$36,cad!$E$36)))</f>
        <v/>
      </c>
      <c r="N954" t="str">
        <f t="shared" si="57"/>
        <v/>
      </c>
      <c r="O954" t="str">
        <f t="shared" si="58"/>
        <v/>
      </c>
      <c r="P954" t="str">
        <f>IF($A954="","",IF($E954=1,$F954*$O954,PNL!G954))</f>
        <v/>
      </c>
      <c r="T954" t="str">
        <f t="shared" si="59"/>
        <v/>
      </c>
    </row>
    <row r="955" spans="1:20" x14ac:dyDescent="0.45">
      <c r="A955" t="str">
        <f>IF(PNL!A955="","",PNL!A955)</f>
        <v/>
      </c>
      <c r="B955" t="str">
        <f>IF(PNL!B955="","",PNL!B955)</f>
        <v/>
      </c>
      <c r="C955" t="str">
        <f>IF(PNL!C955="","",PNL!C955)</f>
        <v/>
      </c>
      <c r="D955" t="str">
        <f>IF(PNL!D955="","",PNL!D955)</f>
        <v/>
      </c>
      <c r="E955" t="str">
        <f t="shared" si="56"/>
        <v/>
      </c>
      <c r="F955" t="str">
        <f>IF($A955="","",IF($E955=1,SUMIFS(Compta!$F$1:$F$675,Compta!$A$1:$A$675,$A955,Compta!$B$1:$B$675,$B955,Compta!$C$1:$C$675,"2026"),0))</f>
        <v/>
      </c>
      <c r="G955" t="str">
        <f>IF($A955="","",IF($D955="V01",cad!$C$23,IF($D955="V02",cad!$D$23,cad!$E$23)))</f>
        <v/>
      </c>
      <c r="H955" t="str">
        <f>IF($A955="","",IF($D955="V01",cad!$C$24,IF($D955="V02",cad!$D$24,cad!$E$24)))</f>
        <v/>
      </c>
      <c r="I955" t="str">
        <f>IF($A955="","",IF($D955="V01",cad!$C$32,IF($D955="V02",cad!$D$32,cad!$E$32)))</f>
        <v/>
      </c>
      <c r="J955" t="str">
        <f>IF($A955="","",IF($D955="V01",cad!$C$33,IF($D955="V02",cad!$D$33,cad!$E$33)))</f>
        <v/>
      </c>
      <c r="K955" t="str">
        <f>IF($A955="","",IF($D955="V01",cad!$C$34,IF($D955="V02",cad!$D$34,cad!$E$34)))</f>
        <v/>
      </c>
      <c r="L955" t="str">
        <f>IF($A955="","",IF($D955="V01",cad!$C$35,IF($D955="V02",cad!$D$35,cad!$E$35)))</f>
        <v/>
      </c>
      <c r="M955" t="str">
        <f>IF($A955="","",IF($D955="V01",cad!$C$36,IF($D955="V02",cad!$D$36,cad!$E$36)))</f>
        <v/>
      </c>
      <c r="N955" t="str">
        <f t="shared" si="57"/>
        <v/>
      </c>
      <c r="O955" t="str">
        <f t="shared" si="58"/>
        <v/>
      </c>
      <c r="P955" t="str">
        <f>IF($A955="","",IF($E955=1,$F955*$O955,PNL!G955))</f>
        <v/>
      </c>
      <c r="T955" t="str">
        <f t="shared" si="59"/>
        <v/>
      </c>
    </row>
    <row r="956" spans="1:20" x14ac:dyDescent="0.45">
      <c r="A956" t="str">
        <f>IF(PNL!A956="","",PNL!A956)</f>
        <v/>
      </c>
      <c r="B956" t="str">
        <f>IF(PNL!B956="","",PNL!B956)</f>
        <v/>
      </c>
      <c r="C956" t="str">
        <f>IF(PNL!C956="","",PNL!C956)</f>
        <v/>
      </c>
      <c r="D956" t="str">
        <f>IF(PNL!D956="","",PNL!D956)</f>
        <v/>
      </c>
      <c r="E956" t="str">
        <f t="shared" si="56"/>
        <v/>
      </c>
      <c r="F956" t="str">
        <f>IF($A956="","",IF($E956=1,SUMIFS(Compta!$F$1:$F$675,Compta!$A$1:$A$675,$A956,Compta!$B$1:$B$675,$B956,Compta!$C$1:$C$675,"2026"),0))</f>
        <v/>
      </c>
      <c r="G956" t="str">
        <f>IF($A956="","",IF($D956="V01",cad!$C$23,IF($D956="V02",cad!$D$23,cad!$E$23)))</f>
        <v/>
      </c>
      <c r="H956" t="str">
        <f>IF($A956="","",IF($D956="V01",cad!$C$24,IF($D956="V02",cad!$D$24,cad!$E$24)))</f>
        <v/>
      </c>
      <c r="I956" t="str">
        <f>IF($A956="","",IF($D956="V01",cad!$C$32,IF($D956="V02",cad!$D$32,cad!$E$32)))</f>
        <v/>
      </c>
      <c r="J956" t="str">
        <f>IF($A956="","",IF($D956="V01",cad!$C$33,IF($D956="V02",cad!$D$33,cad!$E$33)))</f>
        <v/>
      </c>
      <c r="K956" t="str">
        <f>IF($A956="","",IF($D956="V01",cad!$C$34,IF($D956="V02",cad!$D$34,cad!$E$34)))</f>
        <v/>
      </c>
      <c r="L956" t="str">
        <f>IF($A956="","",IF($D956="V01",cad!$C$35,IF($D956="V02",cad!$D$35,cad!$E$35)))</f>
        <v/>
      </c>
      <c r="M956" t="str">
        <f>IF($A956="","",IF($D956="V01",cad!$C$36,IF($D956="V02",cad!$D$36,cad!$E$36)))</f>
        <v/>
      </c>
      <c r="N956" t="str">
        <f t="shared" si="57"/>
        <v/>
      </c>
      <c r="O956" t="str">
        <f t="shared" si="58"/>
        <v/>
      </c>
      <c r="P956" t="str">
        <f>IF($A956="","",IF($E956=1,$F956*$O956,PNL!G956))</f>
        <v/>
      </c>
      <c r="T956" t="str">
        <f t="shared" si="59"/>
        <v/>
      </c>
    </row>
    <row r="957" spans="1:20" x14ac:dyDescent="0.45">
      <c r="A957" t="str">
        <f>IF(PNL!A957="","",PNL!A957)</f>
        <v/>
      </c>
      <c r="B957" t="str">
        <f>IF(PNL!B957="","",PNL!B957)</f>
        <v/>
      </c>
      <c r="C957" t="str">
        <f>IF(PNL!C957="","",PNL!C957)</f>
        <v/>
      </c>
      <c r="D957" t="str">
        <f>IF(PNL!D957="","",PNL!D957)</f>
        <v/>
      </c>
      <c r="E957" t="str">
        <f t="shared" si="56"/>
        <v/>
      </c>
      <c r="F957" t="str">
        <f>IF($A957="","",IF($E957=1,SUMIFS(Compta!$F$1:$F$675,Compta!$A$1:$A$675,$A957,Compta!$B$1:$B$675,$B957,Compta!$C$1:$C$675,"2026"),0))</f>
        <v/>
      </c>
      <c r="G957" t="str">
        <f>IF($A957="","",IF($D957="V01",cad!$C$23,IF($D957="V02",cad!$D$23,cad!$E$23)))</f>
        <v/>
      </c>
      <c r="H957" t="str">
        <f>IF($A957="","",IF($D957="V01",cad!$C$24,IF($D957="V02",cad!$D$24,cad!$E$24)))</f>
        <v/>
      </c>
      <c r="I957" t="str">
        <f>IF($A957="","",IF($D957="V01",cad!$C$32,IF($D957="V02",cad!$D$32,cad!$E$32)))</f>
        <v/>
      </c>
      <c r="J957" t="str">
        <f>IF($A957="","",IF($D957="V01",cad!$C$33,IF($D957="V02",cad!$D$33,cad!$E$33)))</f>
        <v/>
      </c>
      <c r="K957" t="str">
        <f>IF($A957="","",IF($D957="V01",cad!$C$34,IF($D957="V02",cad!$D$34,cad!$E$34)))</f>
        <v/>
      </c>
      <c r="L957" t="str">
        <f>IF($A957="","",IF($D957="V01",cad!$C$35,IF($D957="V02",cad!$D$35,cad!$E$35)))</f>
        <v/>
      </c>
      <c r="M957" t="str">
        <f>IF($A957="","",IF($D957="V01",cad!$C$36,IF($D957="V02",cad!$D$36,cad!$E$36)))</f>
        <v/>
      </c>
      <c r="N957" t="str">
        <f t="shared" si="57"/>
        <v/>
      </c>
      <c r="O957" t="str">
        <f t="shared" si="58"/>
        <v/>
      </c>
      <c r="P957" t="str">
        <f>IF($A957="","",IF($E957=1,$F957*$O957,PNL!G957))</f>
        <v/>
      </c>
      <c r="T957" t="str">
        <f t="shared" si="59"/>
        <v/>
      </c>
    </row>
    <row r="958" spans="1:20" x14ac:dyDescent="0.45">
      <c r="A958" t="str">
        <f>IF(PNL!A958="","",PNL!A958)</f>
        <v/>
      </c>
      <c r="B958" t="str">
        <f>IF(PNL!B958="","",PNL!B958)</f>
        <v/>
      </c>
      <c r="C958" t="str">
        <f>IF(PNL!C958="","",PNL!C958)</f>
        <v/>
      </c>
      <c r="D958" t="str">
        <f>IF(PNL!D958="","",PNL!D958)</f>
        <v/>
      </c>
      <c r="E958" t="str">
        <f t="shared" si="56"/>
        <v/>
      </c>
      <c r="F958" t="str">
        <f>IF($A958="","",IF($E958=1,SUMIFS(Compta!$F$1:$F$675,Compta!$A$1:$A$675,$A958,Compta!$B$1:$B$675,$B958,Compta!$C$1:$C$675,"2026"),0))</f>
        <v/>
      </c>
      <c r="G958" t="str">
        <f>IF($A958="","",IF($D958="V01",cad!$C$23,IF($D958="V02",cad!$D$23,cad!$E$23)))</f>
        <v/>
      </c>
      <c r="H958" t="str">
        <f>IF($A958="","",IF($D958="V01",cad!$C$24,IF($D958="V02",cad!$D$24,cad!$E$24)))</f>
        <v/>
      </c>
      <c r="I958" t="str">
        <f>IF($A958="","",IF($D958="V01",cad!$C$32,IF($D958="V02",cad!$D$32,cad!$E$32)))</f>
        <v/>
      </c>
      <c r="J958" t="str">
        <f>IF($A958="","",IF($D958="V01",cad!$C$33,IF($D958="V02",cad!$D$33,cad!$E$33)))</f>
        <v/>
      </c>
      <c r="K958" t="str">
        <f>IF($A958="","",IF($D958="V01",cad!$C$34,IF($D958="V02",cad!$D$34,cad!$E$34)))</f>
        <v/>
      </c>
      <c r="L958" t="str">
        <f>IF($A958="","",IF($D958="V01",cad!$C$35,IF($D958="V02",cad!$D$35,cad!$E$35)))</f>
        <v/>
      </c>
      <c r="M958" t="str">
        <f>IF($A958="","",IF($D958="V01",cad!$C$36,IF($D958="V02",cad!$D$36,cad!$E$36)))</f>
        <v/>
      </c>
      <c r="N958" t="str">
        <f t="shared" si="57"/>
        <v/>
      </c>
      <c r="O958" t="str">
        <f t="shared" si="58"/>
        <v/>
      </c>
      <c r="P958" t="str">
        <f>IF($A958="","",IF($E958=1,$F958*$O958,PNL!G958))</f>
        <v/>
      </c>
      <c r="T958" t="str">
        <f t="shared" si="59"/>
        <v/>
      </c>
    </row>
    <row r="959" spans="1:20" x14ac:dyDescent="0.45">
      <c r="A959" t="str">
        <f>IF(PNL!A959="","",PNL!A959)</f>
        <v/>
      </c>
      <c r="B959" t="str">
        <f>IF(PNL!B959="","",PNL!B959)</f>
        <v/>
      </c>
      <c r="C959" t="str">
        <f>IF(PNL!C959="","",PNL!C959)</f>
        <v/>
      </c>
      <c r="D959" t="str">
        <f>IF(PNL!D959="","",PNL!D959)</f>
        <v/>
      </c>
      <c r="E959" t="str">
        <f t="shared" si="56"/>
        <v/>
      </c>
      <c r="F959" t="str">
        <f>IF($A959="","",IF($E959=1,SUMIFS(Compta!$F$1:$F$675,Compta!$A$1:$A$675,$A959,Compta!$B$1:$B$675,$B959,Compta!$C$1:$C$675,"2026"),0))</f>
        <v/>
      </c>
      <c r="G959" t="str">
        <f>IF($A959="","",IF($D959="V01",cad!$C$23,IF($D959="V02",cad!$D$23,cad!$E$23)))</f>
        <v/>
      </c>
      <c r="H959" t="str">
        <f>IF($A959="","",IF($D959="V01",cad!$C$24,IF($D959="V02",cad!$D$24,cad!$E$24)))</f>
        <v/>
      </c>
      <c r="I959" t="str">
        <f>IF($A959="","",IF($D959="V01",cad!$C$32,IF($D959="V02",cad!$D$32,cad!$E$32)))</f>
        <v/>
      </c>
      <c r="J959" t="str">
        <f>IF($A959="","",IF($D959="V01",cad!$C$33,IF($D959="V02",cad!$D$33,cad!$E$33)))</f>
        <v/>
      </c>
      <c r="K959" t="str">
        <f>IF($A959="","",IF($D959="V01",cad!$C$34,IF($D959="V02",cad!$D$34,cad!$E$34)))</f>
        <v/>
      </c>
      <c r="L959" t="str">
        <f>IF($A959="","",IF($D959="V01",cad!$C$35,IF($D959="V02",cad!$D$35,cad!$E$35)))</f>
        <v/>
      </c>
      <c r="M959" t="str">
        <f>IF($A959="","",IF($D959="V01",cad!$C$36,IF($D959="V02",cad!$D$36,cad!$E$36)))</f>
        <v/>
      </c>
      <c r="N959" t="str">
        <f t="shared" si="57"/>
        <v/>
      </c>
      <c r="O959" t="str">
        <f t="shared" si="58"/>
        <v/>
      </c>
      <c r="P959" t="str">
        <f>IF($A959="","",IF($E959=1,$F959*$O959,PNL!G959))</f>
        <v/>
      </c>
      <c r="T959" t="str">
        <f t="shared" si="59"/>
        <v/>
      </c>
    </row>
    <row r="960" spans="1:20" x14ac:dyDescent="0.45">
      <c r="A960" t="str">
        <f>IF(PNL!A960="","",PNL!A960)</f>
        <v/>
      </c>
      <c r="B960" t="str">
        <f>IF(PNL!B960="","",PNL!B960)</f>
        <v/>
      </c>
      <c r="C960" t="str">
        <f>IF(PNL!C960="","",PNL!C960)</f>
        <v/>
      </c>
      <c r="D960" t="str">
        <f>IF(PNL!D960="","",PNL!D960)</f>
        <v/>
      </c>
      <c r="E960" t="str">
        <f t="shared" si="56"/>
        <v/>
      </c>
      <c r="F960" t="str">
        <f>IF($A960="","",IF($E960=1,SUMIFS(Compta!$F$1:$F$675,Compta!$A$1:$A$675,$A960,Compta!$B$1:$B$675,$B960,Compta!$C$1:$C$675,"2026"),0))</f>
        <v/>
      </c>
      <c r="G960" t="str">
        <f>IF($A960="","",IF($D960="V01",cad!$C$23,IF($D960="V02",cad!$D$23,cad!$E$23)))</f>
        <v/>
      </c>
      <c r="H960" t="str">
        <f>IF($A960="","",IF($D960="V01",cad!$C$24,IF($D960="V02",cad!$D$24,cad!$E$24)))</f>
        <v/>
      </c>
      <c r="I960" t="str">
        <f>IF($A960="","",IF($D960="V01",cad!$C$32,IF($D960="V02",cad!$D$32,cad!$E$32)))</f>
        <v/>
      </c>
      <c r="J960" t="str">
        <f>IF($A960="","",IF($D960="V01",cad!$C$33,IF($D960="V02",cad!$D$33,cad!$E$33)))</f>
        <v/>
      </c>
      <c r="K960" t="str">
        <f>IF($A960="","",IF($D960="V01",cad!$C$34,IF($D960="V02",cad!$D$34,cad!$E$34)))</f>
        <v/>
      </c>
      <c r="L960" t="str">
        <f>IF($A960="","",IF($D960="V01",cad!$C$35,IF($D960="V02",cad!$D$35,cad!$E$35)))</f>
        <v/>
      </c>
      <c r="M960" t="str">
        <f>IF($A960="","",IF($D960="V01",cad!$C$36,IF($D960="V02",cad!$D$36,cad!$E$36)))</f>
        <v/>
      </c>
      <c r="N960" t="str">
        <f t="shared" si="57"/>
        <v/>
      </c>
      <c r="O960" t="str">
        <f t="shared" si="58"/>
        <v/>
      </c>
      <c r="P960" t="str">
        <f>IF($A960="","",IF($E960=1,$F960*$O960,PNL!G960))</f>
        <v/>
      </c>
      <c r="T960" t="str">
        <f t="shared" si="59"/>
        <v/>
      </c>
    </row>
    <row r="961" spans="1:20" x14ac:dyDescent="0.45">
      <c r="A961" t="str">
        <f>IF(PNL!A961="","",PNL!A961)</f>
        <v/>
      </c>
      <c r="B961" t="str">
        <f>IF(PNL!B961="","",PNL!B961)</f>
        <v/>
      </c>
      <c r="C961" t="str">
        <f>IF(PNL!C961="","",PNL!C961)</f>
        <v/>
      </c>
      <c r="D961" t="str">
        <f>IF(PNL!D961="","",PNL!D961)</f>
        <v/>
      </c>
      <c r="E961" t="str">
        <f t="shared" si="56"/>
        <v/>
      </c>
      <c r="F961" t="str">
        <f>IF($A961="","",IF($E961=1,SUMIFS(Compta!$F$1:$F$675,Compta!$A$1:$A$675,$A961,Compta!$B$1:$B$675,$B961,Compta!$C$1:$C$675,"2026"),0))</f>
        <v/>
      </c>
      <c r="G961" t="str">
        <f>IF($A961="","",IF($D961="V01",cad!$C$23,IF($D961="V02",cad!$D$23,cad!$E$23)))</f>
        <v/>
      </c>
      <c r="H961" t="str">
        <f>IF($A961="","",IF($D961="V01",cad!$C$24,IF($D961="V02",cad!$D$24,cad!$E$24)))</f>
        <v/>
      </c>
      <c r="I961" t="str">
        <f>IF($A961="","",IF($D961="V01",cad!$C$32,IF($D961="V02",cad!$D$32,cad!$E$32)))</f>
        <v/>
      </c>
      <c r="J961" t="str">
        <f>IF($A961="","",IF($D961="V01",cad!$C$33,IF($D961="V02",cad!$D$33,cad!$E$33)))</f>
        <v/>
      </c>
      <c r="K961" t="str">
        <f>IF($A961="","",IF($D961="V01",cad!$C$34,IF($D961="V02",cad!$D$34,cad!$E$34)))</f>
        <v/>
      </c>
      <c r="L961" t="str">
        <f>IF($A961="","",IF($D961="V01",cad!$C$35,IF($D961="V02",cad!$D$35,cad!$E$35)))</f>
        <v/>
      </c>
      <c r="M961" t="str">
        <f>IF($A961="","",IF($D961="V01",cad!$C$36,IF($D961="V02",cad!$D$36,cad!$E$36)))</f>
        <v/>
      </c>
      <c r="N961" t="str">
        <f t="shared" si="57"/>
        <v/>
      </c>
      <c r="O961" t="str">
        <f t="shared" si="58"/>
        <v/>
      </c>
      <c r="P961" t="str">
        <f>IF($A961="","",IF($E961=1,$F961*$O961,PNL!G961))</f>
        <v/>
      </c>
      <c r="T961" t="str">
        <f t="shared" si="59"/>
        <v/>
      </c>
    </row>
    <row r="962" spans="1:20" x14ac:dyDescent="0.45">
      <c r="A962" t="str">
        <f>IF(PNL!A962="","",PNL!A962)</f>
        <v/>
      </c>
      <c r="B962" t="str">
        <f>IF(PNL!B962="","",PNL!B962)</f>
        <v/>
      </c>
      <c r="C962" t="str">
        <f>IF(PNL!C962="","",PNL!C962)</f>
        <v/>
      </c>
      <c r="D962" t="str">
        <f>IF(PNL!D962="","",PNL!D962)</f>
        <v/>
      </c>
      <c r="E962" t="str">
        <f t="shared" ref="E962:E1025" si="60">IF($A962="","",IF(AND($C962="2027",OR($D962="V01",$D962="V02",$D962="V03")),1,0))</f>
        <v/>
      </c>
      <c r="F962" t="str">
        <f>IF($A962="","",IF($E962=1,SUMIFS(Compta!$F$1:$F$675,Compta!$A$1:$A$675,$A962,Compta!$B$1:$B$675,$B962,Compta!$C$1:$C$675,"2026"),0))</f>
        <v/>
      </c>
      <c r="G962" t="str">
        <f>IF($A962="","",IF($D962="V01",cad!$C$23,IF($D962="V02",cad!$D$23,cad!$E$23)))</f>
        <v/>
      </c>
      <c r="H962" t="str">
        <f>IF($A962="","",IF($D962="V01",cad!$C$24,IF($D962="V02",cad!$D$24,cad!$E$24)))</f>
        <v/>
      </c>
      <c r="I962" t="str">
        <f>IF($A962="","",IF($D962="V01",cad!$C$32,IF($D962="V02",cad!$D$32,cad!$E$32)))</f>
        <v/>
      </c>
      <c r="J962" t="str">
        <f>IF($A962="","",IF($D962="V01",cad!$C$33,IF($D962="V02",cad!$D$33,cad!$E$33)))</f>
        <v/>
      </c>
      <c r="K962" t="str">
        <f>IF($A962="","",IF($D962="V01",cad!$C$34,IF($D962="V02",cad!$D$34,cad!$E$34)))</f>
        <v/>
      </c>
      <c r="L962" t="str">
        <f>IF($A962="","",IF($D962="V01",cad!$C$35,IF($D962="V02",cad!$D$35,cad!$E$35)))</f>
        <v/>
      </c>
      <c r="M962" t="str">
        <f>IF($A962="","",IF($D962="V01",cad!$C$36,IF($D962="V02",cad!$D$36,cad!$E$36)))</f>
        <v/>
      </c>
      <c r="N962" t="str">
        <f t="shared" ref="N962:N1025" si="61">IF($A962="","",IF($D962="V01",$R$2,IF($D962="V02",$R$3,$R$4)))</f>
        <v/>
      </c>
      <c r="O962" t="str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 t="str">
        <f>IF($A962="","",IF($E962=1,$F962*$O962,PNL!G962))</f>
        <v/>
      </c>
      <c r="T962" t="str">
        <f t="shared" ref="T962:T1025" si="63">IF($A962="","",IF($E962=1,IF(OR($B962="7062",$B962="706",$B962="708"),$P962,IF(AND(LEFT($B962,1)="6",$B962&lt;&gt;"6811"),-$P962,0)),0))</f>
        <v/>
      </c>
    </row>
    <row r="963" spans="1:20" x14ac:dyDescent="0.45">
      <c r="A963" t="str">
        <f>IF(PNL!A963="","",PNL!A963)</f>
        <v/>
      </c>
      <c r="B963" t="str">
        <f>IF(PNL!B963="","",PNL!B963)</f>
        <v/>
      </c>
      <c r="C963" t="str">
        <f>IF(PNL!C963="","",PNL!C963)</f>
        <v/>
      </c>
      <c r="D963" t="str">
        <f>IF(PNL!D963="","",PNL!D963)</f>
        <v/>
      </c>
      <c r="E963" t="str">
        <f t="shared" si="60"/>
        <v/>
      </c>
      <c r="F963" t="str">
        <f>IF($A963="","",IF($E963=1,SUMIFS(Compta!$F$1:$F$675,Compta!$A$1:$A$675,$A963,Compta!$B$1:$B$675,$B963,Compta!$C$1:$C$675,"2026"),0))</f>
        <v/>
      </c>
      <c r="G963" t="str">
        <f>IF($A963="","",IF($D963="V01",cad!$C$23,IF($D963="V02",cad!$D$23,cad!$E$23)))</f>
        <v/>
      </c>
      <c r="H963" t="str">
        <f>IF($A963="","",IF($D963="V01",cad!$C$24,IF($D963="V02",cad!$D$24,cad!$E$24)))</f>
        <v/>
      </c>
      <c r="I963" t="str">
        <f>IF($A963="","",IF($D963="V01",cad!$C$32,IF($D963="V02",cad!$D$32,cad!$E$32)))</f>
        <v/>
      </c>
      <c r="J963" t="str">
        <f>IF($A963="","",IF($D963="V01",cad!$C$33,IF($D963="V02",cad!$D$33,cad!$E$33)))</f>
        <v/>
      </c>
      <c r="K963" t="str">
        <f>IF($A963="","",IF($D963="V01",cad!$C$34,IF($D963="V02",cad!$D$34,cad!$E$34)))</f>
        <v/>
      </c>
      <c r="L963" t="str">
        <f>IF($A963="","",IF($D963="V01",cad!$C$35,IF($D963="V02",cad!$D$35,cad!$E$35)))</f>
        <v/>
      </c>
      <c r="M963" t="str">
        <f>IF($A963="","",IF($D963="V01",cad!$C$36,IF($D963="V02",cad!$D$36,cad!$E$36)))</f>
        <v/>
      </c>
      <c r="N963" t="str">
        <f t="shared" si="61"/>
        <v/>
      </c>
      <c r="O963" t="str">
        <f t="shared" si="62"/>
        <v/>
      </c>
      <c r="P963" t="str">
        <f>IF($A963="","",IF($E963=1,$F963*$O963,PNL!G963))</f>
        <v/>
      </c>
      <c r="T963" t="str">
        <f t="shared" si="63"/>
        <v/>
      </c>
    </row>
    <row r="964" spans="1:20" x14ac:dyDescent="0.45">
      <c r="A964" t="str">
        <f>IF(PNL!A964="","",PNL!A964)</f>
        <v/>
      </c>
      <c r="B964" t="str">
        <f>IF(PNL!B964="","",PNL!B964)</f>
        <v/>
      </c>
      <c r="C964" t="str">
        <f>IF(PNL!C964="","",PNL!C964)</f>
        <v/>
      </c>
      <c r="D964" t="str">
        <f>IF(PNL!D964="","",PNL!D964)</f>
        <v/>
      </c>
      <c r="E964" t="str">
        <f t="shared" si="60"/>
        <v/>
      </c>
      <c r="F964" t="str">
        <f>IF($A964="","",IF($E964=1,SUMIFS(Compta!$F$1:$F$675,Compta!$A$1:$A$675,$A964,Compta!$B$1:$B$675,$B964,Compta!$C$1:$C$675,"2026"),0))</f>
        <v/>
      </c>
      <c r="G964" t="str">
        <f>IF($A964="","",IF($D964="V01",cad!$C$23,IF($D964="V02",cad!$D$23,cad!$E$23)))</f>
        <v/>
      </c>
      <c r="H964" t="str">
        <f>IF($A964="","",IF($D964="V01",cad!$C$24,IF($D964="V02",cad!$D$24,cad!$E$24)))</f>
        <v/>
      </c>
      <c r="I964" t="str">
        <f>IF($A964="","",IF($D964="V01",cad!$C$32,IF($D964="V02",cad!$D$32,cad!$E$32)))</f>
        <v/>
      </c>
      <c r="J964" t="str">
        <f>IF($A964="","",IF($D964="V01",cad!$C$33,IF($D964="V02",cad!$D$33,cad!$E$33)))</f>
        <v/>
      </c>
      <c r="K964" t="str">
        <f>IF($A964="","",IF($D964="V01",cad!$C$34,IF($D964="V02",cad!$D$34,cad!$E$34)))</f>
        <v/>
      </c>
      <c r="L964" t="str">
        <f>IF($A964="","",IF($D964="V01",cad!$C$35,IF($D964="V02",cad!$D$35,cad!$E$35)))</f>
        <v/>
      </c>
      <c r="M964" t="str">
        <f>IF($A964="","",IF($D964="V01",cad!$C$36,IF($D964="V02",cad!$D$36,cad!$E$36)))</f>
        <v/>
      </c>
      <c r="N964" t="str">
        <f t="shared" si="61"/>
        <v/>
      </c>
      <c r="O964" t="str">
        <f t="shared" si="62"/>
        <v/>
      </c>
      <c r="P964" t="str">
        <f>IF($A964="","",IF($E964=1,$F964*$O964,PNL!G964))</f>
        <v/>
      </c>
      <c r="T964" t="str">
        <f t="shared" si="63"/>
        <v/>
      </c>
    </row>
    <row r="965" spans="1:20" x14ac:dyDescent="0.45">
      <c r="A965" t="str">
        <f>IF(PNL!A965="","",PNL!A965)</f>
        <v/>
      </c>
      <c r="B965" t="str">
        <f>IF(PNL!B965="","",PNL!B965)</f>
        <v/>
      </c>
      <c r="C965" t="str">
        <f>IF(PNL!C965="","",PNL!C965)</f>
        <v/>
      </c>
      <c r="D965" t="str">
        <f>IF(PNL!D965="","",PNL!D965)</f>
        <v/>
      </c>
      <c r="E965" t="str">
        <f t="shared" si="60"/>
        <v/>
      </c>
      <c r="F965" t="str">
        <f>IF($A965="","",IF($E965=1,SUMIFS(Compta!$F$1:$F$675,Compta!$A$1:$A$675,$A965,Compta!$B$1:$B$675,$B965,Compta!$C$1:$C$675,"2026"),0))</f>
        <v/>
      </c>
      <c r="G965" t="str">
        <f>IF($A965="","",IF($D965="V01",cad!$C$23,IF($D965="V02",cad!$D$23,cad!$E$23)))</f>
        <v/>
      </c>
      <c r="H965" t="str">
        <f>IF($A965="","",IF($D965="V01",cad!$C$24,IF($D965="V02",cad!$D$24,cad!$E$24)))</f>
        <v/>
      </c>
      <c r="I965" t="str">
        <f>IF($A965="","",IF($D965="V01",cad!$C$32,IF($D965="V02",cad!$D$32,cad!$E$32)))</f>
        <v/>
      </c>
      <c r="J965" t="str">
        <f>IF($A965="","",IF($D965="V01",cad!$C$33,IF($D965="V02",cad!$D$33,cad!$E$33)))</f>
        <v/>
      </c>
      <c r="K965" t="str">
        <f>IF($A965="","",IF($D965="V01",cad!$C$34,IF($D965="V02",cad!$D$34,cad!$E$34)))</f>
        <v/>
      </c>
      <c r="L965" t="str">
        <f>IF($A965="","",IF($D965="V01",cad!$C$35,IF($D965="V02",cad!$D$35,cad!$E$35)))</f>
        <v/>
      </c>
      <c r="M965" t="str">
        <f>IF($A965="","",IF($D965="V01",cad!$C$36,IF($D965="V02",cad!$D$36,cad!$E$36)))</f>
        <v/>
      </c>
      <c r="N965" t="str">
        <f t="shared" si="61"/>
        <v/>
      </c>
      <c r="O965" t="str">
        <f t="shared" si="62"/>
        <v/>
      </c>
      <c r="P965" t="str">
        <f>IF($A965="","",IF($E965=1,$F965*$O965,PNL!G965))</f>
        <v/>
      </c>
      <c r="T965" t="str">
        <f t="shared" si="63"/>
        <v/>
      </c>
    </row>
    <row r="966" spans="1:20" x14ac:dyDescent="0.45">
      <c r="A966" t="str">
        <f>IF(PNL!A966="","",PNL!A966)</f>
        <v/>
      </c>
      <c r="B966" t="str">
        <f>IF(PNL!B966="","",PNL!B966)</f>
        <v/>
      </c>
      <c r="C966" t="str">
        <f>IF(PNL!C966="","",PNL!C966)</f>
        <v/>
      </c>
      <c r="D966" t="str">
        <f>IF(PNL!D966="","",PNL!D966)</f>
        <v/>
      </c>
      <c r="E966" t="str">
        <f t="shared" si="60"/>
        <v/>
      </c>
      <c r="F966" t="str">
        <f>IF($A966="","",IF($E966=1,SUMIFS(Compta!$F$1:$F$675,Compta!$A$1:$A$675,$A966,Compta!$B$1:$B$675,$B966,Compta!$C$1:$C$675,"2026"),0))</f>
        <v/>
      </c>
      <c r="G966" t="str">
        <f>IF($A966="","",IF($D966="V01",cad!$C$23,IF($D966="V02",cad!$D$23,cad!$E$23)))</f>
        <v/>
      </c>
      <c r="H966" t="str">
        <f>IF($A966="","",IF($D966="V01",cad!$C$24,IF($D966="V02",cad!$D$24,cad!$E$24)))</f>
        <v/>
      </c>
      <c r="I966" t="str">
        <f>IF($A966="","",IF($D966="V01",cad!$C$32,IF($D966="V02",cad!$D$32,cad!$E$32)))</f>
        <v/>
      </c>
      <c r="J966" t="str">
        <f>IF($A966="","",IF($D966="V01",cad!$C$33,IF($D966="V02",cad!$D$33,cad!$E$33)))</f>
        <v/>
      </c>
      <c r="K966" t="str">
        <f>IF($A966="","",IF($D966="V01",cad!$C$34,IF($D966="V02",cad!$D$34,cad!$E$34)))</f>
        <v/>
      </c>
      <c r="L966" t="str">
        <f>IF($A966="","",IF($D966="V01",cad!$C$35,IF($D966="V02",cad!$D$35,cad!$E$35)))</f>
        <v/>
      </c>
      <c r="M966" t="str">
        <f>IF($A966="","",IF($D966="V01",cad!$C$36,IF($D966="V02",cad!$D$36,cad!$E$36)))</f>
        <v/>
      </c>
      <c r="N966" t="str">
        <f t="shared" si="61"/>
        <v/>
      </c>
      <c r="O966" t="str">
        <f t="shared" si="62"/>
        <v/>
      </c>
      <c r="P966" t="str">
        <f>IF($A966="","",IF($E966=1,$F966*$O966,PNL!G966))</f>
        <v/>
      </c>
      <c r="T966" t="str">
        <f t="shared" si="63"/>
        <v/>
      </c>
    </row>
    <row r="967" spans="1:20" x14ac:dyDescent="0.45">
      <c r="A967" t="str">
        <f>IF(PNL!A967="","",PNL!A967)</f>
        <v/>
      </c>
      <c r="B967" t="str">
        <f>IF(PNL!B967="","",PNL!B967)</f>
        <v/>
      </c>
      <c r="C967" t="str">
        <f>IF(PNL!C967="","",PNL!C967)</f>
        <v/>
      </c>
      <c r="D967" t="str">
        <f>IF(PNL!D967="","",PNL!D967)</f>
        <v/>
      </c>
      <c r="E967" t="str">
        <f t="shared" si="60"/>
        <v/>
      </c>
      <c r="F967" t="str">
        <f>IF($A967="","",IF($E967=1,SUMIFS(Compta!$F$1:$F$675,Compta!$A$1:$A$675,$A967,Compta!$B$1:$B$675,$B967,Compta!$C$1:$C$675,"2026"),0))</f>
        <v/>
      </c>
      <c r="G967" t="str">
        <f>IF($A967="","",IF($D967="V01",cad!$C$23,IF($D967="V02",cad!$D$23,cad!$E$23)))</f>
        <v/>
      </c>
      <c r="H967" t="str">
        <f>IF($A967="","",IF($D967="V01",cad!$C$24,IF($D967="V02",cad!$D$24,cad!$E$24)))</f>
        <v/>
      </c>
      <c r="I967" t="str">
        <f>IF($A967="","",IF($D967="V01",cad!$C$32,IF($D967="V02",cad!$D$32,cad!$E$32)))</f>
        <v/>
      </c>
      <c r="J967" t="str">
        <f>IF($A967="","",IF($D967="V01",cad!$C$33,IF($D967="V02",cad!$D$33,cad!$E$33)))</f>
        <v/>
      </c>
      <c r="K967" t="str">
        <f>IF($A967="","",IF($D967="V01",cad!$C$34,IF($D967="V02",cad!$D$34,cad!$E$34)))</f>
        <v/>
      </c>
      <c r="L967" t="str">
        <f>IF($A967="","",IF($D967="V01",cad!$C$35,IF($D967="V02",cad!$D$35,cad!$E$35)))</f>
        <v/>
      </c>
      <c r="M967" t="str">
        <f>IF($A967="","",IF($D967="V01",cad!$C$36,IF($D967="V02",cad!$D$36,cad!$E$36)))</f>
        <v/>
      </c>
      <c r="N967" t="str">
        <f t="shared" si="61"/>
        <v/>
      </c>
      <c r="O967" t="str">
        <f t="shared" si="62"/>
        <v/>
      </c>
      <c r="P967" t="str">
        <f>IF($A967="","",IF($E967=1,$F967*$O967,PNL!G967))</f>
        <v/>
      </c>
      <c r="T967" t="str">
        <f t="shared" si="63"/>
        <v/>
      </c>
    </row>
    <row r="968" spans="1:20" x14ac:dyDescent="0.45">
      <c r="A968" t="str">
        <f>IF(PNL!A968="","",PNL!A968)</f>
        <v/>
      </c>
      <c r="B968" t="str">
        <f>IF(PNL!B968="","",PNL!B968)</f>
        <v/>
      </c>
      <c r="C968" t="str">
        <f>IF(PNL!C968="","",PNL!C968)</f>
        <v/>
      </c>
      <c r="D968" t="str">
        <f>IF(PNL!D968="","",PNL!D968)</f>
        <v/>
      </c>
      <c r="E968" t="str">
        <f t="shared" si="60"/>
        <v/>
      </c>
      <c r="F968" t="str">
        <f>IF($A968="","",IF($E968=1,SUMIFS(Compta!$F$1:$F$675,Compta!$A$1:$A$675,$A968,Compta!$B$1:$B$675,$B968,Compta!$C$1:$C$675,"2026"),0))</f>
        <v/>
      </c>
      <c r="G968" t="str">
        <f>IF($A968="","",IF($D968="V01",cad!$C$23,IF($D968="V02",cad!$D$23,cad!$E$23)))</f>
        <v/>
      </c>
      <c r="H968" t="str">
        <f>IF($A968="","",IF($D968="V01",cad!$C$24,IF($D968="V02",cad!$D$24,cad!$E$24)))</f>
        <v/>
      </c>
      <c r="I968" t="str">
        <f>IF($A968="","",IF($D968="V01",cad!$C$32,IF($D968="V02",cad!$D$32,cad!$E$32)))</f>
        <v/>
      </c>
      <c r="J968" t="str">
        <f>IF($A968="","",IF($D968="V01",cad!$C$33,IF($D968="V02",cad!$D$33,cad!$E$33)))</f>
        <v/>
      </c>
      <c r="K968" t="str">
        <f>IF($A968="","",IF($D968="V01",cad!$C$34,IF($D968="V02",cad!$D$34,cad!$E$34)))</f>
        <v/>
      </c>
      <c r="L968" t="str">
        <f>IF($A968="","",IF($D968="V01",cad!$C$35,IF($D968="V02",cad!$D$35,cad!$E$35)))</f>
        <v/>
      </c>
      <c r="M968" t="str">
        <f>IF($A968="","",IF($D968="V01",cad!$C$36,IF($D968="V02",cad!$D$36,cad!$E$36)))</f>
        <v/>
      </c>
      <c r="N968" t="str">
        <f t="shared" si="61"/>
        <v/>
      </c>
      <c r="O968" t="str">
        <f t="shared" si="62"/>
        <v/>
      </c>
      <c r="P968" t="str">
        <f>IF($A968="","",IF($E968=1,$F968*$O968,PNL!G968))</f>
        <v/>
      </c>
      <c r="T968" t="str">
        <f t="shared" si="63"/>
        <v/>
      </c>
    </row>
    <row r="969" spans="1:20" x14ac:dyDescent="0.45">
      <c r="A969" t="str">
        <f>IF(PNL!A969="","",PNL!A969)</f>
        <v/>
      </c>
      <c r="B969" t="str">
        <f>IF(PNL!B969="","",PNL!B969)</f>
        <v/>
      </c>
      <c r="C969" t="str">
        <f>IF(PNL!C969="","",PNL!C969)</f>
        <v/>
      </c>
      <c r="D969" t="str">
        <f>IF(PNL!D969="","",PNL!D969)</f>
        <v/>
      </c>
      <c r="E969" t="str">
        <f t="shared" si="60"/>
        <v/>
      </c>
      <c r="F969" t="str">
        <f>IF($A969="","",IF($E969=1,SUMIFS(Compta!$F$1:$F$675,Compta!$A$1:$A$675,$A969,Compta!$B$1:$B$675,$B969,Compta!$C$1:$C$675,"2026"),0))</f>
        <v/>
      </c>
      <c r="G969" t="str">
        <f>IF($A969="","",IF($D969="V01",cad!$C$23,IF($D969="V02",cad!$D$23,cad!$E$23)))</f>
        <v/>
      </c>
      <c r="H969" t="str">
        <f>IF($A969="","",IF($D969="V01",cad!$C$24,IF($D969="V02",cad!$D$24,cad!$E$24)))</f>
        <v/>
      </c>
      <c r="I969" t="str">
        <f>IF($A969="","",IF($D969="V01",cad!$C$32,IF($D969="V02",cad!$D$32,cad!$E$32)))</f>
        <v/>
      </c>
      <c r="J969" t="str">
        <f>IF($A969="","",IF($D969="V01",cad!$C$33,IF($D969="V02",cad!$D$33,cad!$E$33)))</f>
        <v/>
      </c>
      <c r="K969" t="str">
        <f>IF($A969="","",IF($D969="V01",cad!$C$34,IF($D969="V02",cad!$D$34,cad!$E$34)))</f>
        <v/>
      </c>
      <c r="L969" t="str">
        <f>IF($A969="","",IF($D969="V01",cad!$C$35,IF($D969="V02",cad!$D$35,cad!$E$35)))</f>
        <v/>
      </c>
      <c r="M969" t="str">
        <f>IF($A969="","",IF($D969="V01",cad!$C$36,IF($D969="V02",cad!$D$36,cad!$E$36)))</f>
        <v/>
      </c>
      <c r="N969" t="str">
        <f t="shared" si="61"/>
        <v/>
      </c>
      <c r="O969" t="str">
        <f t="shared" si="62"/>
        <v/>
      </c>
      <c r="P969" t="str">
        <f>IF($A969="","",IF($E969=1,$F969*$O969,PNL!G969))</f>
        <v/>
      </c>
      <c r="T969" t="str">
        <f t="shared" si="63"/>
        <v/>
      </c>
    </row>
    <row r="970" spans="1:20" x14ac:dyDescent="0.45">
      <c r="A970" t="str">
        <f>IF(PNL!A970="","",PNL!A970)</f>
        <v/>
      </c>
      <c r="B970" t="str">
        <f>IF(PNL!B970="","",PNL!B970)</f>
        <v/>
      </c>
      <c r="C970" t="str">
        <f>IF(PNL!C970="","",PNL!C970)</f>
        <v/>
      </c>
      <c r="D970" t="str">
        <f>IF(PNL!D970="","",PNL!D970)</f>
        <v/>
      </c>
      <c r="E970" t="str">
        <f t="shared" si="60"/>
        <v/>
      </c>
      <c r="F970" t="str">
        <f>IF($A970="","",IF($E970=1,SUMIFS(Compta!$F$1:$F$675,Compta!$A$1:$A$675,$A970,Compta!$B$1:$B$675,$B970,Compta!$C$1:$C$675,"2026"),0))</f>
        <v/>
      </c>
      <c r="G970" t="str">
        <f>IF($A970="","",IF($D970="V01",cad!$C$23,IF($D970="V02",cad!$D$23,cad!$E$23)))</f>
        <v/>
      </c>
      <c r="H970" t="str">
        <f>IF($A970="","",IF($D970="V01",cad!$C$24,IF($D970="V02",cad!$D$24,cad!$E$24)))</f>
        <v/>
      </c>
      <c r="I970" t="str">
        <f>IF($A970="","",IF($D970="V01",cad!$C$32,IF($D970="V02",cad!$D$32,cad!$E$32)))</f>
        <v/>
      </c>
      <c r="J970" t="str">
        <f>IF($A970="","",IF($D970="V01",cad!$C$33,IF($D970="V02",cad!$D$33,cad!$E$33)))</f>
        <v/>
      </c>
      <c r="K970" t="str">
        <f>IF($A970="","",IF($D970="V01",cad!$C$34,IF($D970="V02",cad!$D$34,cad!$E$34)))</f>
        <v/>
      </c>
      <c r="L970" t="str">
        <f>IF($A970="","",IF($D970="V01",cad!$C$35,IF($D970="V02",cad!$D$35,cad!$E$35)))</f>
        <v/>
      </c>
      <c r="M970" t="str">
        <f>IF($A970="","",IF($D970="V01",cad!$C$36,IF($D970="V02",cad!$D$36,cad!$E$36)))</f>
        <v/>
      </c>
      <c r="N970" t="str">
        <f t="shared" si="61"/>
        <v/>
      </c>
      <c r="O970" t="str">
        <f t="shared" si="62"/>
        <v/>
      </c>
      <c r="P970" t="str">
        <f>IF($A970="","",IF($E970=1,$F970*$O970,PNL!G970))</f>
        <v/>
      </c>
      <c r="T970" t="str">
        <f t="shared" si="63"/>
        <v/>
      </c>
    </row>
    <row r="971" spans="1:20" x14ac:dyDescent="0.45">
      <c r="A971" t="str">
        <f>IF(PNL!A971="","",PNL!A971)</f>
        <v/>
      </c>
      <c r="B971" t="str">
        <f>IF(PNL!B971="","",PNL!B971)</f>
        <v/>
      </c>
      <c r="C971" t="str">
        <f>IF(PNL!C971="","",PNL!C971)</f>
        <v/>
      </c>
      <c r="D971" t="str">
        <f>IF(PNL!D971="","",PNL!D971)</f>
        <v/>
      </c>
      <c r="E971" t="str">
        <f t="shared" si="60"/>
        <v/>
      </c>
      <c r="F971" t="str">
        <f>IF($A971="","",IF($E971=1,SUMIFS(Compta!$F$1:$F$675,Compta!$A$1:$A$675,$A971,Compta!$B$1:$B$675,$B971,Compta!$C$1:$C$675,"2026"),0))</f>
        <v/>
      </c>
      <c r="G971" t="str">
        <f>IF($A971="","",IF($D971="V01",cad!$C$23,IF($D971="V02",cad!$D$23,cad!$E$23)))</f>
        <v/>
      </c>
      <c r="H971" t="str">
        <f>IF($A971="","",IF($D971="V01",cad!$C$24,IF($D971="V02",cad!$D$24,cad!$E$24)))</f>
        <v/>
      </c>
      <c r="I971" t="str">
        <f>IF($A971="","",IF($D971="V01",cad!$C$32,IF($D971="V02",cad!$D$32,cad!$E$32)))</f>
        <v/>
      </c>
      <c r="J971" t="str">
        <f>IF($A971="","",IF($D971="V01",cad!$C$33,IF($D971="V02",cad!$D$33,cad!$E$33)))</f>
        <v/>
      </c>
      <c r="K971" t="str">
        <f>IF($A971="","",IF($D971="V01",cad!$C$34,IF($D971="V02",cad!$D$34,cad!$E$34)))</f>
        <v/>
      </c>
      <c r="L971" t="str">
        <f>IF($A971="","",IF($D971="V01",cad!$C$35,IF($D971="V02",cad!$D$35,cad!$E$35)))</f>
        <v/>
      </c>
      <c r="M971" t="str">
        <f>IF($A971="","",IF($D971="V01",cad!$C$36,IF($D971="V02",cad!$D$36,cad!$E$36)))</f>
        <v/>
      </c>
      <c r="N971" t="str">
        <f t="shared" si="61"/>
        <v/>
      </c>
      <c r="O971" t="str">
        <f t="shared" si="62"/>
        <v/>
      </c>
      <c r="P971" t="str">
        <f>IF($A971="","",IF($E971=1,$F971*$O971,PNL!G971))</f>
        <v/>
      </c>
      <c r="T971" t="str">
        <f t="shared" si="63"/>
        <v/>
      </c>
    </row>
    <row r="972" spans="1:20" x14ac:dyDescent="0.45">
      <c r="A972" t="str">
        <f>IF(PNL!A972="","",PNL!A972)</f>
        <v/>
      </c>
      <c r="B972" t="str">
        <f>IF(PNL!B972="","",PNL!B972)</f>
        <v/>
      </c>
      <c r="C972" t="str">
        <f>IF(PNL!C972="","",PNL!C972)</f>
        <v/>
      </c>
      <c r="D972" t="str">
        <f>IF(PNL!D972="","",PNL!D972)</f>
        <v/>
      </c>
      <c r="E972" t="str">
        <f t="shared" si="60"/>
        <v/>
      </c>
      <c r="F972" t="str">
        <f>IF($A972="","",IF($E972=1,SUMIFS(Compta!$F$1:$F$675,Compta!$A$1:$A$675,$A972,Compta!$B$1:$B$675,$B972,Compta!$C$1:$C$675,"2026"),0))</f>
        <v/>
      </c>
      <c r="G972" t="str">
        <f>IF($A972="","",IF($D972="V01",cad!$C$23,IF($D972="V02",cad!$D$23,cad!$E$23)))</f>
        <v/>
      </c>
      <c r="H972" t="str">
        <f>IF($A972="","",IF($D972="V01",cad!$C$24,IF($D972="V02",cad!$D$24,cad!$E$24)))</f>
        <v/>
      </c>
      <c r="I972" t="str">
        <f>IF($A972="","",IF($D972="V01",cad!$C$32,IF($D972="V02",cad!$D$32,cad!$E$32)))</f>
        <v/>
      </c>
      <c r="J972" t="str">
        <f>IF($A972="","",IF($D972="V01",cad!$C$33,IF($D972="V02",cad!$D$33,cad!$E$33)))</f>
        <v/>
      </c>
      <c r="K972" t="str">
        <f>IF($A972="","",IF($D972="V01",cad!$C$34,IF($D972="V02",cad!$D$34,cad!$E$34)))</f>
        <v/>
      </c>
      <c r="L972" t="str">
        <f>IF($A972="","",IF($D972="V01",cad!$C$35,IF($D972="V02",cad!$D$35,cad!$E$35)))</f>
        <v/>
      </c>
      <c r="M972" t="str">
        <f>IF($A972="","",IF($D972="V01",cad!$C$36,IF($D972="V02",cad!$D$36,cad!$E$36)))</f>
        <v/>
      </c>
      <c r="N972" t="str">
        <f t="shared" si="61"/>
        <v/>
      </c>
      <c r="O972" t="str">
        <f t="shared" si="62"/>
        <v/>
      </c>
      <c r="P972" t="str">
        <f>IF($A972="","",IF($E972=1,$F972*$O972,PNL!G972))</f>
        <v/>
      </c>
      <c r="T972" t="str">
        <f t="shared" si="63"/>
        <v/>
      </c>
    </row>
    <row r="973" spans="1:20" x14ac:dyDescent="0.45">
      <c r="A973" t="str">
        <f>IF(PNL!A973="","",PNL!A973)</f>
        <v/>
      </c>
      <c r="B973" t="str">
        <f>IF(PNL!B973="","",PNL!B973)</f>
        <v/>
      </c>
      <c r="C973" t="str">
        <f>IF(PNL!C973="","",PNL!C973)</f>
        <v/>
      </c>
      <c r="D973" t="str">
        <f>IF(PNL!D973="","",PNL!D973)</f>
        <v/>
      </c>
      <c r="E973" t="str">
        <f t="shared" si="60"/>
        <v/>
      </c>
      <c r="F973" t="str">
        <f>IF($A973="","",IF($E973=1,SUMIFS(Compta!$F$1:$F$675,Compta!$A$1:$A$675,$A973,Compta!$B$1:$B$675,$B973,Compta!$C$1:$C$675,"2026"),0))</f>
        <v/>
      </c>
      <c r="G973" t="str">
        <f>IF($A973="","",IF($D973="V01",cad!$C$23,IF($D973="V02",cad!$D$23,cad!$E$23)))</f>
        <v/>
      </c>
      <c r="H973" t="str">
        <f>IF($A973="","",IF($D973="V01",cad!$C$24,IF($D973="V02",cad!$D$24,cad!$E$24)))</f>
        <v/>
      </c>
      <c r="I973" t="str">
        <f>IF($A973="","",IF($D973="V01",cad!$C$32,IF($D973="V02",cad!$D$32,cad!$E$32)))</f>
        <v/>
      </c>
      <c r="J973" t="str">
        <f>IF($A973="","",IF($D973="V01",cad!$C$33,IF($D973="V02",cad!$D$33,cad!$E$33)))</f>
        <v/>
      </c>
      <c r="K973" t="str">
        <f>IF($A973="","",IF($D973="V01",cad!$C$34,IF($D973="V02",cad!$D$34,cad!$E$34)))</f>
        <v/>
      </c>
      <c r="L973" t="str">
        <f>IF($A973="","",IF($D973="V01",cad!$C$35,IF($D973="V02",cad!$D$35,cad!$E$35)))</f>
        <v/>
      </c>
      <c r="M973" t="str">
        <f>IF($A973="","",IF($D973="V01",cad!$C$36,IF($D973="V02",cad!$D$36,cad!$E$36)))</f>
        <v/>
      </c>
      <c r="N973" t="str">
        <f t="shared" si="61"/>
        <v/>
      </c>
      <c r="O973" t="str">
        <f t="shared" si="62"/>
        <v/>
      </c>
      <c r="P973" t="str">
        <f>IF($A973="","",IF($E973=1,$F973*$O973,PNL!G973))</f>
        <v/>
      </c>
      <c r="T973" t="str">
        <f t="shared" si="63"/>
        <v/>
      </c>
    </row>
    <row r="974" spans="1:20" x14ac:dyDescent="0.45">
      <c r="A974" t="str">
        <f>IF(PNL!A974="","",PNL!A974)</f>
        <v/>
      </c>
      <c r="B974" t="str">
        <f>IF(PNL!B974="","",PNL!B974)</f>
        <v/>
      </c>
      <c r="C974" t="str">
        <f>IF(PNL!C974="","",PNL!C974)</f>
        <v/>
      </c>
      <c r="D974" t="str">
        <f>IF(PNL!D974="","",PNL!D974)</f>
        <v/>
      </c>
      <c r="E974" t="str">
        <f t="shared" si="60"/>
        <v/>
      </c>
      <c r="F974" t="str">
        <f>IF($A974="","",IF($E974=1,SUMIFS(Compta!$F$1:$F$675,Compta!$A$1:$A$675,$A974,Compta!$B$1:$B$675,$B974,Compta!$C$1:$C$675,"2026"),0))</f>
        <v/>
      </c>
      <c r="G974" t="str">
        <f>IF($A974="","",IF($D974="V01",cad!$C$23,IF($D974="V02",cad!$D$23,cad!$E$23)))</f>
        <v/>
      </c>
      <c r="H974" t="str">
        <f>IF($A974="","",IF($D974="V01",cad!$C$24,IF($D974="V02",cad!$D$24,cad!$E$24)))</f>
        <v/>
      </c>
      <c r="I974" t="str">
        <f>IF($A974="","",IF($D974="V01",cad!$C$32,IF($D974="V02",cad!$D$32,cad!$E$32)))</f>
        <v/>
      </c>
      <c r="J974" t="str">
        <f>IF($A974="","",IF($D974="V01",cad!$C$33,IF($D974="V02",cad!$D$33,cad!$E$33)))</f>
        <v/>
      </c>
      <c r="K974" t="str">
        <f>IF($A974="","",IF($D974="V01",cad!$C$34,IF($D974="V02",cad!$D$34,cad!$E$34)))</f>
        <v/>
      </c>
      <c r="L974" t="str">
        <f>IF($A974="","",IF($D974="V01",cad!$C$35,IF($D974="V02",cad!$D$35,cad!$E$35)))</f>
        <v/>
      </c>
      <c r="M974" t="str">
        <f>IF($A974="","",IF($D974="V01",cad!$C$36,IF($D974="V02",cad!$D$36,cad!$E$36)))</f>
        <v/>
      </c>
      <c r="N974" t="str">
        <f t="shared" si="61"/>
        <v/>
      </c>
      <c r="O974" t="str">
        <f t="shared" si="62"/>
        <v/>
      </c>
      <c r="P974" t="str">
        <f>IF($A974="","",IF($E974=1,$F974*$O974,PNL!G974))</f>
        <v/>
      </c>
      <c r="T974" t="str">
        <f t="shared" si="63"/>
        <v/>
      </c>
    </row>
    <row r="975" spans="1:20" x14ac:dyDescent="0.45">
      <c r="A975" t="str">
        <f>IF(PNL!A975="","",PNL!A975)</f>
        <v/>
      </c>
      <c r="B975" t="str">
        <f>IF(PNL!B975="","",PNL!B975)</f>
        <v/>
      </c>
      <c r="C975" t="str">
        <f>IF(PNL!C975="","",PNL!C975)</f>
        <v/>
      </c>
      <c r="D975" t="str">
        <f>IF(PNL!D975="","",PNL!D975)</f>
        <v/>
      </c>
      <c r="E975" t="str">
        <f t="shared" si="60"/>
        <v/>
      </c>
      <c r="F975" t="str">
        <f>IF($A975="","",IF($E975=1,SUMIFS(Compta!$F$1:$F$675,Compta!$A$1:$A$675,$A975,Compta!$B$1:$B$675,$B975,Compta!$C$1:$C$675,"2026"),0))</f>
        <v/>
      </c>
      <c r="G975" t="str">
        <f>IF($A975="","",IF($D975="V01",cad!$C$23,IF($D975="V02",cad!$D$23,cad!$E$23)))</f>
        <v/>
      </c>
      <c r="H975" t="str">
        <f>IF($A975="","",IF($D975="V01",cad!$C$24,IF($D975="V02",cad!$D$24,cad!$E$24)))</f>
        <v/>
      </c>
      <c r="I975" t="str">
        <f>IF($A975="","",IF($D975="V01",cad!$C$32,IF($D975="V02",cad!$D$32,cad!$E$32)))</f>
        <v/>
      </c>
      <c r="J975" t="str">
        <f>IF($A975="","",IF($D975="V01",cad!$C$33,IF($D975="V02",cad!$D$33,cad!$E$33)))</f>
        <v/>
      </c>
      <c r="K975" t="str">
        <f>IF($A975="","",IF($D975="V01",cad!$C$34,IF($D975="V02",cad!$D$34,cad!$E$34)))</f>
        <v/>
      </c>
      <c r="L975" t="str">
        <f>IF($A975="","",IF($D975="V01",cad!$C$35,IF($D975="V02",cad!$D$35,cad!$E$35)))</f>
        <v/>
      </c>
      <c r="M975" t="str">
        <f>IF($A975="","",IF($D975="V01",cad!$C$36,IF($D975="V02",cad!$D$36,cad!$E$36)))</f>
        <v/>
      </c>
      <c r="N975" t="str">
        <f t="shared" si="61"/>
        <v/>
      </c>
      <c r="O975" t="str">
        <f t="shared" si="62"/>
        <v/>
      </c>
      <c r="P975" t="str">
        <f>IF($A975="","",IF($E975=1,$F975*$O975,PNL!G975))</f>
        <v/>
      </c>
      <c r="T975" t="str">
        <f t="shared" si="63"/>
        <v/>
      </c>
    </row>
    <row r="976" spans="1:20" x14ac:dyDescent="0.45">
      <c r="A976" t="str">
        <f>IF(PNL!A976="","",PNL!A976)</f>
        <v/>
      </c>
      <c r="B976" t="str">
        <f>IF(PNL!B976="","",PNL!B976)</f>
        <v/>
      </c>
      <c r="C976" t="str">
        <f>IF(PNL!C976="","",PNL!C976)</f>
        <v/>
      </c>
      <c r="D976" t="str">
        <f>IF(PNL!D976="","",PNL!D976)</f>
        <v/>
      </c>
      <c r="E976" t="str">
        <f t="shared" si="60"/>
        <v/>
      </c>
      <c r="F976" t="str">
        <f>IF($A976="","",IF($E976=1,SUMIFS(Compta!$F$1:$F$675,Compta!$A$1:$A$675,$A976,Compta!$B$1:$B$675,$B976,Compta!$C$1:$C$675,"2026"),0))</f>
        <v/>
      </c>
      <c r="G976" t="str">
        <f>IF($A976="","",IF($D976="V01",cad!$C$23,IF($D976="V02",cad!$D$23,cad!$E$23)))</f>
        <v/>
      </c>
      <c r="H976" t="str">
        <f>IF($A976="","",IF($D976="V01",cad!$C$24,IF($D976="V02",cad!$D$24,cad!$E$24)))</f>
        <v/>
      </c>
      <c r="I976" t="str">
        <f>IF($A976="","",IF($D976="V01",cad!$C$32,IF($D976="V02",cad!$D$32,cad!$E$32)))</f>
        <v/>
      </c>
      <c r="J976" t="str">
        <f>IF($A976="","",IF($D976="V01",cad!$C$33,IF($D976="V02",cad!$D$33,cad!$E$33)))</f>
        <v/>
      </c>
      <c r="K976" t="str">
        <f>IF($A976="","",IF($D976="V01",cad!$C$34,IF($D976="V02",cad!$D$34,cad!$E$34)))</f>
        <v/>
      </c>
      <c r="L976" t="str">
        <f>IF($A976="","",IF($D976="V01",cad!$C$35,IF($D976="V02",cad!$D$35,cad!$E$35)))</f>
        <v/>
      </c>
      <c r="M976" t="str">
        <f>IF($A976="","",IF($D976="V01",cad!$C$36,IF($D976="V02",cad!$D$36,cad!$E$36)))</f>
        <v/>
      </c>
      <c r="N976" t="str">
        <f t="shared" si="61"/>
        <v/>
      </c>
      <c r="O976" t="str">
        <f t="shared" si="62"/>
        <v/>
      </c>
      <c r="P976" t="str">
        <f>IF($A976="","",IF($E976=1,$F976*$O976,PNL!G976))</f>
        <v/>
      </c>
      <c r="T976" t="str">
        <f t="shared" si="63"/>
        <v/>
      </c>
    </row>
    <row r="977" spans="1:20" x14ac:dyDescent="0.45">
      <c r="A977" t="str">
        <f>IF(PNL!A977="","",PNL!A977)</f>
        <v/>
      </c>
      <c r="B977" t="str">
        <f>IF(PNL!B977="","",PNL!B977)</f>
        <v/>
      </c>
      <c r="C977" t="str">
        <f>IF(PNL!C977="","",PNL!C977)</f>
        <v/>
      </c>
      <c r="D977" t="str">
        <f>IF(PNL!D977="","",PNL!D977)</f>
        <v/>
      </c>
      <c r="E977" t="str">
        <f t="shared" si="60"/>
        <v/>
      </c>
      <c r="F977" t="str">
        <f>IF($A977="","",IF($E977=1,SUMIFS(Compta!$F$1:$F$675,Compta!$A$1:$A$675,$A977,Compta!$B$1:$B$675,$B977,Compta!$C$1:$C$675,"2026"),0))</f>
        <v/>
      </c>
      <c r="G977" t="str">
        <f>IF($A977="","",IF($D977="V01",cad!$C$23,IF($D977="V02",cad!$D$23,cad!$E$23)))</f>
        <v/>
      </c>
      <c r="H977" t="str">
        <f>IF($A977="","",IF($D977="V01",cad!$C$24,IF($D977="V02",cad!$D$24,cad!$E$24)))</f>
        <v/>
      </c>
      <c r="I977" t="str">
        <f>IF($A977="","",IF($D977="V01",cad!$C$32,IF($D977="V02",cad!$D$32,cad!$E$32)))</f>
        <v/>
      </c>
      <c r="J977" t="str">
        <f>IF($A977="","",IF($D977="V01",cad!$C$33,IF($D977="V02",cad!$D$33,cad!$E$33)))</f>
        <v/>
      </c>
      <c r="K977" t="str">
        <f>IF($A977="","",IF($D977="V01",cad!$C$34,IF($D977="V02",cad!$D$34,cad!$E$34)))</f>
        <v/>
      </c>
      <c r="L977" t="str">
        <f>IF($A977="","",IF($D977="V01",cad!$C$35,IF($D977="V02",cad!$D$35,cad!$E$35)))</f>
        <v/>
      </c>
      <c r="M977" t="str">
        <f>IF($A977="","",IF($D977="V01",cad!$C$36,IF($D977="V02",cad!$D$36,cad!$E$36)))</f>
        <v/>
      </c>
      <c r="N977" t="str">
        <f t="shared" si="61"/>
        <v/>
      </c>
      <c r="O977" t="str">
        <f t="shared" si="62"/>
        <v/>
      </c>
      <c r="P977" t="str">
        <f>IF($A977="","",IF($E977=1,$F977*$O977,PNL!G977))</f>
        <v/>
      </c>
      <c r="T977" t="str">
        <f t="shared" si="63"/>
        <v/>
      </c>
    </row>
    <row r="978" spans="1:20" x14ac:dyDescent="0.45">
      <c r="A978" t="str">
        <f>IF(PNL!A978="","",PNL!A978)</f>
        <v/>
      </c>
      <c r="B978" t="str">
        <f>IF(PNL!B978="","",PNL!B978)</f>
        <v/>
      </c>
      <c r="C978" t="str">
        <f>IF(PNL!C978="","",PNL!C978)</f>
        <v/>
      </c>
      <c r="D978" t="str">
        <f>IF(PNL!D978="","",PNL!D978)</f>
        <v/>
      </c>
      <c r="E978" t="str">
        <f t="shared" si="60"/>
        <v/>
      </c>
      <c r="F978" t="str">
        <f>IF($A978="","",IF($E978=1,SUMIFS(Compta!$F$1:$F$675,Compta!$A$1:$A$675,$A978,Compta!$B$1:$B$675,$B978,Compta!$C$1:$C$675,"2026"),0))</f>
        <v/>
      </c>
      <c r="G978" t="str">
        <f>IF($A978="","",IF($D978="V01",cad!$C$23,IF($D978="V02",cad!$D$23,cad!$E$23)))</f>
        <v/>
      </c>
      <c r="H978" t="str">
        <f>IF($A978="","",IF($D978="V01",cad!$C$24,IF($D978="V02",cad!$D$24,cad!$E$24)))</f>
        <v/>
      </c>
      <c r="I978" t="str">
        <f>IF($A978="","",IF($D978="V01",cad!$C$32,IF($D978="V02",cad!$D$32,cad!$E$32)))</f>
        <v/>
      </c>
      <c r="J978" t="str">
        <f>IF($A978="","",IF($D978="V01",cad!$C$33,IF($D978="V02",cad!$D$33,cad!$E$33)))</f>
        <v/>
      </c>
      <c r="K978" t="str">
        <f>IF($A978="","",IF($D978="V01",cad!$C$34,IF($D978="V02",cad!$D$34,cad!$E$34)))</f>
        <v/>
      </c>
      <c r="L978" t="str">
        <f>IF($A978="","",IF($D978="V01",cad!$C$35,IF($D978="V02",cad!$D$35,cad!$E$35)))</f>
        <v/>
      </c>
      <c r="M978" t="str">
        <f>IF($A978="","",IF($D978="V01",cad!$C$36,IF($D978="V02",cad!$D$36,cad!$E$36)))</f>
        <v/>
      </c>
      <c r="N978" t="str">
        <f t="shared" si="61"/>
        <v/>
      </c>
      <c r="O978" t="str">
        <f t="shared" si="62"/>
        <v/>
      </c>
      <c r="P978" t="str">
        <f>IF($A978="","",IF($E978=1,$F978*$O978,PNL!G978))</f>
        <v/>
      </c>
      <c r="T978" t="str">
        <f t="shared" si="63"/>
        <v/>
      </c>
    </row>
    <row r="979" spans="1:20" x14ac:dyDescent="0.45">
      <c r="A979" t="str">
        <f>IF(PNL!A979="","",PNL!A979)</f>
        <v/>
      </c>
      <c r="B979" t="str">
        <f>IF(PNL!B979="","",PNL!B979)</f>
        <v/>
      </c>
      <c r="C979" t="str">
        <f>IF(PNL!C979="","",PNL!C979)</f>
        <v/>
      </c>
      <c r="D979" t="str">
        <f>IF(PNL!D979="","",PNL!D979)</f>
        <v/>
      </c>
      <c r="E979" t="str">
        <f t="shared" si="60"/>
        <v/>
      </c>
      <c r="F979" t="str">
        <f>IF($A979="","",IF($E979=1,SUMIFS(Compta!$F$1:$F$675,Compta!$A$1:$A$675,$A979,Compta!$B$1:$B$675,$B979,Compta!$C$1:$C$675,"2026"),0))</f>
        <v/>
      </c>
      <c r="G979" t="str">
        <f>IF($A979="","",IF($D979="V01",cad!$C$23,IF($D979="V02",cad!$D$23,cad!$E$23)))</f>
        <v/>
      </c>
      <c r="H979" t="str">
        <f>IF($A979="","",IF($D979="V01",cad!$C$24,IF($D979="V02",cad!$D$24,cad!$E$24)))</f>
        <v/>
      </c>
      <c r="I979" t="str">
        <f>IF($A979="","",IF($D979="V01",cad!$C$32,IF($D979="V02",cad!$D$32,cad!$E$32)))</f>
        <v/>
      </c>
      <c r="J979" t="str">
        <f>IF($A979="","",IF($D979="V01",cad!$C$33,IF($D979="V02",cad!$D$33,cad!$E$33)))</f>
        <v/>
      </c>
      <c r="K979" t="str">
        <f>IF($A979="","",IF($D979="V01",cad!$C$34,IF($D979="V02",cad!$D$34,cad!$E$34)))</f>
        <v/>
      </c>
      <c r="L979" t="str">
        <f>IF($A979="","",IF($D979="V01",cad!$C$35,IF($D979="V02",cad!$D$35,cad!$E$35)))</f>
        <v/>
      </c>
      <c r="M979" t="str">
        <f>IF($A979="","",IF($D979="V01",cad!$C$36,IF($D979="V02",cad!$D$36,cad!$E$36)))</f>
        <v/>
      </c>
      <c r="N979" t="str">
        <f t="shared" si="61"/>
        <v/>
      </c>
      <c r="O979" t="str">
        <f t="shared" si="62"/>
        <v/>
      </c>
      <c r="P979" t="str">
        <f>IF($A979="","",IF($E979=1,$F979*$O979,PNL!G979))</f>
        <v/>
      </c>
      <c r="T979" t="str">
        <f t="shared" si="63"/>
        <v/>
      </c>
    </row>
    <row r="980" spans="1:20" x14ac:dyDescent="0.45">
      <c r="A980" t="str">
        <f>IF(PNL!A980="","",PNL!A980)</f>
        <v/>
      </c>
      <c r="B980" t="str">
        <f>IF(PNL!B980="","",PNL!B980)</f>
        <v/>
      </c>
      <c r="C980" t="str">
        <f>IF(PNL!C980="","",PNL!C980)</f>
        <v/>
      </c>
      <c r="D980" t="str">
        <f>IF(PNL!D980="","",PNL!D980)</f>
        <v/>
      </c>
      <c r="E980" t="str">
        <f t="shared" si="60"/>
        <v/>
      </c>
      <c r="F980" t="str">
        <f>IF($A980="","",IF($E980=1,SUMIFS(Compta!$F$1:$F$675,Compta!$A$1:$A$675,$A980,Compta!$B$1:$B$675,$B980,Compta!$C$1:$C$675,"2026"),0))</f>
        <v/>
      </c>
      <c r="G980" t="str">
        <f>IF($A980="","",IF($D980="V01",cad!$C$23,IF($D980="V02",cad!$D$23,cad!$E$23)))</f>
        <v/>
      </c>
      <c r="H980" t="str">
        <f>IF($A980="","",IF($D980="V01",cad!$C$24,IF($D980="V02",cad!$D$24,cad!$E$24)))</f>
        <v/>
      </c>
      <c r="I980" t="str">
        <f>IF($A980="","",IF($D980="V01",cad!$C$32,IF($D980="V02",cad!$D$32,cad!$E$32)))</f>
        <v/>
      </c>
      <c r="J980" t="str">
        <f>IF($A980="","",IF($D980="V01",cad!$C$33,IF($D980="V02",cad!$D$33,cad!$E$33)))</f>
        <v/>
      </c>
      <c r="K980" t="str">
        <f>IF($A980="","",IF($D980="V01",cad!$C$34,IF($D980="V02",cad!$D$34,cad!$E$34)))</f>
        <v/>
      </c>
      <c r="L980" t="str">
        <f>IF($A980="","",IF($D980="V01",cad!$C$35,IF($D980="V02",cad!$D$35,cad!$E$35)))</f>
        <v/>
      </c>
      <c r="M980" t="str">
        <f>IF($A980="","",IF($D980="V01",cad!$C$36,IF($D980="V02",cad!$D$36,cad!$E$36)))</f>
        <v/>
      </c>
      <c r="N980" t="str">
        <f t="shared" si="61"/>
        <v/>
      </c>
      <c r="O980" t="str">
        <f t="shared" si="62"/>
        <v/>
      </c>
      <c r="P980" t="str">
        <f>IF($A980="","",IF($E980=1,$F980*$O980,PNL!G980))</f>
        <v/>
      </c>
      <c r="T980" t="str">
        <f t="shared" si="63"/>
        <v/>
      </c>
    </row>
    <row r="981" spans="1:20" x14ac:dyDescent="0.45">
      <c r="A981" t="str">
        <f>IF(PNL!A981="","",PNL!A981)</f>
        <v/>
      </c>
      <c r="B981" t="str">
        <f>IF(PNL!B981="","",PNL!B981)</f>
        <v/>
      </c>
      <c r="C981" t="str">
        <f>IF(PNL!C981="","",PNL!C981)</f>
        <v/>
      </c>
      <c r="D981" t="str">
        <f>IF(PNL!D981="","",PNL!D981)</f>
        <v/>
      </c>
      <c r="E981" t="str">
        <f t="shared" si="60"/>
        <v/>
      </c>
      <c r="F981" t="str">
        <f>IF($A981="","",IF($E981=1,SUMIFS(Compta!$F$1:$F$675,Compta!$A$1:$A$675,$A981,Compta!$B$1:$B$675,$B981,Compta!$C$1:$C$675,"2026"),0))</f>
        <v/>
      </c>
      <c r="G981" t="str">
        <f>IF($A981="","",IF($D981="V01",cad!$C$23,IF($D981="V02",cad!$D$23,cad!$E$23)))</f>
        <v/>
      </c>
      <c r="H981" t="str">
        <f>IF($A981="","",IF($D981="V01",cad!$C$24,IF($D981="V02",cad!$D$24,cad!$E$24)))</f>
        <v/>
      </c>
      <c r="I981" t="str">
        <f>IF($A981="","",IF($D981="V01",cad!$C$32,IF($D981="V02",cad!$D$32,cad!$E$32)))</f>
        <v/>
      </c>
      <c r="J981" t="str">
        <f>IF($A981="","",IF($D981="V01",cad!$C$33,IF($D981="V02",cad!$D$33,cad!$E$33)))</f>
        <v/>
      </c>
      <c r="K981" t="str">
        <f>IF($A981="","",IF($D981="V01",cad!$C$34,IF($D981="V02",cad!$D$34,cad!$E$34)))</f>
        <v/>
      </c>
      <c r="L981" t="str">
        <f>IF($A981="","",IF($D981="V01",cad!$C$35,IF($D981="V02",cad!$D$35,cad!$E$35)))</f>
        <v/>
      </c>
      <c r="M981" t="str">
        <f>IF($A981="","",IF($D981="V01",cad!$C$36,IF($D981="V02",cad!$D$36,cad!$E$36)))</f>
        <v/>
      </c>
      <c r="N981" t="str">
        <f t="shared" si="61"/>
        <v/>
      </c>
      <c r="O981" t="str">
        <f t="shared" si="62"/>
        <v/>
      </c>
      <c r="P981" t="str">
        <f>IF($A981="","",IF($E981=1,$F981*$O981,PNL!G981))</f>
        <v/>
      </c>
      <c r="T981" t="str">
        <f t="shared" si="63"/>
        <v/>
      </c>
    </row>
    <row r="982" spans="1:20" x14ac:dyDescent="0.45">
      <c r="A982" t="str">
        <f>IF(PNL!A982="","",PNL!A982)</f>
        <v/>
      </c>
      <c r="B982" t="str">
        <f>IF(PNL!B982="","",PNL!B982)</f>
        <v/>
      </c>
      <c r="C982" t="str">
        <f>IF(PNL!C982="","",PNL!C982)</f>
        <v/>
      </c>
      <c r="D982" t="str">
        <f>IF(PNL!D982="","",PNL!D982)</f>
        <v/>
      </c>
      <c r="E982" t="str">
        <f t="shared" si="60"/>
        <v/>
      </c>
      <c r="F982" t="str">
        <f>IF($A982="","",IF($E982=1,SUMIFS(Compta!$F$1:$F$675,Compta!$A$1:$A$675,$A982,Compta!$B$1:$B$675,$B982,Compta!$C$1:$C$675,"2026"),0))</f>
        <v/>
      </c>
      <c r="G982" t="str">
        <f>IF($A982="","",IF($D982="V01",cad!$C$23,IF($D982="V02",cad!$D$23,cad!$E$23)))</f>
        <v/>
      </c>
      <c r="H982" t="str">
        <f>IF($A982="","",IF($D982="V01",cad!$C$24,IF($D982="V02",cad!$D$24,cad!$E$24)))</f>
        <v/>
      </c>
      <c r="I982" t="str">
        <f>IF($A982="","",IF($D982="V01",cad!$C$32,IF($D982="V02",cad!$D$32,cad!$E$32)))</f>
        <v/>
      </c>
      <c r="J982" t="str">
        <f>IF($A982="","",IF($D982="V01",cad!$C$33,IF($D982="V02",cad!$D$33,cad!$E$33)))</f>
        <v/>
      </c>
      <c r="K982" t="str">
        <f>IF($A982="","",IF($D982="V01",cad!$C$34,IF($D982="V02",cad!$D$34,cad!$E$34)))</f>
        <v/>
      </c>
      <c r="L982" t="str">
        <f>IF($A982="","",IF($D982="V01",cad!$C$35,IF($D982="V02",cad!$D$35,cad!$E$35)))</f>
        <v/>
      </c>
      <c r="M982" t="str">
        <f>IF($A982="","",IF($D982="V01",cad!$C$36,IF($D982="V02",cad!$D$36,cad!$E$36)))</f>
        <v/>
      </c>
      <c r="N982" t="str">
        <f t="shared" si="61"/>
        <v/>
      </c>
      <c r="O982" t="str">
        <f t="shared" si="62"/>
        <v/>
      </c>
      <c r="P982" t="str">
        <f>IF($A982="","",IF($E982=1,$F982*$O982,PNL!G982))</f>
        <v/>
      </c>
      <c r="T982" t="str">
        <f t="shared" si="63"/>
        <v/>
      </c>
    </row>
    <row r="983" spans="1:20" x14ac:dyDescent="0.45">
      <c r="A983" t="str">
        <f>IF(PNL!A983="","",PNL!A983)</f>
        <v/>
      </c>
      <c r="B983" t="str">
        <f>IF(PNL!B983="","",PNL!B983)</f>
        <v/>
      </c>
      <c r="C983" t="str">
        <f>IF(PNL!C983="","",PNL!C983)</f>
        <v/>
      </c>
      <c r="D983" t="str">
        <f>IF(PNL!D983="","",PNL!D983)</f>
        <v/>
      </c>
      <c r="E983" t="str">
        <f t="shared" si="60"/>
        <v/>
      </c>
      <c r="F983" t="str">
        <f>IF($A983="","",IF($E983=1,SUMIFS(Compta!$F$1:$F$675,Compta!$A$1:$A$675,$A983,Compta!$B$1:$B$675,$B983,Compta!$C$1:$C$675,"2026"),0))</f>
        <v/>
      </c>
      <c r="G983" t="str">
        <f>IF($A983="","",IF($D983="V01",cad!$C$23,IF($D983="V02",cad!$D$23,cad!$E$23)))</f>
        <v/>
      </c>
      <c r="H983" t="str">
        <f>IF($A983="","",IF($D983="V01",cad!$C$24,IF($D983="V02",cad!$D$24,cad!$E$24)))</f>
        <v/>
      </c>
      <c r="I983" t="str">
        <f>IF($A983="","",IF($D983="V01",cad!$C$32,IF($D983="V02",cad!$D$32,cad!$E$32)))</f>
        <v/>
      </c>
      <c r="J983" t="str">
        <f>IF($A983="","",IF($D983="V01",cad!$C$33,IF($D983="V02",cad!$D$33,cad!$E$33)))</f>
        <v/>
      </c>
      <c r="K983" t="str">
        <f>IF($A983="","",IF($D983="V01",cad!$C$34,IF($D983="V02",cad!$D$34,cad!$E$34)))</f>
        <v/>
      </c>
      <c r="L983" t="str">
        <f>IF($A983="","",IF($D983="V01",cad!$C$35,IF($D983="V02",cad!$D$35,cad!$E$35)))</f>
        <v/>
      </c>
      <c r="M983" t="str">
        <f>IF($A983="","",IF($D983="V01",cad!$C$36,IF($D983="V02",cad!$D$36,cad!$E$36)))</f>
        <v/>
      </c>
      <c r="N983" t="str">
        <f t="shared" si="61"/>
        <v/>
      </c>
      <c r="O983" t="str">
        <f t="shared" si="62"/>
        <v/>
      </c>
      <c r="P983" t="str">
        <f>IF($A983="","",IF($E983=1,$F983*$O983,PNL!G983))</f>
        <v/>
      </c>
      <c r="T983" t="str">
        <f t="shared" si="63"/>
        <v/>
      </c>
    </row>
    <row r="984" spans="1:20" x14ac:dyDescent="0.45">
      <c r="A984" t="str">
        <f>IF(PNL!A984="","",PNL!A984)</f>
        <v/>
      </c>
      <c r="B984" t="str">
        <f>IF(PNL!B984="","",PNL!B984)</f>
        <v/>
      </c>
      <c r="C984" t="str">
        <f>IF(PNL!C984="","",PNL!C984)</f>
        <v/>
      </c>
      <c r="D984" t="str">
        <f>IF(PNL!D984="","",PNL!D984)</f>
        <v/>
      </c>
      <c r="E984" t="str">
        <f t="shared" si="60"/>
        <v/>
      </c>
      <c r="F984" t="str">
        <f>IF($A984="","",IF($E984=1,SUMIFS(Compta!$F$1:$F$675,Compta!$A$1:$A$675,$A984,Compta!$B$1:$B$675,$B984,Compta!$C$1:$C$675,"2026"),0))</f>
        <v/>
      </c>
      <c r="G984" t="str">
        <f>IF($A984="","",IF($D984="V01",cad!$C$23,IF($D984="V02",cad!$D$23,cad!$E$23)))</f>
        <v/>
      </c>
      <c r="H984" t="str">
        <f>IF($A984="","",IF($D984="V01",cad!$C$24,IF($D984="V02",cad!$D$24,cad!$E$24)))</f>
        <v/>
      </c>
      <c r="I984" t="str">
        <f>IF($A984="","",IF($D984="V01",cad!$C$32,IF($D984="V02",cad!$D$32,cad!$E$32)))</f>
        <v/>
      </c>
      <c r="J984" t="str">
        <f>IF($A984="","",IF($D984="V01",cad!$C$33,IF($D984="V02",cad!$D$33,cad!$E$33)))</f>
        <v/>
      </c>
      <c r="K984" t="str">
        <f>IF($A984="","",IF($D984="V01",cad!$C$34,IF($D984="V02",cad!$D$34,cad!$E$34)))</f>
        <v/>
      </c>
      <c r="L984" t="str">
        <f>IF($A984="","",IF($D984="V01",cad!$C$35,IF($D984="V02",cad!$D$35,cad!$E$35)))</f>
        <v/>
      </c>
      <c r="M984" t="str">
        <f>IF($A984="","",IF($D984="V01",cad!$C$36,IF($D984="V02",cad!$D$36,cad!$E$36)))</f>
        <v/>
      </c>
      <c r="N984" t="str">
        <f t="shared" si="61"/>
        <v/>
      </c>
      <c r="O984" t="str">
        <f t="shared" si="62"/>
        <v/>
      </c>
      <c r="P984" t="str">
        <f>IF($A984="","",IF($E984=1,$F984*$O984,PNL!G984))</f>
        <v/>
      </c>
      <c r="T984" t="str">
        <f t="shared" si="63"/>
        <v/>
      </c>
    </row>
    <row r="985" spans="1:20" x14ac:dyDescent="0.45">
      <c r="A985" t="str">
        <f>IF(PNL!A985="","",PNL!A985)</f>
        <v/>
      </c>
      <c r="B985" t="str">
        <f>IF(PNL!B985="","",PNL!B985)</f>
        <v/>
      </c>
      <c r="C985" t="str">
        <f>IF(PNL!C985="","",PNL!C985)</f>
        <v/>
      </c>
      <c r="D985" t="str">
        <f>IF(PNL!D985="","",PNL!D985)</f>
        <v/>
      </c>
      <c r="E985" t="str">
        <f t="shared" si="60"/>
        <v/>
      </c>
      <c r="F985" t="str">
        <f>IF($A985="","",IF($E985=1,SUMIFS(Compta!$F$1:$F$675,Compta!$A$1:$A$675,$A985,Compta!$B$1:$B$675,$B985,Compta!$C$1:$C$675,"2026"),0))</f>
        <v/>
      </c>
      <c r="G985" t="str">
        <f>IF($A985="","",IF($D985="V01",cad!$C$23,IF($D985="V02",cad!$D$23,cad!$E$23)))</f>
        <v/>
      </c>
      <c r="H985" t="str">
        <f>IF($A985="","",IF($D985="V01",cad!$C$24,IF($D985="V02",cad!$D$24,cad!$E$24)))</f>
        <v/>
      </c>
      <c r="I985" t="str">
        <f>IF($A985="","",IF($D985="V01",cad!$C$32,IF($D985="V02",cad!$D$32,cad!$E$32)))</f>
        <v/>
      </c>
      <c r="J985" t="str">
        <f>IF($A985="","",IF($D985="V01",cad!$C$33,IF($D985="V02",cad!$D$33,cad!$E$33)))</f>
        <v/>
      </c>
      <c r="K985" t="str">
        <f>IF($A985="","",IF($D985="V01",cad!$C$34,IF($D985="V02",cad!$D$34,cad!$E$34)))</f>
        <v/>
      </c>
      <c r="L985" t="str">
        <f>IF($A985="","",IF($D985="V01",cad!$C$35,IF($D985="V02",cad!$D$35,cad!$E$35)))</f>
        <v/>
      </c>
      <c r="M985" t="str">
        <f>IF($A985="","",IF($D985="V01",cad!$C$36,IF($D985="V02",cad!$D$36,cad!$E$36)))</f>
        <v/>
      </c>
      <c r="N985" t="str">
        <f t="shared" si="61"/>
        <v/>
      </c>
      <c r="O985" t="str">
        <f t="shared" si="62"/>
        <v/>
      </c>
      <c r="P985" t="str">
        <f>IF($A985="","",IF($E985=1,$F985*$O985,PNL!G985))</f>
        <v/>
      </c>
      <c r="T985" t="str">
        <f t="shared" si="63"/>
        <v/>
      </c>
    </row>
    <row r="986" spans="1:20" x14ac:dyDescent="0.45">
      <c r="A986" t="str">
        <f>IF(PNL!A986="","",PNL!A986)</f>
        <v/>
      </c>
      <c r="B986" t="str">
        <f>IF(PNL!B986="","",PNL!B986)</f>
        <v/>
      </c>
      <c r="C986" t="str">
        <f>IF(PNL!C986="","",PNL!C986)</f>
        <v/>
      </c>
      <c r="D986" t="str">
        <f>IF(PNL!D986="","",PNL!D986)</f>
        <v/>
      </c>
      <c r="E986" t="str">
        <f t="shared" si="60"/>
        <v/>
      </c>
      <c r="F986" t="str">
        <f>IF($A986="","",IF($E986=1,SUMIFS(Compta!$F$1:$F$675,Compta!$A$1:$A$675,$A986,Compta!$B$1:$B$675,$B986,Compta!$C$1:$C$675,"2026"),0))</f>
        <v/>
      </c>
      <c r="G986" t="str">
        <f>IF($A986="","",IF($D986="V01",cad!$C$23,IF($D986="V02",cad!$D$23,cad!$E$23)))</f>
        <v/>
      </c>
      <c r="H986" t="str">
        <f>IF($A986="","",IF($D986="V01",cad!$C$24,IF($D986="V02",cad!$D$24,cad!$E$24)))</f>
        <v/>
      </c>
      <c r="I986" t="str">
        <f>IF($A986="","",IF($D986="V01",cad!$C$32,IF($D986="V02",cad!$D$32,cad!$E$32)))</f>
        <v/>
      </c>
      <c r="J986" t="str">
        <f>IF($A986="","",IF($D986="V01",cad!$C$33,IF($D986="V02",cad!$D$33,cad!$E$33)))</f>
        <v/>
      </c>
      <c r="K986" t="str">
        <f>IF($A986="","",IF($D986="V01",cad!$C$34,IF($D986="V02",cad!$D$34,cad!$E$34)))</f>
        <v/>
      </c>
      <c r="L986" t="str">
        <f>IF($A986="","",IF($D986="V01",cad!$C$35,IF($D986="V02",cad!$D$35,cad!$E$35)))</f>
        <v/>
      </c>
      <c r="M986" t="str">
        <f>IF($A986="","",IF($D986="V01",cad!$C$36,IF($D986="V02",cad!$D$36,cad!$E$36)))</f>
        <v/>
      </c>
      <c r="N986" t="str">
        <f t="shared" si="61"/>
        <v/>
      </c>
      <c r="O986" t="str">
        <f t="shared" si="62"/>
        <v/>
      </c>
      <c r="P986" t="str">
        <f>IF($A986="","",IF($E986=1,$F986*$O986,PNL!G986))</f>
        <v/>
      </c>
      <c r="T986" t="str">
        <f t="shared" si="63"/>
        <v/>
      </c>
    </row>
    <row r="987" spans="1:20" x14ac:dyDescent="0.45">
      <c r="A987" t="str">
        <f>IF(PNL!A987="","",PNL!A987)</f>
        <v/>
      </c>
      <c r="B987" t="str">
        <f>IF(PNL!B987="","",PNL!B987)</f>
        <v/>
      </c>
      <c r="C987" t="str">
        <f>IF(PNL!C987="","",PNL!C987)</f>
        <v/>
      </c>
      <c r="D987" t="str">
        <f>IF(PNL!D987="","",PNL!D987)</f>
        <v/>
      </c>
      <c r="E987" t="str">
        <f t="shared" si="60"/>
        <v/>
      </c>
      <c r="F987" t="str">
        <f>IF($A987="","",IF($E987=1,SUMIFS(Compta!$F$1:$F$675,Compta!$A$1:$A$675,$A987,Compta!$B$1:$B$675,$B987,Compta!$C$1:$C$675,"2026"),0))</f>
        <v/>
      </c>
      <c r="G987" t="str">
        <f>IF($A987="","",IF($D987="V01",cad!$C$23,IF($D987="V02",cad!$D$23,cad!$E$23)))</f>
        <v/>
      </c>
      <c r="H987" t="str">
        <f>IF($A987="","",IF($D987="V01",cad!$C$24,IF($D987="V02",cad!$D$24,cad!$E$24)))</f>
        <v/>
      </c>
      <c r="I987" t="str">
        <f>IF($A987="","",IF($D987="V01",cad!$C$32,IF($D987="V02",cad!$D$32,cad!$E$32)))</f>
        <v/>
      </c>
      <c r="J987" t="str">
        <f>IF($A987="","",IF($D987="V01",cad!$C$33,IF($D987="V02",cad!$D$33,cad!$E$33)))</f>
        <v/>
      </c>
      <c r="K987" t="str">
        <f>IF($A987="","",IF($D987="V01",cad!$C$34,IF($D987="V02",cad!$D$34,cad!$E$34)))</f>
        <v/>
      </c>
      <c r="L987" t="str">
        <f>IF($A987="","",IF($D987="V01",cad!$C$35,IF($D987="V02",cad!$D$35,cad!$E$35)))</f>
        <v/>
      </c>
      <c r="M987" t="str">
        <f>IF($A987="","",IF($D987="V01",cad!$C$36,IF($D987="V02",cad!$D$36,cad!$E$36)))</f>
        <v/>
      </c>
      <c r="N987" t="str">
        <f t="shared" si="61"/>
        <v/>
      </c>
      <c r="O987" t="str">
        <f t="shared" si="62"/>
        <v/>
      </c>
      <c r="P987" t="str">
        <f>IF($A987="","",IF($E987=1,$F987*$O987,PNL!G987))</f>
        <v/>
      </c>
      <c r="T987" t="str">
        <f t="shared" si="63"/>
        <v/>
      </c>
    </row>
    <row r="988" spans="1:20" x14ac:dyDescent="0.45">
      <c r="A988" t="str">
        <f>IF(PNL!A988="","",PNL!A988)</f>
        <v/>
      </c>
      <c r="B988" t="str">
        <f>IF(PNL!B988="","",PNL!B988)</f>
        <v/>
      </c>
      <c r="C988" t="str">
        <f>IF(PNL!C988="","",PNL!C988)</f>
        <v/>
      </c>
      <c r="D988" t="str">
        <f>IF(PNL!D988="","",PNL!D988)</f>
        <v/>
      </c>
      <c r="E988" t="str">
        <f t="shared" si="60"/>
        <v/>
      </c>
      <c r="F988" t="str">
        <f>IF($A988="","",IF($E988=1,SUMIFS(Compta!$F$1:$F$675,Compta!$A$1:$A$675,$A988,Compta!$B$1:$B$675,$B988,Compta!$C$1:$C$675,"2026"),0))</f>
        <v/>
      </c>
      <c r="G988" t="str">
        <f>IF($A988="","",IF($D988="V01",cad!$C$23,IF($D988="V02",cad!$D$23,cad!$E$23)))</f>
        <v/>
      </c>
      <c r="H988" t="str">
        <f>IF($A988="","",IF($D988="V01",cad!$C$24,IF($D988="V02",cad!$D$24,cad!$E$24)))</f>
        <v/>
      </c>
      <c r="I988" t="str">
        <f>IF($A988="","",IF($D988="V01",cad!$C$32,IF($D988="V02",cad!$D$32,cad!$E$32)))</f>
        <v/>
      </c>
      <c r="J988" t="str">
        <f>IF($A988="","",IF($D988="V01",cad!$C$33,IF($D988="V02",cad!$D$33,cad!$E$33)))</f>
        <v/>
      </c>
      <c r="K988" t="str">
        <f>IF($A988="","",IF($D988="V01",cad!$C$34,IF($D988="V02",cad!$D$34,cad!$E$34)))</f>
        <v/>
      </c>
      <c r="L988" t="str">
        <f>IF($A988="","",IF($D988="V01",cad!$C$35,IF($D988="V02",cad!$D$35,cad!$E$35)))</f>
        <v/>
      </c>
      <c r="M988" t="str">
        <f>IF($A988="","",IF($D988="V01",cad!$C$36,IF($D988="V02",cad!$D$36,cad!$E$36)))</f>
        <v/>
      </c>
      <c r="N988" t="str">
        <f t="shared" si="61"/>
        <v/>
      </c>
      <c r="O988" t="str">
        <f t="shared" si="62"/>
        <v/>
      </c>
      <c r="P988" t="str">
        <f>IF($A988="","",IF($E988=1,$F988*$O988,PNL!G988))</f>
        <v/>
      </c>
      <c r="T988" t="str">
        <f t="shared" si="63"/>
        <v/>
      </c>
    </row>
    <row r="989" spans="1:20" x14ac:dyDescent="0.45">
      <c r="A989" t="str">
        <f>IF(PNL!A989="","",PNL!A989)</f>
        <v/>
      </c>
      <c r="B989" t="str">
        <f>IF(PNL!B989="","",PNL!B989)</f>
        <v/>
      </c>
      <c r="C989" t="str">
        <f>IF(PNL!C989="","",PNL!C989)</f>
        <v/>
      </c>
      <c r="D989" t="str">
        <f>IF(PNL!D989="","",PNL!D989)</f>
        <v/>
      </c>
      <c r="E989" t="str">
        <f t="shared" si="60"/>
        <v/>
      </c>
      <c r="F989" t="str">
        <f>IF($A989="","",IF($E989=1,SUMIFS(Compta!$F$1:$F$675,Compta!$A$1:$A$675,$A989,Compta!$B$1:$B$675,$B989,Compta!$C$1:$C$675,"2026"),0))</f>
        <v/>
      </c>
      <c r="G989" t="str">
        <f>IF($A989="","",IF($D989="V01",cad!$C$23,IF($D989="V02",cad!$D$23,cad!$E$23)))</f>
        <v/>
      </c>
      <c r="H989" t="str">
        <f>IF($A989="","",IF($D989="V01",cad!$C$24,IF($D989="V02",cad!$D$24,cad!$E$24)))</f>
        <v/>
      </c>
      <c r="I989" t="str">
        <f>IF($A989="","",IF($D989="V01",cad!$C$32,IF($D989="V02",cad!$D$32,cad!$E$32)))</f>
        <v/>
      </c>
      <c r="J989" t="str">
        <f>IF($A989="","",IF($D989="V01",cad!$C$33,IF($D989="V02",cad!$D$33,cad!$E$33)))</f>
        <v/>
      </c>
      <c r="K989" t="str">
        <f>IF($A989="","",IF($D989="V01",cad!$C$34,IF($D989="V02",cad!$D$34,cad!$E$34)))</f>
        <v/>
      </c>
      <c r="L989" t="str">
        <f>IF($A989="","",IF($D989="V01",cad!$C$35,IF($D989="V02",cad!$D$35,cad!$E$35)))</f>
        <v/>
      </c>
      <c r="M989" t="str">
        <f>IF($A989="","",IF($D989="V01",cad!$C$36,IF($D989="V02",cad!$D$36,cad!$E$36)))</f>
        <v/>
      </c>
      <c r="N989" t="str">
        <f t="shared" si="61"/>
        <v/>
      </c>
      <c r="O989" t="str">
        <f t="shared" si="62"/>
        <v/>
      </c>
      <c r="P989" t="str">
        <f>IF($A989="","",IF($E989=1,$F989*$O989,PNL!G989))</f>
        <v/>
      </c>
      <c r="T989" t="str">
        <f t="shared" si="63"/>
        <v/>
      </c>
    </row>
    <row r="990" spans="1:20" x14ac:dyDescent="0.45">
      <c r="A990" t="str">
        <f>IF(PNL!A990="","",PNL!A990)</f>
        <v/>
      </c>
      <c r="B990" t="str">
        <f>IF(PNL!B990="","",PNL!B990)</f>
        <v/>
      </c>
      <c r="C990" t="str">
        <f>IF(PNL!C990="","",PNL!C990)</f>
        <v/>
      </c>
      <c r="D990" t="str">
        <f>IF(PNL!D990="","",PNL!D990)</f>
        <v/>
      </c>
      <c r="E990" t="str">
        <f t="shared" si="60"/>
        <v/>
      </c>
      <c r="F990" t="str">
        <f>IF($A990="","",IF($E990=1,SUMIFS(Compta!$F$1:$F$675,Compta!$A$1:$A$675,$A990,Compta!$B$1:$B$675,$B990,Compta!$C$1:$C$675,"2026"),0))</f>
        <v/>
      </c>
      <c r="G990" t="str">
        <f>IF($A990="","",IF($D990="V01",cad!$C$23,IF($D990="V02",cad!$D$23,cad!$E$23)))</f>
        <v/>
      </c>
      <c r="H990" t="str">
        <f>IF($A990="","",IF($D990="V01",cad!$C$24,IF($D990="V02",cad!$D$24,cad!$E$24)))</f>
        <v/>
      </c>
      <c r="I990" t="str">
        <f>IF($A990="","",IF($D990="V01",cad!$C$32,IF($D990="V02",cad!$D$32,cad!$E$32)))</f>
        <v/>
      </c>
      <c r="J990" t="str">
        <f>IF($A990="","",IF($D990="V01",cad!$C$33,IF($D990="V02",cad!$D$33,cad!$E$33)))</f>
        <v/>
      </c>
      <c r="K990" t="str">
        <f>IF($A990="","",IF($D990="V01",cad!$C$34,IF($D990="V02",cad!$D$34,cad!$E$34)))</f>
        <v/>
      </c>
      <c r="L990" t="str">
        <f>IF($A990="","",IF($D990="V01",cad!$C$35,IF($D990="V02",cad!$D$35,cad!$E$35)))</f>
        <v/>
      </c>
      <c r="M990" t="str">
        <f>IF($A990="","",IF($D990="V01",cad!$C$36,IF($D990="V02",cad!$D$36,cad!$E$36)))</f>
        <v/>
      </c>
      <c r="N990" t="str">
        <f t="shared" si="61"/>
        <v/>
      </c>
      <c r="O990" t="str">
        <f t="shared" si="62"/>
        <v/>
      </c>
      <c r="P990" t="str">
        <f>IF($A990="","",IF($E990=1,$F990*$O990,PNL!G990))</f>
        <v/>
      </c>
      <c r="T990" t="str">
        <f t="shared" si="63"/>
        <v/>
      </c>
    </row>
    <row r="991" spans="1:20" x14ac:dyDescent="0.45">
      <c r="A991" t="str">
        <f>IF(PNL!A991="","",PNL!A991)</f>
        <v/>
      </c>
      <c r="B991" t="str">
        <f>IF(PNL!B991="","",PNL!B991)</f>
        <v/>
      </c>
      <c r="C991" t="str">
        <f>IF(PNL!C991="","",PNL!C991)</f>
        <v/>
      </c>
      <c r="D991" t="str">
        <f>IF(PNL!D991="","",PNL!D991)</f>
        <v/>
      </c>
      <c r="E991" t="str">
        <f t="shared" si="60"/>
        <v/>
      </c>
      <c r="F991" t="str">
        <f>IF($A991="","",IF($E991=1,SUMIFS(Compta!$F$1:$F$675,Compta!$A$1:$A$675,$A991,Compta!$B$1:$B$675,$B991,Compta!$C$1:$C$675,"2026"),0))</f>
        <v/>
      </c>
      <c r="G991" t="str">
        <f>IF($A991="","",IF($D991="V01",cad!$C$23,IF($D991="V02",cad!$D$23,cad!$E$23)))</f>
        <v/>
      </c>
      <c r="H991" t="str">
        <f>IF($A991="","",IF($D991="V01",cad!$C$24,IF($D991="V02",cad!$D$24,cad!$E$24)))</f>
        <v/>
      </c>
      <c r="I991" t="str">
        <f>IF($A991="","",IF($D991="V01",cad!$C$32,IF($D991="V02",cad!$D$32,cad!$E$32)))</f>
        <v/>
      </c>
      <c r="J991" t="str">
        <f>IF($A991="","",IF($D991="V01",cad!$C$33,IF($D991="V02",cad!$D$33,cad!$E$33)))</f>
        <v/>
      </c>
      <c r="K991" t="str">
        <f>IF($A991="","",IF($D991="V01",cad!$C$34,IF($D991="V02",cad!$D$34,cad!$E$34)))</f>
        <v/>
      </c>
      <c r="L991" t="str">
        <f>IF($A991="","",IF($D991="V01",cad!$C$35,IF($D991="V02",cad!$D$35,cad!$E$35)))</f>
        <v/>
      </c>
      <c r="M991" t="str">
        <f>IF($A991="","",IF($D991="V01",cad!$C$36,IF($D991="V02",cad!$D$36,cad!$E$36)))</f>
        <v/>
      </c>
      <c r="N991" t="str">
        <f t="shared" si="61"/>
        <v/>
      </c>
      <c r="O991" t="str">
        <f t="shared" si="62"/>
        <v/>
      </c>
      <c r="P991" t="str">
        <f>IF($A991="","",IF($E991=1,$F991*$O991,PNL!G991))</f>
        <v/>
      </c>
      <c r="T991" t="str">
        <f t="shared" si="63"/>
        <v/>
      </c>
    </row>
    <row r="992" spans="1:20" x14ac:dyDescent="0.45">
      <c r="A992" t="str">
        <f>IF(PNL!A992="","",PNL!A992)</f>
        <v/>
      </c>
      <c r="B992" t="str">
        <f>IF(PNL!B992="","",PNL!B992)</f>
        <v/>
      </c>
      <c r="C992" t="str">
        <f>IF(PNL!C992="","",PNL!C992)</f>
        <v/>
      </c>
      <c r="D992" t="str">
        <f>IF(PNL!D992="","",PNL!D992)</f>
        <v/>
      </c>
      <c r="E992" t="str">
        <f t="shared" si="60"/>
        <v/>
      </c>
      <c r="F992" t="str">
        <f>IF($A992="","",IF($E992=1,SUMIFS(Compta!$F$1:$F$675,Compta!$A$1:$A$675,$A992,Compta!$B$1:$B$675,$B992,Compta!$C$1:$C$675,"2026"),0))</f>
        <v/>
      </c>
      <c r="G992" t="str">
        <f>IF($A992="","",IF($D992="V01",cad!$C$23,IF($D992="V02",cad!$D$23,cad!$E$23)))</f>
        <v/>
      </c>
      <c r="H992" t="str">
        <f>IF($A992="","",IF($D992="V01",cad!$C$24,IF($D992="V02",cad!$D$24,cad!$E$24)))</f>
        <v/>
      </c>
      <c r="I992" t="str">
        <f>IF($A992="","",IF($D992="V01",cad!$C$32,IF($D992="V02",cad!$D$32,cad!$E$32)))</f>
        <v/>
      </c>
      <c r="J992" t="str">
        <f>IF($A992="","",IF($D992="V01",cad!$C$33,IF($D992="V02",cad!$D$33,cad!$E$33)))</f>
        <v/>
      </c>
      <c r="K992" t="str">
        <f>IF($A992="","",IF($D992="V01",cad!$C$34,IF($D992="V02",cad!$D$34,cad!$E$34)))</f>
        <v/>
      </c>
      <c r="L992" t="str">
        <f>IF($A992="","",IF($D992="V01",cad!$C$35,IF($D992="V02",cad!$D$35,cad!$E$35)))</f>
        <v/>
      </c>
      <c r="M992" t="str">
        <f>IF($A992="","",IF($D992="V01",cad!$C$36,IF($D992="V02",cad!$D$36,cad!$E$36)))</f>
        <v/>
      </c>
      <c r="N992" t="str">
        <f t="shared" si="61"/>
        <v/>
      </c>
      <c r="O992" t="str">
        <f t="shared" si="62"/>
        <v/>
      </c>
      <c r="P992" t="str">
        <f>IF($A992="","",IF($E992=1,$F992*$O992,PNL!G992))</f>
        <v/>
      </c>
      <c r="T992" t="str">
        <f t="shared" si="63"/>
        <v/>
      </c>
    </row>
    <row r="993" spans="1:20" x14ac:dyDescent="0.45">
      <c r="A993" t="str">
        <f>IF(PNL!A993="","",PNL!A993)</f>
        <v/>
      </c>
      <c r="B993" t="str">
        <f>IF(PNL!B993="","",PNL!B993)</f>
        <v/>
      </c>
      <c r="C993" t="str">
        <f>IF(PNL!C993="","",PNL!C993)</f>
        <v/>
      </c>
      <c r="D993" t="str">
        <f>IF(PNL!D993="","",PNL!D993)</f>
        <v/>
      </c>
      <c r="E993" t="str">
        <f t="shared" si="60"/>
        <v/>
      </c>
      <c r="F993" t="str">
        <f>IF($A993="","",IF($E993=1,SUMIFS(Compta!$F$1:$F$675,Compta!$A$1:$A$675,$A993,Compta!$B$1:$B$675,$B993,Compta!$C$1:$C$675,"2026"),0))</f>
        <v/>
      </c>
      <c r="G993" t="str">
        <f>IF($A993="","",IF($D993="V01",cad!$C$23,IF($D993="V02",cad!$D$23,cad!$E$23)))</f>
        <v/>
      </c>
      <c r="H993" t="str">
        <f>IF($A993="","",IF($D993="V01",cad!$C$24,IF($D993="V02",cad!$D$24,cad!$E$24)))</f>
        <v/>
      </c>
      <c r="I993" t="str">
        <f>IF($A993="","",IF($D993="V01",cad!$C$32,IF($D993="V02",cad!$D$32,cad!$E$32)))</f>
        <v/>
      </c>
      <c r="J993" t="str">
        <f>IF($A993="","",IF($D993="V01",cad!$C$33,IF($D993="V02",cad!$D$33,cad!$E$33)))</f>
        <v/>
      </c>
      <c r="K993" t="str">
        <f>IF($A993="","",IF($D993="V01",cad!$C$34,IF($D993="V02",cad!$D$34,cad!$E$34)))</f>
        <v/>
      </c>
      <c r="L993" t="str">
        <f>IF($A993="","",IF($D993="V01",cad!$C$35,IF($D993="V02",cad!$D$35,cad!$E$35)))</f>
        <v/>
      </c>
      <c r="M993" t="str">
        <f>IF($A993="","",IF($D993="V01",cad!$C$36,IF($D993="V02",cad!$D$36,cad!$E$36)))</f>
        <v/>
      </c>
      <c r="N993" t="str">
        <f t="shared" si="61"/>
        <v/>
      </c>
      <c r="O993" t="str">
        <f t="shared" si="62"/>
        <v/>
      </c>
      <c r="P993" t="str">
        <f>IF($A993="","",IF($E993=1,$F993*$O993,PNL!G993))</f>
        <v/>
      </c>
      <c r="T993" t="str">
        <f t="shared" si="63"/>
        <v/>
      </c>
    </row>
    <row r="994" spans="1:20" x14ac:dyDescent="0.45">
      <c r="A994" t="str">
        <f>IF(PNL!A994="","",PNL!A994)</f>
        <v/>
      </c>
      <c r="B994" t="str">
        <f>IF(PNL!B994="","",PNL!B994)</f>
        <v/>
      </c>
      <c r="C994" t="str">
        <f>IF(PNL!C994="","",PNL!C994)</f>
        <v/>
      </c>
      <c r="D994" t="str">
        <f>IF(PNL!D994="","",PNL!D994)</f>
        <v/>
      </c>
      <c r="E994" t="str">
        <f t="shared" si="60"/>
        <v/>
      </c>
      <c r="F994" t="str">
        <f>IF($A994="","",IF($E994=1,SUMIFS(Compta!$F$1:$F$675,Compta!$A$1:$A$675,$A994,Compta!$B$1:$B$675,$B994,Compta!$C$1:$C$675,"2026"),0))</f>
        <v/>
      </c>
      <c r="G994" t="str">
        <f>IF($A994="","",IF($D994="V01",cad!$C$23,IF($D994="V02",cad!$D$23,cad!$E$23)))</f>
        <v/>
      </c>
      <c r="H994" t="str">
        <f>IF($A994="","",IF($D994="V01",cad!$C$24,IF($D994="V02",cad!$D$24,cad!$E$24)))</f>
        <v/>
      </c>
      <c r="I994" t="str">
        <f>IF($A994="","",IF($D994="V01",cad!$C$32,IF($D994="V02",cad!$D$32,cad!$E$32)))</f>
        <v/>
      </c>
      <c r="J994" t="str">
        <f>IF($A994="","",IF($D994="V01",cad!$C$33,IF($D994="V02",cad!$D$33,cad!$E$33)))</f>
        <v/>
      </c>
      <c r="K994" t="str">
        <f>IF($A994="","",IF($D994="V01",cad!$C$34,IF($D994="V02",cad!$D$34,cad!$E$34)))</f>
        <v/>
      </c>
      <c r="L994" t="str">
        <f>IF($A994="","",IF($D994="V01",cad!$C$35,IF($D994="V02",cad!$D$35,cad!$E$35)))</f>
        <v/>
      </c>
      <c r="M994" t="str">
        <f>IF($A994="","",IF($D994="V01",cad!$C$36,IF($D994="V02",cad!$D$36,cad!$E$36)))</f>
        <v/>
      </c>
      <c r="N994" t="str">
        <f t="shared" si="61"/>
        <v/>
      </c>
      <c r="O994" t="str">
        <f t="shared" si="62"/>
        <v/>
      </c>
      <c r="P994" t="str">
        <f>IF($A994="","",IF($E994=1,$F994*$O994,PNL!G994))</f>
        <v/>
      </c>
      <c r="T994" t="str">
        <f t="shared" si="63"/>
        <v/>
      </c>
    </row>
    <row r="995" spans="1:20" x14ac:dyDescent="0.45">
      <c r="A995" t="str">
        <f>IF(PNL!A995="","",PNL!A995)</f>
        <v/>
      </c>
      <c r="B995" t="str">
        <f>IF(PNL!B995="","",PNL!B995)</f>
        <v/>
      </c>
      <c r="C995" t="str">
        <f>IF(PNL!C995="","",PNL!C995)</f>
        <v/>
      </c>
      <c r="D995" t="str">
        <f>IF(PNL!D995="","",PNL!D995)</f>
        <v/>
      </c>
      <c r="E995" t="str">
        <f t="shared" si="60"/>
        <v/>
      </c>
      <c r="F995" t="str">
        <f>IF($A995="","",IF($E995=1,SUMIFS(Compta!$F$1:$F$675,Compta!$A$1:$A$675,$A995,Compta!$B$1:$B$675,$B995,Compta!$C$1:$C$675,"2026"),0))</f>
        <v/>
      </c>
      <c r="G995" t="str">
        <f>IF($A995="","",IF($D995="V01",cad!$C$23,IF($D995="V02",cad!$D$23,cad!$E$23)))</f>
        <v/>
      </c>
      <c r="H995" t="str">
        <f>IF($A995="","",IF($D995="V01",cad!$C$24,IF($D995="V02",cad!$D$24,cad!$E$24)))</f>
        <v/>
      </c>
      <c r="I995" t="str">
        <f>IF($A995="","",IF($D995="V01",cad!$C$32,IF($D995="V02",cad!$D$32,cad!$E$32)))</f>
        <v/>
      </c>
      <c r="J995" t="str">
        <f>IF($A995="","",IF($D995="V01",cad!$C$33,IF($D995="V02",cad!$D$33,cad!$E$33)))</f>
        <v/>
      </c>
      <c r="K995" t="str">
        <f>IF($A995="","",IF($D995="V01",cad!$C$34,IF($D995="V02",cad!$D$34,cad!$E$34)))</f>
        <v/>
      </c>
      <c r="L995" t="str">
        <f>IF($A995="","",IF($D995="V01",cad!$C$35,IF($D995="V02",cad!$D$35,cad!$E$35)))</f>
        <v/>
      </c>
      <c r="M995" t="str">
        <f>IF($A995="","",IF($D995="V01",cad!$C$36,IF($D995="V02",cad!$D$36,cad!$E$36)))</f>
        <v/>
      </c>
      <c r="N995" t="str">
        <f t="shared" si="61"/>
        <v/>
      </c>
      <c r="O995" t="str">
        <f t="shared" si="62"/>
        <v/>
      </c>
      <c r="P995" t="str">
        <f>IF($A995="","",IF($E995=1,$F995*$O995,PNL!G995))</f>
        <v/>
      </c>
      <c r="T995" t="str">
        <f t="shared" si="63"/>
        <v/>
      </c>
    </row>
    <row r="996" spans="1:20" x14ac:dyDescent="0.45">
      <c r="A996" t="str">
        <f>IF(PNL!A996="","",PNL!A996)</f>
        <v/>
      </c>
      <c r="B996" t="str">
        <f>IF(PNL!B996="","",PNL!B996)</f>
        <v/>
      </c>
      <c r="C996" t="str">
        <f>IF(PNL!C996="","",PNL!C996)</f>
        <v/>
      </c>
      <c r="D996" t="str">
        <f>IF(PNL!D996="","",PNL!D996)</f>
        <v/>
      </c>
      <c r="E996" t="str">
        <f t="shared" si="60"/>
        <v/>
      </c>
      <c r="F996" t="str">
        <f>IF($A996="","",IF($E996=1,SUMIFS(Compta!$F$1:$F$675,Compta!$A$1:$A$675,$A996,Compta!$B$1:$B$675,$B996,Compta!$C$1:$C$675,"2026"),0))</f>
        <v/>
      </c>
      <c r="G996" t="str">
        <f>IF($A996="","",IF($D996="V01",cad!$C$23,IF($D996="V02",cad!$D$23,cad!$E$23)))</f>
        <v/>
      </c>
      <c r="H996" t="str">
        <f>IF($A996="","",IF($D996="V01",cad!$C$24,IF($D996="V02",cad!$D$24,cad!$E$24)))</f>
        <v/>
      </c>
      <c r="I996" t="str">
        <f>IF($A996="","",IF($D996="V01",cad!$C$32,IF($D996="V02",cad!$D$32,cad!$E$32)))</f>
        <v/>
      </c>
      <c r="J996" t="str">
        <f>IF($A996="","",IF($D996="V01",cad!$C$33,IF($D996="V02",cad!$D$33,cad!$E$33)))</f>
        <v/>
      </c>
      <c r="K996" t="str">
        <f>IF($A996="","",IF($D996="V01",cad!$C$34,IF($D996="V02",cad!$D$34,cad!$E$34)))</f>
        <v/>
      </c>
      <c r="L996" t="str">
        <f>IF($A996="","",IF($D996="V01",cad!$C$35,IF($D996="V02",cad!$D$35,cad!$E$35)))</f>
        <v/>
      </c>
      <c r="M996" t="str">
        <f>IF($A996="","",IF($D996="V01",cad!$C$36,IF($D996="V02",cad!$D$36,cad!$E$36)))</f>
        <v/>
      </c>
      <c r="N996" t="str">
        <f t="shared" si="61"/>
        <v/>
      </c>
      <c r="O996" t="str">
        <f t="shared" si="62"/>
        <v/>
      </c>
      <c r="P996" t="str">
        <f>IF($A996="","",IF($E996=1,$F996*$O996,PNL!G996))</f>
        <v/>
      </c>
      <c r="T996" t="str">
        <f t="shared" si="63"/>
        <v/>
      </c>
    </row>
    <row r="997" spans="1:20" x14ac:dyDescent="0.45">
      <c r="A997" t="str">
        <f>IF(PNL!A997="","",PNL!A997)</f>
        <v/>
      </c>
      <c r="B997" t="str">
        <f>IF(PNL!B997="","",PNL!B997)</f>
        <v/>
      </c>
      <c r="C997" t="str">
        <f>IF(PNL!C997="","",PNL!C997)</f>
        <v/>
      </c>
      <c r="D997" t="str">
        <f>IF(PNL!D997="","",PNL!D997)</f>
        <v/>
      </c>
      <c r="E997" t="str">
        <f t="shared" si="60"/>
        <v/>
      </c>
      <c r="F997" t="str">
        <f>IF($A997="","",IF($E997=1,SUMIFS(Compta!$F$1:$F$675,Compta!$A$1:$A$675,$A997,Compta!$B$1:$B$675,$B997,Compta!$C$1:$C$675,"2026"),0))</f>
        <v/>
      </c>
      <c r="G997" t="str">
        <f>IF($A997="","",IF($D997="V01",cad!$C$23,IF($D997="V02",cad!$D$23,cad!$E$23)))</f>
        <v/>
      </c>
      <c r="H997" t="str">
        <f>IF($A997="","",IF($D997="V01",cad!$C$24,IF($D997="V02",cad!$D$24,cad!$E$24)))</f>
        <v/>
      </c>
      <c r="I997" t="str">
        <f>IF($A997="","",IF($D997="V01",cad!$C$32,IF($D997="V02",cad!$D$32,cad!$E$32)))</f>
        <v/>
      </c>
      <c r="J997" t="str">
        <f>IF($A997="","",IF($D997="V01",cad!$C$33,IF($D997="V02",cad!$D$33,cad!$E$33)))</f>
        <v/>
      </c>
      <c r="K997" t="str">
        <f>IF($A997="","",IF($D997="V01",cad!$C$34,IF($D997="V02",cad!$D$34,cad!$E$34)))</f>
        <v/>
      </c>
      <c r="L997" t="str">
        <f>IF($A997="","",IF($D997="V01",cad!$C$35,IF($D997="V02",cad!$D$35,cad!$E$35)))</f>
        <v/>
      </c>
      <c r="M997" t="str">
        <f>IF($A997="","",IF($D997="V01",cad!$C$36,IF($D997="V02",cad!$D$36,cad!$E$36)))</f>
        <v/>
      </c>
      <c r="N997" t="str">
        <f t="shared" si="61"/>
        <v/>
      </c>
      <c r="O997" t="str">
        <f t="shared" si="62"/>
        <v/>
      </c>
      <c r="P997" t="str">
        <f>IF($A997="","",IF($E997=1,$F997*$O997,PNL!G997))</f>
        <v/>
      </c>
      <c r="T997" t="str">
        <f t="shared" si="63"/>
        <v/>
      </c>
    </row>
    <row r="998" spans="1:20" x14ac:dyDescent="0.45">
      <c r="A998" t="str">
        <f>IF(PNL!A998="","",PNL!A998)</f>
        <v/>
      </c>
      <c r="B998" t="str">
        <f>IF(PNL!B998="","",PNL!B998)</f>
        <v/>
      </c>
      <c r="C998" t="str">
        <f>IF(PNL!C998="","",PNL!C998)</f>
        <v/>
      </c>
      <c r="D998" t="str">
        <f>IF(PNL!D998="","",PNL!D998)</f>
        <v/>
      </c>
      <c r="E998" t="str">
        <f t="shared" si="60"/>
        <v/>
      </c>
      <c r="F998" t="str">
        <f>IF($A998="","",IF($E998=1,SUMIFS(Compta!$F$1:$F$675,Compta!$A$1:$A$675,$A998,Compta!$B$1:$B$675,$B998,Compta!$C$1:$C$675,"2026"),0))</f>
        <v/>
      </c>
      <c r="G998" t="str">
        <f>IF($A998="","",IF($D998="V01",cad!$C$23,IF($D998="V02",cad!$D$23,cad!$E$23)))</f>
        <v/>
      </c>
      <c r="H998" t="str">
        <f>IF($A998="","",IF($D998="V01",cad!$C$24,IF($D998="V02",cad!$D$24,cad!$E$24)))</f>
        <v/>
      </c>
      <c r="I998" t="str">
        <f>IF($A998="","",IF($D998="V01",cad!$C$32,IF($D998="V02",cad!$D$32,cad!$E$32)))</f>
        <v/>
      </c>
      <c r="J998" t="str">
        <f>IF($A998="","",IF($D998="V01",cad!$C$33,IF($D998="V02",cad!$D$33,cad!$E$33)))</f>
        <v/>
      </c>
      <c r="K998" t="str">
        <f>IF($A998="","",IF($D998="V01",cad!$C$34,IF($D998="V02",cad!$D$34,cad!$E$34)))</f>
        <v/>
      </c>
      <c r="L998" t="str">
        <f>IF($A998="","",IF($D998="V01",cad!$C$35,IF($D998="V02",cad!$D$35,cad!$E$35)))</f>
        <v/>
      </c>
      <c r="M998" t="str">
        <f>IF($A998="","",IF($D998="V01",cad!$C$36,IF($D998="V02",cad!$D$36,cad!$E$36)))</f>
        <v/>
      </c>
      <c r="N998" t="str">
        <f t="shared" si="61"/>
        <v/>
      </c>
      <c r="O998" t="str">
        <f t="shared" si="62"/>
        <v/>
      </c>
      <c r="P998" t="str">
        <f>IF($A998="","",IF($E998=1,$F998*$O998,PNL!G998))</f>
        <v/>
      </c>
      <c r="T998" t="str">
        <f t="shared" si="63"/>
        <v/>
      </c>
    </row>
    <row r="999" spans="1:20" x14ac:dyDescent="0.45">
      <c r="A999" t="str">
        <f>IF(PNL!A999="","",PNL!A999)</f>
        <v/>
      </c>
      <c r="B999" t="str">
        <f>IF(PNL!B999="","",PNL!B999)</f>
        <v/>
      </c>
      <c r="C999" t="str">
        <f>IF(PNL!C999="","",PNL!C999)</f>
        <v/>
      </c>
      <c r="D999" t="str">
        <f>IF(PNL!D999="","",PNL!D999)</f>
        <v/>
      </c>
      <c r="E999" t="str">
        <f t="shared" si="60"/>
        <v/>
      </c>
      <c r="F999" t="str">
        <f>IF($A999="","",IF($E999=1,SUMIFS(Compta!$F$1:$F$675,Compta!$A$1:$A$675,$A999,Compta!$B$1:$B$675,$B999,Compta!$C$1:$C$675,"2026"),0))</f>
        <v/>
      </c>
      <c r="G999" t="str">
        <f>IF($A999="","",IF($D999="V01",cad!$C$23,IF($D999="V02",cad!$D$23,cad!$E$23)))</f>
        <v/>
      </c>
      <c r="H999" t="str">
        <f>IF($A999="","",IF($D999="V01",cad!$C$24,IF($D999="V02",cad!$D$24,cad!$E$24)))</f>
        <v/>
      </c>
      <c r="I999" t="str">
        <f>IF($A999="","",IF($D999="V01",cad!$C$32,IF($D999="V02",cad!$D$32,cad!$E$32)))</f>
        <v/>
      </c>
      <c r="J999" t="str">
        <f>IF($A999="","",IF($D999="V01",cad!$C$33,IF($D999="V02",cad!$D$33,cad!$E$33)))</f>
        <v/>
      </c>
      <c r="K999" t="str">
        <f>IF($A999="","",IF($D999="V01",cad!$C$34,IF($D999="V02",cad!$D$34,cad!$E$34)))</f>
        <v/>
      </c>
      <c r="L999" t="str">
        <f>IF($A999="","",IF($D999="V01",cad!$C$35,IF($D999="V02",cad!$D$35,cad!$E$35)))</f>
        <v/>
      </c>
      <c r="M999" t="str">
        <f>IF($A999="","",IF($D999="V01",cad!$C$36,IF($D999="V02",cad!$D$36,cad!$E$36)))</f>
        <v/>
      </c>
      <c r="N999" t="str">
        <f t="shared" si="61"/>
        <v/>
      </c>
      <c r="O999" t="str">
        <f t="shared" si="62"/>
        <v/>
      </c>
      <c r="P999" t="str">
        <f>IF($A999="","",IF($E999=1,$F999*$O999,PNL!G999))</f>
        <v/>
      </c>
      <c r="T999" t="str">
        <f t="shared" si="63"/>
        <v/>
      </c>
    </row>
    <row r="1000" spans="1:20" x14ac:dyDescent="0.45">
      <c r="A1000" t="str">
        <f>IF(PNL!A1000="","",PNL!A1000)</f>
        <v/>
      </c>
      <c r="B1000" t="str">
        <f>IF(PNL!B1000="","",PNL!B1000)</f>
        <v/>
      </c>
      <c r="C1000" t="str">
        <f>IF(PNL!C1000="","",PNL!C1000)</f>
        <v/>
      </c>
      <c r="D1000" t="str">
        <f>IF(PNL!D1000="","",PNL!D1000)</f>
        <v/>
      </c>
      <c r="E1000" t="str">
        <f t="shared" si="60"/>
        <v/>
      </c>
      <c r="F1000" t="str">
        <f>IF($A1000="","",IF($E1000=1,SUMIFS(Compta!$F$1:$F$675,Compta!$A$1:$A$675,$A1000,Compta!$B$1:$B$675,$B1000,Compta!$C$1:$C$675,"2026"),0))</f>
        <v/>
      </c>
      <c r="G1000" t="str">
        <f>IF($A1000="","",IF($D1000="V01",cad!$C$23,IF($D1000="V02",cad!$D$23,cad!$E$23)))</f>
        <v/>
      </c>
      <c r="H1000" t="str">
        <f>IF($A1000="","",IF($D1000="V01",cad!$C$24,IF($D1000="V02",cad!$D$24,cad!$E$24)))</f>
        <v/>
      </c>
      <c r="I1000" t="str">
        <f>IF($A1000="","",IF($D1000="V01",cad!$C$32,IF($D1000="V02",cad!$D$32,cad!$E$32)))</f>
        <v/>
      </c>
      <c r="J1000" t="str">
        <f>IF($A1000="","",IF($D1000="V01",cad!$C$33,IF($D1000="V02",cad!$D$33,cad!$E$33)))</f>
        <v/>
      </c>
      <c r="K1000" t="str">
        <f>IF($A1000="","",IF($D1000="V01",cad!$C$34,IF($D1000="V02",cad!$D$34,cad!$E$34)))</f>
        <v/>
      </c>
      <c r="L1000" t="str">
        <f>IF($A1000="","",IF($D1000="V01",cad!$C$35,IF($D1000="V02",cad!$D$35,cad!$E$35)))</f>
        <v/>
      </c>
      <c r="M1000" t="str">
        <f>IF($A1000="","",IF($D1000="V01",cad!$C$36,IF($D1000="V02",cad!$D$36,cad!$E$36)))</f>
        <v/>
      </c>
      <c r="N1000" t="str">
        <f t="shared" si="61"/>
        <v/>
      </c>
      <c r="O1000" t="str">
        <f t="shared" si="62"/>
        <v/>
      </c>
      <c r="P1000" t="str">
        <f>IF($A1000="","",IF($E1000=1,$F1000*$O1000,PNL!G1000))</f>
        <v/>
      </c>
      <c r="T1000" t="str">
        <f t="shared" si="63"/>
        <v/>
      </c>
    </row>
    <row r="1001" spans="1:20" x14ac:dyDescent="0.45">
      <c r="A1001" t="str">
        <f>IF(PNL!A1001="","",PNL!A1001)</f>
        <v/>
      </c>
      <c r="B1001" t="str">
        <f>IF(PNL!B1001="","",PNL!B1001)</f>
        <v/>
      </c>
      <c r="C1001" t="str">
        <f>IF(PNL!C1001="","",PNL!C1001)</f>
        <v/>
      </c>
      <c r="D1001" t="str">
        <f>IF(PNL!D1001="","",PNL!D1001)</f>
        <v/>
      </c>
      <c r="E1001" t="str">
        <f t="shared" si="60"/>
        <v/>
      </c>
      <c r="F1001" t="str">
        <f>IF($A1001="","",IF($E1001=1,SUMIFS(Compta!$F$1:$F$675,Compta!$A$1:$A$675,$A1001,Compta!$B$1:$B$675,$B1001,Compta!$C$1:$C$675,"2026"),0))</f>
        <v/>
      </c>
      <c r="G1001" t="str">
        <f>IF($A1001="","",IF($D1001="V01",cad!$C$23,IF($D1001="V02",cad!$D$23,cad!$E$23)))</f>
        <v/>
      </c>
      <c r="H1001" t="str">
        <f>IF($A1001="","",IF($D1001="V01",cad!$C$24,IF($D1001="V02",cad!$D$24,cad!$E$24)))</f>
        <v/>
      </c>
      <c r="I1001" t="str">
        <f>IF($A1001="","",IF($D1001="V01",cad!$C$32,IF($D1001="V02",cad!$D$32,cad!$E$32)))</f>
        <v/>
      </c>
      <c r="J1001" t="str">
        <f>IF($A1001="","",IF($D1001="V01",cad!$C$33,IF($D1001="V02",cad!$D$33,cad!$E$33)))</f>
        <v/>
      </c>
      <c r="K1001" t="str">
        <f>IF($A1001="","",IF($D1001="V01",cad!$C$34,IF($D1001="V02",cad!$D$34,cad!$E$34)))</f>
        <v/>
      </c>
      <c r="L1001" t="str">
        <f>IF($A1001="","",IF($D1001="V01",cad!$C$35,IF($D1001="V02",cad!$D$35,cad!$E$35)))</f>
        <v/>
      </c>
      <c r="M1001" t="str">
        <f>IF($A1001="","",IF($D1001="V01",cad!$C$36,IF($D1001="V02",cad!$D$36,cad!$E$36)))</f>
        <v/>
      </c>
      <c r="N1001" t="str">
        <f t="shared" si="61"/>
        <v/>
      </c>
      <c r="O1001" t="str">
        <f t="shared" si="62"/>
        <v/>
      </c>
      <c r="P1001" t="str">
        <f>IF($A1001="","",IF($E1001=1,$F1001*$O1001,PNL!G1001))</f>
        <v/>
      </c>
      <c r="T1001" t="str">
        <f t="shared" si="63"/>
        <v/>
      </c>
    </row>
    <row r="1002" spans="1:20" x14ac:dyDescent="0.45">
      <c r="A1002" t="str">
        <f>IF(PNL!A1002="","",PNL!A1002)</f>
        <v/>
      </c>
      <c r="B1002" t="str">
        <f>IF(PNL!B1002="","",PNL!B1002)</f>
        <v/>
      </c>
      <c r="C1002" t="str">
        <f>IF(PNL!C1002="","",PNL!C1002)</f>
        <v/>
      </c>
      <c r="D1002" t="str">
        <f>IF(PNL!D1002="","",PNL!D1002)</f>
        <v/>
      </c>
      <c r="E1002" t="str">
        <f t="shared" si="60"/>
        <v/>
      </c>
      <c r="F1002" t="str">
        <f>IF($A1002="","",IF($E1002=1,SUMIFS(Compta!$F$1:$F$675,Compta!$A$1:$A$675,$A1002,Compta!$B$1:$B$675,$B1002,Compta!$C$1:$C$675,"2026"),0))</f>
        <v/>
      </c>
      <c r="G1002" t="str">
        <f>IF($A1002="","",IF($D1002="V01",cad!$C$23,IF($D1002="V02",cad!$D$23,cad!$E$23)))</f>
        <v/>
      </c>
      <c r="H1002" t="str">
        <f>IF($A1002="","",IF($D1002="V01",cad!$C$24,IF($D1002="V02",cad!$D$24,cad!$E$24)))</f>
        <v/>
      </c>
      <c r="I1002" t="str">
        <f>IF($A1002="","",IF($D1002="V01",cad!$C$32,IF($D1002="V02",cad!$D$32,cad!$E$32)))</f>
        <v/>
      </c>
      <c r="J1002" t="str">
        <f>IF($A1002="","",IF($D1002="V01",cad!$C$33,IF($D1002="V02",cad!$D$33,cad!$E$33)))</f>
        <v/>
      </c>
      <c r="K1002" t="str">
        <f>IF($A1002="","",IF($D1002="V01",cad!$C$34,IF($D1002="V02",cad!$D$34,cad!$E$34)))</f>
        <v/>
      </c>
      <c r="L1002" t="str">
        <f>IF($A1002="","",IF($D1002="V01",cad!$C$35,IF($D1002="V02",cad!$D$35,cad!$E$35)))</f>
        <v/>
      </c>
      <c r="M1002" t="str">
        <f>IF($A1002="","",IF($D1002="V01",cad!$C$36,IF($D1002="V02",cad!$D$36,cad!$E$36)))</f>
        <v/>
      </c>
      <c r="N1002" t="str">
        <f t="shared" si="61"/>
        <v/>
      </c>
      <c r="O1002" t="str">
        <f t="shared" si="62"/>
        <v/>
      </c>
      <c r="P1002" t="str">
        <f>IF($A1002="","",IF($E1002=1,$F1002*$O1002,PNL!G1002))</f>
        <v/>
      </c>
      <c r="T1002" t="str">
        <f t="shared" si="63"/>
        <v/>
      </c>
    </row>
    <row r="1003" spans="1:20" x14ac:dyDescent="0.45">
      <c r="A1003" t="str">
        <f>IF(PNL!A1003="","",PNL!A1003)</f>
        <v/>
      </c>
      <c r="B1003" t="str">
        <f>IF(PNL!B1003="","",PNL!B1003)</f>
        <v/>
      </c>
      <c r="C1003" t="str">
        <f>IF(PNL!C1003="","",PNL!C1003)</f>
        <v/>
      </c>
      <c r="D1003" t="str">
        <f>IF(PNL!D1003="","",PNL!D1003)</f>
        <v/>
      </c>
      <c r="E1003" t="str">
        <f t="shared" si="60"/>
        <v/>
      </c>
      <c r="F1003" t="str">
        <f>IF($A1003="","",IF($E1003=1,SUMIFS(Compta!$F$1:$F$675,Compta!$A$1:$A$675,$A1003,Compta!$B$1:$B$675,$B1003,Compta!$C$1:$C$675,"2026"),0))</f>
        <v/>
      </c>
      <c r="G1003" t="str">
        <f>IF($A1003="","",IF($D1003="V01",cad!$C$23,IF($D1003="V02",cad!$D$23,cad!$E$23)))</f>
        <v/>
      </c>
      <c r="H1003" t="str">
        <f>IF($A1003="","",IF($D1003="V01",cad!$C$24,IF($D1003="V02",cad!$D$24,cad!$E$24)))</f>
        <v/>
      </c>
      <c r="I1003" t="str">
        <f>IF($A1003="","",IF($D1003="V01",cad!$C$32,IF($D1003="V02",cad!$D$32,cad!$E$32)))</f>
        <v/>
      </c>
      <c r="J1003" t="str">
        <f>IF($A1003="","",IF($D1003="V01",cad!$C$33,IF($D1003="V02",cad!$D$33,cad!$E$33)))</f>
        <v/>
      </c>
      <c r="K1003" t="str">
        <f>IF($A1003="","",IF($D1003="V01",cad!$C$34,IF($D1003="V02",cad!$D$34,cad!$E$34)))</f>
        <v/>
      </c>
      <c r="L1003" t="str">
        <f>IF($A1003="","",IF($D1003="V01",cad!$C$35,IF($D1003="V02",cad!$D$35,cad!$E$35)))</f>
        <v/>
      </c>
      <c r="M1003" t="str">
        <f>IF($A1003="","",IF($D1003="V01",cad!$C$36,IF($D1003="V02",cad!$D$36,cad!$E$36)))</f>
        <v/>
      </c>
      <c r="N1003" t="str">
        <f t="shared" si="61"/>
        <v/>
      </c>
      <c r="O1003" t="str">
        <f t="shared" si="62"/>
        <v/>
      </c>
      <c r="P1003" t="str">
        <f>IF($A1003="","",IF($E1003=1,$F1003*$O1003,PNL!G1003))</f>
        <v/>
      </c>
      <c r="T1003" t="str">
        <f t="shared" si="63"/>
        <v/>
      </c>
    </row>
    <row r="1004" spans="1:20" x14ac:dyDescent="0.45">
      <c r="A1004" t="str">
        <f>IF(PNL!A1004="","",PNL!A1004)</f>
        <v/>
      </c>
      <c r="B1004" t="str">
        <f>IF(PNL!B1004="","",PNL!B1004)</f>
        <v/>
      </c>
      <c r="C1004" t="str">
        <f>IF(PNL!C1004="","",PNL!C1004)</f>
        <v/>
      </c>
      <c r="D1004" t="str">
        <f>IF(PNL!D1004="","",PNL!D1004)</f>
        <v/>
      </c>
      <c r="E1004" t="str">
        <f t="shared" si="60"/>
        <v/>
      </c>
      <c r="F1004" t="str">
        <f>IF($A1004="","",IF($E1004=1,SUMIFS(Compta!$F$1:$F$675,Compta!$A$1:$A$675,$A1004,Compta!$B$1:$B$675,$B1004,Compta!$C$1:$C$675,"2026"),0))</f>
        <v/>
      </c>
      <c r="G1004" t="str">
        <f>IF($A1004="","",IF($D1004="V01",cad!$C$23,IF($D1004="V02",cad!$D$23,cad!$E$23)))</f>
        <v/>
      </c>
      <c r="H1004" t="str">
        <f>IF($A1004="","",IF($D1004="V01",cad!$C$24,IF($D1004="V02",cad!$D$24,cad!$E$24)))</f>
        <v/>
      </c>
      <c r="I1004" t="str">
        <f>IF($A1004="","",IF($D1004="V01",cad!$C$32,IF($D1004="V02",cad!$D$32,cad!$E$32)))</f>
        <v/>
      </c>
      <c r="J1004" t="str">
        <f>IF($A1004="","",IF($D1004="V01",cad!$C$33,IF($D1004="V02",cad!$D$33,cad!$E$33)))</f>
        <v/>
      </c>
      <c r="K1004" t="str">
        <f>IF($A1004="","",IF($D1004="V01",cad!$C$34,IF($D1004="V02",cad!$D$34,cad!$E$34)))</f>
        <v/>
      </c>
      <c r="L1004" t="str">
        <f>IF($A1004="","",IF($D1004="V01",cad!$C$35,IF($D1004="V02",cad!$D$35,cad!$E$35)))</f>
        <v/>
      </c>
      <c r="M1004" t="str">
        <f>IF($A1004="","",IF($D1004="V01",cad!$C$36,IF($D1004="V02",cad!$D$36,cad!$E$36)))</f>
        <v/>
      </c>
      <c r="N1004" t="str">
        <f t="shared" si="61"/>
        <v/>
      </c>
      <c r="O1004" t="str">
        <f t="shared" si="62"/>
        <v/>
      </c>
      <c r="P1004" t="str">
        <f>IF($A1004="","",IF($E1004=1,$F1004*$O1004,PNL!G1004))</f>
        <v/>
      </c>
      <c r="T1004" t="str">
        <f t="shared" si="63"/>
        <v/>
      </c>
    </row>
    <row r="1005" spans="1:20" x14ac:dyDescent="0.45">
      <c r="A1005" t="str">
        <f>IF(PNL!A1005="","",PNL!A1005)</f>
        <v/>
      </c>
      <c r="B1005" t="str">
        <f>IF(PNL!B1005="","",PNL!B1005)</f>
        <v/>
      </c>
      <c r="C1005" t="str">
        <f>IF(PNL!C1005="","",PNL!C1005)</f>
        <v/>
      </c>
      <c r="D1005" t="str">
        <f>IF(PNL!D1005="","",PNL!D1005)</f>
        <v/>
      </c>
      <c r="E1005" t="str">
        <f t="shared" si="60"/>
        <v/>
      </c>
      <c r="F1005" t="str">
        <f>IF($A1005="","",IF($E1005=1,SUMIFS(Compta!$F$1:$F$675,Compta!$A$1:$A$675,$A1005,Compta!$B$1:$B$675,$B1005,Compta!$C$1:$C$675,"2026"),0))</f>
        <v/>
      </c>
      <c r="G1005" t="str">
        <f>IF($A1005="","",IF($D1005="V01",cad!$C$23,IF($D1005="V02",cad!$D$23,cad!$E$23)))</f>
        <v/>
      </c>
      <c r="H1005" t="str">
        <f>IF($A1005="","",IF($D1005="V01",cad!$C$24,IF($D1005="V02",cad!$D$24,cad!$E$24)))</f>
        <v/>
      </c>
      <c r="I1005" t="str">
        <f>IF($A1005="","",IF($D1005="V01",cad!$C$32,IF($D1005="V02",cad!$D$32,cad!$E$32)))</f>
        <v/>
      </c>
      <c r="J1005" t="str">
        <f>IF($A1005="","",IF($D1005="V01",cad!$C$33,IF($D1005="V02",cad!$D$33,cad!$E$33)))</f>
        <v/>
      </c>
      <c r="K1005" t="str">
        <f>IF($A1005="","",IF($D1005="V01",cad!$C$34,IF($D1005="V02",cad!$D$34,cad!$E$34)))</f>
        <v/>
      </c>
      <c r="L1005" t="str">
        <f>IF($A1005="","",IF($D1005="V01",cad!$C$35,IF($D1005="V02",cad!$D$35,cad!$E$35)))</f>
        <v/>
      </c>
      <c r="M1005" t="str">
        <f>IF($A1005="","",IF($D1005="V01",cad!$C$36,IF($D1005="V02",cad!$D$36,cad!$E$36)))</f>
        <v/>
      </c>
      <c r="N1005" t="str">
        <f t="shared" si="61"/>
        <v/>
      </c>
      <c r="O1005" t="str">
        <f t="shared" si="62"/>
        <v/>
      </c>
      <c r="P1005" t="str">
        <f>IF($A1005="","",IF($E1005=1,$F1005*$O1005,PNL!G1005))</f>
        <v/>
      </c>
      <c r="T1005" t="str">
        <f t="shared" si="63"/>
        <v/>
      </c>
    </row>
    <row r="1006" spans="1:20" x14ac:dyDescent="0.45">
      <c r="A1006" t="str">
        <f>IF(PNL!A1006="","",PNL!A1006)</f>
        <v/>
      </c>
      <c r="B1006" t="str">
        <f>IF(PNL!B1006="","",PNL!B1006)</f>
        <v/>
      </c>
      <c r="C1006" t="str">
        <f>IF(PNL!C1006="","",PNL!C1006)</f>
        <v/>
      </c>
      <c r="D1006" t="str">
        <f>IF(PNL!D1006="","",PNL!D1006)</f>
        <v/>
      </c>
      <c r="E1006" t="str">
        <f t="shared" si="60"/>
        <v/>
      </c>
      <c r="F1006" t="str">
        <f>IF($A1006="","",IF($E1006=1,SUMIFS(Compta!$F$1:$F$675,Compta!$A$1:$A$675,$A1006,Compta!$B$1:$B$675,$B1006,Compta!$C$1:$C$675,"2026"),0))</f>
        <v/>
      </c>
      <c r="G1006" t="str">
        <f>IF($A1006="","",IF($D1006="V01",cad!$C$23,IF($D1006="V02",cad!$D$23,cad!$E$23)))</f>
        <v/>
      </c>
      <c r="H1006" t="str">
        <f>IF($A1006="","",IF($D1006="V01",cad!$C$24,IF($D1006="V02",cad!$D$24,cad!$E$24)))</f>
        <v/>
      </c>
      <c r="I1006" t="str">
        <f>IF($A1006="","",IF($D1006="V01",cad!$C$32,IF($D1006="V02",cad!$D$32,cad!$E$32)))</f>
        <v/>
      </c>
      <c r="J1006" t="str">
        <f>IF($A1006="","",IF($D1006="V01",cad!$C$33,IF($D1006="V02",cad!$D$33,cad!$E$33)))</f>
        <v/>
      </c>
      <c r="K1006" t="str">
        <f>IF($A1006="","",IF($D1006="V01",cad!$C$34,IF($D1006="V02",cad!$D$34,cad!$E$34)))</f>
        <v/>
      </c>
      <c r="L1006" t="str">
        <f>IF($A1006="","",IF($D1006="V01",cad!$C$35,IF($D1006="V02",cad!$D$35,cad!$E$35)))</f>
        <v/>
      </c>
      <c r="M1006" t="str">
        <f>IF($A1006="","",IF($D1006="V01",cad!$C$36,IF($D1006="V02",cad!$D$36,cad!$E$36)))</f>
        <v/>
      </c>
      <c r="N1006" t="str">
        <f t="shared" si="61"/>
        <v/>
      </c>
      <c r="O1006" t="str">
        <f t="shared" si="62"/>
        <v/>
      </c>
      <c r="P1006" t="str">
        <f>IF($A1006="","",IF($E1006=1,$F1006*$O1006,PNL!G1006))</f>
        <v/>
      </c>
      <c r="T1006" t="str">
        <f t="shared" si="63"/>
        <v/>
      </c>
    </row>
    <row r="1007" spans="1:20" x14ac:dyDescent="0.45">
      <c r="A1007" t="str">
        <f>IF(PNL!A1007="","",PNL!A1007)</f>
        <v/>
      </c>
      <c r="B1007" t="str">
        <f>IF(PNL!B1007="","",PNL!B1007)</f>
        <v/>
      </c>
      <c r="C1007" t="str">
        <f>IF(PNL!C1007="","",PNL!C1007)</f>
        <v/>
      </c>
      <c r="D1007" t="str">
        <f>IF(PNL!D1007="","",PNL!D1007)</f>
        <v/>
      </c>
      <c r="E1007" t="str">
        <f t="shared" si="60"/>
        <v/>
      </c>
      <c r="F1007" t="str">
        <f>IF($A1007="","",IF($E1007=1,SUMIFS(Compta!$F$1:$F$675,Compta!$A$1:$A$675,$A1007,Compta!$B$1:$B$675,$B1007,Compta!$C$1:$C$675,"2026"),0))</f>
        <v/>
      </c>
      <c r="G1007" t="str">
        <f>IF($A1007="","",IF($D1007="V01",cad!$C$23,IF($D1007="V02",cad!$D$23,cad!$E$23)))</f>
        <v/>
      </c>
      <c r="H1007" t="str">
        <f>IF($A1007="","",IF($D1007="V01",cad!$C$24,IF($D1007="V02",cad!$D$24,cad!$E$24)))</f>
        <v/>
      </c>
      <c r="I1007" t="str">
        <f>IF($A1007="","",IF($D1007="V01",cad!$C$32,IF($D1007="V02",cad!$D$32,cad!$E$32)))</f>
        <v/>
      </c>
      <c r="J1007" t="str">
        <f>IF($A1007="","",IF($D1007="V01",cad!$C$33,IF($D1007="V02",cad!$D$33,cad!$E$33)))</f>
        <v/>
      </c>
      <c r="K1007" t="str">
        <f>IF($A1007="","",IF($D1007="V01",cad!$C$34,IF($D1007="V02",cad!$D$34,cad!$E$34)))</f>
        <v/>
      </c>
      <c r="L1007" t="str">
        <f>IF($A1007="","",IF($D1007="V01",cad!$C$35,IF($D1007="V02",cad!$D$35,cad!$E$35)))</f>
        <v/>
      </c>
      <c r="M1007" t="str">
        <f>IF($A1007="","",IF($D1007="V01",cad!$C$36,IF($D1007="V02",cad!$D$36,cad!$E$36)))</f>
        <v/>
      </c>
      <c r="N1007" t="str">
        <f t="shared" si="61"/>
        <v/>
      </c>
      <c r="O1007" t="str">
        <f t="shared" si="62"/>
        <v/>
      </c>
      <c r="P1007" t="str">
        <f>IF($A1007="","",IF($E1007=1,$F1007*$O1007,PNL!G1007))</f>
        <v/>
      </c>
      <c r="T1007" t="str">
        <f t="shared" si="63"/>
        <v/>
      </c>
    </row>
    <row r="1008" spans="1:20" x14ac:dyDescent="0.45">
      <c r="A1008" t="str">
        <f>IF(PNL!A1008="","",PNL!A1008)</f>
        <v/>
      </c>
      <c r="B1008" t="str">
        <f>IF(PNL!B1008="","",PNL!B1008)</f>
        <v/>
      </c>
      <c r="C1008" t="str">
        <f>IF(PNL!C1008="","",PNL!C1008)</f>
        <v/>
      </c>
      <c r="D1008" t="str">
        <f>IF(PNL!D1008="","",PNL!D1008)</f>
        <v/>
      </c>
      <c r="E1008" t="str">
        <f t="shared" si="60"/>
        <v/>
      </c>
      <c r="F1008" t="str">
        <f>IF($A1008="","",IF($E1008=1,SUMIFS(Compta!$F$1:$F$675,Compta!$A$1:$A$675,$A1008,Compta!$B$1:$B$675,$B1008,Compta!$C$1:$C$675,"2026"),0))</f>
        <v/>
      </c>
      <c r="G1008" t="str">
        <f>IF($A1008="","",IF($D1008="V01",cad!$C$23,IF($D1008="V02",cad!$D$23,cad!$E$23)))</f>
        <v/>
      </c>
      <c r="H1008" t="str">
        <f>IF($A1008="","",IF($D1008="V01",cad!$C$24,IF($D1008="V02",cad!$D$24,cad!$E$24)))</f>
        <v/>
      </c>
      <c r="I1008" t="str">
        <f>IF($A1008="","",IF($D1008="V01",cad!$C$32,IF($D1008="V02",cad!$D$32,cad!$E$32)))</f>
        <v/>
      </c>
      <c r="J1008" t="str">
        <f>IF($A1008="","",IF($D1008="V01",cad!$C$33,IF($D1008="V02",cad!$D$33,cad!$E$33)))</f>
        <v/>
      </c>
      <c r="K1008" t="str">
        <f>IF($A1008="","",IF($D1008="V01",cad!$C$34,IF($D1008="V02",cad!$D$34,cad!$E$34)))</f>
        <v/>
      </c>
      <c r="L1008" t="str">
        <f>IF($A1008="","",IF($D1008="V01",cad!$C$35,IF($D1008="V02",cad!$D$35,cad!$E$35)))</f>
        <v/>
      </c>
      <c r="M1008" t="str">
        <f>IF($A1008="","",IF($D1008="V01",cad!$C$36,IF($D1008="V02",cad!$D$36,cad!$E$36)))</f>
        <v/>
      </c>
      <c r="N1008" t="str">
        <f t="shared" si="61"/>
        <v/>
      </c>
      <c r="O1008" t="str">
        <f t="shared" si="62"/>
        <v/>
      </c>
      <c r="P1008" t="str">
        <f>IF($A1008="","",IF($E1008=1,$F1008*$O1008,PNL!G1008))</f>
        <v/>
      </c>
      <c r="T1008" t="str">
        <f t="shared" si="63"/>
        <v/>
      </c>
    </row>
    <row r="1009" spans="1:20" x14ac:dyDescent="0.45">
      <c r="A1009" t="str">
        <f>IF(PNL!A1009="","",PNL!A1009)</f>
        <v/>
      </c>
      <c r="B1009" t="str">
        <f>IF(PNL!B1009="","",PNL!B1009)</f>
        <v/>
      </c>
      <c r="C1009" t="str">
        <f>IF(PNL!C1009="","",PNL!C1009)</f>
        <v/>
      </c>
      <c r="D1009" t="str">
        <f>IF(PNL!D1009="","",PNL!D1009)</f>
        <v/>
      </c>
      <c r="E1009" t="str">
        <f t="shared" si="60"/>
        <v/>
      </c>
      <c r="F1009" t="str">
        <f>IF($A1009="","",IF($E1009=1,SUMIFS(Compta!$F$1:$F$675,Compta!$A$1:$A$675,$A1009,Compta!$B$1:$B$675,$B1009,Compta!$C$1:$C$675,"2026"),0))</f>
        <v/>
      </c>
      <c r="G1009" t="str">
        <f>IF($A1009="","",IF($D1009="V01",cad!$C$23,IF($D1009="V02",cad!$D$23,cad!$E$23)))</f>
        <v/>
      </c>
      <c r="H1009" t="str">
        <f>IF($A1009="","",IF($D1009="V01",cad!$C$24,IF($D1009="V02",cad!$D$24,cad!$E$24)))</f>
        <v/>
      </c>
      <c r="I1009" t="str">
        <f>IF($A1009="","",IF($D1009="V01",cad!$C$32,IF($D1009="V02",cad!$D$32,cad!$E$32)))</f>
        <v/>
      </c>
      <c r="J1009" t="str">
        <f>IF($A1009="","",IF($D1009="V01",cad!$C$33,IF($D1009="V02",cad!$D$33,cad!$E$33)))</f>
        <v/>
      </c>
      <c r="K1009" t="str">
        <f>IF($A1009="","",IF($D1009="V01",cad!$C$34,IF($D1009="V02",cad!$D$34,cad!$E$34)))</f>
        <v/>
      </c>
      <c r="L1009" t="str">
        <f>IF($A1009="","",IF($D1009="V01",cad!$C$35,IF($D1009="V02",cad!$D$35,cad!$E$35)))</f>
        <v/>
      </c>
      <c r="M1009" t="str">
        <f>IF($A1009="","",IF($D1009="V01",cad!$C$36,IF($D1009="V02",cad!$D$36,cad!$E$36)))</f>
        <v/>
      </c>
      <c r="N1009" t="str">
        <f t="shared" si="61"/>
        <v/>
      </c>
      <c r="O1009" t="str">
        <f t="shared" si="62"/>
        <v/>
      </c>
      <c r="P1009" t="str">
        <f>IF($A1009="","",IF($E1009=1,$F1009*$O1009,PNL!G1009))</f>
        <v/>
      </c>
      <c r="T1009" t="str">
        <f t="shared" si="63"/>
        <v/>
      </c>
    </row>
    <row r="1010" spans="1:20" x14ac:dyDescent="0.45">
      <c r="A1010" t="str">
        <f>IF(PNL!A1010="","",PNL!A1010)</f>
        <v/>
      </c>
      <c r="B1010" t="str">
        <f>IF(PNL!B1010="","",PNL!B1010)</f>
        <v/>
      </c>
      <c r="C1010" t="str">
        <f>IF(PNL!C1010="","",PNL!C1010)</f>
        <v/>
      </c>
      <c r="D1010" t="str">
        <f>IF(PNL!D1010="","",PNL!D1010)</f>
        <v/>
      </c>
      <c r="E1010" t="str">
        <f t="shared" si="60"/>
        <v/>
      </c>
      <c r="F1010" t="str">
        <f>IF($A1010="","",IF($E1010=1,SUMIFS(Compta!$F$1:$F$675,Compta!$A$1:$A$675,$A1010,Compta!$B$1:$B$675,$B1010,Compta!$C$1:$C$675,"2026"),0))</f>
        <v/>
      </c>
      <c r="G1010" t="str">
        <f>IF($A1010="","",IF($D1010="V01",cad!$C$23,IF($D1010="V02",cad!$D$23,cad!$E$23)))</f>
        <v/>
      </c>
      <c r="H1010" t="str">
        <f>IF($A1010="","",IF($D1010="V01",cad!$C$24,IF($D1010="V02",cad!$D$24,cad!$E$24)))</f>
        <v/>
      </c>
      <c r="I1010" t="str">
        <f>IF($A1010="","",IF($D1010="V01",cad!$C$32,IF($D1010="V02",cad!$D$32,cad!$E$32)))</f>
        <v/>
      </c>
      <c r="J1010" t="str">
        <f>IF($A1010="","",IF($D1010="V01",cad!$C$33,IF($D1010="V02",cad!$D$33,cad!$E$33)))</f>
        <v/>
      </c>
      <c r="K1010" t="str">
        <f>IF($A1010="","",IF($D1010="V01",cad!$C$34,IF($D1010="V02",cad!$D$34,cad!$E$34)))</f>
        <v/>
      </c>
      <c r="L1010" t="str">
        <f>IF($A1010="","",IF($D1010="V01",cad!$C$35,IF($D1010="V02",cad!$D$35,cad!$E$35)))</f>
        <v/>
      </c>
      <c r="M1010" t="str">
        <f>IF($A1010="","",IF($D1010="V01",cad!$C$36,IF($D1010="V02",cad!$D$36,cad!$E$36)))</f>
        <v/>
      </c>
      <c r="N1010" t="str">
        <f t="shared" si="61"/>
        <v/>
      </c>
      <c r="O1010" t="str">
        <f t="shared" si="62"/>
        <v/>
      </c>
      <c r="P1010" t="str">
        <f>IF($A1010="","",IF($E1010=1,$F1010*$O1010,PNL!G1010))</f>
        <v/>
      </c>
      <c r="T1010" t="str">
        <f t="shared" si="63"/>
        <v/>
      </c>
    </row>
    <row r="1011" spans="1:20" x14ac:dyDescent="0.45">
      <c r="A1011" t="str">
        <f>IF(PNL!A1011="","",PNL!A1011)</f>
        <v/>
      </c>
      <c r="B1011" t="str">
        <f>IF(PNL!B1011="","",PNL!B1011)</f>
        <v/>
      </c>
      <c r="C1011" t="str">
        <f>IF(PNL!C1011="","",PNL!C1011)</f>
        <v/>
      </c>
      <c r="D1011" t="str">
        <f>IF(PNL!D1011="","",PNL!D1011)</f>
        <v/>
      </c>
      <c r="E1011" t="str">
        <f t="shared" si="60"/>
        <v/>
      </c>
      <c r="F1011" t="str">
        <f>IF($A1011="","",IF($E1011=1,SUMIFS(Compta!$F$1:$F$675,Compta!$A$1:$A$675,$A1011,Compta!$B$1:$B$675,$B1011,Compta!$C$1:$C$675,"2026"),0))</f>
        <v/>
      </c>
      <c r="G1011" t="str">
        <f>IF($A1011="","",IF($D1011="V01",cad!$C$23,IF($D1011="V02",cad!$D$23,cad!$E$23)))</f>
        <v/>
      </c>
      <c r="H1011" t="str">
        <f>IF($A1011="","",IF($D1011="V01",cad!$C$24,IF($D1011="V02",cad!$D$24,cad!$E$24)))</f>
        <v/>
      </c>
      <c r="I1011" t="str">
        <f>IF($A1011="","",IF($D1011="V01",cad!$C$32,IF($D1011="V02",cad!$D$32,cad!$E$32)))</f>
        <v/>
      </c>
      <c r="J1011" t="str">
        <f>IF($A1011="","",IF($D1011="V01",cad!$C$33,IF($D1011="V02",cad!$D$33,cad!$E$33)))</f>
        <v/>
      </c>
      <c r="K1011" t="str">
        <f>IF($A1011="","",IF($D1011="V01",cad!$C$34,IF($D1011="V02",cad!$D$34,cad!$E$34)))</f>
        <v/>
      </c>
      <c r="L1011" t="str">
        <f>IF($A1011="","",IF($D1011="V01",cad!$C$35,IF($D1011="V02",cad!$D$35,cad!$E$35)))</f>
        <v/>
      </c>
      <c r="M1011" t="str">
        <f>IF($A1011="","",IF($D1011="V01",cad!$C$36,IF($D1011="V02",cad!$D$36,cad!$E$36)))</f>
        <v/>
      </c>
      <c r="N1011" t="str">
        <f t="shared" si="61"/>
        <v/>
      </c>
      <c r="O1011" t="str">
        <f t="shared" si="62"/>
        <v/>
      </c>
      <c r="P1011" t="str">
        <f>IF($A1011="","",IF($E1011=1,$F1011*$O1011,PNL!G1011))</f>
        <v/>
      </c>
      <c r="T1011" t="str">
        <f t="shared" si="63"/>
        <v/>
      </c>
    </row>
    <row r="1012" spans="1:20" x14ac:dyDescent="0.45">
      <c r="A1012" t="str">
        <f>IF(PNL!A1012="","",PNL!A1012)</f>
        <v/>
      </c>
      <c r="B1012" t="str">
        <f>IF(PNL!B1012="","",PNL!B1012)</f>
        <v/>
      </c>
      <c r="C1012" t="str">
        <f>IF(PNL!C1012="","",PNL!C1012)</f>
        <v/>
      </c>
      <c r="D1012" t="str">
        <f>IF(PNL!D1012="","",PNL!D1012)</f>
        <v/>
      </c>
      <c r="E1012" t="str">
        <f t="shared" si="60"/>
        <v/>
      </c>
      <c r="F1012" t="str">
        <f>IF($A1012="","",IF($E1012=1,SUMIFS(Compta!$F$1:$F$675,Compta!$A$1:$A$675,$A1012,Compta!$B$1:$B$675,$B1012,Compta!$C$1:$C$675,"2026"),0))</f>
        <v/>
      </c>
      <c r="G1012" t="str">
        <f>IF($A1012="","",IF($D1012="V01",cad!$C$23,IF($D1012="V02",cad!$D$23,cad!$E$23)))</f>
        <v/>
      </c>
      <c r="H1012" t="str">
        <f>IF($A1012="","",IF($D1012="V01",cad!$C$24,IF($D1012="V02",cad!$D$24,cad!$E$24)))</f>
        <v/>
      </c>
      <c r="I1012" t="str">
        <f>IF($A1012="","",IF($D1012="V01",cad!$C$32,IF($D1012="V02",cad!$D$32,cad!$E$32)))</f>
        <v/>
      </c>
      <c r="J1012" t="str">
        <f>IF($A1012="","",IF($D1012="V01",cad!$C$33,IF($D1012="V02",cad!$D$33,cad!$E$33)))</f>
        <v/>
      </c>
      <c r="K1012" t="str">
        <f>IF($A1012="","",IF($D1012="V01",cad!$C$34,IF($D1012="V02",cad!$D$34,cad!$E$34)))</f>
        <v/>
      </c>
      <c r="L1012" t="str">
        <f>IF($A1012="","",IF($D1012="V01",cad!$C$35,IF($D1012="V02",cad!$D$35,cad!$E$35)))</f>
        <v/>
      </c>
      <c r="M1012" t="str">
        <f>IF($A1012="","",IF($D1012="V01",cad!$C$36,IF($D1012="V02",cad!$D$36,cad!$E$36)))</f>
        <v/>
      </c>
      <c r="N1012" t="str">
        <f t="shared" si="61"/>
        <v/>
      </c>
      <c r="O1012" t="str">
        <f t="shared" si="62"/>
        <v/>
      </c>
      <c r="P1012" t="str">
        <f>IF($A1012="","",IF($E1012=1,$F1012*$O1012,PNL!G1012))</f>
        <v/>
      </c>
      <c r="T1012" t="str">
        <f t="shared" si="63"/>
        <v/>
      </c>
    </row>
    <row r="1013" spans="1:20" x14ac:dyDescent="0.45">
      <c r="A1013" t="str">
        <f>IF(PNL!A1013="","",PNL!A1013)</f>
        <v/>
      </c>
      <c r="B1013" t="str">
        <f>IF(PNL!B1013="","",PNL!B1013)</f>
        <v/>
      </c>
      <c r="C1013" t="str">
        <f>IF(PNL!C1013="","",PNL!C1013)</f>
        <v/>
      </c>
      <c r="D1013" t="str">
        <f>IF(PNL!D1013="","",PNL!D1013)</f>
        <v/>
      </c>
      <c r="E1013" t="str">
        <f t="shared" si="60"/>
        <v/>
      </c>
      <c r="F1013" t="str">
        <f>IF($A1013="","",IF($E1013=1,SUMIFS(Compta!$F$1:$F$675,Compta!$A$1:$A$675,$A1013,Compta!$B$1:$B$675,$B1013,Compta!$C$1:$C$675,"2026"),0))</f>
        <v/>
      </c>
      <c r="G1013" t="str">
        <f>IF($A1013="","",IF($D1013="V01",cad!$C$23,IF($D1013="V02",cad!$D$23,cad!$E$23)))</f>
        <v/>
      </c>
      <c r="H1013" t="str">
        <f>IF($A1013="","",IF($D1013="V01",cad!$C$24,IF($D1013="V02",cad!$D$24,cad!$E$24)))</f>
        <v/>
      </c>
      <c r="I1013" t="str">
        <f>IF($A1013="","",IF($D1013="V01",cad!$C$32,IF($D1013="V02",cad!$D$32,cad!$E$32)))</f>
        <v/>
      </c>
      <c r="J1013" t="str">
        <f>IF($A1013="","",IF($D1013="V01",cad!$C$33,IF($D1013="V02",cad!$D$33,cad!$E$33)))</f>
        <v/>
      </c>
      <c r="K1013" t="str">
        <f>IF($A1013="","",IF($D1013="V01",cad!$C$34,IF($D1013="V02",cad!$D$34,cad!$E$34)))</f>
        <v/>
      </c>
      <c r="L1013" t="str">
        <f>IF($A1013="","",IF($D1013="V01",cad!$C$35,IF($D1013="V02",cad!$D$35,cad!$E$35)))</f>
        <v/>
      </c>
      <c r="M1013" t="str">
        <f>IF($A1013="","",IF($D1013="V01",cad!$C$36,IF($D1013="V02",cad!$D$36,cad!$E$36)))</f>
        <v/>
      </c>
      <c r="N1013" t="str">
        <f t="shared" si="61"/>
        <v/>
      </c>
      <c r="O1013" t="str">
        <f t="shared" si="62"/>
        <v/>
      </c>
      <c r="P1013" t="str">
        <f>IF($A1013="","",IF($E1013=1,$F1013*$O1013,PNL!G1013))</f>
        <v/>
      </c>
      <c r="T1013" t="str">
        <f t="shared" si="63"/>
        <v/>
      </c>
    </row>
    <row r="1014" spans="1:20" x14ac:dyDescent="0.45">
      <c r="A1014" t="str">
        <f>IF(PNL!A1014="","",PNL!A1014)</f>
        <v/>
      </c>
      <c r="B1014" t="str">
        <f>IF(PNL!B1014="","",PNL!B1014)</f>
        <v/>
      </c>
      <c r="C1014" t="str">
        <f>IF(PNL!C1014="","",PNL!C1014)</f>
        <v/>
      </c>
      <c r="D1014" t="str">
        <f>IF(PNL!D1014="","",PNL!D1014)</f>
        <v/>
      </c>
      <c r="E1014" t="str">
        <f t="shared" si="60"/>
        <v/>
      </c>
      <c r="F1014" t="str">
        <f>IF($A1014="","",IF($E1014=1,SUMIFS(Compta!$F$1:$F$675,Compta!$A$1:$A$675,$A1014,Compta!$B$1:$B$675,$B1014,Compta!$C$1:$C$675,"2026"),0))</f>
        <v/>
      </c>
      <c r="G1014" t="str">
        <f>IF($A1014="","",IF($D1014="V01",cad!$C$23,IF($D1014="V02",cad!$D$23,cad!$E$23)))</f>
        <v/>
      </c>
      <c r="H1014" t="str">
        <f>IF($A1014="","",IF($D1014="V01",cad!$C$24,IF($D1014="V02",cad!$D$24,cad!$E$24)))</f>
        <v/>
      </c>
      <c r="I1014" t="str">
        <f>IF($A1014="","",IF($D1014="V01",cad!$C$32,IF($D1014="V02",cad!$D$32,cad!$E$32)))</f>
        <v/>
      </c>
      <c r="J1014" t="str">
        <f>IF($A1014="","",IF($D1014="V01",cad!$C$33,IF($D1014="V02",cad!$D$33,cad!$E$33)))</f>
        <v/>
      </c>
      <c r="K1014" t="str">
        <f>IF($A1014="","",IF($D1014="V01",cad!$C$34,IF($D1014="V02",cad!$D$34,cad!$E$34)))</f>
        <v/>
      </c>
      <c r="L1014" t="str">
        <f>IF($A1014="","",IF($D1014="V01",cad!$C$35,IF($D1014="V02",cad!$D$35,cad!$E$35)))</f>
        <v/>
      </c>
      <c r="M1014" t="str">
        <f>IF($A1014="","",IF($D1014="V01",cad!$C$36,IF($D1014="V02",cad!$D$36,cad!$E$36)))</f>
        <v/>
      </c>
      <c r="N1014" t="str">
        <f t="shared" si="61"/>
        <v/>
      </c>
      <c r="O1014" t="str">
        <f t="shared" si="62"/>
        <v/>
      </c>
      <c r="P1014" t="str">
        <f>IF($A1014="","",IF($E1014=1,$F1014*$O1014,PNL!G1014))</f>
        <v/>
      </c>
      <c r="T1014" t="str">
        <f t="shared" si="63"/>
        <v/>
      </c>
    </row>
    <row r="1015" spans="1:20" x14ac:dyDescent="0.45">
      <c r="A1015" t="str">
        <f>IF(PNL!A1015="","",PNL!A1015)</f>
        <v/>
      </c>
      <c r="B1015" t="str">
        <f>IF(PNL!B1015="","",PNL!B1015)</f>
        <v/>
      </c>
      <c r="C1015" t="str">
        <f>IF(PNL!C1015="","",PNL!C1015)</f>
        <v/>
      </c>
      <c r="D1015" t="str">
        <f>IF(PNL!D1015="","",PNL!D1015)</f>
        <v/>
      </c>
      <c r="E1015" t="str">
        <f t="shared" si="60"/>
        <v/>
      </c>
      <c r="F1015" t="str">
        <f>IF($A1015="","",IF($E1015=1,SUMIFS(Compta!$F$1:$F$675,Compta!$A$1:$A$675,$A1015,Compta!$B$1:$B$675,$B1015,Compta!$C$1:$C$675,"2026"),0))</f>
        <v/>
      </c>
      <c r="G1015" t="str">
        <f>IF($A1015="","",IF($D1015="V01",cad!$C$23,IF($D1015="V02",cad!$D$23,cad!$E$23)))</f>
        <v/>
      </c>
      <c r="H1015" t="str">
        <f>IF($A1015="","",IF($D1015="V01",cad!$C$24,IF($D1015="V02",cad!$D$24,cad!$E$24)))</f>
        <v/>
      </c>
      <c r="I1015" t="str">
        <f>IF($A1015="","",IF($D1015="V01",cad!$C$32,IF($D1015="V02",cad!$D$32,cad!$E$32)))</f>
        <v/>
      </c>
      <c r="J1015" t="str">
        <f>IF($A1015="","",IF($D1015="V01",cad!$C$33,IF($D1015="V02",cad!$D$33,cad!$E$33)))</f>
        <v/>
      </c>
      <c r="K1015" t="str">
        <f>IF($A1015="","",IF($D1015="V01",cad!$C$34,IF($D1015="V02",cad!$D$34,cad!$E$34)))</f>
        <v/>
      </c>
      <c r="L1015" t="str">
        <f>IF($A1015="","",IF($D1015="V01",cad!$C$35,IF($D1015="V02",cad!$D$35,cad!$E$35)))</f>
        <v/>
      </c>
      <c r="M1015" t="str">
        <f>IF($A1015="","",IF($D1015="V01",cad!$C$36,IF($D1015="V02",cad!$D$36,cad!$E$36)))</f>
        <v/>
      </c>
      <c r="N1015" t="str">
        <f t="shared" si="61"/>
        <v/>
      </c>
      <c r="O1015" t="str">
        <f t="shared" si="62"/>
        <v/>
      </c>
      <c r="P1015" t="str">
        <f>IF($A1015="","",IF($E1015=1,$F1015*$O1015,PNL!G1015))</f>
        <v/>
      </c>
      <c r="T1015" t="str">
        <f t="shared" si="63"/>
        <v/>
      </c>
    </row>
    <row r="1016" spans="1:20" x14ac:dyDescent="0.45">
      <c r="A1016" t="str">
        <f>IF(PNL!A1016="","",PNL!A1016)</f>
        <v/>
      </c>
      <c r="B1016" t="str">
        <f>IF(PNL!B1016="","",PNL!B1016)</f>
        <v/>
      </c>
      <c r="C1016" t="str">
        <f>IF(PNL!C1016="","",PNL!C1016)</f>
        <v/>
      </c>
      <c r="D1016" t="str">
        <f>IF(PNL!D1016="","",PNL!D1016)</f>
        <v/>
      </c>
      <c r="E1016" t="str">
        <f t="shared" si="60"/>
        <v/>
      </c>
      <c r="F1016" t="str">
        <f>IF($A1016="","",IF($E1016=1,SUMIFS(Compta!$F$1:$F$675,Compta!$A$1:$A$675,$A1016,Compta!$B$1:$B$675,$B1016,Compta!$C$1:$C$675,"2026"),0))</f>
        <v/>
      </c>
      <c r="G1016" t="str">
        <f>IF($A1016="","",IF($D1016="V01",cad!$C$23,IF($D1016="V02",cad!$D$23,cad!$E$23)))</f>
        <v/>
      </c>
      <c r="H1016" t="str">
        <f>IF($A1016="","",IF($D1016="V01",cad!$C$24,IF($D1016="V02",cad!$D$24,cad!$E$24)))</f>
        <v/>
      </c>
      <c r="I1016" t="str">
        <f>IF($A1016="","",IF($D1016="V01",cad!$C$32,IF($D1016="V02",cad!$D$32,cad!$E$32)))</f>
        <v/>
      </c>
      <c r="J1016" t="str">
        <f>IF($A1016="","",IF($D1016="V01",cad!$C$33,IF($D1016="V02",cad!$D$33,cad!$E$33)))</f>
        <v/>
      </c>
      <c r="K1016" t="str">
        <f>IF($A1016="","",IF($D1016="V01",cad!$C$34,IF($D1016="V02",cad!$D$34,cad!$E$34)))</f>
        <v/>
      </c>
      <c r="L1016" t="str">
        <f>IF($A1016="","",IF($D1016="V01",cad!$C$35,IF($D1016="V02",cad!$D$35,cad!$E$35)))</f>
        <v/>
      </c>
      <c r="M1016" t="str">
        <f>IF($A1016="","",IF($D1016="V01",cad!$C$36,IF($D1016="V02",cad!$D$36,cad!$E$36)))</f>
        <v/>
      </c>
      <c r="N1016" t="str">
        <f t="shared" si="61"/>
        <v/>
      </c>
      <c r="O1016" t="str">
        <f t="shared" si="62"/>
        <v/>
      </c>
      <c r="P1016" t="str">
        <f>IF($A1016="","",IF($E1016=1,$F1016*$O1016,PNL!G1016))</f>
        <v/>
      </c>
      <c r="T1016" t="str">
        <f t="shared" si="63"/>
        <v/>
      </c>
    </row>
    <row r="1017" spans="1:20" x14ac:dyDescent="0.45">
      <c r="A1017" t="str">
        <f>IF(PNL!A1017="","",PNL!A1017)</f>
        <v/>
      </c>
      <c r="B1017" t="str">
        <f>IF(PNL!B1017="","",PNL!B1017)</f>
        <v/>
      </c>
      <c r="C1017" t="str">
        <f>IF(PNL!C1017="","",PNL!C1017)</f>
        <v/>
      </c>
      <c r="D1017" t="str">
        <f>IF(PNL!D1017="","",PNL!D1017)</f>
        <v/>
      </c>
      <c r="E1017" t="str">
        <f t="shared" si="60"/>
        <v/>
      </c>
      <c r="F1017" t="str">
        <f>IF($A1017="","",IF($E1017=1,SUMIFS(Compta!$F$1:$F$675,Compta!$A$1:$A$675,$A1017,Compta!$B$1:$B$675,$B1017,Compta!$C$1:$C$675,"2026"),0))</f>
        <v/>
      </c>
      <c r="G1017" t="str">
        <f>IF($A1017="","",IF($D1017="V01",cad!$C$23,IF($D1017="V02",cad!$D$23,cad!$E$23)))</f>
        <v/>
      </c>
      <c r="H1017" t="str">
        <f>IF($A1017="","",IF($D1017="V01",cad!$C$24,IF($D1017="V02",cad!$D$24,cad!$E$24)))</f>
        <v/>
      </c>
      <c r="I1017" t="str">
        <f>IF($A1017="","",IF($D1017="V01",cad!$C$32,IF($D1017="V02",cad!$D$32,cad!$E$32)))</f>
        <v/>
      </c>
      <c r="J1017" t="str">
        <f>IF($A1017="","",IF($D1017="V01",cad!$C$33,IF($D1017="V02",cad!$D$33,cad!$E$33)))</f>
        <v/>
      </c>
      <c r="K1017" t="str">
        <f>IF($A1017="","",IF($D1017="V01",cad!$C$34,IF($D1017="V02",cad!$D$34,cad!$E$34)))</f>
        <v/>
      </c>
      <c r="L1017" t="str">
        <f>IF($A1017="","",IF($D1017="V01",cad!$C$35,IF($D1017="V02",cad!$D$35,cad!$E$35)))</f>
        <v/>
      </c>
      <c r="M1017" t="str">
        <f>IF($A1017="","",IF($D1017="V01",cad!$C$36,IF($D1017="V02",cad!$D$36,cad!$E$36)))</f>
        <v/>
      </c>
      <c r="N1017" t="str">
        <f t="shared" si="61"/>
        <v/>
      </c>
      <c r="O1017" t="str">
        <f t="shared" si="62"/>
        <v/>
      </c>
      <c r="P1017" t="str">
        <f>IF($A1017="","",IF($E1017=1,$F1017*$O1017,PNL!G1017))</f>
        <v/>
      </c>
      <c r="T1017" t="str">
        <f t="shared" si="63"/>
        <v/>
      </c>
    </row>
    <row r="1018" spans="1:20" x14ac:dyDescent="0.45">
      <c r="A1018" t="str">
        <f>IF(PNL!A1018="","",PNL!A1018)</f>
        <v/>
      </c>
      <c r="B1018" t="str">
        <f>IF(PNL!B1018="","",PNL!B1018)</f>
        <v/>
      </c>
      <c r="C1018" t="str">
        <f>IF(PNL!C1018="","",PNL!C1018)</f>
        <v/>
      </c>
      <c r="D1018" t="str">
        <f>IF(PNL!D1018="","",PNL!D1018)</f>
        <v/>
      </c>
      <c r="E1018" t="str">
        <f t="shared" si="60"/>
        <v/>
      </c>
      <c r="F1018" t="str">
        <f>IF($A1018="","",IF($E1018=1,SUMIFS(Compta!$F$1:$F$675,Compta!$A$1:$A$675,$A1018,Compta!$B$1:$B$675,$B1018,Compta!$C$1:$C$675,"2026"),0))</f>
        <v/>
      </c>
      <c r="G1018" t="str">
        <f>IF($A1018="","",IF($D1018="V01",cad!$C$23,IF($D1018="V02",cad!$D$23,cad!$E$23)))</f>
        <v/>
      </c>
      <c r="H1018" t="str">
        <f>IF($A1018="","",IF($D1018="V01",cad!$C$24,IF($D1018="V02",cad!$D$24,cad!$E$24)))</f>
        <v/>
      </c>
      <c r="I1018" t="str">
        <f>IF($A1018="","",IF($D1018="V01",cad!$C$32,IF($D1018="V02",cad!$D$32,cad!$E$32)))</f>
        <v/>
      </c>
      <c r="J1018" t="str">
        <f>IF($A1018="","",IF($D1018="V01",cad!$C$33,IF($D1018="V02",cad!$D$33,cad!$E$33)))</f>
        <v/>
      </c>
      <c r="K1018" t="str">
        <f>IF($A1018="","",IF($D1018="V01",cad!$C$34,IF($D1018="V02",cad!$D$34,cad!$E$34)))</f>
        <v/>
      </c>
      <c r="L1018" t="str">
        <f>IF($A1018="","",IF($D1018="V01",cad!$C$35,IF($D1018="V02",cad!$D$35,cad!$E$35)))</f>
        <v/>
      </c>
      <c r="M1018" t="str">
        <f>IF($A1018="","",IF($D1018="V01",cad!$C$36,IF($D1018="V02",cad!$D$36,cad!$E$36)))</f>
        <v/>
      </c>
      <c r="N1018" t="str">
        <f t="shared" si="61"/>
        <v/>
      </c>
      <c r="O1018" t="str">
        <f t="shared" si="62"/>
        <v/>
      </c>
      <c r="P1018" t="str">
        <f>IF($A1018="","",IF($E1018=1,$F1018*$O1018,PNL!G1018))</f>
        <v/>
      </c>
      <c r="T1018" t="str">
        <f t="shared" si="63"/>
        <v/>
      </c>
    </row>
    <row r="1019" spans="1:20" x14ac:dyDescent="0.45">
      <c r="A1019" t="str">
        <f>IF(PNL!A1019="","",PNL!A1019)</f>
        <v/>
      </c>
      <c r="B1019" t="str">
        <f>IF(PNL!B1019="","",PNL!B1019)</f>
        <v/>
      </c>
      <c r="C1019" t="str">
        <f>IF(PNL!C1019="","",PNL!C1019)</f>
        <v/>
      </c>
      <c r="D1019" t="str">
        <f>IF(PNL!D1019="","",PNL!D1019)</f>
        <v/>
      </c>
      <c r="E1019" t="str">
        <f t="shared" si="60"/>
        <v/>
      </c>
      <c r="F1019" t="str">
        <f>IF($A1019="","",IF($E1019=1,SUMIFS(Compta!$F$1:$F$675,Compta!$A$1:$A$675,$A1019,Compta!$B$1:$B$675,$B1019,Compta!$C$1:$C$675,"2026"),0))</f>
        <v/>
      </c>
      <c r="G1019" t="str">
        <f>IF($A1019="","",IF($D1019="V01",cad!$C$23,IF($D1019="V02",cad!$D$23,cad!$E$23)))</f>
        <v/>
      </c>
      <c r="H1019" t="str">
        <f>IF($A1019="","",IF($D1019="V01",cad!$C$24,IF($D1019="V02",cad!$D$24,cad!$E$24)))</f>
        <v/>
      </c>
      <c r="I1019" t="str">
        <f>IF($A1019="","",IF($D1019="V01",cad!$C$32,IF($D1019="V02",cad!$D$32,cad!$E$32)))</f>
        <v/>
      </c>
      <c r="J1019" t="str">
        <f>IF($A1019="","",IF($D1019="V01",cad!$C$33,IF($D1019="V02",cad!$D$33,cad!$E$33)))</f>
        <v/>
      </c>
      <c r="K1019" t="str">
        <f>IF($A1019="","",IF($D1019="V01",cad!$C$34,IF($D1019="V02",cad!$D$34,cad!$E$34)))</f>
        <v/>
      </c>
      <c r="L1019" t="str">
        <f>IF($A1019="","",IF($D1019="V01",cad!$C$35,IF($D1019="V02",cad!$D$35,cad!$E$35)))</f>
        <v/>
      </c>
      <c r="M1019" t="str">
        <f>IF($A1019="","",IF($D1019="V01",cad!$C$36,IF($D1019="V02",cad!$D$36,cad!$E$36)))</f>
        <v/>
      </c>
      <c r="N1019" t="str">
        <f t="shared" si="61"/>
        <v/>
      </c>
      <c r="O1019" t="str">
        <f t="shared" si="62"/>
        <v/>
      </c>
      <c r="P1019" t="str">
        <f>IF($A1019="","",IF($E1019=1,$F1019*$O1019,PNL!G1019))</f>
        <v/>
      </c>
      <c r="T1019" t="str">
        <f t="shared" si="63"/>
        <v/>
      </c>
    </row>
    <row r="1020" spans="1:20" x14ac:dyDescent="0.45">
      <c r="A1020" t="str">
        <f>IF(PNL!A1020="","",PNL!A1020)</f>
        <v/>
      </c>
      <c r="B1020" t="str">
        <f>IF(PNL!B1020="","",PNL!B1020)</f>
        <v/>
      </c>
      <c r="C1020" t="str">
        <f>IF(PNL!C1020="","",PNL!C1020)</f>
        <v/>
      </c>
      <c r="D1020" t="str">
        <f>IF(PNL!D1020="","",PNL!D1020)</f>
        <v/>
      </c>
      <c r="E1020" t="str">
        <f t="shared" si="60"/>
        <v/>
      </c>
      <c r="F1020" t="str">
        <f>IF($A1020="","",IF($E1020=1,SUMIFS(Compta!$F$1:$F$675,Compta!$A$1:$A$675,$A1020,Compta!$B$1:$B$675,$B1020,Compta!$C$1:$C$675,"2026"),0))</f>
        <v/>
      </c>
      <c r="G1020" t="str">
        <f>IF($A1020="","",IF($D1020="V01",cad!$C$23,IF($D1020="V02",cad!$D$23,cad!$E$23)))</f>
        <v/>
      </c>
      <c r="H1020" t="str">
        <f>IF($A1020="","",IF($D1020="V01",cad!$C$24,IF($D1020="V02",cad!$D$24,cad!$E$24)))</f>
        <v/>
      </c>
      <c r="I1020" t="str">
        <f>IF($A1020="","",IF($D1020="V01",cad!$C$32,IF($D1020="V02",cad!$D$32,cad!$E$32)))</f>
        <v/>
      </c>
      <c r="J1020" t="str">
        <f>IF($A1020="","",IF($D1020="V01",cad!$C$33,IF($D1020="V02",cad!$D$33,cad!$E$33)))</f>
        <v/>
      </c>
      <c r="K1020" t="str">
        <f>IF($A1020="","",IF($D1020="V01",cad!$C$34,IF($D1020="V02",cad!$D$34,cad!$E$34)))</f>
        <v/>
      </c>
      <c r="L1020" t="str">
        <f>IF($A1020="","",IF($D1020="V01",cad!$C$35,IF($D1020="V02",cad!$D$35,cad!$E$35)))</f>
        <v/>
      </c>
      <c r="M1020" t="str">
        <f>IF($A1020="","",IF($D1020="V01",cad!$C$36,IF($D1020="V02",cad!$D$36,cad!$E$36)))</f>
        <v/>
      </c>
      <c r="N1020" t="str">
        <f t="shared" si="61"/>
        <v/>
      </c>
      <c r="O1020" t="str">
        <f t="shared" si="62"/>
        <v/>
      </c>
      <c r="P1020" t="str">
        <f>IF($A1020="","",IF($E1020=1,$F1020*$O1020,PNL!G1020))</f>
        <v/>
      </c>
      <c r="T1020" t="str">
        <f t="shared" si="63"/>
        <v/>
      </c>
    </row>
    <row r="1021" spans="1:20" x14ac:dyDescent="0.45">
      <c r="A1021" t="str">
        <f>IF(PNL!A1021="","",PNL!A1021)</f>
        <v/>
      </c>
      <c r="B1021" t="str">
        <f>IF(PNL!B1021="","",PNL!B1021)</f>
        <v/>
      </c>
      <c r="C1021" t="str">
        <f>IF(PNL!C1021="","",PNL!C1021)</f>
        <v/>
      </c>
      <c r="D1021" t="str">
        <f>IF(PNL!D1021="","",PNL!D1021)</f>
        <v/>
      </c>
      <c r="E1021" t="str">
        <f t="shared" si="60"/>
        <v/>
      </c>
      <c r="F1021" t="str">
        <f>IF($A1021="","",IF($E1021=1,SUMIFS(Compta!$F$1:$F$675,Compta!$A$1:$A$675,$A1021,Compta!$B$1:$B$675,$B1021,Compta!$C$1:$C$675,"2026"),0))</f>
        <v/>
      </c>
      <c r="G1021" t="str">
        <f>IF($A1021="","",IF($D1021="V01",cad!$C$23,IF($D1021="V02",cad!$D$23,cad!$E$23)))</f>
        <v/>
      </c>
      <c r="H1021" t="str">
        <f>IF($A1021="","",IF($D1021="V01",cad!$C$24,IF($D1021="V02",cad!$D$24,cad!$E$24)))</f>
        <v/>
      </c>
      <c r="I1021" t="str">
        <f>IF($A1021="","",IF($D1021="V01",cad!$C$32,IF($D1021="V02",cad!$D$32,cad!$E$32)))</f>
        <v/>
      </c>
      <c r="J1021" t="str">
        <f>IF($A1021="","",IF($D1021="V01",cad!$C$33,IF($D1021="V02",cad!$D$33,cad!$E$33)))</f>
        <v/>
      </c>
      <c r="K1021" t="str">
        <f>IF($A1021="","",IF($D1021="V01",cad!$C$34,IF($D1021="V02",cad!$D$34,cad!$E$34)))</f>
        <v/>
      </c>
      <c r="L1021" t="str">
        <f>IF($A1021="","",IF($D1021="V01",cad!$C$35,IF($D1021="V02",cad!$D$35,cad!$E$35)))</f>
        <v/>
      </c>
      <c r="M1021" t="str">
        <f>IF($A1021="","",IF($D1021="V01",cad!$C$36,IF($D1021="V02",cad!$D$36,cad!$E$36)))</f>
        <v/>
      </c>
      <c r="N1021" t="str">
        <f t="shared" si="61"/>
        <v/>
      </c>
      <c r="O1021" t="str">
        <f t="shared" si="62"/>
        <v/>
      </c>
      <c r="P1021" t="str">
        <f>IF($A1021="","",IF($E1021=1,$F1021*$O1021,PNL!G1021))</f>
        <v/>
      </c>
      <c r="T1021" t="str">
        <f t="shared" si="63"/>
        <v/>
      </c>
    </row>
    <row r="1022" spans="1:20" x14ac:dyDescent="0.45">
      <c r="A1022" t="str">
        <f>IF(PNL!A1022="","",PNL!A1022)</f>
        <v/>
      </c>
      <c r="B1022" t="str">
        <f>IF(PNL!B1022="","",PNL!B1022)</f>
        <v/>
      </c>
      <c r="C1022" t="str">
        <f>IF(PNL!C1022="","",PNL!C1022)</f>
        <v/>
      </c>
      <c r="D1022" t="str">
        <f>IF(PNL!D1022="","",PNL!D1022)</f>
        <v/>
      </c>
      <c r="E1022" t="str">
        <f t="shared" si="60"/>
        <v/>
      </c>
      <c r="F1022" t="str">
        <f>IF($A1022="","",IF($E1022=1,SUMIFS(Compta!$F$1:$F$675,Compta!$A$1:$A$675,$A1022,Compta!$B$1:$B$675,$B1022,Compta!$C$1:$C$675,"2026"),0))</f>
        <v/>
      </c>
      <c r="G1022" t="str">
        <f>IF($A1022="","",IF($D1022="V01",cad!$C$23,IF($D1022="V02",cad!$D$23,cad!$E$23)))</f>
        <v/>
      </c>
      <c r="H1022" t="str">
        <f>IF($A1022="","",IF($D1022="V01",cad!$C$24,IF($D1022="V02",cad!$D$24,cad!$E$24)))</f>
        <v/>
      </c>
      <c r="I1022" t="str">
        <f>IF($A1022="","",IF($D1022="V01",cad!$C$32,IF($D1022="V02",cad!$D$32,cad!$E$32)))</f>
        <v/>
      </c>
      <c r="J1022" t="str">
        <f>IF($A1022="","",IF($D1022="V01",cad!$C$33,IF($D1022="V02",cad!$D$33,cad!$E$33)))</f>
        <v/>
      </c>
      <c r="K1022" t="str">
        <f>IF($A1022="","",IF($D1022="V01",cad!$C$34,IF($D1022="V02",cad!$D$34,cad!$E$34)))</f>
        <v/>
      </c>
      <c r="L1022" t="str">
        <f>IF($A1022="","",IF($D1022="V01",cad!$C$35,IF($D1022="V02",cad!$D$35,cad!$E$35)))</f>
        <v/>
      </c>
      <c r="M1022" t="str">
        <f>IF($A1022="","",IF($D1022="V01",cad!$C$36,IF($D1022="V02",cad!$D$36,cad!$E$36)))</f>
        <v/>
      </c>
      <c r="N1022" t="str">
        <f t="shared" si="61"/>
        <v/>
      </c>
      <c r="O1022" t="str">
        <f t="shared" si="62"/>
        <v/>
      </c>
      <c r="P1022" t="str">
        <f>IF($A1022="","",IF($E1022=1,$F1022*$O1022,PNL!G1022))</f>
        <v/>
      </c>
      <c r="T1022" t="str">
        <f t="shared" si="63"/>
        <v/>
      </c>
    </row>
    <row r="1023" spans="1:20" x14ac:dyDescent="0.45">
      <c r="A1023" t="str">
        <f>IF(PNL!A1023="","",PNL!A1023)</f>
        <v/>
      </c>
      <c r="B1023" t="str">
        <f>IF(PNL!B1023="","",PNL!B1023)</f>
        <v/>
      </c>
      <c r="C1023" t="str">
        <f>IF(PNL!C1023="","",PNL!C1023)</f>
        <v/>
      </c>
      <c r="D1023" t="str">
        <f>IF(PNL!D1023="","",PNL!D1023)</f>
        <v/>
      </c>
      <c r="E1023" t="str">
        <f t="shared" si="60"/>
        <v/>
      </c>
      <c r="F1023" t="str">
        <f>IF($A1023="","",IF($E1023=1,SUMIFS(Compta!$F$1:$F$675,Compta!$A$1:$A$675,$A1023,Compta!$B$1:$B$675,$B1023,Compta!$C$1:$C$675,"2026"),0))</f>
        <v/>
      </c>
      <c r="G1023" t="str">
        <f>IF($A1023="","",IF($D1023="V01",cad!$C$23,IF($D1023="V02",cad!$D$23,cad!$E$23)))</f>
        <v/>
      </c>
      <c r="H1023" t="str">
        <f>IF($A1023="","",IF($D1023="V01",cad!$C$24,IF($D1023="V02",cad!$D$24,cad!$E$24)))</f>
        <v/>
      </c>
      <c r="I1023" t="str">
        <f>IF($A1023="","",IF($D1023="V01",cad!$C$32,IF($D1023="V02",cad!$D$32,cad!$E$32)))</f>
        <v/>
      </c>
      <c r="J1023" t="str">
        <f>IF($A1023="","",IF($D1023="V01",cad!$C$33,IF($D1023="V02",cad!$D$33,cad!$E$33)))</f>
        <v/>
      </c>
      <c r="K1023" t="str">
        <f>IF($A1023="","",IF($D1023="V01",cad!$C$34,IF($D1023="V02",cad!$D$34,cad!$E$34)))</f>
        <v/>
      </c>
      <c r="L1023" t="str">
        <f>IF($A1023="","",IF($D1023="V01",cad!$C$35,IF($D1023="V02",cad!$D$35,cad!$E$35)))</f>
        <v/>
      </c>
      <c r="M1023" t="str">
        <f>IF($A1023="","",IF($D1023="V01",cad!$C$36,IF($D1023="V02",cad!$D$36,cad!$E$36)))</f>
        <v/>
      </c>
      <c r="N1023" t="str">
        <f t="shared" si="61"/>
        <v/>
      </c>
      <c r="O1023" t="str">
        <f t="shared" si="62"/>
        <v/>
      </c>
      <c r="P1023" t="str">
        <f>IF($A1023="","",IF($E1023=1,$F1023*$O1023,PNL!G1023))</f>
        <v/>
      </c>
      <c r="T1023" t="str">
        <f t="shared" si="63"/>
        <v/>
      </c>
    </row>
    <row r="1024" spans="1:20" x14ac:dyDescent="0.45">
      <c r="A1024" t="str">
        <f>IF(PNL!A1024="","",PNL!A1024)</f>
        <v/>
      </c>
      <c r="B1024" t="str">
        <f>IF(PNL!B1024="","",PNL!B1024)</f>
        <v/>
      </c>
      <c r="C1024" t="str">
        <f>IF(PNL!C1024="","",PNL!C1024)</f>
        <v/>
      </c>
      <c r="D1024" t="str">
        <f>IF(PNL!D1024="","",PNL!D1024)</f>
        <v/>
      </c>
      <c r="E1024" t="str">
        <f t="shared" si="60"/>
        <v/>
      </c>
      <c r="F1024" t="str">
        <f>IF($A1024="","",IF($E1024=1,SUMIFS(Compta!$F$1:$F$675,Compta!$A$1:$A$675,$A1024,Compta!$B$1:$B$675,$B1024,Compta!$C$1:$C$675,"2026"),0))</f>
        <v/>
      </c>
      <c r="G1024" t="str">
        <f>IF($A1024="","",IF($D1024="V01",cad!$C$23,IF($D1024="V02",cad!$D$23,cad!$E$23)))</f>
        <v/>
      </c>
      <c r="H1024" t="str">
        <f>IF($A1024="","",IF($D1024="V01",cad!$C$24,IF($D1024="V02",cad!$D$24,cad!$E$24)))</f>
        <v/>
      </c>
      <c r="I1024" t="str">
        <f>IF($A1024="","",IF($D1024="V01",cad!$C$32,IF($D1024="V02",cad!$D$32,cad!$E$32)))</f>
        <v/>
      </c>
      <c r="J1024" t="str">
        <f>IF($A1024="","",IF($D1024="V01",cad!$C$33,IF($D1024="V02",cad!$D$33,cad!$E$33)))</f>
        <v/>
      </c>
      <c r="K1024" t="str">
        <f>IF($A1024="","",IF($D1024="V01",cad!$C$34,IF($D1024="V02",cad!$D$34,cad!$E$34)))</f>
        <v/>
      </c>
      <c r="L1024" t="str">
        <f>IF($A1024="","",IF($D1024="V01",cad!$C$35,IF($D1024="V02",cad!$D$35,cad!$E$35)))</f>
        <v/>
      </c>
      <c r="M1024" t="str">
        <f>IF($A1024="","",IF($D1024="V01",cad!$C$36,IF($D1024="V02",cad!$D$36,cad!$E$36)))</f>
        <v/>
      </c>
      <c r="N1024" t="str">
        <f t="shared" si="61"/>
        <v/>
      </c>
      <c r="O1024" t="str">
        <f t="shared" si="62"/>
        <v/>
      </c>
      <c r="P1024" t="str">
        <f>IF($A1024="","",IF($E1024=1,$F1024*$O1024,PNL!G1024))</f>
        <v/>
      </c>
      <c r="T1024" t="str">
        <f t="shared" si="63"/>
        <v/>
      </c>
    </row>
    <row r="1025" spans="1:20" x14ac:dyDescent="0.45">
      <c r="A1025" t="str">
        <f>IF(PNL!A1025="","",PNL!A1025)</f>
        <v/>
      </c>
      <c r="B1025" t="str">
        <f>IF(PNL!B1025="","",PNL!B1025)</f>
        <v/>
      </c>
      <c r="C1025" t="str">
        <f>IF(PNL!C1025="","",PNL!C1025)</f>
        <v/>
      </c>
      <c r="D1025" t="str">
        <f>IF(PNL!D1025="","",PNL!D1025)</f>
        <v/>
      </c>
      <c r="E1025" t="str">
        <f t="shared" si="60"/>
        <v/>
      </c>
      <c r="F1025" t="str">
        <f>IF($A1025="","",IF($E1025=1,SUMIFS(Compta!$F$1:$F$675,Compta!$A$1:$A$675,$A1025,Compta!$B$1:$B$675,$B1025,Compta!$C$1:$C$675,"2026"),0))</f>
        <v/>
      </c>
      <c r="G1025" t="str">
        <f>IF($A1025="","",IF($D1025="V01",cad!$C$23,IF($D1025="V02",cad!$D$23,cad!$E$23)))</f>
        <v/>
      </c>
      <c r="H1025" t="str">
        <f>IF($A1025="","",IF($D1025="V01",cad!$C$24,IF($D1025="V02",cad!$D$24,cad!$E$24)))</f>
        <v/>
      </c>
      <c r="I1025" t="str">
        <f>IF($A1025="","",IF($D1025="V01",cad!$C$32,IF($D1025="V02",cad!$D$32,cad!$E$32)))</f>
        <v/>
      </c>
      <c r="J1025" t="str">
        <f>IF($A1025="","",IF($D1025="V01",cad!$C$33,IF($D1025="V02",cad!$D$33,cad!$E$33)))</f>
        <v/>
      </c>
      <c r="K1025" t="str">
        <f>IF($A1025="","",IF($D1025="V01",cad!$C$34,IF($D1025="V02",cad!$D$34,cad!$E$34)))</f>
        <v/>
      </c>
      <c r="L1025" t="str">
        <f>IF($A1025="","",IF($D1025="V01",cad!$C$35,IF($D1025="V02",cad!$D$35,cad!$E$35)))</f>
        <v/>
      </c>
      <c r="M1025" t="str">
        <f>IF($A1025="","",IF($D1025="V01",cad!$C$36,IF($D1025="V02",cad!$D$36,cad!$E$36)))</f>
        <v/>
      </c>
      <c r="N1025" t="str">
        <f t="shared" si="61"/>
        <v/>
      </c>
      <c r="O1025" t="str">
        <f t="shared" si="62"/>
        <v/>
      </c>
      <c r="P1025" t="str">
        <f>IF($A1025="","",IF($E1025=1,$F1025*$O1025,PNL!G1025))</f>
        <v/>
      </c>
      <c r="T1025" t="str">
        <f t="shared" si="63"/>
        <v/>
      </c>
    </row>
    <row r="1026" spans="1:20" x14ac:dyDescent="0.45">
      <c r="A1026" t="str">
        <f>IF(PNL!A1026="","",PNL!A1026)</f>
        <v/>
      </c>
      <c r="B1026" t="str">
        <f>IF(PNL!B1026="","",PNL!B1026)</f>
        <v/>
      </c>
      <c r="C1026" t="str">
        <f>IF(PNL!C1026="","",PNL!C1026)</f>
        <v/>
      </c>
      <c r="D1026" t="str">
        <f>IF(PNL!D1026="","",PNL!D1026)</f>
        <v/>
      </c>
      <c r="E1026" t="str">
        <f t="shared" ref="E1026:E1089" si="64">IF($A1026="","",IF(AND($C1026="2027",OR($D1026="V01",$D1026="V02",$D1026="V03")),1,0))</f>
        <v/>
      </c>
      <c r="F1026" t="str">
        <f>IF($A1026="","",IF($E1026=1,SUMIFS(Compta!$F$1:$F$675,Compta!$A$1:$A$675,$A1026,Compta!$B$1:$B$675,$B1026,Compta!$C$1:$C$675,"2026"),0))</f>
        <v/>
      </c>
      <c r="G1026" t="str">
        <f>IF($A1026="","",IF($D1026="V01",cad!$C$23,IF($D1026="V02",cad!$D$23,cad!$E$23)))</f>
        <v/>
      </c>
      <c r="H1026" t="str">
        <f>IF($A1026="","",IF($D1026="V01",cad!$C$24,IF($D1026="V02",cad!$D$24,cad!$E$24)))</f>
        <v/>
      </c>
      <c r="I1026" t="str">
        <f>IF($A1026="","",IF($D1026="V01",cad!$C$32,IF($D1026="V02",cad!$D$32,cad!$E$32)))</f>
        <v/>
      </c>
      <c r="J1026" t="str">
        <f>IF($A1026="","",IF($D1026="V01",cad!$C$33,IF($D1026="V02",cad!$D$33,cad!$E$33)))</f>
        <v/>
      </c>
      <c r="K1026" t="str">
        <f>IF($A1026="","",IF($D1026="V01",cad!$C$34,IF($D1026="V02",cad!$D$34,cad!$E$34)))</f>
        <v/>
      </c>
      <c r="L1026" t="str">
        <f>IF($A1026="","",IF($D1026="V01",cad!$C$35,IF($D1026="V02",cad!$D$35,cad!$E$35)))</f>
        <v/>
      </c>
      <c r="M1026" t="str">
        <f>IF($A1026="","",IF($D1026="V01",cad!$C$36,IF($D1026="V02",cad!$D$36,cad!$E$36)))</f>
        <v/>
      </c>
      <c r="N1026" t="str">
        <f t="shared" ref="N1026:N1089" si="65">IF($A1026="","",IF($D1026="V01",$R$2,IF($D1026="V02",$R$3,$R$4)))</f>
        <v/>
      </c>
      <c r="O1026" t="str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 t="str">
        <f>IF($A1026="","",IF($E1026=1,$F1026*$O1026,PNL!G1026))</f>
        <v/>
      </c>
      <c r="T1026" t="str">
        <f t="shared" ref="T1026:T1089" si="67">IF($A1026="","",IF($E1026=1,IF(OR($B1026="7062",$B1026="706",$B1026="708"),$P1026,IF(AND(LEFT($B1026,1)="6",$B1026&lt;&gt;"6811"),-$P1026,0)),0))</f>
        <v/>
      </c>
    </row>
    <row r="1027" spans="1:20" x14ac:dyDescent="0.45">
      <c r="A1027" t="str">
        <f>IF(PNL!A1027="","",PNL!A1027)</f>
        <v/>
      </c>
      <c r="B1027" t="str">
        <f>IF(PNL!B1027="","",PNL!B1027)</f>
        <v/>
      </c>
      <c r="C1027" t="str">
        <f>IF(PNL!C1027="","",PNL!C1027)</f>
        <v/>
      </c>
      <c r="D1027" t="str">
        <f>IF(PNL!D1027="","",PNL!D1027)</f>
        <v/>
      </c>
      <c r="E1027" t="str">
        <f t="shared" si="64"/>
        <v/>
      </c>
      <c r="F1027" t="str">
        <f>IF($A1027="","",IF($E1027=1,SUMIFS(Compta!$F$1:$F$675,Compta!$A$1:$A$675,$A1027,Compta!$B$1:$B$675,$B1027,Compta!$C$1:$C$675,"2026"),0))</f>
        <v/>
      </c>
      <c r="G1027" t="str">
        <f>IF($A1027="","",IF($D1027="V01",cad!$C$23,IF($D1027="V02",cad!$D$23,cad!$E$23)))</f>
        <v/>
      </c>
      <c r="H1027" t="str">
        <f>IF($A1027="","",IF($D1027="V01",cad!$C$24,IF($D1027="V02",cad!$D$24,cad!$E$24)))</f>
        <v/>
      </c>
      <c r="I1027" t="str">
        <f>IF($A1027="","",IF($D1027="V01",cad!$C$32,IF($D1027="V02",cad!$D$32,cad!$E$32)))</f>
        <v/>
      </c>
      <c r="J1027" t="str">
        <f>IF($A1027="","",IF($D1027="V01",cad!$C$33,IF($D1027="V02",cad!$D$33,cad!$E$33)))</f>
        <v/>
      </c>
      <c r="K1027" t="str">
        <f>IF($A1027="","",IF($D1027="V01",cad!$C$34,IF($D1027="V02",cad!$D$34,cad!$E$34)))</f>
        <v/>
      </c>
      <c r="L1027" t="str">
        <f>IF($A1027="","",IF($D1027="V01",cad!$C$35,IF($D1027="V02",cad!$D$35,cad!$E$35)))</f>
        <v/>
      </c>
      <c r="M1027" t="str">
        <f>IF($A1027="","",IF($D1027="V01",cad!$C$36,IF($D1027="V02",cad!$D$36,cad!$E$36)))</f>
        <v/>
      </c>
      <c r="N1027" t="str">
        <f t="shared" si="65"/>
        <v/>
      </c>
      <c r="O1027" t="str">
        <f t="shared" si="66"/>
        <v/>
      </c>
      <c r="P1027" t="str">
        <f>IF($A1027="","",IF($E1027=1,$F1027*$O1027,PNL!G1027))</f>
        <v/>
      </c>
      <c r="T1027" t="str">
        <f t="shared" si="67"/>
        <v/>
      </c>
    </row>
    <row r="1028" spans="1:20" x14ac:dyDescent="0.45">
      <c r="A1028" t="str">
        <f>IF(PNL!A1028="","",PNL!A1028)</f>
        <v/>
      </c>
      <c r="B1028" t="str">
        <f>IF(PNL!B1028="","",PNL!B1028)</f>
        <v/>
      </c>
      <c r="C1028" t="str">
        <f>IF(PNL!C1028="","",PNL!C1028)</f>
        <v/>
      </c>
      <c r="D1028" t="str">
        <f>IF(PNL!D1028="","",PNL!D1028)</f>
        <v/>
      </c>
      <c r="E1028" t="str">
        <f t="shared" si="64"/>
        <v/>
      </c>
      <c r="F1028" t="str">
        <f>IF($A1028="","",IF($E1028=1,SUMIFS(Compta!$F$1:$F$675,Compta!$A$1:$A$675,$A1028,Compta!$B$1:$B$675,$B1028,Compta!$C$1:$C$675,"2026"),0))</f>
        <v/>
      </c>
      <c r="G1028" t="str">
        <f>IF($A1028="","",IF($D1028="V01",cad!$C$23,IF($D1028="V02",cad!$D$23,cad!$E$23)))</f>
        <v/>
      </c>
      <c r="H1028" t="str">
        <f>IF($A1028="","",IF($D1028="V01",cad!$C$24,IF($D1028="V02",cad!$D$24,cad!$E$24)))</f>
        <v/>
      </c>
      <c r="I1028" t="str">
        <f>IF($A1028="","",IF($D1028="V01",cad!$C$32,IF($D1028="V02",cad!$D$32,cad!$E$32)))</f>
        <v/>
      </c>
      <c r="J1028" t="str">
        <f>IF($A1028="","",IF($D1028="V01",cad!$C$33,IF($D1028="V02",cad!$D$33,cad!$E$33)))</f>
        <v/>
      </c>
      <c r="K1028" t="str">
        <f>IF($A1028="","",IF($D1028="V01",cad!$C$34,IF($D1028="V02",cad!$D$34,cad!$E$34)))</f>
        <v/>
      </c>
      <c r="L1028" t="str">
        <f>IF($A1028="","",IF($D1028="V01",cad!$C$35,IF($D1028="V02",cad!$D$35,cad!$E$35)))</f>
        <v/>
      </c>
      <c r="M1028" t="str">
        <f>IF($A1028="","",IF($D1028="V01",cad!$C$36,IF($D1028="V02",cad!$D$36,cad!$E$36)))</f>
        <v/>
      </c>
      <c r="N1028" t="str">
        <f t="shared" si="65"/>
        <v/>
      </c>
      <c r="O1028" t="str">
        <f t="shared" si="66"/>
        <v/>
      </c>
      <c r="P1028" t="str">
        <f>IF($A1028="","",IF($E1028=1,$F1028*$O1028,PNL!G1028))</f>
        <v/>
      </c>
      <c r="T1028" t="str">
        <f t="shared" si="67"/>
        <v/>
      </c>
    </row>
    <row r="1029" spans="1:20" x14ac:dyDescent="0.45">
      <c r="A1029" t="str">
        <f>IF(PNL!A1029="","",PNL!A1029)</f>
        <v/>
      </c>
      <c r="B1029" t="str">
        <f>IF(PNL!B1029="","",PNL!B1029)</f>
        <v/>
      </c>
      <c r="C1029" t="str">
        <f>IF(PNL!C1029="","",PNL!C1029)</f>
        <v/>
      </c>
      <c r="D1029" t="str">
        <f>IF(PNL!D1029="","",PNL!D1029)</f>
        <v/>
      </c>
      <c r="E1029" t="str">
        <f t="shared" si="64"/>
        <v/>
      </c>
      <c r="F1029" t="str">
        <f>IF($A1029="","",IF($E1029=1,SUMIFS(Compta!$F$1:$F$675,Compta!$A$1:$A$675,$A1029,Compta!$B$1:$B$675,$B1029,Compta!$C$1:$C$675,"2026"),0))</f>
        <v/>
      </c>
      <c r="G1029" t="str">
        <f>IF($A1029="","",IF($D1029="V01",cad!$C$23,IF($D1029="V02",cad!$D$23,cad!$E$23)))</f>
        <v/>
      </c>
      <c r="H1029" t="str">
        <f>IF($A1029="","",IF($D1029="V01",cad!$C$24,IF($D1029="V02",cad!$D$24,cad!$E$24)))</f>
        <v/>
      </c>
      <c r="I1029" t="str">
        <f>IF($A1029="","",IF($D1029="V01",cad!$C$32,IF($D1029="V02",cad!$D$32,cad!$E$32)))</f>
        <v/>
      </c>
      <c r="J1029" t="str">
        <f>IF($A1029="","",IF($D1029="V01",cad!$C$33,IF($D1029="V02",cad!$D$33,cad!$E$33)))</f>
        <v/>
      </c>
      <c r="K1029" t="str">
        <f>IF($A1029="","",IF($D1029="V01",cad!$C$34,IF($D1029="V02",cad!$D$34,cad!$E$34)))</f>
        <v/>
      </c>
      <c r="L1029" t="str">
        <f>IF($A1029="","",IF($D1029="V01",cad!$C$35,IF($D1029="V02",cad!$D$35,cad!$E$35)))</f>
        <v/>
      </c>
      <c r="M1029" t="str">
        <f>IF($A1029="","",IF($D1029="V01",cad!$C$36,IF($D1029="V02",cad!$D$36,cad!$E$36)))</f>
        <v/>
      </c>
      <c r="N1029" t="str">
        <f t="shared" si="65"/>
        <v/>
      </c>
      <c r="O1029" t="str">
        <f t="shared" si="66"/>
        <v/>
      </c>
      <c r="P1029" t="str">
        <f>IF($A1029="","",IF($E1029=1,$F1029*$O1029,PNL!G1029))</f>
        <v/>
      </c>
      <c r="T1029" t="str">
        <f t="shared" si="67"/>
        <v/>
      </c>
    </row>
    <row r="1030" spans="1:20" x14ac:dyDescent="0.45">
      <c r="A1030" t="str">
        <f>IF(PNL!A1030="","",PNL!A1030)</f>
        <v/>
      </c>
      <c r="B1030" t="str">
        <f>IF(PNL!B1030="","",PNL!B1030)</f>
        <v/>
      </c>
      <c r="C1030" t="str">
        <f>IF(PNL!C1030="","",PNL!C1030)</f>
        <v/>
      </c>
      <c r="D1030" t="str">
        <f>IF(PNL!D1030="","",PNL!D1030)</f>
        <v/>
      </c>
      <c r="E1030" t="str">
        <f t="shared" si="64"/>
        <v/>
      </c>
      <c r="F1030" t="str">
        <f>IF($A1030="","",IF($E1030=1,SUMIFS(Compta!$F$1:$F$675,Compta!$A$1:$A$675,$A1030,Compta!$B$1:$B$675,$B1030,Compta!$C$1:$C$675,"2026"),0))</f>
        <v/>
      </c>
      <c r="G1030" t="str">
        <f>IF($A1030="","",IF($D1030="V01",cad!$C$23,IF($D1030="V02",cad!$D$23,cad!$E$23)))</f>
        <v/>
      </c>
      <c r="H1030" t="str">
        <f>IF($A1030="","",IF($D1030="V01",cad!$C$24,IF($D1030="V02",cad!$D$24,cad!$E$24)))</f>
        <v/>
      </c>
      <c r="I1030" t="str">
        <f>IF($A1030="","",IF($D1030="V01",cad!$C$32,IF($D1030="V02",cad!$D$32,cad!$E$32)))</f>
        <v/>
      </c>
      <c r="J1030" t="str">
        <f>IF($A1030="","",IF($D1030="V01",cad!$C$33,IF($D1030="V02",cad!$D$33,cad!$E$33)))</f>
        <v/>
      </c>
      <c r="K1030" t="str">
        <f>IF($A1030="","",IF($D1030="V01",cad!$C$34,IF($D1030="V02",cad!$D$34,cad!$E$34)))</f>
        <v/>
      </c>
      <c r="L1030" t="str">
        <f>IF($A1030="","",IF($D1030="V01",cad!$C$35,IF($D1030="V02",cad!$D$35,cad!$E$35)))</f>
        <v/>
      </c>
      <c r="M1030" t="str">
        <f>IF($A1030="","",IF($D1030="V01",cad!$C$36,IF($D1030="V02",cad!$D$36,cad!$E$36)))</f>
        <v/>
      </c>
      <c r="N1030" t="str">
        <f t="shared" si="65"/>
        <v/>
      </c>
      <c r="O1030" t="str">
        <f t="shared" si="66"/>
        <v/>
      </c>
      <c r="P1030" t="str">
        <f>IF($A1030="","",IF($E1030=1,$F1030*$O1030,PNL!G1030))</f>
        <v/>
      </c>
      <c r="T1030" t="str">
        <f t="shared" si="67"/>
        <v/>
      </c>
    </row>
    <row r="1031" spans="1:20" x14ac:dyDescent="0.45">
      <c r="A1031" t="str">
        <f>IF(PNL!A1031="","",PNL!A1031)</f>
        <v/>
      </c>
      <c r="B1031" t="str">
        <f>IF(PNL!B1031="","",PNL!B1031)</f>
        <v/>
      </c>
      <c r="C1031" t="str">
        <f>IF(PNL!C1031="","",PNL!C1031)</f>
        <v/>
      </c>
      <c r="D1031" t="str">
        <f>IF(PNL!D1031="","",PNL!D1031)</f>
        <v/>
      </c>
      <c r="E1031" t="str">
        <f t="shared" si="64"/>
        <v/>
      </c>
      <c r="F1031" t="str">
        <f>IF($A1031="","",IF($E1031=1,SUMIFS(Compta!$F$1:$F$675,Compta!$A$1:$A$675,$A1031,Compta!$B$1:$B$675,$B1031,Compta!$C$1:$C$675,"2026"),0))</f>
        <v/>
      </c>
      <c r="G1031" t="str">
        <f>IF($A1031="","",IF($D1031="V01",cad!$C$23,IF($D1031="V02",cad!$D$23,cad!$E$23)))</f>
        <v/>
      </c>
      <c r="H1031" t="str">
        <f>IF($A1031="","",IF($D1031="V01",cad!$C$24,IF($D1031="V02",cad!$D$24,cad!$E$24)))</f>
        <v/>
      </c>
      <c r="I1031" t="str">
        <f>IF($A1031="","",IF($D1031="V01",cad!$C$32,IF($D1031="V02",cad!$D$32,cad!$E$32)))</f>
        <v/>
      </c>
      <c r="J1031" t="str">
        <f>IF($A1031="","",IF($D1031="V01",cad!$C$33,IF($D1031="V02",cad!$D$33,cad!$E$33)))</f>
        <v/>
      </c>
      <c r="K1031" t="str">
        <f>IF($A1031="","",IF($D1031="V01",cad!$C$34,IF($D1031="V02",cad!$D$34,cad!$E$34)))</f>
        <v/>
      </c>
      <c r="L1031" t="str">
        <f>IF($A1031="","",IF($D1031="V01",cad!$C$35,IF($D1031="V02",cad!$D$35,cad!$E$35)))</f>
        <v/>
      </c>
      <c r="M1031" t="str">
        <f>IF($A1031="","",IF($D1031="V01",cad!$C$36,IF($D1031="V02",cad!$D$36,cad!$E$36)))</f>
        <v/>
      </c>
      <c r="N1031" t="str">
        <f t="shared" si="65"/>
        <v/>
      </c>
      <c r="O1031" t="str">
        <f t="shared" si="66"/>
        <v/>
      </c>
      <c r="P1031" t="str">
        <f>IF($A1031="","",IF($E1031=1,$F1031*$O1031,PNL!G1031))</f>
        <v/>
      </c>
      <c r="T1031" t="str">
        <f t="shared" si="67"/>
        <v/>
      </c>
    </row>
    <row r="1032" spans="1:20" x14ac:dyDescent="0.45">
      <c r="A1032" t="str">
        <f>IF(PNL!A1032="","",PNL!A1032)</f>
        <v/>
      </c>
      <c r="B1032" t="str">
        <f>IF(PNL!B1032="","",PNL!B1032)</f>
        <v/>
      </c>
      <c r="C1032" t="str">
        <f>IF(PNL!C1032="","",PNL!C1032)</f>
        <v/>
      </c>
      <c r="D1032" t="str">
        <f>IF(PNL!D1032="","",PNL!D1032)</f>
        <v/>
      </c>
      <c r="E1032" t="str">
        <f t="shared" si="64"/>
        <v/>
      </c>
      <c r="F1032" t="str">
        <f>IF($A1032="","",IF($E1032=1,SUMIFS(Compta!$F$1:$F$675,Compta!$A$1:$A$675,$A1032,Compta!$B$1:$B$675,$B1032,Compta!$C$1:$C$675,"2026"),0))</f>
        <v/>
      </c>
      <c r="G1032" t="str">
        <f>IF($A1032="","",IF($D1032="V01",cad!$C$23,IF($D1032="V02",cad!$D$23,cad!$E$23)))</f>
        <v/>
      </c>
      <c r="H1032" t="str">
        <f>IF($A1032="","",IF($D1032="V01",cad!$C$24,IF($D1032="V02",cad!$D$24,cad!$E$24)))</f>
        <v/>
      </c>
      <c r="I1032" t="str">
        <f>IF($A1032="","",IF($D1032="V01",cad!$C$32,IF($D1032="V02",cad!$D$32,cad!$E$32)))</f>
        <v/>
      </c>
      <c r="J1032" t="str">
        <f>IF($A1032="","",IF($D1032="V01",cad!$C$33,IF($D1032="V02",cad!$D$33,cad!$E$33)))</f>
        <v/>
      </c>
      <c r="K1032" t="str">
        <f>IF($A1032="","",IF($D1032="V01",cad!$C$34,IF($D1032="V02",cad!$D$34,cad!$E$34)))</f>
        <v/>
      </c>
      <c r="L1032" t="str">
        <f>IF($A1032="","",IF($D1032="V01",cad!$C$35,IF($D1032="V02",cad!$D$35,cad!$E$35)))</f>
        <v/>
      </c>
      <c r="M1032" t="str">
        <f>IF($A1032="","",IF($D1032="V01",cad!$C$36,IF($D1032="V02",cad!$D$36,cad!$E$36)))</f>
        <v/>
      </c>
      <c r="N1032" t="str">
        <f t="shared" si="65"/>
        <v/>
      </c>
      <c r="O1032" t="str">
        <f t="shared" si="66"/>
        <v/>
      </c>
      <c r="P1032" t="str">
        <f>IF($A1032="","",IF($E1032=1,$F1032*$O1032,PNL!G1032))</f>
        <v/>
      </c>
      <c r="T1032" t="str">
        <f t="shared" si="67"/>
        <v/>
      </c>
    </row>
    <row r="1033" spans="1:20" x14ac:dyDescent="0.45">
      <c r="A1033" t="str">
        <f>IF(PNL!A1033="","",PNL!A1033)</f>
        <v/>
      </c>
      <c r="B1033" t="str">
        <f>IF(PNL!B1033="","",PNL!B1033)</f>
        <v/>
      </c>
      <c r="C1033" t="str">
        <f>IF(PNL!C1033="","",PNL!C1033)</f>
        <v/>
      </c>
      <c r="D1033" t="str">
        <f>IF(PNL!D1033="","",PNL!D1033)</f>
        <v/>
      </c>
      <c r="E1033" t="str">
        <f t="shared" si="64"/>
        <v/>
      </c>
      <c r="F1033" t="str">
        <f>IF($A1033="","",IF($E1033=1,SUMIFS(Compta!$F$1:$F$675,Compta!$A$1:$A$675,$A1033,Compta!$B$1:$B$675,$B1033,Compta!$C$1:$C$675,"2026"),0))</f>
        <v/>
      </c>
      <c r="G1033" t="str">
        <f>IF($A1033="","",IF($D1033="V01",cad!$C$23,IF($D1033="V02",cad!$D$23,cad!$E$23)))</f>
        <v/>
      </c>
      <c r="H1033" t="str">
        <f>IF($A1033="","",IF($D1033="V01",cad!$C$24,IF($D1033="V02",cad!$D$24,cad!$E$24)))</f>
        <v/>
      </c>
      <c r="I1033" t="str">
        <f>IF($A1033="","",IF($D1033="V01",cad!$C$32,IF($D1033="V02",cad!$D$32,cad!$E$32)))</f>
        <v/>
      </c>
      <c r="J1033" t="str">
        <f>IF($A1033="","",IF($D1033="V01",cad!$C$33,IF($D1033="V02",cad!$D$33,cad!$E$33)))</f>
        <v/>
      </c>
      <c r="K1033" t="str">
        <f>IF($A1033="","",IF($D1033="V01",cad!$C$34,IF($D1033="V02",cad!$D$34,cad!$E$34)))</f>
        <v/>
      </c>
      <c r="L1033" t="str">
        <f>IF($A1033="","",IF($D1033="V01",cad!$C$35,IF($D1033="V02",cad!$D$35,cad!$E$35)))</f>
        <v/>
      </c>
      <c r="M1033" t="str">
        <f>IF($A1033="","",IF($D1033="V01",cad!$C$36,IF($D1033="V02",cad!$D$36,cad!$E$36)))</f>
        <v/>
      </c>
      <c r="N1033" t="str">
        <f t="shared" si="65"/>
        <v/>
      </c>
      <c r="O1033" t="str">
        <f t="shared" si="66"/>
        <v/>
      </c>
      <c r="P1033" t="str">
        <f>IF($A1033="","",IF($E1033=1,$F1033*$O1033,PNL!G1033))</f>
        <v/>
      </c>
      <c r="T1033" t="str">
        <f t="shared" si="67"/>
        <v/>
      </c>
    </row>
    <row r="1034" spans="1:20" x14ac:dyDescent="0.45">
      <c r="A1034" t="str">
        <f>IF(PNL!A1034="","",PNL!A1034)</f>
        <v/>
      </c>
      <c r="B1034" t="str">
        <f>IF(PNL!B1034="","",PNL!B1034)</f>
        <v/>
      </c>
      <c r="C1034" t="str">
        <f>IF(PNL!C1034="","",PNL!C1034)</f>
        <v/>
      </c>
      <c r="D1034" t="str">
        <f>IF(PNL!D1034="","",PNL!D1034)</f>
        <v/>
      </c>
      <c r="E1034" t="str">
        <f t="shared" si="64"/>
        <v/>
      </c>
      <c r="F1034" t="str">
        <f>IF($A1034="","",IF($E1034=1,SUMIFS(Compta!$F$1:$F$675,Compta!$A$1:$A$675,$A1034,Compta!$B$1:$B$675,$B1034,Compta!$C$1:$C$675,"2026"),0))</f>
        <v/>
      </c>
      <c r="G1034" t="str">
        <f>IF($A1034="","",IF($D1034="V01",cad!$C$23,IF($D1034="V02",cad!$D$23,cad!$E$23)))</f>
        <v/>
      </c>
      <c r="H1034" t="str">
        <f>IF($A1034="","",IF($D1034="V01",cad!$C$24,IF($D1034="V02",cad!$D$24,cad!$E$24)))</f>
        <v/>
      </c>
      <c r="I1034" t="str">
        <f>IF($A1034="","",IF($D1034="V01",cad!$C$32,IF($D1034="V02",cad!$D$32,cad!$E$32)))</f>
        <v/>
      </c>
      <c r="J1034" t="str">
        <f>IF($A1034="","",IF($D1034="V01",cad!$C$33,IF($D1034="V02",cad!$D$33,cad!$E$33)))</f>
        <v/>
      </c>
      <c r="K1034" t="str">
        <f>IF($A1034="","",IF($D1034="V01",cad!$C$34,IF($D1034="V02",cad!$D$34,cad!$E$34)))</f>
        <v/>
      </c>
      <c r="L1034" t="str">
        <f>IF($A1034="","",IF($D1034="V01",cad!$C$35,IF($D1034="V02",cad!$D$35,cad!$E$35)))</f>
        <v/>
      </c>
      <c r="M1034" t="str">
        <f>IF($A1034="","",IF($D1034="V01",cad!$C$36,IF($D1034="V02",cad!$D$36,cad!$E$36)))</f>
        <v/>
      </c>
      <c r="N1034" t="str">
        <f t="shared" si="65"/>
        <v/>
      </c>
      <c r="O1034" t="str">
        <f t="shared" si="66"/>
        <v/>
      </c>
      <c r="P1034" t="str">
        <f>IF($A1034="","",IF($E1034=1,$F1034*$O1034,PNL!G1034))</f>
        <v/>
      </c>
      <c r="T1034" t="str">
        <f t="shared" si="67"/>
        <v/>
      </c>
    </row>
    <row r="1035" spans="1:20" x14ac:dyDescent="0.45">
      <c r="A1035" t="str">
        <f>IF(PNL!A1035="","",PNL!A1035)</f>
        <v/>
      </c>
      <c r="B1035" t="str">
        <f>IF(PNL!B1035="","",PNL!B1035)</f>
        <v/>
      </c>
      <c r="C1035" t="str">
        <f>IF(PNL!C1035="","",PNL!C1035)</f>
        <v/>
      </c>
      <c r="D1035" t="str">
        <f>IF(PNL!D1035="","",PNL!D1035)</f>
        <v/>
      </c>
      <c r="E1035" t="str">
        <f t="shared" si="64"/>
        <v/>
      </c>
      <c r="F1035" t="str">
        <f>IF($A1035="","",IF($E1035=1,SUMIFS(Compta!$F$1:$F$675,Compta!$A$1:$A$675,$A1035,Compta!$B$1:$B$675,$B1035,Compta!$C$1:$C$675,"2026"),0))</f>
        <v/>
      </c>
      <c r="G1035" t="str">
        <f>IF($A1035="","",IF($D1035="V01",cad!$C$23,IF($D1035="V02",cad!$D$23,cad!$E$23)))</f>
        <v/>
      </c>
      <c r="H1035" t="str">
        <f>IF($A1035="","",IF($D1035="V01",cad!$C$24,IF($D1035="V02",cad!$D$24,cad!$E$24)))</f>
        <v/>
      </c>
      <c r="I1035" t="str">
        <f>IF($A1035="","",IF($D1035="V01",cad!$C$32,IF($D1035="V02",cad!$D$32,cad!$E$32)))</f>
        <v/>
      </c>
      <c r="J1035" t="str">
        <f>IF($A1035="","",IF($D1035="V01",cad!$C$33,IF($D1035="V02",cad!$D$33,cad!$E$33)))</f>
        <v/>
      </c>
      <c r="K1035" t="str">
        <f>IF($A1035="","",IF($D1035="V01",cad!$C$34,IF($D1035="V02",cad!$D$34,cad!$E$34)))</f>
        <v/>
      </c>
      <c r="L1035" t="str">
        <f>IF($A1035="","",IF($D1035="V01",cad!$C$35,IF($D1035="V02",cad!$D$35,cad!$E$35)))</f>
        <v/>
      </c>
      <c r="M1035" t="str">
        <f>IF($A1035="","",IF($D1035="V01",cad!$C$36,IF($D1035="V02",cad!$D$36,cad!$E$36)))</f>
        <v/>
      </c>
      <c r="N1035" t="str">
        <f t="shared" si="65"/>
        <v/>
      </c>
      <c r="O1035" t="str">
        <f t="shared" si="66"/>
        <v/>
      </c>
      <c r="P1035" t="str">
        <f>IF($A1035="","",IF($E1035=1,$F1035*$O1035,PNL!G1035))</f>
        <v/>
      </c>
      <c r="T1035" t="str">
        <f t="shared" si="67"/>
        <v/>
      </c>
    </row>
    <row r="1036" spans="1:20" x14ac:dyDescent="0.45">
      <c r="A1036" t="str">
        <f>IF(PNL!A1036="","",PNL!A1036)</f>
        <v/>
      </c>
      <c r="B1036" t="str">
        <f>IF(PNL!B1036="","",PNL!B1036)</f>
        <v/>
      </c>
      <c r="C1036" t="str">
        <f>IF(PNL!C1036="","",PNL!C1036)</f>
        <v/>
      </c>
      <c r="D1036" t="str">
        <f>IF(PNL!D1036="","",PNL!D1036)</f>
        <v/>
      </c>
      <c r="E1036" t="str">
        <f t="shared" si="64"/>
        <v/>
      </c>
      <c r="F1036" t="str">
        <f>IF($A1036="","",IF($E1036=1,SUMIFS(Compta!$F$1:$F$675,Compta!$A$1:$A$675,$A1036,Compta!$B$1:$B$675,$B1036,Compta!$C$1:$C$675,"2026"),0))</f>
        <v/>
      </c>
      <c r="G1036" t="str">
        <f>IF($A1036="","",IF($D1036="V01",cad!$C$23,IF($D1036="V02",cad!$D$23,cad!$E$23)))</f>
        <v/>
      </c>
      <c r="H1036" t="str">
        <f>IF($A1036="","",IF($D1036="V01",cad!$C$24,IF($D1036="V02",cad!$D$24,cad!$E$24)))</f>
        <v/>
      </c>
      <c r="I1036" t="str">
        <f>IF($A1036="","",IF($D1036="V01",cad!$C$32,IF($D1036="V02",cad!$D$32,cad!$E$32)))</f>
        <v/>
      </c>
      <c r="J1036" t="str">
        <f>IF($A1036="","",IF($D1036="V01",cad!$C$33,IF($D1036="V02",cad!$D$33,cad!$E$33)))</f>
        <v/>
      </c>
      <c r="K1036" t="str">
        <f>IF($A1036="","",IF($D1036="V01",cad!$C$34,IF($D1036="V02",cad!$D$34,cad!$E$34)))</f>
        <v/>
      </c>
      <c r="L1036" t="str">
        <f>IF($A1036="","",IF($D1036="V01",cad!$C$35,IF($D1036="V02",cad!$D$35,cad!$E$35)))</f>
        <v/>
      </c>
      <c r="M1036" t="str">
        <f>IF($A1036="","",IF($D1036="V01",cad!$C$36,IF($D1036="V02",cad!$D$36,cad!$E$36)))</f>
        <v/>
      </c>
      <c r="N1036" t="str">
        <f t="shared" si="65"/>
        <v/>
      </c>
      <c r="O1036" t="str">
        <f t="shared" si="66"/>
        <v/>
      </c>
      <c r="P1036" t="str">
        <f>IF($A1036="","",IF($E1036=1,$F1036*$O1036,PNL!G1036))</f>
        <v/>
      </c>
      <c r="T1036" t="str">
        <f t="shared" si="67"/>
        <v/>
      </c>
    </row>
    <row r="1037" spans="1:20" x14ac:dyDescent="0.45">
      <c r="A1037" t="str">
        <f>IF(PNL!A1037="","",PNL!A1037)</f>
        <v/>
      </c>
      <c r="B1037" t="str">
        <f>IF(PNL!B1037="","",PNL!B1037)</f>
        <v/>
      </c>
      <c r="C1037" t="str">
        <f>IF(PNL!C1037="","",PNL!C1037)</f>
        <v/>
      </c>
      <c r="D1037" t="str">
        <f>IF(PNL!D1037="","",PNL!D1037)</f>
        <v/>
      </c>
      <c r="E1037" t="str">
        <f t="shared" si="64"/>
        <v/>
      </c>
      <c r="F1037" t="str">
        <f>IF($A1037="","",IF($E1037=1,SUMIFS(Compta!$F$1:$F$675,Compta!$A$1:$A$675,$A1037,Compta!$B$1:$B$675,$B1037,Compta!$C$1:$C$675,"2026"),0))</f>
        <v/>
      </c>
      <c r="G1037" t="str">
        <f>IF($A1037="","",IF($D1037="V01",cad!$C$23,IF($D1037="V02",cad!$D$23,cad!$E$23)))</f>
        <v/>
      </c>
      <c r="H1037" t="str">
        <f>IF($A1037="","",IF($D1037="V01",cad!$C$24,IF($D1037="V02",cad!$D$24,cad!$E$24)))</f>
        <v/>
      </c>
      <c r="I1037" t="str">
        <f>IF($A1037="","",IF($D1037="V01",cad!$C$32,IF($D1037="V02",cad!$D$32,cad!$E$32)))</f>
        <v/>
      </c>
      <c r="J1037" t="str">
        <f>IF($A1037="","",IF($D1037="V01",cad!$C$33,IF($D1037="V02",cad!$D$33,cad!$E$33)))</f>
        <v/>
      </c>
      <c r="K1037" t="str">
        <f>IF($A1037="","",IF($D1037="V01",cad!$C$34,IF($D1037="V02",cad!$D$34,cad!$E$34)))</f>
        <v/>
      </c>
      <c r="L1037" t="str">
        <f>IF($A1037="","",IF($D1037="V01",cad!$C$35,IF($D1037="V02",cad!$D$35,cad!$E$35)))</f>
        <v/>
      </c>
      <c r="M1037" t="str">
        <f>IF($A1037="","",IF($D1037="V01",cad!$C$36,IF($D1037="V02",cad!$D$36,cad!$E$36)))</f>
        <v/>
      </c>
      <c r="N1037" t="str">
        <f t="shared" si="65"/>
        <v/>
      </c>
      <c r="O1037" t="str">
        <f t="shared" si="66"/>
        <v/>
      </c>
      <c r="P1037" t="str">
        <f>IF($A1037="","",IF($E1037=1,$F1037*$O1037,PNL!G1037))</f>
        <v/>
      </c>
      <c r="T1037" t="str">
        <f t="shared" si="67"/>
        <v/>
      </c>
    </row>
    <row r="1038" spans="1:20" x14ac:dyDescent="0.45">
      <c r="A1038" t="str">
        <f>IF(PNL!A1038="","",PNL!A1038)</f>
        <v/>
      </c>
      <c r="B1038" t="str">
        <f>IF(PNL!B1038="","",PNL!B1038)</f>
        <v/>
      </c>
      <c r="C1038" t="str">
        <f>IF(PNL!C1038="","",PNL!C1038)</f>
        <v/>
      </c>
      <c r="D1038" t="str">
        <f>IF(PNL!D1038="","",PNL!D1038)</f>
        <v/>
      </c>
      <c r="E1038" t="str">
        <f t="shared" si="64"/>
        <v/>
      </c>
      <c r="F1038" t="str">
        <f>IF($A1038="","",IF($E1038=1,SUMIFS(Compta!$F$1:$F$675,Compta!$A$1:$A$675,$A1038,Compta!$B$1:$B$675,$B1038,Compta!$C$1:$C$675,"2026"),0))</f>
        <v/>
      </c>
      <c r="G1038" t="str">
        <f>IF($A1038="","",IF($D1038="V01",cad!$C$23,IF($D1038="V02",cad!$D$23,cad!$E$23)))</f>
        <v/>
      </c>
      <c r="H1038" t="str">
        <f>IF($A1038="","",IF($D1038="V01",cad!$C$24,IF($D1038="V02",cad!$D$24,cad!$E$24)))</f>
        <v/>
      </c>
      <c r="I1038" t="str">
        <f>IF($A1038="","",IF($D1038="V01",cad!$C$32,IF($D1038="V02",cad!$D$32,cad!$E$32)))</f>
        <v/>
      </c>
      <c r="J1038" t="str">
        <f>IF($A1038="","",IF($D1038="V01",cad!$C$33,IF($D1038="V02",cad!$D$33,cad!$E$33)))</f>
        <v/>
      </c>
      <c r="K1038" t="str">
        <f>IF($A1038="","",IF($D1038="V01",cad!$C$34,IF($D1038="V02",cad!$D$34,cad!$E$34)))</f>
        <v/>
      </c>
      <c r="L1038" t="str">
        <f>IF($A1038="","",IF($D1038="V01",cad!$C$35,IF($D1038="V02",cad!$D$35,cad!$E$35)))</f>
        <v/>
      </c>
      <c r="M1038" t="str">
        <f>IF($A1038="","",IF($D1038="V01",cad!$C$36,IF($D1038="V02",cad!$D$36,cad!$E$36)))</f>
        <v/>
      </c>
      <c r="N1038" t="str">
        <f t="shared" si="65"/>
        <v/>
      </c>
      <c r="O1038" t="str">
        <f t="shared" si="66"/>
        <v/>
      </c>
      <c r="P1038" t="str">
        <f>IF($A1038="","",IF($E1038=1,$F1038*$O1038,PNL!G1038))</f>
        <v/>
      </c>
      <c r="T1038" t="str">
        <f t="shared" si="67"/>
        <v/>
      </c>
    </row>
    <row r="1039" spans="1:20" x14ac:dyDescent="0.45">
      <c r="A1039" t="str">
        <f>IF(PNL!A1039="","",PNL!A1039)</f>
        <v/>
      </c>
      <c r="B1039" t="str">
        <f>IF(PNL!B1039="","",PNL!B1039)</f>
        <v/>
      </c>
      <c r="C1039" t="str">
        <f>IF(PNL!C1039="","",PNL!C1039)</f>
        <v/>
      </c>
      <c r="D1039" t="str">
        <f>IF(PNL!D1039="","",PNL!D1039)</f>
        <v/>
      </c>
      <c r="E1039" t="str">
        <f t="shared" si="64"/>
        <v/>
      </c>
      <c r="F1039" t="str">
        <f>IF($A1039="","",IF($E1039=1,SUMIFS(Compta!$F$1:$F$675,Compta!$A$1:$A$675,$A1039,Compta!$B$1:$B$675,$B1039,Compta!$C$1:$C$675,"2026"),0))</f>
        <v/>
      </c>
      <c r="G1039" t="str">
        <f>IF($A1039="","",IF($D1039="V01",cad!$C$23,IF($D1039="V02",cad!$D$23,cad!$E$23)))</f>
        <v/>
      </c>
      <c r="H1039" t="str">
        <f>IF($A1039="","",IF($D1039="V01",cad!$C$24,IF($D1039="V02",cad!$D$24,cad!$E$24)))</f>
        <v/>
      </c>
      <c r="I1039" t="str">
        <f>IF($A1039="","",IF($D1039="V01",cad!$C$32,IF($D1039="V02",cad!$D$32,cad!$E$32)))</f>
        <v/>
      </c>
      <c r="J1039" t="str">
        <f>IF($A1039="","",IF($D1039="V01",cad!$C$33,IF($D1039="V02",cad!$D$33,cad!$E$33)))</f>
        <v/>
      </c>
      <c r="K1039" t="str">
        <f>IF($A1039="","",IF($D1039="V01",cad!$C$34,IF($D1039="V02",cad!$D$34,cad!$E$34)))</f>
        <v/>
      </c>
      <c r="L1039" t="str">
        <f>IF($A1039="","",IF($D1039="V01",cad!$C$35,IF($D1039="V02",cad!$D$35,cad!$E$35)))</f>
        <v/>
      </c>
      <c r="M1039" t="str">
        <f>IF($A1039="","",IF($D1039="V01",cad!$C$36,IF($D1039="V02",cad!$D$36,cad!$E$36)))</f>
        <v/>
      </c>
      <c r="N1039" t="str">
        <f t="shared" si="65"/>
        <v/>
      </c>
      <c r="O1039" t="str">
        <f t="shared" si="66"/>
        <v/>
      </c>
      <c r="P1039" t="str">
        <f>IF($A1039="","",IF($E1039=1,$F1039*$O1039,PNL!G1039))</f>
        <v/>
      </c>
      <c r="T1039" t="str">
        <f t="shared" si="67"/>
        <v/>
      </c>
    </row>
    <row r="1040" spans="1:20" x14ac:dyDescent="0.45">
      <c r="A1040" t="str">
        <f>IF(PNL!A1040="","",PNL!A1040)</f>
        <v/>
      </c>
      <c r="B1040" t="str">
        <f>IF(PNL!B1040="","",PNL!B1040)</f>
        <v/>
      </c>
      <c r="C1040" t="str">
        <f>IF(PNL!C1040="","",PNL!C1040)</f>
        <v/>
      </c>
      <c r="D1040" t="str">
        <f>IF(PNL!D1040="","",PNL!D1040)</f>
        <v/>
      </c>
      <c r="E1040" t="str">
        <f t="shared" si="64"/>
        <v/>
      </c>
      <c r="F1040" t="str">
        <f>IF($A1040="","",IF($E1040=1,SUMIFS(Compta!$F$1:$F$675,Compta!$A$1:$A$675,$A1040,Compta!$B$1:$B$675,$B1040,Compta!$C$1:$C$675,"2026"),0))</f>
        <v/>
      </c>
      <c r="G1040" t="str">
        <f>IF($A1040="","",IF($D1040="V01",cad!$C$23,IF($D1040="V02",cad!$D$23,cad!$E$23)))</f>
        <v/>
      </c>
      <c r="H1040" t="str">
        <f>IF($A1040="","",IF($D1040="V01",cad!$C$24,IF($D1040="V02",cad!$D$24,cad!$E$24)))</f>
        <v/>
      </c>
      <c r="I1040" t="str">
        <f>IF($A1040="","",IF($D1040="V01",cad!$C$32,IF($D1040="V02",cad!$D$32,cad!$E$32)))</f>
        <v/>
      </c>
      <c r="J1040" t="str">
        <f>IF($A1040="","",IF($D1040="V01",cad!$C$33,IF($D1040="V02",cad!$D$33,cad!$E$33)))</f>
        <v/>
      </c>
      <c r="K1040" t="str">
        <f>IF($A1040="","",IF($D1040="V01",cad!$C$34,IF($D1040="V02",cad!$D$34,cad!$E$34)))</f>
        <v/>
      </c>
      <c r="L1040" t="str">
        <f>IF($A1040="","",IF($D1040="V01",cad!$C$35,IF($D1040="V02",cad!$D$35,cad!$E$35)))</f>
        <v/>
      </c>
      <c r="M1040" t="str">
        <f>IF($A1040="","",IF($D1040="V01",cad!$C$36,IF($D1040="V02",cad!$D$36,cad!$E$36)))</f>
        <v/>
      </c>
      <c r="N1040" t="str">
        <f t="shared" si="65"/>
        <v/>
      </c>
      <c r="O1040" t="str">
        <f t="shared" si="66"/>
        <v/>
      </c>
      <c r="P1040" t="str">
        <f>IF($A1040="","",IF($E1040=1,$F1040*$O1040,PNL!G1040))</f>
        <v/>
      </c>
      <c r="T1040" t="str">
        <f t="shared" si="67"/>
        <v/>
      </c>
    </row>
    <row r="1041" spans="1:20" x14ac:dyDescent="0.45">
      <c r="A1041" t="str">
        <f>IF(PNL!A1041="","",PNL!A1041)</f>
        <v/>
      </c>
      <c r="B1041" t="str">
        <f>IF(PNL!B1041="","",PNL!B1041)</f>
        <v/>
      </c>
      <c r="C1041" t="str">
        <f>IF(PNL!C1041="","",PNL!C1041)</f>
        <v/>
      </c>
      <c r="D1041" t="str">
        <f>IF(PNL!D1041="","",PNL!D1041)</f>
        <v/>
      </c>
      <c r="E1041" t="str">
        <f t="shared" si="64"/>
        <v/>
      </c>
      <c r="F1041" t="str">
        <f>IF($A1041="","",IF($E1041=1,SUMIFS(Compta!$F$1:$F$675,Compta!$A$1:$A$675,$A1041,Compta!$B$1:$B$675,$B1041,Compta!$C$1:$C$675,"2026"),0))</f>
        <v/>
      </c>
      <c r="G1041" t="str">
        <f>IF($A1041="","",IF($D1041="V01",cad!$C$23,IF($D1041="V02",cad!$D$23,cad!$E$23)))</f>
        <v/>
      </c>
      <c r="H1041" t="str">
        <f>IF($A1041="","",IF($D1041="V01",cad!$C$24,IF($D1041="V02",cad!$D$24,cad!$E$24)))</f>
        <v/>
      </c>
      <c r="I1041" t="str">
        <f>IF($A1041="","",IF($D1041="V01",cad!$C$32,IF($D1041="V02",cad!$D$32,cad!$E$32)))</f>
        <v/>
      </c>
      <c r="J1041" t="str">
        <f>IF($A1041="","",IF($D1041="V01",cad!$C$33,IF($D1041="V02",cad!$D$33,cad!$E$33)))</f>
        <v/>
      </c>
      <c r="K1041" t="str">
        <f>IF($A1041="","",IF($D1041="V01",cad!$C$34,IF($D1041="V02",cad!$D$34,cad!$E$34)))</f>
        <v/>
      </c>
      <c r="L1041" t="str">
        <f>IF($A1041="","",IF($D1041="V01",cad!$C$35,IF($D1041="V02",cad!$D$35,cad!$E$35)))</f>
        <v/>
      </c>
      <c r="M1041" t="str">
        <f>IF($A1041="","",IF($D1041="V01",cad!$C$36,IF($D1041="V02",cad!$D$36,cad!$E$36)))</f>
        <v/>
      </c>
      <c r="N1041" t="str">
        <f t="shared" si="65"/>
        <v/>
      </c>
      <c r="O1041" t="str">
        <f t="shared" si="66"/>
        <v/>
      </c>
      <c r="P1041" t="str">
        <f>IF($A1041="","",IF($E1041=1,$F1041*$O1041,PNL!G1041))</f>
        <v/>
      </c>
      <c r="T1041" t="str">
        <f t="shared" si="67"/>
        <v/>
      </c>
    </row>
    <row r="1042" spans="1:20" x14ac:dyDescent="0.45">
      <c r="A1042" t="str">
        <f>IF(PNL!A1042="","",PNL!A1042)</f>
        <v/>
      </c>
      <c r="B1042" t="str">
        <f>IF(PNL!B1042="","",PNL!B1042)</f>
        <v/>
      </c>
      <c r="C1042" t="str">
        <f>IF(PNL!C1042="","",PNL!C1042)</f>
        <v/>
      </c>
      <c r="D1042" t="str">
        <f>IF(PNL!D1042="","",PNL!D1042)</f>
        <v/>
      </c>
      <c r="E1042" t="str">
        <f t="shared" si="64"/>
        <v/>
      </c>
      <c r="F1042" t="str">
        <f>IF($A1042="","",IF($E1042=1,SUMIFS(Compta!$F$1:$F$675,Compta!$A$1:$A$675,$A1042,Compta!$B$1:$B$675,$B1042,Compta!$C$1:$C$675,"2026"),0))</f>
        <v/>
      </c>
      <c r="G1042" t="str">
        <f>IF($A1042="","",IF($D1042="V01",cad!$C$23,IF($D1042="V02",cad!$D$23,cad!$E$23)))</f>
        <v/>
      </c>
      <c r="H1042" t="str">
        <f>IF($A1042="","",IF($D1042="V01",cad!$C$24,IF($D1042="V02",cad!$D$24,cad!$E$24)))</f>
        <v/>
      </c>
      <c r="I1042" t="str">
        <f>IF($A1042="","",IF($D1042="V01",cad!$C$32,IF($D1042="V02",cad!$D$32,cad!$E$32)))</f>
        <v/>
      </c>
      <c r="J1042" t="str">
        <f>IF($A1042="","",IF($D1042="V01",cad!$C$33,IF($D1042="V02",cad!$D$33,cad!$E$33)))</f>
        <v/>
      </c>
      <c r="K1042" t="str">
        <f>IF($A1042="","",IF($D1042="V01",cad!$C$34,IF($D1042="V02",cad!$D$34,cad!$E$34)))</f>
        <v/>
      </c>
      <c r="L1042" t="str">
        <f>IF($A1042="","",IF($D1042="V01",cad!$C$35,IF($D1042="V02",cad!$D$35,cad!$E$35)))</f>
        <v/>
      </c>
      <c r="M1042" t="str">
        <f>IF($A1042="","",IF($D1042="V01",cad!$C$36,IF($D1042="V02",cad!$D$36,cad!$E$36)))</f>
        <v/>
      </c>
      <c r="N1042" t="str">
        <f t="shared" si="65"/>
        <v/>
      </c>
      <c r="O1042" t="str">
        <f t="shared" si="66"/>
        <v/>
      </c>
      <c r="P1042" t="str">
        <f>IF($A1042="","",IF($E1042=1,$F1042*$O1042,PNL!G1042))</f>
        <v/>
      </c>
      <c r="T1042" t="str">
        <f t="shared" si="67"/>
        <v/>
      </c>
    </row>
    <row r="1043" spans="1:20" x14ac:dyDescent="0.45">
      <c r="A1043" t="str">
        <f>IF(PNL!A1043="","",PNL!A1043)</f>
        <v/>
      </c>
      <c r="B1043" t="str">
        <f>IF(PNL!B1043="","",PNL!B1043)</f>
        <v/>
      </c>
      <c r="C1043" t="str">
        <f>IF(PNL!C1043="","",PNL!C1043)</f>
        <v/>
      </c>
      <c r="D1043" t="str">
        <f>IF(PNL!D1043="","",PNL!D1043)</f>
        <v/>
      </c>
      <c r="E1043" t="str">
        <f t="shared" si="64"/>
        <v/>
      </c>
      <c r="F1043" t="str">
        <f>IF($A1043="","",IF($E1043=1,SUMIFS(Compta!$F$1:$F$675,Compta!$A$1:$A$675,$A1043,Compta!$B$1:$B$675,$B1043,Compta!$C$1:$C$675,"2026"),0))</f>
        <v/>
      </c>
      <c r="G1043" t="str">
        <f>IF($A1043="","",IF($D1043="V01",cad!$C$23,IF($D1043="V02",cad!$D$23,cad!$E$23)))</f>
        <v/>
      </c>
      <c r="H1043" t="str">
        <f>IF($A1043="","",IF($D1043="V01",cad!$C$24,IF($D1043="V02",cad!$D$24,cad!$E$24)))</f>
        <v/>
      </c>
      <c r="I1043" t="str">
        <f>IF($A1043="","",IF($D1043="V01",cad!$C$32,IF($D1043="V02",cad!$D$32,cad!$E$32)))</f>
        <v/>
      </c>
      <c r="J1043" t="str">
        <f>IF($A1043="","",IF($D1043="V01",cad!$C$33,IF($D1043="V02",cad!$D$33,cad!$E$33)))</f>
        <v/>
      </c>
      <c r="K1043" t="str">
        <f>IF($A1043="","",IF($D1043="V01",cad!$C$34,IF($D1043="V02",cad!$D$34,cad!$E$34)))</f>
        <v/>
      </c>
      <c r="L1043" t="str">
        <f>IF($A1043="","",IF($D1043="V01",cad!$C$35,IF($D1043="V02",cad!$D$35,cad!$E$35)))</f>
        <v/>
      </c>
      <c r="M1043" t="str">
        <f>IF($A1043="","",IF($D1043="V01",cad!$C$36,IF($D1043="V02",cad!$D$36,cad!$E$36)))</f>
        <v/>
      </c>
      <c r="N1043" t="str">
        <f t="shared" si="65"/>
        <v/>
      </c>
      <c r="O1043" t="str">
        <f t="shared" si="66"/>
        <v/>
      </c>
      <c r="P1043" t="str">
        <f>IF($A1043="","",IF($E1043=1,$F1043*$O1043,PNL!G1043))</f>
        <v/>
      </c>
      <c r="T1043" t="str">
        <f t="shared" si="67"/>
        <v/>
      </c>
    </row>
    <row r="1044" spans="1:20" x14ac:dyDescent="0.45">
      <c r="A1044" t="str">
        <f>IF(PNL!A1044="","",PNL!A1044)</f>
        <v/>
      </c>
      <c r="B1044" t="str">
        <f>IF(PNL!B1044="","",PNL!B1044)</f>
        <v/>
      </c>
      <c r="C1044" t="str">
        <f>IF(PNL!C1044="","",PNL!C1044)</f>
        <v/>
      </c>
      <c r="D1044" t="str">
        <f>IF(PNL!D1044="","",PNL!D1044)</f>
        <v/>
      </c>
      <c r="E1044" t="str">
        <f t="shared" si="64"/>
        <v/>
      </c>
      <c r="F1044" t="str">
        <f>IF($A1044="","",IF($E1044=1,SUMIFS(Compta!$F$1:$F$675,Compta!$A$1:$A$675,$A1044,Compta!$B$1:$B$675,$B1044,Compta!$C$1:$C$675,"2026"),0))</f>
        <v/>
      </c>
      <c r="G1044" t="str">
        <f>IF($A1044="","",IF($D1044="V01",cad!$C$23,IF($D1044="V02",cad!$D$23,cad!$E$23)))</f>
        <v/>
      </c>
      <c r="H1044" t="str">
        <f>IF($A1044="","",IF($D1044="V01",cad!$C$24,IF($D1044="V02",cad!$D$24,cad!$E$24)))</f>
        <v/>
      </c>
      <c r="I1044" t="str">
        <f>IF($A1044="","",IF($D1044="V01",cad!$C$32,IF($D1044="V02",cad!$D$32,cad!$E$32)))</f>
        <v/>
      </c>
      <c r="J1044" t="str">
        <f>IF($A1044="","",IF($D1044="V01",cad!$C$33,IF($D1044="V02",cad!$D$33,cad!$E$33)))</f>
        <v/>
      </c>
      <c r="K1044" t="str">
        <f>IF($A1044="","",IF($D1044="V01",cad!$C$34,IF($D1044="V02",cad!$D$34,cad!$E$34)))</f>
        <v/>
      </c>
      <c r="L1044" t="str">
        <f>IF($A1044="","",IF($D1044="V01",cad!$C$35,IF($D1044="V02",cad!$D$35,cad!$E$35)))</f>
        <v/>
      </c>
      <c r="M1044" t="str">
        <f>IF($A1044="","",IF($D1044="V01",cad!$C$36,IF($D1044="V02",cad!$D$36,cad!$E$36)))</f>
        <v/>
      </c>
      <c r="N1044" t="str">
        <f t="shared" si="65"/>
        <v/>
      </c>
      <c r="O1044" t="str">
        <f t="shared" si="66"/>
        <v/>
      </c>
      <c r="P1044" t="str">
        <f>IF($A1044="","",IF($E1044=1,$F1044*$O1044,PNL!G1044))</f>
        <v/>
      </c>
      <c r="T1044" t="str">
        <f t="shared" si="67"/>
        <v/>
      </c>
    </row>
    <row r="1045" spans="1:20" x14ac:dyDescent="0.45">
      <c r="A1045" t="str">
        <f>IF(PNL!A1045="","",PNL!A1045)</f>
        <v/>
      </c>
      <c r="B1045" t="str">
        <f>IF(PNL!B1045="","",PNL!B1045)</f>
        <v/>
      </c>
      <c r="C1045" t="str">
        <f>IF(PNL!C1045="","",PNL!C1045)</f>
        <v/>
      </c>
      <c r="D1045" t="str">
        <f>IF(PNL!D1045="","",PNL!D1045)</f>
        <v/>
      </c>
      <c r="E1045" t="str">
        <f t="shared" si="64"/>
        <v/>
      </c>
      <c r="F1045" t="str">
        <f>IF($A1045="","",IF($E1045=1,SUMIFS(Compta!$F$1:$F$675,Compta!$A$1:$A$675,$A1045,Compta!$B$1:$B$675,$B1045,Compta!$C$1:$C$675,"2026"),0))</f>
        <v/>
      </c>
      <c r="G1045" t="str">
        <f>IF($A1045="","",IF($D1045="V01",cad!$C$23,IF($D1045="V02",cad!$D$23,cad!$E$23)))</f>
        <v/>
      </c>
      <c r="H1045" t="str">
        <f>IF($A1045="","",IF($D1045="V01",cad!$C$24,IF($D1045="V02",cad!$D$24,cad!$E$24)))</f>
        <v/>
      </c>
      <c r="I1045" t="str">
        <f>IF($A1045="","",IF($D1045="V01",cad!$C$32,IF($D1045="V02",cad!$D$32,cad!$E$32)))</f>
        <v/>
      </c>
      <c r="J1045" t="str">
        <f>IF($A1045="","",IF($D1045="V01",cad!$C$33,IF($D1045="V02",cad!$D$33,cad!$E$33)))</f>
        <v/>
      </c>
      <c r="K1045" t="str">
        <f>IF($A1045="","",IF($D1045="V01",cad!$C$34,IF($D1045="V02",cad!$D$34,cad!$E$34)))</f>
        <v/>
      </c>
      <c r="L1045" t="str">
        <f>IF($A1045="","",IF($D1045="V01",cad!$C$35,IF($D1045="V02",cad!$D$35,cad!$E$35)))</f>
        <v/>
      </c>
      <c r="M1045" t="str">
        <f>IF($A1045="","",IF($D1045="V01",cad!$C$36,IF($D1045="V02",cad!$D$36,cad!$E$36)))</f>
        <v/>
      </c>
      <c r="N1045" t="str">
        <f t="shared" si="65"/>
        <v/>
      </c>
      <c r="O1045" t="str">
        <f t="shared" si="66"/>
        <v/>
      </c>
      <c r="P1045" t="str">
        <f>IF($A1045="","",IF($E1045=1,$F1045*$O1045,PNL!G1045))</f>
        <v/>
      </c>
      <c r="T1045" t="str">
        <f t="shared" si="67"/>
        <v/>
      </c>
    </row>
    <row r="1046" spans="1:20" x14ac:dyDescent="0.45">
      <c r="A1046" t="str">
        <f>IF(PNL!A1046="","",PNL!A1046)</f>
        <v/>
      </c>
      <c r="B1046" t="str">
        <f>IF(PNL!B1046="","",PNL!B1046)</f>
        <v/>
      </c>
      <c r="C1046" t="str">
        <f>IF(PNL!C1046="","",PNL!C1046)</f>
        <v/>
      </c>
      <c r="D1046" t="str">
        <f>IF(PNL!D1046="","",PNL!D1046)</f>
        <v/>
      </c>
      <c r="E1046" t="str">
        <f t="shared" si="64"/>
        <v/>
      </c>
      <c r="F1046" t="str">
        <f>IF($A1046="","",IF($E1046=1,SUMIFS(Compta!$F$1:$F$675,Compta!$A$1:$A$675,$A1046,Compta!$B$1:$B$675,$B1046,Compta!$C$1:$C$675,"2026"),0))</f>
        <v/>
      </c>
      <c r="G1046" t="str">
        <f>IF($A1046="","",IF($D1046="V01",cad!$C$23,IF($D1046="V02",cad!$D$23,cad!$E$23)))</f>
        <v/>
      </c>
      <c r="H1046" t="str">
        <f>IF($A1046="","",IF($D1046="V01",cad!$C$24,IF($D1046="V02",cad!$D$24,cad!$E$24)))</f>
        <v/>
      </c>
      <c r="I1046" t="str">
        <f>IF($A1046="","",IF($D1046="V01",cad!$C$32,IF($D1046="V02",cad!$D$32,cad!$E$32)))</f>
        <v/>
      </c>
      <c r="J1046" t="str">
        <f>IF($A1046="","",IF($D1046="V01",cad!$C$33,IF($D1046="V02",cad!$D$33,cad!$E$33)))</f>
        <v/>
      </c>
      <c r="K1046" t="str">
        <f>IF($A1046="","",IF($D1046="V01",cad!$C$34,IF($D1046="V02",cad!$D$34,cad!$E$34)))</f>
        <v/>
      </c>
      <c r="L1046" t="str">
        <f>IF($A1046="","",IF($D1046="V01",cad!$C$35,IF($D1046="V02",cad!$D$35,cad!$E$35)))</f>
        <v/>
      </c>
      <c r="M1046" t="str">
        <f>IF($A1046="","",IF($D1046="V01",cad!$C$36,IF($D1046="V02",cad!$D$36,cad!$E$36)))</f>
        <v/>
      </c>
      <c r="N1046" t="str">
        <f t="shared" si="65"/>
        <v/>
      </c>
      <c r="O1046" t="str">
        <f t="shared" si="66"/>
        <v/>
      </c>
      <c r="P1046" t="str">
        <f>IF($A1046="","",IF($E1046=1,$F1046*$O1046,PNL!G1046))</f>
        <v/>
      </c>
      <c r="T1046" t="str">
        <f t="shared" si="67"/>
        <v/>
      </c>
    </row>
    <row r="1047" spans="1:20" x14ac:dyDescent="0.45">
      <c r="A1047" t="str">
        <f>IF(PNL!A1047="","",PNL!A1047)</f>
        <v/>
      </c>
      <c r="B1047" t="str">
        <f>IF(PNL!B1047="","",PNL!B1047)</f>
        <v/>
      </c>
      <c r="C1047" t="str">
        <f>IF(PNL!C1047="","",PNL!C1047)</f>
        <v/>
      </c>
      <c r="D1047" t="str">
        <f>IF(PNL!D1047="","",PNL!D1047)</f>
        <v/>
      </c>
      <c r="E1047" t="str">
        <f t="shared" si="64"/>
        <v/>
      </c>
      <c r="F1047" t="str">
        <f>IF($A1047="","",IF($E1047=1,SUMIFS(Compta!$F$1:$F$675,Compta!$A$1:$A$675,$A1047,Compta!$B$1:$B$675,$B1047,Compta!$C$1:$C$675,"2026"),0))</f>
        <v/>
      </c>
      <c r="G1047" t="str">
        <f>IF($A1047="","",IF($D1047="V01",cad!$C$23,IF($D1047="V02",cad!$D$23,cad!$E$23)))</f>
        <v/>
      </c>
      <c r="H1047" t="str">
        <f>IF($A1047="","",IF($D1047="V01",cad!$C$24,IF($D1047="V02",cad!$D$24,cad!$E$24)))</f>
        <v/>
      </c>
      <c r="I1047" t="str">
        <f>IF($A1047="","",IF($D1047="V01",cad!$C$32,IF($D1047="V02",cad!$D$32,cad!$E$32)))</f>
        <v/>
      </c>
      <c r="J1047" t="str">
        <f>IF($A1047="","",IF($D1047="V01",cad!$C$33,IF($D1047="V02",cad!$D$33,cad!$E$33)))</f>
        <v/>
      </c>
      <c r="K1047" t="str">
        <f>IF($A1047="","",IF($D1047="V01",cad!$C$34,IF($D1047="V02",cad!$D$34,cad!$E$34)))</f>
        <v/>
      </c>
      <c r="L1047" t="str">
        <f>IF($A1047="","",IF($D1047="V01",cad!$C$35,IF($D1047="V02",cad!$D$35,cad!$E$35)))</f>
        <v/>
      </c>
      <c r="M1047" t="str">
        <f>IF($A1047="","",IF($D1047="V01",cad!$C$36,IF($D1047="V02",cad!$D$36,cad!$E$36)))</f>
        <v/>
      </c>
      <c r="N1047" t="str">
        <f t="shared" si="65"/>
        <v/>
      </c>
      <c r="O1047" t="str">
        <f t="shared" si="66"/>
        <v/>
      </c>
      <c r="P1047" t="str">
        <f>IF($A1047="","",IF($E1047=1,$F1047*$O1047,PNL!G1047))</f>
        <v/>
      </c>
      <c r="T1047" t="str">
        <f t="shared" si="67"/>
        <v/>
      </c>
    </row>
    <row r="1048" spans="1:20" x14ac:dyDescent="0.45">
      <c r="A1048" t="str">
        <f>IF(PNL!A1048="","",PNL!A1048)</f>
        <v/>
      </c>
      <c r="B1048" t="str">
        <f>IF(PNL!B1048="","",PNL!B1048)</f>
        <v/>
      </c>
      <c r="C1048" t="str">
        <f>IF(PNL!C1048="","",PNL!C1048)</f>
        <v/>
      </c>
      <c r="D1048" t="str">
        <f>IF(PNL!D1048="","",PNL!D1048)</f>
        <v/>
      </c>
      <c r="E1048" t="str">
        <f t="shared" si="64"/>
        <v/>
      </c>
      <c r="F1048" t="str">
        <f>IF($A1048="","",IF($E1048=1,SUMIFS(Compta!$F$1:$F$675,Compta!$A$1:$A$675,$A1048,Compta!$B$1:$B$675,$B1048,Compta!$C$1:$C$675,"2026"),0))</f>
        <v/>
      </c>
      <c r="G1048" t="str">
        <f>IF($A1048="","",IF($D1048="V01",cad!$C$23,IF($D1048="V02",cad!$D$23,cad!$E$23)))</f>
        <v/>
      </c>
      <c r="H1048" t="str">
        <f>IF($A1048="","",IF($D1048="V01",cad!$C$24,IF($D1048="V02",cad!$D$24,cad!$E$24)))</f>
        <v/>
      </c>
      <c r="I1048" t="str">
        <f>IF($A1048="","",IF($D1048="V01",cad!$C$32,IF($D1048="V02",cad!$D$32,cad!$E$32)))</f>
        <v/>
      </c>
      <c r="J1048" t="str">
        <f>IF($A1048="","",IF($D1048="V01",cad!$C$33,IF($D1048="V02",cad!$D$33,cad!$E$33)))</f>
        <v/>
      </c>
      <c r="K1048" t="str">
        <f>IF($A1048="","",IF($D1048="V01",cad!$C$34,IF($D1048="V02",cad!$D$34,cad!$E$34)))</f>
        <v/>
      </c>
      <c r="L1048" t="str">
        <f>IF($A1048="","",IF($D1048="V01",cad!$C$35,IF($D1048="V02",cad!$D$35,cad!$E$35)))</f>
        <v/>
      </c>
      <c r="M1048" t="str">
        <f>IF($A1048="","",IF($D1048="V01",cad!$C$36,IF($D1048="V02",cad!$D$36,cad!$E$36)))</f>
        <v/>
      </c>
      <c r="N1048" t="str">
        <f t="shared" si="65"/>
        <v/>
      </c>
      <c r="O1048" t="str">
        <f t="shared" si="66"/>
        <v/>
      </c>
      <c r="P1048" t="str">
        <f>IF($A1048="","",IF($E1048=1,$F1048*$O1048,PNL!G1048))</f>
        <v/>
      </c>
      <c r="T1048" t="str">
        <f t="shared" si="67"/>
        <v/>
      </c>
    </row>
    <row r="1049" spans="1:20" x14ac:dyDescent="0.45">
      <c r="A1049" t="str">
        <f>IF(PNL!A1049="","",PNL!A1049)</f>
        <v/>
      </c>
      <c r="B1049" t="str">
        <f>IF(PNL!B1049="","",PNL!B1049)</f>
        <v/>
      </c>
      <c r="C1049" t="str">
        <f>IF(PNL!C1049="","",PNL!C1049)</f>
        <v/>
      </c>
      <c r="D1049" t="str">
        <f>IF(PNL!D1049="","",PNL!D1049)</f>
        <v/>
      </c>
      <c r="E1049" t="str">
        <f t="shared" si="64"/>
        <v/>
      </c>
      <c r="F1049" t="str">
        <f>IF($A1049="","",IF($E1049=1,SUMIFS(Compta!$F$1:$F$675,Compta!$A$1:$A$675,$A1049,Compta!$B$1:$B$675,$B1049,Compta!$C$1:$C$675,"2026"),0))</f>
        <v/>
      </c>
      <c r="G1049" t="str">
        <f>IF($A1049="","",IF($D1049="V01",cad!$C$23,IF($D1049="V02",cad!$D$23,cad!$E$23)))</f>
        <v/>
      </c>
      <c r="H1049" t="str">
        <f>IF($A1049="","",IF($D1049="V01",cad!$C$24,IF($D1049="V02",cad!$D$24,cad!$E$24)))</f>
        <v/>
      </c>
      <c r="I1049" t="str">
        <f>IF($A1049="","",IF($D1049="V01",cad!$C$32,IF($D1049="V02",cad!$D$32,cad!$E$32)))</f>
        <v/>
      </c>
      <c r="J1049" t="str">
        <f>IF($A1049="","",IF($D1049="V01",cad!$C$33,IF($D1049="V02",cad!$D$33,cad!$E$33)))</f>
        <v/>
      </c>
      <c r="K1049" t="str">
        <f>IF($A1049="","",IF($D1049="V01",cad!$C$34,IF($D1049="V02",cad!$D$34,cad!$E$34)))</f>
        <v/>
      </c>
      <c r="L1049" t="str">
        <f>IF($A1049="","",IF($D1049="V01",cad!$C$35,IF($D1049="V02",cad!$D$35,cad!$E$35)))</f>
        <v/>
      </c>
      <c r="M1049" t="str">
        <f>IF($A1049="","",IF($D1049="V01",cad!$C$36,IF($D1049="V02",cad!$D$36,cad!$E$36)))</f>
        <v/>
      </c>
      <c r="N1049" t="str">
        <f t="shared" si="65"/>
        <v/>
      </c>
      <c r="O1049" t="str">
        <f t="shared" si="66"/>
        <v/>
      </c>
      <c r="P1049" t="str">
        <f>IF($A1049="","",IF($E1049=1,$F1049*$O1049,PNL!G1049))</f>
        <v/>
      </c>
      <c r="T1049" t="str">
        <f t="shared" si="67"/>
        <v/>
      </c>
    </row>
    <row r="1050" spans="1:20" x14ac:dyDescent="0.45">
      <c r="A1050" t="str">
        <f>IF(PNL!A1050="","",PNL!A1050)</f>
        <v/>
      </c>
      <c r="B1050" t="str">
        <f>IF(PNL!B1050="","",PNL!B1050)</f>
        <v/>
      </c>
      <c r="C1050" t="str">
        <f>IF(PNL!C1050="","",PNL!C1050)</f>
        <v/>
      </c>
      <c r="D1050" t="str">
        <f>IF(PNL!D1050="","",PNL!D1050)</f>
        <v/>
      </c>
      <c r="E1050" t="str">
        <f t="shared" si="64"/>
        <v/>
      </c>
      <c r="F1050" t="str">
        <f>IF($A1050="","",IF($E1050=1,SUMIFS(Compta!$F$1:$F$675,Compta!$A$1:$A$675,$A1050,Compta!$B$1:$B$675,$B1050,Compta!$C$1:$C$675,"2026"),0))</f>
        <v/>
      </c>
      <c r="G1050" t="str">
        <f>IF($A1050="","",IF($D1050="V01",cad!$C$23,IF($D1050="V02",cad!$D$23,cad!$E$23)))</f>
        <v/>
      </c>
      <c r="H1050" t="str">
        <f>IF($A1050="","",IF($D1050="V01",cad!$C$24,IF($D1050="V02",cad!$D$24,cad!$E$24)))</f>
        <v/>
      </c>
      <c r="I1050" t="str">
        <f>IF($A1050="","",IF($D1050="V01",cad!$C$32,IF($D1050="V02",cad!$D$32,cad!$E$32)))</f>
        <v/>
      </c>
      <c r="J1050" t="str">
        <f>IF($A1050="","",IF($D1050="V01",cad!$C$33,IF($D1050="V02",cad!$D$33,cad!$E$33)))</f>
        <v/>
      </c>
      <c r="K1050" t="str">
        <f>IF($A1050="","",IF($D1050="V01",cad!$C$34,IF($D1050="V02",cad!$D$34,cad!$E$34)))</f>
        <v/>
      </c>
      <c r="L1050" t="str">
        <f>IF($A1050="","",IF($D1050="V01",cad!$C$35,IF($D1050="V02",cad!$D$35,cad!$E$35)))</f>
        <v/>
      </c>
      <c r="M1050" t="str">
        <f>IF($A1050="","",IF($D1050="V01",cad!$C$36,IF($D1050="V02",cad!$D$36,cad!$E$36)))</f>
        <v/>
      </c>
      <c r="N1050" t="str">
        <f t="shared" si="65"/>
        <v/>
      </c>
      <c r="O1050" t="str">
        <f t="shared" si="66"/>
        <v/>
      </c>
      <c r="P1050" t="str">
        <f>IF($A1050="","",IF($E1050=1,$F1050*$O1050,PNL!G1050))</f>
        <v/>
      </c>
      <c r="T1050" t="str">
        <f t="shared" si="67"/>
        <v/>
      </c>
    </row>
    <row r="1051" spans="1:20" x14ac:dyDescent="0.45">
      <c r="A1051" t="str">
        <f>IF(PNL!A1051="","",PNL!A1051)</f>
        <v/>
      </c>
      <c r="B1051" t="str">
        <f>IF(PNL!B1051="","",PNL!B1051)</f>
        <v/>
      </c>
      <c r="C1051" t="str">
        <f>IF(PNL!C1051="","",PNL!C1051)</f>
        <v/>
      </c>
      <c r="D1051" t="str">
        <f>IF(PNL!D1051="","",PNL!D1051)</f>
        <v/>
      </c>
      <c r="E1051" t="str">
        <f t="shared" si="64"/>
        <v/>
      </c>
      <c r="F1051" t="str">
        <f>IF($A1051="","",IF($E1051=1,SUMIFS(Compta!$F$1:$F$675,Compta!$A$1:$A$675,$A1051,Compta!$B$1:$B$675,$B1051,Compta!$C$1:$C$675,"2026"),0))</f>
        <v/>
      </c>
      <c r="G1051" t="str">
        <f>IF($A1051="","",IF($D1051="V01",cad!$C$23,IF($D1051="V02",cad!$D$23,cad!$E$23)))</f>
        <v/>
      </c>
      <c r="H1051" t="str">
        <f>IF($A1051="","",IF($D1051="V01",cad!$C$24,IF($D1051="V02",cad!$D$24,cad!$E$24)))</f>
        <v/>
      </c>
      <c r="I1051" t="str">
        <f>IF($A1051="","",IF($D1051="V01",cad!$C$32,IF($D1051="V02",cad!$D$32,cad!$E$32)))</f>
        <v/>
      </c>
      <c r="J1051" t="str">
        <f>IF($A1051="","",IF($D1051="V01",cad!$C$33,IF($D1051="V02",cad!$D$33,cad!$E$33)))</f>
        <v/>
      </c>
      <c r="K1051" t="str">
        <f>IF($A1051="","",IF($D1051="V01",cad!$C$34,IF($D1051="V02",cad!$D$34,cad!$E$34)))</f>
        <v/>
      </c>
      <c r="L1051" t="str">
        <f>IF($A1051="","",IF($D1051="V01",cad!$C$35,IF($D1051="V02",cad!$D$35,cad!$E$35)))</f>
        <v/>
      </c>
      <c r="M1051" t="str">
        <f>IF($A1051="","",IF($D1051="V01",cad!$C$36,IF($D1051="V02",cad!$D$36,cad!$E$36)))</f>
        <v/>
      </c>
      <c r="N1051" t="str">
        <f t="shared" si="65"/>
        <v/>
      </c>
      <c r="O1051" t="str">
        <f t="shared" si="66"/>
        <v/>
      </c>
      <c r="P1051" t="str">
        <f>IF($A1051="","",IF($E1051=1,$F1051*$O1051,PNL!G1051))</f>
        <v/>
      </c>
      <c r="T1051" t="str">
        <f t="shared" si="67"/>
        <v/>
      </c>
    </row>
    <row r="1052" spans="1:20" x14ac:dyDescent="0.45">
      <c r="A1052" t="str">
        <f>IF(PNL!A1052="","",PNL!A1052)</f>
        <v/>
      </c>
      <c r="B1052" t="str">
        <f>IF(PNL!B1052="","",PNL!B1052)</f>
        <v/>
      </c>
      <c r="C1052" t="str">
        <f>IF(PNL!C1052="","",PNL!C1052)</f>
        <v/>
      </c>
      <c r="D1052" t="str">
        <f>IF(PNL!D1052="","",PNL!D1052)</f>
        <v/>
      </c>
      <c r="E1052" t="str">
        <f t="shared" si="64"/>
        <v/>
      </c>
      <c r="F1052" t="str">
        <f>IF($A1052="","",IF($E1052=1,SUMIFS(Compta!$F$1:$F$675,Compta!$A$1:$A$675,$A1052,Compta!$B$1:$B$675,$B1052,Compta!$C$1:$C$675,"2026"),0))</f>
        <v/>
      </c>
      <c r="G1052" t="str">
        <f>IF($A1052="","",IF($D1052="V01",cad!$C$23,IF($D1052="V02",cad!$D$23,cad!$E$23)))</f>
        <v/>
      </c>
      <c r="H1052" t="str">
        <f>IF($A1052="","",IF($D1052="V01",cad!$C$24,IF($D1052="V02",cad!$D$24,cad!$E$24)))</f>
        <v/>
      </c>
      <c r="I1052" t="str">
        <f>IF($A1052="","",IF($D1052="V01",cad!$C$32,IF($D1052="V02",cad!$D$32,cad!$E$32)))</f>
        <v/>
      </c>
      <c r="J1052" t="str">
        <f>IF($A1052="","",IF($D1052="V01",cad!$C$33,IF($D1052="V02",cad!$D$33,cad!$E$33)))</f>
        <v/>
      </c>
      <c r="K1052" t="str">
        <f>IF($A1052="","",IF($D1052="V01",cad!$C$34,IF($D1052="V02",cad!$D$34,cad!$E$34)))</f>
        <v/>
      </c>
      <c r="L1052" t="str">
        <f>IF($A1052="","",IF($D1052="V01",cad!$C$35,IF($D1052="V02",cad!$D$35,cad!$E$35)))</f>
        <v/>
      </c>
      <c r="M1052" t="str">
        <f>IF($A1052="","",IF($D1052="V01",cad!$C$36,IF($D1052="V02",cad!$D$36,cad!$E$36)))</f>
        <v/>
      </c>
      <c r="N1052" t="str">
        <f t="shared" si="65"/>
        <v/>
      </c>
      <c r="O1052" t="str">
        <f t="shared" si="66"/>
        <v/>
      </c>
      <c r="P1052" t="str">
        <f>IF($A1052="","",IF($E1052=1,$F1052*$O1052,PNL!G1052))</f>
        <v/>
      </c>
      <c r="T1052" t="str">
        <f t="shared" si="67"/>
        <v/>
      </c>
    </row>
    <row r="1053" spans="1:20" x14ac:dyDescent="0.45">
      <c r="A1053" t="str">
        <f>IF(PNL!A1053="","",PNL!A1053)</f>
        <v/>
      </c>
      <c r="B1053" t="str">
        <f>IF(PNL!B1053="","",PNL!B1053)</f>
        <v/>
      </c>
      <c r="C1053" t="str">
        <f>IF(PNL!C1053="","",PNL!C1053)</f>
        <v/>
      </c>
      <c r="D1053" t="str">
        <f>IF(PNL!D1053="","",PNL!D1053)</f>
        <v/>
      </c>
      <c r="E1053" t="str">
        <f t="shared" si="64"/>
        <v/>
      </c>
      <c r="F1053" t="str">
        <f>IF($A1053="","",IF($E1053=1,SUMIFS(Compta!$F$1:$F$675,Compta!$A$1:$A$675,$A1053,Compta!$B$1:$B$675,$B1053,Compta!$C$1:$C$675,"2026"),0))</f>
        <v/>
      </c>
      <c r="G1053" t="str">
        <f>IF($A1053="","",IF($D1053="V01",cad!$C$23,IF($D1053="V02",cad!$D$23,cad!$E$23)))</f>
        <v/>
      </c>
      <c r="H1053" t="str">
        <f>IF($A1053="","",IF($D1053="V01",cad!$C$24,IF($D1053="V02",cad!$D$24,cad!$E$24)))</f>
        <v/>
      </c>
      <c r="I1053" t="str">
        <f>IF($A1053="","",IF($D1053="V01",cad!$C$32,IF($D1053="V02",cad!$D$32,cad!$E$32)))</f>
        <v/>
      </c>
      <c r="J1053" t="str">
        <f>IF($A1053="","",IF($D1053="V01",cad!$C$33,IF($D1053="V02",cad!$D$33,cad!$E$33)))</f>
        <v/>
      </c>
      <c r="K1053" t="str">
        <f>IF($A1053="","",IF($D1053="V01",cad!$C$34,IF($D1053="V02",cad!$D$34,cad!$E$34)))</f>
        <v/>
      </c>
      <c r="L1053" t="str">
        <f>IF($A1053="","",IF($D1053="V01",cad!$C$35,IF($D1053="V02",cad!$D$35,cad!$E$35)))</f>
        <v/>
      </c>
      <c r="M1053" t="str">
        <f>IF($A1053="","",IF($D1053="V01",cad!$C$36,IF($D1053="V02",cad!$D$36,cad!$E$36)))</f>
        <v/>
      </c>
      <c r="N1053" t="str">
        <f t="shared" si="65"/>
        <v/>
      </c>
      <c r="O1053" t="str">
        <f t="shared" si="66"/>
        <v/>
      </c>
      <c r="P1053" t="str">
        <f>IF($A1053="","",IF($E1053=1,$F1053*$O1053,PNL!G1053))</f>
        <v/>
      </c>
      <c r="T1053" t="str">
        <f t="shared" si="67"/>
        <v/>
      </c>
    </row>
    <row r="1054" spans="1:20" x14ac:dyDescent="0.45">
      <c r="A1054" t="str">
        <f>IF(PNL!A1054="","",PNL!A1054)</f>
        <v/>
      </c>
      <c r="B1054" t="str">
        <f>IF(PNL!B1054="","",PNL!B1054)</f>
        <v/>
      </c>
      <c r="C1054" t="str">
        <f>IF(PNL!C1054="","",PNL!C1054)</f>
        <v/>
      </c>
      <c r="D1054" t="str">
        <f>IF(PNL!D1054="","",PNL!D1054)</f>
        <v/>
      </c>
      <c r="E1054" t="str">
        <f t="shared" si="64"/>
        <v/>
      </c>
      <c r="F1054" t="str">
        <f>IF($A1054="","",IF($E1054=1,SUMIFS(Compta!$F$1:$F$675,Compta!$A$1:$A$675,$A1054,Compta!$B$1:$B$675,$B1054,Compta!$C$1:$C$675,"2026"),0))</f>
        <v/>
      </c>
      <c r="G1054" t="str">
        <f>IF($A1054="","",IF($D1054="V01",cad!$C$23,IF($D1054="V02",cad!$D$23,cad!$E$23)))</f>
        <v/>
      </c>
      <c r="H1054" t="str">
        <f>IF($A1054="","",IF($D1054="V01",cad!$C$24,IF($D1054="V02",cad!$D$24,cad!$E$24)))</f>
        <v/>
      </c>
      <c r="I1054" t="str">
        <f>IF($A1054="","",IF($D1054="V01",cad!$C$32,IF($D1054="V02",cad!$D$32,cad!$E$32)))</f>
        <v/>
      </c>
      <c r="J1054" t="str">
        <f>IF($A1054="","",IF($D1054="V01",cad!$C$33,IF($D1054="V02",cad!$D$33,cad!$E$33)))</f>
        <v/>
      </c>
      <c r="K1054" t="str">
        <f>IF($A1054="","",IF($D1054="V01",cad!$C$34,IF($D1054="V02",cad!$D$34,cad!$E$34)))</f>
        <v/>
      </c>
      <c r="L1054" t="str">
        <f>IF($A1054="","",IF($D1054="V01",cad!$C$35,IF($D1054="V02",cad!$D$35,cad!$E$35)))</f>
        <v/>
      </c>
      <c r="M1054" t="str">
        <f>IF($A1054="","",IF($D1054="V01",cad!$C$36,IF($D1054="V02",cad!$D$36,cad!$E$36)))</f>
        <v/>
      </c>
      <c r="N1054" t="str">
        <f t="shared" si="65"/>
        <v/>
      </c>
      <c r="O1054" t="str">
        <f t="shared" si="66"/>
        <v/>
      </c>
      <c r="P1054" t="str">
        <f>IF($A1054="","",IF($E1054=1,$F1054*$O1054,PNL!G1054))</f>
        <v/>
      </c>
      <c r="T1054" t="str">
        <f t="shared" si="67"/>
        <v/>
      </c>
    </row>
    <row r="1055" spans="1:20" x14ac:dyDescent="0.45">
      <c r="A1055" t="str">
        <f>IF(PNL!A1055="","",PNL!A1055)</f>
        <v/>
      </c>
      <c r="B1055" t="str">
        <f>IF(PNL!B1055="","",PNL!B1055)</f>
        <v/>
      </c>
      <c r="C1055" t="str">
        <f>IF(PNL!C1055="","",PNL!C1055)</f>
        <v/>
      </c>
      <c r="D1055" t="str">
        <f>IF(PNL!D1055="","",PNL!D1055)</f>
        <v/>
      </c>
      <c r="E1055" t="str">
        <f t="shared" si="64"/>
        <v/>
      </c>
      <c r="F1055" t="str">
        <f>IF($A1055="","",IF($E1055=1,SUMIFS(Compta!$F$1:$F$675,Compta!$A$1:$A$675,$A1055,Compta!$B$1:$B$675,$B1055,Compta!$C$1:$C$675,"2026"),0))</f>
        <v/>
      </c>
      <c r="G1055" t="str">
        <f>IF($A1055="","",IF($D1055="V01",cad!$C$23,IF($D1055="V02",cad!$D$23,cad!$E$23)))</f>
        <v/>
      </c>
      <c r="H1055" t="str">
        <f>IF($A1055="","",IF($D1055="V01",cad!$C$24,IF($D1055="V02",cad!$D$24,cad!$E$24)))</f>
        <v/>
      </c>
      <c r="I1055" t="str">
        <f>IF($A1055="","",IF($D1055="V01",cad!$C$32,IF($D1055="V02",cad!$D$32,cad!$E$32)))</f>
        <v/>
      </c>
      <c r="J1055" t="str">
        <f>IF($A1055="","",IF($D1055="V01",cad!$C$33,IF($D1055="V02",cad!$D$33,cad!$E$33)))</f>
        <v/>
      </c>
      <c r="K1055" t="str">
        <f>IF($A1055="","",IF($D1055="V01",cad!$C$34,IF($D1055="V02",cad!$D$34,cad!$E$34)))</f>
        <v/>
      </c>
      <c r="L1055" t="str">
        <f>IF($A1055="","",IF($D1055="V01",cad!$C$35,IF($D1055="V02",cad!$D$35,cad!$E$35)))</f>
        <v/>
      </c>
      <c r="M1055" t="str">
        <f>IF($A1055="","",IF($D1055="V01",cad!$C$36,IF($D1055="V02",cad!$D$36,cad!$E$36)))</f>
        <v/>
      </c>
      <c r="N1055" t="str">
        <f t="shared" si="65"/>
        <v/>
      </c>
      <c r="O1055" t="str">
        <f t="shared" si="66"/>
        <v/>
      </c>
      <c r="P1055" t="str">
        <f>IF($A1055="","",IF($E1055=1,$F1055*$O1055,PNL!G1055))</f>
        <v/>
      </c>
      <c r="T1055" t="str">
        <f t="shared" si="67"/>
        <v/>
      </c>
    </row>
    <row r="1056" spans="1:20" x14ac:dyDescent="0.45">
      <c r="A1056" t="str">
        <f>IF(PNL!A1056="","",PNL!A1056)</f>
        <v/>
      </c>
      <c r="B1056" t="str">
        <f>IF(PNL!B1056="","",PNL!B1056)</f>
        <v/>
      </c>
      <c r="C1056" t="str">
        <f>IF(PNL!C1056="","",PNL!C1056)</f>
        <v/>
      </c>
      <c r="D1056" t="str">
        <f>IF(PNL!D1056="","",PNL!D1056)</f>
        <v/>
      </c>
      <c r="E1056" t="str">
        <f t="shared" si="64"/>
        <v/>
      </c>
      <c r="F1056" t="str">
        <f>IF($A1056="","",IF($E1056=1,SUMIFS(Compta!$F$1:$F$675,Compta!$A$1:$A$675,$A1056,Compta!$B$1:$B$675,$B1056,Compta!$C$1:$C$675,"2026"),0))</f>
        <v/>
      </c>
      <c r="G1056" t="str">
        <f>IF($A1056="","",IF($D1056="V01",cad!$C$23,IF($D1056="V02",cad!$D$23,cad!$E$23)))</f>
        <v/>
      </c>
      <c r="H1056" t="str">
        <f>IF($A1056="","",IF($D1056="V01",cad!$C$24,IF($D1056="V02",cad!$D$24,cad!$E$24)))</f>
        <v/>
      </c>
      <c r="I1056" t="str">
        <f>IF($A1056="","",IF($D1056="V01",cad!$C$32,IF($D1056="V02",cad!$D$32,cad!$E$32)))</f>
        <v/>
      </c>
      <c r="J1056" t="str">
        <f>IF($A1056="","",IF($D1056="V01",cad!$C$33,IF($D1056="V02",cad!$D$33,cad!$E$33)))</f>
        <v/>
      </c>
      <c r="K1056" t="str">
        <f>IF($A1056="","",IF($D1056="V01",cad!$C$34,IF($D1056="V02",cad!$D$34,cad!$E$34)))</f>
        <v/>
      </c>
      <c r="L1056" t="str">
        <f>IF($A1056="","",IF($D1056="V01",cad!$C$35,IF($D1056="V02",cad!$D$35,cad!$E$35)))</f>
        <v/>
      </c>
      <c r="M1056" t="str">
        <f>IF($A1056="","",IF($D1056="V01",cad!$C$36,IF($D1056="V02",cad!$D$36,cad!$E$36)))</f>
        <v/>
      </c>
      <c r="N1056" t="str">
        <f t="shared" si="65"/>
        <v/>
      </c>
      <c r="O1056" t="str">
        <f t="shared" si="66"/>
        <v/>
      </c>
      <c r="P1056" t="str">
        <f>IF($A1056="","",IF($E1056=1,$F1056*$O1056,PNL!G1056))</f>
        <v/>
      </c>
      <c r="T1056" t="str">
        <f t="shared" si="67"/>
        <v/>
      </c>
    </row>
    <row r="1057" spans="1:20" x14ac:dyDescent="0.45">
      <c r="A1057" t="str">
        <f>IF(PNL!A1057="","",PNL!A1057)</f>
        <v/>
      </c>
      <c r="B1057" t="str">
        <f>IF(PNL!B1057="","",PNL!B1057)</f>
        <v/>
      </c>
      <c r="C1057" t="str">
        <f>IF(PNL!C1057="","",PNL!C1057)</f>
        <v/>
      </c>
      <c r="D1057" t="str">
        <f>IF(PNL!D1057="","",PNL!D1057)</f>
        <v/>
      </c>
      <c r="E1057" t="str">
        <f t="shared" si="64"/>
        <v/>
      </c>
      <c r="F1057" t="str">
        <f>IF($A1057="","",IF($E1057=1,SUMIFS(Compta!$F$1:$F$675,Compta!$A$1:$A$675,$A1057,Compta!$B$1:$B$675,$B1057,Compta!$C$1:$C$675,"2026"),0))</f>
        <v/>
      </c>
      <c r="G1057" t="str">
        <f>IF($A1057="","",IF($D1057="V01",cad!$C$23,IF($D1057="V02",cad!$D$23,cad!$E$23)))</f>
        <v/>
      </c>
      <c r="H1057" t="str">
        <f>IF($A1057="","",IF($D1057="V01",cad!$C$24,IF($D1057="V02",cad!$D$24,cad!$E$24)))</f>
        <v/>
      </c>
      <c r="I1057" t="str">
        <f>IF($A1057="","",IF($D1057="V01",cad!$C$32,IF($D1057="V02",cad!$D$32,cad!$E$32)))</f>
        <v/>
      </c>
      <c r="J1057" t="str">
        <f>IF($A1057="","",IF($D1057="V01",cad!$C$33,IF($D1057="V02",cad!$D$33,cad!$E$33)))</f>
        <v/>
      </c>
      <c r="K1057" t="str">
        <f>IF($A1057="","",IF($D1057="V01",cad!$C$34,IF($D1057="V02",cad!$D$34,cad!$E$34)))</f>
        <v/>
      </c>
      <c r="L1057" t="str">
        <f>IF($A1057="","",IF($D1057="V01",cad!$C$35,IF($D1057="V02",cad!$D$35,cad!$E$35)))</f>
        <v/>
      </c>
      <c r="M1057" t="str">
        <f>IF($A1057="","",IF($D1057="V01",cad!$C$36,IF($D1057="V02",cad!$D$36,cad!$E$36)))</f>
        <v/>
      </c>
      <c r="N1057" t="str">
        <f t="shared" si="65"/>
        <v/>
      </c>
      <c r="O1057" t="str">
        <f t="shared" si="66"/>
        <v/>
      </c>
      <c r="P1057" t="str">
        <f>IF($A1057="","",IF($E1057=1,$F1057*$O1057,PNL!G1057))</f>
        <v/>
      </c>
      <c r="T1057" t="str">
        <f t="shared" si="67"/>
        <v/>
      </c>
    </row>
    <row r="1058" spans="1:20" x14ac:dyDescent="0.45">
      <c r="A1058" t="str">
        <f>IF(PNL!A1058="","",PNL!A1058)</f>
        <v/>
      </c>
      <c r="B1058" t="str">
        <f>IF(PNL!B1058="","",PNL!B1058)</f>
        <v/>
      </c>
      <c r="C1058" t="str">
        <f>IF(PNL!C1058="","",PNL!C1058)</f>
        <v/>
      </c>
      <c r="D1058" t="str">
        <f>IF(PNL!D1058="","",PNL!D1058)</f>
        <v/>
      </c>
      <c r="E1058" t="str">
        <f t="shared" si="64"/>
        <v/>
      </c>
      <c r="F1058" t="str">
        <f>IF($A1058="","",IF($E1058=1,SUMIFS(Compta!$F$1:$F$675,Compta!$A$1:$A$675,$A1058,Compta!$B$1:$B$675,$B1058,Compta!$C$1:$C$675,"2026"),0))</f>
        <v/>
      </c>
      <c r="G1058" t="str">
        <f>IF($A1058="","",IF($D1058="V01",cad!$C$23,IF($D1058="V02",cad!$D$23,cad!$E$23)))</f>
        <v/>
      </c>
      <c r="H1058" t="str">
        <f>IF($A1058="","",IF($D1058="V01",cad!$C$24,IF($D1058="V02",cad!$D$24,cad!$E$24)))</f>
        <v/>
      </c>
      <c r="I1058" t="str">
        <f>IF($A1058="","",IF($D1058="V01",cad!$C$32,IF($D1058="V02",cad!$D$32,cad!$E$32)))</f>
        <v/>
      </c>
      <c r="J1058" t="str">
        <f>IF($A1058="","",IF($D1058="V01",cad!$C$33,IF($D1058="V02",cad!$D$33,cad!$E$33)))</f>
        <v/>
      </c>
      <c r="K1058" t="str">
        <f>IF($A1058="","",IF($D1058="V01",cad!$C$34,IF($D1058="V02",cad!$D$34,cad!$E$34)))</f>
        <v/>
      </c>
      <c r="L1058" t="str">
        <f>IF($A1058="","",IF($D1058="V01",cad!$C$35,IF($D1058="V02",cad!$D$35,cad!$E$35)))</f>
        <v/>
      </c>
      <c r="M1058" t="str">
        <f>IF($A1058="","",IF($D1058="V01",cad!$C$36,IF($D1058="V02",cad!$D$36,cad!$E$36)))</f>
        <v/>
      </c>
      <c r="N1058" t="str">
        <f t="shared" si="65"/>
        <v/>
      </c>
      <c r="O1058" t="str">
        <f t="shared" si="66"/>
        <v/>
      </c>
      <c r="P1058" t="str">
        <f>IF($A1058="","",IF($E1058=1,$F1058*$O1058,PNL!G1058))</f>
        <v/>
      </c>
      <c r="T1058" t="str">
        <f t="shared" si="67"/>
        <v/>
      </c>
    </row>
    <row r="1059" spans="1:20" x14ac:dyDescent="0.45">
      <c r="A1059" t="str">
        <f>IF(PNL!A1059="","",PNL!A1059)</f>
        <v/>
      </c>
      <c r="B1059" t="str">
        <f>IF(PNL!B1059="","",PNL!B1059)</f>
        <v/>
      </c>
      <c r="C1059" t="str">
        <f>IF(PNL!C1059="","",PNL!C1059)</f>
        <v/>
      </c>
      <c r="D1059" t="str">
        <f>IF(PNL!D1059="","",PNL!D1059)</f>
        <v/>
      </c>
      <c r="E1059" t="str">
        <f t="shared" si="64"/>
        <v/>
      </c>
      <c r="F1059" t="str">
        <f>IF($A1059="","",IF($E1059=1,SUMIFS(Compta!$F$1:$F$675,Compta!$A$1:$A$675,$A1059,Compta!$B$1:$B$675,$B1059,Compta!$C$1:$C$675,"2026"),0))</f>
        <v/>
      </c>
      <c r="G1059" t="str">
        <f>IF($A1059="","",IF($D1059="V01",cad!$C$23,IF($D1059="V02",cad!$D$23,cad!$E$23)))</f>
        <v/>
      </c>
      <c r="H1059" t="str">
        <f>IF($A1059="","",IF($D1059="V01",cad!$C$24,IF($D1059="V02",cad!$D$24,cad!$E$24)))</f>
        <v/>
      </c>
      <c r="I1059" t="str">
        <f>IF($A1059="","",IF($D1059="V01",cad!$C$32,IF($D1059="V02",cad!$D$32,cad!$E$32)))</f>
        <v/>
      </c>
      <c r="J1059" t="str">
        <f>IF($A1059="","",IF($D1059="V01",cad!$C$33,IF($D1059="V02",cad!$D$33,cad!$E$33)))</f>
        <v/>
      </c>
      <c r="K1059" t="str">
        <f>IF($A1059="","",IF($D1059="V01",cad!$C$34,IF($D1059="V02",cad!$D$34,cad!$E$34)))</f>
        <v/>
      </c>
      <c r="L1059" t="str">
        <f>IF($A1059="","",IF($D1059="V01",cad!$C$35,IF($D1059="V02",cad!$D$35,cad!$E$35)))</f>
        <v/>
      </c>
      <c r="M1059" t="str">
        <f>IF($A1059="","",IF($D1059="V01",cad!$C$36,IF($D1059="V02",cad!$D$36,cad!$E$36)))</f>
        <v/>
      </c>
      <c r="N1059" t="str">
        <f t="shared" si="65"/>
        <v/>
      </c>
      <c r="O1059" t="str">
        <f t="shared" si="66"/>
        <v/>
      </c>
      <c r="P1059" t="str">
        <f>IF($A1059="","",IF($E1059=1,$F1059*$O1059,PNL!G1059))</f>
        <v/>
      </c>
      <c r="T1059" t="str">
        <f t="shared" si="67"/>
        <v/>
      </c>
    </row>
    <row r="1060" spans="1:20" x14ac:dyDescent="0.45">
      <c r="A1060" t="str">
        <f>IF(PNL!A1060="","",PNL!A1060)</f>
        <v/>
      </c>
      <c r="B1060" t="str">
        <f>IF(PNL!B1060="","",PNL!B1060)</f>
        <v/>
      </c>
      <c r="C1060" t="str">
        <f>IF(PNL!C1060="","",PNL!C1060)</f>
        <v/>
      </c>
      <c r="D1060" t="str">
        <f>IF(PNL!D1060="","",PNL!D1060)</f>
        <v/>
      </c>
      <c r="E1060" t="str">
        <f t="shared" si="64"/>
        <v/>
      </c>
      <c r="F1060" t="str">
        <f>IF($A1060="","",IF($E1060=1,SUMIFS(Compta!$F$1:$F$675,Compta!$A$1:$A$675,$A1060,Compta!$B$1:$B$675,$B1060,Compta!$C$1:$C$675,"2026"),0))</f>
        <v/>
      </c>
      <c r="G1060" t="str">
        <f>IF($A1060="","",IF($D1060="V01",cad!$C$23,IF($D1060="V02",cad!$D$23,cad!$E$23)))</f>
        <v/>
      </c>
      <c r="H1060" t="str">
        <f>IF($A1060="","",IF($D1060="V01",cad!$C$24,IF($D1060="V02",cad!$D$24,cad!$E$24)))</f>
        <v/>
      </c>
      <c r="I1060" t="str">
        <f>IF($A1060="","",IF($D1060="V01",cad!$C$32,IF($D1060="V02",cad!$D$32,cad!$E$32)))</f>
        <v/>
      </c>
      <c r="J1060" t="str">
        <f>IF($A1060="","",IF($D1060="V01",cad!$C$33,IF($D1060="V02",cad!$D$33,cad!$E$33)))</f>
        <v/>
      </c>
      <c r="K1060" t="str">
        <f>IF($A1060="","",IF($D1060="V01",cad!$C$34,IF($D1060="V02",cad!$D$34,cad!$E$34)))</f>
        <v/>
      </c>
      <c r="L1060" t="str">
        <f>IF($A1060="","",IF($D1060="V01",cad!$C$35,IF($D1060="V02",cad!$D$35,cad!$E$35)))</f>
        <v/>
      </c>
      <c r="M1060" t="str">
        <f>IF($A1060="","",IF($D1060="V01",cad!$C$36,IF($D1060="V02",cad!$D$36,cad!$E$36)))</f>
        <v/>
      </c>
      <c r="N1060" t="str">
        <f t="shared" si="65"/>
        <v/>
      </c>
      <c r="O1060" t="str">
        <f t="shared" si="66"/>
        <v/>
      </c>
      <c r="P1060" t="str">
        <f>IF($A1060="","",IF($E1060=1,$F1060*$O1060,PNL!G1060))</f>
        <v/>
      </c>
      <c r="T1060" t="str">
        <f t="shared" si="67"/>
        <v/>
      </c>
    </row>
    <row r="1061" spans="1:20" x14ac:dyDescent="0.45">
      <c r="A1061" t="str">
        <f>IF(PNL!A1061="","",PNL!A1061)</f>
        <v/>
      </c>
      <c r="B1061" t="str">
        <f>IF(PNL!B1061="","",PNL!B1061)</f>
        <v/>
      </c>
      <c r="C1061" t="str">
        <f>IF(PNL!C1061="","",PNL!C1061)</f>
        <v/>
      </c>
      <c r="D1061" t="str">
        <f>IF(PNL!D1061="","",PNL!D1061)</f>
        <v/>
      </c>
      <c r="E1061" t="str">
        <f t="shared" si="64"/>
        <v/>
      </c>
      <c r="F1061" t="str">
        <f>IF($A1061="","",IF($E1061=1,SUMIFS(Compta!$F$1:$F$675,Compta!$A$1:$A$675,$A1061,Compta!$B$1:$B$675,$B1061,Compta!$C$1:$C$675,"2026"),0))</f>
        <v/>
      </c>
      <c r="G1061" t="str">
        <f>IF($A1061="","",IF($D1061="V01",cad!$C$23,IF($D1061="V02",cad!$D$23,cad!$E$23)))</f>
        <v/>
      </c>
      <c r="H1061" t="str">
        <f>IF($A1061="","",IF($D1061="V01",cad!$C$24,IF($D1061="V02",cad!$D$24,cad!$E$24)))</f>
        <v/>
      </c>
      <c r="I1061" t="str">
        <f>IF($A1061="","",IF($D1061="V01",cad!$C$32,IF($D1061="V02",cad!$D$32,cad!$E$32)))</f>
        <v/>
      </c>
      <c r="J1061" t="str">
        <f>IF($A1061="","",IF($D1061="V01",cad!$C$33,IF($D1061="V02",cad!$D$33,cad!$E$33)))</f>
        <v/>
      </c>
      <c r="K1061" t="str">
        <f>IF($A1061="","",IF($D1061="V01",cad!$C$34,IF($D1061="V02",cad!$D$34,cad!$E$34)))</f>
        <v/>
      </c>
      <c r="L1061" t="str">
        <f>IF($A1061="","",IF($D1061="V01",cad!$C$35,IF($D1061="V02",cad!$D$35,cad!$E$35)))</f>
        <v/>
      </c>
      <c r="M1061" t="str">
        <f>IF($A1061="","",IF($D1061="V01",cad!$C$36,IF($D1061="V02",cad!$D$36,cad!$E$36)))</f>
        <v/>
      </c>
      <c r="N1061" t="str">
        <f t="shared" si="65"/>
        <v/>
      </c>
      <c r="O1061" t="str">
        <f t="shared" si="66"/>
        <v/>
      </c>
      <c r="P1061" t="str">
        <f>IF($A1061="","",IF($E1061=1,$F1061*$O1061,PNL!G1061))</f>
        <v/>
      </c>
      <c r="T1061" t="str">
        <f t="shared" si="67"/>
        <v/>
      </c>
    </row>
    <row r="1062" spans="1:20" x14ac:dyDescent="0.45">
      <c r="A1062" t="str">
        <f>IF(PNL!A1062="","",PNL!A1062)</f>
        <v/>
      </c>
      <c r="B1062" t="str">
        <f>IF(PNL!B1062="","",PNL!B1062)</f>
        <v/>
      </c>
      <c r="C1062" t="str">
        <f>IF(PNL!C1062="","",PNL!C1062)</f>
        <v/>
      </c>
      <c r="D1062" t="str">
        <f>IF(PNL!D1062="","",PNL!D1062)</f>
        <v/>
      </c>
      <c r="E1062" t="str">
        <f t="shared" si="64"/>
        <v/>
      </c>
      <c r="F1062" t="str">
        <f>IF($A1062="","",IF($E1062=1,SUMIFS(Compta!$F$1:$F$675,Compta!$A$1:$A$675,$A1062,Compta!$B$1:$B$675,$B1062,Compta!$C$1:$C$675,"2026"),0))</f>
        <v/>
      </c>
      <c r="G1062" t="str">
        <f>IF($A1062="","",IF($D1062="V01",cad!$C$23,IF($D1062="V02",cad!$D$23,cad!$E$23)))</f>
        <v/>
      </c>
      <c r="H1062" t="str">
        <f>IF($A1062="","",IF($D1062="V01",cad!$C$24,IF($D1062="V02",cad!$D$24,cad!$E$24)))</f>
        <v/>
      </c>
      <c r="I1062" t="str">
        <f>IF($A1062="","",IF($D1062="V01",cad!$C$32,IF($D1062="V02",cad!$D$32,cad!$E$32)))</f>
        <v/>
      </c>
      <c r="J1062" t="str">
        <f>IF($A1062="","",IF($D1062="V01",cad!$C$33,IF($D1062="V02",cad!$D$33,cad!$E$33)))</f>
        <v/>
      </c>
      <c r="K1062" t="str">
        <f>IF($A1062="","",IF($D1062="V01",cad!$C$34,IF($D1062="V02",cad!$D$34,cad!$E$34)))</f>
        <v/>
      </c>
      <c r="L1062" t="str">
        <f>IF($A1062="","",IF($D1062="V01",cad!$C$35,IF($D1062="V02",cad!$D$35,cad!$E$35)))</f>
        <v/>
      </c>
      <c r="M1062" t="str">
        <f>IF($A1062="","",IF($D1062="V01",cad!$C$36,IF($D1062="V02",cad!$D$36,cad!$E$36)))</f>
        <v/>
      </c>
      <c r="N1062" t="str">
        <f t="shared" si="65"/>
        <v/>
      </c>
      <c r="O1062" t="str">
        <f t="shared" si="66"/>
        <v/>
      </c>
      <c r="P1062" t="str">
        <f>IF($A1062="","",IF($E1062=1,$F1062*$O1062,PNL!G1062))</f>
        <v/>
      </c>
      <c r="T1062" t="str">
        <f t="shared" si="67"/>
        <v/>
      </c>
    </row>
    <row r="1063" spans="1:20" x14ac:dyDescent="0.45">
      <c r="A1063" t="str">
        <f>IF(PNL!A1063="","",PNL!A1063)</f>
        <v/>
      </c>
      <c r="B1063" t="str">
        <f>IF(PNL!B1063="","",PNL!B1063)</f>
        <v/>
      </c>
      <c r="C1063" t="str">
        <f>IF(PNL!C1063="","",PNL!C1063)</f>
        <v/>
      </c>
      <c r="D1063" t="str">
        <f>IF(PNL!D1063="","",PNL!D1063)</f>
        <v/>
      </c>
      <c r="E1063" t="str">
        <f t="shared" si="64"/>
        <v/>
      </c>
      <c r="F1063" t="str">
        <f>IF($A1063="","",IF($E1063=1,SUMIFS(Compta!$F$1:$F$675,Compta!$A$1:$A$675,$A1063,Compta!$B$1:$B$675,$B1063,Compta!$C$1:$C$675,"2026"),0))</f>
        <v/>
      </c>
      <c r="G1063" t="str">
        <f>IF($A1063="","",IF($D1063="V01",cad!$C$23,IF($D1063="V02",cad!$D$23,cad!$E$23)))</f>
        <v/>
      </c>
      <c r="H1063" t="str">
        <f>IF($A1063="","",IF($D1063="V01",cad!$C$24,IF($D1063="V02",cad!$D$24,cad!$E$24)))</f>
        <v/>
      </c>
      <c r="I1063" t="str">
        <f>IF($A1063="","",IF($D1063="V01",cad!$C$32,IF($D1063="V02",cad!$D$32,cad!$E$32)))</f>
        <v/>
      </c>
      <c r="J1063" t="str">
        <f>IF($A1063="","",IF($D1063="V01",cad!$C$33,IF($D1063="V02",cad!$D$33,cad!$E$33)))</f>
        <v/>
      </c>
      <c r="K1063" t="str">
        <f>IF($A1063="","",IF($D1063="V01",cad!$C$34,IF($D1063="V02",cad!$D$34,cad!$E$34)))</f>
        <v/>
      </c>
      <c r="L1063" t="str">
        <f>IF($A1063="","",IF($D1063="V01",cad!$C$35,IF($D1063="V02",cad!$D$35,cad!$E$35)))</f>
        <v/>
      </c>
      <c r="M1063" t="str">
        <f>IF($A1063="","",IF($D1063="V01",cad!$C$36,IF($D1063="V02",cad!$D$36,cad!$E$36)))</f>
        <v/>
      </c>
      <c r="N1063" t="str">
        <f t="shared" si="65"/>
        <v/>
      </c>
      <c r="O1063" t="str">
        <f t="shared" si="66"/>
        <v/>
      </c>
      <c r="P1063" t="str">
        <f>IF($A1063="","",IF($E1063=1,$F1063*$O1063,PNL!G1063))</f>
        <v/>
      </c>
      <c r="T1063" t="str">
        <f t="shared" si="67"/>
        <v/>
      </c>
    </row>
    <row r="1064" spans="1:20" x14ac:dyDescent="0.45">
      <c r="A1064" t="str">
        <f>IF(PNL!A1064="","",PNL!A1064)</f>
        <v/>
      </c>
      <c r="B1064" t="str">
        <f>IF(PNL!B1064="","",PNL!B1064)</f>
        <v/>
      </c>
      <c r="C1064" t="str">
        <f>IF(PNL!C1064="","",PNL!C1064)</f>
        <v/>
      </c>
      <c r="D1064" t="str">
        <f>IF(PNL!D1064="","",PNL!D1064)</f>
        <v/>
      </c>
      <c r="E1064" t="str">
        <f t="shared" si="64"/>
        <v/>
      </c>
      <c r="F1064" t="str">
        <f>IF($A1064="","",IF($E1064=1,SUMIFS(Compta!$F$1:$F$675,Compta!$A$1:$A$675,$A1064,Compta!$B$1:$B$675,$B1064,Compta!$C$1:$C$675,"2026"),0))</f>
        <v/>
      </c>
      <c r="G1064" t="str">
        <f>IF($A1064="","",IF($D1064="V01",cad!$C$23,IF($D1064="V02",cad!$D$23,cad!$E$23)))</f>
        <v/>
      </c>
      <c r="H1064" t="str">
        <f>IF($A1064="","",IF($D1064="V01",cad!$C$24,IF($D1064="V02",cad!$D$24,cad!$E$24)))</f>
        <v/>
      </c>
      <c r="I1064" t="str">
        <f>IF($A1064="","",IF($D1064="V01",cad!$C$32,IF($D1064="V02",cad!$D$32,cad!$E$32)))</f>
        <v/>
      </c>
      <c r="J1064" t="str">
        <f>IF($A1064="","",IF($D1064="V01",cad!$C$33,IF($D1064="V02",cad!$D$33,cad!$E$33)))</f>
        <v/>
      </c>
      <c r="K1064" t="str">
        <f>IF($A1064="","",IF($D1064="V01",cad!$C$34,IF($D1064="V02",cad!$D$34,cad!$E$34)))</f>
        <v/>
      </c>
      <c r="L1064" t="str">
        <f>IF($A1064="","",IF($D1064="V01",cad!$C$35,IF($D1064="V02",cad!$D$35,cad!$E$35)))</f>
        <v/>
      </c>
      <c r="M1064" t="str">
        <f>IF($A1064="","",IF($D1064="V01",cad!$C$36,IF($D1064="V02",cad!$D$36,cad!$E$36)))</f>
        <v/>
      </c>
      <c r="N1064" t="str">
        <f t="shared" si="65"/>
        <v/>
      </c>
      <c r="O1064" t="str">
        <f t="shared" si="66"/>
        <v/>
      </c>
      <c r="P1064" t="str">
        <f>IF($A1064="","",IF($E1064=1,$F1064*$O1064,PNL!G1064))</f>
        <v/>
      </c>
      <c r="T1064" t="str">
        <f t="shared" si="67"/>
        <v/>
      </c>
    </row>
    <row r="1065" spans="1:20" x14ac:dyDescent="0.45">
      <c r="A1065" t="str">
        <f>IF(PNL!A1065="","",PNL!A1065)</f>
        <v/>
      </c>
      <c r="B1065" t="str">
        <f>IF(PNL!B1065="","",PNL!B1065)</f>
        <v/>
      </c>
      <c r="C1065" t="str">
        <f>IF(PNL!C1065="","",PNL!C1065)</f>
        <v/>
      </c>
      <c r="D1065" t="str">
        <f>IF(PNL!D1065="","",PNL!D1065)</f>
        <v/>
      </c>
      <c r="E1065" t="str">
        <f t="shared" si="64"/>
        <v/>
      </c>
      <c r="F1065" t="str">
        <f>IF($A1065="","",IF($E1065=1,SUMIFS(Compta!$F$1:$F$675,Compta!$A$1:$A$675,$A1065,Compta!$B$1:$B$675,$B1065,Compta!$C$1:$C$675,"2026"),0))</f>
        <v/>
      </c>
      <c r="G1065" t="str">
        <f>IF($A1065="","",IF($D1065="V01",cad!$C$23,IF($D1065="V02",cad!$D$23,cad!$E$23)))</f>
        <v/>
      </c>
      <c r="H1065" t="str">
        <f>IF($A1065="","",IF($D1065="V01",cad!$C$24,IF($D1065="V02",cad!$D$24,cad!$E$24)))</f>
        <v/>
      </c>
      <c r="I1065" t="str">
        <f>IF($A1065="","",IF($D1065="V01",cad!$C$32,IF($D1065="V02",cad!$D$32,cad!$E$32)))</f>
        <v/>
      </c>
      <c r="J1065" t="str">
        <f>IF($A1065="","",IF($D1065="V01",cad!$C$33,IF($D1065="V02",cad!$D$33,cad!$E$33)))</f>
        <v/>
      </c>
      <c r="K1065" t="str">
        <f>IF($A1065="","",IF($D1065="V01",cad!$C$34,IF($D1065="V02",cad!$D$34,cad!$E$34)))</f>
        <v/>
      </c>
      <c r="L1065" t="str">
        <f>IF($A1065="","",IF($D1065="V01",cad!$C$35,IF($D1065="V02",cad!$D$35,cad!$E$35)))</f>
        <v/>
      </c>
      <c r="M1065" t="str">
        <f>IF($A1065="","",IF($D1065="V01",cad!$C$36,IF($D1065="V02",cad!$D$36,cad!$E$36)))</f>
        <v/>
      </c>
      <c r="N1065" t="str">
        <f t="shared" si="65"/>
        <v/>
      </c>
      <c r="O1065" t="str">
        <f t="shared" si="66"/>
        <v/>
      </c>
      <c r="P1065" t="str">
        <f>IF($A1065="","",IF($E1065=1,$F1065*$O1065,PNL!G1065))</f>
        <v/>
      </c>
      <c r="T1065" t="str">
        <f t="shared" si="67"/>
        <v/>
      </c>
    </row>
    <row r="1066" spans="1:20" x14ac:dyDescent="0.45">
      <c r="A1066" t="str">
        <f>IF(PNL!A1066="","",PNL!A1066)</f>
        <v/>
      </c>
      <c r="B1066" t="str">
        <f>IF(PNL!B1066="","",PNL!B1066)</f>
        <v/>
      </c>
      <c r="C1066" t="str">
        <f>IF(PNL!C1066="","",PNL!C1066)</f>
        <v/>
      </c>
      <c r="D1066" t="str">
        <f>IF(PNL!D1066="","",PNL!D1066)</f>
        <v/>
      </c>
      <c r="E1066" t="str">
        <f t="shared" si="64"/>
        <v/>
      </c>
      <c r="F1066" t="str">
        <f>IF($A1066="","",IF($E1066=1,SUMIFS(Compta!$F$1:$F$675,Compta!$A$1:$A$675,$A1066,Compta!$B$1:$B$675,$B1066,Compta!$C$1:$C$675,"2026"),0))</f>
        <v/>
      </c>
      <c r="G1066" t="str">
        <f>IF($A1066="","",IF($D1066="V01",cad!$C$23,IF($D1066="V02",cad!$D$23,cad!$E$23)))</f>
        <v/>
      </c>
      <c r="H1066" t="str">
        <f>IF($A1066="","",IF($D1066="V01",cad!$C$24,IF($D1066="V02",cad!$D$24,cad!$E$24)))</f>
        <v/>
      </c>
      <c r="I1066" t="str">
        <f>IF($A1066="","",IF($D1066="V01",cad!$C$32,IF($D1066="V02",cad!$D$32,cad!$E$32)))</f>
        <v/>
      </c>
      <c r="J1066" t="str">
        <f>IF($A1066="","",IF($D1066="V01",cad!$C$33,IF($D1066="V02",cad!$D$33,cad!$E$33)))</f>
        <v/>
      </c>
      <c r="K1066" t="str">
        <f>IF($A1066="","",IF($D1066="V01",cad!$C$34,IF($D1066="V02",cad!$D$34,cad!$E$34)))</f>
        <v/>
      </c>
      <c r="L1066" t="str">
        <f>IF($A1066="","",IF($D1066="V01",cad!$C$35,IF($D1066="V02",cad!$D$35,cad!$E$35)))</f>
        <v/>
      </c>
      <c r="M1066" t="str">
        <f>IF($A1066="","",IF($D1066="V01",cad!$C$36,IF($D1066="V02",cad!$D$36,cad!$E$36)))</f>
        <v/>
      </c>
      <c r="N1066" t="str">
        <f t="shared" si="65"/>
        <v/>
      </c>
      <c r="O1066" t="str">
        <f t="shared" si="66"/>
        <v/>
      </c>
      <c r="P1066" t="str">
        <f>IF($A1066="","",IF($E1066=1,$F1066*$O1066,PNL!G1066))</f>
        <v/>
      </c>
      <c r="T1066" t="str">
        <f t="shared" si="67"/>
        <v/>
      </c>
    </row>
    <row r="1067" spans="1:20" x14ac:dyDescent="0.45">
      <c r="A1067" t="str">
        <f>IF(PNL!A1067="","",PNL!A1067)</f>
        <v/>
      </c>
      <c r="B1067" t="str">
        <f>IF(PNL!B1067="","",PNL!B1067)</f>
        <v/>
      </c>
      <c r="C1067" t="str">
        <f>IF(PNL!C1067="","",PNL!C1067)</f>
        <v/>
      </c>
      <c r="D1067" t="str">
        <f>IF(PNL!D1067="","",PNL!D1067)</f>
        <v/>
      </c>
      <c r="E1067" t="str">
        <f t="shared" si="64"/>
        <v/>
      </c>
      <c r="F1067" t="str">
        <f>IF($A1067="","",IF($E1067=1,SUMIFS(Compta!$F$1:$F$675,Compta!$A$1:$A$675,$A1067,Compta!$B$1:$B$675,$B1067,Compta!$C$1:$C$675,"2026"),0))</f>
        <v/>
      </c>
      <c r="G1067" t="str">
        <f>IF($A1067="","",IF($D1067="V01",cad!$C$23,IF($D1067="V02",cad!$D$23,cad!$E$23)))</f>
        <v/>
      </c>
      <c r="H1067" t="str">
        <f>IF($A1067="","",IF($D1067="V01",cad!$C$24,IF($D1067="V02",cad!$D$24,cad!$E$24)))</f>
        <v/>
      </c>
      <c r="I1067" t="str">
        <f>IF($A1067="","",IF($D1067="V01",cad!$C$32,IF($D1067="V02",cad!$D$32,cad!$E$32)))</f>
        <v/>
      </c>
      <c r="J1067" t="str">
        <f>IF($A1067="","",IF($D1067="V01",cad!$C$33,IF($D1067="V02",cad!$D$33,cad!$E$33)))</f>
        <v/>
      </c>
      <c r="K1067" t="str">
        <f>IF($A1067="","",IF($D1067="V01",cad!$C$34,IF($D1067="V02",cad!$D$34,cad!$E$34)))</f>
        <v/>
      </c>
      <c r="L1067" t="str">
        <f>IF($A1067="","",IF($D1067="V01",cad!$C$35,IF($D1067="V02",cad!$D$35,cad!$E$35)))</f>
        <v/>
      </c>
      <c r="M1067" t="str">
        <f>IF($A1067="","",IF($D1067="V01",cad!$C$36,IF($D1067="V02",cad!$D$36,cad!$E$36)))</f>
        <v/>
      </c>
      <c r="N1067" t="str">
        <f t="shared" si="65"/>
        <v/>
      </c>
      <c r="O1067" t="str">
        <f t="shared" si="66"/>
        <v/>
      </c>
      <c r="P1067" t="str">
        <f>IF($A1067="","",IF($E1067=1,$F1067*$O1067,PNL!G1067))</f>
        <v/>
      </c>
      <c r="T1067" t="str">
        <f t="shared" si="67"/>
        <v/>
      </c>
    </row>
    <row r="1068" spans="1:20" x14ac:dyDescent="0.45">
      <c r="A1068" t="str">
        <f>IF(PNL!A1068="","",PNL!A1068)</f>
        <v/>
      </c>
      <c r="B1068" t="str">
        <f>IF(PNL!B1068="","",PNL!B1068)</f>
        <v/>
      </c>
      <c r="C1068" t="str">
        <f>IF(PNL!C1068="","",PNL!C1068)</f>
        <v/>
      </c>
      <c r="D1068" t="str">
        <f>IF(PNL!D1068="","",PNL!D1068)</f>
        <v/>
      </c>
      <c r="E1068" t="str">
        <f t="shared" si="64"/>
        <v/>
      </c>
      <c r="F1068" t="str">
        <f>IF($A1068="","",IF($E1068=1,SUMIFS(Compta!$F$1:$F$675,Compta!$A$1:$A$675,$A1068,Compta!$B$1:$B$675,$B1068,Compta!$C$1:$C$675,"2026"),0))</f>
        <v/>
      </c>
      <c r="G1068" t="str">
        <f>IF($A1068="","",IF($D1068="V01",cad!$C$23,IF($D1068="V02",cad!$D$23,cad!$E$23)))</f>
        <v/>
      </c>
      <c r="H1068" t="str">
        <f>IF($A1068="","",IF($D1068="V01",cad!$C$24,IF($D1068="V02",cad!$D$24,cad!$E$24)))</f>
        <v/>
      </c>
      <c r="I1068" t="str">
        <f>IF($A1068="","",IF($D1068="V01",cad!$C$32,IF($D1068="V02",cad!$D$32,cad!$E$32)))</f>
        <v/>
      </c>
      <c r="J1068" t="str">
        <f>IF($A1068="","",IF($D1068="V01",cad!$C$33,IF($D1068="V02",cad!$D$33,cad!$E$33)))</f>
        <v/>
      </c>
      <c r="K1068" t="str">
        <f>IF($A1068="","",IF($D1068="V01",cad!$C$34,IF($D1068="V02",cad!$D$34,cad!$E$34)))</f>
        <v/>
      </c>
      <c r="L1068" t="str">
        <f>IF($A1068="","",IF($D1068="V01",cad!$C$35,IF($D1068="V02",cad!$D$35,cad!$E$35)))</f>
        <v/>
      </c>
      <c r="M1068" t="str">
        <f>IF($A1068="","",IF($D1068="V01",cad!$C$36,IF($D1068="V02",cad!$D$36,cad!$E$36)))</f>
        <v/>
      </c>
      <c r="N1068" t="str">
        <f t="shared" si="65"/>
        <v/>
      </c>
      <c r="O1068" t="str">
        <f t="shared" si="66"/>
        <v/>
      </c>
      <c r="P1068" t="str">
        <f>IF($A1068="","",IF($E1068=1,$F1068*$O1068,PNL!G1068))</f>
        <v/>
      </c>
      <c r="T1068" t="str">
        <f t="shared" si="67"/>
        <v/>
      </c>
    </row>
    <row r="1069" spans="1:20" x14ac:dyDescent="0.45">
      <c r="A1069" t="str">
        <f>IF(PNL!A1069="","",PNL!A1069)</f>
        <v/>
      </c>
      <c r="B1069" t="str">
        <f>IF(PNL!B1069="","",PNL!B1069)</f>
        <v/>
      </c>
      <c r="C1069" t="str">
        <f>IF(PNL!C1069="","",PNL!C1069)</f>
        <v/>
      </c>
      <c r="D1069" t="str">
        <f>IF(PNL!D1069="","",PNL!D1069)</f>
        <v/>
      </c>
      <c r="E1069" t="str">
        <f t="shared" si="64"/>
        <v/>
      </c>
      <c r="F1069" t="str">
        <f>IF($A1069="","",IF($E1069=1,SUMIFS(Compta!$F$1:$F$675,Compta!$A$1:$A$675,$A1069,Compta!$B$1:$B$675,$B1069,Compta!$C$1:$C$675,"2026"),0))</f>
        <v/>
      </c>
      <c r="G1069" t="str">
        <f>IF($A1069="","",IF($D1069="V01",cad!$C$23,IF($D1069="V02",cad!$D$23,cad!$E$23)))</f>
        <v/>
      </c>
      <c r="H1069" t="str">
        <f>IF($A1069="","",IF($D1069="V01",cad!$C$24,IF($D1069="V02",cad!$D$24,cad!$E$24)))</f>
        <v/>
      </c>
      <c r="I1069" t="str">
        <f>IF($A1069="","",IF($D1069="V01",cad!$C$32,IF($D1069="V02",cad!$D$32,cad!$E$32)))</f>
        <v/>
      </c>
      <c r="J1069" t="str">
        <f>IF($A1069="","",IF($D1069="V01",cad!$C$33,IF($D1069="V02",cad!$D$33,cad!$E$33)))</f>
        <v/>
      </c>
      <c r="K1069" t="str">
        <f>IF($A1069="","",IF($D1069="V01",cad!$C$34,IF($D1069="V02",cad!$D$34,cad!$E$34)))</f>
        <v/>
      </c>
      <c r="L1069" t="str">
        <f>IF($A1069="","",IF($D1069="V01",cad!$C$35,IF($D1069="V02",cad!$D$35,cad!$E$35)))</f>
        <v/>
      </c>
      <c r="M1069" t="str">
        <f>IF($A1069="","",IF($D1069="V01",cad!$C$36,IF($D1069="V02",cad!$D$36,cad!$E$36)))</f>
        <v/>
      </c>
      <c r="N1069" t="str">
        <f t="shared" si="65"/>
        <v/>
      </c>
      <c r="O1069" t="str">
        <f t="shared" si="66"/>
        <v/>
      </c>
      <c r="P1069" t="str">
        <f>IF($A1069="","",IF($E1069=1,$F1069*$O1069,PNL!G1069))</f>
        <v/>
      </c>
      <c r="T1069" t="str">
        <f t="shared" si="67"/>
        <v/>
      </c>
    </row>
    <row r="1070" spans="1:20" x14ac:dyDescent="0.45">
      <c r="A1070" t="str">
        <f>IF(PNL!A1070="","",PNL!A1070)</f>
        <v/>
      </c>
      <c r="B1070" t="str">
        <f>IF(PNL!B1070="","",PNL!B1070)</f>
        <v/>
      </c>
      <c r="C1070" t="str">
        <f>IF(PNL!C1070="","",PNL!C1070)</f>
        <v/>
      </c>
      <c r="D1070" t="str">
        <f>IF(PNL!D1070="","",PNL!D1070)</f>
        <v/>
      </c>
      <c r="E1070" t="str">
        <f t="shared" si="64"/>
        <v/>
      </c>
      <c r="F1070" t="str">
        <f>IF($A1070="","",IF($E1070=1,SUMIFS(Compta!$F$1:$F$675,Compta!$A$1:$A$675,$A1070,Compta!$B$1:$B$675,$B1070,Compta!$C$1:$C$675,"2026"),0))</f>
        <v/>
      </c>
      <c r="G1070" t="str">
        <f>IF($A1070="","",IF($D1070="V01",cad!$C$23,IF($D1070="V02",cad!$D$23,cad!$E$23)))</f>
        <v/>
      </c>
      <c r="H1070" t="str">
        <f>IF($A1070="","",IF($D1070="V01",cad!$C$24,IF($D1070="V02",cad!$D$24,cad!$E$24)))</f>
        <v/>
      </c>
      <c r="I1070" t="str">
        <f>IF($A1070="","",IF($D1070="V01",cad!$C$32,IF($D1070="V02",cad!$D$32,cad!$E$32)))</f>
        <v/>
      </c>
      <c r="J1070" t="str">
        <f>IF($A1070="","",IF($D1070="V01",cad!$C$33,IF($D1070="V02",cad!$D$33,cad!$E$33)))</f>
        <v/>
      </c>
      <c r="K1070" t="str">
        <f>IF($A1070="","",IF($D1070="V01",cad!$C$34,IF($D1070="V02",cad!$D$34,cad!$E$34)))</f>
        <v/>
      </c>
      <c r="L1070" t="str">
        <f>IF($A1070="","",IF($D1070="V01",cad!$C$35,IF($D1070="V02",cad!$D$35,cad!$E$35)))</f>
        <v/>
      </c>
      <c r="M1070" t="str">
        <f>IF($A1070="","",IF($D1070="V01",cad!$C$36,IF($D1070="V02",cad!$D$36,cad!$E$36)))</f>
        <v/>
      </c>
      <c r="N1070" t="str">
        <f t="shared" si="65"/>
        <v/>
      </c>
      <c r="O1070" t="str">
        <f t="shared" si="66"/>
        <v/>
      </c>
      <c r="P1070" t="str">
        <f>IF($A1070="","",IF($E1070=1,$F1070*$O1070,PNL!G1070))</f>
        <v/>
      </c>
      <c r="T1070" t="str">
        <f t="shared" si="67"/>
        <v/>
      </c>
    </row>
    <row r="1071" spans="1:20" x14ac:dyDescent="0.45">
      <c r="A1071" t="str">
        <f>IF(PNL!A1071="","",PNL!A1071)</f>
        <v/>
      </c>
      <c r="B1071" t="str">
        <f>IF(PNL!B1071="","",PNL!B1071)</f>
        <v/>
      </c>
      <c r="C1071" t="str">
        <f>IF(PNL!C1071="","",PNL!C1071)</f>
        <v/>
      </c>
      <c r="D1071" t="str">
        <f>IF(PNL!D1071="","",PNL!D1071)</f>
        <v/>
      </c>
      <c r="E1071" t="str">
        <f t="shared" si="64"/>
        <v/>
      </c>
      <c r="F1071" t="str">
        <f>IF($A1071="","",IF($E1071=1,SUMIFS(Compta!$F$1:$F$675,Compta!$A$1:$A$675,$A1071,Compta!$B$1:$B$675,$B1071,Compta!$C$1:$C$675,"2026"),0))</f>
        <v/>
      </c>
      <c r="G1071" t="str">
        <f>IF($A1071="","",IF($D1071="V01",cad!$C$23,IF($D1071="V02",cad!$D$23,cad!$E$23)))</f>
        <v/>
      </c>
      <c r="H1071" t="str">
        <f>IF($A1071="","",IF($D1071="V01",cad!$C$24,IF($D1071="V02",cad!$D$24,cad!$E$24)))</f>
        <v/>
      </c>
      <c r="I1071" t="str">
        <f>IF($A1071="","",IF($D1071="V01",cad!$C$32,IF($D1071="V02",cad!$D$32,cad!$E$32)))</f>
        <v/>
      </c>
      <c r="J1071" t="str">
        <f>IF($A1071="","",IF($D1071="V01",cad!$C$33,IF($D1071="V02",cad!$D$33,cad!$E$33)))</f>
        <v/>
      </c>
      <c r="K1071" t="str">
        <f>IF($A1071="","",IF($D1071="V01",cad!$C$34,IF($D1071="V02",cad!$D$34,cad!$E$34)))</f>
        <v/>
      </c>
      <c r="L1071" t="str">
        <f>IF($A1071="","",IF($D1071="V01",cad!$C$35,IF($D1071="V02",cad!$D$35,cad!$E$35)))</f>
        <v/>
      </c>
      <c r="M1071" t="str">
        <f>IF($A1071="","",IF($D1071="V01",cad!$C$36,IF($D1071="V02",cad!$D$36,cad!$E$36)))</f>
        <v/>
      </c>
      <c r="N1071" t="str">
        <f t="shared" si="65"/>
        <v/>
      </c>
      <c r="O1071" t="str">
        <f t="shared" si="66"/>
        <v/>
      </c>
      <c r="P1071" t="str">
        <f>IF($A1071="","",IF($E1071=1,$F1071*$O1071,PNL!G1071))</f>
        <v/>
      </c>
      <c r="T1071" t="str">
        <f t="shared" si="67"/>
        <v/>
      </c>
    </row>
    <row r="1072" spans="1:20" x14ac:dyDescent="0.45">
      <c r="A1072" t="str">
        <f>IF(PNL!A1072="","",PNL!A1072)</f>
        <v/>
      </c>
      <c r="B1072" t="str">
        <f>IF(PNL!B1072="","",PNL!B1072)</f>
        <v/>
      </c>
      <c r="C1072" t="str">
        <f>IF(PNL!C1072="","",PNL!C1072)</f>
        <v/>
      </c>
      <c r="D1072" t="str">
        <f>IF(PNL!D1072="","",PNL!D1072)</f>
        <v/>
      </c>
      <c r="E1072" t="str">
        <f t="shared" si="64"/>
        <v/>
      </c>
      <c r="F1072" t="str">
        <f>IF($A1072="","",IF($E1072=1,SUMIFS(Compta!$F$1:$F$675,Compta!$A$1:$A$675,$A1072,Compta!$B$1:$B$675,$B1072,Compta!$C$1:$C$675,"2026"),0))</f>
        <v/>
      </c>
      <c r="G1072" t="str">
        <f>IF($A1072="","",IF($D1072="V01",cad!$C$23,IF($D1072="V02",cad!$D$23,cad!$E$23)))</f>
        <v/>
      </c>
      <c r="H1072" t="str">
        <f>IF($A1072="","",IF($D1072="V01",cad!$C$24,IF($D1072="V02",cad!$D$24,cad!$E$24)))</f>
        <v/>
      </c>
      <c r="I1072" t="str">
        <f>IF($A1072="","",IF($D1072="V01",cad!$C$32,IF($D1072="V02",cad!$D$32,cad!$E$32)))</f>
        <v/>
      </c>
      <c r="J1072" t="str">
        <f>IF($A1072="","",IF($D1072="V01",cad!$C$33,IF($D1072="V02",cad!$D$33,cad!$E$33)))</f>
        <v/>
      </c>
      <c r="K1072" t="str">
        <f>IF($A1072="","",IF($D1072="V01",cad!$C$34,IF($D1072="V02",cad!$D$34,cad!$E$34)))</f>
        <v/>
      </c>
      <c r="L1072" t="str">
        <f>IF($A1072="","",IF($D1072="V01",cad!$C$35,IF($D1072="V02",cad!$D$35,cad!$E$35)))</f>
        <v/>
      </c>
      <c r="M1072" t="str">
        <f>IF($A1072="","",IF($D1072="V01",cad!$C$36,IF($D1072="V02",cad!$D$36,cad!$E$36)))</f>
        <v/>
      </c>
      <c r="N1072" t="str">
        <f t="shared" si="65"/>
        <v/>
      </c>
      <c r="O1072" t="str">
        <f t="shared" si="66"/>
        <v/>
      </c>
      <c r="P1072" t="str">
        <f>IF($A1072="","",IF($E1072=1,$F1072*$O1072,PNL!G1072))</f>
        <v/>
      </c>
      <c r="T1072" t="str">
        <f t="shared" si="67"/>
        <v/>
      </c>
    </row>
    <row r="1073" spans="1:20" x14ac:dyDescent="0.45">
      <c r="A1073" t="str">
        <f>IF(PNL!A1073="","",PNL!A1073)</f>
        <v/>
      </c>
      <c r="B1073" t="str">
        <f>IF(PNL!B1073="","",PNL!B1073)</f>
        <v/>
      </c>
      <c r="C1073" t="str">
        <f>IF(PNL!C1073="","",PNL!C1073)</f>
        <v/>
      </c>
      <c r="D1073" t="str">
        <f>IF(PNL!D1073="","",PNL!D1073)</f>
        <v/>
      </c>
      <c r="E1073" t="str">
        <f t="shared" si="64"/>
        <v/>
      </c>
      <c r="F1073" t="str">
        <f>IF($A1073="","",IF($E1073=1,SUMIFS(Compta!$F$1:$F$675,Compta!$A$1:$A$675,$A1073,Compta!$B$1:$B$675,$B1073,Compta!$C$1:$C$675,"2026"),0))</f>
        <v/>
      </c>
      <c r="G1073" t="str">
        <f>IF($A1073="","",IF($D1073="V01",cad!$C$23,IF($D1073="V02",cad!$D$23,cad!$E$23)))</f>
        <v/>
      </c>
      <c r="H1073" t="str">
        <f>IF($A1073="","",IF($D1073="V01",cad!$C$24,IF($D1073="V02",cad!$D$24,cad!$E$24)))</f>
        <v/>
      </c>
      <c r="I1073" t="str">
        <f>IF($A1073="","",IF($D1073="V01",cad!$C$32,IF($D1073="V02",cad!$D$32,cad!$E$32)))</f>
        <v/>
      </c>
      <c r="J1073" t="str">
        <f>IF($A1073="","",IF($D1073="V01",cad!$C$33,IF($D1073="V02",cad!$D$33,cad!$E$33)))</f>
        <v/>
      </c>
      <c r="K1073" t="str">
        <f>IF($A1073="","",IF($D1073="V01",cad!$C$34,IF($D1073="V02",cad!$D$34,cad!$E$34)))</f>
        <v/>
      </c>
      <c r="L1073" t="str">
        <f>IF($A1073="","",IF($D1073="V01",cad!$C$35,IF($D1073="V02",cad!$D$35,cad!$E$35)))</f>
        <v/>
      </c>
      <c r="M1073" t="str">
        <f>IF($A1073="","",IF($D1073="V01",cad!$C$36,IF($D1073="V02",cad!$D$36,cad!$E$36)))</f>
        <v/>
      </c>
      <c r="N1073" t="str">
        <f t="shared" si="65"/>
        <v/>
      </c>
      <c r="O1073" t="str">
        <f t="shared" si="66"/>
        <v/>
      </c>
      <c r="P1073" t="str">
        <f>IF($A1073="","",IF($E1073=1,$F1073*$O1073,PNL!G1073))</f>
        <v/>
      </c>
      <c r="T1073" t="str">
        <f t="shared" si="67"/>
        <v/>
      </c>
    </row>
    <row r="1074" spans="1:20" x14ac:dyDescent="0.45">
      <c r="A1074" t="str">
        <f>IF(PNL!A1074="","",PNL!A1074)</f>
        <v/>
      </c>
      <c r="B1074" t="str">
        <f>IF(PNL!B1074="","",PNL!B1074)</f>
        <v/>
      </c>
      <c r="C1074" t="str">
        <f>IF(PNL!C1074="","",PNL!C1074)</f>
        <v/>
      </c>
      <c r="D1074" t="str">
        <f>IF(PNL!D1074="","",PNL!D1074)</f>
        <v/>
      </c>
      <c r="E1074" t="str">
        <f t="shared" si="64"/>
        <v/>
      </c>
      <c r="F1074" t="str">
        <f>IF($A1074="","",IF($E1074=1,SUMIFS(Compta!$F$1:$F$675,Compta!$A$1:$A$675,$A1074,Compta!$B$1:$B$675,$B1074,Compta!$C$1:$C$675,"2026"),0))</f>
        <v/>
      </c>
      <c r="G1074" t="str">
        <f>IF($A1074="","",IF($D1074="V01",cad!$C$23,IF($D1074="V02",cad!$D$23,cad!$E$23)))</f>
        <v/>
      </c>
      <c r="H1074" t="str">
        <f>IF($A1074="","",IF($D1074="V01",cad!$C$24,IF($D1074="V02",cad!$D$24,cad!$E$24)))</f>
        <v/>
      </c>
      <c r="I1074" t="str">
        <f>IF($A1074="","",IF($D1074="V01",cad!$C$32,IF($D1074="V02",cad!$D$32,cad!$E$32)))</f>
        <v/>
      </c>
      <c r="J1074" t="str">
        <f>IF($A1074="","",IF($D1074="V01",cad!$C$33,IF($D1074="V02",cad!$D$33,cad!$E$33)))</f>
        <v/>
      </c>
      <c r="K1074" t="str">
        <f>IF($A1074="","",IF($D1074="V01",cad!$C$34,IF($D1074="V02",cad!$D$34,cad!$E$34)))</f>
        <v/>
      </c>
      <c r="L1074" t="str">
        <f>IF($A1074="","",IF($D1074="V01",cad!$C$35,IF($D1074="V02",cad!$D$35,cad!$E$35)))</f>
        <v/>
      </c>
      <c r="M1074" t="str">
        <f>IF($A1074="","",IF($D1074="V01",cad!$C$36,IF($D1074="V02",cad!$D$36,cad!$E$36)))</f>
        <v/>
      </c>
      <c r="N1074" t="str">
        <f t="shared" si="65"/>
        <v/>
      </c>
      <c r="O1074" t="str">
        <f t="shared" si="66"/>
        <v/>
      </c>
      <c r="P1074" t="str">
        <f>IF($A1074="","",IF($E1074=1,$F1074*$O1074,PNL!G1074))</f>
        <v/>
      </c>
      <c r="T1074" t="str">
        <f t="shared" si="67"/>
        <v/>
      </c>
    </row>
    <row r="1075" spans="1:20" x14ac:dyDescent="0.45">
      <c r="A1075" t="str">
        <f>IF(PNL!A1075="","",PNL!A1075)</f>
        <v/>
      </c>
      <c r="B1075" t="str">
        <f>IF(PNL!B1075="","",PNL!B1075)</f>
        <v/>
      </c>
      <c r="C1075" t="str">
        <f>IF(PNL!C1075="","",PNL!C1075)</f>
        <v/>
      </c>
      <c r="D1075" t="str">
        <f>IF(PNL!D1075="","",PNL!D1075)</f>
        <v/>
      </c>
      <c r="E1075" t="str">
        <f t="shared" si="64"/>
        <v/>
      </c>
      <c r="F1075" t="str">
        <f>IF($A1075="","",IF($E1075=1,SUMIFS(Compta!$F$1:$F$675,Compta!$A$1:$A$675,$A1075,Compta!$B$1:$B$675,$B1075,Compta!$C$1:$C$675,"2026"),0))</f>
        <v/>
      </c>
      <c r="G1075" t="str">
        <f>IF($A1075="","",IF($D1075="V01",cad!$C$23,IF($D1075="V02",cad!$D$23,cad!$E$23)))</f>
        <v/>
      </c>
      <c r="H1075" t="str">
        <f>IF($A1075="","",IF($D1075="V01",cad!$C$24,IF($D1075="V02",cad!$D$24,cad!$E$24)))</f>
        <v/>
      </c>
      <c r="I1075" t="str">
        <f>IF($A1075="","",IF($D1075="V01",cad!$C$32,IF($D1075="V02",cad!$D$32,cad!$E$32)))</f>
        <v/>
      </c>
      <c r="J1075" t="str">
        <f>IF($A1075="","",IF($D1075="V01",cad!$C$33,IF($D1075="V02",cad!$D$33,cad!$E$33)))</f>
        <v/>
      </c>
      <c r="K1075" t="str">
        <f>IF($A1075="","",IF($D1075="V01",cad!$C$34,IF($D1075="V02",cad!$D$34,cad!$E$34)))</f>
        <v/>
      </c>
      <c r="L1075" t="str">
        <f>IF($A1075="","",IF($D1075="V01",cad!$C$35,IF($D1075="V02",cad!$D$35,cad!$E$35)))</f>
        <v/>
      </c>
      <c r="M1075" t="str">
        <f>IF($A1075="","",IF($D1075="V01",cad!$C$36,IF($D1075="V02",cad!$D$36,cad!$E$36)))</f>
        <v/>
      </c>
      <c r="N1075" t="str">
        <f t="shared" si="65"/>
        <v/>
      </c>
      <c r="O1075" t="str">
        <f t="shared" si="66"/>
        <v/>
      </c>
      <c r="P1075" t="str">
        <f>IF($A1075="","",IF($E1075=1,$F1075*$O1075,PNL!G1075))</f>
        <v/>
      </c>
      <c r="T1075" t="str">
        <f t="shared" si="67"/>
        <v/>
      </c>
    </row>
    <row r="1076" spans="1:20" x14ac:dyDescent="0.45">
      <c r="A1076" t="str">
        <f>IF(PNL!A1076="","",PNL!A1076)</f>
        <v/>
      </c>
      <c r="B1076" t="str">
        <f>IF(PNL!B1076="","",PNL!B1076)</f>
        <v/>
      </c>
      <c r="C1076" t="str">
        <f>IF(PNL!C1076="","",PNL!C1076)</f>
        <v/>
      </c>
      <c r="D1076" t="str">
        <f>IF(PNL!D1076="","",PNL!D1076)</f>
        <v/>
      </c>
      <c r="E1076" t="str">
        <f t="shared" si="64"/>
        <v/>
      </c>
      <c r="F1076" t="str">
        <f>IF($A1076="","",IF($E1076=1,SUMIFS(Compta!$F$1:$F$675,Compta!$A$1:$A$675,$A1076,Compta!$B$1:$B$675,$B1076,Compta!$C$1:$C$675,"2026"),0))</f>
        <v/>
      </c>
      <c r="G1076" t="str">
        <f>IF($A1076="","",IF($D1076="V01",cad!$C$23,IF($D1076="V02",cad!$D$23,cad!$E$23)))</f>
        <v/>
      </c>
      <c r="H1076" t="str">
        <f>IF($A1076="","",IF($D1076="V01",cad!$C$24,IF($D1076="V02",cad!$D$24,cad!$E$24)))</f>
        <v/>
      </c>
      <c r="I1076" t="str">
        <f>IF($A1076="","",IF($D1076="V01",cad!$C$32,IF($D1076="V02",cad!$D$32,cad!$E$32)))</f>
        <v/>
      </c>
      <c r="J1076" t="str">
        <f>IF($A1076="","",IF($D1076="V01",cad!$C$33,IF($D1076="V02",cad!$D$33,cad!$E$33)))</f>
        <v/>
      </c>
      <c r="K1076" t="str">
        <f>IF($A1076="","",IF($D1076="V01",cad!$C$34,IF($D1076="V02",cad!$D$34,cad!$E$34)))</f>
        <v/>
      </c>
      <c r="L1076" t="str">
        <f>IF($A1076="","",IF($D1076="V01",cad!$C$35,IF($D1076="V02",cad!$D$35,cad!$E$35)))</f>
        <v/>
      </c>
      <c r="M1076" t="str">
        <f>IF($A1076="","",IF($D1076="V01",cad!$C$36,IF($D1076="V02",cad!$D$36,cad!$E$36)))</f>
        <v/>
      </c>
      <c r="N1076" t="str">
        <f t="shared" si="65"/>
        <v/>
      </c>
      <c r="O1076" t="str">
        <f t="shared" si="66"/>
        <v/>
      </c>
      <c r="P1076" t="str">
        <f>IF($A1076="","",IF($E1076=1,$F1076*$O1076,PNL!G1076))</f>
        <v/>
      </c>
      <c r="T1076" t="str">
        <f t="shared" si="67"/>
        <v/>
      </c>
    </row>
    <row r="1077" spans="1:20" x14ac:dyDescent="0.45">
      <c r="A1077" t="str">
        <f>IF(PNL!A1077="","",PNL!A1077)</f>
        <v/>
      </c>
      <c r="B1077" t="str">
        <f>IF(PNL!B1077="","",PNL!B1077)</f>
        <v/>
      </c>
      <c r="C1077" t="str">
        <f>IF(PNL!C1077="","",PNL!C1077)</f>
        <v/>
      </c>
      <c r="D1077" t="str">
        <f>IF(PNL!D1077="","",PNL!D1077)</f>
        <v/>
      </c>
      <c r="E1077" t="str">
        <f t="shared" si="64"/>
        <v/>
      </c>
      <c r="F1077" t="str">
        <f>IF($A1077="","",IF($E1077=1,SUMIFS(Compta!$F$1:$F$675,Compta!$A$1:$A$675,$A1077,Compta!$B$1:$B$675,$B1077,Compta!$C$1:$C$675,"2026"),0))</f>
        <v/>
      </c>
      <c r="G1077" t="str">
        <f>IF($A1077="","",IF($D1077="V01",cad!$C$23,IF($D1077="V02",cad!$D$23,cad!$E$23)))</f>
        <v/>
      </c>
      <c r="H1077" t="str">
        <f>IF($A1077="","",IF($D1077="V01",cad!$C$24,IF($D1077="V02",cad!$D$24,cad!$E$24)))</f>
        <v/>
      </c>
      <c r="I1077" t="str">
        <f>IF($A1077="","",IF($D1077="V01",cad!$C$32,IF($D1077="V02",cad!$D$32,cad!$E$32)))</f>
        <v/>
      </c>
      <c r="J1077" t="str">
        <f>IF($A1077="","",IF($D1077="V01",cad!$C$33,IF($D1077="V02",cad!$D$33,cad!$E$33)))</f>
        <v/>
      </c>
      <c r="K1077" t="str">
        <f>IF($A1077="","",IF($D1077="V01",cad!$C$34,IF($D1077="V02",cad!$D$34,cad!$E$34)))</f>
        <v/>
      </c>
      <c r="L1077" t="str">
        <f>IF($A1077="","",IF($D1077="V01",cad!$C$35,IF($D1077="V02",cad!$D$35,cad!$E$35)))</f>
        <v/>
      </c>
      <c r="M1077" t="str">
        <f>IF($A1077="","",IF($D1077="V01",cad!$C$36,IF($D1077="V02",cad!$D$36,cad!$E$36)))</f>
        <v/>
      </c>
      <c r="N1077" t="str">
        <f t="shared" si="65"/>
        <v/>
      </c>
      <c r="O1077" t="str">
        <f t="shared" si="66"/>
        <v/>
      </c>
      <c r="P1077" t="str">
        <f>IF($A1077="","",IF($E1077=1,$F1077*$O1077,PNL!G1077))</f>
        <v/>
      </c>
      <c r="T1077" t="str">
        <f t="shared" si="67"/>
        <v/>
      </c>
    </row>
    <row r="1078" spans="1:20" x14ac:dyDescent="0.45">
      <c r="A1078" t="str">
        <f>IF(PNL!A1078="","",PNL!A1078)</f>
        <v/>
      </c>
      <c r="B1078" t="str">
        <f>IF(PNL!B1078="","",PNL!B1078)</f>
        <v/>
      </c>
      <c r="C1078" t="str">
        <f>IF(PNL!C1078="","",PNL!C1078)</f>
        <v/>
      </c>
      <c r="D1078" t="str">
        <f>IF(PNL!D1078="","",PNL!D1078)</f>
        <v/>
      </c>
      <c r="E1078" t="str">
        <f t="shared" si="64"/>
        <v/>
      </c>
      <c r="F1078" t="str">
        <f>IF($A1078="","",IF($E1078=1,SUMIFS(Compta!$F$1:$F$675,Compta!$A$1:$A$675,$A1078,Compta!$B$1:$B$675,$B1078,Compta!$C$1:$C$675,"2026"),0))</f>
        <v/>
      </c>
      <c r="G1078" t="str">
        <f>IF($A1078="","",IF($D1078="V01",cad!$C$23,IF($D1078="V02",cad!$D$23,cad!$E$23)))</f>
        <v/>
      </c>
      <c r="H1078" t="str">
        <f>IF($A1078="","",IF($D1078="V01",cad!$C$24,IF($D1078="V02",cad!$D$24,cad!$E$24)))</f>
        <v/>
      </c>
      <c r="I1078" t="str">
        <f>IF($A1078="","",IF($D1078="V01",cad!$C$32,IF($D1078="V02",cad!$D$32,cad!$E$32)))</f>
        <v/>
      </c>
      <c r="J1078" t="str">
        <f>IF($A1078="","",IF($D1078="V01",cad!$C$33,IF($D1078="V02",cad!$D$33,cad!$E$33)))</f>
        <v/>
      </c>
      <c r="K1078" t="str">
        <f>IF($A1078="","",IF($D1078="V01",cad!$C$34,IF($D1078="V02",cad!$D$34,cad!$E$34)))</f>
        <v/>
      </c>
      <c r="L1078" t="str">
        <f>IF($A1078="","",IF($D1078="V01",cad!$C$35,IF($D1078="V02",cad!$D$35,cad!$E$35)))</f>
        <v/>
      </c>
      <c r="M1078" t="str">
        <f>IF($A1078="","",IF($D1078="V01",cad!$C$36,IF($D1078="V02",cad!$D$36,cad!$E$36)))</f>
        <v/>
      </c>
      <c r="N1078" t="str">
        <f t="shared" si="65"/>
        <v/>
      </c>
      <c r="O1078" t="str">
        <f t="shared" si="66"/>
        <v/>
      </c>
      <c r="P1078" t="str">
        <f>IF($A1078="","",IF($E1078=1,$F1078*$O1078,PNL!G1078))</f>
        <v/>
      </c>
      <c r="T1078" t="str">
        <f t="shared" si="67"/>
        <v/>
      </c>
    </row>
    <row r="1079" spans="1:20" x14ac:dyDescent="0.45">
      <c r="A1079" t="str">
        <f>IF(PNL!A1079="","",PNL!A1079)</f>
        <v/>
      </c>
      <c r="B1079" t="str">
        <f>IF(PNL!B1079="","",PNL!B1079)</f>
        <v/>
      </c>
      <c r="C1079" t="str">
        <f>IF(PNL!C1079="","",PNL!C1079)</f>
        <v/>
      </c>
      <c r="D1079" t="str">
        <f>IF(PNL!D1079="","",PNL!D1079)</f>
        <v/>
      </c>
      <c r="E1079" t="str">
        <f t="shared" si="64"/>
        <v/>
      </c>
      <c r="F1079" t="str">
        <f>IF($A1079="","",IF($E1079=1,SUMIFS(Compta!$F$1:$F$675,Compta!$A$1:$A$675,$A1079,Compta!$B$1:$B$675,$B1079,Compta!$C$1:$C$675,"2026"),0))</f>
        <v/>
      </c>
      <c r="G1079" t="str">
        <f>IF($A1079="","",IF($D1079="V01",cad!$C$23,IF($D1079="V02",cad!$D$23,cad!$E$23)))</f>
        <v/>
      </c>
      <c r="H1079" t="str">
        <f>IF($A1079="","",IF($D1079="V01",cad!$C$24,IF($D1079="V02",cad!$D$24,cad!$E$24)))</f>
        <v/>
      </c>
      <c r="I1079" t="str">
        <f>IF($A1079="","",IF($D1079="V01",cad!$C$32,IF($D1079="V02",cad!$D$32,cad!$E$32)))</f>
        <v/>
      </c>
      <c r="J1079" t="str">
        <f>IF($A1079="","",IF($D1079="V01",cad!$C$33,IF($D1079="V02",cad!$D$33,cad!$E$33)))</f>
        <v/>
      </c>
      <c r="K1079" t="str">
        <f>IF($A1079="","",IF($D1079="V01",cad!$C$34,IF($D1079="V02",cad!$D$34,cad!$E$34)))</f>
        <v/>
      </c>
      <c r="L1079" t="str">
        <f>IF($A1079="","",IF($D1079="V01",cad!$C$35,IF($D1079="V02",cad!$D$35,cad!$E$35)))</f>
        <v/>
      </c>
      <c r="M1079" t="str">
        <f>IF($A1079="","",IF($D1079="V01",cad!$C$36,IF($D1079="V02",cad!$D$36,cad!$E$36)))</f>
        <v/>
      </c>
      <c r="N1079" t="str">
        <f t="shared" si="65"/>
        <v/>
      </c>
      <c r="O1079" t="str">
        <f t="shared" si="66"/>
        <v/>
      </c>
      <c r="P1079" t="str">
        <f>IF($A1079="","",IF($E1079=1,$F1079*$O1079,PNL!G1079))</f>
        <v/>
      </c>
      <c r="T1079" t="str">
        <f t="shared" si="67"/>
        <v/>
      </c>
    </row>
    <row r="1080" spans="1:20" x14ac:dyDescent="0.45">
      <c r="A1080" t="str">
        <f>IF(PNL!A1080="","",PNL!A1080)</f>
        <v/>
      </c>
      <c r="B1080" t="str">
        <f>IF(PNL!B1080="","",PNL!B1080)</f>
        <v/>
      </c>
      <c r="C1080" t="str">
        <f>IF(PNL!C1080="","",PNL!C1080)</f>
        <v/>
      </c>
      <c r="D1080" t="str">
        <f>IF(PNL!D1080="","",PNL!D1080)</f>
        <v/>
      </c>
      <c r="E1080" t="str">
        <f t="shared" si="64"/>
        <v/>
      </c>
      <c r="F1080" t="str">
        <f>IF($A1080="","",IF($E1080=1,SUMIFS(Compta!$F$1:$F$675,Compta!$A$1:$A$675,$A1080,Compta!$B$1:$B$675,$B1080,Compta!$C$1:$C$675,"2026"),0))</f>
        <v/>
      </c>
      <c r="G1080" t="str">
        <f>IF($A1080="","",IF($D1080="V01",cad!$C$23,IF($D1080="V02",cad!$D$23,cad!$E$23)))</f>
        <v/>
      </c>
      <c r="H1080" t="str">
        <f>IF($A1080="","",IF($D1080="V01",cad!$C$24,IF($D1080="V02",cad!$D$24,cad!$E$24)))</f>
        <v/>
      </c>
      <c r="I1080" t="str">
        <f>IF($A1080="","",IF($D1080="V01",cad!$C$32,IF($D1080="V02",cad!$D$32,cad!$E$32)))</f>
        <v/>
      </c>
      <c r="J1080" t="str">
        <f>IF($A1080="","",IF($D1080="V01",cad!$C$33,IF($D1080="V02",cad!$D$33,cad!$E$33)))</f>
        <v/>
      </c>
      <c r="K1080" t="str">
        <f>IF($A1080="","",IF($D1080="V01",cad!$C$34,IF($D1080="V02",cad!$D$34,cad!$E$34)))</f>
        <v/>
      </c>
      <c r="L1080" t="str">
        <f>IF($A1080="","",IF($D1080="V01",cad!$C$35,IF($D1080="V02",cad!$D$35,cad!$E$35)))</f>
        <v/>
      </c>
      <c r="M1080" t="str">
        <f>IF($A1080="","",IF($D1080="V01",cad!$C$36,IF($D1080="V02",cad!$D$36,cad!$E$36)))</f>
        <v/>
      </c>
      <c r="N1080" t="str">
        <f t="shared" si="65"/>
        <v/>
      </c>
      <c r="O1080" t="str">
        <f t="shared" si="66"/>
        <v/>
      </c>
      <c r="P1080" t="str">
        <f>IF($A1080="","",IF($E1080=1,$F1080*$O1080,PNL!G1080))</f>
        <v/>
      </c>
      <c r="T1080" t="str">
        <f t="shared" si="67"/>
        <v/>
      </c>
    </row>
    <row r="1081" spans="1:20" x14ac:dyDescent="0.45">
      <c r="A1081" t="str">
        <f>IF(PNL!A1081="","",PNL!A1081)</f>
        <v/>
      </c>
      <c r="B1081" t="str">
        <f>IF(PNL!B1081="","",PNL!B1081)</f>
        <v/>
      </c>
      <c r="C1081" t="str">
        <f>IF(PNL!C1081="","",PNL!C1081)</f>
        <v/>
      </c>
      <c r="D1081" t="str">
        <f>IF(PNL!D1081="","",PNL!D1081)</f>
        <v/>
      </c>
      <c r="E1081" t="str">
        <f t="shared" si="64"/>
        <v/>
      </c>
      <c r="F1081" t="str">
        <f>IF($A1081="","",IF($E1081=1,SUMIFS(Compta!$F$1:$F$675,Compta!$A$1:$A$675,$A1081,Compta!$B$1:$B$675,$B1081,Compta!$C$1:$C$675,"2026"),0))</f>
        <v/>
      </c>
      <c r="G1081" t="str">
        <f>IF($A1081="","",IF($D1081="V01",cad!$C$23,IF($D1081="V02",cad!$D$23,cad!$E$23)))</f>
        <v/>
      </c>
      <c r="H1081" t="str">
        <f>IF($A1081="","",IF($D1081="V01",cad!$C$24,IF($D1081="V02",cad!$D$24,cad!$E$24)))</f>
        <v/>
      </c>
      <c r="I1081" t="str">
        <f>IF($A1081="","",IF($D1081="V01",cad!$C$32,IF($D1081="V02",cad!$D$32,cad!$E$32)))</f>
        <v/>
      </c>
      <c r="J1081" t="str">
        <f>IF($A1081="","",IF($D1081="V01",cad!$C$33,IF($D1081="V02",cad!$D$33,cad!$E$33)))</f>
        <v/>
      </c>
      <c r="K1081" t="str">
        <f>IF($A1081="","",IF($D1081="V01",cad!$C$34,IF($D1081="V02",cad!$D$34,cad!$E$34)))</f>
        <v/>
      </c>
      <c r="L1081" t="str">
        <f>IF($A1081="","",IF($D1081="V01",cad!$C$35,IF($D1081="V02",cad!$D$35,cad!$E$35)))</f>
        <v/>
      </c>
      <c r="M1081" t="str">
        <f>IF($A1081="","",IF($D1081="V01",cad!$C$36,IF($D1081="V02",cad!$D$36,cad!$E$36)))</f>
        <v/>
      </c>
      <c r="N1081" t="str">
        <f t="shared" si="65"/>
        <v/>
      </c>
      <c r="O1081" t="str">
        <f t="shared" si="66"/>
        <v/>
      </c>
      <c r="P1081" t="str">
        <f>IF($A1081="","",IF($E1081=1,$F1081*$O1081,PNL!G1081))</f>
        <v/>
      </c>
      <c r="T1081" t="str">
        <f t="shared" si="67"/>
        <v/>
      </c>
    </row>
    <row r="1082" spans="1:20" x14ac:dyDescent="0.45">
      <c r="A1082" t="str">
        <f>IF(PNL!A1082="","",PNL!A1082)</f>
        <v/>
      </c>
      <c r="B1082" t="str">
        <f>IF(PNL!B1082="","",PNL!B1082)</f>
        <v/>
      </c>
      <c r="C1082" t="str">
        <f>IF(PNL!C1082="","",PNL!C1082)</f>
        <v/>
      </c>
      <c r="D1082" t="str">
        <f>IF(PNL!D1082="","",PNL!D1082)</f>
        <v/>
      </c>
      <c r="E1082" t="str">
        <f t="shared" si="64"/>
        <v/>
      </c>
      <c r="F1082" t="str">
        <f>IF($A1082="","",IF($E1082=1,SUMIFS(Compta!$F$1:$F$675,Compta!$A$1:$A$675,$A1082,Compta!$B$1:$B$675,$B1082,Compta!$C$1:$C$675,"2026"),0))</f>
        <v/>
      </c>
      <c r="G1082" t="str">
        <f>IF($A1082="","",IF($D1082="V01",cad!$C$23,IF($D1082="V02",cad!$D$23,cad!$E$23)))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     <f>IF($A1082="","",IF($D1082="V01",cad!$C$32,IF($D1082="V02",cad!$D$32,cad!$E$32)))</f>
        <v/>
      </c>
      <c r="J1082" t="str">
        <f>IF($A1082="","",IF($D1082="V01",cad!$C$33,IF($D1082="V02",cad!$D$33,cad!$E$33)))</f>
        <v/>
      </c>
      <c r="K1082" t="str">
        <f>IF($A1082="","",IF($D1082="V01",cad!$C$34,IF($D1082="V02",cad!$D$34,cad!$E$34)))</f>
        <v/>
      </c>
      <c r="L1082" t="str">
        <f>IF($A1082="","",IF($D1082="V01",cad!$C$35,IF($D1082="V02",cad!$D$35,cad!$E$35)))</f>
        <v/>
      </c>
      <c r="M1082" t="str">
        <f>IF($A1082="","",IF($D1082="V01",cad!$C$36,IF($D1082="V02",cad!$D$36,cad!$E$36)))</f>
        <v/>
      </c>
      <c r="N1082" t="str">
        <f t="shared" si="65"/>
        <v/>
      </c>
      <c r="O1082" t="str">
        <f t="shared" si="66"/>
        <v/>
      </c>
      <c r="P1082" t="str">
        <f>IF($A1082="","",IF($E1082=1,$F1082*$O1082,PNL!G1082))</f>
        <v/>
      </c>
      <c r="T1082" t="str">
        <f t="shared" si="67"/>
        <v/>
      </c>
    </row>
    <row r="1083" spans="1:20" x14ac:dyDescent="0.45">
      <c r="A1083" t="str">
        <f>IF(PNL!A1083="","",PNL!A1083)</f>
        <v/>
      </c>
      <c r="B1083" t="str">
        <f>IF(PNL!B1083="","",PNL!B1083)</f>
        <v/>
      </c>
      <c r="C1083" t="str">
        <f>IF(PNL!C1083="","",PNL!C1083)</f>
        <v/>
      </c>
      <c r="D1083" t="str">
        <f>IF(PNL!D1083="","",PNL!D1083)</f>
        <v/>
      </c>
      <c r="E1083" t="str">
        <f t="shared" si="64"/>
        <v/>
      </c>
      <c r="F1083" t="str">
        <f>IF($A1083="","",IF($E1083=1,SUMIFS(Compta!$F$1:$F$675,Compta!$A$1:$A$675,$A1083,Compta!$B$1:$B$675,$B1083,Compta!$C$1:$C$675,"2026"),0))</f>
        <v/>
      </c>
      <c r="G1083" t="str">
        <f>IF($A1083="","",IF($D1083="V01",cad!$C$23,IF($D1083="V02",cad!$D$23,cad!$E$23)))</f>
        <v/>
      </c>
      <c r="H1083" t="str">
        <f>IF($A1083="","",IF($D1083="V01",cad!$C$24,IF($D1083="V02",cad!$D$24,cad!$E$24)))</f>
        <v/>
      </c>
      <c r="I1083" t="str">
        <f>IF($A1083="","",IF($D1083="V01",cad!$C$32,IF($D1083="V02",cad!$D$32,cad!$E$32)))</f>
        <v/>
      </c>
      <c r="J1083" t="str">
        <f>IF($A1083="","",IF($D1083="V01",cad!$C$33,IF($D1083="V02",cad!$D$33,cad!$E$33)))</f>
        <v/>
      </c>
      <c r="K1083" t="str">
        <f>IF($A1083="","",IF($D1083="V01",cad!$C$34,IF($D1083="V02",cad!$D$34,cad!$E$34)))</f>
        <v/>
      </c>
      <c r="L1083" t="str">
        <f>IF($A1083="","",IF($D1083="V01",cad!$C$35,IF($D1083="V02",cad!$D$35,cad!$E$35)))</f>
        <v/>
      </c>
      <c r="M1083" t="str">
        <f>IF($A1083="","",IF($D1083="V01",cad!$C$36,IF($D1083="V02",cad!$D$36,cad!$E$36)))</f>
        <v/>
      </c>
      <c r="N1083" t="str">
        <f t="shared" si="65"/>
        <v/>
      </c>
      <c r="O1083" t="str">
        <f t="shared" si="66"/>
        <v/>
      </c>
      <c r="P1083" t="str">
        <f>IF($A1083="","",IF($E1083=1,$F1083*$O1083,PNL!G1083))</f>
        <v/>
      </c>
      <c r="T1083" t="str">
        <f t="shared" si="67"/>
        <v/>
      </c>
    </row>
    <row r="1084" spans="1:20" x14ac:dyDescent="0.45">
      <c r="A1084" t="str">
        <f>IF(PNL!A1084="","",PNL!A1084)</f>
        <v/>
      </c>
      <c r="B1084" t="str">
        <f>IF(PNL!B1084="","",PNL!B1084)</f>
        <v/>
      </c>
      <c r="C1084" t="str">
        <f>IF(PNL!C1084="","",PNL!C1084)</f>
        <v/>
      </c>
      <c r="D1084" t="str">
        <f>IF(PNL!D1084="","",PNL!D1084)</f>
        <v/>
      </c>
      <c r="E1084" t="str">
        <f t="shared" si="64"/>
        <v/>
      </c>
      <c r="F1084" t="str">
        <f>IF($A1084="","",IF($E1084=1,SUMIFS(Compta!$F$1:$F$675,Compta!$A$1:$A$675,$A1084,Compta!$B$1:$B$675,$B1084,Compta!$C$1:$C$675,"2026"),0))</f>
        <v/>
      </c>
      <c r="G1084" t="str">
        <f>IF($A1084="","",IF($D1084="V01",cad!$C$23,IF($D1084="V02",cad!$D$23,cad!$E$23)))</f>
        <v/>
      </c>
      <c r="H1084" t="str">
        <f>IF($A1084="","",IF($D1084="V01",cad!$C$24,IF($D1084="V02",cad!$D$24,cad!$E$24)))</f>
        <v/>
      </c>
      <c r="I1084" t="str">
        <f>IF($A1084="","",IF($D1084="V01",cad!$C$32,IF($D1084="V02",cad!$D$32,cad!$E$32)))</f>
        <v/>
      </c>
      <c r="J1084" t="str">
        <f>IF($A1084="","",IF($D1084="V01",cad!$C$33,IF($D1084="V02",cad!$D$33,cad!$E$33)))</f>
        <v/>
      </c>
      <c r="K1084" t="str">
        <f>IF($A1084="","",IF($D1084="V01",cad!$C$34,IF($D1084="V02",cad!$D$34,cad!$E$34)))</f>
        <v/>
      </c>
      <c r="L1084" t="str">
        <f>IF($A1084="","",IF($D1084="V01",cad!$C$35,IF($D1084="V02",cad!$D$35,cad!$E$35)))</f>
        <v/>
      </c>
      <c r="M1084" t="str">
        <f>IF($A1084="","",IF($D1084="V01",cad!$C$36,IF($D1084="V02",cad!$D$36,cad!$E$36)))</f>
        <v/>
      </c>
      <c r="N1084" t="str">
        <f t="shared" si="65"/>
        <v/>
      </c>
      <c r="O1084" t="str">
        <f t="shared" si="66"/>
        <v/>
      </c>
      <c r="P1084" t="str">
        <f>IF($A1084="","",IF($E1084=1,$F1084*$O1084,PNL!G1084))</f>
        <v/>
      </c>
      <c r="T1084" t="str">
        <f t="shared" si="67"/>
        <v/>
      </c>
    </row>
    <row r="1085" spans="1:20" x14ac:dyDescent="0.45">
      <c r="A1085" t="str">
        <f>IF(PNL!A1085="","",PNL!A1085)</f>
        <v/>
      </c>
      <c r="B1085" t="str">
        <f>IF(PNL!B1085="","",PNL!B1085)</f>
        <v/>
      </c>
      <c r="C1085" t="str">
        <f>IF(PNL!C1085="","",PNL!C1085)</f>
        <v/>
      </c>
      <c r="D1085" t="str">
        <f>IF(PNL!D1085="","",PNL!D1085)</f>
        <v/>
      </c>
      <c r="E1085" t="str">
        <f t="shared" si="64"/>
        <v/>
      </c>
      <c r="F1085" t="str">
        <f>IF($A1085="","",IF($E1085=1,SUMIFS(Compta!$F$1:$F$675,Compta!$A$1:$A$675,$A1085,Compta!$B$1:$B$675,$B1085,Compta!$C$1:$C$675,"2026"),0))</f>
        <v/>
      </c>
      <c r="G1085" t="str">
        <f>IF($A1085="","",IF($D1085="V01",cad!$C$23,IF($D1085="V02",cad!$D$23,cad!$E$23)))</f>
        <v/>
      </c>
      <c r="H1085" t="str">
        <f>IF($A1085="","",IF($D1085="V01",cad!$C$24,IF($D1085="V02",cad!$D$24,cad!$E$24)))</f>
        <v/>
      </c>
      <c r="I1085" t="str">
        <f>IF($A1085="","",IF($D1085="V01",cad!$C$32,IF($D1085="V02",cad!$D$32,cad!$E$32)))</f>
        <v/>
      </c>
      <c r="J1085" t="str">
        <f>IF($A1085="","",IF($D1085="V01",cad!$C$33,IF($D1085="V02",cad!$D$33,cad!$E$33)))</f>
        <v/>
      </c>
      <c r="K1085" t="str">
        <f>IF($A1085="","",IF($D1085="V01",cad!$C$34,IF($D1085="V02",cad!$D$34,cad!$E$34)))</f>
        <v/>
      </c>
      <c r="L1085" t="str">
        <f>IF($A1085="","",IF($D1085="V01",cad!$C$35,IF($D1085="V02",cad!$D$35,cad!$E$35)))</f>
        <v/>
      </c>
      <c r="M1085" t="str">
        <f>IF($A1085="","",IF($D1085="V01",cad!$C$36,IF($D1085="V02",cad!$D$36,cad!$E$36)))</f>
        <v/>
      </c>
      <c r="N1085" t="str">
        <f t="shared" si="65"/>
        <v/>
      </c>
      <c r="O1085" t="str">
        <f t="shared" si="66"/>
        <v/>
      </c>
      <c r="P1085" t="str">
        <f>IF($A1085="","",IF($E1085=1,$F1085*$O1085,PNL!G1085))</f>
        <v/>
      </c>
      <c r="T1085" t="str">
        <f t="shared" si="67"/>
        <v/>
      </c>
    </row>
    <row r="1086" spans="1:20" x14ac:dyDescent="0.45">
      <c r="A1086" t="str">
        <f>IF(PNL!A1086="","",PNL!A1086)</f>
        <v/>
      </c>
      <c r="B1086" t="str">
        <f>IF(PNL!B1086="","",PNL!B1086)</f>
        <v/>
      </c>
      <c r="C1086" t="str">
        <f>IF(PNL!C1086="","",PNL!C1086)</f>
        <v/>
      </c>
      <c r="D1086" t="str">
        <f>IF(PNL!D1086="","",PNL!D1086)</f>
        <v/>
      </c>
      <c r="E1086" t="str">
        <f t="shared" si="64"/>
        <v/>
      </c>
      <c r="F1086" t="str">
        <f>IF($A1086="","",IF($E1086=1,SUMIFS(Compta!$F$1:$F$675,Compta!$A$1:$A$675,$A1086,Compta!$B$1:$B$675,$B1086,Compta!$C$1:$C$675,"2026"),0))</f>
        <v/>
      </c>
      <c r="G1086" t="str">
        <f>IF($A1086="","",IF($D1086="V01",cad!$C$23,IF($D1086="V02",cad!$D$23,cad!$E$23)))</f>
        <v/>
      </c>
      <c r="H1086" t="str">
        <f>IF($A1086="","",IF($D1086="V01",cad!$C$24,IF($D1086="V02",cad!$D$24,cad!$E$24)))</f>
        <v/>
      </c>
      <c r="I1086" t="str">
        <f>IF($A1086="","",IF($D1086="V01",cad!$C$32,IF($D1086="V02",cad!$D$32,cad!$E$32)))</f>
        <v/>
      </c>
      <c r="J1086" t="str">
        <f>IF($A1086="","",IF($D1086="V01",cad!$C$33,IF($D1086="V02",cad!$D$33,cad!$E$33)))</f>
        <v/>
      </c>
      <c r="K1086" t="str">
        <f>IF($A1086="","",IF($D1086="V01",cad!$C$34,IF($D1086="V02",cad!$D$34,cad!$E$34)))</f>
        <v/>
      </c>
      <c r="L1086" t="str">
        <f>IF($A1086="","",IF($D1086="V01",cad!$C$35,IF($D1086="V02",cad!$D$35,cad!$E$35)))</f>
        <v/>
      </c>
      <c r="M1086" t="str">
        <f>IF($A1086="","",IF($D1086="V01",cad!$C$36,IF($D1086="V02",cad!$D$36,cad!$E$36)))</f>
        <v/>
      </c>
      <c r="N1086" t="str">
        <f t="shared" si="65"/>
        <v/>
      </c>
      <c r="O1086" t="str">
        <f t="shared" si="66"/>
        <v/>
      </c>
      <c r="P1086" t="str">
        <f>IF($A1086="","",IF($E1086=1,$F1086*$O1086,PNL!G1086))</f>
        <v/>
      </c>
      <c r="T1086" t="str">
        <f t="shared" si="67"/>
        <v/>
      </c>
    </row>
    <row r="1087" spans="1:20" x14ac:dyDescent="0.45">
      <c r="A1087" t="str">
        <f>IF(PNL!A1087="","",PNL!A1087)</f>
        <v/>
      </c>
      <c r="B1087" t="str">
        <f>IF(PNL!B1087="","",PNL!B1087)</f>
        <v/>
      </c>
      <c r="C1087" t="str">
        <f>IF(PNL!C1087="","",PNL!C1087)</f>
        <v/>
      </c>
      <c r="D1087" t="str">
        <f>IF(PNL!D1087="","",PNL!D1087)</f>
        <v/>
      </c>
      <c r="E1087" t="str">
        <f t="shared" si="64"/>
        <v/>
      </c>
      <c r="F1087" t="str">
        <f>IF($A1087="","",IF($E1087=1,SUMIFS(Compta!$F$1:$F$675,Compta!$A$1:$A$675,$A1087,Compta!$B$1:$B$675,$B1087,Compta!$C$1:$C$675,"2026"),0))</f>
        <v/>
      </c>
      <c r="G1087" t="str">
        <f>IF($A1087="","",IF($D1087="V01",cad!$C$23,IF($D1087="V02",cad!$D$23,cad!$E$23)))</f>
        <v/>
      </c>
      <c r="H1087" t="str">
        <f>IF($A1087="","",IF($D1087="V01",cad!$C$24,IF($D1087="V02",cad!$D$24,cad!$E$24)))</f>
        <v/>
      </c>
      <c r="I1087" t="str">
        <f>IF($A1087="","",IF($D1087="V01",cad!$C$32,IF($D1087="V02",cad!$D$32,cad!$E$32)))</f>
        <v/>
      </c>
      <c r="J1087" t="str">
        <f>IF($A1087="","",IF($D1087="V01",cad!$C$33,IF($D1087="V02",cad!$D$33,cad!$E$33)))</f>
        <v/>
      </c>
      <c r="K1087" t="str">
        <f>IF($A1087="","",IF($D1087="V01",cad!$C$34,IF($D1087="V02",cad!$D$34,cad!$E$34)))</f>
        <v/>
      </c>
      <c r="L1087" t="str">
        <f>IF($A1087="","",IF($D1087="V01",cad!$C$35,IF($D1087="V02",cad!$D$35,cad!$E$35)))</f>
        <v/>
      </c>
      <c r="M1087" t="str">
        <f>IF($A1087="","",IF($D1087="V01",cad!$C$36,IF($D1087="V02",cad!$D$36,cad!$E$36)))</f>
        <v/>
      </c>
      <c r="N1087" t="str">
        <f t="shared" si="65"/>
        <v/>
      </c>
      <c r="O1087" t="str">
        <f t="shared" si="66"/>
        <v/>
      </c>
      <c r="P1087" t="str">
        <f>IF($A1087="","",IF($E1087=1,$F1087*$O1087,PNL!G1087))</f>
        <v/>
      </c>
      <c r="T1087" t="str">
        <f t="shared" si="67"/>
        <v/>
      </c>
    </row>
    <row r="1088" spans="1:20" x14ac:dyDescent="0.45">
      <c r="A1088" t="str">
        <f>IF(PNL!A1088="","",PNL!A1088)</f>
        <v/>
      </c>
      <c r="B1088" t="str">
        <f>IF(PNL!B1088="","",PNL!B1088)</f>
        <v/>
      </c>
      <c r="C1088" t="str">
        <f>IF(PNL!C1088="","",PNL!C1088)</f>
        <v/>
      </c>
      <c r="D1088" t="str">
        <f>IF(PNL!D1088="","",PNL!D1088)</f>
        <v/>
      </c>
      <c r="E1088" t="str">
        <f t="shared" si="64"/>
        <v/>
      </c>
      <c r="F1088" t="str">
        <f>IF($A1088="","",IF($E1088=1,SUMIFS(Compta!$F$1:$F$675,Compta!$A$1:$A$675,$A1088,Compta!$B$1:$B$675,$B1088,Compta!$C$1:$C$675,"2026"),0))</f>
        <v/>
      </c>
      <c r="G1088" t="str">
        <f>IF($A1088="","",IF($D1088="V01",cad!$C$23,IF($D1088="V02",cad!$D$23,cad!$E$23)))</f>
        <v/>
      </c>
      <c r="H1088" t="str">
        <f>IF($A1088="","",IF($D1088="V01",cad!$C$24,IF($D1088="V02",cad!$D$24,cad!$E$24)))</f>
        <v/>
      </c>
      <c r="I1088" t="str">
        <f>IF($A1088="","",IF($D1088="V01",cad!$C$32,IF($D1088="V02",cad!$D$32,cad!$E$32)))</f>
        <v/>
      </c>
      <c r="J1088" t="str">
        <f>IF($A1088="","",IF($D1088="V01",cad!$C$33,IF($D1088="V02",cad!$D$33,cad!$E$33)))</f>
        <v/>
      </c>
      <c r="K1088" t="str">
        <f>IF($A1088="","",IF($D1088="V01",cad!$C$34,IF($D1088="V02",cad!$D$34,cad!$E$34)))</f>
        <v/>
      </c>
      <c r="L1088" t="str">
        <f>IF($A1088="","",IF($D1088="V01",cad!$C$35,IF($D1088="V02",cad!$D$35,cad!$E$35)))</f>
        <v/>
      </c>
      <c r="M1088" t="str">
        <f>IF($A1088="","",IF($D1088="V01",cad!$C$36,IF($D1088="V02",cad!$D$36,cad!$E$36)))</f>
        <v/>
      </c>
      <c r="N1088" t="str">
        <f t="shared" si="65"/>
        <v/>
      </c>
      <c r="O1088" t="str">
        <f t="shared" si="66"/>
        <v/>
      </c>
      <c r="P1088" t="str">
        <f>IF($A1088="","",IF($E1088=1,$F1088*$O1088,PNL!G1088))</f>
        <v/>
      </c>
      <c r="T1088" t="str">
        <f t="shared" si="67"/>
        <v/>
      </c>
    </row>
    <row r="1089" spans="1:20" x14ac:dyDescent="0.45">
      <c r="A1089" t="str">
        <f>IF(PNL!A1089="","",PNL!A1089)</f>
        <v/>
      </c>
      <c r="B1089" t="str">
        <f>IF(PNL!B1089="","",PNL!B1089)</f>
        <v/>
      </c>
      <c r="C1089" t="str">
        <f>IF(PNL!C1089="","",PNL!C1089)</f>
        <v/>
      </c>
      <c r="D1089" t="str">
        <f>IF(PNL!D1089="","",PNL!D1089)</f>
        <v/>
      </c>
      <c r="E1089" t="str">
        <f t="shared" si="64"/>
        <v/>
      </c>
      <c r="F1089" t="str">
        <f>IF($A1089="","",IF($E1089=1,SUMIFS(Compta!$F$1:$F$675,Compta!$A$1:$A$675,$A1089,Compta!$B$1:$B$675,$B1089,Compta!$C$1:$C$675,"2026"),0))</f>
        <v/>
      </c>
      <c r="G1089" t="str">
        <f>IF($A1089="","",IF($D1089="V01",cad!$C$23,IF($D1089="V02",cad!$D$23,cad!$E$23)))</f>
        <v/>
      </c>
      <c r="H1089" t="str">
        <f>IF($A1089="","",IF($D1089="V01",cad!$C$24,IF($D1089="V02",cad!$D$24,cad!$E$24)))</f>
        <v/>
      </c>
      <c r="I1089" t="str">
        <f>IF($A1089="","",IF($D1089="V01",cad!$C$32,IF($D1089="V02",cad!$D$32,cad!$E$32)))</f>
        <v/>
      </c>
      <c r="J1089" t="str">
        <f>IF($A1089="","",IF($D1089="V01",cad!$C$33,IF($D1089="V02",cad!$D$33,cad!$E$33)))</f>
        <v/>
      </c>
      <c r="K1089" t="str">
        <f>IF($A1089="","",IF($D1089="V01",cad!$C$34,IF($D1089="V02",cad!$D$34,cad!$E$34)))</f>
        <v/>
      </c>
      <c r="L1089" t="str">
        <f>IF($A1089="","",IF($D1089="V01",cad!$C$35,IF($D1089="V02",cad!$D$35,cad!$E$35)))</f>
        <v/>
      </c>
      <c r="M1089" t="str">
        <f>IF($A1089="","",IF($D1089="V01",cad!$C$36,IF($D1089="V02",cad!$D$36,cad!$E$36)))</f>
        <v/>
      </c>
      <c r="N1089" t="str">
        <f t="shared" si="65"/>
        <v/>
      </c>
      <c r="O1089" t="str">
        <f t="shared" si="66"/>
        <v/>
      </c>
      <c r="P1089" t="str">
        <f>IF($A1089="","",IF($E1089=1,$F1089*$O1089,PNL!G1089))</f>
        <v/>
      </c>
      <c r="T1089" t="str">
        <f t="shared" si="67"/>
        <v/>
      </c>
    </row>
    <row r="1090" spans="1:20" x14ac:dyDescent="0.45">
      <c r="A1090" t="str">
        <f>IF(PNL!A1090="","",PNL!A1090)</f>
        <v/>
      </c>
      <c r="B1090" t="str">
        <f>IF(PNL!B1090="","",PNL!B1090)</f>
        <v/>
      </c>
      <c r="C1090" t="str">
        <f>IF(PNL!C1090="","",PNL!C1090)</f>
        <v/>
      </c>
      <c r="D1090" t="str">
        <f>IF(PNL!D1090="","",PNL!D1090)</f>
        <v/>
      </c>
      <c r="E1090" t="str">
        <f t="shared" ref="E1090:E1153" si="68">IF($A1090="","",IF(AND($C1090="2027",OR($D1090="V01",$D1090="V02",$D1090="V03")),1,0))</f>
        <v/>
      </c>
      <c r="F1090" t="str">
        <f>IF($A1090="","",IF($E1090=1,SUMIFS(Compta!$F$1:$F$675,Compta!$A$1:$A$675,$A1090,Compta!$B$1:$B$675,$B1090,Compta!$C$1:$C$675,"2026"),0))</f>
        <v/>
      </c>
      <c r="G1090" t="str">
        <f>IF($A1090="","",IF($D1090="V01",cad!$C$23,IF($D1090="V02",cad!$D$23,cad!$E$23)))</f>
        <v/>
      </c>
      <c r="H1090" t="str">
        <f>IF($A1090="","",IF($D1090="V01",cad!$C$24,IF($D1090="V02",cad!$D$24,cad!$E$24)))</f>
        <v/>
      </c>
      <c r="I1090" t="str">
        <f>IF($A1090="","",IF($D1090="V01",cad!$C$32,IF($D1090="V02",cad!$D$32,cad!$E$32)))</f>
        <v/>
      </c>
      <c r="J1090" t="str">
        <f>IF($A1090="","",IF($D1090="V01",cad!$C$33,IF($D1090="V02",cad!$D$33,cad!$E$33)))</f>
        <v/>
      </c>
      <c r="K1090" t="str">
        <f>IF($A1090="","",IF($D1090="V01",cad!$C$34,IF($D1090="V02",cad!$D$34,cad!$E$34)))</f>
        <v/>
      </c>
      <c r="L1090" t="str">
        <f>IF($A1090="","",IF($D1090="V01",cad!$C$35,IF($D1090="V02",cad!$D$35,cad!$E$35)))</f>
        <v/>
      </c>
      <c r="M1090" t="str">
        <f>IF($A1090="","",IF($D1090="V01",cad!$C$36,IF($D1090="V02",cad!$D$36,cad!$E$36)))</f>
        <v/>
      </c>
      <c r="N1090" t="str">
        <f t="shared" ref="N1090:N1153" si="69">IF($A1090="","",IF($D1090="V01",$R$2,IF($D1090="V02",$R$3,$R$4)))</f>
        <v/>
      </c>
      <c r="O1090" t="str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 t="str">
        <f>IF($A1090="","",IF($E1090=1,$F1090*$O1090,PNL!G1090))</f>
        <v/>
      </c>
      <c r="T1090" t="str">
        <f t="shared" ref="T1090:T1153" si="71">IF($A1090="","",IF($E1090=1,IF(OR($B1090="7062",$B1090="706",$B1090="708"),$P1090,IF(AND(LEFT($B1090,1)="6",$B1090&lt;&gt;"6811"),-$P1090,0)),0))</f>
        <v/>
      </c>
    </row>
    <row r="1091" spans="1:20" x14ac:dyDescent="0.45">
      <c r="A1091" t="str">
        <f>IF(PNL!A1091="","",PNL!A1091)</f>
        <v/>
      </c>
      <c r="B1091" t="str">
        <f>IF(PNL!B1091="","",PNL!B1091)</f>
        <v/>
      </c>
      <c r="C1091" t="str">
        <f>IF(PNL!C1091="","",PNL!C1091)</f>
        <v/>
      </c>
      <c r="D1091" t="str">
        <f>IF(PNL!D1091="","",PNL!D1091)</f>
        <v/>
      </c>
      <c r="E1091" t="str">
        <f t="shared" si="68"/>
        <v/>
      </c>
      <c r="F1091" t="str">
        <f>IF($A1091="","",IF($E1091=1,SUMIFS(Compta!$F$1:$F$675,Compta!$A$1:$A$675,$A1091,Compta!$B$1:$B$675,$B1091,Compta!$C$1:$C$675,"2026"),0))</f>
        <v/>
      </c>
      <c r="G1091" t="str">
        <f>IF($A1091="","",IF($D1091="V01",cad!$C$23,IF($D1091="V02",cad!$D$23,cad!$E$23)))</f>
        <v/>
      </c>
      <c r="H1091" t="str">
        <f>IF($A1091="","",IF($D1091="V01",cad!$C$24,IF($D1091="V02",cad!$D$24,cad!$E$24)))</f>
        <v/>
      </c>
      <c r="I1091" t="str">
        <f>IF($A1091="","",IF($D1091="V01",cad!$C$32,IF($D1091="V02",cad!$D$32,cad!$E$32)))</f>
        <v/>
      </c>
      <c r="J1091" t="str">
        <f>IF($A1091="","",IF($D1091="V01",cad!$C$33,IF($D1091="V02",cad!$D$33,cad!$E$33)))</f>
        <v/>
      </c>
      <c r="K1091" t="str">
        <f>IF($A1091="","",IF($D1091="V01",cad!$C$34,IF($D1091="V02",cad!$D$34,cad!$E$34)))</f>
        <v/>
      </c>
      <c r="L1091" t="str">
        <f>IF($A1091="","",IF($D1091="V01",cad!$C$35,IF($D1091="V02",cad!$D$35,cad!$E$35)))</f>
        <v/>
      </c>
      <c r="M1091" t="str">
        <f>IF($A1091="","",IF($D1091="V01",cad!$C$36,IF($D1091="V02",cad!$D$36,cad!$E$36)))</f>
        <v/>
      </c>
      <c r="N1091" t="str">
        <f t="shared" si="69"/>
        <v/>
      </c>
      <c r="O1091" t="str">
        <f t="shared" si="70"/>
        <v/>
      </c>
      <c r="P1091" t="str">
        <f>IF($A1091="","",IF($E1091=1,$F1091*$O1091,PNL!G1091))</f>
        <v/>
      </c>
      <c r="T1091" t="str">
        <f t="shared" si="71"/>
        <v/>
      </c>
    </row>
    <row r="1092" spans="1:20" x14ac:dyDescent="0.45">
      <c r="A1092" t="str">
        <f>IF(PNL!A1092="","",PNL!A1092)</f>
        <v/>
      </c>
      <c r="B1092" t="str">
        <f>IF(PNL!B1092="","",PNL!B1092)</f>
        <v/>
      </c>
      <c r="C1092" t="str">
        <f>IF(PNL!C1092="","",PNL!C1092)</f>
        <v/>
      </c>
      <c r="D1092" t="str">
        <f>IF(PNL!D1092="","",PNL!D1092)</f>
        <v/>
      </c>
      <c r="E1092" t="str">
        <f t="shared" si="68"/>
        <v/>
      </c>
      <c r="F1092" t="str">
        <f>IF($A1092="","",IF($E1092=1,SUMIFS(Compta!$F$1:$F$675,Compta!$A$1:$A$675,$A1092,Compta!$B$1:$B$675,$B1092,Compta!$C$1:$C$675,"2026"),0))</f>
        <v/>
      </c>
      <c r="G1092" t="str">
        <f>IF($A1092="","",IF($D1092="V01",cad!$C$23,IF($D1092="V02",cad!$D$23,cad!$E$23)))</f>
        <v/>
      </c>
      <c r="H1092" t="str">
        <f>IF($A1092="","",IF($D1092="V01",cad!$C$24,IF($D1092="V02",cad!$D$24,cad!$E$24)))</f>
        <v/>
      </c>
      <c r="I1092" t="str">
        <f>IF($A1092="","",IF($D1092="V01",cad!$C$32,IF($D1092="V02",cad!$D$32,cad!$E$32)))</f>
        <v/>
      </c>
      <c r="J1092" t="str">
        <f>IF($A1092="","",IF($D1092="V01",cad!$C$33,IF($D1092="V02",cad!$D$33,cad!$E$33)))</f>
        <v/>
      </c>
      <c r="K1092" t="str">
        <f>IF($A1092="","",IF($D1092="V01",cad!$C$34,IF($D1092="V02",cad!$D$34,cad!$E$34)))</f>
        <v/>
      </c>
      <c r="L1092" t="str">
        <f>IF($A1092="","",IF($D1092="V01",cad!$C$35,IF($D1092="V02",cad!$D$35,cad!$E$35)))</f>
        <v/>
      </c>
      <c r="M1092" t="str">
        <f>IF($A1092="","",IF($D1092="V01",cad!$C$36,IF($D1092="V02",cad!$D$36,cad!$E$36)))</f>
        <v/>
      </c>
      <c r="N1092" t="str">
        <f t="shared" si="69"/>
        <v/>
      </c>
      <c r="O1092" t="str">
        <f t="shared" si="70"/>
        <v/>
      </c>
      <c r="P1092" t="str">
        <f>IF($A1092="","",IF($E1092=1,$F1092*$O1092,PNL!G1092))</f>
        <v/>
      </c>
      <c r="T1092" t="str">
        <f t="shared" si="71"/>
        <v/>
      </c>
    </row>
    <row r="1093" spans="1:20" x14ac:dyDescent="0.45">
      <c r="A1093" t="str">
        <f>IF(PNL!A1093="","",PNL!A1093)</f>
        <v/>
      </c>
      <c r="B1093" t="str">
        <f>IF(PNL!B1093="","",PNL!B1093)</f>
        <v/>
      </c>
      <c r="C1093" t="str">
        <f>IF(PNL!C1093="","",PNL!C1093)</f>
        <v/>
      </c>
      <c r="D1093" t="str">
        <f>IF(PNL!D1093="","",PNL!D1093)</f>
        <v/>
      </c>
      <c r="E1093" t="str">
        <f t="shared" si="68"/>
        <v/>
      </c>
      <c r="F1093" t="str">
        <f>IF($A1093="","",IF($E1093=1,SUMIFS(Compta!$F$1:$F$675,Compta!$A$1:$A$675,$A1093,Compta!$B$1:$B$675,$B1093,Compta!$C$1:$C$675,"2026"),0))</f>
        <v/>
      </c>
      <c r="G1093" t="str">
        <f>IF($A1093="","",IF($D1093="V01",cad!$C$23,IF($D1093="V02",cad!$D$23,cad!$E$23)))</f>
        <v/>
      </c>
      <c r="H1093" t="str">
        <f>IF($A1093="","",IF($D1093="V01",cad!$C$24,IF($D1093="V02",cad!$D$24,cad!$E$24)))</f>
        <v/>
      </c>
      <c r="I1093" t="str">
        <f>IF($A1093="","",IF($D1093="V01",cad!$C$32,IF($D1093="V02",cad!$D$32,cad!$E$32)))</f>
        <v/>
      </c>
      <c r="J1093" t="str">
        <f>IF($A1093="","",IF($D1093="V01",cad!$C$33,IF($D1093="V02",cad!$D$33,cad!$E$33)))</f>
        <v/>
      </c>
      <c r="K1093" t="str">
        <f>IF($A1093="","",IF($D1093="V01",cad!$C$34,IF($D1093="V02",cad!$D$34,cad!$E$34)))</f>
        <v/>
      </c>
      <c r="L1093" t="str">
        <f>IF($A1093="","",IF($D1093="V01",cad!$C$35,IF($D1093="V02",cad!$D$35,cad!$E$35)))</f>
        <v/>
      </c>
      <c r="M1093" t="str">
        <f>IF($A1093="","",IF($D1093="V01",cad!$C$36,IF($D1093="V02",cad!$D$36,cad!$E$36)))</f>
        <v/>
      </c>
      <c r="N1093" t="str">
        <f t="shared" si="69"/>
        <v/>
      </c>
      <c r="O1093" t="str">
        <f t="shared" si="70"/>
        <v/>
      </c>
      <c r="P1093" t="str">
        <f>IF($A1093="","",IF($E1093=1,$F1093*$O1093,PNL!G1093))</f>
        <v/>
      </c>
      <c r="T1093" t="str">
        <f t="shared" si="71"/>
        <v/>
      </c>
    </row>
    <row r="1094" spans="1:20" x14ac:dyDescent="0.45">
      <c r="A1094" t="str">
        <f>IF(PNL!A1094="","",PNL!A1094)</f>
        <v/>
      </c>
      <c r="B1094" t="str">
        <f>IF(PNL!B1094="","",PNL!B1094)</f>
        <v/>
      </c>
      <c r="C1094" t="str">
        <f>IF(PNL!C1094="","",PNL!C1094)</f>
        <v/>
      </c>
      <c r="D1094" t="str">
        <f>IF(PNL!D1094="","",PNL!D1094)</f>
        <v/>
      </c>
      <c r="E1094" t="str">
        <f t="shared" si="68"/>
        <v/>
      </c>
      <c r="F1094" t="str">
        <f>IF($A1094="","",IF($E1094=1,SUMIFS(Compta!$F$1:$F$675,Compta!$A$1:$A$675,$A1094,Compta!$B$1:$B$675,$B1094,Compta!$C$1:$C$675,"2026"),0))</f>
        <v/>
      </c>
      <c r="G1094" t="str">
        <f>IF($A1094="","",IF($D1094="V01",cad!$C$23,IF($D1094="V02",cad!$D$23,cad!$E$23)))</f>
        <v/>
      </c>
      <c r="H1094" t="str">
        <f>IF($A1094="","",IF($D1094="V01",cad!$C$24,IF($D1094="V02",cad!$D$24,cad!$E$24)))</f>
        <v/>
      </c>
      <c r="I1094" t="str">
        <f>IF($A1094="","",IF($D1094="V01",cad!$C$32,IF($D1094="V02",cad!$D$32,cad!$E$32)))</f>
        <v/>
      </c>
      <c r="J1094" t="str">
        <f>IF($A1094="","",IF($D1094="V01",cad!$C$33,IF($D1094="V02",cad!$D$33,cad!$E$33)))</f>
        <v/>
      </c>
      <c r="K1094" t="str">
        <f>IF($A1094="","",IF($D1094="V01",cad!$C$34,IF($D1094="V02",cad!$D$34,cad!$E$34)))</f>
        <v/>
      </c>
      <c r="L1094" t="str">
        <f>IF($A1094="","",IF($D1094="V01",cad!$C$35,IF($D1094="V02",cad!$D$35,cad!$E$35)))</f>
        <v/>
      </c>
      <c r="M1094" t="str">
        <f>IF($A1094="","",IF($D1094="V01",cad!$C$36,IF($D1094="V02",cad!$D$36,cad!$E$36)))</f>
        <v/>
      </c>
      <c r="N1094" t="str">
        <f t="shared" si="69"/>
        <v/>
      </c>
      <c r="O1094" t="str">
        <f t="shared" si="70"/>
        <v/>
      </c>
      <c r="P1094" t="str">
        <f>IF($A1094="","",IF($E1094=1,$F1094*$O1094,PNL!G1094))</f>
        <v/>
      </c>
      <c r="T1094" t="str">
        <f t="shared" si="71"/>
        <v/>
      </c>
    </row>
    <row r="1095" spans="1:20" x14ac:dyDescent="0.45">
      <c r="A1095" t="str">
        <f>IF(PNL!A1095="","",PNL!A1095)</f>
        <v/>
      </c>
      <c r="B1095" t="str">
        <f>IF(PNL!B1095="","",PNL!B1095)</f>
        <v/>
      </c>
      <c r="C1095" t="str">
        <f>IF(PNL!C1095="","",PNL!C1095)</f>
        <v/>
      </c>
      <c r="D1095" t="str">
        <f>IF(PNL!D1095="","",PNL!D1095)</f>
        <v/>
      </c>
      <c r="E1095" t="str">
        <f t="shared" si="68"/>
        <v/>
      </c>
      <c r="F1095" t="str">
        <f>IF($A1095="","",IF($E1095=1,SUMIFS(Compta!$F$1:$F$675,Compta!$A$1:$A$675,$A1095,Compta!$B$1:$B$675,$B1095,Compta!$C$1:$C$675,"2026"),0))</f>
        <v/>
      </c>
      <c r="G1095" t="str">
        <f>IF($A1095="","",IF($D1095="V01",cad!$C$23,IF($D1095="V02",cad!$D$23,cad!$E$23)))</f>
        <v/>
      </c>
      <c r="H1095" t="str">
        <f>IF($A1095="","",IF($D1095="V01",cad!$C$24,IF($D1095="V02",cad!$D$24,cad!$E$24)))</f>
        <v/>
      </c>
      <c r="I1095" t="str">
        <f>IF($A1095="","",IF($D1095="V01",cad!$C$32,IF($D1095="V02",cad!$D$32,cad!$E$32)))</f>
        <v/>
      </c>
      <c r="J1095" t="str">
        <f>IF($A1095="","",IF($D1095="V01",cad!$C$33,IF($D1095="V02",cad!$D$33,cad!$E$33)))</f>
        <v/>
      </c>
      <c r="K1095" t="str">
        <f>IF($A1095="","",IF($D1095="V01",cad!$C$34,IF($D1095="V02",cad!$D$34,cad!$E$34)))</f>
        <v/>
      </c>
      <c r="L1095" t="str">
        <f>IF($A1095="","",IF($D1095="V01",cad!$C$35,IF($D1095="V02",cad!$D$35,cad!$E$35)))</f>
        <v/>
      </c>
      <c r="M1095" t="str">
        <f>IF($A1095="","",IF($D1095="V01",cad!$C$36,IF($D1095="V02",cad!$D$36,cad!$E$36)))</f>
        <v/>
      </c>
      <c r="N1095" t="str">
        <f t="shared" si="69"/>
        <v/>
      </c>
      <c r="O1095" t="str">
        <f t="shared" si="70"/>
        <v/>
      </c>
      <c r="P1095" t="str">
        <f>IF($A1095="","",IF($E1095=1,$F1095*$O1095,PNL!G1095))</f>
        <v/>
      </c>
      <c r="T1095" t="str">
        <f t="shared" si="71"/>
        <v/>
      </c>
    </row>
    <row r="1096" spans="1:20" x14ac:dyDescent="0.45">
      <c r="A1096" t="str">
        <f>IF(PNL!A1096="","",PNL!A1096)</f>
        <v/>
      </c>
      <c r="B1096" t="str">
        <f>IF(PNL!B1096="","",PNL!B1096)</f>
        <v/>
      </c>
      <c r="C1096" t="str">
        <f>IF(PNL!C1096="","",PNL!C1096)</f>
        <v/>
      </c>
      <c r="D1096" t="str">
        <f>IF(PNL!D1096="","",PNL!D1096)</f>
        <v/>
      </c>
      <c r="E1096" t="str">
        <f t="shared" si="68"/>
        <v/>
      </c>
      <c r="F1096" t="str">
        <f>IF($A1096="","",IF($E1096=1,SUMIFS(Compta!$F$1:$F$675,Compta!$A$1:$A$675,$A1096,Compta!$B$1:$B$675,$B1096,Compta!$C$1:$C$675,"2026"),0))</f>
        <v/>
      </c>
      <c r="G1096" t="str">
        <f>IF($A1096="","",IF($D1096="V01",cad!$C$23,IF($D1096="V02",cad!$D$23,cad!$E$23)))</f>
        <v/>
      </c>
      <c r="H1096" t="str">
        <f>IF($A1096="","",IF($D1096="V01",cad!$C$24,IF($D1096="V02",cad!$D$24,cad!$E$24)))</f>
        <v/>
      </c>
      <c r="I1096" t="str">
        <f>IF($A1096="","",IF($D1096="V01",cad!$C$32,IF($D1096="V02",cad!$D$32,cad!$E$32)))</f>
        <v/>
      </c>
      <c r="J1096" t="str">
        <f>IF($A1096="","",IF($D1096="V01",cad!$C$33,IF($D1096="V02",cad!$D$33,cad!$E$33)))</f>
        <v/>
      </c>
      <c r="K1096" t="str">
        <f>IF($A1096="","",IF($D1096="V01",cad!$C$34,IF($D1096="V02",cad!$D$34,cad!$E$34)))</f>
        <v/>
      </c>
      <c r="L1096" t="str">
        <f>IF($A1096="","",IF($D1096="V01",cad!$C$35,IF($D1096="V02",cad!$D$35,cad!$E$35)))</f>
        <v/>
      </c>
      <c r="M1096" t="str">
        <f>IF($A1096="","",IF($D1096="V01",cad!$C$36,IF($D1096="V02",cad!$D$36,cad!$E$36)))</f>
        <v/>
      </c>
      <c r="N1096" t="str">
        <f t="shared" si="69"/>
        <v/>
      </c>
      <c r="O1096" t="str">
        <f t="shared" si="70"/>
        <v/>
      </c>
      <c r="P1096" t="str">
        <f>IF($A1096="","",IF($E1096=1,$F1096*$O1096,PNL!G1096))</f>
        <v/>
      </c>
      <c r="T1096" t="str">
        <f t="shared" si="71"/>
        <v/>
      </c>
    </row>
    <row r="1097" spans="1:20" x14ac:dyDescent="0.45">
      <c r="A1097" t="str">
        <f>IF(PNL!A1097="","",PNL!A1097)</f>
        <v/>
      </c>
      <c r="B1097" t="str">
        <f>IF(PNL!B1097="","",PNL!B1097)</f>
        <v/>
      </c>
      <c r="C1097" t="str">
        <f>IF(PNL!C1097="","",PNL!C1097)</f>
        <v/>
      </c>
      <c r="D1097" t="str">
        <f>IF(PNL!D1097="","",PNL!D1097)</f>
        <v/>
      </c>
      <c r="E1097" t="str">
        <f t="shared" si="68"/>
        <v/>
      </c>
      <c r="F1097" t="str">
        <f>IF($A1097="","",IF($E1097=1,SUMIFS(Compta!$F$1:$F$675,Compta!$A$1:$A$675,$A1097,Compta!$B$1:$B$675,$B1097,Compta!$C$1:$C$675,"2026"),0))</f>
        <v/>
      </c>
      <c r="G1097" t="str">
        <f>IF($A1097="","",IF($D1097="V01",cad!$C$23,IF($D1097="V02",cad!$D$23,cad!$E$23)))</f>
        <v/>
      </c>
      <c r="H1097" t="str">
        <f>IF($A1097="","",IF($D1097="V01",cad!$C$24,IF($D1097="V02",cad!$D$24,cad!$E$24)))</f>
        <v/>
      </c>
      <c r="I1097" t="str">
        <f>IF($A1097="","",IF($D1097="V01",cad!$C$32,IF($D1097="V02",cad!$D$32,cad!$E$32)))</f>
        <v/>
      </c>
      <c r="J1097" t="str">
        <f>IF($A1097="","",IF($D1097="V01",cad!$C$33,IF($D1097="V02",cad!$D$33,cad!$E$33)))</f>
        <v/>
      </c>
      <c r="K1097" t="str">
        <f>IF($A1097="","",IF($D1097="V01",cad!$C$34,IF($D1097="V02",cad!$D$34,cad!$E$34)))</f>
        <v/>
      </c>
      <c r="L1097" t="str">
        <f>IF($A1097="","",IF($D1097="V01",cad!$C$35,IF($D1097="V02",cad!$D$35,cad!$E$35)))</f>
        <v/>
      </c>
      <c r="M1097" t="str">
        <f>IF($A1097="","",IF($D1097="V01",cad!$C$36,IF($D1097="V02",cad!$D$36,cad!$E$36)))</f>
        <v/>
      </c>
      <c r="N1097" t="str">
        <f t="shared" si="69"/>
        <v/>
      </c>
      <c r="O1097" t="str">
        <f t="shared" si="70"/>
        <v/>
      </c>
      <c r="P1097" t="str">
        <f>IF($A1097="","",IF($E1097=1,$F1097*$O1097,PNL!G1097))</f>
        <v/>
      </c>
      <c r="T1097" t="str">
        <f t="shared" si="71"/>
        <v/>
      </c>
    </row>
    <row r="1098" spans="1:20" x14ac:dyDescent="0.45">
      <c r="A1098" t="str">
        <f>IF(PNL!A1098="","",PNL!A1098)</f>
        <v/>
      </c>
      <c r="B1098" t="str">
        <f>IF(PNL!B1098="","",PNL!B1098)</f>
        <v/>
      </c>
      <c r="C1098" t="str">
        <f>IF(PNL!C1098="","",PNL!C1098)</f>
        <v/>
      </c>
      <c r="D1098" t="str">
        <f>IF(PNL!D1098="","",PNL!D1098)</f>
        <v/>
      </c>
      <c r="E1098" t="str">
        <f t="shared" si="68"/>
        <v/>
      </c>
      <c r="F1098" t="str">
        <f>IF($A1098="","",IF($E1098=1,SUMIFS(Compta!$F$1:$F$675,Compta!$A$1:$A$675,$A1098,Compta!$B$1:$B$675,$B1098,Compta!$C$1:$C$675,"2026"),0))</f>
        <v/>
      </c>
      <c r="G1098" t="str">
        <f>IF($A1098="","",IF($D1098="V01",cad!$C$23,IF($D1098="V02",cad!$D$23,cad!$E$23)))</f>
        <v/>
      </c>
      <c r="H1098" t="str">
        <f>IF($A1098="","",IF($D1098="V01",cad!$C$24,IF($D1098="V02",cad!$D$24,cad!$E$24)))</f>
        <v/>
      </c>
      <c r="I1098" t="str">
        <f>IF($A1098="","",IF($D1098="V01",cad!$C$32,IF($D1098="V02",cad!$D$32,cad!$E$32)))</f>
        <v/>
      </c>
      <c r="J1098" t="str">
        <f>IF($A1098="","",IF($D1098="V01",cad!$C$33,IF($D1098="V02",cad!$D$33,cad!$E$33)))</f>
        <v/>
      </c>
      <c r="K1098" t="str">
        <f>IF($A1098="","",IF($D1098="V01",cad!$C$34,IF($D1098="V02",cad!$D$34,cad!$E$34)))</f>
        <v/>
      </c>
      <c r="L1098" t="str">
        <f>IF($A1098="","",IF($D1098="V01",cad!$C$35,IF($D1098="V02",cad!$D$35,cad!$E$35)))</f>
        <v/>
      </c>
      <c r="M1098" t="str">
        <f>IF($A1098="","",IF($D1098="V01",cad!$C$36,IF($D1098="V02",cad!$D$36,cad!$E$36)))</f>
        <v/>
      </c>
      <c r="N1098" t="str">
        <f t="shared" si="69"/>
        <v/>
      </c>
      <c r="O1098" t="str">
        <f t="shared" si="70"/>
        <v/>
      </c>
      <c r="P1098" t="str">
        <f>IF($A1098="","",IF($E1098=1,$F1098*$O1098,PNL!G1098))</f>
        <v/>
      </c>
      <c r="T1098" t="str">
        <f t="shared" si="71"/>
        <v/>
      </c>
    </row>
    <row r="1099" spans="1:20" x14ac:dyDescent="0.45">
      <c r="A1099" t="str">
        <f>IF(PNL!A1099="","",PNL!A1099)</f>
        <v/>
      </c>
      <c r="B1099" t="str">
        <f>IF(PNL!B1099="","",PNL!B1099)</f>
        <v/>
      </c>
      <c r="C1099" t="str">
        <f>IF(PNL!C1099="","",PNL!C1099)</f>
        <v/>
      </c>
      <c r="D1099" t="str">
        <f>IF(PNL!D1099="","",PNL!D1099)</f>
        <v/>
      </c>
      <c r="E1099" t="str">
        <f t="shared" si="68"/>
        <v/>
      </c>
      <c r="F1099" t="str">
        <f>IF($A1099="","",IF($E1099=1,SUMIFS(Compta!$F$1:$F$675,Compta!$A$1:$A$675,$A1099,Compta!$B$1:$B$675,$B1099,Compta!$C$1:$C$675,"2026"),0))</f>
        <v/>
      </c>
      <c r="G1099" t="str">
        <f>IF($A1099="","",IF($D1099="V01",cad!$C$23,IF($D1099="V02",cad!$D$23,cad!$E$23)))</f>
        <v/>
      </c>
      <c r="H1099" t="str">
        <f>IF($A1099="","",IF($D1099="V01",cad!$C$24,IF($D1099="V02",cad!$D$24,cad!$E$24)))</f>
        <v/>
      </c>
      <c r="I1099" t="str">
        <f>IF($A1099="","",IF($D1099="V01",cad!$C$32,IF($D1099="V02",cad!$D$32,cad!$E$32)))</f>
        <v/>
      </c>
      <c r="J1099" t="str">
        <f>IF($A1099="","",IF($D1099="V01",cad!$C$33,IF($D1099="V02",cad!$D$33,cad!$E$33)))</f>
        <v/>
      </c>
      <c r="K1099" t="str">
        <f>IF($A1099="","",IF($D1099="V01",cad!$C$34,IF($D1099="V02",cad!$D$34,cad!$E$34)))</f>
        <v/>
      </c>
      <c r="L1099" t="str">
        <f>IF($A1099="","",IF($D1099="V01",cad!$C$35,IF($D1099="V02",cad!$D$35,cad!$E$35)))</f>
        <v/>
      </c>
      <c r="M1099" t="str">
        <f>IF($A1099="","",IF($D1099="V01",cad!$C$36,IF($D1099="V02",cad!$D$36,cad!$E$36)))</f>
        <v/>
      </c>
      <c r="N1099" t="str">
        <f t="shared" si="69"/>
        <v/>
      </c>
      <c r="O1099" t="str">
        <f t="shared" si="70"/>
        <v/>
      </c>
      <c r="P1099" t="str">
        <f>IF($A1099="","",IF($E1099=1,$F1099*$O1099,PNL!G1099))</f>
        <v/>
      </c>
      <c r="T1099" t="str">
        <f t="shared" si="71"/>
        <v/>
      </c>
    </row>
    <row r="1100" spans="1:20" x14ac:dyDescent="0.45">
      <c r="A1100" t="str">
        <f>IF(PNL!A1100="","",PNL!A1100)</f>
        <v/>
      </c>
      <c r="B1100" t="str">
        <f>IF(PNL!B1100="","",PNL!B1100)</f>
        <v/>
      </c>
      <c r="C1100" t="str">
        <f>IF(PNL!C1100="","",PNL!C1100)</f>
        <v/>
      </c>
      <c r="D1100" t="str">
        <f>IF(PNL!D1100="","",PNL!D1100)</f>
        <v/>
      </c>
      <c r="E1100" t="str">
        <f t="shared" si="68"/>
        <v/>
      </c>
      <c r="F1100" t="str">
        <f>IF($A1100="","",IF($E1100=1,SUMIFS(Compta!$F$1:$F$675,Compta!$A$1:$A$675,$A1100,Compta!$B$1:$B$675,$B1100,Compta!$C$1:$C$675,"2026"),0))</f>
        <v/>
      </c>
      <c r="G1100" t="str">
        <f>IF($A1100="","",IF($D1100="V01",cad!$C$23,IF($D1100="V02",cad!$D$23,cad!$E$23)))</f>
        <v/>
      </c>
      <c r="H1100" t="str">
        <f>IF($A1100="","",IF($D1100="V01",cad!$C$24,IF($D1100="V02",cad!$D$24,cad!$E$24)))</f>
        <v/>
      </c>
      <c r="I1100" t="str">
        <f>IF($A1100="","",IF($D1100="V01",cad!$C$32,IF($D1100="V02",cad!$D$32,cad!$E$32)))</f>
        <v/>
      </c>
      <c r="J1100" t="str">
        <f>IF($A1100="","",IF($D1100="V01",cad!$C$33,IF($D1100="V02",cad!$D$33,cad!$E$33)))</f>
        <v/>
      </c>
      <c r="K1100" t="str">
        <f>IF($A1100="","",IF($D1100="V01",cad!$C$34,IF($D1100="V02",cad!$D$34,cad!$E$34)))</f>
        <v/>
      </c>
      <c r="L1100" t="str">
        <f>IF($A1100="","",IF($D1100="V01",cad!$C$35,IF($D1100="V02",cad!$D$35,cad!$E$35)))</f>
        <v/>
      </c>
      <c r="M1100" t="str">
        <f>IF($A1100="","",IF($D1100="V01",cad!$C$36,IF($D1100="V02",cad!$D$36,cad!$E$36)))</f>
        <v/>
      </c>
      <c r="N1100" t="str">
        <f t="shared" si="69"/>
        <v/>
      </c>
      <c r="O1100" t="str">
        <f t="shared" si="70"/>
        <v/>
      </c>
      <c r="P1100" t="str">
        <f>IF($A1100="","",IF($E1100=1,$F1100*$O1100,PNL!G1100))</f>
        <v/>
      </c>
      <c r="T1100" t="str">
        <f t="shared" si="71"/>
        <v/>
      </c>
    </row>
    <row r="1101" spans="1:20" x14ac:dyDescent="0.45">
      <c r="A1101" t="str">
        <f>IF(PNL!A1101="","",PNL!A1101)</f>
        <v/>
      </c>
      <c r="B1101" t="str">
        <f>IF(PNL!B1101="","",PNL!B1101)</f>
        <v/>
      </c>
      <c r="C1101" t="str">
        <f>IF(PNL!C1101="","",PNL!C1101)</f>
        <v/>
      </c>
      <c r="D1101" t="str">
        <f>IF(PNL!D1101="","",PNL!D1101)</f>
        <v/>
      </c>
      <c r="E1101" t="str">
        <f t="shared" si="68"/>
        <v/>
      </c>
      <c r="F1101" t="str">
        <f>IF($A1101="","",IF($E1101=1,SUMIFS(Compta!$F$1:$F$675,Compta!$A$1:$A$675,$A1101,Compta!$B$1:$B$675,$B1101,Compta!$C$1:$C$675,"2026"),0))</f>
        <v/>
      </c>
      <c r="G1101" t="str">
        <f>IF($A1101="","",IF($D1101="V01",cad!$C$23,IF($D1101="V02",cad!$D$23,cad!$E$23)))</f>
        <v/>
      </c>
      <c r="H1101" t="str">
        <f>IF($A1101="","",IF($D1101="V01",cad!$C$24,IF($D1101="V02",cad!$D$24,cad!$E$24)))</f>
        <v/>
      </c>
      <c r="I1101" t="str">
        <f>IF($A1101="","",IF($D1101="V01",cad!$C$32,IF($D1101="V02",cad!$D$32,cad!$E$32)))</f>
        <v/>
      </c>
      <c r="J1101" t="str">
        <f>IF($A1101="","",IF($D1101="V01",cad!$C$33,IF($D1101="V02",cad!$D$33,cad!$E$33)))</f>
        <v/>
      </c>
      <c r="K1101" t="str">
        <f>IF($A1101="","",IF($D1101="V01",cad!$C$34,IF($D1101="V02",cad!$D$34,cad!$E$34)))</f>
        <v/>
      </c>
      <c r="L1101" t="str">
        <f>IF($A1101="","",IF($D1101="V01",cad!$C$35,IF($D1101="V02",cad!$D$35,cad!$E$35)))</f>
        <v/>
      </c>
      <c r="M1101" t="str">
        <f>IF($A1101="","",IF($D1101="V01",cad!$C$36,IF($D1101="V02",cad!$D$36,cad!$E$36)))</f>
        <v/>
      </c>
      <c r="N1101" t="str">
        <f t="shared" si="69"/>
        <v/>
      </c>
      <c r="O1101" t="str">
        <f t="shared" si="70"/>
        <v/>
      </c>
      <c r="P1101" t="str">
        <f>IF($A1101="","",IF($E1101=1,$F1101*$O1101,PNL!G1101))</f>
        <v/>
      </c>
      <c r="T1101" t="str">
        <f t="shared" si="71"/>
        <v/>
      </c>
    </row>
    <row r="1102" spans="1:20" x14ac:dyDescent="0.45">
      <c r="A1102" t="str">
        <f>IF(PNL!A1102="","",PNL!A1102)</f>
        <v/>
      </c>
      <c r="B1102" t="str">
        <f>IF(PNL!B1102="","",PNL!B1102)</f>
        <v/>
      </c>
      <c r="C1102" t="str">
        <f>IF(PNL!C1102="","",PNL!C1102)</f>
        <v/>
      </c>
      <c r="D1102" t="str">
        <f>IF(PNL!D1102="","",PNL!D1102)</f>
        <v/>
      </c>
      <c r="E1102" t="str">
        <f t="shared" si="68"/>
        <v/>
      </c>
      <c r="F1102" t="str">
        <f>IF($A1102="","",IF($E1102=1,SUMIFS(Compta!$F$1:$F$675,Compta!$A$1:$A$675,$A1102,Compta!$B$1:$B$675,$B1102,Compta!$C$1:$C$675,"2026"),0))</f>
        <v/>
      </c>
      <c r="G1102" t="str">
        <f>IF($A1102="","",IF($D1102="V01",cad!$C$23,IF($D1102="V02",cad!$D$23,cad!$E$23)))</f>
        <v/>
      </c>
      <c r="H1102" t="str">
        <f>IF($A1102="","",IF($D1102="V01",cad!$C$24,IF($D1102="V02",cad!$D$24,cad!$E$24)))</f>
        <v/>
      </c>
      <c r="I1102" t="str">
        <f>IF($A1102="","",IF($D1102="V01",cad!$C$32,IF($D1102="V02",cad!$D$32,cad!$E$32)))</f>
        <v/>
      </c>
      <c r="J1102" t="str">
        <f>IF($A1102="","",IF($D1102="V01",cad!$C$33,IF($D1102="V02",cad!$D$33,cad!$E$33)))</f>
        <v/>
      </c>
      <c r="K1102" t="str">
        <f>IF($A1102="","",IF($D1102="V01",cad!$C$34,IF($D1102="V02",cad!$D$34,cad!$E$34)))</f>
        <v/>
      </c>
      <c r="L1102" t="str">
        <f>IF($A1102="","",IF($D1102="V01",cad!$C$35,IF($D1102="V02",cad!$D$35,cad!$E$35)))</f>
        <v/>
      </c>
      <c r="M1102" t="str">
        <f>IF($A1102="","",IF($D1102="V01",cad!$C$36,IF($D1102="V02",cad!$D$36,cad!$E$36)))</f>
        <v/>
      </c>
      <c r="N1102" t="str">
        <f t="shared" si="69"/>
        <v/>
      </c>
      <c r="O1102" t="str">
        <f t="shared" si="70"/>
        <v/>
      </c>
      <c r="P1102" t="str">
        <f>IF($A1102="","",IF($E1102=1,$F1102*$O1102,PNL!G1102))</f>
        <v/>
      </c>
      <c r="T1102" t="str">
        <f t="shared" si="71"/>
        <v/>
      </c>
    </row>
    <row r="1103" spans="1:20" x14ac:dyDescent="0.45">
      <c r="A1103" t="str">
        <f>IF(PNL!A1103="","",PNL!A1103)</f>
        <v/>
      </c>
      <c r="B1103" t="str">
        <f>IF(PNL!B1103="","",PNL!B1103)</f>
        <v/>
      </c>
      <c r="C1103" t="str">
        <f>IF(PNL!C1103="","",PNL!C1103)</f>
        <v/>
      </c>
      <c r="D1103" t="str">
        <f>IF(PNL!D1103="","",PNL!D1103)</f>
        <v/>
      </c>
      <c r="E1103" t="str">
        <f t="shared" si="68"/>
        <v/>
      </c>
      <c r="F1103" t="str">
        <f>IF($A1103="","",IF($E1103=1,SUMIFS(Compta!$F$1:$F$675,Compta!$A$1:$A$675,$A1103,Compta!$B$1:$B$675,$B1103,Compta!$C$1:$C$675,"2026"),0))</f>
        <v/>
      </c>
      <c r="G1103" t="str">
        <f>IF($A1103="","",IF($D1103="V01",cad!$C$23,IF($D1103="V02",cad!$D$23,cad!$E$23)))</f>
        <v/>
      </c>
      <c r="H1103" t="str">
        <f>IF($A1103="","",IF($D1103="V01",cad!$C$24,IF($D1103="V02",cad!$D$24,cad!$E$24)))</f>
        <v/>
      </c>
      <c r="I1103" t="str">
        <f>IF($A1103="","",IF($D1103="V01",cad!$C$32,IF($D1103="V02",cad!$D$32,cad!$E$32)))</f>
        <v/>
      </c>
      <c r="J1103" t="str">
        <f>IF($A1103="","",IF($D1103="V01",cad!$C$33,IF($D1103="V02",cad!$D$33,cad!$E$33)))</f>
        <v/>
      </c>
      <c r="K1103" t="str">
        <f>IF($A1103="","",IF($D1103="V01",cad!$C$34,IF($D1103="V02",cad!$D$34,cad!$E$34)))</f>
        <v/>
      </c>
      <c r="L1103" t="str">
        <f>IF($A1103="","",IF($D1103="V01",cad!$C$35,IF($D1103="V02",cad!$D$35,cad!$E$35)))</f>
        <v/>
      </c>
      <c r="M1103" t="str">
        <f>IF($A1103="","",IF($D1103="V01",cad!$C$36,IF($D1103="V02",cad!$D$36,cad!$E$36)))</f>
        <v/>
      </c>
      <c r="N1103" t="str">
        <f t="shared" si="69"/>
        <v/>
      </c>
      <c r="O1103" t="str">
        <f t="shared" si="70"/>
        <v/>
      </c>
      <c r="P1103" t="str">
        <f>IF($A1103="","",IF($E1103=1,$F1103*$O1103,PNL!G1103))</f>
        <v/>
      </c>
      <c r="T1103" t="str">
        <f t="shared" si="71"/>
        <v/>
      </c>
    </row>
    <row r="1104" spans="1:20" x14ac:dyDescent="0.45">
      <c r="A1104" t="str">
        <f>IF(PNL!A1104="","",PNL!A1104)</f>
        <v/>
      </c>
      <c r="B1104" t="str">
        <f>IF(PNL!B1104="","",PNL!B1104)</f>
        <v/>
      </c>
      <c r="C1104" t="str">
        <f>IF(PNL!C1104="","",PNL!C1104)</f>
        <v/>
      </c>
      <c r="D1104" t="str">
        <f>IF(PNL!D1104="","",PNL!D1104)</f>
        <v/>
      </c>
      <c r="E1104" t="str">
        <f t="shared" si="68"/>
        <v/>
      </c>
      <c r="F1104" t="str">
        <f>IF($A1104="","",IF($E1104=1,SUMIFS(Compta!$F$1:$F$675,Compta!$A$1:$A$675,$A1104,Compta!$B$1:$B$675,$B1104,Compta!$C$1:$C$675,"2026"),0))</f>
        <v/>
      </c>
      <c r="G1104" t="str">
        <f>IF($A1104="","",IF($D1104="V01",cad!$C$23,IF($D1104="V02",cad!$D$23,cad!$E$23)))</f>
        <v/>
      </c>
      <c r="H1104" t="str">
        <f>IF($A1104="","",IF($D1104="V01",cad!$C$24,IF($D1104="V02",cad!$D$24,cad!$E$24)))</f>
        <v/>
      </c>
      <c r="I1104" t="str">
        <f>IF($A1104="","",IF($D1104="V01",cad!$C$32,IF($D1104="V02",cad!$D$32,cad!$E$32)))</f>
        <v/>
      </c>
      <c r="J1104" t="str">
        <f>IF($A1104="","",IF($D1104="V01",cad!$C$33,IF($D1104="V02",cad!$D$33,cad!$E$33)))</f>
        <v/>
      </c>
      <c r="K1104" t="str">
        <f>IF($A1104="","",IF($D1104="V01",cad!$C$34,IF($D1104="V02",cad!$D$34,cad!$E$34)))</f>
        <v/>
      </c>
      <c r="L1104" t="str">
        <f>IF($A1104="","",IF($D1104="V01",cad!$C$35,IF($D1104="V02",cad!$D$35,cad!$E$35)))</f>
        <v/>
      </c>
      <c r="M1104" t="str">
        <f>IF($A1104="","",IF($D1104="V01",cad!$C$36,IF($D1104="V02",cad!$D$36,cad!$E$36)))</f>
        <v/>
      </c>
      <c r="N1104" t="str">
        <f t="shared" si="69"/>
        <v/>
      </c>
      <c r="O1104" t="str">
        <f t="shared" si="70"/>
        <v/>
      </c>
      <c r="P1104" t="str">
        <f>IF($A1104="","",IF($E1104=1,$F1104*$O1104,PNL!G1104))</f>
        <v/>
      </c>
      <c r="T1104" t="str">
        <f t="shared" si="71"/>
        <v/>
      </c>
    </row>
    <row r="1105" spans="1:20" x14ac:dyDescent="0.45">
      <c r="A1105" t="str">
        <f>IF(PNL!A1105="","",PNL!A1105)</f>
        <v/>
      </c>
      <c r="B1105" t="str">
        <f>IF(PNL!B1105="","",PNL!B1105)</f>
        <v/>
      </c>
      <c r="C1105" t="str">
        <f>IF(PNL!C1105="","",PNL!C1105)</f>
        <v/>
      </c>
      <c r="D1105" t="str">
        <f>IF(PNL!D1105="","",PNL!D1105)</f>
        <v/>
      </c>
      <c r="E1105" t="str">
        <f t="shared" si="68"/>
        <v/>
      </c>
      <c r="F1105" t="str">
        <f>IF($A1105="","",IF($E1105=1,SUMIFS(Compta!$F$1:$F$675,Compta!$A$1:$A$675,$A1105,Compta!$B$1:$B$675,$B1105,Compta!$C$1:$C$675,"2026"),0))</f>
        <v/>
      </c>
      <c r="G1105" t="str">
        <f>IF($A1105="","",IF($D1105="V01",cad!$C$23,IF($D1105="V02",cad!$D$23,cad!$E$23)))</f>
        <v/>
      </c>
      <c r="H1105" t="str">
        <f>IF($A1105="","",IF($D1105="V01",cad!$C$24,IF($D1105="V02",cad!$D$24,cad!$E$24)))</f>
        <v/>
      </c>
      <c r="I1105" t="str">
        <f>IF($A1105="","",IF($D1105="V01",cad!$C$32,IF($D1105="V02",cad!$D$32,cad!$E$32)))</f>
        <v/>
      </c>
      <c r="J1105" t="str">
        <f>IF($A1105="","",IF($D1105="V01",cad!$C$33,IF($D1105="V02",cad!$D$33,cad!$E$33)))</f>
        <v/>
      </c>
      <c r="K1105" t="str">
        <f>IF($A1105="","",IF($D1105="V01",cad!$C$34,IF($D1105="V02",cad!$D$34,cad!$E$34)))</f>
        <v/>
      </c>
      <c r="L1105" t="str">
        <f>IF($A1105="","",IF($D1105="V01",cad!$C$35,IF($D1105="V02",cad!$D$35,cad!$E$35)))</f>
        <v/>
      </c>
      <c r="M1105" t="str">
        <f>IF($A1105="","",IF($D1105="V01",cad!$C$36,IF($D1105="V02",cad!$D$36,cad!$E$36)))</f>
        <v/>
      </c>
      <c r="N1105" t="str">
        <f t="shared" si="69"/>
        <v/>
      </c>
      <c r="O1105" t="str">
        <f t="shared" si="70"/>
        <v/>
      </c>
      <c r="P1105" t="str">
        <f>IF($A1105="","",IF($E1105=1,$F1105*$O1105,PNL!G1105))</f>
        <v/>
      </c>
      <c r="T1105" t="str">
        <f t="shared" si="71"/>
        <v/>
      </c>
    </row>
    <row r="1106" spans="1:20" x14ac:dyDescent="0.45">
      <c r="A1106" t="str">
        <f>IF(PNL!A1106="","",PNL!A1106)</f>
        <v/>
      </c>
      <c r="B1106" t="str">
        <f>IF(PNL!B1106="","",PNL!B1106)</f>
        <v/>
      </c>
      <c r="C1106" t="str">
        <f>IF(PNL!C1106="","",PNL!C1106)</f>
        <v/>
      </c>
      <c r="D1106" t="str">
        <f>IF(PNL!D1106="","",PNL!D1106)</f>
        <v/>
      </c>
      <c r="E1106" t="str">
        <f t="shared" si="68"/>
        <v/>
      </c>
      <c r="F1106" t="str">
        <f>IF($A1106="","",IF($E1106=1,SUMIFS(Compta!$F$1:$F$675,Compta!$A$1:$A$675,$A1106,Compta!$B$1:$B$675,$B1106,Compta!$C$1:$C$675,"2026"),0))</f>
        <v/>
      </c>
      <c r="G1106" t="str">
        <f>IF($A1106="","",IF($D1106="V01",cad!$C$23,IF($D1106="V02",cad!$D$23,cad!$E$23)))</f>
        <v/>
      </c>
      <c r="H1106" t="str">
        <f>IF($A1106="","",IF($D1106="V01",cad!$C$24,IF($D1106="V02",cad!$D$24,cad!$E$24)))</f>
        <v/>
      </c>
      <c r="I1106" t="str">
        <f>IF($A1106="","",IF($D1106="V01",cad!$C$32,IF($D1106="V02",cad!$D$32,cad!$E$32)))</f>
        <v/>
      </c>
      <c r="J1106" t="str">
        <f>IF($A1106="","",IF($D1106="V01",cad!$C$33,IF($D1106="V02",cad!$D$33,cad!$E$33)))</f>
        <v/>
      </c>
      <c r="K1106" t="str">
        <f>IF($A1106="","",IF($D1106="V01",cad!$C$34,IF($D1106="V02",cad!$D$34,cad!$E$34)))</f>
        <v/>
      </c>
      <c r="L1106" t="str">
        <f>IF($A1106="","",IF($D1106="V01",cad!$C$35,IF($D1106="V02",cad!$D$35,cad!$E$35)))</f>
        <v/>
      </c>
      <c r="M1106" t="str">
        <f>IF($A1106="","",IF($D1106="V01",cad!$C$36,IF($D1106="V02",cad!$D$36,cad!$E$36)))</f>
        <v/>
      </c>
      <c r="N1106" t="str">
        <f t="shared" si="69"/>
        <v/>
      </c>
      <c r="O1106" t="str">
        <f t="shared" si="70"/>
        <v/>
      </c>
      <c r="P1106" t="str">
        <f>IF($A1106="","",IF($E1106=1,$F1106*$O1106,PNL!G1106))</f>
        <v/>
      </c>
      <c r="T1106" t="str">
        <f t="shared" si="71"/>
        <v/>
      </c>
    </row>
    <row r="1107" spans="1:20" x14ac:dyDescent="0.45">
      <c r="A1107" t="str">
        <f>IF(PNL!A1107="","",PNL!A1107)</f>
        <v/>
      </c>
      <c r="B1107" t="str">
        <f>IF(PNL!B1107="","",PNL!B1107)</f>
        <v/>
      </c>
      <c r="C1107" t="str">
        <f>IF(PNL!C1107="","",PNL!C1107)</f>
        <v/>
      </c>
      <c r="D1107" t="str">
        <f>IF(PNL!D1107="","",PNL!D1107)</f>
        <v/>
      </c>
      <c r="E1107" t="str">
        <f t="shared" si="68"/>
        <v/>
      </c>
      <c r="F1107" t="str">
        <f>IF($A1107="","",IF($E1107=1,SUMIFS(Compta!$F$1:$F$675,Compta!$A$1:$A$675,$A1107,Compta!$B$1:$B$675,$B1107,Compta!$C$1:$C$675,"2026"),0))</f>
        <v/>
      </c>
      <c r="G1107" t="str">
        <f>IF($A1107="","",IF($D1107="V01",cad!$C$23,IF($D1107="V02",cad!$D$23,cad!$E$23)))</f>
        <v/>
      </c>
      <c r="H1107" t="str">
        <f>IF($A1107="","",IF($D1107="V01",cad!$C$24,IF($D1107="V02",cad!$D$24,cad!$E$24)))</f>
        <v/>
      </c>
      <c r="I1107" t="str">
        <f>IF($A1107="","",IF($D1107="V01",cad!$C$32,IF($D1107="V02",cad!$D$32,cad!$E$32)))</f>
        <v/>
      </c>
      <c r="J1107" t="str">
        <f>IF($A1107="","",IF($D1107="V01",cad!$C$33,IF($D1107="V02",cad!$D$33,cad!$E$33)))</f>
        <v/>
      </c>
      <c r="K1107" t="str">
        <f>IF($A1107="","",IF($D1107="V01",cad!$C$34,IF($D1107="V02",cad!$D$34,cad!$E$34)))</f>
        <v/>
      </c>
      <c r="L1107" t="str">
        <f>IF($A1107="","",IF($D1107="V01",cad!$C$35,IF($D1107="V02",cad!$D$35,cad!$E$35)))</f>
        <v/>
      </c>
      <c r="M1107" t="str">
        <f>IF($A1107="","",IF($D1107="V01",cad!$C$36,IF($D1107="V02",cad!$D$36,cad!$E$36)))</f>
        <v/>
      </c>
      <c r="N1107" t="str">
        <f t="shared" si="69"/>
        <v/>
      </c>
      <c r="O1107" t="str">
        <f t="shared" si="70"/>
        <v/>
      </c>
      <c r="P1107" t="str">
        <f>IF($A1107="","",IF($E1107=1,$F1107*$O1107,PNL!G1107))</f>
        <v/>
      </c>
      <c r="T1107" t="str">
        <f t="shared" si="71"/>
        <v/>
      </c>
    </row>
    <row r="1108" spans="1:20" x14ac:dyDescent="0.45">
      <c r="A1108" t="str">
        <f>IF(PNL!A1108="","",PNL!A1108)</f>
        <v/>
      </c>
      <c r="B1108" t="str">
        <f>IF(PNL!B1108="","",PNL!B1108)</f>
        <v/>
      </c>
      <c r="C1108" t="str">
        <f>IF(PNL!C1108="","",PNL!C1108)</f>
        <v/>
      </c>
      <c r="D1108" t="str">
        <f>IF(PNL!D1108="","",PNL!D1108)</f>
        <v/>
      </c>
      <c r="E1108" t="str">
        <f t="shared" si="68"/>
        <v/>
      </c>
      <c r="F1108" t="str">
        <f>IF($A1108="","",IF($E1108=1,SUMIFS(Compta!$F$1:$F$675,Compta!$A$1:$A$675,$A1108,Compta!$B$1:$B$675,$B1108,Compta!$C$1:$C$675,"2026"),0))</f>
        <v/>
      </c>
      <c r="G1108" t="str">
        <f>IF($A1108="","",IF($D1108="V01",cad!$C$23,IF($D1108="V02",cad!$D$23,cad!$E$23)))</f>
        <v/>
      </c>
      <c r="H1108" t="str">
        <f>IF($A1108="","",IF($D1108="V01",cad!$C$24,IF($D1108="V02",cad!$D$24,cad!$E$24)))</f>
        <v/>
      </c>
      <c r="I1108" t="str">
        <f>IF($A1108="","",IF($D1108="V01",cad!$C$32,IF($D1108="V02",cad!$D$32,cad!$E$32)))</f>
        <v/>
      </c>
      <c r="J1108" t="str">
        <f>IF($A1108="","",IF($D1108="V01",cad!$C$33,IF($D1108="V02",cad!$D$33,cad!$E$33)))</f>
        <v/>
      </c>
      <c r="K1108" t="str">
        <f>IF($A1108="","",IF($D1108="V01",cad!$C$34,IF($D1108="V02",cad!$D$34,cad!$E$34)))</f>
        <v/>
      </c>
      <c r="L1108" t="str">
        <f>IF($A1108="","",IF($D1108="V01",cad!$C$35,IF($D1108="V02",cad!$D$35,cad!$E$35)))</f>
        <v/>
      </c>
      <c r="M1108" t="str">
        <f>IF($A1108="","",IF($D1108="V01",cad!$C$36,IF($D1108="V02",cad!$D$36,cad!$E$36)))</f>
        <v/>
      </c>
      <c r="N1108" t="str">
        <f t="shared" si="69"/>
        <v/>
      </c>
      <c r="O1108" t="str">
        <f t="shared" si="70"/>
        <v/>
      </c>
      <c r="P1108" t="str">
        <f>IF($A1108="","",IF($E1108=1,$F1108*$O1108,PNL!G1108))</f>
        <v/>
      </c>
      <c r="T1108" t="str">
        <f t="shared" si="71"/>
        <v/>
      </c>
    </row>
    <row r="1109" spans="1:20" x14ac:dyDescent="0.45">
      <c r="A1109" t="str">
        <f>IF(PNL!A1109="","",PNL!A1109)</f>
        <v/>
      </c>
      <c r="B1109" t="str">
        <f>IF(PNL!B1109="","",PNL!B1109)</f>
        <v/>
      </c>
      <c r="C1109" t="str">
        <f>IF(PNL!C1109="","",PNL!C1109)</f>
        <v/>
      </c>
      <c r="D1109" t="str">
        <f>IF(PNL!D1109="","",PNL!D1109)</f>
        <v/>
      </c>
      <c r="E1109" t="str">
        <f t="shared" si="68"/>
        <v/>
      </c>
      <c r="F1109" t="str">
        <f>IF($A1109="","",IF($E1109=1,SUMIFS(Compta!$F$1:$F$675,Compta!$A$1:$A$675,$A1109,Compta!$B$1:$B$675,$B1109,Compta!$C$1:$C$675,"2026"),0))</f>
        <v/>
      </c>
      <c r="G1109" t="str">
        <f>IF($A1109="","",IF($D1109="V01",cad!$C$23,IF($D1109="V02",cad!$D$23,cad!$E$23)))</f>
        <v/>
      </c>
      <c r="H1109" t="str">
        <f>IF($A1109="","",IF($D1109="V01",cad!$C$24,IF($D1109="V02",cad!$D$24,cad!$E$24)))</f>
        <v/>
      </c>
      <c r="I1109" t="str">
        <f>IF($A1109="","",IF($D1109="V01",cad!$C$32,IF($D1109="V02",cad!$D$32,cad!$E$32)))</f>
        <v/>
      </c>
      <c r="J1109" t="str">
        <f>IF($A1109="","",IF($D1109="V01",cad!$C$33,IF($D1109="V02",cad!$D$33,cad!$E$33)))</f>
        <v/>
      </c>
      <c r="K1109" t="str">
        <f>IF($A1109="","",IF($D1109="V01",cad!$C$34,IF($D1109="V02",cad!$D$34,cad!$E$34)))</f>
        <v/>
      </c>
      <c r="L1109" t="str">
        <f>IF($A1109="","",IF($D1109="V01",cad!$C$35,IF($D1109="V02",cad!$D$35,cad!$E$35)))</f>
        <v/>
      </c>
      <c r="M1109" t="str">
        <f>IF($A1109="","",IF($D1109="V01",cad!$C$36,IF($D1109="V02",cad!$D$36,cad!$E$36)))</f>
        <v/>
      </c>
      <c r="N1109" t="str">
        <f t="shared" si="69"/>
        <v/>
      </c>
      <c r="O1109" t="str">
        <f t="shared" si="70"/>
        <v/>
      </c>
      <c r="P1109" t="str">
        <f>IF($A1109="","",IF($E1109=1,$F1109*$O1109,PNL!G1109))</f>
        <v/>
      </c>
      <c r="T1109" t="str">
        <f t="shared" si="71"/>
        <v/>
      </c>
    </row>
    <row r="1110" spans="1:20" x14ac:dyDescent="0.45">
      <c r="A1110" t="str">
        <f>IF(PNL!A1110="","",PNL!A1110)</f>
        <v/>
      </c>
      <c r="B1110" t="str">
        <f>IF(PNL!B1110="","",PNL!B1110)</f>
        <v/>
      </c>
      <c r="C1110" t="str">
        <f>IF(PNL!C1110="","",PNL!C1110)</f>
        <v/>
      </c>
      <c r="D1110" t="str">
        <f>IF(PNL!D1110="","",PNL!D1110)</f>
        <v/>
      </c>
      <c r="E1110" t="str">
        <f t="shared" si="68"/>
        <v/>
      </c>
      <c r="F1110" t="str">
        <f>IF($A1110="","",IF($E1110=1,SUMIFS(Compta!$F$1:$F$675,Compta!$A$1:$A$675,$A1110,Compta!$B$1:$B$675,$B1110,Compta!$C$1:$C$675,"2026"),0))</f>
        <v/>
      </c>
      <c r="G1110" t="str">
        <f>IF($A1110="","",IF($D1110="V01",cad!$C$23,IF($D1110="V02",cad!$D$23,cad!$E$23)))</f>
        <v/>
      </c>
      <c r="H1110" t="str">
        <f>IF($A1110="","",IF($D1110="V01",cad!$C$24,IF($D1110="V02",cad!$D$24,cad!$E$24)))</f>
        <v/>
      </c>
      <c r="I1110" t="str">
        <f>IF($A1110="","",IF($D1110="V01",cad!$C$32,IF($D1110="V02",cad!$D$32,cad!$E$32)))</f>
        <v/>
      </c>
      <c r="J1110" t="str">
        <f>IF($A1110="","",IF($D1110="V01",cad!$C$33,IF($D1110="V02",cad!$D$33,cad!$E$33)))</f>
        <v/>
      </c>
      <c r="K1110" t="str">
        <f>IF($A1110="","",IF($D1110="V01",cad!$C$34,IF($D1110="V02",cad!$D$34,cad!$E$34)))</f>
        <v/>
      </c>
      <c r="L1110" t="str">
        <f>IF($A1110="","",IF($D1110="V01",cad!$C$35,IF($D1110="V02",cad!$D$35,cad!$E$35)))</f>
        <v/>
      </c>
      <c r="M1110" t="str">
        <f>IF($A1110="","",IF($D1110="V01",cad!$C$36,IF($D1110="V02",cad!$D$36,cad!$E$36)))</f>
        <v/>
      </c>
      <c r="N1110" t="str">
        <f t="shared" si="69"/>
        <v/>
      </c>
      <c r="O1110" t="str">
        <f t="shared" si="70"/>
        <v/>
      </c>
      <c r="P1110" t="str">
        <f>IF($A1110="","",IF($E1110=1,$F1110*$O1110,PNL!G1110))</f>
        <v/>
      </c>
      <c r="T1110" t="str">
        <f t="shared" si="71"/>
        <v/>
      </c>
    </row>
    <row r="1111" spans="1:20" x14ac:dyDescent="0.45">
      <c r="A1111" t="str">
        <f>IF(PNL!A1111="","",PNL!A1111)</f>
        <v/>
      </c>
      <c r="B1111" t="str">
        <f>IF(PNL!B1111="","",PNL!B1111)</f>
        <v/>
      </c>
      <c r="C1111" t="str">
        <f>IF(PNL!C1111="","",PNL!C1111)</f>
        <v/>
      </c>
      <c r="D1111" t="str">
        <f>IF(PNL!D1111="","",PNL!D1111)</f>
        <v/>
      </c>
      <c r="E1111" t="str">
        <f t="shared" si="68"/>
        <v/>
      </c>
      <c r="F1111" t="str">
        <f>IF($A1111="","",IF($E1111=1,SUMIFS(Compta!$F$1:$F$675,Compta!$A$1:$A$675,$A1111,Compta!$B$1:$B$675,$B1111,Compta!$C$1:$C$675,"2026"),0))</f>
        <v/>
      </c>
      <c r="G1111" t="str">
        <f>IF($A1111="","",IF($D1111="V01",cad!$C$23,IF($D1111="V02",cad!$D$23,cad!$E$23)))</f>
        <v/>
      </c>
      <c r="H1111" t="str">
        <f>IF($A1111="","",IF($D1111="V01",cad!$C$24,IF($D1111="V02",cad!$D$24,cad!$E$24)))</f>
        <v/>
      </c>
      <c r="I1111" t="str">
        <f>IF($A1111="","",IF($D1111="V01",cad!$C$32,IF($D1111="V02",cad!$D$32,cad!$E$32)))</f>
        <v/>
      </c>
      <c r="J1111" t="str">
        <f>IF($A1111="","",IF($D1111="V01",cad!$C$33,IF($D1111="V02",cad!$D$33,cad!$E$33)))</f>
        <v/>
      </c>
      <c r="K1111" t="str">
        <f>IF($A1111="","",IF($D1111="V01",cad!$C$34,IF($D1111="V02",cad!$D$34,cad!$E$34)))</f>
        <v/>
      </c>
      <c r="L1111" t="str">
        <f>IF($A1111="","",IF($D1111="V01",cad!$C$35,IF($D1111="V02",cad!$D$35,cad!$E$35)))</f>
        <v/>
      </c>
      <c r="M1111" t="str">
        <f>IF($A1111="","",IF($D1111="V01",cad!$C$36,IF($D1111="V02",cad!$D$36,cad!$E$36)))</f>
        <v/>
      </c>
      <c r="N1111" t="str">
        <f t="shared" si="69"/>
        <v/>
      </c>
      <c r="O1111" t="str">
        <f t="shared" si="70"/>
        <v/>
      </c>
      <c r="P1111" t="str">
        <f>IF($A1111="","",IF($E1111=1,$F1111*$O1111,PNL!G1111))</f>
        <v/>
      </c>
      <c r="T1111" t="str">
        <f t="shared" si="71"/>
        <v/>
      </c>
    </row>
    <row r="1112" spans="1:20" x14ac:dyDescent="0.45">
      <c r="A1112" t="str">
        <f>IF(PNL!A1112="","",PNL!A1112)</f>
        <v/>
      </c>
      <c r="B1112" t="str">
        <f>IF(PNL!B1112="","",PNL!B1112)</f>
        <v/>
      </c>
      <c r="C1112" t="str">
        <f>IF(PNL!C1112="","",PNL!C1112)</f>
        <v/>
      </c>
      <c r="D1112" t="str">
        <f>IF(PNL!D1112="","",PNL!D1112)</f>
        <v/>
      </c>
      <c r="E1112" t="str">
        <f t="shared" si="68"/>
        <v/>
      </c>
      <c r="F1112" t="str">
        <f>IF($A1112="","",IF($E1112=1,SUMIFS(Compta!$F$1:$F$675,Compta!$A$1:$A$675,$A1112,Compta!$B$1:$B$675,$B1112,Compta!$C$1:$C$675,"2026"),0))</f>
        <v/>
      </c>
      <c r="G1112" t="str">
        <f>IF($A1112="","",IF($D1112="V01",cad!$C$23,IF($D1112="V02",cad!$D$23,cad!$E$23)))</f>
        <v/>
      </c>
      <c r="H1112" t="str">
        <f>IF($A1112="","",IF($D1112="V01",cad!$C$24,IF($D1112="V02",cad!$D$24,cad!$E$24)))</f>
        <v/>
      </c>
      <c r="I1112" t="str">
        <f>IF($A1112="","",IF($D1112="V01",cad!$C$32,IF($D1112="V02",cad!$D$32,cad!$E$32)))</f>
        <v/>
      </c>
      <c r="J1112" t="str">
        <f>IF($A1112="","",IF($D1112="V01",cad!$C$33,IF($D1112="V02",cad!$D$33,cad!$E$33)))</f>
        <v/>
      </c>
      <c r="K1112" t="str">
        <f>IF($A1112="","",IF($D1112="V01",cad!$C$34,IF($D1112="V02",cad!$D$34,cad!$E$34)))</f>
        <v/>
      </c>
      <c r="L1112" t="str">
        <f>IF($A1112="","",IF($D1112="V01",cad!$C$35,IF($D1112="V02",cad!$D$35,cad!$E$35)))</f>
        <v/>
      </c>
      <c r="M1112" t="str">
        <f>IF($A1112="","",IF($D1112="V01",cad!$C$36,IF($D1112="V02",cad!$D$36,cad!$E$36)))</f>
        <v/>
      </c>
      <c r="N1112" t="str">
        <f t="shared" si="69"/>
        <v/>
      </c>
      <c r="O1112" t="str">
        <f t="shared" si="70"/>
        <v/>
      </c>
      <c r="P1112" t="str">
        <f>IF($A1112="","",IF($E1112=1,$F1112*$O1112,PNL!G1112))</f>
        <v/>
      </c>
      <c r="T1112" t="str">
        <f t="shared" si="71"/>
        <v/>
      </c>
    </row>
    <row r="1113" spans="1:20" x14ac:dyDescent="0.45">
      <c r="A1113" t="str">
        <f>IF(PNL!A1113="","",PNL!A1113)</f>
        <v/>
      </c>
      <c r="B1113" t="str">
        <f>IF(PNL!B1113="","",PNL!B1113)</f>
        <v/>
      </c>
      <c r="C1113" t="str">
        <f>IF(PNL!C1113="","",PNL!C1113)</f>
        <v/>
      </c>
      <c r="D1113" t="str">
        <f>IF(PNL!D1113="","",PNL!D1113)</f>
        <v/>
      </c>
      <c r="E1113" t="str">
        <f t="shared" si="68"/>
        <v/>
      </c>
      <c r="F1113" t="str">
        <f>IF($A1113="","",IF($E1113=1,SUMIFS(Compta!$F$1:$F$675,Compta!$A$1:$A$675,$A1113,Compta!$B$1:$B$675,$B1113,Compta!$C$1:$C$675,"2026"),0))</f>
        <v/>
      </c>
      <c r="G1113" t="str">
        <f>IF($A1113="","",IF($D1113="V01",cad!$C$23,IF($D1113="V02",cad!$D$23,cad!$E$23)))</f>
        <v/>
      </c>
      <c r="H1113" t="str">
        <f>IF($A1113="","",IF($D1113="V01",cad!$C$24,IF($D1113="V02",cad!$D$24,cad!$E$24)))</f>
        <v/>
      </c>
      <c r="I1113" t="str">
        <f>IF($A1113="","",IF($D1113="V01",cad!$C$32,IF($D1113="V02",cad!$D$32,cad!$E$32)))</f>
        <v/>
      </c>
      <c r="J1113" t="str">
        <f>IF($A1113="","",IF($D1113="V01",cad!$C$33,IF($D1113="V02",cad!$D$33,cad!$E$33)))</f>
        <v/>
      </c>
      <c r="K1113" t="str">
        <f>IF($A1113="","",IF($D1113="V01",cad!$C$34,IF($D1113="V02",cad!$D$34,cad!$E$34)))</f>
        <v/>
      </c>
      <c r="L1113" t="str">
        <f>IF($A1113="","",IF($D1113="V01",cad!$C$35,IF($D1113="V02",cad!$D$35,cad!$E$35)))</f>
        <v/>
      </c>
      <c r="M1113" t="str">
        <f>IF($A1113="","",IF($D1113="V01",cad!$C$36,IF($D1113="V02",cad!$D$36,cad!$E$36)))</f>
        <v/>
      </c>
      <c r="N1113" t="str">
        <f t="shared" si="69"/>
        <v/>
      </c>
      <c r="O1113" t="str">
        <f t="shared" si="70"/>
        <v/>
      </c>
      <c r="P1113" t="str">
        <f>IF($A1113="","",IF($E1113=1,$F1113*$O1113,PNL!G1113))</f>
        <v/>
      </c>
      <c r="T1113" t="str">
        <f t="shared" si="71"/>
        <v/>
      </c>
    </row>
    <row r="1114" spans="1:20" x14ac:dyDescent="0.45">
      <c r="A1114" t="str">
        <f>IF(PNL!A1114="","",PNL!A1114)</f>
        <v/>
      </c>
      <c r="B1114" t="str">
        <f>IF(PNL!B1114="","",PNL!B1114)</f>
        <v/>
      </c>
      <c r="C1114" t="str">
        <f>IF(PNL!C1114="","",PNL!C1114)</f>
        <v/>
      </c>
      <c r="D1114" t="str">
        <f>IF(PNL!D1114="","",PNL!D1114)</f>
        <v/>
      </c>
      <c r="E1114" t="str">
        <f t="shared" si="68"/>
        <v/>
      </c>
      <c r="F1114" t="str">
        <f>IF($A1114="","",IF($E1114=1,SUMIFS(Compta!$F$1:$F$675,Compta!$A$1:$A$675,$A1114,Compta!$B$1:$B$675,$B1114,Compta!$C$1:$C$675,"2026"),0))</f>
        <v/>
      </c>
      <c r="G1114" t="str">
        <f>IF($A1114="","",IF($D1114="V01",cad!$C$23,IF($D1114="V02",cad!$D$23,cad!$E$23)))</f>
        <v/>
      </c>
      <c r="H1114" t="str">
        <f>IF($A1114="","",IF($D1114="V01",cad!$C$24,IF($D1114="V02",cad!$D$24,cad!$E$24)))</f>
        <v/>
      </c>
      <c r="I1114" t="str">
        <f>IF($A1114="","",IF($D1114="V01",cad!$C$32,IF($D1114="V02",cad!$D$32,cad!$E$32)))</f>
        <v/>
      </c>
      <c r="J1114" t="str">
        <f>IF($A1114="","",IF($D1114="V01",cad!$C$33,IF($D1114="V02",cad!$D$33,cad!$E$33)))</f>
        <v/>
      </c>
      <c r="K1114" t="str">
        <f>IF($A1114="","",IF($D1114="V01",cad!$C$34,IF($D1114="V02",cad!$D$34,cad!$E$34)))</f>
        <v/>
      </c>
      <c r="L1114" t="str">
        <f>IF($A1114="","",IF($D1114="V01",cad!$C$35,IF($D1114="V02",cad!$D$35,cad!$E$35)))</f>
        <v/>
      </c>
      <c r="M1114" t="str">
        <f>IF($A1114="","",IF($D1114="V01",cad!$C$36,IF($D1114="V02",cad!$D$36,cad!$E$36)))</f>
        <v/>
      </c>
      <c r="N1114" t="str">
        <f t="shared" si="69"/>
        <v/>
      </c>
      <c r="O1114" t="str">
        <f t="shared" si="70"/>
        <v/>
      </c>
      <c r="P1114" t="str">
        <f>IF($A1114="","",IF($E1114=1,$F1114*$O1114,PNL!G1114))</f>
        <v/>
      </c>
      <c r="T1114" t="str">
        <f t="shared" si="71"/>
        <v/>
      </c>
    </row>
    <row r="1115" spans="1:20" x14ac:dyDescent="0.45">
      <c r="A1115" t="str">
        <f>IF(PNL!A1115="","",PNL!A1115)</f>
        <v/>
      </c>
      <c r="B1115" t="str">
        <f>IF(PNL!B1115="","",PNL!B1115)</f>
        <v/>
      </c>
      <c r="C1115" t="str">
        <f>IF(PNL!C1115="","",PNL!C1115)</f>
        <v/>
      </c>
      <c r="D1115" t="str">
        <f>IF(PNL!D1115="","",PNL!D1115)</f>
        <v/>
      </c>
      <c r="E1115" t="str">
        <f t="shared" si="68"/>
        <v/>
      </c>
      <c r="F1115" t="str">
        <f>IF($A1115="","",IF($E1115=1,SUMIFS(Compta!$F$1:$F$675,Compta!$A$1:$A$675,$A1115,Compta!$B$1:$B$675,$B1115,Compta!$C$1:$C$675,"2026"),0))</f>
        <v/>
      </c>
      <c r="G1115" t="str">
        <f>IF($A1115="","",IF($D1115="V01",cad!$C$23,IF($D1115="V02",cad!$D$23,cad!$E$23)))</f>
        <v/>
      </c>
      <c r="H1115" t="str">
        <f>IF($A1115="","",IF($D1115="V01",cad!$C$24,IF($D1115="V02",cad!$D$24,cad!$E$24)))</f>
        <v/>
      </c>
      <c r="I1115" t="str">
        <f>IF($A1115="","",IF($D1115="V01",cad!$C$32,IF($D1115="V02",cad!$D$32,cad!$E$32)))</f>
        <v/>
      </c>
      <c r="J1115" t="str">
        <f>IF($A1115="","",IF($D1115="V01",cad!$C$33,IF($D1115="V02",cad!$D$33,cad!$E$33)))</f>
        <v/>
      </c>
      <c r="K1115" t="str">
        <f>IF($A1115="","",IF($D1115="V01",cad!$C$34,IF($D1115="V02",cad!$D$34,cad!$E$34)))</f>
        <v/>
      </c>
      <c r="L1115" t="str">
        <f>IF($A1115="","",IF($D1115="V01",cad!$C$35,IF($D1115="V02",cad!$D$35,cad!$E$35)))</f>
        <v/>
      </c>
      <c r="M1115" t="str">
        <f>IF($A1115="","",IF($D1115="V01",cad!$C$36,IF($D1115="V02",cad!$D$36,cad!$E$36)))</f>
        <v/>
      </c>
      <c r="N1115" t="str">
        <f t="shared" si="69"/>
        <v/>
      </c>
      <c r="O1115" t="str">
        <f t="shared" si="70"/>
        <v/>
      </c>
      <c r="P1115" t="str">
        <f>IF($A1115="","",IF($E1115=1,$F1115*$O1115,PNL!G1115))</f>
        <v/>
      </c>
      <c r="T1115" t="str">
        <f t="shared" si="71"/>
        <v/>
      </c>
    </row>
    <row r="1116" spans="1:20" x14ac:dyDescent="0.45">
      <c r="A1116" t="str">
        <f>IF(PNL!A1116="","",PNL!A1116)</f>
        <v/>
      </c>
      <c r="B1116" t="str">
        <f>IF(PNL!B1116="","",PNL!B1116)</f>
        <v/>
      </c>
      <c r="C1116" t="str">
        <f>IF(PNL!C1116="","",PNL!C1116)</f>
        <v/>
      </c>
      <c r="D1116" t="str">
        <f>IF(PNL!D1116="","",PNL!D1116)</f>
        <v/>
      </c>
      <c r="E1116" t="str">
        <f t="shared" si="68"/>
        <v/>
      </c>
      <c r="F1116" t="str">
        <f>IF($A1116="","",IF($E1116=1,SUMIFS(Compta!$F$1:$F$675,Compta!$A$1:$A$675,$A1116,Compta!$B$1:$B$675,$B1116,Compta!$C$1:$C$675,"2026"),0))</f>
        <v/>
      </c>
      <c r="G1116" t="str">
        <f>IF($A1116="","",IF($D1116="V01",cad!$C$23,IF($D1116="V02",cad!$D$23,cad!$E$23)))</f>
        <v/>
      </c>
      <c r="H1116" t="str">
        <f>IF($A1116="","",IF($D1116="V01",cad!$C$24,IF($D1116="V02",cad!$D$24,cad!$E$24)))</f>
        <v/>
      </c>
      <c r="I1116" t="str">
        <f>IF($A1116="","",IF($D1116="V01",cad!$C$32,IF($D1116="V02",cad!$D$32,cad!$E$32)))</f>
        <v/>
      </c>
      <c r="J1116" t="str">
        <f>IF($A1116="","",IF($D1116="V01",cad!$C$33,IF($D1116="V02",cad!$D$33,cad!$E$33)))</f>
        <v/>
      </c>
      <c r="K1116" t="str">
        <f>IF($A1116="","",IF($D1116="V01",cad!$C$34,IF($D1116="V02",cad!$D$34,cad!$E$34)))</f>
        <v/>
      </c>
      <c r="L1116" t="str">
        <f>IF($A1116="","",IF($D1116="V01",cad!$C$35,IF($D1116="V02",cad!$D$35,cad!$E$35)))</f>
        <v/>
      </c>
      <c r="M1116" t="str">
        <f>IF($A1116="","",IF($D1116="V01",cad!$C$36,IF($D1116="V02",cad!$D$36,cad!$E$36)))</f>
        <v/>
      </c>
      <c r="N1116" t="str">
        <f t="shared" si="69"/>
        <v/>
      </c>
      <c r="O1116" t="str">
        <f t="shared" si="70"/>
        <v/>
      </c>
      <c r="P1116" t="str">
        <f>IF($A1116="","",IF($E1116=1,$F1116*$O1116,PNL!G1116))</f>
        <v/>
      </c>
      <c r="T1116" t="str">
        <f t="shared" si="71"/>
        <v/>
      </c>
    </row>
    <row r="1117" spans="1:20" x14ac:dyDescent="0.45">
      <c r="A1117" t="str">
        <f>IF(PNL!A1117="","",PNL!A1117)</f>
        <v/>
      </c>
      <c r="B1117" t="str">
        <f>IF(PNL!B1117="","",PNL!B1117)</f>
        <v/>
      </c>
      <c r="C1117" t="str">
        <f>IF(PNL!C1117="","",PNL!C1117)</f>
        <v/>
      </c>
      <c r="D1117" t="str">
        <f>IF(PNL!D1117="","",PNL!D1117)</f>
        <v/>
      </c>
      <c r="E1117" t="str">
        <f t="shared" si="68"/>
        <v/>
      </c>
      <c r="F1117" t="str">
        <f>IF($A1117="","",IF($E1117=1,SUMIFS(Compta!$F$1:$F$675,Compta!$A$1:$A$675,$A1117,Compta!$B$1:$B$675,$B1117,Compta!$C$1:$C$675,"2026"),0))</f>
        <v/>
      </c>
      <c r="G1117" t="str">
        <f>IF($A1117="","",IF($D1117="V01",cad!$C$23,IF($D1117="V02",cad!$D$23,cad!$E$23)))</f>
        <v/>
      </c>
      <c r="H1117" t="str">
        <f>IF($A1117="","",IF($D1117="V01",cad!$C$24,IF($D1117="V02",cad!$D$24,cad!$E$24)))</f>
        <v/>
      </c>
      <c r="I1117" t="str">
        <f>IF($A1117="","",IF($D1117="V01",cad!$C$32,IF($D1117="V02",cad!$D$32,cad!$E$32)))</f>
        <v/>
      </c>
      <c r="J1117" t="str">
        <f>IF($A1117="","",IF($D1117="V01",cad!$C$33,IF($D1117="V02",cad!$D$33,cad!$E$33)))</f>
        <v/>
      </c>
      <c r="K1117" t="str">
        <f>IF($A1117="","",IF($D1117="V01",cad!$C$34,IF($D1117="V02",cad!$D$34,cad!$E$34)))</f>
        <v/>
      </c>
      <c r="L1117" t="str">
        <f>IF($A1117="","",IF($D1117="V01",cad!$C$35,IF($D1117="V02",cad!$D$35,cad!$E$35)))</f>
        <v/>
      </c>
      <c r="M1117" t="str">
        <f>IF($A1117="","",IF($D1117="V01",cad!$C$36,IF($D1117="V02",cad!$D$36,cad!$E$36)))</f>
        <v/>
      </c>
      <c r="N1117" t="str">
        <f t="shared" si="69"/>
        <v/>
      </c>
      <c r="O1117" t="str">
        <f t="shared" si="70"/>
        <v/>
      </c>
      <c r="P1117" t="str">
        <f>IF($A1117="","",IF($E1117=1,$F1117*$O1117,PNL!G1117))</f>
        <v/>
      </c>
      <c r="T1117" t="str">
        <f t="shared" si="71"/>
        <v/>
      </c>
    </row>
    <row r="1118" spans="1:20" x14ac:dyDescent="0.45">
      <c r="A1118" t="str">
        <f>IF(PNL!A1118="","",PNL!A1118)</f>
        <v/>
      </c>
      <c r="B1118" t="str">
        <f>IF(PNL!B1118="","",PNL!B1118)</f>
        <v/>
      </c>
      <c r="C1118" t="str">
        <f>IF(PNL!C1118="","",PNL!C1118)</f>
        <v/>
      </c>
      <c r="D1118" t="str">
        <f>IF(PNL!D1118="","",PNL!D1118)</f>
        <v/>
      </c>
      <c r="E1118" t="str">
        <f t="shared" si="68"/>
        <v/>
      </c>
      <c r="F1118" t="str">
        <f>IF($A1118="","",IF($E1118=1,SUMIFS(Compta!$F$1:$F$675,Compta!$A$1:$A$675,$A1118,Compta!$B$1:$B$675,$B1118,Compta!$C$1:$C$675,"2026"),0))</f>
        <v/>
      </c>
      <c r="G1118" t="str">
        <f>IF($A1118="","",IF($D1118="V01",cad!$C$23,IF($D1118="V02",cad!$D$23,cad!$E$23)))</f>
        <v/>
      </c>
      <c r="H1118" t="str">
        <f>IF($A1118="","",IF($D1118="V01",cad!$C$24,IF($D1118="V02",cad!$D$24,cad!$E$24)))</f>
        <v/>
      </c>
      <c r="I1118" t="str">
        <f>IF($A1118="","",IF($D1118="V01",cad!$C$32,IF($D1118="V02",cad!$D$32,cad!$E$32)))</f>
        <v/>
      </c>
      <c r="J1118" t="str">
        <f>IF($A1118="","",IF($D1118="V01",cad!$C$33,IF($D1118="V02",cad!$D$33,cad!$E$33)))</f>
        <v/>
      </c>
      <c r="K1118" t="str">
        <f>IF($A1118="","",IF($D1118="V01",cad!$C$34,IF($D1118="V02",cad!$D$34,cad!$E$34)))</f>
        <v/>
      </c>
      <c r="L1118" t="str">
        <f>IF($A1118="","",IF($D1118="V01",cad!$C$35,IF($D1118="V02",cad!$D$35,cad!$E$35)))</f>
        <v/>
      </c>
      <c r="M1118" t="str">
        <f>IF($A1118="","",IF($D1118="V01",cad!$C$36,IF($D1118="V02",cad!$D$36,cad!$E$36)))</f>
        <v/>
      </c>
      <c r="N1118" t="str">
        <f t="shared" si="69"/>
        <v/>
      </c>
      <c r="O1118" t="str">
        <f t="shared" si="70"/>
        <v/>
      </c>
      <c r="P1118" t="str">
        <f>IF($A1118="","",IF($E1118=1,$F1118*$O1118,PNL!G1118))</f>
        <v/>
      </c>
      <c r="T1118" t="str">
        <f t="shared" si="71"/>
        <v/>
      </c>
    </row>
    <row r="1119" spans="1:20" x14ac:dyDescent="0.45">
      <c r="A1119" t="str">
        <f>IF(PNL!A1119="","",PNL!A1119)</f>
        <v/>
      </c>
      <c r="B1119" t="str">
        <f>IF(PNL!B1119="","",PNL!B1119)</f>
        <v/>
      </c>
      <c r="C1119" t="str">
        <f>IF(PNL!C1119="","",PNL!C1119)</f>
        <v/>
      </c>
      <c r="D1119" t="str">
        <f>IF(PNL!D1119="","",PNL!D1119)</f>
        <v/>
      </c>
      <c r="E1119" t="str">
        <f t="shared" si="68"/>
        <v/>
      </c>
      <c r="F1119" t="str">
        <f>IF($A1119="","",IF($E1119=1,SUMIFS(Compta!$F$1:$F$675,Compta!$A$1:$A$675,$A1119,Compta!$B$1:$B$675,$B1119,Compta!$C$1:$C$675,"2026"),0))</f>
        <v/>
      </c>
      <c r="G1119" t="str">
        <f>IF($A1119="","",IF($D1119="V01",cad!$C$23,IF($D1119="V02",cad!$D$23,cad!$E$23)))</f>
        <v/>
      </c>
      <c r="H1119" t="str">
        <f>IF($A1119="","",IF($D1119="V01",cad!$C$24,IF($D1119="V02",cad!$D$24,cad!$E$24)))</f>
        <v/>
      </c>
      <c r="I1119" t="str">
        <f>IF($A1119="","",IF($D1119="V01",cad!$C$32,IF($D1119="V02",cad!$D$32,cad!$E$32)))</f>
        <v/>
      </c>
      <c r="J1119" t="str">
        <f>IF($A1119="","",IF($D1119="V01",cad!$C$33,IF($D1119="V02",cad!$D$33,cad!$E$33)))</f>
        <v/>
      </c>
      <c r="K1119" t="str">
        <f>IF($A1119="","",IF($D1119="V01",cad!$C$34,IF($D1119="V02",cad!$D$34,cad!$E$34)))</f>
        <v/>
      </c>
      <c r="L1119" t="str">
        <f>IF($A1119="","",IF($D1119="V01",cad!$C$35,IF($D1119="V02",cad!$D$35,cad!$E$35)))</f>
        <v/>
      </c>
      <c r="M1119" t="str">
        <f>IF($A1119="","",IF($D1119="V01",cad!$C$36,IF($D1119="V02",cad!$D$36,cad!$E$36)))</f>
        <v/>
      </c>
      <c r="N1119" t="str">
        <f t="shared" si="69"/>
        <v/>
      </c>
      <c r="O1119" t="str">
        <f t="shared" si="70"/>
        <v/>
      </c>
      <c r="P1119" t="str">
        <f>IF($A1119="","",IF($E1119=1,$F1119*$O1119,PNL!G1119))</f>
        <v/>
      </c>
      <c r="T1119" t="str">
        <f t="shared" si="71"/>
        <v/>
      </c>
    </row>
    <row r="1120" spans="1:20" x14ac:dyDescent="0.45">
      <c r="A1120" t="str">
        <f>IF(PNL!A1120="","",PNL!A1120)</f>
        <v/>
      </c>
      <c r="B1120" t="str">
        <f>IF(PNL!B1120="","",PNL!B1120)</f>
        <v/>
      </c>
      <c r="C1120" t="str">
        <f>IF(PNL!C1120="","",PNL!C1120)</f>
        <v/>
      </c>
      <c r="D1120" t="str">
        <f>IF(PNL!D1120="","",PNL!D1120)</f>
        <v/>
      </c>
      <c r="E1120" t="str">
        <f t="shared" si="68"/>
        <v/>
      </c>
      <c r="F1120" t="str">
        <f>IF($A1120="","",IF($E1120=1,SUMIFS(Compta!$F$1:$F$675,Compta!$A$1:$A$675,$A1120,Compta!$B$1:$B$675,$B1120,Compta!$C$1:$C$675,"2026"),0))</f>
        <v/>
      </c>
      <c r="G1120" t="str">
        <f>IF($A1120="","",IF($D1120="V01",cad!$C$23,IF($D1120="V02",cad!$D$23,cad!$E$23)))</f>
        <v/>
      </c>
      <c r="H1120" t="str">
        <f>IF($A1120="","",IF($D1120="V01",cad!$C$24,IF($D1120="V02",cad!$D$24,cad!$E$24)))</f>
        <v/>
      </c>
      <c r="I1120" t="str">
        <f>IF($A1120="","",IF($D1120="V01",cad!$C$32,IF($D1120="V02",cad!$D$32,cad!$E$32)))</f>
        <v/>
      </c>
      <c r="J1120" t="str">
        <f>IF($A1120="","",IF($D1120="V01",cad!$C$33,IF($D1120="V02",cad!$D$33,cad!$E$33)))</f>
        <v/>
      </c>
      <c r="K1120" t="str">
        <f>IF($A1120="","",IF($D1120="V01",cad!$C$34,IF($D1120="V02",cad!$D$34,cad!$E$34)))</f>
        <v/>
      </c>
      <c r="L1120" t="str">
        <f>IF($A1120="","",IF($D1120="V01",cad!$C$35,IF($D1120="V02",cad!$D$35,cad!$E$35)))</f>
        <v/>
      </c>
      <c r="M1120" t="str">
        <f>IF($A1120="","",IF($D1120="V01",cad!$C$36,IF($D1120="V02",cad!$D$36,cad!$E$36)))</f>
        <v/>
      </c>
      <c r="N1120" t="str">
        <f t="shared" si="69"/>
        <v/>
      </c>
      <c r="O1120" t="str">
        <f t="shared" si="70"/>
        <v/>
      </c>
      <c r="P1120" t="str">
        <f>IF($A1120="","",IF($E1120=1,$F1120*$O1120,PNL!G1120))</f>
        <v/>
      </c>
      <c r="T1120" t="str">
        <f t="shared" si="71"/>
        <v/>
      </c>
    </row>
    <row r="1121" spans="1:20" x14ac:dyDescent="0.45">
      <c r="A1121" t="str">
        <f>IF(PNL!A1121="","",PNL!A1121)</f>
        <v/>
      </c>
      <c r="B1121" t="str">
        <f>IF(PNL!B1121="","",PNL!B1121)</f>
        <v/>
      </c>
      <c r="C1121" t="str">
        <f>IF(PNL!C1121="","",PNL!C1121)</f>
        <v/>
      </c>
      <c r="D1121" t="str">
        <f>IF(PNL!D1121="","",PNL!D1121)</f>
        <v/>
      </c>
      <c r="E1121" t="str">
        <f t="shared" si="68"/>
        <v/>
      </c>
      <c r="F1121" t="str">
        <f>IF($A1121="","",IF($E1121=1,SUMIFS(Compta!$F$1:$F$675,Compta!$A$1:$A$675,$A1121,Compta!$B$1:$B$675,$B1121,Compta!$C$1:$C$675,"2026"),0))</f>
        <v/>
      </c>
      <c r="G1121" t="str">
        <f>IF($A1121="","",IF($D1121="V01",cad!$C$23,IF($D1121="V02",cad!$D$23,cad!$E$23)))</f>
        <v/>
      </c>
      <c r="H1121" t="str">
        <f>IF($A1121="","",IF($D1121="V01",cad!$C$24,IF($D1121="V02",cad!$D$24,cad!$E$24)))</f>
        <v/>
      </c>
      <c r="I1121" t="str">
        <f>IF($A1121="","",IF($D1121="V01",cad!$C$32,IF($D1121="V02",cad!$D$32,cad!$E$32)))</f>
        <v/>
      </c>
      <c r="J1121" t="str">
        <f>IF($A1121="","",IF($D1121="V01",cad!$C$33,IF($D1121="V02",cad!$D$33,cad!$E$33)))</f>
        <v/>
      </c>
      <c r="K1121" t="str">
        <f>IF($A1121="","",IF($D1121="V01",cad!$C$34,IF($D1121="V02",cad!$D$34,cad!$E$34)))</f>
        <v/>
      </c>
      <c r="L1121" t="str">
        <f>IF($A1121="","",IF($D1121="V01",cad!$C$35,IF($D1121="V02",cad!$D$35,cad!$E$35)))</f>
        <v/>
      </c>
      <c r="M1121" t="str">
        <f>IF($A1121="","",IF($D1121="V01",cad!$C$36,IF($D1121="V02",cad!$D$36,cad!$E$36)))</f>
        <v/>
      </c>
      <c r="N1121" t="str">
        <f t="shared" si="69"/>
        <v/>
      </c>
      <c r="O1121" t="str">
        <f t="shared" si="70"/>
        <v/>
      </c>
      <c r="P1121" t="str">
        <f>IF($A1121="","",IF($E1121=1,$F1121*$O1121,PNL!G1121))</f>
        <v/>
      </c>
      <c r="T1121" t="str">
        <f t="shared" si="71"/>
        <v/>
      </c>
    </row>
    <row r="1122" spans="1:20" x14ac:dyDescent="0.45">
      <c r="A1122" t="str">
        <f>IF(PNL!A1122="","",PNL!A1122)</f>
        <v/>
      </c>
      <c r="B1122" t="str">
        <f>IF(PNL!B1122="","",PNL!B1122)</f>
        <v/>
      </c>
      <c r="C1122" t="str">
        <f>IF(PNL!C1122="","",PNL!C1122)</f>
        <v/>
      </c>
      <c r="D1122" t="str">
        <f>IF(PNL!D1122="","",PNL!D1122)</f>
        <v/>
      </c>
      <c r="E1122" t="str">
        <f t="shared" si="68"/>
        <v/>
      </c>
      <c r="F1122" t="str">
        <f>IF($A1122="","",IF($E1122=1,SUMIFS(Compta!$F$1:$F$675,Compta!$A$1:$A$675,$A1122,Compta!$B$1:$B$675,$B1122,Compta!$C$1:$C$675,"2026"),0))</f>
        <v/>
      </c>
      <c r="G1122" t="str">
        <f>IF($A1122="","",IF($D1122="V01",cad!$C$23,IF($D1122="V02",cad!$D$23,cad!$E$23)))</f>
        <v/>
      </c>
      <c r="H1122" t="str">
        <f>IF($A1122="","",IF($D1122="V01",cad!$C$24,IF($D1122="V02",cad!$D$24,cad!$E$24)))</f>
        <v/>
      </c>
      <c r="I1122" t="str">
        <f>IF($A1122="","",IF($D1122="V01",cad!$C$32,IF($D1122="V02",cad!$D$32,cad!$E$32)))</f>
        <v/>
      </c>
      <c r="J1122" t="str">
        <f>IF($A1122="","",IF($D1122="V01",cad!$C$33,IF($D1122="V02",cad!$D$33,cad!$E$33)))</f>
        <v/>
      </c>
      <c r="K1122" t="str">
        <f>IF($A1122="","",IF($D1122="V01",cad!$C$34,IF($D1122="V02",cad!$D$34,cad!$E$34)))</f>
        <v/>
      </c>
      <c r="L1122" t="str">
        <f>IF($A1122="","",IF($D1122="V01",cad!$C$35,IF($D1122="V02",cad!$D$35,cad!$E$35)))</f>
        <v/>
      </c>
      <c r="M1122" t="str">
        <f>IF($A1122="","",IF($D1122="V01",cad!$C$36,IF($D1122="V02",cad!$D$36,cad!$E$36)))</f>
        <v/>
      </c>
      <c r="N1122" t="str">
        <f t="shared" si="69"/>
        <v/>
      </c>
      <c r="O1122" t="str">
        <f t="shared" si="70"/>
        <v/>
      </c>
      <c r="P1122" t="str">
        <f>IF($A1122="","",IF($E1122=1,$F1122*$O1122,PNL!G1122))</f>
        <v/>
      </c>
      <c r="T1122" t="str">
        <f t="shared" si="71"/>
        <v/>
      </c>
    </row>
    <row r="1123" spans="1:20" x14ac:dyDescent="0.45">
      <c r="A1123" t="str">
        <f>IF(PNL!A1123="","",PNL!A1123)</f>
        <v/>
      </c>
      <c r="B1123" t="str">
        <f>IF(PNL!B1123="","",PNL!B1123)</f>
        <v/>
      </c>
      <c r="C1123" t="str">
        <f>IF(PNL!C1123="","",PNL!C1123)</f>
        <v/>
      </c>
      <c r="D1123" t="str">
        <f>IF(PNL!D1123="","",PNL!D1123)</f>
        <v/>
      </c>
      <c r="E1123" t="str">
        <f t="shared" si="68"/>
        <v/>
      </c>
      <c r="F1123" t="str">
        <f>IF($A1123="","",IF($E1123=1,SUMIFS(Compta!$F$1:$F$675,Compta!$A$1:$A$675,$A1123,Compta!$B$1:$B$675,$B1123,Compta!$C$1:$C$675,"2026"),0))</f>
        <v/>
      </c>
      <c r="G1123" t="str">
        <f>IF($A1123="","",IF($D1123="V01",cad!$C$23,IF($D1123="V02",cad!$D$23,cad!$E$23)))</f>
        <v/>
      </c>
      <c r="H1123" t="str">
        <f>IF($A1123="","",IF($D1123="V01",cad!$C$24,IF($D1123="V02",cad!$D$24,cad!$E$24)))</f>
        <v/>
      </c>
      <c r="I1123" t="str">
        <f>IF($A1123="","",IF($D1123="V01",cad!$C$32,IF($D1123="V02",cad!$D$32,cad!$E$32)))</f>
        <v/>
      </c>
      <c r="J1123" t="str">
        <f>IF($A1123="","",IF($D1123="V01",cad!$C$33,IF($D1123="V02",cad!$D$33,cad!$E$33)))</f>
        <v/>
      </c>
      <c r="K1123" t="str">
        <f>IF($A1123="","",IF($D1123="V01",cad!$C$34,IF($D1123="V02",cad!$D$34,cad!$E$34)))</f>
        <v/>
      </c>
      <c r="L1123" t="str">
        <f>IF($A1123="","",IF($D1123="V01",cad!$C$35,IF($D1123="V02",cad!$D$35,cad!$E$35)))</f>
        <v/>
      </c>
      <c r="M1123" t="str">
        <f>IF($A1123="","",IF($D1123="V01",cad!$C$36,IF($D1123="V02",cad!$D$36,cad!$E$36)))</f>
        <v/>
      </c>
      <c r="N1123" t="str">
        <f t="shared" si="69"/>
        <v/>
      </c>
      <c r="O1123" t="str">
        <f t="shared" si="70"/>
        <v/>
      </c>
      <c r="P1123" t="str">
        <f>IF($A1123="","",IF($E1123=1,$F1123*$O1123,PNL!G1123))</f>
        <v/>
      </c>
      <c r="T1123" t="str">
        <f t="shared" si="71"/>
        <v/>
      </c>
    </row>
    <row r="1124" spans="1:20" x14ac:dyDescent="0.45">
      <c r="A1124" t="str">
        <f>IF(PNL!A1124="","",PNL!A1124)</f>
        <v/>
      </c>
      <c r="B1124" t="str">
        <f>IF(PNL!B1124="","",PNL!B1124)</f>
        <v/>
      </c>
      <c r="C1124" t="str">
        <f>IF(PNL!C1124="","",PNL!C1124)</f>
        <v/>
      </c>
      <c r="D1124" t="str">
        <f>IF(PNL!D1124="","",PNL!D1124)</f>
        <v/>
      </c>
      <c r="E1124" t="str">
        <f t="shared" si="68"/>
        <v/>
      </c>
      <c r="F1124" t="str">
        <f>IF($A1124="","",IF($E1124=1,SUMIFS(Compta!$F$1:$F$675,Compta!$A$1:$A$675,$A1124,Compta!$B$1:$B$675,$B1124,Compta!$C$1:$C$675,"2026"),0))</f>
        <v/>
      </c>
      <c r="G1124" t="str">
        <f>IF($A1124="","",IF($D1124="V01",cad!$C$23,IF($D1124="V02",cad!$D$23,cad!$E$23)))</f>
        <v/>
      </c>
      <c r="H1124" t="str">
        <f>IF($A1124="","",IF($D1124="V01",cad!$C$24,IF($D1124="V02",cad!$D$24,cad!$E$24)))</f>
        <v/>
      </c>
      <c r="I1124" t="str">
        <f>IF($A1124="","",IF($D1124="V01",cad!$C$32,IF($D1124="V02",cad!$D$32,cad!$E$32)))</f>
        <v/>
      </c>
      <c r="J1124" t="str">
        <f>IF($A1124="","",IF($D1124="V01",cad!$C$33,IF($D1124="V02",cad!$D$33,cad!$E$33)))</f>
        <v/>
      </c>
      <c r="K1124" t="str">
        <f>IF($A1124="","",IF($D1124="V01",cad!$C$34,IF($D1124="V02",cad!$D$34,cad!$E$34)))</f>
        <v/>
      </c>
      <c r="L1124" t="str">
        <f>IF($A1124="","",IF($D1124="V01",cad!$C$35,IF($D1124="V02",cad!$D$35,cad!$E$35)))</f>
        <v/>
      </c>
      <c r="M1124" t="str">
        <f>IF($A1124="","",IF($D1124="V01",cad!$C$36,IF($D1124="V02",cad!$D$36,cad!$E$36)))</f>
        <v/>
      </c>
      <c r="N1124" t="str">
        <f t="shared" si="69"/>
        <v/>
      </c>
      <c r="O1124" t="str">
        <f t="shared" si="70"/>
        <v/>
      </c>
      <c r="P1124" t="str">
        <f>IF($A1124="","",IF($E1124=1,$F1124*$O1124,PNL!G1124))</f>
        <v/>
      </c>
      <c r="T1124" t="str">
        <f t="shared" si="71"/>
        <v/>
      </c>
    </row>
    <row r="1125" spans="1:20" x14ac:dyDescent="0.45">
      <c r="A1125" t="str">
        <f>IF(PNL!A1125="","",PNL!A1125)</f>
        <v/>
      </c>
      <c r="B1125" t="str">
        <f>IF(PNL!B1125="","",PNL!B1125)</f>
        <v/>
      </c>
      <c r="C1125" t="str">
        <f>IF(PNL!C1125="","",PNL!C1125)</f>
        <v/>
      </c>
      <c r="D1125" t="str">
        <f>IF(PNL!D1125="","",PNL!D1125)</f>
        <v/>
      </c>
      <c r="E1125" t="str">
        <f t="shared" si="68"/>
        <v/>
      </c>
      <c r="F1125" t="str">
        <f>IF($A1125="","",IF($E1125=1,SUMIFS(Compta!$F$1:$F$675,Compta!$A$1:$A$675,$A1125,Compta!$B$1:$B$675,$B1125,Compta!$C$1:$C$675,"2026"),0))</f>
        <v/>
      </c>
      <c r="G1125" t="str">
        <f>IF($A1125="","",IF($D1125="V01",cad!$C$23,IF($D1125="V02",cad!$D$23,cad!$E$23)))</f>
        <v/>
      </c>
      <c r="H1125" t="str">
        <f>IF($A1125="","",IF($D1125="V01",cad!$C$24,IF($D1125="V02",cad!$D$24,cad!$E$24)))</f>
        <v/>
      </c>
      <c r="I1125" t="str">
        <f>IF($A1125="","",IF($D1125="V01",cad!$C$32,IF($D1125="V02",cad!$D$32,cad!$E$32)))</f>
        <v/>
      </c>
      <c r="J1125" t="str">
        <f>IF($A1125="","",IF($D1125="V01",cad!$C$33,IF($D1125="V02",cad!$D$33,cad!$E$33)))</f>
        <v/>
      </c>
      <c r="K1125" t="str">
        <f>IF($A1125="","",IF($D1125="V01",cad!$C$34,IF($D1125="V02",cad!$D$34,cad!$E$34)))</f>
        <v/>
      </c>
      <c r="L1125" t="str">
        <f>IF($A1125="","",IF($D1125="V01",cad!$C$35,IF($D1125="V02",cad!$D$35,cad!$E$35)))</f>
        <v/>
      </c>
      <c r="M1125" t="str">
        <f>IF($A1125="","",IF($D1125="V01",cad!$C$36,IF($D1125="V02",cad!$D$36,cad!$E$36)))</f>
        <v/>
      </c>
      <c r="N1125" t="str">
        <f t="shared" si="69"/>
        <v/>
      </c>
      <c r="O1125" t="str">
        <f t="shared" si="70"/>
        <v/>
      </c>
      <c r="P1125" t="str">
        <f>IF($A1125="","",IF($E1125=1,$F1125*$O1125,PNL!G1125))</f>
        <v/>
      </c>
      <c r="T1125" t="str">
        <f t="shared" si="71"/>
        <v/>
      </c>
    </row>
    <row r="1126" spans="1:20" x14ac:dyDescent="0.45">
      <c r="A1126" t="str">
        <f>IF(PNL!A1126="","",PNL!A1126)</f>
        <v/>
      </c>
      <c r="B1126" t="str">
        <f>IF(PNL!B1126="","",PNL!B1126)</f>
        <v/>
      </c>
      <c r="C1126" t="str">
        <f>IF(PNL!C1126="","",PNL!C1126)</f>
        <v/>
      </c>
      <c r="D1126" t="str">
        <f>IF(PNL!D1126="","",PNL!D1126)</f>
        <v/>
      </c>
      <c r="E1126" t="str">
        <f t="shared" si="68"/>
        <v/>
      </c>
      <c r="F1126" t="str">
        <f>IF($A1126="","",IF($E1126=1,SUMIFS(Compta!$F$1:$F$675,Compta!$A$1:$A$675,$A1126,Compta!$B$1:$B$675,$B1126,Compta!$C$1:$C$675,"2026"),0))</f>
        <v/>
      </c>
      <c r="G1126" t="str">
        <f>IF($A1126="","",IF($D1126="V01",cad!$C$23,IF($D1126="V02",cad!$D$23,cad!$E$23)))</f>
        <v/>
      </c>
      <c r="H1126" t="str">
        <f>IF($A1126="","",IF($D1126="V01",cad!$C$24,IF($D1126="V02",cad!$D$24,cad!$E$24)))</f>
        <v/>
      </c>
      <c r="I1126" t="str">
        <f>IF($A1126="","",IF($D1126="V01",cad!$C$32,IF($D1126="V02",cad!$D$32,cad!$E$32)))</f>
        <v/>
      </c>
      <c r="J1126" t="str">
        <f>IF($A1126="","",IF($D1126="V01",cad!$C$33,IF($D1126="V02",cad!$D$33,cad!$E$33)))</f>
        <v/>
      </c>
      <c r="K1126" t="str">
        <f>IF($A1126="","",IF($D1126="V01",cad!$C$34,IF($D1126="V02",cad!$D$34,cad!$E$34)))</f>
        <v/>
      </c>
      <c r="L1126" t="str">
        <f>IF($A1126="","",IF($D1126="V01",cad!$C$35,IF($D1126="V02",cad!$D$35,cad!$E$35)))</f>
        <v/>
      </c>
      <c r="M1126" t="str">
        <f>IF($A1126="","",IF($D1126="V01",cad!$C$36,IF($D1126="V02",cad!$D$36,cad!$E$36)))</f>
        <v/>
      </c>
      <c r="N1126" t="str">
        <f t="shared" si="69"/>
        <v/>
      </c>
      <c r="O1126" t="str">
        <f t="shared" si="70"/>
        <v/>
      </c>
      <c r="P1126" t="str">
        <f>IF($A1126="","",IF($E1126=1,$F1126*$O1126,PNL!G1126))</f>
        <v/>
      </c>
      <c r="T1126" t="str">
        <f t="shared" si="71"/>
        <v/>
      </c>
    </row>
    <row r="1127" spans="1:20" x14ac:dyDescent="0.45">
      <c r="A1127" t="str">
        <f>IF(PNL!A1127="","",PNL!A1127)</f>
        <v/>
      </c>
      <c r="B1127" t="str">
        <f>IF(PNL!B1127="","",PNL!B1127)</f>
        <v/>
      </c>
      <c r="C1127" t="str">
        <f>IF(PNL!C1127="","",PNL!C1127)</f>
        <v/>
      </c>
      <c r="D1127" t="str">
        <f>IF(PNL!D1127="","",PNL!D1127)</f>
        <v/>
      </c>
      <c r="E1127" t="str">
        <f t="shared" si="68"/>
        <v/>
      </c>
      <c r="F1127" t="str">
        <f>IF($A1127="","",IF($E1127=1,SUMIFS(Compta!$F$1:$F$675,Compta!$A$1:$A$675,$A1127,Compta!$B$1:$B$675,$B1127,Compta!$C$1:$C$675,"2026"),0))</f>
        <v/>
      </c>
      <c r="G1127" t="str">
        <f>IF($A1127="","",IF($D1127="V01",cad!$C$23,IF($D1127="V02",cad!$D$23,cad!$E$23)))</f>
        <v/>
      </c>
      <c r="H1127" t="str">
        <f>IF($A1127="","",IF($D1127="V01",cad!$C$24,IF($D1127="V02",cad!$D$24,cad!$E$24)))</f>
        <v/>
      </c>
      <c r="I1127" t="str">
        <f>IF($A1127="","",IF($D1127="V01",cad!$C$32,IF($D1127="V02",cad!$D$32,cad!$E$32)))</f>
        <v/>
      </c>
      <c r="J1127" t="str">
        <f>IF($A1127="","",IF($D1127="V01",cad!$C$33,IF($D1127="V02",cad!$D$33,cad!$E$33)))</f>
        <v/>
      </c>
      <c r="K1127" t="str">
        <f>IF($A1127="","",IF($D1127="V01",cad!$C$34,IF($D1127="V02",cad!$D$34,cad!$E$34)))</f>
        <v/>
      </c>
      <c r="L1127" t="str">
        <f>IF($A1127="","",IF($D1127="V01",cad!$C$35,IF($D1127="V02",cad!$D$35,cad!$E$35)))</f>
        <v/>
      </c>
      <c r="M1127" t="str">
        <f>IF($A1127="","",IF($D1127="V01",cad!$C$36,IF($D1127="V02",cad!$D$36,cad!$E$36)))</f>
        <v/>
      </c>
      <c r="N1127" t="str">
        <f t="shared" si="69"/>
        <v/>
      </c>
      <c r="O1127" t="str">
        <f t="shared" si="70"/>
        <v/>
      </c>
      <c r="P1127" t="str">
        <f>IF($A1127="","",IF($E1127=1,$F1127*$O1127,PNL!G1127))</f>
        <v/>
      </c>
      <c r="T1127" t="str">
        <f t="shared" si="71"/>
        <v/>
      </c>
    </row>
    <row r="1128" spans="1:20" x14ac:dyDescent="0.45">
      <c r="A1128" t="str">
        <f>IF(PNL!A1128="","",PNL!A1128)</f>
        <v/>
      </c>
      <c r="B1128" t="str">
        <f>IF(PNL!B1128="","",PNL!B1128)</f>
        <v/>
      </c>
      <c r="C1128" t="str">
        <f>IF(PNL!C1128="","",PNL!C1128)</f>
        <v/>
      </c>
      <c r="D1128" t="str">
        <f>IF(PNL!D1128="","",PNL!D1128)</f>
        <v/>
      </c>
      <c r="E1128" t="str">
        <f t="shared" si="68"/>
        <v/>
      </c>
      <c r="F1128" t="str">
        <f>IF($A1128="","",IF($E1128=1,SUMIFS(Compta!$F$1:$F$675,Compta!$A$1:$A$675,$A1128,Compta!$B$1:$B$675,$B1128,Compta!$C$1:$C$675,"2026"),0))</f>
        <v/>
      </c>
      <c r="G1128" t="str">
        <f>IF($A1128="","",IF($D1128="V01",cad!$C$23,IF($D1128="V02",cad!$D$23,cad!$E$23)))</f>
        <v/>
      </c>
      <c r="H1128" t="str">
        <f>IF($A1128="","",IF($D1128="V01",cad!$C$24,IF($D1128="V02",cad!$D$24,cad!$E$24)))</f>
        <v/>
      </c>
      <c r="I1128" t="str">
        <f>IF($A1128="","",IF($D1128="V01",cad!$C$32,IF($D1128="V02",cad!$D$32,cad!$E$32)))</f>
        <v/>
      </c>
      <c r="J1128" t="str">
        <f>IF($A1128="","",IF($D1128="V01",cad!$C$33,IF($D1128="V02",cad!$D$33,cad!$E$33)))</f>
        <v/>
      </c>
      <c r="K1128" t="str">
        <f>IF($A1128="","",IF($D1128="V01",cad!$C$34,IF($D1128="V02",cad!$D$34,cad!$E$34)))</f>
        <v/>
      </c>
      <c r="L1128" t="str">
        <f>IF($A1128="","",IF($D1128="V01",cad!$C$35,IF($D1128="V02",cad!$D$35,cad!$E$35)))</f>
        <v/>
      </c>
      <c r="M1128" t="str">
        <f>IF($A1128="","",IF($D1128="V01",cad!$C$36,IF($D1128="V02",cad!$D$36,cad!$E$36)))</f>
        <v/>
      </c>
      <c r="N1128" t="str">
        <f t="shared" si="69"/>
        <v/>
      </c>
      <c r="O1128" t="str">
        <f t="shared" si="70"/>
        <v/>
      </c>
      <c r="P1128" t="str">
        <f>IF($A1128="","",IF($E1128=1,$F1128*$O1128,PNL!G1128))</f>
        <v/>
      </c>
      <c r="T1128" t="str">
        <f t="shared" si="71"/>
        <v/>
      </c>
    </row>
    <row r="1129" spans="1:20" x14ac:dyDescent="0.45">
      <c r="A1129" t="str">
        <f>IF(PNL!A1129="","",PNL!A1129)</f>
        <v/>
      </c>
      <c r="B1129" t="str">
        <f>IF(PNL!B1129="","",PNL!B1129)</f>
        <v/>
      </c>
      <c r="C1129" t="str">
        <f>IF(PNL!C1129="","",PNL!C1129)</f>
        <v/>
      </c>
      <c r="D1129" t="str">
        <f>IF(PNL!D1129="","",PNL!D1129)</f>
        <v/>
      </c>
      <c r="E1129" t="str">
        <f t="shared" si="68"/>
        <v/>
      </c>
      <c r="F1129" t="str">
        <f>IF($A1129="","",IF($E1129=1,SUMIFS(Compta!$F$1:$F$675,Compta!$A$1:$A$675,$A1129,Compta!$B$1:$B$675,$B1129,Compta!$C$1:$C$675,"2026"),0))</f>
        <v/>
      </c>
      <c r="G1129" t="str">
        <f>IF($A1129="","",IF($D1129="V01",cad!$C$23,IF($D1129="V02",cad!$D$23,cad!$E$23)))</f>
        <v/>
      </c>
      <c r="H1129" t="str">
        <f>IF($A1129="","",IF($D1129="V01",cad!$C$24,IF($D1129="V02",cad!$D$24,cad!$E$24)))</f>
        <v/>
      </c>
      <c r="I1129" t="str">
        <f>IF($A1129="","",IF($D1129="V01",cad!$C$32,IF($D1129="V02",cad!$D$32,cad!$E$32)))</f>
        <v/>
      </c>
      <c r="J1129" t="str">
        <f>IF($A1129="","",IF($D1129="V01",cad!$C$33,IF($D1129="V02",cad!$D$33,cad!$E$33)))</f>
        <v/>
      </c>
      <c r="K1129" t="str">
        <f>IF($A1129="","",IF($D1129="V01",cad!$C$34,IF($D1129="V02",cad!$D$34,cad!$E$34)))</f>
        <v/>
      </c>
      <c r="L1129" t="str">
        <f>IF($A1129="","",IF($D1129="V01",cad!$C$35,IF($D1129="V02",cad!$D$35,cad!$E$35)))</f>
        <v/>
      </c>
      <c r="M1129" t="str">
        <f>IF($A1129="","",IF($D1129="V01",cad!$C$36,IF($D1129="V02",cad!$D$36,cad!$E$36)))</f>
        <v/>
      </c>
      <c r="N1129" t="str">
        <f t="shared" si="69"/>
        <v/>
      </c>
      <c r="O1129" t="str">
        <f t="shared" si="70"/>
        <v/>
      </c>
      <c r="P1129" t="str">
        <f>IF($A1129="","",IF($E1129=1,$F1129*$O1129,PNL!G1129))</f>
        <v/>
      </c>
      <c r="T1129" t="str">
        <f t="shared" si="71"/>
        <v/>
      </c>
    </row>
    <row r="1130" spans="1:20" x14ac:dyDescent="0.45">
      <c r="A1130" t="str">
        <f>IF(PNL!A1130="","",PNL!A1130)</f>
        <v/>
      </c>
      <c r="B1130" t="str">
        <f>IF(PNL!B1130="","",PNL!B1130)</f>
        <v/>
      </c>
      <c r="C1130" t="str">
        <f>IF(PNL!C1130="","",PNL!C1130)</f>
        <v/>
      </c>
      <c r="D1130" t="str">
        <f>IF(PNL!D1130="","",PNL!D1130)</f>
        <v/>
      </c>
      <c r="E1130" t="str">
        <f t="shared" si="68"/>
        <v/>
      </c>
      <c r="F1130" t="str">
        <f>IF($A1130="","",IF($E1130=1,SUMIFS(Compta!$F$1:$F$675,Compta!$A$1:$A$675,$A1130,Compta!$B$1:$B$675,$B1130,Compta!$C$1:$C$675,"2026"),0))</f>
        <v/>
      </c>
      <c r="G1130" t="str">
        <f>IF($A1130="","",IF($D1130="V01",cad!$C$23,IF($D1130="V02",cad!$D$23,cad!$E$23)))</f>
        <v/>
      </c>
      <c r="H1130" t="str">
        <f>IF($A1130="","",IF($D1130="V01",cad!$C$24,IF($D1130="V02",cad!$D$24,cad!$E$24)))</f>
        <v/>
      </c>
      <c r="I1130" t="str">
        <f>IF($A1130="","",IF($D1130="V01",cad!$C$32,IF($D1130="V02",cad!$D$32,cad!$E$32)))</f>
        <v/>
      </c>
      <c r="J1130" t="str">
        <f>IF($A1130="","",IF($D1130="V01",cad!$C$33,IF($D1130="V02",cad!$D$33,cad!$E$33)))</f>
        <v/>
      </c>
      <c r="K1130" t="str">
        <f>IF($A1130="","",IF($D1130="V01",cad!$C$34,IF($D1130="V02",cad!$D$34,cad!$E$34)))</f>
        <v/>
      </c>
      <c r="L1130" t="str">
        <f>IF($A1130="","",IF($D1130="V01",cad!$C$35,IF($D1130="V02",cad!$D$35,cad!$E$35)))</f>
        <v/>
      </c>
      <c r="M1130" t="str">
        <f>IF($A1130="","",IF($D1130="V01",cad!$C$36,IF($D1130="V02",cad!$D$36,cad!$E$36)))</f>
        <v/>
      </c>
      <c r="N1130" t="str">
        <f t="shared" si="69"/>
        <v/>
      </c>
      <c r="O1130" t="str">
        <f t="shared" si="70"/>
        <v/>
      </c>
      <c r="P1130" t="str">
        <f>IF($A1130="","",IF($E1130=1,$F1130*$O1130,PNL!G1130))</f>
        <v/>
      </c>
      <c r="T1130" t="str">
        <f t="shared" si="71"/>
        <v/>
      </c>
    </row>
    <row r="1131" spans="1:20" x14ac:dyDescent="0.45">
      <c r="A1131" t="str">
        <f>IF(PNL!A1131="","",PNL!A1131)</f>
        <v/>
      </c>
      <c r="B1131" t="str">
        <f>IF(PNL!B1131="","",PNL!B1131)</f>
        <v/>
      </c>
      <c r="C1131" t="str">
        <f>IF(PNL!C1131="","",PNL!C1131)</f>
        <v/>
      </c>
      <c r="D1131" t="str">
        <f>IF(PNL!D1131="","",PNL!D1131)</f>
        <v/>
      </c>
      <c r="E1131" t="str">
        <f t="shared" si="68"/>
        <v/>
      </c>
      <c r="F1131" t="str">
        <f>IF($A1131="","",IF($E1131=1,SUMIFS(Compta!$F$1:$F$675,Compta!$A$1:$A$675,$A1131,Compta!$B$1:$B$675,$B1131,Compta!$C$1:$C$675,"2026"),0))</f>
        <v/>
      </c>
      <c r="G1131" t="str">
        <f>IF($A1131="","",IF($D1131="V01",cad!$C$23,IF($D1131="V02",cad!$D$23,cad!$E$23)))</f>
        <v/>
      </c>
      <c r="H1131" t="str">
        <f>IF($A1131="","",IF($D1131="V01",cad!$C$24,IF($D1131="V02",cad!$D$24,cad!$E$24)))</f>
        <v/>
      </c>
      <c r="I1131" t="str">
        <f>IF($A1131="","",IF($D1131="V01",cad!$C$32,IF($D1131="V02",cad!$D$32,cad!$E$32)))</f>
        <v/>
      </c>
      <c r="J1131" t="str">
        <f>IF($A1131="","",IF($D1131="V01",cad!$C$33,IF($D1131="V02",cad!$D$33,cad!$E$33)))</f>
        <v/>
      </c>
      <c r="K1131" t="str">
        <f>IF($A1131="","",IF($D1131="V01",cad!$C$34,IF($D1131="V02",cad!$D$34,cad!$E$34)))</f>
        <v/>
      </c>
      <c r="L1131" t="str">
        <f>IF($A1131="","",IF($D1131="V01",cad!$C$35,IF($D1131="V02",cad!$D$35,cad!$E$35)))</f>
        <v/>
      </c>
      <c r="M1131" t="str">
        <f>IF($A1131="","",IF($D1131="V01",cad!$C$36,IF($D1131="V02",cad!$D$36,cad!$E$36)))</f>
        <v/>
      </c>
      <c r="N1131" t="str">
        <f t="shared" si="69"/>
        <v/>
      </c>
      <c r="O1131" t="str">
        <f t="shared" si="70"/>
        <v/>
      </c>
      <c r="P1131" t="str">
        <f>IF($A1131="","",IF($E1131=1,$F1131*$O1131,PNL!G1131))</f>
        <v/>
      </c>
      <c r="T1131" t="str">
        <f t="shared" si="71"/>
        <v/>
      </c>
    </row>
    <row r="1132" spans="1:20" x14ac:dyDescent="0.45">
      <c r="A1132" t="str">
        <f>IF(PNL!A1132="","",PNL!A1132)</f>
        <v/>
      </c>
      <c r="B1132" t="str">
        <f>IF(PNL!B1132="","",PNL!B1132)</f>
        <v/>
      </c>
      <c r="C1132" t="str">
        <f>IF(PNL!C1132="","",PNL!C1132)</f>
        <v/>
      </c>
      <c r="D1132" t="str">
        <f>IF(PNL!D1132="","",PNL!D1132)</f>
        <v/>
      </c>
      <c r="E1132" t="str">
        <f t="shared" si="68"/>
        <v/>
      </c>
      <c r="F1132" t="str">
        <f>IF($A1132="","",IF($E1132=1,SUMIFS(Compta!$F$1:$F$675,Compta!$A$1:$A$675,$A1132,Compta!$B$1:$B$675,$B1132,Compta!$C$1:$C$675,"2026"),0))</f>
        <v/>
      </c>
      <c r="G1132" t="str">
        <f>IF($A1132="","",IF($D1132="V01",cad!$C$23,IF($D1132="V02",cad!$D$23,cad!$E$23)))</f>
        <v/>
      </c>
      <c r="H1132" t="str">
        <f>IF($A1132="","",IF($D1132="V01",cad!$C$24,IF($D1132="V02",cad!$D$24,cad!$E$24)))</f>
        <v/>
      </c>
      <c r="I1132" t="str">
        <f>IF($A1132="","",IF($D1132="V01",cad!$C$32,IF($D1132="V02",cad!$D$32,cad!$E$32)))</f>
        <v/>
      </c>
      <c r="J1132" t="str">
        <f>IF($A1132="","",IF($D1132="V01",cad!$C$33,IF($D1132="V02",cad!$D$33,cad!$E$33)))</f>
        <v/>
      </c>
      <c r="K1132" t="str">
        <f>IF($A1132="","",IF($D1132="V01",cad!$C$34,IF($D1132="V02",cad!$D$34,cad!$E$34)))</f>
        <v/>
      </c>
      <c r="L1132" t="str">
        <f>IF($A1132="","",IF($D1132="V01",cad!$C$35,IF($D1132="V02",cad!$D$35,cad!$E$35)))</f>
        <v/>
      </c>
      <c r="M1132" t="str">
        <f>IF($A1132="","",IF($D1132="V01",cad!$C$36,IF($D1132="V02",cad!$D$36,cad!$E$36)))</f>
        <v/>
      </c>
      <c r="N1132" t="str">
        <f t="shared" si="69"/>
        <v/>
      </c>
      <c r="O1132" t="str">
        <f t="shared" si="70"/>
        <v/>
      </c>
      <c r="P1132" t="str">
        <f>IF($A1132="","",IF($E1132=1,$F1132*$O1132,PNL!G1132))</f>
        <v/>
      </c>
      <c r="T1132" t="str">
        <f t="shared" si="71"/>
        <v/>
      </c>
    </row>
    <row r="1133" spans="1:20" x14ac:dyDescent="0.45">
      <c r="A1133" t="str">
        <f>IF(PNL!A1133="","",PNL!A1133)</f>
        <v/>
      </c>
      <c r="B1133" t="str">
        <f>IF(PNL!B1133="","",PNL!B1133)</f>
        <v/>
      </c>
      <c r="C1133" t="str">
        <f>IF(PNL!C1133="","",PNL!C1133)</f>
        <v/>
      </c>
      <c r="D1133" t="str">
        <f>IF(PNL!D1133="","",PNL!D1133)</f>
        <v/>
      </c>
      <c r="E1133" t="str">
        <f t="shared" si="68"/>
        <v/>
      </c>
      <c r="F1133" t="str">
        <f>IF($A1133="","",IF($E1133=1,SUMIFS(Compta!$F$1:$F$675,Compta!$A$1:$A$675,$A1133,Compta!$B$1:$B$675,$B1133,Compta!$C$1:$C$675,"2026"),0))</f>
        <v/>
      </c>
      <c r="G1133" t="str">
        <f>IF($A1133="","",IF($D1133="V01",cad!$C$23,IF($D1133="V02",cad!$D$23,cad!$E$23)))</f>
        <v/>
      </c>
      <c r="H1133" t="str">
        <f>IF($A1133="","",IF($D1133="V01",cad!$C$24,IF($D1133="V02",cad!$D$24,cad!$E$24)))</f>
        <v/>
      </c>
      <c r="I1133" t="str">
        <f>IF($A1133="","",IF($D1133="V01",cad!$C$32,IF($D1133="V02",cad!$D$32,cad!$E$32)))</f>
        <v/>
      </c>
      <c r="J1133" t="str">
        <f>IF($A1133="","",IF($D1133="V01",cad!$C$33,IF($D1133="V02",cad!$D$33,cad!$E$33)))</f>
        <v/>
      </c>
      <c r="K1133" t="str">
        <f>IF($A1133="","",IF($D1133="V01",cad!$C$34,IF($D1133="V02",cad!$D$34,cad!$E$34)))</f>
        <v/>
      </c>
      <c r="L1133" t="str">
        <f>IF($A1133="","",IF($D1133="V01",cad!$C$35,IF($D1133="V02",cad!$D$35,cad!$E$35)))</f>
        <v/>
      </c>
      <c r="M1133" t="str">
        <f>IF($A1133="","",IF($D1133="V01",cad!$C$36,IF($D1133="V02",cad!$D$36,cad!$E$36)))</f>
        <v/>
      </c>
      <c r="N1133" t="str">
        <f t="shared" si="69"/>
        <v/>
      </c>
      <c r="O1133" t="str">
        <f t="shared" si="70"/>
        <v/>
      </c>
      <c r="P1133" t="str">
        <f>IF($A1133="","",IF($E1133=1,$F1133*$O1133,PNL!G1133))</f>
        <v/>
      </c>
      <c r="T1133" t="str">
        <f t="shared" si="71"/>
        <v/>
      </c>
    </row>
    <row r="1134" spans="1:20" x14ac:dyDescent="0.45">
      <c r="A1134" t="str">
        <f>IF(PNL!A1134="","",PNL!A1134)</f>
        <v/>
      </c>
      <c r="B1134" t="str">
        <f>IF(PNL!B1134="","",PNL!B1134)</f>
        <v/>
      </c>
      <c r="C1134" t="str">
        <f>IF(PNL!C1134="","",PNL!C1134)</f>
        <v/>
      </c>
      <c r="D1134" t="str">
        <f>IF(PNL!D1134="","",PNL!D1134)</f>
        <v/>
      </c>
      <c r="E1134" t="str">
        <f t="shared" si="68"/>
        <v/>
      </c>
      <c r="F1134" t="str">
        <f>IF($A1134="","",IF($E1134=1,SUMIFS(Compta!$F$1:$F$675,Compta!$A$1:$A$675,$A1134,Compta!$B$1:$B$675,$B1134,Compta!$C$1:$C$675,"2026"),0))</f>
        <v/>
      </c>
      <c r="G1134" t="str">
        <f>IF($A1134="","",IF($D1134="V01",cad!$C$23,IF($D1134="V02",cad!$D$23,cad!$E$23)))</f>
        <v/>
      </c>
      <c r="H1134" t="str">
        <f>IF($A1134="","",IF($D1134="V01",cad!$C$24,IF($D1134="V02",cad!$D$24,cad!$E$24)))</f>
        <v/>
      </c>
      <c r="I1134" t="str">
        <f>IF($A1134="","",IF($D1134="V01",cad!$C$32,IF($D1134="V02",cad!$D$32,cad!$E$32)))</f>
        <v/>
      </c>
      <c r="J1134" t="str">
        <f>IF($A1134="","",IF($D1134="V01",cad!$C$33,IF($D1134="V02",cad!$D$33,cad!$E$33)))</f>
        <v/>
      </c>
      <c r="K1134" t="str">
        <f>IF($A1134="","",IF($D1134="V01",cad!$C$34,IF($D1134="V02",cad!$D$34,cad!$E$34)))</f>
        <v/>
      </c>
      <c r="L1134" t="str">
        <f>IF($A1134="","",IF($D1134="V01",cad!$C$35,IF($D1134="V02",cad!$D$35,cad!$E$35)))</f>
        <v/>
      </c>
      <c r="M1134" t="str">
        <f>IF($A1134="","",IF($D1134="V01",cad!$C$36,IF($D1134="V02",cad!$D$36,cad!$E$36)))</f>
        <v/>
      </c>
      <c r="N1134" t="str">
        <f t="shared" si="69"/>
        <v/>
      </c>
      <c r="O1134" t="str">
        <f t="shared" si="70"/>
        <v/>
      </c>
      <c r="P1134" t="str">
        <f>IF($A1134="","",IF($E1134=1,$F1134*$O1134,PNL!G1134))</f>
        <v/>
      </c>
      <c r="T1134" t="str">
        <f t="shared" si="71"/>
        <v/>
      </c>
    </row>
    <row r="1135" spans="1:20" x14ac:dyDescent="0.45">
      <c r="A1135" t="str">
        <f>IF(PNL!A1135="","",PNL!A1135)</f>
        <v/>
      </c>
      <c r="B1135" t="str">
        <f>IF(PNL!B1135="","",PNL!B1135)</f>
        <v/>
      </c>
      <c r="C1135" t="str">
        <f>IF(PNL!C1135="","",PNL!C1135)</f>
        <v/>
      </c>
      <c r="D1135" t="str">
        <f>IF(PNL!D1135="","",PNL!D1135)</f>
        <v/>
      </c>
      <c r="E1135" t="str">
        <f t="shared" si="68"/>
        <v/>
      </c>
      <c r="F1135" t="str">
        <f>IF($A1135="","",IF($E1135=1,SUMIFS(Compta!$F$1:$F$675,Compta!$A$1:$A$675,$A1135,Compta!$B$1:$B$675,$B1135,Compta!$C$1:$C$675,"2026"),0))</f>
        <v/>
      </c>
      <c r="G1135" t="str">
        <f>IF($A1135="","",IF($D1135="V01",cad!$C$23,IF($D1135="V02",cad!$D$23,cad!$E$23)))</f>
        <v/>
      </c>
      <c r="H1135" t="str">
        <f>IF($A1135="","",IF($D1135="V01",cad!$C$24,IF($D1135="V02",cad!$D$24,cad!$E$24)))</f>
        <v/>
      </c>
      <c r="I1135" t="str">
        <f>IF($A1135="","",IF($D1135="V01",cad!$C$32,IF($D1135="V02",cad!$D$32,cad!$E$32)))</f>
        <v/>
      </c>
      <c r="J1135" t="str">
        <f>IF($A1135="","",IF($D1135="V01",cad!$C$33,IF($D1135="V02",cad!$D$33,cad!$E$33)))</f>
        <v/>
      </c>
      <c r="K1135" t="str">
        <f>IF($A1135="","",IF($D1135="V01",cad!$C$34,IF($D1135="V02",cad!$D$34,cad!$E$34)))</f>
        <v/>
      </c>
      <c r="L1135" t="str">
        <f>IF($A1135="","",IF($D1135="V01",cad!$C$35,IF($D1135="V02",cad!$D$35,cad!$E$35)))</f>
        <v/>
      </c>
      <c r="M1135" t="str">
        <f>IF($A1135="","",IF($D1135="V01",cad!$C$36,IF($D1135="V02",cad!$D$36,cad!$E$36)))</f>
        <v/>
      </c>
      <c r="N1135" t="str">
        <f t="shared" si="69"/>
        <v/>
      </c>
      <c r="O1135" t="str">
        <f t="shared" si="70"/>
        <v/>
      </c>
      <c r="P1135" t="str">
        <f>IF($A1135="","",IF($E1135=1,$F1135*$O1135,PNL!G1135))</f>
        <v/>
      </c>
      <c r="T1135" t="str">
        <f t="shared" si="71"/>
        <v/>
      </c>
    </row>
    <row r="1136" spans="1:20" x14ac:dyDescent="0.45">
      <c r="A1136" t="str">
        <f>IF(PNL!A1136="","",PNL!A1136)</f>
        <v/>
      </c>
      <c r="B1136" t="str">
        <f>IF(PNL!B1136="","",PNL!B1136)</f>
        <v/>
      </c>
      <c r="C1136" t="str">
        <f>IF(PNL!C1136="","",PNL!C1136)</f>
        <v/>
      </c>
      <c r="D1136" t="str">
        <f>IF(PNL!D1136="","",PNL!D1136)</f>
        <v/>
      </c>
      <c r="E1136" t="str">
        <f t="shared" si="68"/>
        <v/>
      </c>
      <c r="F1136" t="str">
        <f>IF($A1136="","",IF($E1136=1,SUMIFS(Compta!$F$1:$F$675,Compta!$A$1:$A$675,$A1136,Compta!$B$1:$B$675,$B1136,Compta!$C$1:$C$675,"2026"),0))</f>
        <v/>
      </c>
      <c r="G1136" t="str">
        <f>IF($A1136="","",IF($D1136="V01",cad!$C$23,IF($D1136="V02",cad!$D$23,cad!$E$23)))</f>
        <v/>
      </c>
      <c r="H1136" t="str">
        <f>IF($A1136="","",IF($D1136="V01",cad!$C$24,IF($D1136="V02",cad!$D$24,cad!$E$24)))</f>
        <v/>
      </c>
      <c r="I1136" t="str">
        <f>IF($A1136="","",IF($D1136="V01",cad!$C$32,IF($D1136="V02",cad!$D$32,cad!$E$32)))</f>
        <v/>
      </c>
      <c r="J1136" t="str">
        <f>IF($A1136="","",IF($D1136="V01",cad!$C$33,IF($D1136="V02",cad!$D$33,cad!$E$33)))</f>
        <v/>
      </c>
      <c r="K1136" t="str">
        <f>IF($A1136="","",IF($D1136="V01",cad!$C$34,IF($D1136="V02",cad!$D$34,cad!$E$34)))</f>
        <v/>
      </c>
      <c r="L1136" t="str">
        <f>IF($A1136="","",IF($D1136="V01",cad!$C$35,IF($D1136="V02",cad!$D$35,cad!$E$35)))</f>
        <v/>
      </c>
      <c r="M1136" t="str">
        <f>IF($A1136="","",IF($D1136="V01",cad!$C$36,IF($D1136="V02",cad!$D$36,cad!$E$36)))</f>
        <v/>
      </c>
      <c r="N1136" t="str">
        <f t="shared" si="69"/>
        <v/>
      </c>
      <c r="O1136" t="str">
        <f t="shared" si="70"/>
        <v/>
      </c>
      <c r="P1136" t="str">
        <f>IF($A1136="","",IF($E1136=1,$F1136*$O1136,PNL!G1136))</f>
        <v/>
      </c>
      <c r="T1136" t="str">
        <f t="shared" si="71"/>
        <v/>
      </c>
    </row>
    <row r="1137" spans="1:20" x14ac:dyDescent="0.45">
      <c r="A1137" t="str">
        <f>IF(PNL!A1137="","",PNL!A1137)</f>
        <v/>
      </c>
      <c r="B1137" t="str">
        <f>IF(PNL!B1137="","",PNL!B1137)</f>
        <v/>
      </c>
      <c r="C1137" t="str">
        <f>IF(PNL!C1137="","",PNL!C1137)</f>
        <v/>
      </c>
      <c r="D1137" t="str">
        <f>IF(PNL!D1137="","",PNL!D1137)</f>
        <v/>
      </c>
      <c r="E1137" t="str">
        <f t="shared" si="68"/>
        <v/>
      </c>
      <c r="F1137" t="str">
        <f>IF($A1137="","",IF($E1137=1,SUMIFS(Compta!$F$1:$F$675,Compta!$A$1:$A$675,$A1137,Compta!$B$1:$B$675,$B1137,Compta!$C$1:$C$675,"2026"),0))</f>
        <v/>
      </c>
      <c r="G1137" t="str">
        <f>IF($A1137="","",IF($D1137="V01",cad!$C$23,IF($D1137="V02",cad!$D$23,cad!$E$23)))</f>
        <v/>
      </c>
      <c r="H1137" t="str">
        <f>IF($A1137="","",IF($D1137="V01",cad!$C$24,IF($D1137="V02",cad!$D$24,cad!$E$24)))</f>
        <v/>
      </c>
      <c r="I1137" t="str">
        <f>IF($A1137="","",IF($D1137="V01",cad!$C$32,IF($D1137="V02",cad!$D$32,cad!$E$32)))</f>
        <v/>
      </c>
      <c r="J1137" t="str">
        <f>IF($A1137="","",IF($D1137="V01",cad!$C$33,IF($D1137="V02",cad!$D$33,cad!$E$33)))</f>
        <v/>
      </c>
      <c r="K1137" t="str">
        <f>IF($A1137="","",IF($D1137="V01",cad!$C$34,IF($D1137="V02",cad!$D$34,cad!$E$34)))</f>
        <v/>
      </c>
      <c r="L1137" t="str">
        <f>IF($A1137="","",IF($D1137="V01",cad!$C$35,IF($D1137="V02",cad!$D$35,cad!$E$35)))</f>
        <v/>
      </c>
      <c r="M1137" t="str">
        <f>IF($A1137="","",IF($D1137="V01",cad!$C$36,IF($D1137="V02",cad!$D$36,cad!$E$36)))</f>
        <v/>
      </c>
      <c r="N1137" t="str">
        <f t="shared" si="69"/>
        <v/>
      </c>
      <c r="O1137" t="str">
        <f t="shared" si="70"/>
        <v/>
      </c>
      <c r="P1137" t="str">
        <f>IF($A1137="","",IF($E1137=1,$F1137*$O1137,PNL!G1137))</f>
        <v/>
      </c>
      <c r="T1137" t="str">
        <f t="shared" si="71"/>
        <v/>
      </c>
    </row>
    <row r="1138" spans="1:20" x14ac:dyDescent="0.45">
      <c r="A1138" t="str">
        <f>IF(PNL!A1138="","",PNL!A1138)</f>
        <v/>
      </c>
      <c r="B1138" t="str">
        <f>IF(PNL!B1138="","",PNL!B1138)</f>
        <v/>
      </c>
      <c r="C1138" t="str">
        <f>IF(PNL!C1138="","",PNL!C1138)</f>
        <v/>
      </c>
      <c r="D1138" t="str">
        <f>IF(PNL!D1138="","",PNL!D1138)</f>
        <v/>
      </c>
      <c r="E1138" t="str">
        <f t="shared" si="68"/>
        <v/>
      </c>
      <c r="F1138" t="str">
        <f>IF($A1138="","",IF($E1138=1,SUMIFS(Compta!$F$1:$F$675,Compta!$A$1:$A$675,$A1138,Compta!$B$1:$B$675,$B1138,Compta!$C$1:$C$675,"2026"),0))</f>
        <v/>
      </c>
      <c r="G1138" t="str">
        <f>IF($A1138="","",IF($D1138="V01",cad!$C$23,IF($D1138="V02",cad!$D$23,cad!$E$23)))</f>
        <v/>
      </c>
      <c r="H1138" t="str">
        <f>IF($A1138="","",IF($D1138="V01",cad!$C$24,IF($D1138="V02",cad!$D$24,cad!$E$24)))</f>
        <v/>
      </c>
      <c r="I1138" t="str">
        <f>IF($A1138="","",IF($D1138="V01",cad!$C$32,IF($D1138="V02",cad!$D$32,cad!$E$32)))</f>
        <v/>
      </c>
      <c r="J1138" t="str">
        <f>IF($A1138="","",IF($D1138="V01",cad!$C$33,IF($D1138="V02",cad!$D$33,cad!$E$33)))</f>
        <v/>
      </c>
      <c r="K1138" t="str">
        <f>IF($A1138="","",IF($D1138="V01",cad!$C$34,IF($D1138="V02",cad!$D$34,cad!$E$34)))</f>
        <v/>
      </c>
      <c r="L1138" t="str">
        <f>IF($A1138="","",IF($D1138="V01",cad!$C$35,IF($D1138="V02",cad!$D$35,cad!$E$35)))</f>
        <v/>
      </c>
      <c r="M1138" t="str">
        <f>IF($A1138="","",IF($D1138="V01",cad!$C$36,IF($D1138="V02",cad!$D$36,cad!$E$36)))</f>
        <v/>
      </c>
      <c r="N1138" t="str">
        <f t="shared" si="69"/>
        <v/>
      </c>
      <c r="O1138" t="str">
        <f t="shared" si="70"/>
        <v/>
      </c>
      <c r="P1138" t="str">
        <f>IF($A1138="","",IF($E1138=1,$F1138*$O1138,PNL!G1138))</f>
        <v/>
      </c>
      <c r="T1138" t="str">
        <f t="shared" si="71"/>
        <v/>
      </c>
    </row>
    <row r="1139" spans="1:20" x14ac:dyDescent="0.45">
      <c r="A1139" t="str">
        <f>IF(PNL!A1139="","",PNL!A1139)</f>
        <v/>
      </c>
      <c r="B1139" t="str">
        <f>IF(PNL!B1139="","",PNL!B1139)</f>
        <v/>
      </c>
      <c r="C1139" t="str">
        <f>IF(PNL!C1139="","",PNL!C1139)</f>
        <v/>
      </c>
      <c r="D1139" t="str">
        <f>IF(PNL!D1139="","",PNL!D1139)</f>
        <v/>
      </c>
      <c r="E1139" t="str">
        <f t="shared" si="68"/>
        <v/>
      </c>
      <c r="F1139" t="str">
        <f>IF($A1139="","",IF($E1139=1,SUMIFS(Compta!$F$1:$F$675,Compta!$A$1:$A$675,$A1139,Compta!$B$1:$B$675,$B1139,Compta!$C$1:$C$675,"2026"),0))</f>
        <v/>
      </c>
      <c r="G1139" t="str">
        <f>IF($A1139="","",IF($D1139="V01",cad!$C$23,IF($D1139="V02",cad!$D$23,cad!$E$23)))</f>
        <v/>
      </c>
      <c r="H1139" t="str">
        <f>IF($A1139="","",IF($D1139="V01",cad!$C$24,IF($D1139="V02",cad!$D$24,cad!$E$24)))</f>
        <v/>
      </c>
      <c r="I1139" t="str">
        <f>IF($A1139="","",IF($D1139="V01",cad!$C$32,IF($D1139="V02",cad!$D$32,cad!$E$32)))</f>
        <v/>
      </c>
      <c r="J1139" t="str">
        <f>IF($A1139="","",IF($D1139="V01",cad!$C$33,IF($D1139="V02",cad!$D$33,cad!$E$33)))</f>
        <v/>
      </c>
      <c r="K1139" t="str">
        <f>IF($A1139="","",IF($D1139="V01",cad!$C$34,IF($D1139="V02",cad!$D$34,cad!$E$34)))</f>
        <v/>
      </c>
      <c r="L1139" t="str">
        <f>IF($A1139="","",IF($D1139="V01",cad!$C$35,IF($D1139="V02",cad!$D$35,cad!$E$35)))</f>
        <v/>
      </c>
      <c r="M1139" t="str">
        <f>IF($A1139="","",IF($D1139="V01",cad!$C$36,IF($D1139="V02",cad!$D$36,cad!$E$36)))</f>
        <v/>
      </c>
      <c r="N1139" t="str">
        <f t="shared" si="69"/>
        <v/>
      </c>
      <c r="O1139" t="str">
        <f t="shared" si="70"/>
        <v/>
      </c>
      <c r="P1139" t="str">
        <f>IF($A1139="","",IF($E1139=1,$F1139*$O1139,PNL!G1139))</f>
        <v/>
      </c>
      <c r="T1139" t="str">
        <f t="shared" si="71"/>
        <v/>
      </c>
    </row>
    <row r="1140" spans="1:20" x14ac:dyDescent="0.45">
      <c r="A1140" t="str">
        <f>IF(PNL!A1140="","",PNL!A1140)</f>
        <v/>
      </c>
      <c r="B1140" t="str">
        <f>IF(PNL!B1140="","",PNL!B1140)</f>
        <v/>
      </c>
      <c r="C1140" t="str">
        <f>IF(PNL!C1140="","",PNL!C1140)</f>
        <v/>
      </c>
      <c r="D1140" t="str">
        <f>IF(PNL!D1140="","",PNL!D1140)</f>
        <v/>
      </c>
      <c r="E1140" t="str">
        <f t="shared" si="68"/>
        <v/>
      </c>
      <c r="F1140" t="str">
        <f>IF($A1140="","",IF($E1140=1,SUMIFS(Compta!$F$1:$F$675,Compta!$A$1:$A$675,$A1140,Compta!$B$1:$B$675,$B1140,Compta!$C$1:$C$675,"2026"),0))</f>
        <v/>
      </c>
      <c r="G1140" t="str">
        <f>IF($A1140="","",IF($D1140="V01",cad!$C$23,IF($D1140="V02",cad!$D$23,cad!$E$23)))</f>
        <v/>
      </c>
      <c r="H1140" t="str">
        <f>IF($A1140="","",IF($D1140="V01",cad!$C$24,IF($D1140="V02",cad!$D$24,cad!$E$24)))</f>
        <v/>
      </c>
      <c r="I1140" t="str">
        <f>IF($A1140="","",IF($D1140="V01",cad!$C$32,IF($D1140="V02",cad!$D$32,cad!$E$32)))</f>
        <v/>
      </c>
      <c r="J1140" t="str">
        <f>IF($A1140="","",IF($D1140="V01",cad!$C$33,IF($D1140="V02",cad!$D$33,cad!$E$33)))</f>
        <v/>
      </c>
      <c r="K1140" t="str">
        <f>IF($A1140="","",IF($D1140="V01",cad!$C$34,IF($D1140="V02",cad!$D$34,cad!$E$34)))</f>
        <v/>
      </c>
      <c r="L1140" t="str">
        <f>IF($A1140="","",IF($D1140="V01",cad!$C$35,IF($D1140="V02",cad!$D$35,cad!$E$35)))</f>
        <v/>
      </c>
      <c r="M1140" t="str">
        <f>IF($A1140="","",IF($D1140="V01",cad!$C$36,IF($D1140="V02",cad!$D$36,cad!$E$36)))</f>
        <v/>
      </c>
      <c r="N1140" t="str">
        <f t="shared" si="69"/>
        <v/>
      </c>
      <c r="O1140" t="str">
        <f t="shared" si="70"/>
        <v/>
      </c>
      <c r="P1140" t="str">
        <f>IF($A1140="","",IF($E1140=1,$F1140*$O1140,PNL!G1140))</f>
        <v/>
      </c>
      <c r="T1140" t="str">
        <f t="shared" si="71"/>
        <v/>
      </c>
    </row>
    <row r="1141" spans="1:20" x14ac:dyDescent="0.45">
      <c r="A1141" t="str">
        <f>IF(PNL!A1141="","",PNL!A1141)</f>
        <v/>
      </c>
      <c r="B1141" t="str">
        <f>IF(PNL!B1141="","",PNL!B1141)</f>
        <v/>
      </c>
      <c r="C1141" t="str">
        <f>IF(PNL!C1141="","",PNL!C1141)</f>
        <v/>
      </c>
      <c r="D1141" t="str">
        <f>IF(PNL!D1141="","",PNL!D1141)</f>
        <v/>
      </c>
      <c r="E1141" t="str">
        <f t="shared" si="68"/>
        <v/>
      </c>
      <c r="F1141" t="str">
        <f>IF($A1141="","",IF($E1141=1,SUMIFS(Compta!$F$1:$F$675,Compta!$A$1:$A$675,$A1141,Compta!$B$1:$B$675,$B1141,Compta!$C$1:$C$675,"2026"),0))</f>
        <v/>
      </c>
      <c r="G1141" t="str">
        <f>IF($A1141="","",IF($D1141="V01",cad!$C$23,IF($D1141="V02",cad!$D$23,cad!$E$23)))</f>
        <v/>
      </c>
      <c r="H1141" t="str">
        <f>IF($A1141="","",IF($D1141="V01",cad!$C$24,IF($D1141="V02",cad!$D$24,cad!$E$24)))</f>
        <v/>
      </c>
      <c r="I1141" t="str">
        <f>IF($A1141="","",IF($D1141="V01",cad!$C$32,IF($D1141="V02",cad!$D$32,cad!$E$32)))</f>
        <v/>
      </c>
      <c r="J1141" t="str">
        <f>IF($A1141="","",IF($D1141="V01",cad!$C$33,IF($D1141="V02",cad!$D$33,cad!$E$33)))</f>
        <v/>
      </c>
      <c r="K1141" t="str">
        <f>IF($A1141="","",IF($D1141="V01",cad!$C$34,IF($D1141="V02",cad!$D$34,cad!$E$34)))</f>
        <v/>
      </c>
      <c r="L1141" t="str">
        <f>IF($A1141="","",IF($D1141="V01",cad!$C$35,IF($D1141="V02",cad!$D$35,cad!$E$35)))</f>
        <v/>
      </c>
      <c r="M1141" t="str">
        <f>IF($A1141="","",IF($D1141="V01",cad!$C$36,IF($D1141="V02",cad!$D$36,cad!$E$36)))</f>
        <v/>
      </c>
      <c r="N1141" t="str">
        <f t="shared" si="69"/>
        <v/>
      </c>
      <c r="O1141" t="str">
        <f t="shared" si="70"/>
        <v/>
      </c>
      <c r="P1141" t="str">
        <f>IF($A1141="","",IF($E1141=1,$F1141*$O1141,PNL!G1141))</f>
        <v/>
      </c>
      <c r="T1141" t="str">
        <f t="shared" si="71"/>
        <v/>
      </c>
    </row>
    <row r="1142" spans="1:20" x14ac:dyDescent="0.45">
      <c r="A1142" t="str">
        <f>IF(PNL!A1142="","",PNL!A1142)</f>
        <v/>
      </c>
      <c r="B1142" t="str">
        <f>IF(PNL!B1142="","",PNL!B1142)</f>
        <v/>
      </c>
      <c r="C1142" t="str">
        <f>IF(PNL!C1142="","",PNL!C1142)</f>
        <v/>
      </c>
      <c r="D1142" t="str">
        <f>IF(PNL!D1142="","",PNL!D1142)</f>
        <v/>
      </c>
      <c r="E1142" t="str">
        <f t="shared" si="68"/>
        <v/>
      </c>
      <c r="F1142" t="str">
        <f>IF($A1142="","",IF($E1142=1,SUMIFS(Compta!$F$1:$F$675,Compta!$A$1:$A$675,$A1142,Compta!$B$1:$B$675,$B1142,Compta!$C$1:$C$675,"2026"),0))</f>
        <v/>
      </c>
      <c r="G1142" t="str">
        <f>IF($A1142="","",IF($D1142="V01",cad!$C$23,IF($D1142="V02",cad!$D$23,cad!$E$23)))</f>
        <v/>
      </c>
      <c r="H1142" t="str">
        <f>IF($A1142="","",IF($D1142="V01",cad!$C$24,IF($D1142="V02",cad!$D$24,cad!$E$24)))</f>
        <v/>
      </c>
      <c r="I1142" t="str">
        <f>IF($A1142="","",IF($D1142="V01",cad!$C$32,IF($D1142="V02",cad!$D$32,cad!$E$32)))</f>
        <v/>
      </c>
      <c r="J1142" t="str">
        <f>IF($A1142="","",IF($D1142="V01",cad!$C$33,IF($D1142="V02",cad!$D$33,cad!$E$33)))</f>
        <v/>
      </c>
      <c r="K1142" t="str">
        <f>IF($A1142="","",IF($D1142="V01",cad!$C$34,IF($D1142="V02",cad!$D$34,cad!$E$34)))</f>
        <v/>
      </c>
      <c r="L1142" t="str">
        <f>IF($A1142="","",IF($D1142="V01",cad!$C$35,IF($D1142="V02",cad!$D$35,cad!$E$35)))</f>
        <v/>
      </c>
      <c r="M1142" t="str">
        <f>IF($A1142="","",IF($D1142="V01",cad!$C$36,IF($D1142="V02",cad!$D$36,cad!$E$36)))</f>
        <v/>
      </c>
      <c r="N1142" t="str">
        <f t="shared" si="69"/>
        <v/>
      </c>
      <c r="O1142" t="str">
        <f t="shared" si="70"/>
        <v/>
      </c>
      <c r="P1142" t="str">
        <f>IF($A1142="","",IF($E1142=1,$F1142*$O1142,PNL!G1142))</f>
        <v/>
      </c>
      <c r="T1142" t="str">
        <f t="shared" si="71"/>
        <v/>
      </c>
    </row>
    <row r="1143" spans="1:20" x14ac:dyDescent="0.45">
      <c r="A1143" t="str">
        <f>IF(PNL!A1143="","",PNL!A1143)</f>
        <v/>
      </c>
      <c r="B1143" t="str">
        <f>IF(PNL!B1143="","",PNL!B1143)</f>
        <v/>
      </c>
      <c r="C1143" t="str">
        <f>IF(PNL!C1143="","",PNL!C1143)</f>
        <v/>
      </c>
      <c r="D1143" t="str">
        <f>IF(PNL!D1143="","",PNL!D1143)</f>
        <v/>
      </c>
      <c r="E1143" t="str">
        <f t="shared" si="68"/>
        <v/>
      </c>
      <c r="F1143" t="str">
        <f>IF($A1143="","",IF($E1143=1,SUMIFS(Compta!$F$1:$F$675,Compta!$A$1:$A$675,$A1143,Compta!$B$1:$B$675,$B1143,Compta!$C$1:$C$675,"2026"),0))</f>
        <v/>
      </c>
      <c r="G1143" t="str">
        <f>IF($A1143="","",IF($D1143="V01",cad!$C$23,IF($D1143="V02",cad!$D$23,cad!$E$23)))</f>
        <v/>
      </c>
      <c r="H1143" t="str">
        <f>IF($A1143="","",IF($D1143="V01",cad!$C$24,IF($D1143="V02",cad!$D$24,cad!$E$24)))</f>
        <v/>
      </c>
      <c r="I1143" t="str">
        <f>IF($A1143="","",IF($D1143="V01",cad!$C$32,IF($D1143="V02",cad!$D$32,cad!$E$32)))</f>
        <v/>
      </c>
      <c r="J1143" t="str">
        <f>IF($A1143="","",IF($D1143="V01",cad!$C$33,IF($D1143="V02",cad!$D$33,cad!$E$33)))</f>
        <v/>
      </c>
      <c r="K1143" t="str">
        <f>IF($A1143="","",IF($D1143="V01",cad!$C$34,IF($D1143="V02",cad!$D$34,cad!$E$34)))</f>
        <v/>
      </c>
      <c r="L1143" t="str">
        <f>IF($A1143="","",IF($D1143="V01",cad!$C$35,IF($D1143="V02",cad!$D$35,cad!$E$35)))</f>
        <v/>
      </c>
      <c r="M1143" t="str">
        <f>IF($A1143="","",IF($D1143="V01",cad!$C$36,IF($D1143="V02",cad!$D$36,cad!$E$36)))</f>
        <v/>
      </c>
      <c r="N1143" t="str">
        <f t="shared" si="69"/>
        <v/>
      </c>
      <c r="O1143" t="str">
        <f t="shared" si="70"/>
        <v/>
      </c>
      <c r="P1143" t="str">
        <f>IF($A1143="","",IF($E1143=1,$F1143*$O1143,PNL!G1143))</f>
        <v/>
      </c>
      <c r="T1143" t="str">
        <f t="shared" si="71"/>
        <v/>
      </c>
    </row>
    <row r="1144" spans="1:20" x14ac:dyDescent="0.45">
      <c r="A1144" t="str">
        <f>IF(PNL!A1144="","",PNL!A1144)</f>
        <v/>
      </c>
      <c r="B1144" t="str">
        <f>IF(PNL!B1144="","",PNL!B1144)</f>
        <v/>
      </c>
      <c r="C1144" t="str">
        <f>IF(PNL!C1144="","",PNL!C1144)</f>
        <v/>
      </c>
      <c r="D1144" t="str">
        <f>IF(PNL!D1144="","",PNL!D1144)</f>
        <v/>
      </c>
      <c r="E1144" t="str">
        <f t="shared" si="68"/>
        <v/>
      </c>
      <c r="F1144" t="str">
        <f>IF($A1144="","",IF($E1144=1,SUMIFS(Compta!$F$1:$F$675,Compta!$A$1:$A$675,$A1144,Compta!$B$1:$B$675,$B1144,Compta!$C$1:$C$675,"2026"),0))</f>
        <v/>
      </c>
      <c r="G1144" t="str">
        <f>IF($A1144="","",IF($D1144="V01",cad!$C$23,IF($D1144="V02",cad!$D$23,cad!$E$23)))</f>
        <v/>
      </c>
      <c r="H1144" t="str">
        <f>IF($A1144="","",IF($D1144="V01",cad!$C$24,IF($D1144="V02",cad!$D$24,cad!$E$24)))</f>
        <v/>
      </c>
      <c r="I1144" t="str">
        <f>IF($A1144="","",IF($D1144="V01",cad!$C$32,IF($D1144="V02",cad!$D$32,cad!$E$32)))</f>
        <v/>
      </c>
      <c r="J1144" t="str">
        <f>IF($A1144="","",IF($D1144="V01",cad!$C$33,IF($D1144="V02",cad!$D$33,cad!$E$33)))</f>
        <v/>
      </c>
      <c r="K1144" t="str">
        <f>IF($A1144="","",IF($D1144="V01",cad!$C$34,IF($D1144="V02",cad!$D$34,cad!$E$34)))</f>
        <v/>
      </c>
      <c r="L1144" t="str">
        <f>IF($A1144="","",IF($D1144="V01",cad!$C$35,IF($D1144="V02",cad!$D$35,cad!$E$35)))</f>
        <v/>
      </c>
      <c r="M1144" t="str">
        <f>IF($A1144="","",IF($D1144="V01",cad!$C$36,IF($D1144="V02",cad!$D$36,cad!$E$36)))</f>
        <v/>
      </c>
      <c r="N1144" t="str">
        <f t="shared" si="69"/>
        <v/>
      </c>
      <c r="O1144" t="str">
        <f t="shared" si="70"/>
        <v/>
      </c>
      <c r="P1144" t="str">
        <f>IF($A1144="","",IF($E1144=1,$F1144*$O1144,PNL!G1144))</f>
        <v/>
      </c>
      <c r="T1144" t="str">
        <f t="shared" si="71"/>
        <v/>
      </c>
    </row>
    <row r="1145" spans="1:20" x14ac:dyDescent="0.45">
      <c r="A1145" t="str">
        <f>IF(PNL!A1145="","",PNL!A1145)</f>
        <v/>
      </c>
      <c r="B1145" t="str">
        <f>IF(PNL!B1145="","",PNL!B1145)</f>
        <v/>
      </c>
      <c r="C1145" t="str">
        <f>IF(PNL!C1145="","",PNL!C1145)</f>
        <v/>
      </c>
      <c r="D1145" t="str">
        <f>IF(PNL!D1145="","",PNL!D1145)</f>
        <v/>
      </c>
      <c r="E1145" t="str">
        <f t="shared" si="68"/>
        <v/>
      </c>
      <c r="F1145" t="str">
        <f>IF($A1145="","",IF($E1145=1,SUMIFS(Compta!$F$1:$F$675,Compta!$A$1:$A$675,$A1145,Compta!$B$1:$B$675,$B1145,Compta!$C$1:$C$675,"2026"),0))</f>
        <v/>
      </c>
      <c r="G1145" t="str">
        <f>IF($A1145="","",IF($D1145="V01",cad!$C$23,IF($D1145="V02",cad!$D$23,cad!$E$23)))</f>
        <v/>
      </c>
      <c r="H1145" t="str">
        <f>IF($A1145="","",IF($D1145="V01",cad!$C$24,IF($D1145="V02",cad!$D$24,cad!$E$24)))</f>
        <v/>
      </c>
      <c r="I1145" t="str">
        <f>IF($A1145="","",IF($D1145="V01",cad!$C$32,IF($D1145="V02",cad!$D$32,cad!$E$32)))</f>
        <v/>
      </c>
      <c r="J1145" t="str">
        <f>IF($A1145="","",IF($D1145="V01",cad!$C$33,IF($D1145="V02",cad!$D$33,cad!$E$33)))</f>
        <v/>
      </c>
      <c r="K1145" t="str">
        <f>IF($A1145="","",IF($D1145="V01",cad!$C$34,IF($D1145="V02",cad!$D$34,cad!$E$34)))</f>
        <v/>
      </c>
      <c r="L1145" t="str">
        <f>IF($A1145="","",IF($D1145="V01",cad!$C$35,IF($D1145="V02",cad!$D$35,cad!$E$35)))</f>
        <v/>
      </c>
      <c r="M1145" t="str">
        <f>IF($A1145="","",IF($D1145="V01",cad!$C$36,IF($D1145="V02",cad!$D$36,cad!$E$36)))</f>
        <v/>
      </c>
      <c r="N1145" t="str">
        <f t="shared" si="69"/>
        <v/>
      </c>
      <c r="O1145" t="str">
        <f t="shared" si="70"/>
        <v/>
      </c>
      <c r="P1145" t="str">
        <f>IF($A1145="","",IF($E1145=1,$F1145*$O1145,PNL!G1145))</f>
        <v/>
      </c>
      <c r="T1145" t="str">
        <f t="shared" si="71"/>
        <v/>
      </c>
    </row>
    <row r="1146" spans="1:20" x14ac:dyDescent="0.45">
      <c r="A1146" t="str">
        <f>IF(PNL!A1146="","",PNL!A1146)</f>
        <v/>
      </c>
      <c r="B1146" t="str">
        <f>IF(PNL!B1146="","",PNL!B1146)</f>
        <v/>
      </c>
      <c r="C1146" t="str">
        <f>IF(PNL!C1146="","",PNL!C1146)</f>
        <v/>
      </c>
      <c r="D1146" t="str">
        <f>IF(PNL!D1146="","",PNL!D1146)</f>
        <v/>
      </c>
      <c r="E1146" t="str">
        <f t="shared" si="68"/>
        <v/>
      </c>
      <c r="F1146" t="str">
        <f>IF($A1146="","",IF($E1146=1,SUMIFS(Compta!$F$1:$F$675,Compta!$A$1:$A$675,$A1146,Compta!$B$1:$B$675,$B1146,Compta!$C$1:$C$675,"2026"),0))</f>
        <v/>
      </c>
      <c r="G1146" t="str">
        <f>IF($A1146="","",IF($D1146="V01",cad!$C$23,IF($D1146="V02",cad!$D$23,cad!$E$23)))</f>
        <v/>
      </c>
      <c r="H1146" t="str">
        <f>IF($A1146="","",IF($D1146="V01",cad!$C$24,IF($D1146="V02",cad!$D$24,cad!$E$24)))</f>
        <v/>
      </c>
      <c r="I1146" t="str">
        <f>IF($A1146="","",IF($D1146="V01",cad!$C$32,IF($D1146="V02",cad!$D$32,cad!$E$32)))</f>
        <v/>
      </c>
      <c r="J1146" t="str">
        <f>IF($A1146="","",IF($D1146="V01",cad!$C$33,IF($D1146="V02",cad!$D$33,cad!$E$33)))</f>
        <v/>
      </c>
      <c r="K1146" t="str">
        <f>IF($A1146="","",IF($D1146="V01",cad!$C$34,IF($D1146="V02",cad!$D$34,cad!$E$34)))</f>
        <v/>
      </c>
      <c r="L1146" t="str">
        <f>IF($A1146="","",IF($D1146="V01",cad!$C$35,IF($D1146="V02",cad!$D$35,cad!$E$35)))</f>
        <v/>
      </c>
      <c r="M1146" t="str">
        <f>IF($A1146="","",IF($D1146="V01",cad!$C$36,IF($D1146="V02",cad!$D$36,cad!$E$36)))</f>
        <v/>
      </c>
      <c r="N1146" t="str">
        <f t="shared" si="69"/>
        <v/>
      </c>
      <c r="O1146" t="str">
        <f t="shared" si="70"/>
        <v/>
      </c>
      <c r="P1146" t="str">
        <f>IF($A1146="","",IF($E1146=1,$F1146*$O1146,PNL!G1146))</f>
        <v/>
      </c>
      <c r="T1146" t="str">
        <f t="shared" si="71"/>
        <v/>
      </c>
    </row>
    <row r="1147" spans="1:20" x14ac:dyDescent="0.45">
      <c r="A1147" t="str">
        <f>IF(PNL!A1147="","",PNL!A1147)</f>
        <v/>
      </c>
      <c r="B1147" t="str">
        <f>IF(PNL!B1147="","",PNL!B1147)</f>
        <v/>
      </c>
      <c r="C1147" t="str">
        <f>IF(PNL!C1147="","",PNL!C1147)</f>
        <v/>
      </c>
      <c r="D1147" t="str">
        <f>IF(PNL!D1147="","",PNL!D1147)</f>
        <v/>
      </c>
      <c r="E1147" t="str">
        <f t="shared" si="68"/>
        <v/>
      </c>
      <c r="F1147" t="str">
        <f>IF($A1147="","",IF($E1147=1,SUMIFS(Compta!$F$1:$F$675,Compta!$A$1:$A$675,$A1147,Compta!$B$1:$B$675,$B1147,Compta!$C$1:$C$675,"2026"),0))</f>
        <v/>
      </c>
      <c r="G1147" t="str">
        <f>IF($A1147="","",IF($D1147="V01",cad!$C$23,IF($D1147="V02",cad!$D$23,cad!$E$23)))</f>
        <v/>
      </c>
      <c r="H1147" t="str">
        <f>IF($A1147="","",IF($D1147="V01",cad!$C$24,IF($D1147="V02",cad!$D$24,cad!$E$24)))</f>
        <v/>
      </c>
      <c r="I1147" t="str">
        <f>IF($A1147="","",IF($D1147="V01",cad!$C$32,IF($D1147="V02",cad!$D$32,cad!$E$32)))</f>
        <v/>
      </c>
      <c r="J1147" t="str">
        <f>IF($A1147="","",IF($D1147="V01",cad!$C$33,IF($D1147="V02",cad!$D$33,cad!$E$33)))</f>
        <v/>
      </c>
      <c r="K1147" t="str">
        <f>IF($A1147="","",IF($D1147="V01",cad!$C$34,IF($D1147="V02",cad!$D$34,cad!$E$34)))</f>
        <v/>
      </c>
      <c r="L1147" t="str">
        <f>IF($A1147="","",IF($D1147="V01",cad!$C$35,IF($D1147="V02",cad!$D$35,cad!$E$35)))</f>
        <v/>
      </c>
      <c r="M1147" t="str">
        <f>IF($A1147="","",IF($D1147="V01",cad!$C$36,IF($D1147="V02",cad!$D$36,cad!$E$36)))</f>
        <v/>
      </c>
      <c r="N1147" t="str">
        <f t="shared" si="69"/>
        <v/>
      </c>
      <c r="O1147" t="str">
        <f t="shared" si="70"/>
        <v/>
      </c>
      <c r="P1147" t="str">
        <f>IF($A1147="","",IF($E1147=1,$F1147*$O1147,PNL!G1147))</f>
        <v/>
      </c>
      <c r="T1147" t="str">
        <f t="shared" si="71"/>
        <v/>
      </c>
    </row>
    <row r="1148" spans="1:20" x14ac:dyDescent="0.45">
      <c r="A1148" t="str">
        <f>IF(PNL!A1148="","",PNL!A1148)</f>
        <v/>
      </c>
      <c r="B1148" t="str">
        <f>IF(PNL!B1148="","",PNL!B1148)</f>
        <v/>
      </c>
      <c r="C1148" t="str">
        <f>IF(PNL!C1148="","",PNL!C1148)</f>
        <v/>
      </c>
      <c r="D1148" t="str">
        <f>IF(PNL!D1148="","",PNL!D1148)</f>
        <v/>
      </c>
      <c r="E1148" t="str">
        <f t="shared" si="68"/>
        <v/>
      </c>
      <c r="F1148" t="str">
        <f>IF($A1148="","",IF($E1148=1,SUMIFS(Compta!$F$1:$F$675,Compta!$A$1:$A$675,$A1148,Compta!$B$1:$B$675,$B1148,Compta!$C$1:$C$675,"2026"),0))</f>
        <v/>
      </c>
      <c r="G1148" t="str">
        <f>IF($A1148="","",IF($D1148="V01",cad!$C$23,IF($D1148="V02",cad!$D$23,cad!$E$23)))</f>
        <v/>
      </c>
      <c r="H1148" t="str">
        <f>IF($A1148="","",IF($D1148="V01",cad!$C$24,IF($D1148="V02",cad!$D$24,cad!$E$24)))</f>
        <v/>
      </c>
      <c r="I1148" t="str">
        <f>IF($A1148="","",IF($D1148="V01",cad!$C$32,IF($D1148="V02",cad!$D$32,cad!$E$32)))</f>
        <v/>
      </c>
      <c r="J1148" t="str">
        <f>IF($A1148="","",IF($D1148="V01",cad!$C$33,IF($D1148="V02",cad!$D$33,cad!$E$33)))</f>
        <v/>
      </c>
      <c r="K1148" t="str">
        <f>IF($A1148="","",IF($D1148="V01",cad!$C$34,IF($D1148="V02",cad!$D$34,cad!$E$34)))</f>
        <v/>
      </c>
      <c r="L1148" t="str">
        <f>IF($A1148="","",IF($D1148="V01",cad!$C$35,IF($D1148="V02",cad!$D$35,cad!$E$35)))</f>
        <v/>
      </c>
      <c r="M1148" t="str">
        <f>IF($A1148="","",IF($D1148="V01",cad!$C$36,IF($D1148="V02",cad!$D$36,cad!$E$36)))</f>
        <v/>
      </c>
      <c r="N1148" t="str">
        <f t="shared" si="69"/>
        <v/>
      </c>
      <c r="O1148" t="str">
        <f t="shared" si="70"/>
        <v/>
      </c>
      <c r="P1148" t="str">
        <f>IF($A1148="","",IF($E1148=1,$F1148*$O1148,PNL!G1148))</f>
        <v/>
      </c>
      <c r="T1148" t="str">
        <f t="shared" si="71"/>
        <v/>
      </c>
    </row>
    <row r="1149" spans="1:20" x14ac:dyDescent="0.45">
      <c r="A1149" t="str">
        <f>IF(PNL!A1149="","",PNL!A1149)</f>
        <v/>
      </c>
      <c r="B1149" t="str">
        <f>IF(PNL!B1149="","",PNL!B1149)</f>
        <v/>
      </c>
      <c r="C1149" t="str">
        <f>IF(PNL!C1149="","",PNL!C1149)</f>
        <v/>
      </c>
      <c r="D1149" t="str">
        <f>IF(PNL!D1149="","",PNL!D1149)</f>
        <v/>
      </c>
      <c r="E1149" t="str">
        <f t="shared" si="68"/>
        <v/>
      </c>
      <c r="F1149" t="str">
        <f>IF($A1149="","",IF($E1149=1,SUMIFS(Compta!$F$1:$F$675,Compta!$A$1:$A$675,$A1149,Compta!$B$1:$B$675,$B1149,Compta!$C$1:$C$675,"2026"),0))</f>
        <v/>
      </c>
      <c r="G1149" t="str">
        <f>IF($A1149="","",IF($D1149="V01",cad!$C$23,IF($D1149="V02",cad!$D$23,cad!$E$23)))</f>
        <v/>
      </c>
      <c r="H1149" t="str">
        <f>IF($A1149="","",IF($D1149="V01",cad!$C$24,IF($D1149="V02",cad!$D$24,cad!$E$24)))</f>
        <v/>
      </c>
      <c r="I1149" t="str">
        <f>IF($A1149="","",IF($D1149="V01",cad!$C$32,IF($D1149="V02",cad!$D$32,cad!$E$32)))</f>
        <v/>
      </c>
      <c r="J1149" t="str">
        <f>IF($A1149="","",IF($D1149="V01",cad!$C$33,IF($D1149="V02",cad!$D$33,cad!$E$33)))</f>
        <v/>
      </c>
      <c r="K1149" t="str">
        <f>IF($A1149="","",IF($D1149="V01",cad!$C$34,IF($D1149="V02",cad!$D$34,cad!$E$34)))</f>
        <v/>
      </c>
      <c r="L1149" t="str">
        <f>IF($A1149="","",IF($D1149="V01",cad!$C$35,IF($D1149="V02",cad!$D$35,cad!$E$35)))</f>
        <v/>
      </c>
      <c r="M1149" t="str">
        <f>IF($A1149="","",IF($D1149="V01",cad!$C$36,IF($D1149="V02",cad!$D$36,cad!$E$36)))</f>
        <v/>
      </c>
      <c r="N1149" t="str">
        <f t="shared" si="69"/>
        <v/>
      </c>
      <c r="O1149" t="str">
        <f t="shared" si="70"/>
        <v/>
      </c>
      <c r="P1149" t="str">
        <f>IF($A1149="","",IF($E1149=1,$F1149*$O1149,PNL!G1149))</f>
        <v/>
      </c>
      <c r="T1149" t="str">
        <f t="shared" si="71"/>
        <v/>
      </c>
    </row>
    <row r="1150" spans="1:20" x14ac:dyDescent="0.45">
      <c r="A1150" t="str">
        <f>IF(PNL!A1150="","",PNL!A1150)</f>
        <v/>
      </c>
      <c r="B1150" t="str">
        <f>IF(PNL!B1150="","",PNL!B1150)</f>
        <v/>
      </c>
      <c r="C1150" t="str">
        <f>IF(PNL!C1150="","",PNL!C1150)</f>
        <v/>
      </c>
      <c r="D1150" t="str">
        <f>IF(PNL!D1150="","",PNL!D1150)</f>
        <v/>
      </c>
      <c r="E1150" t="str">
        <f t="shared" si="68"/>
        <v/>
      </c>
      <c r="F1150" t="str">
        <f>IF($A1150="","",IF($E1150=1,SUMIFS(Compta!$F$1:$F$675,Compta!$A$1:$A$675,$A1150,Compta!$B$1:$B$675,$B1150,Compta!$C$1:$C$675,"2026"),0))</f>
        <v/>
      </c>
      <c r="G1150" t="str">
        <f>IF($A1150="","",IF($D1150="V01",cad!$C$23,IF($D1150="V02",cad!$D$23,cad!$E$23)))</f>
        <v/>
      </c>
      <c r="H1150" t="str">
        <f>IF($A1150="","",IF($D1150="V01",cad!$C$24,IF($D1150="V02",cad!$D$24,cad!$E$24)))</f>
        <v/>
      </c>
      <c r="I1150" t="str">
        <f>IF($A1150="","",IF($D1150="V01",cad!$C$32,IF($D1150="V02",cad!$D$32,cad!$E$32)))</f>
        <v/>
      </c>
      <c r="J1150" t="str">
        <f>IF($A1150="","",IF($D1150="V01",cad!$C$33,IF($D1150="V02",cad!$D$33,cad!$E$33)))</f>
        <v/>
      </c>
      <c r="K1150" t="str">
        <f>IF($A1150="","",IF($D1150="V01",cad!$C$34,IF($D1150="V02",cad!$D$34,cad!$E$34)))</f>
        <v/>
      </c>
      <c r="L1150" t="str">
        <f>IF($A1150="","",IF($D1150="V01",cad!$C$35,IF($D1150="V02",cad!$D$35,cad!$E$35)))</f>
        <v/>
      </c>
      <c r="M1150" t="str">
        <f>IF($A1150="","",IF($D1150="V01",cad!$C$36,IF($D1150="V02",cad!$D$36,cad!$E$36)))</f>
        <v/>
      </c>
      <c r="N1150" t="str">
        <f t="shared" si="69"/>
        <v/>
      </c>
      <c r="O1150" t="str">
        <f t="shared" si="70"/>
        <v/>
      </c>
      <c r="P1150" t="str">
        <f>IF($A1150="","",IF($E1150=1,$F1150*$O1150,PNL!G1150))</f>
        <v/>
      </c>
      <c r="T1150" t="str">
        <f t="shared" si="71"/>
        <v/>
      </c>
    </row>
    <row r="1151" spans="1:20" x14ac:dyDescent="0.45">
      <c r="A1151" t="str">
        <f>IF(PNL!A1151="","",PNL!A1151)</f>
        <v/>
      </c>
      <c r="B1151" t="str">
        <f>IF(PNL!B1151="","",PNL!B1151)</f>
        <v/>
      </c>
      <c r="C1151" t="str">
        <f>IF(PNL!C1151="","",PNL!C1151)</f>
        <v/>
      </c>
      <c r="D1151" t="str">
        <f>IF(PNL!D1151="","",PNL!D1151)</f>
        <v/>
      </c>
      <c r="E1151" t="str">
        <f t="shared" si="68"/>
        <v/>
      </c>
      <c r="F1151" t="str">
        <f>IF($A1151="","",IF($E1151=1,SUMIFS(Compta!$F$1:$F$675,Compta!$A$1:$A$675,$A1151,Compta!$B$1:$B$675,$B1151,Compta!$C$1:$C$675,"2026"),0))</f>
        <v/>
      </c>
      <c r="G1151" t="str">
        <f>IF($A1151="","",IF($D1151="V01",cad!$C$23,IF($D1151="V02",cad!$D$23,cad!$E$23)))</f>
        <v/>
      </c>
      <c r="H1151" t="str">
        <f>IF($A1151="","",IF($D1151="V01",cad!$C$24,IF($D1151="V02",cad!$D$24,cad!$E$24)))</f>
        <v/>
      </c>
      <c r="I1151" t="str">
        <f>IF($A1151="","",IF($D1151="V01",cad!$C$32,IF($D1151="V02",cad!$D$32,cad!$E$32)))</f>
        <v/>
      </c>
      <c r="J1151" t="str">
        <f>IF($A1151="","",IF($D1151="V01",cad!$C$33,IF($D1151="V02",cad!$D$33,cad!$E$33)))</f>
        <v/>
      </c>
      <c r="K1151" t="str">
        <f>IF($A1151="","",IF($D1151="V01",cad!$C$34,IF($D1151="V02",cad!$D$34,cad!$E$34)))</f>
        <v/>
      </c>
      <c r="L1151" t="str">
        <f>IF($A1151="","",IF($D1151="V01",cad!$C$35,IF($D1151="V02",cad!$D$35,cad!$E$35)))</f>
        <v/>
      </c>
      <c r="M1151" t="str">
        <f>IF($A1151="","",IF($D1151="V01",cad!$C$36,IF($D1151="V02",cad!$D$36,cad!$E$36)))</f>
        <v/>
      </c>
      <c r="N1151" t="str">
        <f t="shared" si="69"/>
        <v/>
      </c>
      <c r="O1151" t="str">
        <f t="shared" si="70"/>
        <v/>
      </c>
      <c r="P1151" t="str">
        <f>IF($A1151="","",IF($E1151=1,$F1151*$O1151,PNL!G1151))</f>
        <v/>
      </c>
      <c r="T1151" t="str">
        <f t="shared" si="71"/>
        <v/>
      </c>
    </row>
    <row r="1152" spans="1:20" x14ac:dyDescent="0.45">
      <c r="A1152" t="str">
        <f>IF(PNL!A1152="","",PNL!A1152)</f>
        <v/>
      </c>
      <c r="B1152" t="str">
        <f>IF(PNL!B1152="","",PNL!B1152)</f>
        <v/>
      </c>
      <c r="C1152" t="str">
        <f>IF(PNL!C1152="","",PNL!C1152)</f>
        <v/>
      </c>
      <c r="D1152" t="str">
        <f>IF(PNL!D1152="","",PNL!D1152)</f>
        <v/>
      </c>
      <c r="E1152" t="str">
        <f t="shared" si="68"/>
        <v/>
      </c>
      <c r="F1152" t="str">
        <f>IF($A1152="","",IF($E1152=1,SUMIFS(Compta!$F$1:$F$675,Compta!$A$1:$A$675,$A1152,Compta!$B$1:$B$675,$B1152,Compta!$C$1:$C$675,"2026"),0))</f>
        <v/>
      </c>
      <c r="G1152" t="str">
        <f>IF($A1152="","",IF($D1152="V01",cad!$C$23,IF($D1152="V02",cad!$D$23,cad!$E$23)))</f>
        <v/>
      </c>
      <c r="H1152" t="str">
        <f>IF($A1152="","",IF($D1152="V01",cad!$C$24,IF($D1152="V02",cad!$D$24,cad!$E$24)))</f>
        <v/>
      </c>
      <c r="I1152" t="str">
        <f>IF($A1152="","",IF($D1152="V01",cad!$C$32,IF($D1152="V02",cad!$D$32,cad!$E$32)))</f>
        <v/>
      </c>
      <c r="J1152" t="str">
        <f>IF($A1152="","",IF($D1152="V01",cad!$C$33,IF($D1152="V02",cad!$D$33,cad!$E$33)))</f>
        <v/>
      </c>
      <c r="K1152" t="str">
        <f>IF($A1152="","",IF($D1152="V01",cad!$C$34,IF($D1152="V02",cad!$D$34,cad!$E$34)))</f>
        <v/>
      </c>
      <c r="L1152" t="str">
        <f>IF($A1152="","",IF($D1152="V01",cad!$C$35,IF($D1152="V02",cad!$D$35,cad!$E$35)))</f>
        <v/>
      </c>
      <c r="M1152" t="str">
        <f>IF($A1152="","",IF($D1152="V01",cad!$C$36,IF($D1152="V02",cad!$D$36,cad!$E$36)))</f>
        <v/>
      </c>
      <c r="N1152" t="str">
        <f t="shared" si="69"/>
        <v/>
      </c>
      <c r="O1152" t="str">
        <f t="shared" si="70"/>
        <v/>
      </c>
      <c r="P1152" t="str">
        <f>IF($A1152="","",IF($E1152=1,$F1152*$O1152,PNL!G1152))</f>
        <v/>
      </c>
      <c r="T1152" t="str">
        <f t="shared" si="71"/>
        <v/>
      </c>
    </row>
    <row r="1153" spans="1:20" x14ac:dyDescent="0.45">
      <c r="A1153" t="str">
        <f>IF(PNL!A1153="","",PNL!A1153)</f>
        <v/>
      </c>
      <c r="B1153" t="str">
        <f>IF(PNL!B1153="","",PNL!B1153)</f>
        <v/>
      </c>
      <c r="C1153" t="str">
        <f>IF(PNL!C1153="","",PNL!C1153)</f>
        <v/>
      </c>
      <c r="D1153" t="str">
        <f>IF(PNL!D1153="","",PNL!D1153)</f>
        <v/>
      </c>
      <c r="E1153" t="str">
        <f t="shared" si="68"/>
        <v/>
      </c>
      <c r="F1153" t="str">
        <f>IF($A1153="","",IF($E1153=1,SUMIFS(Compta!$F$1:$F$675,Compta!$A$1:$A$675,$A1153,Compta!$B$1:$B$675,$B1153,Compta!$C$1:$C$675,"2026"),0))</f>
        <v/>
      </c>
      <c r="G1153" t="str">
        <f>IF($A1153="","",IF($D1153="V01",cad!$C$23,IF($D1153="V02",cad!$D$23,cad!$E$23)))</f>
        <v/>
      </c>
      <c r="H1153" t="str">
        <f>IF($A1153="","",IF($D1153="V01",cad!$C$24,IF($D1153="V02",cad!$D$24,cad!$E$24)))</f>
        <v/>
      </c>
      <c r="I1153" t="str">
        <f>IF($A1153="","",IF($D1153="V01",cad!$C$32,IF($D1153="V02",cad!$D$32,cad!$E$32)))</f>
        <v/>
      </c>
      <c r="J1153" t="str">
        <f>IF($A1153="","",IF($D1153="V01",cad!$C$33,IF($D1153="V02",cad!$D$33,cad!$E$33)))</f>
        <v/>
      </c>
      <c r="K1153" t="str">
        <f>IF($A1153="","",IF($D1153="V01",cad!$C$34,IF($D1153="V02",cad!$D$34,cad!$E$34)))</f>
        <v/>
      </c>
      <c r="L1153" t="str">
        <f>IF($A1153="","",IF($D1153="V01",cad!$C$35,IF($D1153="V02",cad!$D$35,cad!$E$35)))</f>
        <v/>
      </c>
      <c r="M1153" t="str">
        <f>IF($A1153="","",IF($D1153="V01",cad!$C$36,IF($D1153="V02",cad!$D$36,cad!$E$36)))</f>
        <v/>
      </c>
      <c r="N1153" t="str">
        <f t="shared" si="69"/>
        <v/>
      </c>
      <c r="O1153" t="str">
        <f t="shared" si="70"/>
        <v/>
      </c>
      <c r="P1153" t="str">
        <f>IF($A1153="","",IF($E1153=1,$F1153*$O1153,PNL!G1153))</f>
        <v/>
      </c>
      <c r="T1153" t="str">
        <f t="shared" si="71"/>
        <v/>
      </c>
    </row>
    <row r="1154" spans="1:20" x14ac:dyDescent="0.45">
      <c r="A1154" t="str">
        <f>IF(PNL!A1154="","",PNL!A1154)</f>
        <v/>
      </c>
      <c r="B1154" t="str">
        <f>IF(PNL!B1154="","",PNL!B1154)</f>
        <v/>
      </c>
      <c r="C1154" t="str">
        <f>IF(PNL!C1154="","",PNL!C1154)</f>
        <v/>
      </c>
      <c r="D1154" t="str">
        <f>IF(PNL!D1154="","",PNL!D1154)</f>
        <v/>
      </c>
      <c r="E1154" t="str">
        <f t="shared" ref="E1154:E1217" si="72">IF($A1154="","",IF(AND($C1154="2027",OR($D1154="V01",$D1154="V02",$D1154="V03")),1,0))</f>
        <v/>
      </c>
      <c r="F1154" t="str">
        <f>IF($A1154="","",IF($E1154=1,SUMIFS(Compta!$F$1:$F$675,Compta!$A$1:$A$675,$A1154,Compta!$B$1:$B$675,$B1154,Compta!$C$1:$C$675,"2026"),0))</f>
        <v/>
      </c>
      <c r="G1154" t="str">
        <f>IF($A1154="","",IF($D1154="V01",cad!$C$23,IF($D1154="V02",cad!$D$23,cad!$E$23)))</f>
        <v/>
      </c>
      <c r="H1154" t="str">
        <f>IF($A1154="","",IF($D1154="V01",cad!$C$24,IF($D1154="V02",cad!$D$24,cad!$E$24)))</f>
        <v/>
      </c>
      <c r="I1154" t="str">
        <f>IF($A1154="","",IF($D1154="V01",cad!$C$32,IF($D1154="V02",cad!$D$32,cad!$E$32)))</f>
        <v/>
      </c>
      <c r="J1154" t="str">
        <f>IF($A1154="","",IF($D1154="V01",cad!$C$33,IF($D1154="V02",cad!$D$33,cad!$E$33)))</f>
        <v/>
      </c>
      <c r="K1154" t="str">
        <f>IF($A1154="","",IF($D1154="V01",cad!$C$34,IF($D1154="V02",cad!$D$34,cad!$E$34)))</f>
        <v/>
      </c>
      <c r="L1154" t="str">
        <f>IF($A1154="","",IF($D1154="V01",cad!$C$35,IF($D1154="V02",cad!$D$35,cad!$E$35)))</f>
        <v/>
      </c>
      <c r="M1154" t="str">
        <f>IF($A1154="","",IF($D1154="V01",cad!$C$36,IF($D1154="V02",cad!$D$36,cad!$E$36)))</f>
        <v/>
      </c>
      <c r="N1154" t="str">
        <f t="shared" ref="N1154:N1217" si="73">IF($A1154="","",IF($D1154="V01",$R$2,IF($D1154="V02",$R$3,$R$4)))</f>
        <v/>
      </c>
      <c r="O1154" t="str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 t="str">
        <f>IF($A1154="","",IF($E1154=1,$F1154*$O1154,PNL!G1154))</f>
        <v/>
      </c>
      <c r="T1154" t="str">
        <f t="shared" ref="T1154:T1217" si="75">IF($A1154="","",IF($E1154=1,IF(OR($B1154="7062",$B1154="706",$B1154="708"),$P1154,IF(AND(LEFT($B1154,1)="6",$B1154&lt;&gt;"6811"),-$P1154,0)),0))</f>
        <v/>
      </c>
    </row>
    <row r="1155" spans="1:20" x14ac:dyDescent="0.45">
      <c r="A1155" t="str">
        <f>IF(PNL!A1155="","",PNL!A1155)</f>
        <v/>
      </c>
      <c r="B1155" t="str">
        <f>IF(PNL!B1155="","",PNL!B1155)</f>
        <v/>
      </c>
      <c r="C1155" t="str">
        <f>IF(PNL!C1155="","",PNL!C1155)</f>
        <v/>
      </c>
      <c r="D1155" t="str">
        <f>IF(PNL!D1155="","",PNL!D1155)</f>
        <v/>
      </c>
      <c r="E1155" t="str">
        <f t="shared" si="72"/>
        <v/>
      </c>
      <c r="F1155" t="str">
        <f>IF($A1155="","",IF($E1155=1,SUMIFS(Compta!$F$1:$F$675,Compta!$A$1:$A$675,$A1155,Compta!$B$1:$B$675,$B1155,Compta!$C$1:$C$675,"2026"),0))</f>
        <v/>
      </c>
      <c r="G1155" t="str">
        <f>IF($A1155="","",IF($D1155="V01",cad!$C$23,IF($D1155="V02",cad!$D$23,cad!$E$23)))</f>
        <v/>
      </c>
      <c r="H1155" t="str">
        <f>IF($A1155="","",IF($D1155="V01",cad!$C$24,IF($D1155="V02",cad!$D$24,cad!$E$24)))</f>
        <v/>
      </c>
      <c r="I1155" t="str">
        <f>IF($A1155="","",IF($D1155="V01",cad!$C$32,IF($D1155="V02",cad!$D$32,cad!$E$32)))</f>
        <v/>
      </c>
      <c r="J1155" t="str">
        <f>IF($A1155="","",IF($D1155="V01",cad!$C$33,IF($D1155="V02",cad!$D$33,cad!$E$33)))</f>
        <v/>
      </c>
      <c r="K1155" t="str">
        <f>IF($A1155="","",IF($D1155="V01",cad!$C$34,IF($D1155="V02",cad!$D$34,cad!$E$34)))</f>
        <v/>
      </c>
      <c r="L1155" t="str">
        <f>IF($A1155="","",IF($D1155="V01",cad!$C$35,IF($D1155="V02",cad!$D$35,cad!$E$35)))</f>
        <v/>
      </c>
      <c r="M1155" t="str">
        <f>IF($A1155="","",IF($D1155="V01",cad!$C$36,IF($D1155="V02",cad!$D$36,cad!$E$36)))</f>
        <v/>
      </c>
      <c r="N1155" t="str">
        <f t="shared" si="73"/>
        <v/>
      </c>
      <c r="O1155" t="str">
        <f t="shared" si="74"/>
        <v/>
      </c>
      <c r="P1155" t="str">
        <f>IF($A1155="","",IF($E1155=1,$F1155*$O1155,PNL!G1155))</f>
        <v/>
      </c>
      <c r="T1155" t="str">
        <f t="shared" si="75"/>
        <v/>
      </c>
    </row>
    <row r="1156" spans="1:20" x14ac:dyDescent="0.45">
      <c r="A1156" t="str">
        <f>IF(PNL!A1156="","",PNL!A1156)</f>
        <v/>
      </c>
      <c r="B1156" t="str">
        <f>IF(PNL!B1156="","",PNL!B1156)</f>
        <v/>
      </c>
      <c r="C1156" t="str">
        <f>IF(PNL!C1156="","",PNL!C1156)</f>
        <v/>
      </c>
      <c r="D1156" t="str">
        <f>IF(PNL!D1156="","",PNL!D1156)</f>
        <v/>
      </c>
      <c r="E1156" t="str">
        <f t="shared" si="72"/>
        <v/>
      </c>
      <c r="F1156" t="str">
        <f>IF($A1156="","",IF($E1156=1,SUMIFS(Compta!$F$1:$F$675,Compta!$A$1:$A$675,$A1156,Compta!$B$1:$B$675,$B1156,Compta!$C$1:$C$675,"2026"),0))</f>
        <v/>
      </c>
      <c r="G1156" t="str">
        <f>IF($A1156="","",IF($D1156="V01",cad!$C$23,IF($D1156="V02",cad!$D$23,cad!$E$23)))</f>
        <v/>
      </c>
      <c r="H1156" t="str">
        <f>IF($A1156="","",IF($D1156="V01",cad!$C$24,IF($D1156="V02",cad!$D$24,cad!$E$24)))</f>
        <v/>
      </c>
      <c r="I1156" t="str">
        <f>IF($A1156="","",IF($D1156="V01",cad!$C$32,IF($D1156="V02",cad!$D$32,cad!$E$32)))</f>
        <v/>
      </c>
      <c r="J1156" t="str">
        <f>IF($A1156="","",IF($D1156="V01",cad!$C$33,IF($D1156="V02",cad!$D$33,cad!$E$33)))</f>
        <v/>
      </c>
      <c r="K1156" t="str">
        <f>IF($A1156="","",IF($D1156="V01",cad!$C$34,IF($D1156="V02",cad!$D$34,cad!$E$34)))</f>
        <v/>
      </c>
      <c r="L1156" t="str">
        <f>IF($A1156="","",IF($D1156="V01",cad!$C$35,IF($D1156="V02",cad!$D$35,cad!$E$35)))</f>
        <v/>
      </c>
      <c r="M1156" t="str">
        <f>IF($A1156="","",IF($D1156="V01",cad!$C$36,IF($D1156="V02",cad!$D$36,cad!$E$36)))</f>
        <v/>
      </c>
      <c r="N1156" t="str">
        <f t="shared" si="73"/>
        <v/>
      </c>
      <c r="O1156" t="str">
        <f t="shared" si="74"/>
        <v/>
      </c>
      <c r="P1156" t="str">
        <f>IF($A1156="","",IF($E1156=1,$F1156*$O1156,PNL!G1156))</f>
        <v/>
      </c>
      <c r="T1156" t="str">
        <f t="shared" si="75"/>
        <v/>
      </c>
    </row>
    <row r="1157" spans="1:20" x14ac:dyDescent="0.45">
      <c r="A1157" t="str">
        <f>IF(PNL!A1157="","",PNL!A1157)</f>
        <v/>
      </c>
      <c r="B1157" t="str">
        <f>IF(PNL!B1157="","",PNL!B1157)</f>
        <v/>
      </c>
      <c r="C1157" t="str">
        <f>IF(PNL!C1157="","",PNL!C1157)</f>
        <v/>
      </c>
      <c r="D1157" t="str">
        <f>IF(PNL!D1157="","",PNL!D1157)</f>
        <v/>
      </c>
      <c r="E1157" t="str">
        <f t="shared" si="72"/>
        <v/>
      </c>
      <c r="F1157" t="str">
        <f>IF($A1157="","",IF($E1157=1,SUMIFS(Compta!$F$1:$F$675,Compta!$A$1:$A$675,$A1157,Compta!$B$1:$B$675,$B1157,Compta!$C$1:$C$675,"2026"),0))</f>
        <v/>
      </c>
      <c r="G1157" t="str">
        <f>IF($A1157="","",IF($D1157="V01",cad!$C$23,IF($D1157="V02",cad!$D$23,cad!$E$23)))</f>
        <v/>
      </c>
      <c r="H1157" t="str">
        <f>IF($A1157="","",IF($D1157="V01",cad!$C$24,IF($D1157="V02",cad!$D$24,cad!$E$24)))</f>
        <v/>
      </c>
      <c r="I1157" t="str">
        <f>IF($A1157="","",IF($D1157="V01",cad!$C$32,IF($D1157="V02",cad!$D$32,cad!$E$32)))</f>
        <v/>
      </c>
      <c r="J1157" t="str">
        <f>IF($A1157="","",IF($D1157="V01",cad!$C$33,IF($D1157="V02",cad!$D$33,cad!$E$33)))</f>
        <v/>
      </c>
      <c r="K1157" t="str">
        <f>IF($A1157="","",IF($D1157="V01",cad!$C$34,IF($D1157="V02",cad!$D$34,cad!$E$34)))</f>
        <v/>
      </c>
      <c r="L1157" t="str">
        <f>IF($A1157="","",IF($D1157="V01",cad!$C$35,IF($D1157="V02",cad!$D$35,cad!$E$35)))</f>
        <v/>
      </c>
      <c r="M1157" t="str">
        <f>IF($A1157="","",IF($D1157="V01",cad!$C$36,IF($D1157="V02",cad!$D$36,cad!$E$36)))</f>
        <v/>
      </c>
      <c r="N1157" t="str">
        <f t="shared" si="73"/>
        <v/>
      </c>
      <c r="O1157" t="str">
        <f t="shared" si="74"/>
        <v/>
      </c>
      <c r="P1157" t="str">
        <f>IF($A1157="","",IF($E1157=1,$F1157*$O1157,PNL!G1157))</f>
        <v/>
      </c>
      <c r="T1157" t="str">
        <f t="shared" si="75"/>
        <v/>
      </c>
    </row>
    <row r="1158" spans="1:20" x14ac:dyDescent="0.45">
      <c r="A1158" t="str">
        <f>IF(PNL!A1158="","",PNL!A1158)</f>
        <v/>
      </c>
      <c r="B1158" t="str">
        <f>IF(PNL!B1158="","",PNL!B1158)</f>
        <v/>
      </c>
      <c r="C1158" t="str">
        <f>IF(PNL!C1158="","",PNL!C1158)</f>
        <v/>
      </c>
      <c r="D1158" t="str">
        <f>IF(PNL!D1158="","",PNL!D1158)</f>
        <v/>
      </c>
      <c r="E1158" t="str">
        <f t="shared" si="72"/>
        <v/>
      </c>
      <c r="F1158" t="str">
        <f>IF($A1158="","",IF($E1158=1,SUMIFS(Compta!$F$1:$F$675,Compta!$A$1:$A$675,$A1158,Compta!$B$1:$B$675,$B1158,Compta!$C$1:$C$675,"2026"),0))</f>
        <v/>
      </c>
      <c r="G1158" t="str">
        <f>IF($A1158="","",IF($D1158="V01",cad!$C$23,IF($D1158="V02",cad!$D$23,cad!$E$23)))</f>
        <v/>
      </c>
      <c r="H1158" t="str">
        <f>IF($A1158="","",IF($D1158="V01",cad!$C$24,IF($D1158="V02",cad!$D$24,cad!$E$24)))</f>
        <v/>
      </c>
      <c r="I1158" t="str">
        <f>IF($A1158="","",IF($D1158="V01",cad!$C$32,IF($D1158="V02",cad!$D$32,cad!$E$32)))</f>
        <v/>
      </c>
      <c r="J1158" t="str">
        <f>IF($A1158="","",IF($D1158="V01",cad!$C$33,IF($D1158="V02",cad!$D$33,cad!$E$33)))</f>
        <v/>
      </c>
      <c r="K1158" t="str">
        <f>IF($A1158="","",IF($D1158="V01",cad!$C$34,IF($D1158="V02",cad!$D$34,cad!$E$34)))</f>
        <v/>
      </c>
      <c r="L1158" t="str">
        <f>IF($A1158="","",IF($D1158="V01",cad!$C$35,IF($D1158="V02",cad!$D$35,cad!$E$35)))</f>
        <v/>
      </c>
      <c r="M1158" t="str">
        <f>IF($A1158="","",IF($D1158="V01",cad!$C$36,IF($D1158="V02",cad!$D$36,cad!$E$36)))</f>
        <v/>
      </c>
      <c r="N1158" t="str">
        <f t="shared" si="73"/>
        <v/>
      </c>
      <c r="O1158" t="str">
        <f t="shared" si="74"/>
        <v/>
      </c>
      <c r="P1158" t="str">
        <f>IF($A1158="","",IF($E1158=1,$F1158*$O1158,PNL!G1158))</f>
        <v/>
      </c>
      <c r="T1158" t="str">
        <f t="shared" si="75"/>
        <v/>
      </c>
    </row>
    <row r="1159" spans="1:20" x14ac:dyDescent="0.45">
      <c r="A1159" t="str">
        <f>IF(PNL!A1159="","",PNL!A1159)</f>
        <v/>
      </c>
      <c r="B1159" t="str">
        <f>IF(PNL!B1159="","",PNL!B1159)</f>
        <v/>
      </c>
      <c r="C1159" t="str">
        <f>IF(PNL!C1159="","",PNL!C1159)</f>
        <v/>
      </c>
      <c r="D1159" t="str">
        <f>IF(PNL!D1159="","",PNL!D1159)</f>
        <v/>
      </c>
      <c r="E1159" t="str">
        <f t="shared" si="72"/>
        <v/>
      </c>
      <c r="F1159" t="str">
        <f>IF($A1159="","",IF($E1159=1,SUMIFS(Compta!$F$1:$F$675,Compta!$A$1:$A$675,$A1159,Compta!$B$1:$B$675,$B1159,Compta!$C$1:$C$675,"2026"),0))</f>
        <v/>
      </c>
      <c r="G1159" t="str">
        <f>IF($A1159="","",IF($D1159="V01",cad!$C$23,IF($D1159="V02",cad!$D$23,cad!$E$23)))</f>
        <v/>
      </c>
      <c r="H1159" t="str">
        <f>IF($A1159="","",IF($D1159="V01",cad!$C$24,IF($D1159="V02",cad!$D$24,cad!$E$24)))</f>
        <v/>
      </c>
      <c r="I1159" t="str">
        <f>IF($A1159="","",IF($D1159="V01",cad!$C$32,IF($D1159="V02",cad!$D$32,cad!$E$32)))</f>
        <v/>
      </c>
      <c r="J1159" t="str">
        <f>IF($A1159="","",IF($D1159="V01",cad!$C$33,IF($D1159="V02",cad!$D$33,cad!$E$33)))</f>
        <v/>
      </c>
      <c r="K1159" t="str">
        <f>IF($A1159="","",IF($D1159="V01",cad!$C$34,IF($D1159="V02",cad!$D$34,cad!$E$34)))</f>
        <v/>
      </c>
      <c r="L1159" t="str">
        <f>IF($A1159="","",IF($D1159="V01",cad!$C$35,IF($D1159="V02",cad!$D$35,cad!$E$35)))</f>
        <v/>
      </c>
      <c r="M1159" t="str">
        <f>IF($A1159="","",IF($D1159="V01",cad!$C$36,IF($D1159="V02",cad!$D$36,cad!$E$36)))</f>
        <v/>
      </c>
      <c r="N1159" t="str">
        <f t="shared" si="73"/>
        <v/>
      </c>
      <c r="O1159" t="str">
        <f t="shared" si="74"/>
        <v/>
      </c>
      <c r="P1159" t="str">
        <f>IF($A1159="","",IF($E1159=1,$F1159*$O1159,PNL!G1159))</f>
        <v/>
      </c>
      <c r="T1159" t="str">
        <f t="shared" si="75"/>
        <v/>
      </c>
    </row>
    <row r="1160" spans="1:20" x14ac:dyDescent="0.45">
      <c r="A1160" t="str">
        <f>IF(PNL!A1160="","",PNL!A1160)</f>
        <v/>
      </c>
      <c r="B1160" t="str">
        <f>IF(PNL!B1160="","",PNL!B1160)</f>
        <v/>
      </c>
      <c r="C1160" t="str">
        <f>IF(PNL!C1160="","",PNL!C1160)</f>
        <v/>
      </c>
      <c r="D1160" t="str">
        <f>IF(PNL!D1160="","",PNL!D1160)</f>
        <v/>
      </c>
      <c r="E1160" t="str">
        <f t="shared" si="72"/>
        <v/>
      </c>
      <c r="F1160" t="str">
        <f>IF($A1160="","",IF($E1160=1,SUMIFS(Compta!$F$1:$F$675,Compta!$A$1:$A$675,$A1160,Compta!$B$1:$B$675,$B1160,Compta!$C$1:$C$675,"2026"),0))</f>
        <v/>
      </c>
      <c r="G1160" t="str">
        <f>IF($A1160="","",IF($D1160="V01",cad!$C$23,IF($D1160="V02",cad!$D$23,cad!$E$23)))</f>
        <v/>
      </c>
      <c r="H1160" t="str">
        <f>IF($A1160="","",IF($D1160="V01",cad!$C$24,IF($D1160="V02",cad!$D$24,cad!$E$24)))</f>
        <v/>
      </c>
      <c r="I1160" t="str">
        <f>IF($A1160="","",IF($D1160="V01",cad!$C$32,IF($D1160="V02",cad!$D$32,cad!$E$32)))</f>
        <v/>
      </c>
      <c r="J1160" t="str">
        <f>IF($A1160="","",IF($D1160="V01",cad!$C$33,IF($D1160="V02",cad!$D$33,cad!$E$33)))</f>
        <v/>
      </c>
      <c r="K1160" t="str">
        <f>IF($A1160="","",IF($D1160="V01",cad!$C$34,IF($D1160="V02",cad!$D$34,cad!$E$34)))</f>
        <v/>
      </c>
      <c r="L1160" t="str">
        <f>IF($A1160="","",IF($D1160="V01",cad!$C$35,IF($D1160="V02",cad!$D$35,cad!$E$35)))</f>
        <v/>
      </c>
      <c r="M1160" t="str">
        <f>IF($A1160="","",IF($D1160="V01",cad!$C$36,IF($D1160="V02",cad!$D$36,cad!$E$36)))</f>
        <v/>
      </c>
      <c r="N1160" t="str">
        <f t="shared" si="73"/>
        <v/>
      </c>
      <c r="O1160" t="str">
        <f t="shared" si="74"/>
        <v/>
      </c>
      <c r="P1160" t="str">
        <f>IF($A1160="","",IF($E1160=1,$F1160*$O1160,PNL!G1160))</f>
        <v/>
      </c>
      <c r="T1160" t="str">
        <f t="shared" si="75"/>
        <v/>
      </c>
    </row>
    <row r="1161" spans="1:20" x14ac:dyDescent="0.45">
      <c r="A1161" t="str">
        <f>IF(PNL!A1161="","",PNL!A1161)</f>
        <v/>
      </c>
      <c r="B1161" t="str">
        <f>IF(PNL!B1161="","",PNL!B1161)</f>
        <v/>
      </c>
      <c r="C1161" t="str">
        <f>IF(PNL!C1161="","",PNL!C1161)</f>
        <v/>
      </c>
      <c r="D1161" t="str">
        <f>IF(PNL!D1161="","",PNL!D1161)</f>
        <v/>
      </c>
      <c r="E1161" t="str">
        <f t="shared" si="72"/>
        <v/>
      </c>
      <c r="F1161" t="str">
        <f>IF($A1161="","",IF($E1161=1,SUMIFS(Compta!$F$1:$F$675,Compta!$A$1:$A$675,$A1161,Compta!$B$1:$B$675,$B1161,Compta!$C$1:$C$675,"2026"),0))</f>
        <v/>
      </c>
      <c r="G1161" t="str">
        <f>IF($A1161="","",IF($D1161="V01",cad!$C$23,IF($D1161="V02",cad!$D$23,cad!$E$23)))</f>
        <v/>
      </c>
      <c r="H1161" t="str">
        <f>IF($A1161="","",IF($D1161="V01",cad!$C$24,IF($D1161="V02",cad!$D$24,cad!$E$24)))</f>
        <v/>
      </c>
      <c r="I1161" t="str">
        <f>IF($A1161="","",IF($D1161="V01",cad!$C$32,IF($D1161="V02",cad!$D$32,cad!$E$32)))</f>
        <v/>
      </c>
      <c r="J1161" t="str">
        <f>IF($A1161="","",IF($D1161="V01",cad!$C$33,IF($D1161="V02",cad!$D$33,cad!$E$33)))</f>
        <v/>
      </c>
      <c r="K1161" t="str">
        <f>IF($A1161="","",IF($D1161="V01",cad!$C$34,IF($D1161="V02",cad!$D$34,cad!$E$34)))</f>
        <v/>
      </c>
      <c r="L1161" t="str">
        <f>IF($A1161="","",IF($D1161="V01",cad!$C$35,IF($D1161="V02",cad!$D$35,cad!$E$35)))</f>
        <v/>
      </c>
      <c r="M1161" t="str">
        <f>IF($A1161="","",IF($D1161="V01",cad!$C$36,IF($D1161="V02",cad!$D$36,cad!$E$36)))</f>
        <v/>
      </c>
      <c r="N1161" t="str">
        <f t="shared" si="73"/>
        <v/>
      </c>
      <c r="O1161" t="str">
        <f t="shared" si="74"/>
        <v/>
      </c>
      <c r="P1161" t="str">
        <f>IF($A1161="","",IF($E1161=1,$F1161*$O1161,PNL!G1161))</f>
        <v/>
      </c>
      <c r="T1161" t="str">
        <f t="shared" si="75"/>
        <v/>
      </c>
    </row>
    <row r="1162" spans="1:20" x14ac:dyDescent="0.45">
      <c r="A1162" t="str">
        <f>IF(PNL!A1162="","",PNL!A1162)</f>
        <v/>
      </c>
      <c r="B1162" t="str">
        <f>IF(PNL!B1162="","",PNL!B1162)</f>
        <v/>
      </c>
      <c r="C1162" t="str">
        <f>IF(PNL!C1162="","",PNL!C1162)</f>
        <v/>
      </c>
      <c r="D1162" t="str">
        <f>IF(PNL!D1162="","",PNL!D1162)</f>
        <v/>
      </c>
      <c r="E1162" t="str">
        <f t="shared" si="72"/>
        <v/>
      </c>
      <c r="F1162" t="str">
        <f>IF($A1162="","",IF($E1162=1,SUMIFS(Compta!$F$1:$F$675,Compta!$A$1:$A$675,$A1162,Compta!$B$1:$B$675,$B1162,Compta!$C$1:$C$675,"2026"),0))</f>
        <v/>
      </c>
      <c r="G1162" t="str">
        <f>IF($A1162="","",IF($D1162="V01",cad!$C$23,IF($D1162="V02",cad!$D$23,cad!$E$23)))</f>
        <v/>
      </c>
      <c r="H1162" t="str">
        <f>IF($A1162="","",IF($D1162="V01",cad!$C$24,IF($D1162="V02",cad!$D$24,cad!$E$24)))</f>
        <v/>
      </c>
      <c r="I1162" t="str">
        <f>IF($A1162="","",IF($D1162="V01",cad!$C$32,IF($D1162="V02",cad!$D$32,cad!$E$32)))</f>
        <v/>
      </c>
      <c r="J1162" t="str">
        <f>IF($A1162="","",IF($D1162="V01",cad!$C$33,IF($D1162="V02",cad!$D$33,cad!$E$33)))</f>
        <v/>
      </c>
      <c r="K1162" t="str">
        <f>IF($A1162="","",IF($D1162="V01",cad!$C$34,IF($D1162="V02",cad!$D$34,cad!$E$34)))</f>
        <v/>
      </c>
      <c r="L1162" t="str">
        <f>IF($A1162="","",IF($D1162="V01",cad!$C$35,IF($D1162="V02",cad!$D$35,cad!$E$35)))</f>
        <v/>
      </c>
      <c r="M1162" t="str">
        <f>IF($A1162="","",IF($D1162="V01",cad!$C$36,IF($D1162="V02",cad!$D$36,cad!$E$36)))</f>
        <v/>
      </c>
      <c r="N1162" t="str">
        <f t="shared" si="73"/>
        <v/>
      </c>
      <c r="O1162" t="str">
        <f t="shared" si="74"/>
        <v/>
      </c>
      <c r="P1162" t="str">
        <f>IF($A1162="","",IF($E1162=1,$F1162*$O1162,PNL!G1162))</f>
        <v/>
      </c>
      <c r="T1162" t="str">
        <f t="shared" si="75"/>
        <v/>
      </c>
    </row>
    <row r="1163" spans="1:20" x14ac:dyDescent="0.45">
      <c r="A1163" t="str">
        <f>IF(PNL!A1163="","",PNL!A1163)</f>
        <v/>
      </c>
      <c r="B1163" t="str">
        <f>IF(PNL!B1163="","",PNL!B1163)</f>
        <v/>
      </c>
      <c r="C1163" t="str">
        <f>IF(PNL!C1163="","",PNL!C1163)</f>
        <v/>
      </c>
      <c r="D1163" t="str">
        <f>IF(PNL!D1163="","",PNL!D1163)</f>
        <v/>
      </c>
      <c r="E1163" t="str">
        <f t="shared" si="72"/>
        <v/>
      </c>
      <c r="F1163" t="str">
        <f>IF($A1163="","",IF($E1163=1,SUMIFS(Compta!$F$1:$F$675,Compta!$A$1:$A$675,$A1163,Compta!$B$1:$B$675,$B1163,Compta!$C$1:$C$675,"2026"),0))</f>
        <v/>
      </c>
      <c r="G1163" t="str">
        <f>IF($A1163="","",IF($D1163="V01",cad!$C$23,IF($D1163="V02",cad!$D$23,cad!$E$23)))</f>
        <v/>
      </c>
      <c r="H1163" t="str">
        <f>IF($A1163="","",IF($D1163="V01",cad!$C$24,IF($D1163="V02",cad!$D$24,cad!$E$24)))</f>
        <v/>
      </c>
      <c r="I1163" t="str">
        <f>IF($A1163="","",IF($D1163="V01",cad!$C$32,IF($D1163="V02",cad!$D$32,cad!$E$32)))</f>
        <v/>
      </c>
      <c r="J1163" t="str">
        <f>IF($A1163="","",IF($D1163="V01",cad!$C$33,IF($D1163="V02",cad!$D$33,cad!$E$33)))</f>
        <v/>
      </c>
      <c r="K1163" t="str">
        <f>IF($A1163="","",IF($D1163="V01",cad!$C$34,IF($D1163="V02",cad!$D$34,cad!$E$34)))</f>
        <v/>
      </c>
      <c r="L1163" t="str">
        <f>IF($A1163="","",IF($D1163="V01",cad!$C$35,IF($D1163="V02",cad!$D$35,cad!$E$35)))</f>
        <v/>
      </c>
      <c r="M1163" t="str">
        <f>IF($A1163="","",IF($D1163="V01",cad!$C$36,IF($D1163="V02",cad!$D$36,cad!$E$36)))</f>
        <v/>
      </c>
      <c r="N1163" t="str">
        <f t="shared" si="73"/>
        <v/>
      </c>
      <c r="O1163" t="str">
        <f t="shared" si="74"/>
        <v/>
      </c>
      <c r="P1163" t="str">
        <f>IF($A1163="","",IF($E1163=1,$F1163*$O1163,PNL!G1163))</f>
        <v/>
      </c>
      <c r="T1163" t="str">
        <f t="shared" si="75"/>
        <v/>
      </c>
    </row>
    <row r="1164" spans="1:20" x14ac:dyDescent="0.45">
      <c r="A1164" t="str">
        <f>IF(PNL!A1164="","",PNL!A1164)</f>
        <v/>
      </c>
      <c r="B1164" t="str">
        <f>IF(PNL!B1164="","",PNL!B1164)</f>
        <v/>
      </c>
      <c r="C1164" t="str">
        <f>IF(PNL!C1164="","",PNL!C1164)</f>
        <v/>
      </c>
      <c r="D1164" t="str">
        <f>IF(PNL!D1164="","",PNL!D1164)</f>
        <v/>
      </c>
      <c r="E1164" t="str">
        <f t="shared" si="72"/>
        <v/>
      </c>
      <c r="F1164" t="str">
        <f>IF($A1164="","",IF($E1164=1,SUMIFS(Compta!$F$1:$F$675,Compta!$A$1:$A$675,$A1164,Compta!$B$1:$B$675,$B1164,Compta!$C$1:$C$675,"2026"),0))</f>
        <v/>
      </c>
      <c r="G1164" t="str">
        <f>IF($A1164="","",IF($D1164="V01",cad!$C$23,IF($D1164="V02",cad!$D$23,cad!$E$23)))</f>
        <v/>
      </c>
      <c r="H1164" t="str">
        <f>IF($A1164="","",IF($D1164="V01",cad!$C$24,IF($D1164="V02",cad!$D$24,cad!$E$24)))</f>
        <v/>
      </c>
      <c r="I1164" t="str">
        <f>IF($A1164="","",IF($D1164="V01",cad!$C$32,IF($D1164="V02",cad!$D$32,cad!$E$32)))</f>
        <v/>
      </c>
      <c r="J1164" t="str">
        <f>IF($A1164="","",IF($D1164="V01",cad!$C$33,IF($D1164="V02",cad!$D$33,cad!$E$33)))</f>
        <v/>
      </c>
      <c r="K1164" t="str">
        <f>IF($A1164="","",IF($D1164="V01",cad!$C$34,IF($D1164="V02",cad!$D$34,cad!$E$34)))</f>
        <v/>
      </c>
      <c r="L1164" t="str">
        <f>IF($A1164="","",IF($D1164="V01",cad!$C$35,IF($D1164="V02",cad!$D$35,cad!$E$35)))</f>
        <v/>
      </c>
      <c r="M1164" t="str">
        <f>IF($A1164="","",IF($D1164="V01",cad!$C$36,IF($D1164="V02",cad!$D$36,cad!$E$36)))</f>
        <v/>
      </c>
      <c r="N1164" t="str">
        <f t="shared" si="73"/>
        <v/>
      </c>
      <c r="O1164" t="str">
        <f t="shared" si="74"/>
        <v/>
      </c>
      <c r="P1164" t="str">
        <f>IF($A1164="","",IF($E1164=1,$F1164*$O1164,PNL!G1164))</f>
        <v/>
      </c>
      <c r="T1164" t="str">
        <f t="shared" si="75"/>
        <v/>
      </c>
    </row>
    <row r="1165" spans="1:20" x14ac:dyDescent="0.45">
      <c r="A1165" t="str">
        <f>IF(PNL!A1165="","",PNL!A1165)</f>
        <v/>
      </c>
      <c r="B1165" t="str">
        <f>IF(PNL!B1165="","",PNL!B1165)</f>
        <v/>
      </c>
      <c r="C1165" t="str">
        <f>IF(PNL!C1165="","",PNL!C1165)</f>
        <v/>
      </c>
      <c r="D1165" t="str">
        <f>IF(PNL!D1165="","",PNL!D1165)</f>
        <v/>
      </c>
      <c r="E1165" t="str">
        <f t="shared" si="72"/>
        <v/>
      </c>
      <c r="F1165" t="str">
        <f>IF($A1165="","",IF($E1165=1,SUMIFS(Compta!$F$1:$F$675,Compta!$A$1:$A$675,$A1165,Compta!$B$1:$B$675,$B1165,Compta!$C$1:$C$675,"2026"),0))</f>
        <v/>
      </c>
      <c r="G1165" t="str">
        <f>IF($A1165="","",IF($D1165="V01",cad!$C$23,IF($D1165="V02",cad!$D$23,cad!$E$23)))</f>
        <v/>
      </c>
      <c r="H1165" t="str">
        <f>IF($A1165="","",IF($D1165="V01",cad!$C$24,IF($D1165="V02",cad!$D$24,cad!$E$24)))</f>
        <v/>
      </c>
      <c r="I1165" t="str">
        <f>IF($A1165="","",IF($D1165="V01",cad!$C$32,IF($D1165="V02",cad!$D$32,cad!$E$32)))</f>
        <v/>
      </c>
      <c r="J1165" t="str">
        <f>IF($A1165="","",IF($D1165="V01",cad!$C$33,IF($D1165="V02",cad!$D$33,cad!$E$33)))</f>
        <v/>
      </c>
      <c r="K1165" t="str">
        <f>IF($A1165="","",IF($D1165="V01",cad!$C$34,IF($D1165="V02",cad!$D$34,cad!$E$34)))</f>
        <v/>
      </c>
      <c r="L1165" t="str">
        <f>IF($A1165="","",IF($D1165="V01",cad!$C$35,IF($D1165="V02",cad!$D$35,cad!$E$35)))</f>
        <v/>
      </c>
      <c r="M1165" t="str">
        <f>IF($A1165="","",IF($D1165="V01",cad!$C$36,IF($D1165="V02",cad!$D$36,cad!$E$36)))</f>
        <v/>
      </c>
      <c r="N1165" t="str">
        <f t="shared" si="73"/>
        <v/>
      </c>
      <c r="O1165" t="str">
        <f t="shared" si="74"/>
        <v/>
      </c>
      <c r="P1165" t="str">
        <f>IF($A1165="","",IF($E1165=1,$F1165*$O1165,PNL!G1165))</f>
        <v/>
      </c>
      <c r="T1165" t="str">
        <f t="shared" si="75"/>
        <v/>
      </c>
    </row>
    <row r="1166" spans="1:20" x14ac:dyDescent="0.45">
      <c r="A1166" t="str">
        <f>IF(PNL!A1166="","",PNL!A1166)</f>
        <v/>
      </c>
      <c r="B1166" t="str">
        <f>IF(PNL!B1166="","",PNL!B1166)</f>
        <v/>
      </c>
      <c r="C1166" t="str">
        <f>IF(PNL!C1166="","",PNL!C1166)</f>
        <v/>
      </c>
      <c r="D1166" t="str">
        <f>IF(PNL!D1166="","",PNL!D1166)</f>
        <v/>
      </c>
      <c r="E1166" t="str">
        <f t="shared" si="72"/>
        <v/>
      </c>
      <c r="F1166" t="str">
        <f>IF($A1166="","",IF($E1166=1,SUMIFS(Compta!$F$1:$F$675,Compta!$A$1:$A$675,$A1166,Compta!$B$1:$B$675,$B1166,Compta!$C$1:$C$675,"2026"),0))</f>
        <v/>
      </c>
      <c r="G1166" t="str">
        <f>IF($A1166="","",IF($D1166="V01",cad!$C$23,IF($D1166="V02",cad!$D$23,cad!$E$23)))</f>
        <v/>
      </c>
      <c r="H1166" t="str">
        <f>IF($A1166="","",IF($D1166="V01",cad!$C$24,IF($D1166="V02",cad!$D$24,cad!$E$24)))</f>
        <v/>
      </c>
      <c r="I1166" t="str">
        <f>IF($A1166="","",IF($D1166="V01",cad!$C$32,IF($D1166="V02",cad!$D$32,cad!$E$32)))</f>
        <v/>
      </c>
      <c r="J1166" t="str">
        <f>IF($A1166="","",IF($D1166="V01",cad!$C$33,IF($D1166="V02",cad!$D$33,cad!$E$33)))</f>
        <v/>
      </c>
      <c r="K1166" t="str">
        <f>IF($A1166="","",IF($D1166="V01",cad!$C$34,IF($D1166="V02",cad!$D$34,cad!$E$34)))</f>
        <v/>
      </c>
      <c r="L1166" t="str">
        <f>IF($A1166="","",IF($D1166="V01",cad!$C$35,IF($D1166="V02",cad!$D$35,cad!$E$35)))</f>
        <v/>
      </c>
      <c r="M1166" t="str">
        <f>IF($A1166="","",IF($D1166="V01",cad!$C$36,IF($D1166="V02",cad!$D$36,cad!$E$36)))</f>
        <v/>
      </c>
      <c r="N1166" t="str">
        <f t="shared" si="73"/>
        <v/>
      </c>
      <c r="O1166" t="str">
        <f t="shared" si="74"/>
        <v/>
      </c>
      <c r="P1166" t="str">
        <f>IF($A1166="","",IF($E1166=1,$F1166*$O1166,PNL!G1166))</f>
        <v/>
      </c>
      <c r="T1166" t="str">
        <f t="shared" si="75"/>
        <v/>
      </c>
    </row>
    <row r="1167" spans="1:20" x14ac:dyDescent="0.45">
      <c r="A1167" t="str">
        <f>IF(PNL!A1167="","",PNL!A1167)</f>
        <v/>
      </c>
      <c r="B1167" t="str">
        <f>IF(PNL!B1167="","",PNL!B1167)</f>
        <v/>
      </c>
      <c r="C1167" t="str">
        <f>IF(PNL!C1167="","",PNL!C1167)</f>
        <v/>
      </c>
      <c r="D1167" t="str">
        <f>IF(PNL!D1167="","",PNL!D1167)</f>
        <v/>
      </c>
      <c r="E1167" t="str">
        <f t="shared" si="72"/>
        <v/>
      </c>
      <c r="F1167" t="str">
        <f>IF($A1167="","",IF($E1167=1,SUMIFS(Compta!$F$1:$F$675,Compta!$A$1:$A$675,$A1167,Compta!$B$1:$B$675,$B1167,Compta!$C$1:$C$675,"2026"),0))</f>
        <v/>
      </c>
      <c r="G1167" t="str">
        <f>IF($A1167="","",IF($D1167="V01",cad!$C$23,IF($D1167="V02",cad!$D$23,cad!$E$23)))</f>
        <v/>
      </c>
      <c r="H1167" t="str">
        <f>IF($A1167="","",IF($D1167="V01",cad!$C$24,IF($D1167="V02",cad!$D$24,cad!$E$24)))</f>
        <v/>
      </c>
      <c r="I1167" t="str">
        <f>IF($A1167="","",IF($D1167="V01",cad!$C$32,IF($D1167="V02",cad!$D$32,cad!$E$32)))</f>
        <v/>
      </c>
      <c r="J1167" t="str">
        <f>IF($A1167="","",IF($D1167="V01",cad!$C$33,IF($D1167="V02",cad!$D$33,cad!$E$33)))</f>
        <v/>
      </c>
      <c r="K1167" t="str">
        <f>IF($A1167="","",IF($D1167="V01",cad!$C$34,IF($D1167="V02",cad!$D$34,cad!$E$34)))</f>
        <v/>
      </c>
      <c r="L1167" t="str">
        <f>IF($A1167="","",IF($D1167="V01",cad!$C$35,IF($D1167="V02",cad!$D$35,cad!$E$35)))</f>
        <v/>
      </c>
      <c r="M1167" t="str">
        <f>IF($A1167="","",IF($D1167="V01",cad!$C$36,IF($D1167="V02",cad!$D$36,cad!$E$36)))</f>
        <v/>
      </c>
      <c r="N1167" t="str">
        <f t="shared" si="73"/>
        <v/>
      </c>
      <c r="O1167" t="str">
        <f t="shared" si="74"/>
        <v/>
      </c>
      <c r="P1167" t="str">
        <f>IF($A1167="","",IF($E1167=1,$F1167*$O1167,PNL!G1167))</f>
        <v/>
      </c>
      <c r="T1167" t="str">
        <f t="shared" si="75"/>
        <v/>
      </c>
    </row>
    <row r="1168" spans="1:20" x14ac:dyDescent="0.45">
      <c r="A1168" t="str">
        <f>IF(PNL!A1168="","",PNL!A1168)</f>
        <v/>
      </c>
      <c r="B1168" t="str">
        <f>IF(PNL!B1168="","",PNL!B1168)</f>
        <v/>
      </c>
      <c r="C1168" t="str">
        <f>IF(PNL!C1168="","",PNL!C1168)</f>
        <v/>
      </c>
      <c r="D1168" t="str">
        <f>IF(PNL!D1168="","",PNL!D1168)</f>
        <v/>
      </c>
      <c r="E1168" t="str">
        <f t="shared" si="72"/>
        <v/>
      </c>
      <c r="F1168" t="str">
        <f>IF($A1168="","",IF($E1168=1,SUMIFS(Compta!$F$1:$F$675,Compta!$A$1:$A$675,$A1168,Compta!$B$1:$B$675,$B1168,Compta!$C$1:$C$675,"2026"),0))</f>
        <v/>
      </c>
      <c r="G1168" t="str">
        <f>IF($A1168="","",IF($D1168="V01",cad!$C$23,IF($D1168="V02",cad!$D$23,cad!$E$23)))</f>
        <v/>
      </c>
      <c r="H1168" t="str">
        <f>IF($A1168="","",IF($D1168="V01",cad!$C$24,IF($D1168="V02",cad!$D$24,cad!$E$24)))</f>
        <v/>
      </c>
      <c r="I1168" t="str">
        <f>IF($A1168="","",IF($D1168="V01",cad!$C$32,IF($D1168="V02",cad!$D$32,cad!$E$32)))</f>
        <v/>
      </c>
      <c r="J1168" t="str">
        <f>IF($A1168="","",IF($D1168="V01",cad!$C$33,IF($D1168="V02",cad!$D$33,cad!$E$33)))</f>
        <v/>
      </c>
      <c r="K1168" t="str">
        <f>IF($A1168="","",IF($D1168="V01",cad!$C$34,IF($D1168="V02",cad!$D$34,cad!$E$34)))</f>
        <v/>
      </c>
      <c r="L1168" t="str">
        <f>IF($A1168="","",IF($D1168="V01",cad!$C$35,IF($D1168="V02",cad!$D$35,cad!$E$35)))</f>
        <v/>
      </c>
      <c r="M1168" t="str">
        <f>IF($A1168="","",IF($D1168="V01",cad!$C$36,IF($D1168="V02",cad!$D$36,cad!$E$36)))</f>
        <v/>
      </c>
      <c r="N1168" t="str">
        <f t="shared" si="73"/>
        <v/>
      </c>
      <c r="O1168" t="str">
        <f t="shared" si="74"/>
        <v/>
      </c>
      <c r="P1168" t="str">
        <f>IF($A1168="","",IF($E1168=1,$F1168*$O1168,PNL!G1168))</f>
        <v/>
      </c>
      <c r="T1168" t="str">
        <f t="shared" si="75"/>
        <v/>
      </c>
    </row>
    <row r="1169" spans="1:20" x14ac:dyDescent="0.45">
      <c r="A1169" t="str">
        <f>IF(PNL!A1169="","",PNL!A1169)</f>
        <v/>
      </c>
      <c r="B1169" t="str">
        <f>IF(PNL!B1169="","",PNL!B1169)</f>
        <v/>
      </c>
      <c r="C1169" t="str">
        <f>IF(PNL!C1169="","",PNL!C1169)</f>
        <v/>
      </c>
      <c r="D1169" t="str">
        <f>IF(PNL!D1169="","",PNL!D1169)</f>
        <v/>
      </c>
      <c r="E1169" t="str">
        <f t="shared" si="72"/>
        <v/>
      </c>
      <c r="F1169" t="str">
        <f>IF($A1169="","",IF($E1169=1,SUMIFS(Compta!$F$1:$F$675,Compta!$A$1:$A$675,$A1169,Compta!$B$1:$B$675,$B1169,Compta!$C$1:$C$675,"2026"),0))</f>
        <v/>
      </c>
      <c r="G1169" t="str">
        <f>IF($A1169="","",IF($D1169="V01",cad!$C$23,IF($D1169="V02",cad!$D$23,cad!$E$23)))</f>
        <v/>
      </c>
      <c r="H1169" t="str">
        <f>IF($A1169="","",IF($D1169="V01",cad!$C$24,IF($D1169="V02",cad!$D$24,cad!$E$24)))</f>
        <v/>
      </c>
      <c r="I1169" t="str">
        <f>IF($A1169="","",IF($D1169="V01",cad!$C$32,IF($D1169="V02",cad!$D$32,cad!$E$32)))</f>
        <v/>
      </c>
      <c r="J1169" t="str">
        <f>IF($A1169="","",IF($D1169="V01",cad!$C$33,IF($D1169="V02",cad!$D$33,cad!$E$33)))</f>
        <v/>
      </c>
      <c r="K1169" t="str">
        <f>IF($A1169="","",IF($D1169="V01",cad!$C$34,IF($D1169="V02",cad!$D$34,cad!$E$34)))</f>
        <v/>
      </c>
      <c r="L1169" t="str">
        <f>IF($A1169="","",IF($D1169="V01",cad!$C$35,IF($D1169="V02",cad!$D$35,cad!$E$35)))</f>
        <v/>
      </c>
      <c r="M1169" t="str">
        <f>IF($A1169="","",IF($D1169="V01",cad!$C$36,IF($D1169="V02",cad!$D$36,cad!$E$36)))</f>
        <v/>
      </c>
      <c r="N1169" t="str">
        <f t="shared" si="73"/>
        <v/>
      </c>
      <c r="O1169" t="str">
        <f t="shared" si="74"/>
        <v/>
      </c>
      <c r="P1169" t="str">
        <f>IF($A1169="","",IF($E1169=1,$F1169*$O1169,PNL!G1169))</f>
        <v/>
      </c>
      <c r="T1169" t="str">
        <f t="shared" si="75"/>
        <v/>
      </c>
    </row>
    <row r="1170" spans="1:20" x14ac:dyDescent="0.45">
      <c r="A1170" t="str">
        <f>IF(PNL!A1170="","",PNL!A1170)</f>
        <v/>
      </c>
      <c r="B1170" t="str">
        <f>IF(PNL!B1170="","",PNL!B1170)</f>
        <v/>
      </c>
      <c r="C1170" t="str">
        <f>IF(PNL!C1170="","",PNL!C1170)</f>
        <v/>
      </c>
      <c r="D1170" t="str">
        <f>IF(PNL!D1170="","",PNL!D1170)</f>
        <v/>
      </c>
      <c r="E1170" t="str">
        <f t="shared" si="72"/>
        <v/>
      </c>
      <c r="F1170" t="str">
        <f>IF($A1170="","",IF($E1170=1,SUMIFS(Compta!$F$1:$F$675,Compta!$A$1:$A$675,$A1170,Compta!$B$1:$B$675,$B1170,Compta!$C$1:$C$675,"2026"),0))</f>
        <v/>
      </c>
      <c r="G1170" t="str">
        <f>IF($A1170="","",IF($D1170="V01",cad!$C$23,IF($D1170="V02",cad!$D$23,cad!$E$23)))</f>
        <v/>
      </c>
      <c r="H1170" t="str">
        <f>IF($A1170="","",IF($D1170="V01",cad!$C$24,IF($D1170="V02",cad!$D$24,cad!$E$24)))</f>
        <v/>
      </c>
      <c r="I1170" t="str">
        <f>IF($A1170="","",IF($D1170="V01",cad!$C$32,IF($D1170="V02",cad!$D$32,cad!$E$32)))</f>
        <v/>
      </c>
      <c r="J1170" t="str">
        <f>IF($A1170="","",IF($D1170="V01",cad!$C$33,IF($D1170="V02",cad!$D$33,cad!$E$33)))</f>
        <v/>
      </c>
      <c r="K1170" t="str">
        <f>IF($A1170="","",IF($D1170="V01",cad!$C$34,IF($D1170="V02",cad!$D$34,cad!$E$34)))</f>
        <v/>
      </c>
      <c r="L1170" t="str">
        <f>IF($A1170="","",IF($D1170="V01",cad!$C$35,IF($D1170="V02",cad!$D$35,cad!$E$35)))</f>
        <v/>
      </c>
      <c r="M1170" t="str">
        <f>IF($A1170="","",IF($D1170="V01",cad!$C$36,IF($D1170="V02",cad!$D$36,cad!$E$36)))</f>
        <v/>
      </c>
      <c r="N1170" t="str">
        <f t="shared" si="73"/>
        <v/>
      </c>
      <c r="O1170" t="str">
        <f t="shared" si="74"/>
        <v/>
      </c>
      <c r="P1170" t="str">
        <f>IF($A1170="","",IF($E1170=1,$F1170*$O1170,PNL!G1170))</f>
        <v/>
      </c>
      <c r="T1170" t="str">
        <f t="shared" si="75"/>
        <v/>
      </c>
    </row>
    <row r="1171" spans="1:20" x14ac:dyDescent="0.45">
      <c r="A1171" t="str">
        <f>IF(PNL!A1171="","",PNL!A1171)</f>
        <v/>
      </c>
      <c r="B1171" t="str">
        <f>IF(PNL!B1171="","",PNL!B1171)</f>
        <v/>
      </c>
      <c r="C1171" t="str">
        <f>IF(PNL!C1171="","",PNL!C1171)</f>
        <v/>
      </c>
      <c r="D1171" t="str">
        <f>IF(PNL!D1171="","",PNL!D1171)</f>
        <v/>
      </c>
      <c r="E1171" t="str">
        <f t="shared" si="72"/>
        <v/>
      </c>
      <c r="F1171" t="str">
        <f>IF($A1171="","",IF($E1171=1,SUMIFS(Compta!$F$1:$F$675,Compta!$A$1:$A$675,$A1171,Compta!$B$1:$B$675,$B1171,Compta!$C$1:$C$675,"2026"),0))</f>
        <v/>
      </c>
      <c r="G1171" t="str">
        <f>IF($A1171="","",IF($D1171="V01",cad!$C$23,IF($D1171="V02",cad!$D$23,cad!$E$23)))</f>
        <v/>
      </c>
      <c r="H1171" t="str">
        <f>IF($A1171="","",IF($D1171="V01",cad!$C$24,IF($D1171="V02",cad!$D$24,cad!$E$24)))</f>
        <v/>
      </c>
      <c r="I1171" t="str">
        <f>IF($A1171="","",IF($D1171="V01",cad!$C$32,IF($D1171="V02",cad!$D$32,cad!$E$32)))</f>
        <v/>
      </c>
      <c r="J1171" t="str">
        <f>IF($A1171="","",IF($D1171="V01",cad!$C$33,IF($D1171="V02",cad!$D$33,cad!$E$33)))</f>
        <v/>
      </c>
      <c r="K1171" t="str">
        <f>IF($A1171="","",IF($D1171="V01",cad!$C$34,IF($D1171="V02",cad!$D$34,cad!$E$34)))</f>
        <v/>
      </c>
      <c r="L1171" t="str">
        <f>IF($A1171="","",IF($D1171="V01",cad!$C$35,IF($D1171="V02",cad!$D$35,cad!$E$35)))</f>
        <v/>
      </c>
      <c r="M1171" t="str">
        <f>IF($A1171="","",IF($D1171="V01",cad!$C$36,IF($D1171="V02",cad!$D$36,cad!$E$36)))</f>
        <v/>
      </c>
      <c r="N1171" t="str">
        <f t="shared" si="73"/>
        <v/>
      </c>
      <c r="O1171" t="str">
        <f t="shared" si="74"/>
        <v/>
      </c>
      <c r="P1171" t="str">
        <f>IF($A1171="","",IF($E1171=1,$F1171*$O1171,PNL!G1171))</f>
        <v/>
      </c>
      <c r="T1171" t="str">
        <f t="shared" si="75"/>
        <v/>
      </c>
    </row>
    <row r="1172" spans="1:20" x14ac:dyDescent="0.45">
      <c r="A1172" t="str">
        <f>IF(PNL!A1172="","",PNL!A1172)</f>
        <v/>
      </c>
      <c r="B1172" t="str">
        <f>IF(PNL!B1172="","",PNL!B1172)</f>
        <v/>
      </c>
      <c r="C1172" t="str">
        <f>IF(PNL!C1172="","",PNL!C1172)</f>
        <v/>
      </c>
      <c r="D1172" t="str">
        <f>IF(PNL!D1172="","",PNL!D1172)</f>
        <v/>
      </c>
      <c r="E1172" t="str">
        <f t="shared" si="72"/>
        <v/>
      </c>
      <c r="F1172" t="str">
        <f>IF($A1172="","",IF($E1172=1,SUMIFS(Compta!$F$1:$F$675,Compta!$A$1:$A$675,$A1172,Compta!$B$1:$B$675,$B1172,Compta!$C$1:$C$675,"2026"),0))</f>
        <v/>
      </c>
      <c r="G1172" t="str">
        <f>IF($A1172="","",IF($D1172="V01",cad!$C$23,IF($D1172="V02",cad!$D$23,cad!$E$23)))</f>
        <v/>
      </c>
      <c r="H1172" t="str">
        <f>IF($A1172="","",IF($D1172="V01",cad!$C$24,IF($D1172="V02",cad!$D$24,cad!$E$24)))</f>
        <v/>
      </c>
      <c r="I1172" t="str">
        <f>IF($A1172="","",IF($D1172="V01",cad!$C$32,IF($D1172="V02",cad!$D$32,cad!$E$32)))</f>
        <v/>
      </c>
      <c r="J1172" t="str">
        <f>IF($A1172="","",IF($D1172="V01",cad!$C$33,IF($D1172="V02",cad!$D$33,cad!$E$33)))</f>
        <v/>
      </c>
      <c r="K1172" t="str">
        <f>IF($A1172="","",IF($D1172="V01",cad!$C$34,IF($D1172="V02",cad!$D$34,cad!$E$34)))</f>
        <v/>
      </c>
      <c r="L1172" t="str">
        <f>IF($A1172="","",IF($D1172="V01",cad!$C$35,IF($D1172="V02",cad!$D$35,cad!$E$35)))</f>
        <v/>
      </c>
      <c r="M1172" t="str">
        <f>IF($A1172="","",IF($D1172="V01",cad!$C$36,IF($D1172="V02",cad!$D$36,cad!$E$36)))</f>
        <v/>
      </c>
      <c r="N1172" t="str">
        <f t="shared" si="73"/>
        <v/>
      </c>
      <c r="O1172" t="str">
        <f t="shared" si="74"/>
        <v/>
      </c>
      <c r="P1172" t="str">
        <f>IF($A1172="","",IF($E1172=1,$F1172*$O1172,PNL!G1172))</f>
        <v/>
      </c>
      <c r="T1172" t="str">
        <f t="shared" si="75"/>
        <v/>
      </c>
    </row>
    <row r="1173" spans="1:20" x14ac:dyDescent="0.45">
      <c r="A1173" t="str">
        <f>IF(PNL!A1173="","",PNL!A1173)</f>
        <v/>
      </c>
      <c r="B1173" t="str">
        <f>IF(PNL!B1173="","",PNL!B1173)</f>
        <v/>
      </c>
      <c r="C1173" t="str">
        <f>IF(PNL!C1173="","",PNL!C1173)</f>
        <v/>
      </c>
      <c r="D1173" t="str">
        <f>IF(PNL!D1173="","",PNL!D1173)</f>
        <v/>
      </c>
      <c r="E1173" t="str">
        <f t="shared" si="72"/>
        <v/>
      </c>
      <c r="F1173" t="str">
        <f>IF($A1173="","",IF($E1173=1,SUMIFS(Compta!$F$1:$F$675,Compta!$A$1:$A$675,$A1173,Compta!$B$1:$B$675,$B1173,Compta!$C$1:$C$675,"2026"),0))</f>
        <v/>
      </c>
      <c r="G1173" t="str">
        <f>IF($A1173="","",IF($D1173="V01",cad!$C$23,IF($D1173="V02",cad!$D$23,cad!$E$23)))</f>
        <v/>
      </c>
      <c r="H1173" t="str">
        <f>IF($A1173="","",IF($D1173="V01",cad!$C$24,IF($D1173="V02",cad!$D$24,cad!$E$24)))</f>
        <v/>
      </c>
      <c r="I1173" t="str">
        <f>IF($A1173="","",IF($D1173="V01",cad!$C$32,IF($D1173="V02",cad!$D$32,cad!$E$32)))</f>
        <v/>
      </c>
      <c r="J1173" t="str">
        <f>IF($A1173="","",IF($D1173="V01",cad!$C$33,IF($D1173="V02",cad!$D$33,cad!$E$33)))</f>
        <v/>
      </c>
      <c r="K1173" t="str">
        <f>IF($A1173="","",IF($D1173="V01",cad!$C$34,IF($D1173="V02",cad!$D$34,cad!$E$34)))</f>
        <v/>
      </c>
      <c r="L1173" t="str">
        <f>IF($A1173="","",IF($D1173="V01",cad!$C$35,IF($D1173="V02",cad!$D$35,cad!$E$35)))</f>
        <v/>
      </c>
      <c r="M1173" t="str">
        <f>IF($A1173="","",IF($D1173="V01",cad!$C$36,IF($D1173="V02",cad!$D$36,cad!$E$36)))</f>
        <v/>
      </c>
      <c r="N1173" t="str">
        <f t="shared" si="73"/>
        <v/>
      </c>
      <c r="O1173" t="str">
        <f t="shared" si="74"/>
        <v/>
      </c>
      <c r="P1173" t="str">
        <f>IF($A1173="","",IF($E1173=1,$F1173*$O1173,PNL!G1173))</f>
        <v/>
      </c>
      <c r="T1173" t="str">
        <f t="shared" si="75"/>
        <v/>
      </c>
    </row>
    <row r="1174" spans="1:20" x14ac:dyDescent="0.45">
      <c r="A1174" t="str">
        <f>IF(PNL!A1174="","",PNL!A1174)</f>
        <v/>
      </c>
      <c r="B1174" t="str">
        <f>IF(PNL!B1174="","",PNL!B1174)</f>
        <v/>
      </c>
      <c r="C1174" t="str">
        <f>IF(PNL!C1174="","",PNL!C1174)</f>
        <v/>
      </c>
      <c r="D1174" t="str">
        <f>IF(PNL!D1174="","",PNL!D1174)</f>
        <v/>
      </c>
      <c r="E1174" t="str">
        <f t="shared" si="72"/>
        <v/>
      </c>
      <c r="F1174" t="str">
        <f>IF($A1174="","",IF($E1174=1,SUMIFS(Compta!$F$1:$F$675,Compta!$A$1:$A$675,$A1174,Compta!$B$1:$B$675,$B1174,Compta!$C$1:$C$675,"2026"),0))</f>
        <v/>
      </c>
      <c r="G1174" t="str">
        <f>IF($A1174="","",IF($D1174="V01",cad!$C$23,IF($D1174="V02",cad!$D$23,cad!$E$23)))</f>
        <v/>
      </c>
      <c r="H1174" t="str">
        <f>IF($A1174="","",IF($D1174="V01",cad!$C$24,IF($D1174="V02",cad!$D$24,cad!$E$24)))</f>
        <v/>
      </c>
      <c r="I1174" t="str">
        <f>IF($A1174="","",IF($D1174="V01",cad!$C$32,IF($D1174="V02",cad!$D$32,cad!$E$32)))</f>
        <v/>
      </c>
      <c r="J1174" t="str">
        <f>IF($A1174="","",IF($D1174="V01",cad!$C$33,IF($D1174="V02",cad!$D$33,cad!$E$33)))</f>
        <v/>
      </c>
      <c r="K1174" t="str">
        <f>IF($A1174="","",IF($D1174="V01",cad!$C$34,IF($D1174="V02",cad!$D$34,cad!$E$34)))</f>
        <v/>
      </c>
      <c r="L1174" t="str">
        <f>IF($A1174="","",IF($D1174="V01",cad!$C$35,IF($D1174="V02",cad!$D$35,cad!$E$35)))</f>
        <v/>
      </c>
      <c r="M1174" t="str">
        <f>IF($A1174="","",IF($D1174="V01",cad!$C$36,IF($D1174="V02",cad!$D$36,cad!$E$36)))</f>
        <v/>
      </c>
      <c r="N1174" t="str">
        <f t="shared" si="73"/>
        <v/>
      </c>
      <c r="O1174" t="str">
        <f t="shared" si="74"/>
        <v/>
      </c>
      <c r="P1174" t="str">
        <f>IF($A1174="","",IF($E1174=1,$F1174*$O1174,PNL!G1174))</f>
        <v/>
      </c>
      <c r="T1174" t="str">
        <f t="shared" si="75"/>
        <v/>
      </c>
    </row>
    <row r="1175" spans="1:20" x14ac:dyDescent="0.45">
      <c r="A1175" t="str">
        <f>IF(PNL!A1175="","",PNL!A1175)</f>
        <v/>
      </c>
      <c r="B1175" t="str">
        <f>IF(PNL!B1175="","",PNL!B1175)</f>
        <v/>
      </c>
      <c r="C1175" t="str">
        <f>IF(PNL!C1175="","",PNL!C1175)</f>
        <v/>
      </c>
      <c r="D1175" t="str">
        <f>IF(PNL!D1175="","",PNL!D1175)</f>
        <v/>
      </c>
      <c r="E1175" t="str">
        <f t="shared" si="72"/>
        <v/>
      </c>
      <c r="F1175" t="str">
        <f>IF($A1175="","",IF($E1175=1,SUMIFS(Compta!$F$1:$F$675,Compta!$A$1:$A$675,$A1175,Compta!$B$1:$B$675,$B1175,Compta!$C$1:$C$675,"2026"),0))</f>
        <v/>
      </c>
      <c r="G1175" t="str">
        <f>IF($A1175="","",IF($D1175="V01",cad!$C$23,IF($D1175="V02",cad!$D$23,cad!$E$23)))</f>
        <v/>
      </c>
      <c r="H1175" t="str">
        <f>IF($A1175="","",IF($D1175="V01",cad!$C$24,IF($D1175="V02",cad!$D$24,cad!$E$24)))</f>
        <v/>
      </c>
      <c r="I1175" t="str">
        <f>IF($A1175="","",IF($D1175="V01",cad!$C$32,IF($D1175="V02",cad!$D$32,cad!$E$32)))</f>
        <v/>
      </c>
      <c r="J1175" t="str">
        <f>IF($A1175="","",IF($D1175="V01",cad!$C$33,IF($D1175="V02",cad!$D$33,cad!$E$33)))</f>
        <v/>
      </c>
      <c r="K1175" t="str">
        <f>IF($A1175="","",IF($D1175="V01",cad!$C$34,IF($D1175="V02",cad!$D$34,cad!$E$34)))</f>
        <v/>
      </c>
      <c r="L1175" t="str">
        <f>IF($A1175="","",IF($D1175="V01",cad!$C$35,IF($D1175="V02",cad!$D$35,cad!$E$35)))</f>
        <v/>
      </c>
      <c r="M1175" t="str">
        <f>IF($A1175="","",IF($D1175="V01",cad!$C$36,IF($D1175="V02",cad!$D$36,cad!$E$36)))</f>
        <v/>
      </c>
      <c r="N1175" t="str">
        <f t="shared" si="73"/>
        <v/>
      </c>
      <c r="O1175" t="str">
        <f t="shared" si="74"/>
        <v/>
      </c>
      <c r="P1175" t="str">
        <f>IF($A1175="","",IF($E1175=1,$F1175*$O1175,PNL!G1175))</f>
        <v/>
      </c>
      <c r="T1175" t="str">
        <f t="shared" si="75"/>
        <v/>
      </c>
    </row>
    <row r="1176" spans="1:20" x14ac:dyDescent="0.45">
      <c r="A1176" t="str">
        <f>IF(PNL!A1176="","",PNL!A1176)</f>
        <v/>
      </c>
      <c r="B1176" t="str">
        <f>IF(PNL!B1176="","",PNL!B1176)</f>
        <v/>
      </c>
      <c r="C1176" t="str">
        <f>IF(PNL!C1176="","",PNL!C1176)</f>
        <v/>
      </c>
      <c r="D1176" t="str">
        <f>IF(PNL!D1176="","",PNL!D1176)</f>
        <v/>
      </c>
      <c r="E1176" t="str">
        <f t="shared" si="72"/>
        <v/>
      </c>
      <c r="F1176" t="str">
        <f>IF($A1176="","",IF($E1176=1,SUMIFS(Compta!$F$1:$F$675,Compta!$A$1:$A$675,$A1176,Compta!$B$1:$B$675,$B1176,Compta!$C$1:$C$675,"2026"),0))</f>
        <v/>
      </c>
      <c r="G1176" t="str">
        <f>IF($A1176="","",IF($D1176="V01",cad!$C$23,IF($D1176="V02",cad!$D$23,cad!$E$23)))</f>
        <v/>
      </c>
      <c r="H1176" t="str">
        <f>IF($A1176="","",IF($D1176="V01",cad!$C$24,IF($D1176="V02",cad!$D$24,cad!$E$24)))</f>
        <v/>
      </c>
      <c r="I1176" t="str">
        <f>IF($A1176="","",IF($D1176="V01",cad!$C$32,IF($D1176="V02",cad!$D$32,cad!$E$32)))</f>
        <v/>
      </c>
      <c r="J1176" t="str">
        <f>IF($A1176="","",IF($D1176="V01",cad!$C$33,IF($D1176="V02",cad!$D$33,cad!$E$33)))</f>
        <v/>
      </c>
      <c r="K1176" t="str">
        <f>IF($A1176="","",IF($D1176="V01",cad!$C$34,IF($D1176="V02",cad!$D$34,cad!$E$34)))</f>
        <v/>
      </c>
      <c r="L1176" t="str">
        <f>IF($A1176="","",IF($D1176="V01",cad!$C$35,IF($D1176="V02",cad!$D$35,cad!$E$35)))</f>
        <v/>
      </c>
      <c r="M1176" t="str">
        <f>IF($A1176="","",IF($D1176="V01",cad!$C$36,IF($D1176="V02",cad!$D$36,cad!$E$36)))</f>
        <v/>
      </c>
      <c r="N1176" t="str">
        <f t="shared" si="73"/>
        <v/>
      </c>
      <c r="O1176" t="str">
        <f t="shared" si="74"/>
        <v/>
      </c>
      <c r="P1176" t="str">
        <f>IF($A1176="","",IF($E1176=1,$F1176*$O1176,PNL!G1176))</f>
        <v/>
      </c>
      <c r="T1176" t="str">
        <f t="shared" si="75"/>
        <v/>
      </c>
    </row>
    <row r="1177" spans="1:20" x14ac:dyDescent="0.45">
      <c r="A1177" t="str">
        <f>IF(PNL!A1177="","",PNL!A1177)</f>
        <v/>
      </c>
      <c r="B1177" t="str">
        <f>IF(PNL!B1177="","",PNL!B1177)</f>
        <v/>
      </c>
      <c r="C1177" t="str">
        <f>IF(PNL!C1177="","",PNL!C1177)</f>
        <v/>
      </c>
      <c r="D1177" t="str">
        <f>IF(PNL!D1177="","",PNL!D1177)</f>
        <v/>
      </c>
      <c r="E1177" t="str">
        <f t="shared" si="72"/>
        <v/>
      </c>
      <c r="F1177" t="str">
        <f>IF($A1177="","",IF($E1177=1,SUMIFS(Compta!$F$1:$F$675,Compta!$A$1:$A$675,$A1177,Compta!$B$1:$B$675,$B1177,Compta!$C$1:$C$675,"2026"),0))</f>
        <v/>
      </c>
      <c r="G1177" t="str">
        <f>IF($A1177="","",IF($D1177="V01",cad!$C$23,IF($D1177="V02",cad!$D$23,cad!$E$23)))</f>
        <v/>
      </c>
      <c r="H1177" t="str">
        <f>IF($A1177="","",IF($D1177="V01",cad!$C$24,IF($D1177="V02",cad!$D$24,cad!$E$24)))</f>
        <v/>
      </c>
      <c r="I1177" t="str">
        <f>IF($A1177="","",IF($D1177="V01",cad!$C$32,IF($D1177="V02",cad!$D$32,cad!$E$32)))</f>
        <v/>
      </c>
      <c r="J1177" t="str">
        <f>IF($A1177="","",IF($D1177="V01",cad!$C$33,IF($D1177="V02",cad!$D$33,cad!$E$33)))</f>
        <v/>
      </c>
      <c r="K1177" t="str">
        <f>IF($A1177="","",IF($D1177="V01",cad!$C$34,IF($D1177="V02",cad!$D$34,cad!$E$34)))</f>
        <v/>
      </c>
      <c r="L1177" t="str">
        <f>IF($A1177="","",IF($D1177="V01",cad!$C$35,IF($D1177="V02",cad!$D$35,cad!$E$35)))</f>
        <v/>
      </c>
      <c r="M1177" t="str">
        <f>IF($A1177="","",IF($D1177="V01",cad!$C$36,IF($D1177="V02",cad!$D$36,cad!$E$36)))</f>
        <v/>
      </c>
      <c r="N1177" t="str">
        <f t="shared" si="73"/>
        <v/>
      </c>
      <c r="O1177" t="str">
        <f t="shared" si="74"/>
        <v/>
      </c>
      <c r="P1177" t="str">
        <f>IF($A1177="","",IF($E1177=1,$F1177*$O1177,PNL!G1177))</f>
        <v/>
      </c>
      <c r="T1177" t="str">
        <f t="shared" si="75"/>
        <v/>
      </c>
    </row>
    <row r="1178" spans="1:20" x14ac:dyDescent="0.45">
      <c r="A1178" t="str">
        <f>IF(PNL!A1178="","",PNL!A1178)</f>
        <v/>
      </c>
      <c r="B1178" t="str">
        <f>IF(PNL!B1178="","",PNL!B1178)</f>
        <v/>
      </c>
      <c r="C1178" t="str">
        <f>IF(PNL!C1178="","",PNL!C1178)</f>
        <v/>
      </c>
      <c r="D1178" t="str">
        <f>IF(PNL!D1178="","",PNL!D1178)</f>
        <v/>
      </c>
      <c r="E1178" t="str">
        <f t="shared" si="72"/>
        <v/>
      </c>
      <c r="F1178" t="str">
        <f>IF($A1178="","",IF($E1178=1,SUMIFS(Compta!$F$1:$F$675,Compta!$A$1:$A$675,$A1178,Compta!$B$1:$B$675,$B1178,Compta!$C$1:$C$675,"2026"),0))</f>
        <v/>
      </c>
      <c r="G1178" t="str">
        <f>IF($A1178="","",IF($D1178="V01",cad!$C$23,IF($D1178="V02",cad!$D$23,cad!$E$23)))</f>
        <v/>
      </c>
      <c r="H1178" t="str">
        <f>IF($A1178="","",IF($D1178="V01",cad!$C$24,IF($D1178="V02",cad!$D$24,cad!$E$24)))</f>
        <v/>
      </c>
      <c r="I1178" t="str">
        <f>IF($A1178="","",IF($D1178="V01",cad!$C$32,IF($D1178="V02",cad!$D$32,cad!$E$32)))</f>
        <v/>
      </c>
      <c r="J1178" t="str">
        <f>IF($A1178="","",IF($D1178="V01",cad!$C$33,IF($D1178="V02",cad!$D$33,cad!$E$33)))</f>
        <v/>
      </c>
      <c r="K1178" t="str">
        <f>IF($A1178="","",IF($D1178="V01",cad!$C$34,IF($D1178="V02",cad!$D$34,cad!$E$34)))</f>
        <v/>
      </c>
      <c r="L1178" t="str">
        <f>IF($A1178="","",IF($D1178="V01",cad!$C$35,IF($D1178="V02",cad!$D$35,cad!$E$35)))</f>
        <v/>
      </c>
      <c r="M1178" t="str">
        <f>IF($A1178="","",IF($D1178="V01",cad!$C$36,IF($D1178="V02",cad!$D$36,cad!$E$36)))</f>
        <v/>
      </c>
      <c r="N1178" t="str">
        <f t="shared" si="73"/>
        <v/>
      </c>
      <c r="O1178" t="str">
        <f t="shared" si="74"/>
        <v/>
      </c>
      <c r="P1178" t="str">
        <f>IF($A1178="","",IF($E1178=1,$F1178*$O1178,PNL!G1178))</f>
        <v/>
      </c>
      <c r="T1178" t="str">
        <f t="shared" si="75"/>
        <v/>
      </c>
    </row>
    <row r="1179" spans="1:20" x14ac:dyDescent="0.45">
      <c r="A1179" t="str">
        <f>IF(PNL!A1179="","",PNL!A1179)</f>
        <v/>
      </c>
      <c r="B1179" t="str">
        <f>IF(PNL!B1179="","",PNL!B1179)</f>
        <v/>
      </c>
      <c r="C1179" t="str">
        <f>IF(PNL!C1179="","",PNL!C1179)</f>
        <v/>
      </c>
      <c r="D1179" t="str">
        <f>IF(PNL!D1179="","",PNL!D1179)</f>
        <v/>
      </c>
      <c r="E1179" t="str">
        <f t="shared" si="72"/>
        <v/>
      </c>
      <c r="F1179" t="str">
        <f>IF($A1179="","",IF($E1179=1,SUMIFS(Compta!$F$1:$F$675,Compta!$A$1:$A$675,$A1179,Compta!$B$1:$B$675,$B1179,Compta!$C$1:$C$675,"2026"),0))</f>
        <v/>
      </c>
      <c r="G1179" t="str">
        <f>IF($A1179="","",IF($D1179="V01",cad!$C$23,IF($D1179="V02",cad!$D$23,cad!$E$23)))</f>
        <v/>
      </c>
      <c r="H1179" t="str">
        <f>IF($A1179="","",IF($D1179="V01",cad!$C$24,IF($D1179="V02",cad!$D$24,cad!$E$24)))</f>
        <v/>
      </c>
      <c r="I1179" t="str">
        <f>IF($A1179="","",IF($D1179="V01",cad!$C$32,IF($D1179="V02",cad!$D$32,cad!$E$32)))</f>
        <v/>
      </c>
      <c r="J1179" t="str">
        <f>IF($A1179="","",IF($D1179="V01",cad!$C$33,IF($D1179="V02",cad!$D$33,cad!$E$33)))</f>
        <v/>
      </c>
      <c r="K1179" t="str">
        <f>IF($A1179="","",IF($D1179="V01",cad!$C$34,IF($D1179="V02",cad!$D$34,cad!$E$34)))</f>
        <v/>
      </c>
      <c r="L1179" t="str">
        <f>IF($A1179="","",IF($D1179="V01",cad!$C$35,IF($D1179="V02",cad!$D$35,cad!$E$35)))</f>
        <v/>
      </c>
      <c r="M1179" t="str">
        <f>IF($A1179="","",IF($D1179="V01",cad!$C$36,IF($D1179="V02",cad!$D$36,cad!$E$36)))</f>
        <v/>
      </c>
      <c r="N1179" t="str">
        <f t="shared" si="73"/>
        <v/>
      </c>
      <c r="O1179" t="str">
        <f t="shared" si="74"/>
        <v/>
      </c>
      <c r="P1179" t="str">
        <f>IF($A1179="","",IF($E1179=1,$F1179*$O1179,PNL!G1179))</f>
        <v/>
      </c>
      <c r="T1179" t="str">
        <f t="shared" si="75"/>
        <v/>
      </c>
    </row>
    <row r="1180" spans="1:20" x14ac:dyDescent="0.45">
      <c r="A1180" t="str">
        <f>IF(PNL!A1180="","",PNL!A1180)</f>
        <v/>
      </c>
      <c r="B1180" t="str">
        <f>IF(PNL!B1180="","",PNL!B1180)</f>
        <v/>
      </c>
      <c r="C1180" t="str">
        <f>IF(PNL!C1180="","",PNL!C1180)</f>
        <v/>
      </c>
      <c r="D1180" t="str">
        <f>IF(PNL!D1180="","",PNL!D1180)</f>
        <v/>
      </c>
      <c r="E1180" t="str">
        <f t="shared" si="72"/>
        <v/>
      </c>
      <c r="F1180" t="str">
        <f>IF($A1180="","",IF($E1180=1,SUMIFS(Compta!$F$1:$F$675,Compta!$A$1:$A$675,$A1180,Compta!$B$1:$B$675,$B1180,Compta!$C$1:$C$675,"2026"),0))</f>
        <v/>
      </c>
      <c r="G1180" t="str">
        <f>IF($A1180="","",IF($D1180="V01",cad!$C$23,IF($D1180="V02",cad!$D$23,cad!$E$23)))</f>
        <v/>
      </c>
      <c r="H1180" t="str">
        <f>IF($A1180="","",IF($D1180="V01",cad!$C$24,IF($D1180="V02",cad!$D$24,cad!$E$24)))</f>
        <v/>
      </c>
      <c r="I1180" t="str">
        <f>IF($A1180="","",IF($D1180="V01",cad!$C$32,IF($D1180="V02",cad!$D$32,cad!$E$32)))</f>
        <v/>
      </c>
      <c r="J1180" t="str">
        <f>IF($A1180="","",IF($D1180="V01",cad!$C$33,IF($D1180="V02",cad!$D$33,cad!$E$33)))</f>
        <v/>
      </c>
      <c r="K1180" t="str">
        <f>IF($A1180="","",IF($D1180="V01",cad!$C$34,IF($D1180="V02",cad!$D$34,cad!$E$34)))</f>
        <v/>
      </c>
      <c r="L1180" t="str">
        <f>IF($A1180="","",IF($D1180="V01",cad!$C$35,IF($D1180="V02",cad!$D$35,cad!$E$35)))</f>
        <v/>
      </c>
      <c r="M1180" t="str">
        <f>IF($A1180="","",IF($D1180="V01",cad!$C$36,IF($D1180="V02",cad!$D$36,cad!$E$36)))</f>
        <v/>
      </c>
      <c r="N1180" t="str">
        <f t="shared" si="73"/>
        <v/>
      </c>
      <c r="O1180" t="str">
        <f t="shared" si="74"/>
        <v/>
      </c>
      <c r="P1180" t="str">
        <f>IF($A1180="","",IF($E1180=1,$F1180*$O1180,PNL!G1180))</f>
        <v/>
      </c>
      <c r="T1180" t="str">
        <f t="shared" si="75"/>
        <v/>
      </c>
    </row>
    <row r="1181" spans="1:20" x14ac:dyDescent="0.45">
      <c r="A1181" t="str">
        <f>IF(PNL!A1181="","",PNL!A1181)</f>
        <v/>
      </c>
      <c r="B1181" t="str">
        <f>IF(PNL!B1181="","",PNL!B1181)</f>
        <v/>
      </c>
      <c r="C1181" t="str">
        <f>IF(PNL!C1181="","",PNL!C1181)</f>
        <v/>
      </c>
      <c r="D1181" t="str">
        <f>IF(PNL!D1181="","",PNL!D1181)</f>
        <v/>
      </c>
      <c r="E1181" t="str">
        <f t="shared" si="72"/>
        <v/>
      </c>
      <c r="F1181" t="str">
        <f>IF($A1181="","",IF($E1181=1,SUMIFS(Compta!$F$1:$F$675,Compta!$A$1:$A$675,$A1181,Compta!$B$1:$B$675,$B1181,Compta!$C$1:$C$675,"2026"),0))</f>
        <v/>
      </c>
      <c r="G1181" t="str">
        <f>IF($A1181="","",IF($D1181="V01",cad!$C$23,IF($D1181="V02",cad!$D$23,cad!$E$23)))</f>
        <v/>
      </c>
      <c r="H1181" t="str">
        <f>IF($A1181="","",IF($D1181="V01",cad!$C$24,IF($D1181="V02",cad!$D$24,cad!$E$24)))</f>
        <v/>
      </c>
      <c r="I1181" t="str">
        <f>IF($A1181="","",IF($D1181="V01",cad!$C$32,IF($D1181="V02",cad!$D$32,cad!$E$32)))</f>
        <v/>
      </c>
      <c r="J1181" t="str">
        <f>IF($A1181="","",IF($D1181="V01",cad!$C$33,IF($D1181="V02",cad!$D$33,cad!$E$33)))</f>
        <v/>
      </c>
      <c r="K1181" t="str">
        <f>IF($A1181="","",IF($D1181="V01",cad!$C$34,IF($D1181="V02",cad!$D$34,cad!$E$34)))</f>
        <v/>
      </c>
      <c r="L1181" t="str">
        <f>IF($A1181="","",IF($D1181="V01",cad!$C$35,IF($D1181="V02",cad!$D$35,cad!$E$35)))</f>
        <v/>
      </c>
      <c r="M1181" t="str">
        <f>IF($A1181="","",IF($D1181="V01",cad!$C$36,IF($D1181="V02",cad!$D$36,cad!$E$36)))</f>
        <v/>
      </c>
      <c r="N1181" t="str">
        <f t="shared" si="73"/>
        <v/>
      </c>
      <c r="O1181" t="str">
        <f t="shared" si="74"/>
        <v/>
      </c>
      <c r="P1181" t="str">
        <f>IF($A1181="","",IF($E1181=1,$F1181*$O1181,PNL!G1181))</f>
        <v/>
      </c>
      <c r="T1181" t="str">
        <f t="shared" si="75"/>
        <v/>
      </c>
    </row>
    <row r="1182" spans="1:20" x14ac:dyDescent="0.45">
      <c r="A1182" t="str">
        <f>IF(PNL!A1182="","",PNL!A1182)</f>
        <v/>
      </c>
      <c r="B1182" t="str">
        <f>IF(PNL!B1182="","",PNL!B1182)</f>
        <v/>
      </c>
      <c r="C1182" t="str">
        <f>IF(PNL!C1182="","",PNL!C1182)</f>
        <v/>
      </c>
      <c r="D1182" t="str">
        <f>IF(PNL!D1182="","",PNL!D1182)</f>
        <v/>
      </c>
      <c r="E1182" t="str">
        <f t="shared" si="72"/>
        <v/>
      </c>
      <c r="F1182" t="str">
        <f>IF($A1182="","",IF($E1182=1,SUMIFS(Compta!$F$1:$F$675,Compta!$A$1:$A$675,$A1182,Compta!$B$1:$B$675,$B1182,Compta!$C$1:$C$675,"2026"),0))</f>
        <v/>
      </c>
      <c r="G1182" t="str">
        <f>IF($A1182="","",IF($D1182="V01",cad!$C$23,IF($D1182="V02",cad!$D$23,cad!$E$23)))</f>
        <v/>
      </c>
      <c r="H1182" t="str">
        <f>IF($A1182="","",IF($D1182="V01",cad!$C$24,IF($D1182="V02",cad!$D$24,cad!$E$24)))</f>
        <v/>
      </c>
      <c r="I1182" t="str">
        <f>IF($A1182="","",IF($D1182="V01",cad!$C$32,IF($D1182="V02",cad!$D$32,cad!$E$32)))</f>
        <v/>
      </c>
      <c r="J1182" t="str">
        <f>IF($A1182="","",IF($D1182="V01",cad!$C$33,IF($D1182="V02",cad!$D$33,cad!$E$33)))</f>
        <v/>
      </c>
      <c r="K1182" t="str">
        <f>IF($A1182="","",IF($D1182="V01",cad!$C$34,IF($D1182="V02",cad!$D$34,cad!$E$34)))</f>
        <v/>
      </c>
      <c r="L1182" t="str">
        <f>IF($A1182="","",IF($D1182="V01",cad!$C$35,IF($D1182="V02",cad!$D$35,cad!$E$35)))</f>
        <v/>
      </c>
      <c r="M1182" t="str">
        <f>IF($A1182="","",IF($D1182="V01",cad!$C$36,IF($D1182="V02",cad!$D$36,cad!$E$36)))</f>
        <v/>
      </c>
      <c r="N1182" t="str">
        <f t="shared" si="73"/>
        <v/>
      </c>
      <c r="O1182" t="str">
        <f t="shared" si="74"/>
        <v/>
      </c>
      <c r="P1182" t="str">
        <f>IF($A1182="","",IF($E1182=1,$F1182*$O1182,PNL!G1182))</f>
        <v/>
      </c>
      <c r="T1182" t="str">
        <f t="shared" si="75"/>
        <v/>
      </c>
    </row>
    <row r="1183" spans="1:20" x14ac:dyDescent="0.45">
      <c r="A1183" t="str">
        <f>IF(PNL!A1183="","",PNL!A1183)</f>
        <v/>
      </c>
      <c r="B1183" t="str">
        <f>IF(PNL!B1183="","",PNL!B1183)</f>
        <v/>
      </c>
      <c r="C1183" t="str">
        <f>IF(PNL!C1183="","",PNL!C1183)</f>
        <v/>
      </c>
      <c r="D1183" t="str">
        <f>IF(PNL!D1183="","",PNL!D1183)</f>
        <v/>
      </c>
      <c r="E1183" t="str">
        <f t="shared" si="72"/>
        <v/>
      </c>
      <c r="F1183" t="str">
        <f>IF($A1183="","",IF($E1183=1,SUMIFS(Compta!$F$1:$F$675,Compta!$A$1:$A$675,$A1183,Compta!$B$1:$B$675,$B1183,Compta!$C$1:$C$675,"2026"),0))</f>
        <v/>
      </c>
      <c r="G1183" t="str">
        <f>IF($A1183="","",IF($D1183="V01",cad!$C$23,IF($D1183="V02",cad!$D$23,cad!$E$23)))</f>
        <v/>
      </c>
      <c r="H1183" t="str">
        <f>IF($A1183="","",IF($D1183="V01",cad!$C$24,IF($D1183="V02",cad!$D$24,cad!$E$24)))</f>
        <v/>
      </c>
      <c r="I1183" t="str">
        <f>IF($A1183="","",IF($D1183="V01",cad!$C$32,IF($D1183="V02",cad!$D$32,cad!$E$32)))</f>
        <v/>
      </c>
      <c r="J1183" t="str">
        <f>IF($A1183="","",IF($D1183="V01",cad!$C$33,IF($D1183="V02",cad!$D$33,cad!$E$33)))</f>
        <v/>
      </c>
      <c r="K1183" t="str">
        <f>IF($A1183="","",IF($D1183="V01",cad!$C$34,IF($D1183="V02",cad!$D$34,cad!$E$34)))</f>
        <v/>
      </c>
      <c r="L1183" t="str">
        <f>IF($A1183="","",IF($D1183="V01",cad!$C$35,IF($D1183="V02",cad!$D$35,cad!$E$35)))</f>
        <v/>
      </c>
      <c r="M1183" t="str">
        <f>IF($A1183="","",IF($D1183="V01",cad!$C$36,IF($D1183="V02",cad!$D$36,cad!$E$36)))</f>
        <v/>
      </c>
      <c r="N1183" t="str">
        <f t="shared" si="73"/>
        <v/>
      </c>
      <c r="O1183" t="str">
        <f t="shared" si="74"/>
        <v/>
      </c>
      <c r="P1183" t="str">
        <f>IF($A1183="","",IF($E1183=1,$F1183*$O1183,PNL!G1183))</f>
        <v/>
      </c>
      <c r="T1183" t="str">
        <f t="shared" si="75"/>
        <v/>
      </c>
    </row>
    <row r="1184" spans="1:20" x14ac:dyDescent="0.45">
      <c r="A1184" t="str">
        <f>IF(PNL!A1184="","",PNL!A1184)</f>
        <v/>
      </c>
      <c r="B1184" t="str">
        <f>IF(PNL!B1184="","",PNL!B1184)</f>
        <v/>
      </c>
      <c r="C1184" t="str">
        <f>IF(PNL!C1184="","",PNL!C1184)</f>
        <v/>
      </c>
      <c r="D1184" t="str">
        <f>IF(PNL!D1184="","",PNL!D1184)</f>
        <v/>
      </c>
      <c r="E1184" t="str">
        <f t="shared" si="72"/>
        <v/>
      </c>
      <c r="F1184" t="str">
        <f>IF($A1184="","",IF($E1184=1,SUMIFS(Compta!$F$1:$F$675,Compta!$A$1:$A$675,$A1184,Compta!$B$1:$B$675,$B1184,Compta!$C$1:$C$675,"2026"),0))</f>
        <v/>
      </c>
      <c r="G1184" t="str">
        <f>IF($A1184="","",IF($D1184="V01",cad!$C$23,IF($D1184="V02",cad!$D$23,cad!$E$23)))</f>
        <v/>
      </c>
      <c r="H1184" t="str">
        <f>IF($A1184="","",IF($D1184="V01",cad!$C$24,IF($D1184="V02",cad!$D$24,cad!$E$24)))</f>
        <v/>
      </c>
      <c r="I1184" t="str">
        <f>IF($A1184="","",IF($D1184="V01",cad!$C$32,IF($D1184="V02",cad!$D$32,cad!$E$32)))</f>
        <v/>
      </c>
      <c r="J1184" t="str">
        <f>IF($A1184="","",IF($D1184="V01",cad!$C$33,IF($D1184="V02",cad!$D$33,cad!$E$33)))</f>
        <v/>
      </c>
      <c r="K1184" t="str">
        <f>IF($A1184="","",IF($D1184="V01",cad!$C$34,IF($D1184="V02",cad!$D$34,cad!$E$34)))</f>
        <v/>
      </c>
      <c r="L1184" t="str">
        <f>IF($A1184="","",IF($D1184="V01",cad!$C$35,IF($D1184="V02",cad!$D$35,cad!$E$35)))</f>
        <v/>
      </c>
      <c r="M1184" t="str">
        <f>IF($A1184="","",IF($D1184="V01",cad!$C$36,IF($D1184="V02",cad!$D$36,cad!$E$36)))</f>
        <v/>
      </c>
      <c r="N1184" t="str">
        <f t="shared" si="73"/>
        <v/>
      </c>
      <c r="O1184" t="str">
        <f t="shared" si="74"/>
        <v/>
      </c>
      <c r="P1184" t="str">
        <f>IF($A1184="","",IF($E1184=1,$F1184*$O1184,PNL!G1184))</f>
        <v/>
      </c>
      <c r="T1184" t="str">
        <f t="shared" si="75"/>
        <v/>
      </c>
    </row>
    <row r="1185" spans="1:20" x14ac:dyDescent="0.45">
      <c r="A1185" t="str">
        <f>IF(PNL!A1185="","",PNL!A1185)</f>
        <v/>
      </c>
      <c r="B1185" t="str">
        <f>IF(PNL!B1185="","",PNL!B1185)</f>
        <v/>
      </c>
      <c r="C1185" t="str">
        <f>IF(PNL!C1185="","",PNL!C1185)</f>
        <v/>
      </c>
      <c r="D1185" t="str">
        <f>IF(PNL!D1185="","",PNL!D1185)</f>
        <v/>
      </c>
      <c r="E1185" t="str">
        <f t="shared" si="72"/>
        <v/>
      </c>
      <c r="F1185" t="str">
        <f>IF($A1185="","",IF($E1185=1,SUMIFS(Compta!$F$1:$F$675,Compta!$A$1:$A$675,$A1185,Compta!$B$1:$B$675,$B1185,Compta!$C$1:$C$675,"2026"),0))</f>
        <v/>
      </c>
      <c r="G1185" t="str">
        <f>IF($A1185="","",IF($D1185="V01",cad!$C$23,IF($D1185="V02",cad!$D$23,cad!$E$23)))</f>
        <v/>
      </c>
      <c r="H1185" t="str">
        <f>IF($A1185="","",IF($D1185="V01",cad!$C$24,IF($D1185="V02",cad!$D$24,cad!$E$24)))</f>
        <v/>
      </c>
      <c r="I1185" t="str">
        <f>IF($A1185="","",IF($D1185="V01",cad!$C$32,IF($D1185="V02",cad!$D$32,cad!$E$32)))</f>
        <v/>
      </c>
      <c r="J1185" t="str">
        <f>IF($A1185="","",IF($D1185="V01",cad!$C$33,IF($D1185="V02",cad!$D$33,cad!$E$33)))</f>
        <v/>
      </c>
      <c r="K1185" t="str">
        <f>IF($A1185="","",IF($D1185="V01",cad!$C$34,IF($D1185="V02",cad!$D$34,cad!$E$34)))</f>
        <v/>
      </c>
      <c r="L1185" t="str">
        <f>IF($A1185="","",IF($D1185="V01",cad!$C$35,IF($D1185="V02",cad!$D$35,cad!$E$35)))</f>
        <v/>
      </c>
      <c r="M1185" t="str">
        <f>IF($A1185="","",IF($D1185="V01",cad!$C$36,IF($D1185="V02",cad!$D$36,cad!$E$36)))</f>
        <v/>
      </c>
      <c r="N1185" t="str">
        <f t="shared" si="73"/>
        <v/>
      </c>
      <c r="O1185" t="str">
        <f t="shared" si="74"/>
        <v/>
      </c>
      <c r="P1185" t="str">
        <f>IF($A1185="","",IF($E1185=1,$F1185*$O1185,PNL!G1185))</f>
        <v/>
      </c>
      <c r="T1185" t="str">
        <f t="shared" si="75"/>
        <v/>
      </c>
    </row>
    <row r="1186" spans="1:20" x14ac:dyDescent="0.45">
      <c r="A1186" t="str">
        <f>IF(PNL!A1186="","",PNL!A1186)</f>
        <v/>
      </c>
      <c r="B1186" t="str">
        <f>IF(PNL!B1186="","",PNL!B1186)</f>
        <v/>
      </c>
      <c r="C1186" t="str">
        <f>IF(PNL!C1186="","",PNL!C1186)</f>
        <v/>
      </c>
      <c r="D1186" t="str">
        <f>IF(PNL!D1186="","",PNL!D1186)</f>
        <v/>
      </c>
      <c r="E1186" t="str">
        <f t="shared" si="72"/>
        <v/>
      </c>
      <c r="F1186" t="str">
        <f>IF($A1186="","",IF($E1186=1,SUMIFS(Compta!$F$1:$F$675,Compta!$A$1:$A$675,$A1186,Compta!$B$1:$B$675,$B1186,Compta!$C$1:$C$675,"2026"),0))</f>
        <v/>
      </c>
      <c r="G1186" t="str">
        <f>IF($A1186="","",IF($D1186="V01",cad!$C$23,IF($D1186="V02",cad!$D$23,cad!$E$23)))</f>
        <v/>
      </c>
      <c r="H1186" t="str">
        <f>IF($A1186="","",IF($D1186="V01",cad!$C$24,IF($D1186="V02",cad!$D$24,cad!$E$24)))</f>
        <v/>
      </c>
      <c r="I1186" t="str">
        <f>IF($A1186="","",IF($D1186="V01",cad!$C$32,IF($D1186="V02",cad!$D$32,cad!$E$32)))</f>
        <v/>
      </c>
      <c r="J1186" t="str">
        <f>IF($A1186="","",IF($D1186="V01",cad!$C$33,IF($D1186="V02",cad!$D$33,cad!$E$33)))</f>
        <v/>
      </c>
      <c r="K1186" t="str">
        <f>IF($A1186="","",IF($D1186="V01",cad!$C$34,IF($D1186="V02",cad!$D$34,cad!$E$34)))</f>
        <v/>
      </c>
      <c r="L1186" t="str">
        <f>IF($A1186="","",IF($D1186="V01",cad!$C$35,IF($D1186="V02",cad!$D$35,cad!$E$35)))</f>
        <v/>
      </c>
      <c r="M1186" t="str">
        <f>IF($A1186="","",IF($D1186="V01",cad!$C$36,IF($D1186="V02",cad!$D$36,cad!$E$36)))</f>
        <v/>
      </c>
      <c r="N1186" t="str">
        <f t="shared" si="73"/>
        <v/>
      </c>
      <c r="O1186" t="str">
        <f t="shared" si="74"/>
        <v/>
      </c>
      <c r="P1186" t="str">
        <f>IF($A1186="","",IF($E1186=1,$F1186*$O1186,PNL!G1186))</f>
        <v/>
      </c>
      <c r="T1186" t="str">
        <f t="shared" si="75"/>
        <v/>
      </c>
    </row>
    <row r="1187" spans="1:20" x14ac:dyDescent="0.45">
      <c r="A1187" t="str">
        <f>IF(PNL!A1187="","",PNL!A1187)</f>
        <v/>
      </c>
      <c r="B1187" t="str">
        <f>IF(PNL!B1187="","",PNL!B1187)</f>
        <v/>
      </c>
      <c r="C1187" t="str">
        <f>IF(PNL!C1187="","",PNL!C1187)</f>
        <v/>
      </c>
      <c r="D1187" t="str">
        <f>IF(PNL!D1187="","",PNL!D1187)</f>
        <v/>
      </c>
      <c r="E1187" t="str">
        <f t="shared" si="72"/>
        <v/>
      </c>
      <c r="F1187" t="str">
        <f>IF($A1187="","",IF($E1187=1,SUMIFS(Compta!$F$1:$F$675,Compta!$A$1:$A$675,$A1187,Compta!$B$1:$B$675,$B1187,Compta!$C$1:$C$675,"2026"),0))</f>
        <v/>
      </c>
      <c r="G1187" t="str">
        <f>IF($A1187="","",IF($D1187="V01",cad!$C$23,IF($D1187="V02",cad!$D$23,cad!$E$23)))</f>
        <v/>
      </c>
      <c r="H1187" t="str">
        <f>IF($A1187="","",IF($D1187="V01",cad!$C$24,IF($D1187="V02",cad!$D$24,cad!$E$24)))</f>
        <v/>
      </c>
      <c r="I1187" t="str">
        <f>IF($A1187="","",IF($D1187="V01",cad!$C$32,IF($D1187="V02",cad!$D$32,cad!$E$32)))</f>
        <v/>
      </c>
      <c r="J1187" t="str">
        <f>IF($A1187="","",IF($D1187="V01",cad!$C$33,IF($D1187="V02",cad!$D$33,cad!$E$33)))</f>
        <v/>
      </c>
      <c r="K1187" t="str">
        <f>IF($A1187="","",IF($D1187="V01",cad!$C$34,IF($D1187="V02",cad!$D$34,cad!$E$34)))</f>
        <v/>
      </c>
      <c r="L1187" t="str">
        <f>IF($A1187="","",IF($D1187="V01",cad!$C$35,IF($D1187="V02",cad!$D$35,cad!$E$35)))</f>
        <v/>
      </c>
      <c r="M1187" t="str">
        <f>IF($A1187="","",IF($D1187="V01",cad!$C$36,IF($D1187="V02",cad!$D$36,cad!$E$36)))</f>
        <v/>
      </c>
      <c r="N1187" t="str">
        <f t="shared" si="73"/>
        <v/>
      </c>
      <c r="O1187" t="str">
        <f t="shared" si="74"/>
        <v/>
      </c>
      <c r="P1187" t="str">
        <f>IF($A1187="","",IF($E1187=1,$F1187*$O1187,PNL!G1187))</f>
        <v/>
      </c>
      <c r="T1187" t="str">
        <f t="shared" si="75"/>
        <v/>
      </c>
    </row>
    <row r="1188" spans="1:20" x14ac:dyDescent="0.45">
      <c r="A1188" t="str">
        <f>IF(PNL!A1188="","",PNL!A1188)</f>
        <v/>
      </c>
      <c r="B1188" t="str">
        <f>IF(PNL!B1188="","",PNL!B1188)</f>
        <v/>
      </c>
      <c r="C1188" t="str">
        <f>IF(PNL!C1188="","",PNL!C1188)</f>
        <v/>
      </c>
      <c r="D1188" t="str">
        <f>IF(PNL!D1188="","",PNL!D1188)</f>
        <v/>
      </c>
      <c r="E1188" t="str">
        <f t="shared" si="72"/>
        <v/>
      </c>
      <c r="F1188" t="str">
        <f>IF($A1188="","",IF($E1188=1,SUMIFS(Compta!$F$1:$F$675,Compta!$A$1:$A$675,$A1188,Compta!$B$1:$B$675,$B1188,Compta!$C$1:$C$675,"2026"),0))</f>
        <v/>
      </c>
      <c r="G1188" t="str">
        <f>IF($A1188="","",IF($D1188="V01",cad!$C$23,IF($D1188="V02",cad!$D$23,cad!$E$23)))</f>
        <v/>
      </c>
      <c r="H1188" t="str">
        <f>IF($A1188="","",IF($D1188="V01",cad!$C$24,IF($D1188="V02",cad!$D$24,cad!$E$24)))</f>
        <v/>
      </c>
      <c r="I1188" t="str">
        <f>IF($A1188="","",IF($D1188="V01",cad!$C$32,IF($D1188="V02",cad!$D$32,cad!$E$32)))</f>
        <v/>
      </c>
      <c r="J1188" t="str">
        <f>IF($A1188="","",IF($D1188="V01",cad!$C$33,IF($D1188="V02",cad!$D$33,cad!$E$33)))</f>
        <v/>
      </c>
      <c r="K1188" t="str">
        <f>IF($A1188="","",IF($D1188="V01",cad!$C$34,IF($D1188="V02",cad!$D$34,cad!$E$34)))</f>
        <v/>
      </c>
      <c r="L1188" t="str">
        <f>IF($A1188="","",IF($D1188="V01",cad!$C$35,IF($D1188="V02",cad!$D$35,cad!$E$35)))</f>
        <v/>
      </c>
      <c r="M1188" t="str">
        <f>IF($A1188="","",IF($D1188="V01",cad!$C$36,IF($D1188="V02",cad!$D$36,cad!$E$36)))</f>
        <v/>
      </c>
      <c r="N1188" t="str">
        <f t="shared" si="73"/>
        <v/>
      </c>
      <c r="O1188" t="str">
        <f t="shared" si="74"/>
        <v/>
      </c>
      <c r="P1188" t="str">
        <f>IF($A1188="","",IF($E1188=1,$F1188*$O1188,PNL!G1188))</f>
        <v/>
      </c>
      <c r="T1188" t="str">
        <f t="shared" si="75"/>
        <v/>
      </c>
    </row>
    <row r="1189" spans="1:20" x14ac:dyDescent="0.45">
      <c r="A1189" t="str">
        <f>IF(PNL!A1189="","",PNL!A1189)</f>
        <v/>
      </c>
      <c r="B1189" t="str">
        <f>IF(PNL!B1189="","",PNL!B1189)</f>
        <v/>
      </c>
      <c r="C1189" t="str">
        <f>IF(PNL!C1189="","",PNL!C1189)</f>
        <v/>
      </c>
      <c r="D1189" t="str">
        <f>IF(PNL!D1189="","",PNL!D1189)</f>
        <v/>
      </c>
      <c r="E1189" t="str">
        <f t="shared" si="72"/>
        <v/>
      </c>
      <c r="F1189" t="str">
        <f>IF($A1189="","",IF($E1189=1,SUMIFS(Compta!$F$1:$F$675,Compta!$A$1:$A$675,$A1189,Compta!$B$1:$B$675,$B1189,Compta!$C$1:$C$675,"2026"),0))</f>
        <v/>
      </c>
      <c r="G1189" t="str">
        <f>IF($A1189="","",IF($D1189="V01",cad!$C$23,IF($D1189="V02",cad!$D$23,cad!$E$23)))</f>
        <v/>
      </c>
      <c r="H1189" t="str">
        <f>IF($A1189="","",IF($D1189="V01",cad!$C$24,IF($D1189="V02",cad!$D$24,cad!$E$24)))</f>
        <v/>
      </c>
      <c r="I1189" t="str">
        <f>IF($A1189="","",IF($D1189="V01",cad!$C$32,IF($D1189="V02",cad!$D$32,cad!$E$32)))</f>
        <v/>
      </c>
      <c r="J1189" t="str">
        <f>IF($A1189="","",IF($D1189="V01",cad!$C$33,IF($D1189="V02",cad!$D$33,cad!$E$33)))</f>
        <v/>
      </c>
      <c r="K1189" t="str">
        <f>IF($A1189="","",IF($D1189="V01",cad!$C$34,IF($D1189="V02",cad!$D$34,cad!$E$34)))</f>
        <v/>
      </c>
      <c r="L1189" t="str">
        <f>IF($A1189="","",IF($D1189="V01",cad!$C$35,IF($D1189="V02",cad!$D$35,cad!$E$35)))</f>
        <v/>
      </c>
      <c r="M1189" t="str">
        <f>IF($A1189="","",IF($D1189="V01",cad!$C$36,IF($D1189="V02",cad!$D$36,cad!$E$36)))</f>
        <v/>
      </c>
      <c r="N1189" t="str">
        <f t="shared" si="73"/>
        <v/>
      </c>
      <c r="O1189" t="str">
        <f t="shared" si="74"/>
        <v/>
      </c>
      <c r="P1189" t="str">
        <f>IF($A1189="","",IF($E1189=1,$F1189*$O1189,PNL!G1189))</f>
        <v/>
      </c>
      <c r="T1189" t="str">
        <f t="shared" si="75"/>
        <v/>
      </c>
    </row>
    <row r="1190" spans="1:20" x14ac:dyDescent="0.45">
      <c r="A1190" t="str">
        <f>IF(PNL!A1190="","",PNL!A1190)</f>
        <v/>
      </c>
      <c r="B1190" t="str">
        <f>IF(PNL!B1190="","",PNL!B1190)</f>
        <v/>
      </c>
      <c r="C1190" t="str">
        <f>IF(PNL!C1190="","",PNL!C1190)</f>
        <v/>
      </c>
      <c r="D1190" t="str">
        <f>IF(PNL!D1190="","",PNL!D1190)</f>
        <v/>
      </c>
      <c r="E1190" t="str">
        <f t="shared" si="72"/>
        <v/>
      </c>
      <c r="F1190" t="str">
        <f>IF($A1190="","",IF($E1190=1,SUMIFS(Compta!$F$1:$F$675,Compta!$A$1:$A$675,$A1190,Compta!$B$1:$B$675,$B1190,Compta!$C$1:$C$675,"2026"),0))</f>
        <v/>
      </c>
      <c r="G1190" t="str">
        <f>IF($A1190="","",IF($D1190="V01",cad!$C$23,IF($D1190="V02",cad!$D$23,cad!$E$23)))</f>
        <v/>
      </c>
      <c r="H1190" t="str">
        <f>IF($A1190="","",IF($D1190="V01",cad!$C$24,IF($D1190="V02",cad!$D$24,cad!$E$24)))</f>
        <v/>
      </c>
      <c r="I1190" t="str">
        <f>IF($A1190="","",IF($D1190="V01",cad!$C$32,IF($D1190="V02",cad!$D$32,cad!$E$32)))</f>
        <v/>
      </c>
      <c r="J1190" t="str">
        <f>IF($A1190="","",IF($D1190="V01",cad!$C$33,IF($D1190="V02",cad!$D$33,cad!$E$33)))</f>
        <v/>
      </c>
      <c r="K1190" t="str">
        <f>IF($A1190="","",IF($D1190="V01",cad!$C$34,IF($D1190="V02",cad!$D$34,cad!$E$34)))</f>
        <v/>
      </c>
      <c r="L1190" t="str">
        <f>IF($A1190="","",IF($D1190="V01",cad!$C$35,IF($D1190="V02",cad!$D$35,cad!$E$35)))</f>
        <v/>
      </c>
      <c r="M1190" t="str">
        <f>IF($A1190="","",IF($D1190="V01",cad!$C$36,IF($D1190="V02",cad!$D$36,cad!$E$36)))</f>
        <v/>
      </c>
      <c r="N1190" t="str">
        <f t="shared" si="73"/>
        <v/>
      </c>
      <c r="O1190" t="str">
        <f t="shared" si="74"/>
        <v/>
      </c>
      <c r="P1190" t="str">
        <f>IF($A1190="","",IF($E1190=1,$F1190*$O1190,PNL!G1190))</f>
        <v/>
      </c>
      <c r="T1190" t="str">
        <f t="shared" si="75"/>
        <v/>
      </c>
    </row>
    <row r="1191" spans="1:20" x14ac:dyDescent="0.45">
      <c r="A1191" t="str">
        <f>IF(PNL!A1191="","",PNL!A1191)</f>
        <v/>
      </c>
      <c r="B1191" t="str">
        <f>IF(PNL!B1191="","",PNL!B1191)</f>
        <v/>
      </c>
      <c r="C1191" t="str">
        <f>IF(PNL!C1191="","",PNL!C1191)</f>
        <v/>
      </c>
      <c r="D1191" t="str">
        <f>IF(PNL!D1191="","",PNL!D1191)</f>
        <v/>
      </c>
      <c r="E1191" t="str">
        <f t="shared" si="72"/>
        <v/>
      </c>
      <c r="F1191" t="str">
        <f>IF($A1191="","",IF($E1191=1,SUMIFS(Compta!$F$1:$F$675,Compta!$A$1:$A$675,$A1191,Compta!$B$1:$B$675,$B1191,Compta!$C$1:$C$675,"2026"),0))</f>
        <v/>
      </c>
      <c r="G1191" t="str">
        <f>IF($A1191="","",IF($D1191="V01",cad!$C$23,IF($D1191="V02",cad!$D$23,cad!$E$23)))</f>
        <v/>
      </c>
      <c r="H1191" t="str">
        <f>IF($A1191="","",IF($D1191="V01",cad!$C$24,IF($D1191="V02",cad!$D$24,cad!$E$24)))</f>
        <v/>
      </c>
      <c r="I1191" t="str">
        <f>IF($A1191="","",IF($D1191="V01",cad!$C$32,IF($D1191="V02",cad!$D$32,cad!$E$32)))</f>
        <v/>
      </c>
      <c r="J1191" t="str">
        <f>IF($A1191="","",IF($D1191="V01",cad!$C$33,IF($D1191="V02",cad!$D$33,cad!$E$33)))</f>
        <v/>
      </c>
      <c r="K1191" t="str">
        <f>IF($A1191="","",IF($D1191="V01",cad!$C$34,IF($D1191="V02",cad!$D$34,cad!$E$34)))</f>
        <v/>
      </c>
      <c r="L1191" t="str">
        <f>IF($A1191="","",IF($D1191="V01",cad!$C$35,IF($D1191="V02",cad!$D$35,cad!$E$35)))</f>
        <v/>
      </c>
      <c r="M1191" t="str">
        <f>IF($A1191="","",IF($D1191="V01",cad!$C$36,IF($D1191="V02",cad!$D$36,cad!$E$36)))</f>
        <v/>
      </c>
      <c r="N1191" t="str">
        <f t="shared" si="73"/>
        <v/>
      </c>
      <c r="O1191" t="str">
        <f t="shared" si="74"/>
        <v/>
      </c>
      <c r="P1191" t="str">
        <f>IF($A1191="","",IF($E1191=1,$F1191*$O1191,PNL!G1191))</f>
        <v/>
      </c>
      <c r="T1191" t="str">
        <f t="shared" si="75"/>
        <v/>
      </c>
    </row>
    <row r="1192" spans="1:20" x14ac:dyDescent="0.45">
      <c r="A1192" t="str">
        <f>IF(PNL!A1192="","",PNL!A1192)</f>
        <v/>
      </c>
      <c r="B1192" t="str">
        <f>IF(PNL!B1192="","",PNL!B1192)</f>
        <v/>
      </c>
      <c r="C1192" t="str">
        <f>IF(PNL!C1192="","",PNL!C1192)</f>
        <v/>
      </c>
      <c r="D1192" t="str">
        <f>IF(PNL!D1192="","",PNL!D1192)</f>
        <v/>
      </c>
      <c r="E1192" t="str">
        <f t="shared" si="72"/>
        <v/>
      </c>
      <c r="F1192" t="str">
        <f>IF($A1192="","",IF($E1192=1,SUMIFS(Compta!$F$1:$F$675,Compta!$A$1:$A$675,$A1192,Compta!$B$1:$B$675,$B1192,Compta!$C$1:$C$675,"2026"),0))</f>
        <v/>
      </c>
      <c r="G1192" t="str">
        <f>IF($A1192="","",IF($D1192="V01",cad!$C$23,IF($D1192="V02",cad!$D$23,cad!$E$23)))</f>
        <v/>
      </c>
      <c r="H1192" t="str">
        <f>IF($A1192="","",IF($D1192="V01",cad!$C$24,IF($D1192="V02",cad!$D$24,cad!$E$24)))</f>
        <v/>
      </c>
      <c r="I1192" t="str">
        <f>IF($A1192="","",IF($D1192="V01",cad!$C$32,IF($D1192="V02",cad!$D$32,cad!$E$32)))</f>
        <v/>
      </c>
      <c r="J1192" t="str">
        <f>IF($A1192="","",IF($D1192="V01",cad!$C$33,IF($D1192="V02",cad!$D$33,cad!$E$33)))</f>
        <v/>
      </c>
      <c r="K1192" t="str">
        <f>IF($A1192="","",IF($D1192="V01",cad!$C$34,IF($D1192="V02",cad!$D$34,cad!$E$34)))</f>
        <v/>
      </c>
      <c r="L1192" t="str">
        <f>IF($A1192="","",IF($D1192="V01",cad!$C$35,IF($D1192="V02",cad!$D$35,cad!$E$35)))</f>
        <v/>
      </c>
      <c r="M1192" t="str">
        <f>IF($A1192="","",IF($D1192="V01",cad!$C$36,IF($D1192="V02",cad!$D$36,cad!$E$36)))</f>
        <v/>
      </c>
      <c r="N1192" t="str">
        <f t="shared" si="73"/>
        <v/>
      </c>
      <c r="O1192" t="str">
        <f t="shared" si="74"/>
        <v/>
      </c>
      <c r="P1192" t="str">
        <f>IF($A1192="","",IF($E1192=1,$F1192*$O1192,PNL!G1192))</f>
        <v/>
      </c>
      <c r="T1192" t="str">
        <f t="shared" si="75"/>
        <v/>
      </c>
    </row>
    <row r="1193" spans="1:20" x14ac:dyDescent="0.45">
      <c r="A1193" t="str">
        <f>IF(PNL!A1193="","",PNL!A1193)</f>
        <v/>
      </c>
      <c r="B1193" t="str">
        <f>IF(PNL!B1193="","",PNL!B1193)</f>
        <v/>
      </c>
      <c r="C1193" t="str">
        <f>IF(PNL!C1193="","",PNL!C1193)</f>
        <v/>
      </c>
      <c r="D1193" t="str">
        <f>IF(PNL!D1193="","",PNL!D1193)</f>
        <v/>
      </c>
      <c r="E1193" t="str">
        <f t="shared" si="72"/>
        <v/>
      </c>
      <c r="F1193" t="str">
        <f>IF($A1193="","",IF($E1193=1,SUMIFS(Compta!$F$1:$F$675,Compta!$A$1:$A$675,$A1193,Compta!$B$1:$B$675,$B1193,Compta!$C$1:$C$675,"2026"),0))</f>
        <v/>
      </c>
      <c r="G1193" t="str">
        <f>IF($A1193="","",IF($D1193="V01",cad!$C$23,IF($D1193="V02",cad!$D$23,cad!$E$23)))</f>
        <v/>
      </c>
      <c r="H1193" t="str">
        <f>IF($A1193="","",IF($D1193="V01",cad!$C$24,IF($D1193="V02",cad!$D$24,cad!$E$24)))</f>
        <v/>
      </c>
      <c r="I1193" t="str">
        <f>IF($A1193="","",IF($D1193="V01",cad!$C$32,IF($D1193="V02",cad!$D$32,cad!$E$32)))</f>
        <v/>
      </c>
      <c r="J1193" t="str">
        <f>IF($A1193="","",IF($D1193="V01",cad!$C$33,IF($D1193="V02",cad!$D$33,cad!$E$33)))</f>
        <v/>
      </c>
      <c r="K1193" t="str">
        <f>IF($A1193="","",IF($D1193="V01",cad!$C$34,IF($D1193="V02",cad!$D$34,cad!$E$34)))</f>
        <v/>
      </c>
      <c r="L1193" t="str">
        <f>IF($A1193="","",IF($D1193="V01",cad!$C$35,IF($D1193="V02",cad!$D$35,cad!$E$35)))</f>
        <v/>
      </c>
      <c r="M1193" t="str">
        <f>IF($A1193="","",IF($D1193="V01",cad!$C$36,IF($D1193="V02",cad!$D$36,cad!$E$36)))</f>
        <v/>
      </c>
      <c r="N1193" t="str">
        <f t="shared" si="73"/>
        <v/>
      </c>
      <c r="O1193" t="str">
        <f t="shared" si="74"/>
        <v/>
      </c>
      <c r="P1193" t="str">
        <f>IF($A1193="","",IF($E1193=1,$F1193*$O1193,PNL!G1193))</f>
        <v/>
      </c>
      <c r="T1193" t="str">
        <f t="shared" si="75"/>
        <v/>
      </c>
    </row>
    <row r="1194" spans="1:20" x14ac:dyDescent="0.45">
      <c r="A1194" t="str">
        <f>IF(PNL!A1194="","",PNL!A1194)</f>
        <v/>
      </c>
      <c r="B1194" t="str">
        <f>IF(PNL!B1194="","",PNL!B1194)</f>
        <v/>
      </c>
      <c r="C1194" t="str">
        <f>IF(PNL!C1194="","",PNL!C1194)</f>
        <v/>
      </c>
      <c r="D1194" t="str">
        <f>IF(PNL!D1194="","",PNL!D1194)</f>
        <v/>
      </c>
      <c r="E1194" t="str">
        <f t="shared" si="72"/>
        <v/>
      </c>
      <c r="F1194" t="str">
        <f>IF($A1194="","",IF($E1194=1,SUMIFS(Compta!$F$1:$F$675,Compta!$A$1:$A$675,$A1194,Compta!$B$1:$B$675,$B1194,Compta!$C$1:$C$675,"2026"),0))</f>
        <v/>
      </c>
      <c r="G1194" t="str">
        <f>IF($A1194="","",IF($D1194="V01",cad!$C$23,IF($D1194="V02",cad!$D$23,cad!$E$23)))</f>
        <v/>
      </c>
      <c r="H1194" t="str">
        <f>IF($A1194="","",IF($D1194="V01",cad!$C$24,IF($D1194="V02",cad!$D$24,cad!$E$24)))</f>
        <v/>
      </c>
      <c r="I1194" t="str">
        <f>IF($A1194="","",IF($D1194="V01",cad!$C$32,IF($D1194="V02",cad!$D$32,cad!$E$32)))</f>
        <v/>
      </c>
      <c r="J1194" t="str">
        <f>IF($A1194="","",IF($D1194="V01",cad!$C$33,IF($D1194="V02",cad!$D$33,cad!$E$33)))</f>
        <v/>
      </c>
      <c r="K1194" t="str">
        <f>IF($A1194="","",IF($D1194="V01",cad!$C$34,IF($D1194="V02",cad!$D$34,cad!$E$34)))</f>
        <v/>
      </c>
      <c r="L1194" t="str">
        <f>IF($A1194="","",IF($D1194="V01",cad!$C$35,IF($D1194="V02",cad!$D$35,cad!$E$35)))</f>
        <v/>
      </c>
      <c r="M1194" t="str">
        <f>IF($A1194="","",IF($D1194="V01",cad!$C$36,IF($D1194="V02",cad!$D$36,cad!$E$36)))</f>
        <v/>
      </c>
      <c r="N1194" t="str">
        <f t="shared" si="73"/>
        <v/>
      </c>
      <c r="O1194" t="str">
        <f t="shared" si="74"/>
        <v/>
      </c>
      <c r="P1194" t="str">
        <f>IF($A1194="","",IF($E1194=1,$F1194*$O1194,PNL!G1194))</f>
        <v/>
      </c>
      <c r="T1194" t="str">
        <f t="shared" si="75"/>
        <v/>
      </c>
    </row>
    <row r="1195" spans="1:20" x14ac:dyDescent="0.45">
      <c r="A1195" t="str">
        <f>IF(PNL!A1195="","",PNL!A1195)</f>
        <v/>
      </c>
      <c r="B1195" t="str">
        <f>IF(PNL!B1195="","",PNL!B1195)</f>
        <v/>
      </c>
      <c r="C1195" t="str">
        <f>IF(PNL!C1195="","",PNL!C1195)</f>
        <v/>
      </c>
      <c r="D1195" t="str">
        <f>IF(PNL!D1195="","",PNL!D1195)</f>
        <v/>
      </c>
      <c r="E1195" t="str">
        <f t="shared" si="72"/>
        <v/>
      </c>
      <c r="F1195" t="str">
        <f>IF($A1195="","",IF($E1195=1,SUMIFS(Compta!$F$1:$F$675,Compta!$A$1:$A$675,$A1195,Compta!$B$1:$B$675,$B1195,Compta!$C$1:$C$675,"2026"),0))</f>
        <v/>
      </c>
      <c r="G1195" t="str">
        <f>IF($A1195="","",IF($D1195="V01",cad!$C$23,IF($D1195="V02",cad!$D$23,cad!$E$23)))</f>
        <v/>
      </c>
      <c r="H1195" t="str">
        <f>IF($A1195="","",IF($D1195="V01",cad!$C$24,IF($D1195="V02",cad!$D$24,cad!$E$24)))</f>
        <v/>
      </c>
      <c r="I1195" t="str">
        <f>IF($A1195="","",IF($D1195="V01",cad!$C$32,IF($D1195="V02",cad!$D$32,cad!$E$32)))</f>
        <v/>
      </c>
      <c r="J1195" t="str">
        <f>IF($A1195="","",IF($D1195="V01",cad!$C$33,IF($D1195="V02",cad!$D$33,cad!$E$33)))</f>
        <v/>
      </c>
      <c r="K1195" t="str">
        <f>IF($A1195="","",IF($D1195="V01",cad!$C$34,IF($D1195="V02",cad!$D$34,cad!$E$34)))</f>
        <v/>
      </c>
      <c r="L1195" t="str">
        <f>IF($A1195="","",IF($D1195="V01",cad!$C$35,IF($D1195="V02",cad!$D$35,cad!$E$35)))</f>
        <v/>
      </c>
      <c r="M1195" t="str">
        <f>IF($A1195="","",IF($D1195="V01",cad!$C$36,IF($D1195="V02",cad!$D$36,cad!$E$36)))</f>
        <v/>
      </c>
      <c r="N1195" t="str">
        <f t="shared" si="73"/>
        <v/>
      </c>
      <c r="O1195" t="str">
        <f t="shared" si="74"/>
        <v/>
      </c>
      <c r="P1195" t="str">
        <f>IF($A1195="","",IF($E1195=1,$F1195*$O1195,PNL!G1195))</f>
        <v/>
      </c>
      <c r="T1195" t="str">
        <f t="shared" si="75"/>
        <v/>
      </c>
    </row>
    <row r="1196" spans="1:20" x14ac:dyDescent="0.45">
      <c r="A1196" t="str">
        <f>IF(PNL!A1196="","",PNL!A1196)</f>
        <v/>
      </c>
      <c r="B1196" t="str">
        <f>IF(PNL!B1196="","",PNL!B1196)</f>
        <v/>
      </c>
      <c r="C1196" t="str">
        <f>IF(PNL!C1196="","",PNL!C1196)</f>
        <v/>
      </c>
      <c r="D1196" t="str">
        <f>IF(PNL!D1196="","",PNL!D1196)</f>
        <v/>
      </c>
      <c r="E1196" t="str">
        <f t="shared" si="72"/>
        <v/>
      </c>
      <c r="F1196" t="str">
        <f>IF($A1196="","",IF($E1196=1,SUMIFS(Compta!$F$1:$F$675,Compta!$A$1:$A$675,$A1196,Compta!$B$1:$B$675,$B1196,Compta!$C$1:$C$675,"2026"),0))</f>
        <v/>
      </c>
      <c r="G1196" t="str">
        <f>IF($A1196="","",IF($D1196="V01",cad!$C$23,IF($D1196="V02",cad!$D$23,cad!$E$23)))</f>
        <v/>
      </c>
      <c r="H1196" t="str">
        <f>IF($A1196="","",IF($D1196="V01",cad!$C$24,IF($D1196="V02",cad!$D$24,cad!$E$24)))</f>
        <v/>
      </c>
      <c r="I1196" t="str">
        <f>IF($A1196="","",IF($D1196="V01",cad!$C$32,IF($D1196="V02",cad!$D$32,cad!$E$32)))</f>
        <v/>
      </c>
      <c r="J1196" t="str">
        <f>IF($A1196="","",IF($D1196="V01",cad!$C$33,IF($D1196="V02",cad!$D$33,cad!$E$33)))</f>
        <v/>
      </c>
      <c r="K1196" t="str">
        <f>IF($A1196="","",IF($D1196="V01",cad!$C$34,IF($D1196="V02",cad!$D$34,cad!$E$34)))</f>
        <v/>
      </c>
      <c r="L1196" t="str">
        <f>IF($A1196="","",IF($D1196="V01",cad!$C$35,IF($D1196="V02",cad!$D$35,cad!$E$35)))</f>
        <v/>
      </c>
      <c r="M1196" t="str">
        <f>IF($A1196="","",IF($D1196="V01",cad!$C$36,IF($D1196="V02",cad!$D$36,cad!$E$36)))</f>
        <v/>
      </c>
      <c r="N1196" t="str">
        <f t="shared" si="73"/>
        <v/>
      </c>
      <c r="O1196" t="str">
        <f t="shared" si="74"/>
        <v/>
      </c>
      <c r="P1196" t="str">
        <f>IF($A1196="","",IF($E1196=1,$F1196*$O1196,PNL!G1196))</f>
        <v/>
      </c>
      <c r="T1196" t="str">
        <f t="shared" si="75"/>
        <v/>
      </c>
    </row>
    <row r="1197" spans="1:20" x14ac:dyDescent="0.45">
      <c r="A1197" t="str">
        <f>IF(PNL!A1197="","",PNL!A1197)</f>
        <v/>
      </c>
      <c r="B1197" t="str">
        <f>IF(PNL!B1197="","",PNL!B1197)</f>
        <v/>
      </c>
      <c r="C1197" t="str">
        <f>IF(PNL!C1197="","",PNL!C1197)</f>
        <v/>
      </c>
      <c r="D1197" t="str">
        <f>IF(PNL!D1197="","",PNL!D1197)</f>
        <v/>
      </c>
      <c r="E1197" t="str">
        <f t="shared" si="72"/>
        <v/>
      </c>
      <c r="F1197" t="str">
        <f>IF($A1197="","",IF($E1197=1,SUMIFS(Compta!$F$1:$F$675,Compta!$A$1:$A$675,$A1197,Compta!$B$1:$B$675,$B1197,Compta!$C$1:$C$675,"2026"),0))</f>
        <v/>
      </c>
      <c r="G1197" t="str">
        <f>IF($A1197="","",IF($D1197="V01",cad!$C$23,IF($D1197="V02",cad!$D$23,cad!$E$23)))</f>
        <v/>
      </c>
      <c r="H1197" t="str">
        <f>IF($A1197="","",IF($D1197="V01",cad!$C$24,IF($D1197="V02",cad!$D$24,cad!$E$24)))</f>
        <v/>
      </c>
      <c r="I1197" t="str">
        <f>IF($A1197="","",IF($D1197="V01",cad!$C$32,IF($D1197="V02",cad!$D$32,cad!$E$32)))</f>
        <v/>
      </c>
      <c r="J1197" t="str">
        <f>IF($A1197="","",IF($D1197="V01",cad!$C$33,IF($D1197="V02",cad!$D$33,cad!$E$33)))</f>
        <v/>
      </c>
      <c r="K1197" t="str">
        <f>IF($A1197="","",IF($D1197="V01",cad!$C$34,IF($D1197="V02",cad!$D$34,cad!$E$34)))</f>
        <v/>
      </c>
      <c r="L1197" t="str">
        <f>IF($A1197="","",IF($D1197="V01",cad!$C$35,IF($D1197="V02",cad!$D$35,cad!$E$35)))</f>
        <v/>
      </c>
      <c r="M1197" t="str">
        <f>IF($A1197="","",IF($D1197="V01",cad!$C$36,IF($D1197="V02",cad!$D$36,cad!$E$36)))</f>
        <v/>
      </c>
      <c r="N1197" t="str">
        <f t="shared" si="73"/>
        <v/>
      </c>
      <c r="O1197" t="str">
        <f t="shared" si="74"/>
        <v/>
      </c>
      <c r="P1197" t="str">
        <f>IF($A1197="","",IF($E1197=1,$F1197*$O1197,PNL!G1197))</f>
        <v/>
      </c>
      <c r="T1197" t="str">
        <f t="shared" si="75"/>
        <v/>
      </c>
    </row>
    <row r="1198" spans="1:20" x14ac:dyDescent="0.45">
      <c r="A1198" t="str">
        <f>IF(PNL!A1198="","",PNL!A1198)</f>
        <v/>
      </c>
      <c r="B1198" t="str">
        <f>IF(PNL!B1198="","",PNL!B1198)</f>
        <v/>
      </c>
      <c r="C1198" t="str">
        <f>IF(PNL!C1198="","",PNL!C1198)</f>
        <v/>
      </c>
      <c r="D1198" t="str">
        <f>IF(PNL!D1198="","",PNL!D1198)</f>
        <v/>
      </c>
      <c r="E1198" t="str">
        <f t="shared" si="72"/>
        <v/>
      </c>
      <c r="F1198" t="str">
        <f>IF($A1198="","",IF($E1198=1,SUMIFS(Compta!$F$1:$F$675,Compta!$A$1:$A$675,$A1198,Compta!$B$1:$B$675,$B1198,Compta!$C$1:$C$675,"2026"),0))</f>
        <v/>
      </c>
      <c r="G1198" t="str">
        <f>IF($A1198="","",IF($D1198="V01",cad!$C$23,IF($D1198="V02",cad!$D$23,cad!$E$23)))</f>
        <v/>
      </c>
      <c r="H1198" t="str">
        <f>IF($A1198="","",IF($D1198="V01",cad!$C$24,IF($D1198="V02",cad!$D$24,cad!$E$24)))</f>
        <v/>
      </c>
      <c r="I1198" t="str">
        <f>IF($A1198="","",IF($D1198="V01",cad!$C$32,IF($D1198="V02",cad!$D$32,cad!$E$32)))</f>
        <v/>
      </c>
      <c r="J1198" t="str">
        <f>IF($A1198="","",IF($D1198="V01",cad!$C$33,IF($D1198="V02",cad!$D$33,cad!$E$33)))</f>
        <v/>
      </c>
      <c r="K1198" t="str">
        <f>IF($A1198="","",IF($D1198="V01",cad!$C$34,IF($D1198="V02",cad!$D$34,cad!$E$34)))</f>
        <v/>
      </c>
      <c r="L1198" t="str">
        <f>IF($A1198="","",IF($D1198="V01",cad!$C$35,IF($D1198="V02",cad!$D$35,cad!$E$35)))</f>
        <v/>
      </c>
      <c r="M1198" t="str">
        <f>IF($A1198="","",IF($D1198="V01",cad!$C$36,IF($D1198="V02",cad!$D$36,cad!$E$36)))</f>
        <v/>
      </c>
      <c r="N1198" t="str">
        <f t="shared" si="73"/>
        <v/>
      </c>
      <c r="O1198" t="str">
        <f t="shared" si="74"/>
        <v/>
      </c>
      <c r="P1198" t="str">
        <f>IF($A1198="","",IF($E1198=1,$F1198*$O1198,PNL!G1198))</f>
        <v/>
      </c>
      <c r="T1198" t="str">
        <f t="shared" si="75"/>
        <v/>
      </c>
    </row>
    <row r="1199" spans="1:20" x14ac:dyDescent="0.45">
      <c r="A1199" t="str">
        <f>IF(PNL!A1199="","",PNL!A1199)</f>
        <v/>
      </c>
      <c r="B1199" t="str">
        <f>IF(PNL!B1199="","",PNL!B1199)</f>
        <v/>
      </c>
      <c r="C1199" t="str">
        <f>IF(PNL!C1199="","",PNL!C1199)</f>
        <v/>
      </c>
      <c r="D1199" t="str">
        <f>IF(PNL!D1199="","",PNL!D1199)</f>
        <v/>
      </c>
      <c r="E1199" t="str">
        <f t="shared" si="72"/>
        <v/>
      </c>
      <c r="F1199" t="str">
        <f>IF($A1199="","",IF($E1199=1,SUMIFS(Compta!$F$1:$F$675,Compta!$A$1:$A$675,$A1199,Compta!$B$1:$B$675,$B1199,Compta!$C$1:$C$675,"2026"),0))</f>
        <v/>
      </c>
      <c r="G1199" t="str">
        <f>IF($A1199="","",IF($D1199="V01",cad!$C$23,IF($D1199="V02",cad!$D$23,cad!$E$23)))</f>
        <v/>
      </c>
      <c r="H1199" t="str">
        <f>IF($A1199="","",IF($D1199="V01",cad!$C$24,IF($D1199="V02",cad!$D$24,cad!$E$24)))</f>
        <v/>
      </c>
      <c r="I1199" t="str">
        <f>IF($A1199="","",IF($D1199="V01",cad!$C$32,IF($D1199="V02",cad!$D$32,cad!$E$32)))</f>
        <v/>
      </c>
      <c r="J1199" t="str">
        <f>IF($A1199="","",IF($D1199="V01",cad!$C$33,IF($D1199="V02",cad!$D$33,cad!$E$33)))</f>
        <v/>
      </c>
      <c r="K1199" t="str">
        <f>IF($A1199="","",IF($D1199="V01",cad!$C$34,IF($D1199="V02",cad!$D$34,cad!$E$34)))</f>
        <v/>
      </c>
      <c r="L1199" t="str">
        <f>IF($A1199="","",IF($D1199="V01",cad!$C$35,IF($D1199="V02",cad!$D$35,cad!$E$35)))</f>
        <v/>
      </c>
      <c r="M1199" t="str">
        <f>IF($A1199="","",IF($D1199="V01",cad!$C$36,IF($D1199="V02",cad!$D$36,cad!$E$36)))</f>
        <v/>
      </c>
      <c r="N1199" t="str">
        <f t="shared" si="73"/>
        <v/>
      </c>
      <c r="O1199" t="str">
        <f t="shared" si="74"/>
        <v/>
      </c>
      <c r="P1199" t="str">
        <f>IF($A1199="","",IF($E1199=1,$F1199*$O1199,PNL!G1199))</f>
        <v/>
      </c>
      <c r="T1199" t="str">
        <f t="shared" si="75"/>
        <v/>
      </c>
    </row>
    <row r="1200" spans="1:20" x14ac:dyDescent="0.45">
      <c r="A1200" t="str">
        <f>IF(PNL!A1200="","",PNL!A1200)</f>
        <v/>
      </c>
      <c r="B1200" t="str">
        <f>IF(PNL!B1200="","",PNL!B1200)</f>
        <v/>
      </c>
      <c r="C1200" t="str">
        <f>IF(PNL!C1200="","",PNL!C1200)</f>
        <v/>
      </c>
      <c r="D1200" t="str">
        <f>IF(PNL!D1200="","",PNL!D1200)</f>
        <v/>
      </c>
      <c r="E1200" t="str">
        <f t="shared" si="72"/>
        <v/>
      </c>
      <c r="F1200" t="str">
        <f>IF($A1200="","",IF($E1200=1,SUMIFS(Compta!$F$1:$F$675,Compta!$A$1:$A$675,$A1200,Compta!$B$1:$B$675,$B1200,Compta!$C$1:$C$675,"2026"),0))</f>
        <v/>
      </c>
      <c r="G1200" t="str">
        <f>IF($A1200="","",IF($D1200="V01",cad!$C$23,IF($D1200="V02",cad!$D$23,cad!$E$23)))</f>
        <v/>
      </c>
      <c r="H1200" t="str">
        <f>IF($A1200="","",IF($D1200="V01",cad!$C$24,IF($D1200="V02",cad!$D$24,cad!$E$24)))</f>
        <v/>
      </c>
      <c r="I1200" t="str">
        <f>IF($A1200="","",IF($D1200="V01",cad!$C$32,IF($D1200="V02",cad!$D$32,cad!$E$32)))</f>
        <v/>
      </c>
      <c r="J1200" t="str">
        <f>IF($A1200="","",IF($D1200="V01",cad!$C$33,IF($D1200="V02",cad!$D$33,cad!$E$33)))</f>
        <v/>
      </c>
      <c r="K1200" t="str">
        <f>IF($A1200="","",IF($D1200="V01",cad!$C$34,IF($D1200="V02",cad!$D$34,cad!$E$34)))</f>
        <v/>
      </c>
      <c r="L1200" t="str">
        <f>IF($A1200="","",IF($D1200="V01",cad!$C$35,IF($D1200="V02",cad!$D$35,cad!$E$35)))</f>
        <v/>
      </c>
      <c r="M1200" t="str">
        <f>IF($A1200="","",IF($D1200="V01",cad!$C$36,IF($D1200="V02",cad!$D$36,cad!$E$36)))</f>
        <v/>
      </c>
      <c r="N1200" t="str">
        <f t="shared" si="73"/>
        <v/>
      </c>
      <c r="O1200" t="str">
        <f t="shared" si="74"/>
        <v/>
      </c>
      <c r="P1200" t="str">
        <f>IF($A1200="","",IF($E1200=1,$F1200*$O1200,PNL!G1200))</f>
        <v/>
      </c>
      <c r="T1200" t="str">
        <f t="shared" si="75"/>
        <v/>
      </c>
    </row>
    <row r="1201" spans="1:20" x14ac:dyDescent="0.45">
      <c r="A1201" t="str">
        <f>IF(PNL!A1201="","",PNL!A1201)</f>
        <v/>
      </c>
      <c r="B1201" t="str">
        <f>IF(PNL!B1201="","",PNL!B1201)</f>
        <v/>
      </c>
      <c r="C1201" t="str">
        <f>IF(PNL!C1201="","",PNL!C1201)</f>
        <v/>
      </c>
      <c r="D1201" t="str">
        <f>IF(PNL!D1201="","",PNL!D1201)</f>
        <v/>
      </c>
      <c r="E1201" t="str">
        <f t="shared" si="72"/>
        <v/>
      </c>
      <c r="F1201" t="str">
        <f>IF($A1201="","",IF($E1201=1,SUMIFS(Compta!$F$1:$F$675,Compta!$A$1:$A$675,$A1201,Compta!$B$1:$B$675,$B1201,Compta!$C$1:$C$675,"2026"),0))</f>
        <v/>
      </c>
      <c r="G1201" t="str">
        <f>IF($A1201="","",IF($D1201="V01",cad!$C$23,IF($D1201="V02",cad!$D$23,cad!$E$23)))</f>
        <v/>
      </c>
      <c r="H1201" t="str">
        <f>IF($A1201="","",IF($D1201="V01",cad!$C$24,IF($D1201="V02",cad!$D$24,cad!$E$24)))</f>
        <v/>
      </c>
      <c r="I1201" t="str">
        <f>IF($A1201="","",IF($D1201="V01",cad!$C$32,IF($D1201="V02",cad!$D$32,cad!$E$32)))</f>
        <v/>
      </c>
      <c r="J1201" t="str">
        <f>IF($A1201="","",IF($D1201="V01",cad!$C$33,IF($D1201="V02",cad!$D$33,cad!$E$33)))</f>
        <v/>
      </c>
      <c r="K1201" t="str">
        <f>IF($A1201="","",IF($D1201="V01",cad!$C$34,IF($D1201="V02",cad!$D$34,cad!$E$34)))</f>
        <v/>
      </c>
      <c r="L1201" t="str">
        <f>IF($A1201="","",IF($D1201="V01",cad!$C$35,IF($D1201="V02",cad!$D$35,cad!$E$35)))</f>
        <v/>
      </c>
      <c r="M1201" t="str">
        <f>IF($A1201="","",IF($D1201="V01",cad!$C$36,IF($D1201="V02",cad!$D$36,cad!$E$36)))</f>
        <v/>
      </c>
      <c r="N1201" t="str">
        <f t="shared" si="73"/>
        <v/>
      </c>
      <c r="O1201" t="str">
        <f t="shared" si="74"/>
        <v/>
      </c>
      <c r="P1201" t="str">
        <f>IF($A1201="","",IF($E1201=1,$F1201*$O1201,PNL!G1201))</f>
        <v/>
      </c>
      <c r="T1201" t="str">
        <f t="shared" si="75"/>
        <v/>
      </c>
    </row>
    <row r="1202" spans="1:20" x14ac:dyDescent="0.45">
      <c r="A1202" t="str">
        <f>IF(PNL!A1202="","",PNL!A1202)</f>
        <v/>
      </c>
      <c r="B1202" t="str">
        <f>IF(PNL!B1202="","",PNL!B1202)</f>
        <v/>
      </c>
      <c r="C1202" t="str">
        <f>IF(PNL!C1202="","",PNL!C1202)</f>
        <v/>
      </c>
      <c r="D1202" t="str">
        <f>IF(PNL!D1202="","",PNL!D1202)</f>
        <v/>
      </c>
      <c r="E1202" t="str">
        <f t="shared" si="72"/>
        <v/>
      </c>
      <c r="F1202" t="str">
        <f>IF($A1202="","",IF($E1202=1,SUMIFS(Compta!$F$1:$F$675,Compta!$A$1:$A$675,$A1202,Compta!$B$1:$B$675,$B1202,Compta!$C$1:$C$675,"2026"),0))</f>
        <v/>
      </c>
      <c r="G1202" t="str">
        <f>IF($A1202="","",IF($D1202="V01",cad!$C$23,IF($D1202="V02",cad!$D$23,cad!$E$23)))</f>
        <v/>
      </c>
      <c r="H1202" t="str">
        <f>IF($A1202="","",IF($D1202="V01",cad!$C$24,IF($D1202="V02",cad!$D$24,cad!$E$24)))</f>
        <v/>
      </c>
      <c r="I1202" t="str">
        <f>IF($A1202="","",IF($D1202="V01",cad!$C$32,IF($D1202="V02",cad!$D$32,cad!$E$32)))</f>
        <v/>
      </c>
      <c r="J1202" t="str">
        <f>IF($A1202="","",IF($D1202="V01",cad!$C$33,IF($D1202="V02",cad!$D$33,cad!$E$33)))</f>
        <v/>
      </c>
      <c r="K1202" t="str">
        <f>IF($A1202="","",IF($D1202="V01",cad!$C$34,IF($D1202="V02",cad!$D$34,cad!$E$34)))</f>
        <v/>
      </c>
      <c r="L1202" t="str">
        <f>IF($A1202="","",IF($D1202="V01",cad!$C$35,IF($D1202="V02",cad!$D$35,cad!$E$35)))</f>
        <v/>
      </c>
      <c r="M1202" t="str">
        <f>IF($A1202="","",IF($D1202="V01",cad!$C$36,IF($D1202="V02",cad!$D$36,cad!$E$36)))</f>
        <v/>
      </c>
      <c r="N1202" t="str">
        <f t="shared" si="73"/>
        <v/>
      </c>
      <c r="O1202" t="str">
        <f t="shared" si="74"/>
        <v/>
      </c>
      <c r="P1202" t="str">
        <f>IF($A1202="","",IF($E1202=1,$F1202*$O1202,PNL!G1202))</f>
        <v/>
      </c>
      <c r="T1202" t="str">
        <f t="shared" si="75"/>
        <v/>
      </c>
    </row>
    <row r="1203" spans="1:20" x14ac:dyDescent="0.45">
      <c r="A1203" t="str">
        <f>IF(PNL!A1203="","",PNL!A1203)</f>
        <v/>
      </c>
      <c r="B1203" t="str">
        <f>IF(PNL!B1203="","",PNL!B1203)</f>
        <v/>
      </c>
      <c r="C1203" t="str">
        <f>IF(PNL!C1203="","",PNL!C1203)</f>
        <v/>
      </c>
      <c r="D1203" t="str">
        <f>IF(PNL!D1203="","",PNL!D1203)</f>
        <v/>
      </c>
      <c r="E1203" t="str">
        <f t="shared" si="72"/>
        <v/>
      </c>
      <c r="F1203" t="str">
        <f>IF($A1203="","",IF($E1203=1,SUMIFS(Compta!$F$1:$F$675,Compta!$A$1:$A$675,$A1203,Compta!$B$1:$B$675,$B1203,Compta!$C$1:$C$675,"2026"),0))</f>
        <v/>
      </c>
      <c r="G1203" t="str">
        <f>IF($A1203="","",IF($D1203="V01",cad!$C$23,IF($D1203="V02",cad!$D$23,cad!$E$23)))</f>
        <v/>
      </c>
      <c r="H1203" t="str">
        <f>IF($A1203="","",IF($D1203="V01",cad!$C$24,IF($D1203="V02",cad!$D$24,cad!$E$24)))</f>
        <v/>
      </c>
      <c r="I1203" t="str">
        <f>IF($A1203="","",IF($D1203="V01",cad!$C$32,IF($D1203="V02",cad!$D$32,cad!$E$32)))</f>
        <v/>
      </c>
      <c r="J1203" t="str">
        <f>IF($A1203="","",IF($D1203="V01",cad!$C$33,IF($D1203="V02",cad!$D$33,cad!$E$33)))</f>
        <v/>
      </c>
      <c r="K1203" t="str">
        <f>IF($A1203="","",IF($D1203="V01",cad!$C$34,IF($D1203="V02",cad!$D$34,cad!$E$34)))</f>
        <v/>
      </c>
      <c r="L1203" t="str">
        <f>IF($A1203="","",IF($D1203="V01",cad!$C$35,IF($D1203="V02",cad!$D$35,cad!$E$35)))</f>
        <v/>
      </c>
      <c r="M1203" t="str">
        <f>IF($A1203="","",IF($D1203="V01",cad!$C$36,IF($D1203="V02",cad!$D$36,cad!$E$36)))</f>
        <v/>
      </c>
      <c r="N1203" t="str">
        <f t="shared" si="73"/>
        <v/>
      </c>
      <c r="O1203" t="str">
        <f t="shared" si="74"/>
        <v/>
      </c>
      <c r="P1203" t="str">
        <f>IF($A1203="","",IF($E1203=1,$F1203*$O1203,PNL!G1203))</f>
        <v/>
      </c>
      <c r="T1203" t="str">
        <f t="shared" si="75"/>
        <v/>
      </c>
    </row>
    <row r="1204" spans="1:20" x14ac:dyDescent="0.45">
      <c r="A1204" t="str">
        <f>IF(PNL!A1204="","",PNL!A1204)</f>
        <v/>
      </c>
      <c r="B1204" t="str">
        <f>IF(PNL!B1204="","",PNL!B1204)</f>
        <v/>
      </c>
      <c r="C1204" t="str">
        <f>IF(PNL!C1204="","",PNL!C1204)</f>
        <v/>
      </c>
      <c r="D1204" t="str">
        <f>IF(PNL!D1204="","",PNL!D1204)</f>
        <v/>
      </c>
      <c r="E1204" t="str">
        <f t="shared" si="72"/>
        <v/>
      </c>
      <c r="F1204" t="str">
        <f>IF($A1204="","",IF($E1204=1,SUMIFS(Compta!$F$1:$F$675,Compta!$A$1:$A$675,$A1204,Compta!$B$1:$B$675,$B1204,Compta!$C$1:$C$675,"2026"),0))</f>
        <v/>
      </c>
      <c r="G1204" t="str">
        <f>IF($A1204="","",IF($D1204="V01",cad!$C$23,IF($D1204="V02",cad!$D$23,cad!$E$23)))</f>
        <v/>
      </c>
      <c r="H1204" t="str">
        <f>IF($A1204="","",IF($D1204="V01",cad!$C$24,IF($D1204="V02",cad!$D$24,cad!$E$24)))</f>
        <v/>
      </c>
      <c r="I1204" t="str">
        <f>IF($A1204="","",IF($D1204="V01",cad!$C$32,IF($D1204="V02",cad!$D$32,cad!$E$32)))</f>
        <v/>
      </c>
      <c r="J1204" t="str">
        <f>IF($A1204="","",IF($D1204="V01",cad!$C$33,IF($D1204="V02",cad!$D$33,cad!$E$33)))</f>
        <v/>
      </c>
      <c r="K1204" t="str">
        <f>IF($A1204="","",IF($D1204="V01",cad!$C$34,IF($D1204="V02",cad!$D$34,cad!$E$34)))</f>
        <v/>
      </c>
      <c r="L1204" t="str">
        <f>IF($A1204="","",IF($D1204="V01",cad!$C$35,IF($D1204="V02",cad!$D$35,cad!$E$35)))</f>
        <v/>
      </c>
      <c r="M1204" t="str">
        <f>IF($A1204="","",IF($D1204="V01",cad!$C$36,IF($D1204="V02",cad!$D$36,cad!$E$36)))</f>
        <v/>
      </c>
      <c r="N1204" t="str">
        <f t="shared" si="73"/>
        <v/>
      </c>
      <c r="O1204" t="str">
        <f t="shared" si="74"/>
        <v/>
      </c>
      <c r="P1204" t="str">
        <f>IF($A1204="","",IF($E1204=1,$F1204*$O1204,PNL!G1204))</f>
        <v/>
      </c>
      <c r="T1204" t="str">
        <f t="shared" si="75"/>
        <v/>
      </c>
    </row>
    <row r="1205" spans="1:20" x14ac:dyDescent="0.45">
      <c r="A1205" t="str">
        <f>IF(PNL!A1205="","",PNL!A1205)</f>
        <v/>
      </c>
      <c r="B1205" t="str">
        <f>IF(PNL!B1205="","",PNL!B1205)</f>
        <v/>
      </c>
      <c r="C1205" t="str">
        <f>IF(PNL!C1205="","",PNL!C1205)</f>
        <v/>
      </c>
      <c r="D1205" t="str">
        <f>IF(PNL!D1205="","",PNL!D1205)</f>
        <v/>
      </c>
      <c r="E1205" t="str">
        <f t="shared" si="72"/>
        <v/>
      </c>
      <c r="F1205" t="str">
        <f>IF($A1205="","",IF($E1205=1,SUMIFS(Compta!$F$1:$F$675,Compta!$A$1:$A$675,$A1205,Compta!$B$1:$B$675,$B1205,Compta!$C$1:$C$675,"2026"),0))</f>
        <v/>
      </c>
      <c r="G1205" t="str">
        <f>IF($A1205="","",IF($D1205="V01",cad!$C$23,IF($D1205="V02",cad!$D$23,cad!$E$23)))</f>
        <v/>
      </c>
      <c r="H1205" t="str">
        <f>IF($A1205="","",IF($D1205="V01",cad!$C$24,IF($D1205="V02",cad!$D$24,cad!$E$24)))</f>
        <v/>
      </c>
      <c r="I1205" t="str">
        <f>IF($A1205="","",IF($D1205="V01",cad!$C$32,IF($D1205="V02",cad!$D$32,cad!$E$32)))</f>
        <v/>
      </c>
      <c r="J1205" t="str">
        <f>IF($A1205="","",IF($D1205="V01",cad!$C$33,IF($D1205="V02",cad!$D$33,cad!$E$33)))</f>
        <v/>
      </c>
      <c r="K1205" t="str">
        <f>IF($A1205="","",IF($D1205="V01",cad!$C$34,IF($D1205="V02",cad!$D$34,cad!$E$34)))</f>
        <v/>
      </c>
      <c r="L1205" t="str">
        <f>IF($A1205="","",IF($D1205="V01",cad!$C$35,IF($D1205="V02",cad!$D$35,cad!$E$35)))</f>
        <v/>
      </c>
      <c r="M1205" t="str">
        <f>IF($A1205="","",IF($D1205="V01",cad!$C$36,IF($D1205="V02",cad!$D$36,cad!$E$36)))</f>
        <v/>
      </c>
      <c r="N1205" t="str">
        <f t="shared" si="73"/>
        <v/>
      </c>
      <c r="O1205" t="str">
        <f t="shared" si="74"/>
        <v/>
      </c>
      <c r="P1205" t="str">
        <f>IF($A1205="","",IF($E1205=1,$F1205*$O1205,PNL!G1205))</f>
        <v/>
      </c>
      <c r="T1205" t="str">
        <f t="shared" si="75"/>
        <v/>
      </c>
    </row>
    <row r="1206" spans="1:20" x14ac:dyDescent="0.45">
      <c r="A1206" t="str">
        <f>IF(PNL!A1206="","",PNL!A1206)</f>
        <v/>
      </c>
      <c r="B1206" t="str">
        <f>IF(PNL!B1206="","",PNL!B1206)</f>
        <v/>
      </c>
      <c r="C1206" t="str">
        <f>IF(PNL!C1206="","",PNL!C1206)</f>
        <v/>
      </c>
      <c r="D1206" t="str">
        <f>IF(PNL!D1206="","",PNL!D1206)</f>
        <v/>
      </c>
      <c r="E1206" t="str">
        <f t="shared" si="72"/>
        <v/>
      </c>
      <c r="F1206" t="str">
        <f>IF($A1206="","",IF($E1206=1,SUMIFS(Compta!$F$1:$F$675,Compta!$A$1:$A$675,$A1206,Compta!$B$1:$B$675,$B1206,Compta!$C$1:$C$675,"2026"),0))</f>
        <v/>
      </c>
      <c r="G1206" t="str">
        <f>IF($A1206="","",IF($D1206="V01",cad!$C$23,IF($D1206="V02",cad!$D$23,cad!$E$23)))</f>
        <v/>
      </c>
      <c r="H1206" t="str">
        <f>IF($A1206="","",IF($D1206="V01",cad!$C$24,IF($D1206="V02",cad!$D$24,cad!$E$24)))</f>
        <v/>
      </c>
      <c r="I1206" t="str">
        <f>IF($A1206="","",IF($D1206="V01",cad!$C$32,IF($D1206="V02",cad!$D$32,cad!$E$32)))</f>
        <v/>
      </c>
      <c r="J1206" t="str">
        <f>IF($A1206="","",IF($D1206="V01",cad!$C$33,IF($D1206="V02",cad!$D$33,cad!$E$33)))</f>
        <v/>
      </c>
      <c r="K1206" t="str">
        <f>IF($A1206="","",IF($D1206="V01",cad!$C$34,IF($D1206="V02",cad!$D$34,cad!$E$34)))</f>
        <v/>
      </c>
      <c r="L1206" t="str">
        <f>IF($A1206="","",IF($D1206="V01",cad!$C$35,IF($D1206="V02",cad!$D$35,cad!$E$35)))</f>
        <v/>
      </c>
      <c r="M1206" t="str">
        <f>IF($A1206="","",IF($D1206="V01",cad!$C$36,IF($D1206="V02",cad!$D$36,cad!$E$36)))</f>
        <v/>
      </c>
      <c r="N1206" t="str">
        <f t="shared" si="73"/>
        <v/>
      </c>
      <c r="O1206" t="str">
        <f t="shared" si="74"/>
        <v/>
      </c>
      <c r="P1206" t="str">
        <f>IF($A1206="","",IF($E1206=1,$F1206*$O1206,PNL!G1206))</f>
        <v/>
      </c>
      <c r="T1206" t="str">
        <f t="shared" si="75"/>
        <v/>
      </c>
    </row>
    <row r="1207" spans="1:20" x14ac:dyDescent="0.45">
      <c r="A1207" t="str">
        <f>IF(PNL!A1207="","",PNL!A1207)</f>
        <v/>
      </c>
      <c r="B1207" t="str">
        <f>IF(PNL!B1207="","",PNL!B1207)</f>
        <v/>
      </c>
      <c r="C1207" t="str">
        <f>IF(PNL!C1207="","",PNL!C1207)</f>
        <v/>
      </c>
      <c r="D1207" t="str">
        <f>IF(PNL!D1207="","",PNL!D1207)</f>
        <v/>
      </c>
      <c r="E1207" t="str">
        <f t="shared" si="72"/>
        <v/>
      </c>
      <c r="F1207" t="str">
        <f>IF($A1207="","",IF($E1207=1,SUMIFS(Compta!$F$1:$F$675,Compta!$A$1:$A$675,$A1207,Compta!$B$1:$B$675,$B1207,Compta!$C$1:$C$675,"2026"),0))</f>
        <v/>
      </c>
      <c r="G1207" t="str">
        <f>IF($A1207="","",IF($D1207="V01",cad!$C$23,IF($D1207="V02",cad!$D$23,cad!$E$23)))</f>
        <v/>
      </c>
      <c r="H1207" t="str">
        <f>IF($A1207="","",IF($D1207="V01",cad!$C$24,IF($D1207="V02",cad!$D$24,cad!$E$24)))</f>
        <v/>
      </c>
      <c r="I1207" t="str">
        <f>IF($A1207="","",IF($D1207="V01",cad!$C$32,IF($D1207="V02",cad!$D$32,cad!$E$32)))</f>
        <v/>
      </c>
      <c r="J1207" t="str">
        <f>IF($A1207="","",IF($D1207="V01",cad!$C$33,IF($D1207="V02",cad!$D$33,cad!$E$33)))</f>
        <v/>
      </c>
      <c r="K1207" t="str">
        <f>IF($A1207="","",IF($D1207="V01",cad!$C$34,IF($D1207="V02",cad!$D$34,cad!$E$34)))</f>
        <v/>
      </c>
      <c r="L1207" t="str">
        <f>IF($A1207="","",IF($D1207="V01",cad!$C$35,IF($D1207="V02",cad!$D$35,cad!$E$35)))</f>
        <v/>
      </c>
      <c r="M1207" t="str">
        <f>IF($A1207="","",IF($D1207="V01",cad!$C$36,IF($D1207="V02",cad!$D$36,cad!$E$36)))</f>
        <v/>
      </c>
      <c r="N1207" t="str">
        <f t="shared" si="73"/>
        <v/>
      </c>
      <c r="O1207" t="str">
        <f t="shared" si="74"/>
        <v/>
      </c>
      <c r="P1207" t="str">
        <f>IF($A1207="","",IF($E1207=1,$F1207*$O1207,PNL!G1207))</f>
        <v/>
      </c>
      <c r="T1207" t="str">
        <f t="shared" si="75"/>
        <v/>
      </c>
    </row>
    <row r="1208" spans="1:20" x14ac:dyDescent="0.45">
      <c r="A1208" t="str">
        <f>IF(PNL!A1208="","",PNL!A1208)</f>
        <v/>
      </c>
      <c r="B1208" t="str">
        <f>IF(PNL!B1208="","",PNL!B1208)</f>
        <v/>
      </c>
      <c r="C1208" t="str">
        <f>IF(PNL!C1208="","",PNL!C1208)</f>
        <v/>
      </c>
      <c r="D1208" t="str">
        <f>IF(PNL!D1208="","",PNL!D1208)</f>
        <v/>
      </c>
      <c r="E1208" t="str">
        <f t="shared" si="72"/>
        <v/>
      </c>
      <c r="F1208" t="str">
        <f>IF($A1208="","",IF($E1208=1,SUMIFS(Compta!$F$1:$F$675,Compta!$A$1:$A$675,$A1208,Compta!$B$1:$B$675,$B1208,Compta!$C$1:$C$675,"2026"),0))</f>
        <v/>
      </c>
      <c r="G1208" t="str">
        <f>IF($A1208="","",IF($D1208="V01",cad!$C$23,IF($D1208="V02",cad!$D$23,cad!$E$23)))</f>
        <v/>
      </c>
      <c r="H1208" t="str">
        <f>IF($A1208="","",IF($D1208="V01",cad!$C$24,IF($D1208="V02",cad!$D$24,cad!$E$24)))</f>
        <v/>
      </c>
      <c r="I1208" t="str">
        <f>IF($A1208="","",IF($D1208="V01",cad!$C$32,IF($D1208="V02",cad!$D$32,cad!$E$32)))</f>
        <v/>
      </c>
      <c r="J1208" t="str">
        <f>IF($A1208="","",IF($D1208="V01",cad!$C$33,IF($D1208="V02",cad!$D$33,cad!$E$33)))</f>
        <v/>
      </c>
      <c r="K1208" t="str">
        <f>IF($A1208="","",IF($D1208="V01",cad!$C$34,IF($D1208="V02",cad!$D$34,cad!$E$34)))</f>
        <v/>
      </c>
      <c r="L1208" t="str">
        <f>IF($A1208="","",IF($D1208="V01",cad!$C$35,IF($D1208="V02",cad!$D$35,cad!$E$35)))</f>
        <v/>
      </c>
      <c r="M1208" t="str">
        <f>IF($A1208="","",IF($D1208="V01",cad!$C$36,IF($D1208="V02",cad!$D$36,cad!$E$36)))</f>
        <v/>
      </c>
      <c r="N1208" t="str">
        <f t="shared" si="73"/>
        <v/>
      </c>
      <c r="O1208" t="str">
        <f t="shared" si="74"/>
        <v/>
      </c>
      <c r="P1208" t="str">
        <f>IF($A1208="","",IF($E1208=1,$F1208*$O1208,PNL!G1208))</f>
        <v/>
      </c>
      <c r="T1208" t="str">
        <f t="shared" si="75"/>
        <v/>
      </c>
    </row>
    <row r="1209" spans="1:20" x14ac:dyDescent="0.45">
      <c r="A1209" t="str">
        <f>IF(PNL!A1209="","",PNL!A1209)</f>
        <v/>
      </c>
      <c r="B1209" t="str">
        <f>IF(PNL!B1209="","",PNL!B1209)</f>
        <v/>
      </c>
      <c r="C1209" t="str">
        <f>IF(PNL!C1209="","",PNL!C1209)</f>
        <v/>
      </c>
      <c r="D1209" t="str">
        <f>IF(PNL!D1209="","",PNL!D1209)</f>
        <v/>
      </c>
      <c r="E1209" t="str">
        <f t="shared" si="72"/>
        <v/>
      </c>
      <c r="F1209" t="str">
        <f>IF($A1209="","",IF($E1209=1,SUMIFS(Compta!$F$1:$F$675,Compta!$A$1:$A$675,$A1209,Compta!$B$1:$B$675,$B1209,Compta!$C$1:$C$675,"2026"),0))</f>
        <v/>
      </c>
      <c r="G1209" t="str">
        <f>IF($A1209="","",IF($D1209="V01",cad!$C$23,IF($D1209="V02",cad!$D$23,cad!$E$23)))</f>
        <v/>
      </c>
      <c r="H1209" t="str">
        <f>IF($A1209="","",IF($D1209="V01",cad!$C$24,IF($D1209="V02",cad!$D$24,cad!$E$24)))</f>
        <v/>
      </c>
      <c r="I1209" t="str">
        <f>IF($A1209="","",IF($D1209="V01",cad!$C$32,IF($D1209="V02",cad!$D$32,cad!$E$32)))</f>
        <v/>
      </c>
      <c r="J1209" t="str">
        <f>IF($A1209="","",IF($D1209="V01",cad!$C$33,IF($D1209="V02",cad!$D$33,cad!$E$33)))</f>
        <v/>
      </c>
      <c r="K1209" t="str">
        <f>IF($A1209="","",IF($D1209="V01",cad!$C$34,IF($D1209="V02",cad!$D$34,cad!$E$34)))</f>
        <v/>
      </c>
      <c r="L1209" t="str">
        <f>IF($A1209="","",IF($D1209="V01",cad!$C$35,IF($D1209="V02",cad!$D$35,cad!$E$35)))</f>
        <v/>
      </c>
      <c r="M1209" t="str">
        <f>IF($A1209="","",IF($D1209="V01",cad!$C$36,IF($D1209="V02",cad!$D$36,cad!$E$36)))</f>
        <v/>
      </c>
      <c r="N1209" t="str">
        <f t="shared" si="73"/>
        <v/>
      </c>
      <c r="O1209" t="str">
        <f t="shared" si="74"/>
        <v/>
      </c>
      <c r="P1209" t="str">
        <f>IF($A1209="","",IF($E1209=1,$F1209*$O1209,PNL!G1209))</f>
        <v/>
      </c>
      <c r="T1209" t="str">
        <f t="shared" si="75"/>
        <v/>
      </c>
    </row>
    <row r="1210" spans="1:20" x14ac:dyDescent="0.45">
      <c r="A1210" t="str">
        <f>IF(PNL!A1210="","",PNL!A1210)</f>
        <v/>
      </c>
      <c r="B1210" t="str">
        <f>IF(PNL!B1210="","",PNL!B1210)</f>
        <v/>
      </c>
      <c r="C1210" t="str">
        <f>IF(PNL!C1210="","",PNL!C1210)</f>
        <v/>
      </c>
      <c r="D1210" t="str">
        <f>IF(PNL!D1210="","",PNL!D1210)</f>
        <v/>
      </c>
      <c r="E1210" t="str">
        <f t="shared" si="72"/>
        <v/>
      </c>
      <c r="F1210" t="str">
        <f>IF($A1210="","",IF($E1210=1,SUMIFS(Compta!$F$1:$F$675,Compta!$A$1:$A$675,$A1210,Compta!$B$1:$B$675,$B1210,Compta!$C$1:$C$675,"2026"),0))</f>
        <v/>
      </c>
      <c r="G1210" t="str">
        <f>IF($A1210="","",IF($D1210="V01",cad!$C$23,IF($D1210="V02",cad!$D$23,cad!$E$23)))</f>
        <v/>
      </c>
      <c r="H1210" t="str">
        <f>IF($A1210="","",IF($D1210="V01",cad!$C$24,IF($D1210="V02",cad!$D$24,cad!$E$24)))</f>
        <v/>
      </c>
      <c r="I1210" t="str">
        <f>IF($A1210="","",IF($D1210="V01",cad!$C$32,IF($D1210="V02",cad!$D$32,cad!$E$32)))</f>
        <v/>
      </c>
      <c r="J1210" t="str">
        <f>IF($A1210="","",IF($D1210="V01",cad!$C$33,IF($D1210="V02",cad!$D$33,cad!$E$33)))</f>
        <v/>
      </c>
      <c r="K1210" t="str">
        <f>IF($A1210="","",IF($D1210="V01",cad!$C$34,IF($D1210="V02",cad!$D$34,cad!$E$34)))</f>
        <v/>
      </c>
      <c r="L1210" t="str">
        <f>IF($A1210="","",IF($D1210="V01",cad!$C$35,IF($D1210="V02",cad!$D$35,cad!$E$35)))</f>
        <v/>
      </c>
      <c r="M1210" t="str">
        <f>IF($A1210="","",IF($D1210="V01",cad!$C$36,IF($D1210="V02",cad!$D$36,cad!$E$36)))</f>
        <v/>
      </c>
      <c r="N1210" t="str">
        <f t="shared" si="73"/>
        <v/>
      </c>
      <c r="O1210" t="str">
        <f t="shared" si="74"/>
        <v/>
      </c>
      <c r="P1210" t="str">
        <f>IF($A1210="","",IF($E1210=1,$F1210*$O1210,PNL!G1210))</f>
        <v/>
      </c>
      <c r="T1210" t="str">
        <f t="shared" si="75"/>
        <v/>
      </c>
    </row>
    <row r="1211" spans="1:20" x14ac:dyDescent="0.45">
      <c r="A1211" t="str">
        <f>IF(PNL!A1211="","",PNL!A1211)</f>
        <v/>
      </c>
      <c r="B1211" t="str">
        <f>IF(PNL!B1211="","",PNL!B1211)</f>
        <v/>
      </c>
      <c r="C1211" t="str">
        <f>IF(PNL!C1211="","",PNL!C1211)</f>
        <v/>
      </c>
      <c r="D1211" t="str">
        <f>IF(PNL!D1211="","",PNL!D1211)</f>
        <v/>
      </c>
      <c r="E1211" t="str">
        <f t="shared" si="72"/>
        <v/>
      </c>
      <c r="F1211" t="str">
        <f>IF($A1211="","",IF($E1211=1,SUMIFS(Compta!$F$1:$F$675,Compta!$A$1:$A$675,$A1211,Compta!$B$1:$B$675,$B1211,Compta!$C$1:$C$675,"2026"),0))</f>
        <v/>
      </c>
      <c r="G1211" t="str">
        <f>IF($A1211="","",IF($D1211="V01",cad!$C$23,IF($D1211="V02",cad!$D$23,cad!$E$23)))</f>
        <v/>
      </c>
      <c r="H1211" t="str">
        <f>IF($A1211="","",IF($D1211="V01",cad!$C$24,IF($D1211="V02",cad!$D$24,cad!$E$24)))</f>
        <v/>
      </c>
      <c r="I1211" t="str">
        <f>IF($A1211="","",IF($D1211="V01",cad!$C$32,IF($D1211="V02",cad!$D$32,cad!$E$32)))</f>
        <v/>
      </c>
      <c r="J1211" t="str">
        <f>IF($A1211="","",IF($D1211="V01",cad!$C$33,IF($D1211="V02",cad!$D$33,cad!$E$33)))</f>
        <v/>
      </c>
      <c r="K1211" t="str">
        <f>IF($A1211="","",IF($D1211="V01",cad!$C$34,IF($D1211="V02",cad!$D$34,cad!$E$34)))</f>
        <v/>
      </c>
      <c r="L1211" t="str">
        <f>IF($A1211="","",IF($D1211="V01",cad!$C$35,IF($D1211="V02",cad!$D$35,cad!$E$35)))</f>
        <v/>
      </c>
      <c r="M1211" t="str">
        <f>IF($A1211="","",IF($D1211="V01",cad!$C$36,IF($D1211="V02",cad!$D$36,cad!$E$36)))</f>
        <v/>
      </c>
      <c r="N1211" t="str">
        <f t="shared" si="73"/>
        <v/>
      </c>
      <c r="O1211" t="str">
        <f t="shared" si="74"/>
        <v/>
      </c>
      <c r="P1211" t="str">
        <f>IF($A1211="","",IF($E1211=1,$F1211*$O1211,PNL!G1211))</f>
        <v/>
      </c>
      <c r="T1211" t="str">
        <f t="shared" si="75"/>
        <v/>
      </c>
    </row>
    <row r="1212" spans="1:20" x14ac:dyDescent="0.45">
      <c r="A1212" t="str">
        <f>IF(PNL!A1212="","",PNL!A1212)</f>
        <v/>
      </c>
      <c r="B1212" t="str">
        <f>IF(PNL!B1212="","",PNL!B1212)</f>
        <v/>
      </c>
      <c r="C1212" t="str">
        <f>IF(PNL!C1212="","",PNL!C1212)</f>
        <v/>
      </c>
      <c r="D1212" t="str">
        <f>IF(PNL!D1212="","",PNL!D1212)</f>
        <v/>
      </c>
      <c r="E1212" t="str">
        <f t="shared" si="72"/>
        <v/>
      </c>
      <c r="F1212" t="str">
        <f>IF($A1212="","",IF($E1212=1,SUMIFS(Compta!$F$1:$F$675,Compta!$A$1:$A$675,$A1212,Compta!$B$1:$B$675,$B1212,Compta!$C$1:$C$675,"2026"),0))</f>
        <v/>
      </c>
      <c r="G1212" t="str">
        <f>IF($A1212="","",IF($D1212="V01",cad!$C$23,IF($D1212="V02",cad!$D$23,cad!$E$23)))</f>
        <v/>
      </c>
      <c r="H1212" t="str">
        <f>IF($A1212="","",IF($D1212="V01",cad!$C$24,IF($D1212="V02",cad!$D$24,cad!$E$24)))</f>
        <v/>
      </c>
      <c r="I1212" t="str">
        <f>IF($A1212="","",IF($D1212="V01",cad!$C$32,IF($D1212="V02",cad!$D$32,cad!$E$32)))</f>
        <v/>
      </c>
      <c r="J1212" t="str">
        <f>IF($A1212="","",IF($D1212="V01",cad!$C$33,IF($D1212="V02",cad!$D$33,cad!$E$33)))</f>
        <v/>
      </c>
      <c r="K1212" t="str">
        <f>IF($A1212="","",IF($D1212="V01",cad!$C$34,IF($D1212="V02",cad!$D$34,cad!$E$34)))</f>
        <v/>
      </c>
      <c r="L1212" t="str">
        <f>IF($A1212="","",IF($D1212="V01",cad!$C$35,IF($D1212="V02",cad!$D$35,cad!$E$35)))</f>
        <v/>
      </c>
      <c r="M1212" t="str">
        <f>IF($A1212="","",IF($D1212="V01",cad!$C$36,IF($D1212="V02",cad!$D$36,cad!$E$36)))</f>
        <v/>
      </c>
      <c r="N1212" t="str">
        <f t="shared" si="73"/>
        <v/>
      </c>
      <c r="O1212" t="str">
        <f t="shared" si="74"/>
        <v/>
      </c>
      <c r="P1212" t="str">
        <f>IF($A1212="","",IF($E1212=1,$F1212*$O1212,PNL!G1212))</f>
        <v/>
      </c>
      <c r="T1212" t="str">
        <f t="shared" si="75"/>
        <v/>
      </c>
    </row>
    <row r="1213" spans="1:20" x14ac:dyDescent="0.45">
      <c r="A1213" t="str">
        <f>IF(PNL!A1213="","",PNL!A1213)</f>
        <v/>
      </c>
      <c r="B1213" t="str">
        <f>IF(PNL!B1213="","",PNL!B1213)</f>
        <v/>
      </c>
      <c r="C1213" t="str">
        <f>IF(PNL!C1213="","",PNL!C1213)</f>
        <v/>
      </c>
      <c r="D1213" t="str">
        <f>IF(PNL!D1213="","",PNL!D1213)</f>
        <v/>
      </c>
      <c r="E1213" t="str">
        <f t="shared" si="72"/>
        <v/>
      </c>
      <c r="F1213" t="str">
        <f>IF($A1213="","",IF($E1213=1,SUMIFS(Compta!$F$1:$F$675,Compta!$A$1:$A$675,$A1213,Compta!$B$1:$B$675,$B1213,Compta!$C$1:$C$675,"2026"),0))</f>
        <v/>
      </c>
      <c r="G1213" t="str">
        <f>IF($A1213="","",IF($D1213="V01",cad!$C$23,IF($D1213="V02",cad!$D$23,cad!$E$23)))</f>
        <v/>
      </c>
      <c r="H1213" t="str">
        <f>IF($A1213="","",IF($D1213="V01",cad!$C$24,IF($D1213="V02",cad!$D$24,cad!$E$24)))</f>
        <v/>
      </c>
      <c r="I1213" t="str">
        <f>IF($A1213="","",IF($D1213="V01",cad!$C$32,IF($D1213="V02",cad!$D$32,cad!$E$32)))</f>
        <v/>
      </c>
      <c r="J1213" t="str">
        <f>IF($A1213="","",IF($D1213="V01",cad!$C$33,IF($D1213="V02",cad!$D$33,cad!$E$33)))</f>
        <v/>
      </c>
      <c r="K1213" t="str">
        <f>IF($A1213="","",IF($D1213="V01",cad!$C$34,IF($D1213="V02",cad!$D$34,cad!$E$34)))</f>
        <v/>
      </c>
      <c r="L1213" t="str">
        <f>IF($A1213="","",IF($D1213="V01",cad!$C$35,IF($D1213="V02",cad!$D$35,cad!$E$35)))</f>
        <v/>
      </c>
      <c r="M1213" t="str">
        <f>IF($A1213="","",IF($D1213="V01",cad!$C$36,IF($D1213="V02",cad!$D$36,cad!$E$36)))</f>
        <v/>
      </c>
      <c r="N1213" t="str">
        <f t="shared" si="73"/>
        <v/>
      </c>
      <c r="O1213" t="str">
        <f t="shared" si="74"/>
        <v/>
      </c>
      <c r="P1213" t="str">
        <f>IF($A1213="","",IF($E1213=1,$F1213*$O1213,PNL!G1213))</f>
        <v/>
      </c>
      <c r="T1213" t="str">
        <f t="shared" si="75"/>
        <v/>
      </c>
    </row>
    <row r="1214" spans="1:20" x14ac:dyDescent="0.45">
      <c r="A1214" t="str">
        <f>IF(PNL!A1214="","",PNL!A1214)</f>
        <v/>
      </c>
      <c r="B1214" t="str">
        <f>IF(PNL!B1214="","",PNL!B1214)</f>
        <v/>
      </c>
      <c r="C1214" t="str">
        <f>IF(PNL!C1214="","",PNL!C1214)</f>
        <v/>
      </c>
      <c r="D1214" t="str">
        <f>IF(PNL!D1214="","",PNL!D1214)</f>
        <v/>
      </c>
      <c r="E1214" t="str">
        <f t="shared" si="72"/>
        <v/>
      </c>
      <c r="F1214" t="str">
        <f>IF($A1214="","",IF($E1214=1,SUMIFS(Compta!$F$1:$F$675,Compta!$A$1:$A$675,$A1214,Compta!$B$1:$B$675,$B1214,Compta!$C$1:$C$675,"2026"),0))</f>
        <v/>
      </c>
      <c r="G1214" t="str">
        <f>IF($A1214="","",IF($D1214="V01",cad!$C$23,IF($D1214="V02",cad!$D$23,cad!$E$23)))</f>
        <v/>
      </c>
      <c r="H1214" t="str">
        <f>IF($A1214="","",IF($D1214="V01",cad!$C$24,IF($D1214="V02",cad!$D$24,cad!$E$24)))</f>
        <v/>
      </c>
      <c r="I1214" t="str">
        <f>IF($A1214="","",IF($D1214="V01",cad!$C$32,IF($D1214="V02",cad!$D$32,cad!$E$32)))</f>
        <v/>
      </c>
      <c r="J1214" t="str">
        <f>IF($A1214="","",IF($D1214="V01",cad!$C$33,IF($D1214="V02",cad!$D$33,cad!$E$33)))</f>
        <v/>
      </c>
      <c r="K1214" t="str">
        <f>IF($A1214="","",IF($D1214="V01",cad!$C$34,IF($D1214="V02",cad!$D$34,cad!$E$34)))</f>
        <v/>
      </c>
      <c r="L1214" t="str">
        <f>IF($A1214="","",IF($D1214="V01",cad!$C$35,IF($D1214="V02",cad!$D$35,cad!$E$35)))</f>
        <v/>
      </c>
      <c r="M1214" t="str">
        <f>IF($A1214="","",IF($D1214="V01",cad!$C$36,IF($D1214="V02",cad!$D$36,cad!$E$36)))</f>
        <v/>
      </c>
      <c r="N1214" t="str">
        <f t="shared" si="73"/>
        <v/>
      </c>
      <c r="O1214" t="str">
        <f t="shared" si="74"/>
        <v/>
      </c>
      <c r="P1214" t="str">
        <f>IF($A1214="","",IF($E1214=1,$F1214*$O1214,PNL!G1214))</f>
        <v/>
      </c>
      <c r="T1214" t="str">
        <f t="shared" si="75"/>
        <v/>
      </c>
    </row>
    <row r="1215" spans="1:20" x14ac:dyDescent="0.45">
      <c r="A1215" t="str">
        <f>IF(PNL!A1215="","",PNL!A1215)</f>
        <v/>
      </c>
      <c r="B1215" t="str">
        <f>IF(PNL!B1215="","",PNL!B1215)</f>
        <v/>
      </c>
      <c r="C1215" t="str">
        <f>IF(PNL!C1215="","",PNL!C1215)</f>
        <v/>
      </c>
      <c r="D1215" t="str">
        <f>IF(PNL!D1215="","",PNL!D1215)</f>
        <v/>
      </c>
      <c r="E1215" t="str">
        <f t="shared" si="72"/>
        <v/>
      </c>
      <c r="F1215" t="str">
        <f>IF($A1215="","",IF($E1215=1,SUMIFS(Compta!$F$1:$F$675,Compta!$A$1:$A$675,$A1215,Compta!$B$1:$B$675,$B1215,Compta!$C$1:$C$675,"2026"),0))</f>
        <v/>
      </c>
      <c r="G1215" t="str">
        <f>IF($A1215="","",IF($D1215="V01",cad!$C$23,IF($D1215="V02",cad!$D$23,cad!$E$23)))</f>
        <v/>
      </c>
      <c r="H1215" t="str">
        <f>IF($A1215="","",IF($D1215="V01",cad!$C$24,IF($D1215="V02",cad!$D$24,cad!$E$24)))</f>
        <v/>
      </c>
      <c r="I1215" t="str">
        <f>IF($A1215="","",IF($D1215="V01",cad!$C$32,IF($D1215="V02",cad!$D$32,cad!$E$32)))</f>
        <v/>
      </c>
      <c r="J1215" t="str">
        <f>IF($A1215="","",IF($D1215="V01",cad!$C$33,IF($D1215="V02",cad!$D$33,cad!$E$33)))</f>
        <v/>
      </c>
      <c r="K1215" t="str">
        <f>IF($A1215="","",IF($D1215="V01",cad!$C$34,IF($D1215="V02",cad!$D$34,cad!$E$34)))</f>
        <v/>
      </c>
      <c r="L1215" t="str">
        <f>IF($A1215="","",IF($D1215="V01",cad!$C$35,IF($D1215="V02",cad!$D$35,cad!$E$35)))</f>
        <v/>
      </c>
      <c r="M1215" t="str">
        <f>IF($A1215="","",IF($D1215="V01",cad!$C$36,IF($D1215="V02",cad!$D$36,cad!$E$36)))</f>
        <v/>
      </c>
      <c r="N1215" t="str">
        <f t="shared" si="73"/>
        <v/>
      </c>
      <c r="O1215" t="str">
        <f t="shared" si="74"/>
        <v/>
      </c>
      <c r="P1215" t="str">
        <f>IF($A1215="","",IF($E1215=1,$F1215*$O1215,PNL!G1215))</f>
        <v/>
      </c>
      <c r="T1215" t="str">
        <f t="shared" si="75"/>
        <v/>
      </c>
    </row>
    <row r="1216" spans="1:20" x14ac:dyDescent="0.45">
      <c r="A1216" t="str">
        <f>IF(PNL!A1216="","",PNL!A1216)</f>
        <v/>
      </c>
      <c r="B1216" t="str">
        <f>IF(PNL!B1216="","",PNL!B1216)</f>
        <v/>
      </c>
      <c r="C1216" t="str">
        <f>IF(PNL!C1216="","",PNL!C1216)</f>
        <v/>
      </c>
      <c r="D1216" t="str">
        <f>IF(PNL!D1216="","",PNL!D1216)</f>
        <v/>
      </c>
      <c r="E1216" t="str">
        <f t="shared" si="72"/>
        <v/>
      </c>
      <c r="F1216" t="str">
        <f>IF($A1216="","",IF($E1216=1,SUMIFS(Compta!$F$1:$F$675,Compta!$A$1:$A$675,$A1216,Compta!$B$1:$B$675,$B1216,Compta!$C$1:$C$675,"2026"),0))</f>
        <v/>
      </c>
      <c r="G1216" t="str">
        <f>IF($A1216="","",IF($D1216="V01",cad!$C$23,IF($D1216="V02",cad!$D$23,cad!$E$23)))</f>
        <v/>
      </c>
      <c r="H1216" t="str">
        <f>IF($A1216="","",IF($D1216="V01",cad!$C$24,IF($D1216="V02",cad!$D$24,cad!$E$24)))</f>
        <v/>
      </c>
      <c r="I1216" t="str">
        <f>IF($A1216="","",IF($D1216="V01",cad!$C$32,IF($D1216="V02",cad!$D$32,cad!$E$32)))</f>
        <v/>
      </c>
      <c r="J1216" t="str">
        <f>IF($A1216="","",IF($D1216="V01",cad!$C$33,IF($D1216="V02",cad!$D$33,cad!$E$33)))</f>
        <v/>
      </c>
      <c r="K1216" t="str">
        <f>IF($A1216="","",IF($D1216="V01",cad!$C$34,IF($D1216="V02",cad!$D$34,cad!$E$34)))</f>
        <v/>
      </c>
      <c r="L1216" t="str">
        <f>IF($A1216="","",IF($D1216="V01",cad!$C$35,IF($D1216="V02",cad!$D$35,cad!$E$35)))</f>
        <v/>
      </c>
      <c r="M1216" t="str">
        <f>IF($A1216="","",IF($D1216="V01",cad!$C$36,IF($D1216="V02",cad!$D$36,cad!$E$36)))</f>
        <v/>
      </c>
      <c r="N1216" t="str">
        <f t="shared" si="73"/>
        <v/>
      </c>
      <c r="O1216" t="str">
        <f t="shared" si="74"/>
        <v/>
      </c>
      <c r="P1216" t="str">
        <f>IF($A1216="","",IF($E1216=1,$F1216*$O1216,PNL!G1216))</f>
        <v/>
      </c>
      <c r="T1216" t="str">
        <f t="shared" si="75"/>
        <v/>
      </c>
    </row>
    <row r="1217" spans="1:20" x14ac:dyDescent="0.45">
      <c r="A1217" t="str">
        <f>IF(PNL!A1217="","",PNL!A1217)</f>
        <v/>
      </c>
      <c r="B1217" t="str">
        <f>IF(PNL!B1217="","",PNL!B1217)</f>
        <v/>
      </c>
      <c r="C1217" t="str">
        <f>IF(PNL!C1217="","",PNL!C1217)</f>
        <v/>
      </c>
      <c r="D1217" t="str">
        <f>IF(PNL!D1217="","",PNL!D1217)</f>
        <v/>
      </c>
      <c r="E1217" t="str">
        <f t="shared" si="72"/>
        <v/>
      </c>
      <c r="F1217" t="str">
        <f>IF($A1217="","",IF($E1217=1,SUMIFS(Compta!$F$1:$F$675,Compta!$A$1:$A$675,$A1217,Compta!$B$1:$B$675,$B1217,Compta!$C$1:$C$675,"2026"),0))</f>
        <v/>
      </c>
      <c r="G1217" t="str">
        <f>IF($A1217="","",IF($D1217="V01",cad!$C$23,IF($D1217="V02",cad!$D$23,cad!$E$23)))</f>
        <v/>
      </c>
      <c r="H1217" t="str">
        <f>IF($A1217="","",IF($D1217="V01",cad!$C$24,IF($D1217="V02",cad!$D$24,cad!$E$24)))</f>
        <v/>
      </c>
      <c r="I1217" t="str">
        <f>IF($A1217="","",IF($D1217="V01",cad!$C$32,IF($D1217="V02",cad!$D$32,cad!$E$32)))</f>
        <v/>
      </c>
      <c r="J1217" t="str">
        <f>IF($A1217="","",IF($D1217="V01",cad!$C$33,IF($D1217="V02",cad!$D$33,cad!$E$33)))</f>
        <v/>
      </c>
      <c r="K1217" t="str">
        <f>IF($A1217="","",IF($D1217="V01",cad!$C$34,IF($D1217="V02",cad!$D$34,cad!$E$34)))</f>
        <v/>
      </c>
      <c r="L1217" t="str">
        <f>IF($A1217="","",IF($D1217="V01",cad!$C$35,IF($D1217="V02",cad!$D$35,cad!$E$35)))</f>
        <v/>
      </c>
      <c r="M1217" t="str">
        <f>IF($A1217="","",IF($D1217="V01",cad!$C$36,IF($D1217="V02",cad!$D$36,cad!$E$36)))</f>
        <v/>
      </c>
      <c r="N1217" t="str">
        <f t="shared" si="73"/>
        <v/>
      </c>
      <c r="O1217" t="str">
        <f t="shared" si="74"/>
        <v/>
      </c>
      <c r="P1217" t="str">
        <f>IF($A1217="","",IF($E1217=1,$F1217*$O1217,PNL!G1217))</f>
        <v/>
      </c>
      <c r="T1217" t="str">
        <f t="shared" si="75"/>
        <v/>
      </c>
    </row>
    <row r="1218" spans="1:20" x14ac:dyDescent="0.45">
      <c r="A1218" t="str">
        <f>IF(PNL!A1218="","",PNL!A1218)</f>
        <v/>
      </c>
      <c r="B1218" t="str">
        <f>IF(PNL!B1218="","",PNL!B1218)</f>
        <v/>
      </c>
      <c r="C1218" t="str">
        <f>IF(PNL!C1218="","",PNL!C1218)</f>
        <v/>
      </c>
      <c r="D1218" t="str">
        <f>IF(PNL!D1218="","",PNL!D1218)</f>
        <v/>
      </c>
      <c r="E1218" t="str">
        <f t="shared" ref="E1218:E1281" si="76">IF($A1218="","",IF(AND($C1218="2027",OR($D1218="V01",$D1218="V02",$D1218="V03")),1,0))</f>
        <v/>
      </c>
      <c r="F1218" t="str">
        <f>IF($A1218="","",IF($E1218=1,SUMIFS(Compta!$F$1:$F$675,Compta!$A$1:$A$675,$A1218,Compta!$B$1:$B$675,$B1218,Compta!$C$1:$C$675,"2026"),0))</f>
        <v/>
      </c>
      <c r="G1218" t="str">
        <f>IF($A1218="","",IF($D1218="V01",cad!$C$23,IF($D1218="V02",cad!$D$23,cad!$E$23)))</f>
        <v/>
      </c>
      <c r="H1218" t="str">
        <f>IF($A1218="","",IF($D1218="V01",cad!$C$24,IF($D1218="V02",cad!$D$24,cad!$E$24)))</f>
        <v/>
      </c>
      <c r="I1218" t="str">
        <f>IF($A1218="","",IF($D1218="V01",cad!$C$32,IF($D1218="V02",cad!$D$32,cad!$E$32)))</f>
        <v/>
      </c>
      <c r="J1218" t="str">
        <f>IF($A1218="","",IF($D1218="V01",cad!$C$33,IF($D1218="V02",cad!$D$33,cad!$E$33)))</f>
        <v/>
      </c>
      <c r="K1218" t="str">
        <f>IF($A1218="","",IF($D1218="V01",cad!$C$34,IF($D1218="V02",cad!$D$34,cad!$E$34)))</f>
        <v/>
      </c>
      <c r="L1218" t="str">
        <f>IF($A1218="","",IF($D1218="V01",cad!$C$35,IF($D1218="V02",cad!$D$35,cad!$E$35)))</f>
        <v/>
      </c>
      <c r="M1218" t="str">
        <f>IF($A1218="","",IF($D1218="V01",cad!$C$36,IF($D1218="V02",cad!$D$36,cad!$E$36)))</f>
        <v/>
      </c>
      <c r="N1218" t="str">
        <f t="shared" ref="N1218:N1281" si="77">IF($A1218="","",IF($D1218="V01",$R$2,IF($D1218="V02",$R$3,$R$4)))</f>
        <v/>
      </c>
      <c r="O1218" t="str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 t="str">
        <f>IF($A1218="","",IF($E1218=1,$F1218*$O1218,PNL!G1218))</f>
        <v/>
      </c>
      <c r="T1218" t="str">
        <f t="shared" ref="T1218:T1281" si="79">IF($A1218="","",IF($E1218=1,IF(OR($B1218="7062",$B1218="706",$B1218="708"),$P1218,IF(AND(LEFT($B1218,1)="6",$B1218&lt;&gt;"6811"),-$P1218,0)),0))</f>
        <v/>
      </c>
    </row>
    <row r="1219" spans="1:20" x14ac:dyDescent="0.45">
      <c r="A1219" t="str">
        <f>IF(PNL!A1219="","",PNL!A1219)</f>
        <v/>
      </c>
      <c r="B1219" t="str">
        <f>IF(PNL!B1219="","",PNL!B1219)</f>
        <v/>
      </c>
      <c r="C1219" t="str">
        <f>IF(PNL!C1219="","",PNL!C1219)</f>
        <v/>
      </c>
      <c r="D1219" t="str">
        <f>IF(PNL!D1219="","",PNL!D1219)</f>
        <v/>
      </c>
      <c r="E1219" t="str">
        <f t="shared" si="76"/>
        <v/>
      </c>
      <c r="F1219" t="str">
        <f>IF($A1219="","",IF($E1219=1,SUMIFS(Compta!$F$1:$F$675,Compta!$A$1:$A$675,$A1219,Compta!$B$1:$B$675,$B1219,Compta!$C$1:$C$675,"2026"),0))</f>
        <v/>
      </c>
      <c r="G1219" t="str">
        <f>IF($A1219="","",IF($D1219="V01",cad!$C$23,IF($D1219="V02",cad!$D$23,cad!$E$23)))</f>
        <v/>
      </c>
      <c r="H1219" t="str">
        <f>IF($A1219="","",IF($D1219="V01",cad!$C$24,IF($D1219="V02",cad!$D$24,cad!$E$24)))</f>
        <v/>
      </c>
      <c r="I1219" t="str">
        <f>IF($A1219="","",IF($D1219="V01",cad!$C$32,IF($D1219="V02",cad!$D$32,cad!$E$32)))</f>
        <v/>
      </c>
      <c r="J1219" t="str">
        <f>IF($A1219="","",IF($D1219="V01",cad!$C$33,IF($D1219="V02",cad!$D$33,cad!$E$33)))</f>
        <v/>
      </c>
      <c r="K1219" t="str">
        <f>IF($A1219="","",IF($D1219="V01",cad!$C$34,IF($D1219="V02",cad!$D$34,cad!$E$34)))</f>
        <v/>
      </c>
      <c r="L1219" t="str">
        <f>IF($A1219="","",IF($D1219="V01",cad!$C$35,IF($D1219="V02",cad!$D$35,cad!$E$35)))</f>
        <v/>
      </c>
      <c r="M1219" t="str">
        <f>IF($A1219="","",IF($D1219="V01",cad!$C$36,IF($D1219="V02",cad!$D$36,cad!$E$36)))</f>
        <v/>
      </c>
      <c r="N1219" t="str">
        <f t="shared" si="77"/>
        <v/>
      </c>
      <c r="O1219" t="str">
        <f t="shared" si="78"/>
        <v/>
      </c>
      <c r="P1219" t="str">
        <f>IF($A1219="","",IF($E1219=1,$F1219*$O1219,PNL!G1219))</f>
        <v/>
      </c>
      <c r="T1219" t="str">
        <f t="shared" si="79"/>
        <v/>
      </c>
    </row>
    <row r="1220" spans="1:20" x14ac:dyDescent="0.45">
      <c r="A1220" t="str">
        <f>IF(PNL!A1220="","",PNL!A1220)</f>
        <v/>
      </c>
      <c r="B1220" t="str">
        <f>IF(PNL!B1220="","",PNL!B1220)</f>
        <v/>
      </c>
      <c r="C1220" t="str">
        <f>IF(PNL!C1220="","",PNL!C1220)</f>
        <v/>
      </c>
      <c r="D1220" t="str">
        <f>IF(PNL!D1220="","",PNL!D1220)</f>
        <v/>
      </c>
      <c r="E1220" t="str">
        <f t="shared" si="76"/>
        <v/>
      </c>
      <c r="F1220" t="str">
        <f>IF($A1220="","",IF($E1220=1,SUMIFS(Compta!$F$1:$F$675,Compta!$A$1:$A$675,$A1220,Compta!$B$1:$B$675,$B1220,Compta!$C$1:$C$675,"2026"),0))</f>
        <v/>
      </c>
      <c r="G1220" t="str">
        <f>IF($A1220="","",IF($D1220="V01",cad!$C$23,IF($D1220="V02",cad!$D$23,cad!$E$23)))</f>
        <v/>
      </c>
      <c r="H1220" t="str">
        <f>IF($A1220="","",IF($D1220="V01",cad!$C$24,IF($D1220="V02",cad!$D$24,cad!$E$24)))</f>
        <v/>
      </c>
      <c r="I1220" t="str">
        <f>IF($A1220="","",IF($D1220="V01",cad!$C$32,IF($D1220="V02",cad!$D$32,cad!$E$32)))</f>
        <v/>
      </c>
      <c r="J1220" t="str">
        <f>IF($A1220="","",IF($D1220="V01",cad!$C$33,IF($D1220="V02",cad!$D$33,cad!$E$33)))</f>
        <v/>
      </c>
      <c r="K1220" t="str">
        <f>IF($A1220="","",IF($D1220="V01",cad!$C$34,IF($D1220="V02",cad!$D$34,cad!$E$34)))</f>
        <v/>
      </c>
      <c r="L1220" t="str">
        <f>IF($A1220="","",IF($D1220="V01",cad!$C$35,IF($D1220="V02",cad!$D$35,cad!$E$35)))</f>
        <v/>
      </c>
      <c r="M1220" t="str">
        <f>IF($A1220="","",IF($D1220="V01",cad!$C$36,IF($D1220="V02",cad!$D$36,cad!$E$36)))</f>
        <v/>
      </c>
      <c r="N1220" t="str">
        <f t="shared" si="77"/>
        <v/>
      </c>
      <c r="O1220" t="str">
        <f t="shared" si="78"/>
        <v/>
      </c>
      <c r="P1220" t="str">
        <f>IF($A1220="","",IF($E1220=1,$F1220*$O1220,PNL!G1220))</f>
        <v/>
      </c>
      <c r="T1220" t="str">
        <f t="shared" si="79"/>
        <v/>
      </c>
    </row>
    <row r="1221" spans="1:20" x14ac:dyDescent="0.45">
      <c r="A1221" t="str">
        <f>IF(PNL!A1221="","",PNL!A1221)</f>
        <v/>
      </c>
      <c r="B1221" t="str">
        <f>IF(PNL!B1221="","",PNL!B1221)</f>
        <v/>
      </c>
      <c r="C1221" t="str">
        <f>IF(PNL!C1221="","",PNL!C1221)</f>
        <v/>
      </c>
      <c r="D1221" t="str">
        <f>IF(PNL!D1221="","",PNL!D1221)</f>
        <v/>
      </c>
      <c r="E1221" t="str">
        <f t="shared" si="76"/>
        <v/>
      </c>
      <c r="F1221" t="str">
        <f>IF($A1221="","",IF($E1221=1,SUMIFS(Compta!$F$1:$F$675,Compta!$A$1:$A$675,$A1221,Compta!$B$1:$B$675,$B1221,Compta!$C$1:$C$675,"2026"),0))</f>
        <v/>
      </c>
      <c r="G1221" t="str">
        <f>IF($A1221="","",IF($D1221="V01",cad!$C$23,IF($D1221="V02",cad!$D$23,cad!$E$23)))</f>
        <v/>
      </c>
      <c r="H1221" t="str">
        <f>IF($A1221="","",IF($D1221="V01",cad!$C$24,IF($D1221="V02",cad!$D$24,cad!$E$24)))</f>
        <v/>
      </c>
      <c r="I1221" t="str">
        <f>IF($A1221="","",IF($D1221="V01",cad!$C$32,IF($D1221="V02",cad!$D$32,cad!$E$32)))</f>
        <v/>
      </c>
      <c r="J1221" t="str">
        <f>IF($A1221="","",IF($D1221="V01",cad!$C$33,IF($D1221="V02",cad!$D$33,cad!$E$33)))</f>
        <v/>
      </c>
      <c r="K1221" t="str">
        <f>IF($A1221="","",IF($D1221="V01",cad!$C$34,IF($D1221="V02",cad!$D$34,cad!$E$34)))</f>
        <v/>
      </c>
      <c r="L1221" t="str">
        <f>IF($A1221="","",IF($D1221="V01",cad!$C$35,IF($D1221="V02",cad!$D$35,cad!$E$35)))</f>
        <v/>
      </c>
      <c r="M1221" t="str">
        <f>IF($A1221="","",IF($D1221="V01",cad!$C$36,IF($D1221="V02",cad!$D$36,cad!$E$36)))</f>
        <v/>
      </c>
      <c r="N1221" t="str">
        <f t="shared" si="77"/>
        <v/>
      </c>
      <c r="O1221" t="str">
        <f t="shared" si="78"/>
        <v/>
      </c>
      <c r="P1221" t="str">
        <f>IF($A1221="","",IF($E1221=1,$F1221*$O1221,PNL!G1221))</f>
        <v/>
      </c>
      <c r="T1221" t="str">
        <f t="shared" si="79"/>
        <v/>
      </c>
    </row>
    <row r="1222" spans="1:20" x14ac:dyDescent="0.45">
      <c r="A1222" t="str">
        <f>IF(PNL!A1222="","",PNL!A1222)</f>
        <v/>
      </c>
      <c r="B1222" t="str">
        <f>IF(PNL!B1222="","",PNL!B1222)</f>
        <v/>
      </c>
      <c r="C1222" t="str">
        <f>IF(PNL!C1222="","",PNL!C1222)</f>
        <v/>
      </c>
      <c r="D1222" t="str">
        <f>IF(PNL!D1222="","",PNL!D1222)</f>
        <v/>
      </c>
      <c r="E1222" t="str">
        <f t="shared" si="76"/>
        <v/>
      </c>
      <c r="F1222" t="str">
        <f>IF($A1222="","",IF($E1222=1,SUMIFS(Compta!$F$1:$F$675,Compta!$A$1:$A$675,$A1222,Compta!$B$1:$B$675,$B1222,Compta!$C$1:$C$675,"2026"),0))</f>
        <v/>
      </c>
      <c r="G1222" t="str">
        <f>IF($A1222="","",IF($D1222="V01",cad!$C$23,IF($D1222="V02",cad!$D$23,cad!$E$23)))</f>
        <v/>
      </c>
      <c r="H1222" t="str">
        <f>IF($A1222="","",IF($D1222="V01",cad!$C$24,IF($D1222="V02",cad!$D$24,cad!$E$24)))</f>
        <v/>
      </c>
      <c r="I1222" t="str">
        <f>IF($A1222="","",IF($D1222="V01",cad!$C$32,IF($D1222="V02",cad!$D$32,cad!$E$32)))</f>
        <v/>
      </c>
      <c r="J1222" t="str">
        <f>IF($A1222="","",IF($D1222="V01",cad!$C$33,IF($D1222="V02",cad!$D$33,cad!$E$33)))</f>
        <v/>
      </c>
      <c r="K1222" t="str">
        <f>IF($A1222="","",IF($D1222="V01",cad!$C$34,IF($D1222="V02",cad!$D$34,cad!$E$34)))</f>
        <v/>
      </c>
      <c r="L1222" t="str">
        <f>IF($A1222="","",IF($D1222="V01",cad!$C$35,IF($D1222="V02",cad!$D$35,cad!$E$35)))</f>
        <v/>
      </c>
      <c r="M1222" t="str">
        <f>IF($A1222="","",IF($D1222="V01",cad!$C$36,IF($D1222="V02",cad!$D$36,cad!$E$36)))</f>
        <v/>
      </c>
      <c r="N1222" t="str">
        <f t="shared" si="77"/>
        <v/>
      </c>
      <c r="O1222" t="str">
        <f t="shared" si="78"/>
        <v/>
      </c>
      <c r="P1222" t="str">
        <f>IF($A1222="","",IF($E1222=1,$F1222*$O1222,PNL!G1222))</f>
        <v/>
      </c>
      <c r="T1222" t="str">
        <f t="shared" si="79"/>
        <v/>
      </c>
    </row>
    <row r="1223" spans="1:20" x14ac:dyDescent="0.45">
      <c r="A1223" t="str">
        <f>IF(PNL!A1223="","",PNL!A1223)</f>
        <v/>
      </c>
      <c r="B1223" t="str">
        <f>IF(PNL!B1223="","",PNL!B1223)</f>
        <v/>
      </c>
      <c r="C1223" t="str">
        <f>IF(PNL!C1223="","",PNL!C1223)</f>
        <v/>
      </c>
      <c r="D1223" t="str">
        <f>IF(PNL!D1223="","",PNL!D1223)</f>
        <v/>
      </c>
      <c r="E1223" t="str">
        <f t="shared" si="76"/>
        <v/>
      </c>
      <c r="F1223" t="str">
        <f>IF($A1223="","",IF($E1223=1,SUMIFS(Compta!$F$1:$F$675,Compta!$A$1:$A$675,$A1223,Compta!$B$1:$B$675,$B1223,Compta!$C$1:$C$675,"2026"),0))</f>
        <v/>
      </c>
      <c r="G1223" t="str">
        <f>IF($A1223="","",IF($D1223="V01",cad!$C$23,IF($D1223="V02",cad!$D$23,cad!$E$23)))</f>
        <v/>
      </c>
      <c r="H1223" t="str">
        <f>IF($A1223="","",IF($D1223="V01",cad!$C$24,IF($D1223="V02",cad!$D$24,cad!$E$24)))</f>
        <v/>
      </c>
      <c r="I1223" t="str">
        <f>IF($A1223="","",IF($D1223="V01",cad!$C$32,IF($D1223="V02",cad!$D$32,cad!$E$32)))</f>
        <v/>
      </c>
      <c r="J1223" t="str">
        <f>IF($A1223="","",IF($D1223="V01",cad!$C$33,IF($D1223="V02",cad!$D$33,cad!$E$33)))</f>
        <v/>
      </c>
      <c r="K1223" t="str">
        <f>IF($A1223="","",IF($D1223="V01",cad!$C$34,IF($D1223="V02",cad!$D$34,cad!$E$34)))</f>
        <v/>
      </c>
      <c r="L1223" t="str">
        <f>IF($A1223="","",IF($D1223="V01",cad!$C$35,IF($D1223="V02",cad!$D$35,cad!$E$35)))</f>
        <v/>
      </c>
      <c r="M1223" t="str">
        <f>IF($A1223="","",IF($D1223="V01",cad!$C$36,IF($D1223="V02",cad!$D$36,cad!$E$36)))</f>
        <v/>
      </c>
      <c r="N1223" t="str">
        <f t="shared" si="77"/>
        <v/>
      </c>
      <c r="O1223" t="str">
        <f t="shared" si="78"/>
        <v/>
      </c>
      <c r="P1223" t="str">
        <f>IF($A1223="","",IF($E1223=1,$F1223*$O1223,PNL!G1223))</f>
        <v/>
      </c>
      <c r="T1223" t="str">
        <f t="shared" si="79"/>
        <v/>
      </c>
    </row>
    <row r="1224" spans="1:20" x14ac:dyDescent="0.45">
      <c r="A1224" t="str">
        <f>IF(PNL!A1224="","",PNL!A1224)</f>
        <v/>
      </c>
      <c r="B1224" t="str">
        <f>IF(PNL!B1224="","",PNL!B1224)</f>
        <v/>
      </c>
      <c r="C1224" t="str">
        <f>IF(PNL!C1224="","",PNL!C1224)</f>
        <v/>
      </c>
      <c r="D1224" t="str">
        <f>IF(PNL!D1224="","",PNL!D1224)</f>
        <v/>
      </c>
      <c r="E1224" t="str">
        <f t="shared" si="76"/>
        <v/>
      </c>
      <c r="F1224" t="str">
        <f>IF($A1224="","",IF($E1224=1,SUMIFS(Compta!$F$1:$F$675,Compta!$A$1:$A$675,$A1224,Compta!$B$1:$B$675,$B1224,Compta!$C$1:$C$675,"2026"),0))</f>
        <v/>
      </c>
      <c r="G1224" t="str">
        <f>IF($A1224="","",IF($D1224="V01",cad!$C$23,IF($D1224="V02",cad!$D$23,cad!$E$23)))</f>
        <v/>
      </c>
      <c r="H1224" t="str">
        <f>IF($A1224="","",IF($D1224="V01",cad!$C$24,IF($D1224="V02",cad!$D$24,cad!$E$24)))</f>
        <v/>
      </c>
      <c r="I1224" t="str">
        <f>IF($A1224="","",IF($D1224="V01",cad!$C$32,IF($D1224="V02",cad!$D$32,cad!$E$32)))</f>
        <v/>
      </c>
      <c r="J1224" t="str">
        <f>IF($A1224="","",IF($D1224="V01",cad!$C$33,IF($D1224="V02",cad!$D$33,cad!$E$33)))</f>
        <v/>
      </c>
      <c r="K1224" t="str">
        <f>IF($A1224="","",IF($D1224="V01",cad!$C$34,IF($D1224="V02",cad!$D$34,cad!$E$34)))</f>
        <v/>
      </c>
      <c r="L1224" t="str">
        <f>IF($A1224="","",IF($D1224="V01",cad!$C$35,IF($D1224="V02",cad!$D$35,cad!$E$35)))</f>
        <v/>
      </c>
      <c r="M1224" t="str">
        <f>IF($A1224="","",IF($D1224="V01",cad!$C$36,IF($D1224="V02",cad!$D$36,cad!$E$36)))</f>
        <v/>
      </c>
      <c r="N1224" t="str">
        <f t="shared" si="77"/>
        <v/>
      </c>
      <c r="O1224" t="str">
        <f t="shared" si="78"/>
        <v/>
      </c>
      <c r="P1224" t="str">
        <f>IF($A1224="","",IF($E1224=1,$F1224*$O1224,PNL!G1224))</f>
        <v/>
      </c>
      <c r="T1224" t="str">
        <f t="shared" si="79"/>
        <v/>
      </c>
    </row>
    <row r="1225" spans="1:20" x14ac:dyDescent="0.45">
      <c r="A1225" t="str">
        <f>IF(PNL!A1225="","",PNL!A1225)</f>
        <v/>
      </c>
      <c r="B1225" t="str">
        <f>IF(PNL!B1225="","",PNL!B1225)</f>
        <v/>
      </c>
      <c r="C1225" t="str">
        <f>IF(PNL!C1225="","",PNL!C1225)</f>
        <v/>
      </c>
      <c r="D1225" t="str">
        <f>IF(PNL!D1225="","",PNL!D1225)</f>
        <v/>
      </c>
      <c r="E1225" t="str">
        <f t="shared" si="76"/>
        <v/>
      </c>
      <c r="F1225" t="str">
        <f>IF($A1225="","",IF($E1225=1,SUMIFS(Compta!$F$1:$F$675,Compta!$A$1:$A$675,$A1225,Compta!$B$1:$B$675,$B1225,Compta!$C$1:$C$675,"2026"),0))</f>
        <v/>
      </c>
      <c r="G1225" t="str">
        <f>IF($A1225="","",IF($D1225="V01",cad!$C$23,IF($D1225="V02",cad!$D$23,cad!$E$23)))</f>
        <v/>
      </c>
      <c r="H1225" t="str">
        <f>IF($A1225="","",IF($D1225="V01",cad!$C$24,IF($D1225="V02",cad!$D$24,cad!$E$24)))</f>
        <v/>
      </c>
      <c r="I1225" t="str">
        <f>IF($A1225="","",IF($D1225="V01",cad!$C$32,IF($D1225="V02",cad!$D$32,cad!$E$32)))</f>
        <v/>
      </c>
      <c r="J1225" t="str">
        <f>IF($A1225="","",IF($D1225="V01",cad!$C$33,IF($D1225="V02",cad!$D$33,cad!$E$33)))</f>
        <v/>
      </c>
      <c r="K1225" t="str">
        <f>IF($A1225="","",IF($D1225="V01",cad!$C$34,IF($D1225="V02",cad!$D$34,cad!$E$34)))</f>
        <v/>
      </c>
      <c r="L1225" t="str">
        <f>IF($A1225="","",IF($D1225="V01",cad!$C$35,IF($D1225="V02",cad!$D$35,cad!$E$35)))</f>
        <v/>
      </c>
      <c r="M1225" t="str">
        <f>IF($A1225="","",IF($D1225="V01",cad!$C$36,IF($D1225="V02",cad!$D$36,cad!$E$36)))</f>
        <v/>
      </c>
      <c r="N1225" t="str">
        <f t="shared" si="77"/>
        <v/>
      </c>
      <c r="O1225" t="str">
        <f t="shared" si="78"/>
        <v/>
      </c>
      <c r="P1225" t="str">
        <f>IF($A1225="","",IF($E1225=1,$F1225*$O1225,PNL!G1225))</f>
        <v/>
      </c>
      <c r="T1225" t="str">
        <f t="shared" si="79"/>
        <v/>
      </c>
    </row>
    <row r="1226" spans="1:20" x14ac:dyDescent="0.45">
      <c r="A1226" t="str">
        <f>IF(PNL!A1226="","",PNL!A1226)</f>
        <v/>
      </c>
      <c r="B1226" t="str">
        <f>IF(PNL!B1226="","",PNL!B1226)</f>
        <v/>
      </c>
      <c r="C1226" t="str">
        <f>IF(PNL!C1226="","",PNL!C1226)</f>
        <v/>
      </c>
      <c r="D1226" t="str">
        <f>IF(PNL!D1226="","",PNL!D1226)</f>
        <v/>
      </c>
      <c r="E1226" t="str">
        <f t="shared" si="76"/>
        <v/>
      </c>
      <c r="F1226" t="str">
        <f>IF($A1226="","",IF($E1226=1,SUMIFS(Compta!$F$1:$F$675,Compta!$A$1:$A$675,$A1226,Compta!$B$1:$B$675,$B1226,Compta!$C$1:$C$675,"2026"),0))</f>
        <v/>
      </c>
      <c r="G1226" t="str">
        <f>IF($A1226="","",IF($D1226="V01",cad!$C$23,IF($D1226="V02",cad!$D$23,cad!$E$23)))</f>
        <v/>
      </c>
      <c r="H1226" t="str">
        <f>IF($A1226="","",IF($D1226="V01",cad!$C$24,IF($D1226="V02",cad!$D$24,cad!$E$24)))</f>
        <v/>
      </c>
      <c r="I1226" t="str">
        <f>IF($A1226="","",IF($D1226="V01",cad!$C$32,IF($D1226="V02",cad!$D$32,cad!$E$32)))</f>
        <v/>
      </c>
      <c r="J1226" t="str">
        <f>IF($A1226="","",IF($D1226="V01",cad!$C$33,IF($D1226="V02",cad!$D$33,cad!$E$33)))</f>
        <v/>
      </c>
      <c r="K1226" t="str">
        <f>IF($A1226="","",IF($D1226="V01",cad!$C$34,IF($D1226="V02",cad!$D$34,cad!$E$34)))</f>
        <v/>
      </c>
      <c r="L1226" t="str">
        <f>IF($A1226="","",IF($D1226="V01",cad!$C$35,IF($D1226="V02",cad!$D$35,cad!$E$35)))</f>
        <v/>
      </c>
      <c r="M1226" t="str">
        <f>IF($A1226="","",IF($D1226="V01",cad!$C$36,IF($D1226="V02",cad!$D$36,cad!$E$36)))</f>
        <v/>
      </c>
      <c r="N1226" t="str">
        <f t="shared" si="77"/>
        <v/>
      </c>
      <c r="O1226" t="str">
        <f t="shared" si="78"/>
        <v/>
      </c>
      <c r="P1226" t="str">
        <f>IF($A1226="","",IF($E1226=1,$F1226*$O1226,PNL!G1226))</f>
        <v/>
      </c>
      <c r="T1226" t="str">
        <f t="shared" si="79"/>
        <v/>
      </c>
    </row>
    <row r="1227" spans="1:20" x14ac:dyDescent="0.45">
      <c r="A1227" t="str">
        <f>IF(PNL!A1227="","",PNL!A1227)</f>
        <v/>
      </c>
      <c r="B1227" t="str">
        <f>IF(PNL!B1227="","",PNL!B1227)</f>
        <v/>
      </c>
      <c r="C1227" t="str">
        <f>IF(PNL!C1227="","",PNL!C1227)</f>
        <v/>
      </c>
      <c r="D1227" t="str">
        <f>IF(PNL!D1227="","",PNL!D1227)</f>
        <v/>
      </c>
      <c r="E1227" t="str">
        <f t="shared" si="76"/>
        <v/>
      </c>
      <c r="F1227" t="str">
        <f>IF($A1227="","",IF($E1227=1,SUMIFS(Compta!$F$1:$F$675,Compta!$A$1:$A$675,$A1227,Compta!$B$1:$B$675,$B1227,Compta!$C$1:$C$675,"2026"),0))</f>
        <v/>
      </c>
      <c r="G1227" t="str">
        <f>IF($A1227="","",IF($D1227="V01",cad!$C$23,IF($D1227="V02",cad!$D$23,cad!$E$23)))</f>
        <v/>
      </c>
      <c r="H1227" t="str">
        <f>IF($A1227="","",IF($D1227="V01",cad!$C$24,IF($D1227="V02",cad!$D$24,cad!$E$24)))</f>
        <v/>
      </c>
      <c r="I1227" t="str">
        <f>IF($A1227="","",IF($D1227="V01",cad!$C$32,IF($D1227="V02",cad!$D$32,cad!$E$32)))</f>
        <v/>
      </c>
      <c r="J1227" t="str">
        <f>IF($A1227="","",IF($D1227="V01",cad!$C$33,IF($D1227="V02",cad!$D$33,cad!$E$33)))</f>
        <v/>
      </c>
      <c r="K1227" t="str">
        <f>IF($A1227="","",IF($D1227="V01",cad!$C$34,IF($D1227="V02",cad!$D$34,cad!$E$34)))</f>
        <v/>
      </c>
      <c r="L1227" t="str">
        <f>IF($A1227="","",IF($D1227="V01",cad!$C$35,IF($D1227="V02",cad!$D$35,cad!$E$35)))</f>
        <v/>
      </c>
      <c r="M1227" t="str">
        <f>IF($A1227="","",IF($D1227="V01",cad!$C$36,IF($D1227="V02",cad!$D$36,cad!$E$36)))</f>
        <v/>
      </c>
      <c r="N1227" t="str">
        <f t="shared" si="77"/>
        <v/>
      </c>
      <c r="O1227" t="str">
        <f t="shared" si="78"/>
        <v/>
      </c>
      <c r="P1227" t="str">
        <f>IF($A1227="","",IF($E1227=1,$F1227*$O1227,PNL!G1227))</f>
        <v/>
      </c>
      <c r="T1227" t="str">
        <f t="shared" si="79"/>
        <v/>
      </c>
    </row>
    <row r="1228" spans="1:20" x14ac:dyDescent="0.45">
      <c r="A1228" t="str">
        <f>IF(PNL!A1228="","",PNL!A1228)</f>
        <v/>
      </c>
      <c r="B1228" t="str">
        <f>IF(PNL!B1228="","",PNL!B1228)</f>
        <v/>
      </c>
      <c r="C1228" t="str">
        <f>IF(PNL!C1228="","",PNL!C1228)</f>
        <v/>
      </c>
      <c r="D1228" t="str">
        <f>IF(PNL!D1228="","",PNL!D1228)</f>
        <v/>
      </c>
      <c r="E1228" t="str">
        <f t="shared" si="76"/>
        <v/>
      </c>
      <c r="F1228" t="str">
        <f>IF($A1228="","",IF($E1228=1,SUMIFS(Compta!$F$1:$F$675,Compta!$A$1:$A$675,$A1228,Compta!$B$1:$B$675,$B1228,Compta!$C$1:$C$675,"2026"),0))</f>
        <v/>
      </c>
      <c r="G1228" t="str">
        <f>IF($A1228="","",IF($D1228="V01",cad!$C$23,IF($D1228="V02",cad!$D$23,cad!$E$23)))</f>
        <v/>
      </c>
      <c r="H1228" t="str">
        <f>IF($A1228="","",IF($D1228="V01",cad!$C$24,IF($D1228="V02",cad!$D$24,cad!$E$24)))</f>
        <v/>
      </c>
      <c r="I1228" t="str">
        <f>IF($A1228="","",IF($D1228="V01",cad!$C$32,IF($D1228="V02",cad!$D$32,cad!$E$32)))</f>
        <v/>
      </c>
      <c r="J1228" t="str">
        <f>IF($A1228="","",IF($D1228="V01",cad!$C$33,IF($D1228="V02",cad!$D$33,cad!$E$33)))</f>
        <v/>
      </c>
      <c r="K1228" t="str">
        <f>IF($A1228="","",IF($D1228="V01",cad!$C$34,IF($D1228="V02",cad!$D$34,cad!$E$34)))</f>
        <v/>
      </c>
      <c r="L1228" t="str">
        <f>IF($A1228="","",IF($D1228="V01",cad!$C$35,IF($D1228="V02",cad!$D$35,cad!$E$35)))</f>
        <v/>
      </c>
      <c r="M1228" t="str">
        <f>IF($A1228="","",IF($D1228="V01",cad!$C$36,IF($D1228="V02",cad!$D$36,cad!$E$36)))</f>
        <v/>
      </c>
      <c r="N1228" t="str">
        <f t="shared" si="77"/>
        <v/>
      </c>
      <c r="O1228" t="str">
        <f t="shared" si="78"/>
        <v/>
      </c>
      <c r="P1228" t="str">
        <f>IF($A1228="","",IF($E1228=1,$F1228*$O1228,PNL!G1228))</f>
        <v/>
      </c>
      <c r="T1228" t="str">
        <f t="shared" si="79"/>
        <v/>
      </c>
    </row>
    <row r="1229" spans="1:20" x14ac:dyDescent="0.45">
      <c r="A1229" t="str">
        <f>IF(PNL!A1229="","",PNL!A1229)</f>
        <v/>
      </c>
      <c r="B1229" t="str">
        <f>IF(PNL!B1229="","",PNL!B1229)</f>
        <v/>
      </c>
      <c r="C1229" t="str">
        <f>IF(PNL!C1229="","",PNL!C1229)</f>
        <v/>
      </c>
      <c r="D1229" t="str">
        <f>IF(PNL!D1229="","",PNL!D1229)</f>
        <v/>
      </c>
      <c r="E1229" t="str">
        <f t="shared" si="76"/>
        <v/>
      </c>
      <c r="F1229" t="str">
        <f>IF($A1229="","",IF($E1229=1,SUMIFS(Compta!$F$1:$F$675,Compta!$A$1:$A$675,$A1229,Compta!$B$1:$B$675,$B1229,Compta!$C$1:$C$675,"2026"),0))</f>
        <v/>
      </c>
      <c r="G1229" t="str">
        <f>IF($A1229="","",IF($D1229="V01",cad!$C$23,IF($D1229="V02",cad!$D$23,cad!$E$23)))</f>
        <v/>
      </c>
      <c r="H1229" t="str">
        <f>IF($A1229="","",IF($D1229="V01",cad!$C$24,IF($D1229="V02",cad!$D$24,cad!$E$24)))</f>
        <v/>
      </c>
      <c r="I1229" t="str">
        <f>IF($A1229="","",IF($D1229="V01",cad!$C$32,IF($D1229="V02",cad!$D$32,cad!$E$32)))</f>
        <v/>
      </c>
      <c r="J1229" t="str">
        <f>IF($A1229="","",IF($D1229="V01",cad!$C$33,IF($D1229="V02",cad!$D$33,cad!$E$33)))</f>
        <v/>
      </c>
      <c r="K1229" t="str">
        <f>IF($A1229="","",IF($D1229="V01",cad!$C$34,IF($D1229="V02",cad!$D$34,cad!$E$34)))</f>
        <v/>
      </c>
      <c r="L1229" t="str">
        <f>IF($A1229="","",IF($D1229="V01",cad!$C$35,IF($D1229="V02",cad!$D$35,cad!$E$35)))</f>
        <v/>
      </c>
      <c r="M1229" t="str">
        <f>IF($A1229="","",IF($D1229="V01",cad!$C$36,IF($D1229="V02",cad!$D$36,cad!$E$36)))</f>
        <v/>
      </c>
      <c r="N1229" t="str">
        <f t="shared" si="77"/>
        <v/>
      </c>
      <c r="O1229" t="str">
        <f t="shared" si="78"/>
        <v/>
      </c>
      <c r="P1229" t="str">
        <f>IF($A1229="","",IF($E1229=1,$F1229*$O1229,PNL!G1229))</f>
        <v/>
      </c>
      <c r="T1229" t="str">
        <f t="shared" si="79"/>
        <v/>
      </c>
    </row>
    <row r="1230" spans="1:20" x14ac:dyDescent="0.45">
      <c r="A1230" t="str">
        <f>IF(PNL!A1230="","",PNL!A1230)</f>
        <v/>
      </c>
      <c r="B1230" t="str">
        <f>IF(PNL!B1230="","",PNL!B1230)</f>
        <v/>
      </c>
      <c r="C1230" t="str">
        <f>IF(PNL!C1230="","",PNL!C1230)</f>
        <v/>
      </c>
      <c r="D1230" t="str">
        <f>IF(PNL!D1230="","",PNL!D1230)</f>
        <v/>
      </c>
      <c r="E1230" t="str">
        <f t="shared" si="76"/>
        <v/>
      </c>
      <c r="F1230" t="str">
        <f>IF($A1230="","",IF($E1230=1,SUMIFS(Compta!$F$1:$F$675,Compta!$A$1:$A$675,$A1230,Compta!$B$1:$B$675,$B1230,Compta!$C$1:$C$675,"2026"),0))</f>
        <v/>
      </c>
      <c r="G1230" t="str">
        <f>IF($A1230="","",IF($D1230="V01",cad!$C$23,IF($D1230="V02",cad!$D$23,cad!$E$23)))</f>
        <v/>
      </c>
      <c r="H1230" t="str">
        <f>IF($A1230="","",IF($D1230="V01",cad!$C$24,IF($D1230="V02",cad!$D$24,cad!$E$24)))</f>
        <v/>
      </c>
      <c r="I1230" t="str">
        <f>IF($A1230="","",IF($D1230="V01",cad!$C$32,IF($D1230="V02",cad!$D$32,cad!$E$32)))</f>
        <v/>
      </c>
      <c r="J1230" t="str">
        <f>IF($A1230="","",IF($D1230="V01",cad!$C$33,IF($D1230="V02",cad!$D$33,cad!$E$33)))</f>
        <v/>
      </c>
      <c r="K1230" t="str">
        <f>IF($A1230="","",IF($D1230="V01",cad!$C$34,IF($D1230="V02",cad!$D$34,cad!$E$34)))</f>
        <v/>
      </c>
      <c r="L1230" t="str">
        <f>IF($A1230="","",IF($D1230="V01",cad!$C$35,IF($D1230="V02",cad!$D$35,cad!$E$35)))</f>
        <v/>
      </c>
      <c r="M1230" t="str">
        <f>IF($A1230="","",IF($D1230="V01",cad!$C$36,IF($D1230="V02",cad!$D$36,cad!$E$36)))</f>
        <v/>
      </c>
      <c r="N1230" t="str">
        <f t="shared" si="77"/>
        <v/>
      </c>
      <c r="O1230" t="str">
        <f t="shared" si="78"/>
        <v/>
      </c>
      <c r="P1230" t="str">
        <f>IF($A1230="","",IF($E1230=1,$F1230*$O1230,PNL!G1230))</f>
        <v/>
      </c>
      <c r="T1230" t="str">
        <f t="shared" si="79"/>
        <v/>
      </c>
    </row>
    <row r="1231" spans="1:20" x14ac:dyDescent="0.45">
      <c r="A1231" t="str">
        <f>IF(PNL!A1231="","",PNL!A1231)</f>
        <v/>
      </c>
      <c r="B1231" t="str">
        <f>IF(PNL!B1231="","",PNL!B1231)</f>
        <v/>
      </c>
      <c r="C1231" t="str">
        <f>IF(PNL!C1231="","",PNL!C1231)</f>
        <v/>
      </c>
      <c r="D1231" t="str">
        <f>IF(PNL!D1231="","",PNL!D1231)</f>
        <v/>
      </c>
      <c r="E1231" t="str">
        <f t="shared" si="76"/>
        <v/>
      </c>
      <c r="F1231" t="str">
        <f>IF($A1231="","",IF($E1231=1,SUMIFS(Compta!$F$1:$F$675,Compta!$A$1:$A$675,$A1231,Compta!$B$1:$B$675,$B1231,Compta!$C$1:$C$675,"2026"),0))</f>
        <v/>
      </c>
      <c r="G1231" t="str">
        <f>IF($A1231="","",IF($D1231="V01",cad!$C$23,IF($D1231="V02",cad!$D$23,cad!$E$23)))</f>
        <v/>
      </c>
      <c r="H1231" t="str">
        <f>IF($A1231="","",IF($D1231="V01",cad!$C$24,IF($D1231="V02",cad!$D$24,cad!$E$24)))</f>
        <v/>
      </c>
      <c r="I1231" t="str">
        <f>IF($A1231="","",IF($D1231="V01",cad!$C$32,IF($D1231="V02",cad!$D$32,cad!$E$32)))</f>
        <v/>
      </c>
      <c r="J1231" t="str">
        <f>IF($A1231="","",IF($D1231="V01",cad!$C$33,IF($D1231="V02",cad!$D$33,cad!$E$33)))</f>
        <v/>
      </c>
      <c r="K1231" t="str">
        <f>IF($A1231="","",IF($D1231="V01",cad!$C$34,IF($D1231="V02",cad!$D$34,cad!$E$34)))</f>
        <v/>
      </c>
      <c r="L1231" t="str">
        <f>IF($A1231="","",IF($D1231="V01",cad!$C$35,IF($D1231="V02",cad!$D$35,cad!$E$35)))</f>
        <v/>
      </c>
      <c r="M1231" t="str">
        <f>IF($A1231="","",IF($D1231="V01",cad!$C$36,IF($D1231="V02",cad!$D$36,cad!$E$36)))</f>
        <v/>
      </c>
      <c r="N1231" t="str">
        <f t="shared" si="77"/>
        <v/>
      </c>
      <c r="O1231" t="str">
        <f t="shared" si="78"/>
        <v/>
      </c>
      <c r="P1231" t="str">
        <f>IF($A1231="","",IF($E1231=1,$F1231*$O1231,PNL!G1231))</f>
        <v/>
      </c>
      <c r="T1231" t="str">
        <f t="shared" si="79"/>
        <v/>
      </c>
    </row>
    <row r="1232" spans="1:20" x14ac:dyDescent="0.45">
      <c r="A1232" t="str">
        <f>IF(PNL!A1232="","",PNL!A1232)</f>
        <v/>
      </c>
      <c r="B1232" t="str">
        <f>IF(PNL!B1232="","",PNL!B1232)</f>
        <v/>
      </c>
      <c r="C1232" t="str">
        <f>IF(PNL!C1232="","",PNL!C1232)</f>
        <v/>
      </c>
      <c r="D1232" t="str">
        <f>IF(PNL!D1232="","",PNL!D1232)</f>
        <v/>
      </c>
      <c r="E1232" t="str">
        <f t="shared" si="76"/>
        <v/>
      </c>
      <c r="F1232" t="str">
        <f>IF($A1232="","",IF($E1232=1,SUMIFS(Compta!$F$1:$F$675,Compta!$A$1:$A$675,$A1232,Compta!$B$1:$B$675,$B1232,Compta!$C$1:$C$675,"2026"),0))</f>
        <v/>
      </c>
      <c r="G1232" t="str">
        <f>IF($A1232="","",IF($D1232="V01",cad!$C$23,IF($D1232="V02",cad!$D$23,cad!$E$23)))</f>
        <v/>
      </c>
      <c r="H1232" t="str">
        <f>IF($A1232="","",IF($D1232="V01",cad!$C$24,IF($D1232="V02",cad!$D$24,cad!$E$24)))</f>
        <v/>
      </c>
      <c r="I1232" t="str">
        <f>IF($A1232="","",IF($D1232="V01",cad!$C$32,IF($D1232="V02",cad!$D$32,cad!$E$32)))</f>
        <v/>
      </c>
      <c r="J1232" t="str">
        <f>IF($A1232="","",IF($D1232="V01",cad!$C$33,IF($D1232="V02",cad!$D$33,cad!$E$33)))</f>
        <v/>
      </c>
      <c r="K1232" t="str">
        <f>IF($A1232="","",IF($D1232="V01",cad!$C$34,IF($D1232="V02",cad!$D$34,cad!$E$34)))</f>
        <v/>
      </c>
      <c r="L1232" t="str">
        <f>IF($A1232="","",IF($D1232="V01",cad!$C$35,IF($D1232="V02",cad!$D$35,cad!$E$35)))</f>
        <v/>
      </c>
      <c r="M1232" t="str">
        <f>IF($A1232="","",IF($D1232="V01",cad!$C$36,IF($D1232="V02",cad!$D$36,cad!$E$36)))</f>
        <v/>
      </c>
      <c r="N1232" t="str">
        <f t="shared" si="77"/>
        <v/>
      </c>
      <c r="O1232" t="str">
        <f t="shared" si="78"/>
        <v/>
      </c>
      <c r="P1232" t="str">
        <f>IF($A1232="","",IF($E1232=1,$F1232*$O1232,PNL!G1232))</f>
        <v/>
      </c>
      <c r="T1232" t="str">
        <f t="shared" si="79"/>
        <v/>
      </c>
    </row>
    <row r="1233" spans="1:20" x14ac:dyDescent="0.45">
      <c r="A1233" t="str">
        <f>IF(PNL!A1233="","",PNL!A1233)</f>
        <v/>
      </c>
      <c r="B1233" t="str">
        <f>IF(PNL!B1233="","",PNL!B1233)</f>
        <v/>
      </c>
      <c r="C1233" t="str">
        <f>IF(PNL!C1233="","",PNL!C1233)</f>
        <v/>
      </c>
      <c r="D1233" t="str">
        <f>IF(PNL!D1233="","",PNL!D1233)</f>
        <v/>
      </c>
      <c r="E1233" t="str">
        <f t="shared" si="76"/>
        <v/>
      </c>
      <c r="F1233" t="str">
        <f>IF($A1233="","",IF($E1233=1,SUMIFS(Compta!$F$1:$F$675,Compta!$A$1:$A$675,$A1233,Compta!$B$1:$B$675,$B1233,Compta!$C$1:$C$675,"2026"),0))</f>
        <v/>
      </c>
      <c r="G1233" t="str">
        <f>IF($A1233="","",IF($D1233="V01",cad!$C$23,IF($D1233="V02",cad!$D$23,cad!$E$23)))</f>
        <v/>
      </c>
      <c r="H1233" t="str">
        <f>IF($A1233="","",IF($D1233="V01",cad!$C$24,IF($D1233="V02",cad!$D$24,cad!$E$24)))</f>
        <v/>
      </c>
      <c r="I1233" t="str">
        <f>IF($A1233="","",IF($D1233="V01",cad!$C$32,IF($D1233="V02",cad!$D$32,cad!$E$32)))</f>
        <v/>
      </c>
      <c r="J1233" t="str">
        <f>IF($A1233="","",IF($D1233="V01",cad!$C$33,IF($D1233="V02",cad!$D$33,cad!$E$33)))</f>
        <v/>
      </c>
      <c r="K1233" t="str">
        <f>IF($A1233="","",IF($D1233="V01",cad!$C$34,IF($D1233="V02",cad!$D$34,cad!$E$34)))</f>
        <v/>
      </c>
      <c r="L1233" t="str">
        <f>IF($A1233="","",IF($D1233="V01",cad!$C$35,IF($D1233="V02",cad!$D$35,cad!$E$35)))</f>
        <v/>
      </c>
      <c r="M1233" t="str">
        <f>IF($A1233="","",IF($D1233="V01",cad!$C$36,IF($D1233="V02",cad!$D$36,cad!$E$36)))</f>
        <v/>
      </c>
      <c r="N1233" t="str">
        <f t="shared" si="77"/>
        <v/>
      </c>
      <c r="O1233" t="str">
        <f t="shared" si="78"/>
        <v/>
      </c>
      <c r="P1233" t="str">
        <f>IF($A1233="","",IF($E1233=1,$F1233*$O1233,PNL!G1233))</f>
        <v/>
      </c>
      <c r="T1233" t="str">
        <f t="shared" si="79"/>
        <v/>
      </c>
    </row>
    <row r="1234" spans="1:20" x14ac:dyDescent="0.45">
      <c r="A1234" t="str">
        <f>IF(PNL!A1234="","",PNL!A1234)</f>
        <v/>
      </c>
      <c r="B1234" t="str">
        <f>IF(PNL!B1234="","",PNL!B1234)</f>
        <v/>
      </c>
      <c r="C1234" t="str">
        <f>IF(PNL!C1234="","",PNL!C1234)</f>
        <v/>
      </c>
      <c r="D1234" t="str">
        <f>IF(PNL!D1234="","",PNL!D1234)</f>
        <v/>
      </c>
      <c r="E1234" t="str">
        <f t="shared" si="76"/>
        <v/>
      </c>
      <c r="F1234" t="str">
        <f>IF($A1234="","",IF($E1234=1,SUMIFS(Compta!$F$1:$F$675,Compta!$A$1:$A$675,$A1234,Compta!$B$1:$B$675,$B1234,Compta!$C$1:$C$675,"2026"),0))</f>
        <v/>
      </c>
      <c r="G1234" t="str">
        <f>IF($A1234="","",IF($D1234="V01",cad!$C$23,IF($D1234="V02",cad!$D$23,cad!$E$23)))</f>
        <v/>
      </c>
      <c r="H1234" t="str">
        <f>IF($A1234="","",IF($D1234="V01",cad!$C$24,IF($D1234="V02",cad!$D$24,cad!$E$24)))</f>
        <v/>
      </c>
      <c r="I1234" t="str">
        <f>IF($A1234="","",IF($D1234="V01",cad!$C$32,IF($D1234="V02",cad!$D$32,cad!$E$32)))</f>
        <v/>
      </c>
      <c r="J1234" t="str">
        <f>IF($A1234="","",IF($D1234="V01",cad!$C$33,IF($D1234="V02",cad!$D$33,cad!$E$33)))</f>
        <v/>
      </c>
      <c r="K1234" t="str">
        <f>IF($A1234="","",IF($D1234="V01",cad!$C$34,IF($D1234="V02",cad!$D$34,cad!$E$34)))</f>
        <v/>
      </c>
      <c r="L1234" t="str">
        <f>IF($A1234="","",IF($D1234="V01",cad!$C$35,IF($D1234="V02",cad!$D$35,cad!$E$35)))</f>
        <v/>
      </c>
      <c r="M1234" t="str">
        <f>IF($A1234="","",IF($D1234="V01",cad!$C$36,IF($D1234="V02",cad!$D$36,cad!$E$36)))</f>
        <v/>
      </c>
      <c r="N1234" t="str">
        <f t="shared" si="77"/>
        <v/>
      </c>
      <c r="O1234" t="str">
        <f t="shared" si="78"/>
        <v/>
      </c>
      <c r="P1234" t="str">
        <f>IF($A1234="","",IF($E1234=1,$F1234*$O1234,PNL!G1234))</f>
        <v/>
      </c>
      <c r="T1234" t="str">
        <f t="shared" si="79"/>
        <v/>
      </c>
    </row>
    <row r="1235" spans="1:20" x14ac:dyDescent="0.45">
      <c r="A1235" t="str">
        <f>IF(PNL!A1235="","",PNL!A1235)</f>
        <v/>
      </c>
      <c r="B1235" t="str">
        <f>IF(PNL!B1235="","",PNL!B1235)</f>
        <v/>
      </c>
      <c r="C1235" t="str">
        <f>IF(PNL!C1235="","",PNL!C1235)</f>
        <v/>
      </c>
      <c r="D1235" t="str">
        <f>IF(PNL!D1235="","",PNL!D1235)</f>
        <v/>
      </c>
      <c r="E1235" t="str">
        <f t="shared" si="76"/>
        <v/>
      </c>
      <c r="F1235" t="str">
        <f>IF($A1235="","",IF($E1235=1,SUMIFS(Compta!$F$1:$F$675,Compta!$A$1:$A$675,$A1235,Compta!$B$1:$B$675,$B1235,Compta!$C$1:$C$675,"2026"),0))</f>
        <v/>
      </c>
      <c r="G1235" t="str">
        <f>IF($A1235="","",IF($D1235="V01",cad!$C$23,IF($D1235="V02",cad!$D$23,cad!$E$23)))</f>
        <v/>
      </c>
      <c r="H1235" t="str">
        <f>IF($A1235="","",IF($D1235="V01",cad!$C$24,IF($D1235="V02",cad!$D$24,cad!$E$24)))</f>
        <v/>
      </c>
      <c r="I1235" t="str">
        <f>IF($A1235="","",IF($D1235="V01",cad!$C$32,IF($D1235="V02",cad!$D$32,cad!$E$32)))</f>
        <v/>
      </c>
      <c r="J1235" t="str">
        <f>IF($A1235="","",IF($D1235="V01",cad!$C$33,IF($D1235="V02",cad!$D$33,cad!$E$33)))</f>
        <v/>
      </c>
      <c r="K1235" t="str">
        <f>IF($A1235="","",IF($D1235="V01",cad!$C$34,IF($D1235="V02",cad!$D$34,cad!$E$34)))</f>
        <v/>
      </c>
      <c r="L1235" t="str">
        <f>IF($A1235="","",IF($D1235="V01",cad!$C$35,IF($D1235="V02",cad!$D$35,cad!$E$35)))</f>
        <v/>
      </c>
      <c r="M1235" t="str">
        <f>IF($A1235="","",IF($D1235="V01",cad!$C$36,IF($D1235="V02",cad!$D$36,cad!$E$36)))</f>
        <v/>
      </c>
      <c r="N1235" t="str">
        <f t="shared" si="77"/>
        <v/>
      </c>
      <c r="O1235" t="str">
        <f t="shared" si="78"/>
        <v/>
      </c>
      <c r="P1235" t="str">
        <f>IF($A1235="","",IF($E1235=1,$F1235*$O1235,PNL!G1235))</f>
        <v/>
      </c>
      <c r="T1235" t="str">
        <f t="shared" si="79"/>
        <v/>
      </c>
    </row>
    <row r="1236" spans="1:20" x14ac:dyDescent="0.45">
      <c r="A1236" t="str">
        <f>IF(PNL!A1236="","",PNL!A1236)</f>
        <v/>
      </c>
      <c r="B1236" t="str">
        <f>IF(PNL!B1236="","",PNL!B1236)</f>
        <v/>
      </c>
      <c r="C1236" t="str">
        <f>IF(PNL!C1236="","",PNL!C1236)</f>
        <v/>
      </c>
      <c r="D1236" t="str">
        <f>IF(PNL!D1236="","",PNL!D1236)</f>
        <v/>
      </c>
      <c r="E1236" t="str">
        <f t="shared" si="76"/>
        <v/>
      </c>
      <c r="F1236" t="str">
        <f>IF($A1236="","",IF($E1236=1,SUMIFS(Compta!$F$1:$F$675,Compta!$A$1:$A$675,$A1236,Compta!$B$1:$B$675,$B1236,Compta!$C$1:$C$675,"2026"),0))</f>
        <v/>
      </c>
      <c r="G1236" t="str">
        <f>IF($A1236="","",IF($D1236="V01",cad!$C$23,IF($D1236="V02",cad!$D$23,cad!$E$23)))</f>
        <v/>
      </c>
      <c r="H1236" t="str">
        <f>IF($A1236="","",IF($D1236="V01",cad!$C$24,IF($D1236="V02",cad!$D$24,cad!$E$24)))</f>
        <v/>
      </c>
      <c r="I1236" t="str">
        <f>IF($A1236="","",IF($D1236="V01",cad!$C$32,IF($D1236="V02",cad!$D$32,cad!$E$32)))</f>
        <v/>
      </c>
      <c r="J1236" t="str">
        <f>IF($A1236="","",IF($D1236="V01",cad!$C$33,IF($D1236="V02",cad!$D$33,cad!$E$33)))</f>
        <v/>
      </c>
      <c r="K1236" t="str">
        <f>IF($A1236="","",IF($D1236="V01",cad!$C$34,IF($D1236="V02",cad!$D$34,cad!$E$34)))</f>
        <v/>
      </c>
      <c r="L1236" t="str">
        <f>IF($A1236="","",IF($D1236="V01",cad!$C$35,IF($D1236="V02",cad!$D$35,cad!$E$35)))</f>
        <v/>
      </c>
      <c r="M1236" t="str">
        <f>IF($A1236="","",IF($D1236="V01",cad!$C$36,IF($D1236="V02",cad!$D$36,cad!$E$36)))</f>
        <v/>
      </c>
      <c r="N1236" t="str">
        <f t="shared" si="77"/>
        <v/>
      </c>
      <c r="O1236" t="str">
        <f t="shared" si="78"/>
        <v/>
      </c>
      <c r="P1236" t="str">
        <f>IF($A1236="","",IF($E1236=1,$F1236*$O1236,PNL!G1236))</f>
        <v/>
      </c>
      <c r="T1236" t="str">
        <f t="shared" si="79"/>
        <v/>
      </c>
    </row>
    <row r="1237" spans="1:20" x14ac:dyDescent="0.45">
      <c r="A1237" t="str">
        <f>IF(PNL!A1237="","",PNL!A1237)</f>
        <v/>
      </c>
      <c r="B1237" t="str">
        <f>IF(PNL!B1237="","",PNL!B1237)</f>
        <v/>
      </c>
      <c r="C1237" t="str">
        <f>IF(PNL!C1237="","",PNL!C1237)</f>
        <v/>
      </c>
      <c r="D1237" t="str">
        <f>IF(PNL!D1237="","",PNL!D1237)</f>
        <v/>
      </c>
      <c r="E1237" t="str">
        <f t="shared" si="76"/>
        <v/>
      </c>
      <c r="F1237" t="str">
        <f>IF($A1237="","",IF($E1237=1,SUMIFS(Compta!$F$1:$F$675,Compta!$A$1:$A$675,$A1237,Compta!$B$1:$B$675,$B1237,Compta!$C$1:$C$675,"2026"),0))</f>
        <v/>
      </c>
      <c r="G1237" t="str">
        <f>IF($A1237="","",IF($D1237="V01",cad!$C$23,IF($D1237="V02",cad!$D$23,cad!$E$23)))</f>
        <v/>
      </c>
      <c r="H1237" t="str">
        <f>IF($A1237="","",IF($D1237="V01",cad!$C$24,IF($D1237="V02",cad!$D$24,cad!$E$24)))</f>
        <v/>
      </c>
      <c r="I1237" t="str">
        <f>IF($A1237="","",IF($D1237="V01",cad!$C$32,IF($D1237="V02",cad!$D$32,cad!$E$32)))</f>
        <v/>
      </c>
      <c r="J1237" t="str">
        <f>IF($A1237="","",IF($D1237="V01",cad!$C$33,IF($D1237="V02",cad!$D$33,cad!$E$33)))</f>
        <v/>
      </c>
      <c r="K1237" t="str">
        <f>IF($A1237="","",IF($D1237="V01",cad!$C$34,IF($D1237="V02",cad!$D$34,cad!$E$34)))</f>
        <v/>
      </c>
      <c r="L1237" t="str">
        <f>IF($A1237="","",IF($D1237="V01",cad!$C$35,IF($D1237="V02",cad!$D$35,cad!$E$35)))</f>
        <v/>
      </c>
      <c r="M1237" t="str">
        <f>IF($A1237="","",IF($D1237="V01",cad!$C$36,IF($D1237="V02",cad!$D$36,cad!$E$36)))</f>
        <v/>
      </c>
      <c r="N1237" t="str">
        <f t="shared" si="77"/>
        <v/>
      </c>
      <c r="O1237" t="str">
        <f t="shared" si="78"/>
        <v/>
      </c>
      <c r="P1237" t="str">
        <f>IF($A1237="","",IF($E1237=1,$F1237*$O1237,PNL!G1237))</f>
        <v/>
      </c>
      <c r="T1237" t="str">
        <f t="shared" si="79"/>
        <v/>
      </c>
    </row>
    <row r="1238" spans="1:20" x14ac:dyDescent="0.45">
      <c r="A1238" t="str">
        <f>IF(PNL!A1238="","",PNL!A1238)</f>
        <v/>
      </c>
      <c r="B1238" t="str">
        <f>IF(PNL!B1238="","",PNL!B1238)</f>
        <v/>
      </c>
      <c r="C1238" t="str">
        <f>IF(PNL!C1238="","",PNL!C1238)</f>
        <v/>
      </c>
      <c r="D1238" t="str">
        <f>IF(PNL!D1238="","",PNL!D1238)</f>
        <v/>
      </c>
      <c r="E1238" t="str">
        <f t="shared" si="76"/>
        <v/>
      </c>
      <c r="F1238" t="str">
        <f>IF($A1238="","",IF($E1238=1,SUMIFS(Compta!$F$1:$F$675,Compta!$A$1:$A$675,$A1238,Compta!$B$1:$B$675,$B1238,Compta!$C$1:$C$675,"2026"),0))</f>
        <v/>
      </c>
      <c r="G1238" t="str">
        <f>IF($A1238="","",IF($D1238="V01",cad!$C$23,IF($D1238="V02",cad!$D$23,cad!$E$23)))</f>
        <v/>
      </c>
      <c r="H1238" t="str">
        <f>IF($A1238="","",IF($D1238="V01",cad!$C$24,IF($D1238="V02",cad!$D$24,cad!$E$24)))</f>
        <v/>
      </c>
      <c r="I1238" t="str">
        <f>IF($A1238="","",IF($D1238="V01",cad!$C$32,IF($D1238="V02",cad!$D$32,cad!$E$32)))</f>
        <v/>
      </c>
      <c r="J1238" t="str">
        <f>IF($A1238="","",IF($D1238="V01",cad!$C$33,IF($D1238="V02",cad!$D$33,cad!$E$33)))</f>
        <v/>
      </c>
      <c r="K1238" t="str">
        <f>IF($A1238="","",IF($D1238="V01",cad!$C$34,IF($D1238="V02",cad!$D$34,cad!$E$34)))</f>
        <v/>
      </c>
      <c r="L1238" t="str">
        <f>IF($A1238="","",IF($D1238="V01",cad!$C$35,IF($D1238="V02",cad!$D$35,cad!$E$35)))</f>
        <v/>
      </c>
      <c r="M1238" t="str">
        <f>IF($A1238="","",IF($D1238="V01",cad!$C$36,IF($D1238="V02",cad!$D$36,cad!$E$36)))</f>
        <v/>
      </c>
      <c r="N1238" t="str">
        <f t="shared" si="77"/>
        <v/>
      </c>
      <c r="O1238" t="str">
        <f t="shared" si="78"/>
        <v/>
      </c>
      <c r="P1238" t="str">
        <f>IF($A1238="","",IF($E1238=1,$F1238*$O1238,PNL!G1238))</f>
        <v/>
      </c>
      <c r="T1238" t="str">
        <f t="shared" si="79"/>
        <v/>
      </c>
    </row>
    <row r="1239" spans="1:20" x14ac:dyDescent="0.45">
      <c r="A1239" t="str">
        <f>IF(PNL!A1239="","",PNL!A1239)</f>
        <v/>
      </c>
      <c r="B1239" t="str">
        <f>IF(PNL!B1239="","",PNL!B1239)</f>
        <v/>
      </c>
      <c r="C1239" t="str">
        <f>IF(PNL!C1239="","",PNL!C1239)</f>
        <v/>
      </c>
      <c r="D1239" t="str">
        <f>IF(PNL!D1239="","",PNL!D1239)</f>
        <v/>
      </c>
      <c r="E1239" t="str">
        <f t="shared" si="76"/>
        <v/>
      </c>
      <c r="F1239" t="str">
        <f>IF($A1239="","",IF($E1239=1,SUMIFS(Compta!$F$1:$F$675,Compta!$A$1:$A$675,$A1239,Compta!$B$1:$B$675,$B1239,Compta!$C$1:$C$675,"2026"),0))</f>
        <v/>
      </c>
      <c r="G1239" t="str">
        <f>IF($A1239="","",IF($D1239="V01",cad!$C$23,IF($D1239="V02",cad!$D$23,cad!$E$23)))</f>
        <v/>
      </c>
      <c r="H1239" t="str">
        <f>IF($A1239="","",IF($D1239="V01",cad!$C$24,IF($D1239="V02",cad!$D$24,cad!$E$24)))</f>
        <v/>
      </c>
      <c r="I1239" t="str">
        <f>IF($A1239="","",IF($D1239="V01",cad!$C$32,IF($D1239="V02",cad!$D$32,cad!$E$32)))</f>
        <v/>
      </c>
      <c r="J1239" t="str">
        <f>IF($A1239="","",IF($D1239="V01",cad!$C$33,IF($D1239="V02",cad!$D$33,cad!$E$33)))</f>
        <v/>
      </c>
      <c r="K1239" t="str">
        <f>IF($A1239="","",IF($D1239="V01",cad!$C$34,IF($D1239="V02",cad!$D$34,cad!$E$34)))</f>
        <v/>
      </c>
      <c r="L1239" t="str">
        <f>IF($A1239="","",IF($D1239="V01",cad!$C$35,IF($D1239="V02",cad!$D$35,cad!$E$35)))</f>
        <v/>
      </c>
      <c r="M1239" t="str">
        <f>IF($A1239="","",IF($D1239="V01",cad!$C$36,IF($D1239="V02",cad!$D$36,cad!$E$36)))</f>
        <v/>
      </c>
      <c r="N1239" t="str">
        <f t="shared" si="77"/>
        <v/>
      </c>
      <c r="O1239" t="str">
        <f t="shared" si="78"/>
        <v/>
      </c>
      <c r="P1239" t="str">
        <f>IF($A1239="","",IF($E1239=1,$F1239*$O1239,PNL!G1239))</f>
        <v/>
      </c>
      <c r="T1239" t="str">
        <f t="shared" si="79"/>
        <v/>
      </c>
    </row>
    <row r="1240" spans="1:20" x14ac:dyDescent="0.45">
      <c r="A1240" t="str">
        <f>IF(PNL!A1240="","",PNL!A1240)</f>
        <v/>
      </c>
      <c r="B1240" t="str">
        <f>IF(PNL!B1240="","",PNL!B1240)</f>
        <v/>
      </c>
      <c r="C1240" t="str">
        <f>IF(PNL!C1240="","",PNL!C1240)</f>
        <v/>
      </c>
      <c r="D1240" t="str">
        <f>IF(PNL!D1240="","",PNL!D1240)</f>
        <v/>
      </c>
      <c r="E1240" t="str">
        <f t="shared" si="76"/>
        <v/>
      </c>
      <c r="F1240" t="str">
        <f>IF($A1240="","",IF($E1240=1,SUMIFS(Compta!$F$1:$F$675,Compta!$A$1:$A$675,$A1240,Compta!$B$1:$B$675,$B1240,Compta!$C$1:$C$675,"2026"),0))</f>
        <v/>
      </c>
      <c r="G1240" t="str">
        <f>IF($A1240="","",IF($D1240="V01",cad!$C$23,IF($D1240="V02",cad!$D$23,cad!$E$23)))</f>
        <v/>
      </c>
      <c r="H1240" t="str">
        <f>IF($A1240="","",IF($D1240="V01",cad!$C$24,IF($D1240="V02",cad!$D$24,cad!$E$24)))</f>
        <v/>
      </c>
      <c r="I1240" t="str">
        <f>IF($A1240="","",IF($D1240="V01",cad!$C$32,IF($D1240="V02",cad!$D$32,cad!$E$32)))</f>
        <v/>
      </c>
      <c r="J1240" t="str">
        <f>IF($A1240="","",IF($D1240="V01",cad!$C$33,IF($D1240="V02",cad!$D$33,cad!$E$33)))</f>
        <v/>
      </c>
      <c r="K1240" t="str">
        <f>IF($A1240="","",IF($D1240="V01",cad!$C$34,IF($D1240="V02",cad!$D$34,cad!$E$34)))</f>
        <v/>
      </c>
      <c r="L1240" t="str">
        <f>IF($A1240="","",IF($D1240="V01",cad!$C$35,IF($D1240="V02",cad!$D$35,cad!$E$35)))</f>
        <v/>
      </c>
      <c r="M1240" t="str">
        <f>IF($A1240="","",IF($D1240="V01",cad!$C$36,IF($D1240="V02",cad!$D$36,cad!$E$36)))</f>
        <v/>
      </c>
      <c r="N1240" t="str">
        <f t="shared" si="77"/>
        <v/>
      </c>
      <c r="O1240" t="str">
        <f t="shared" si="78"/>
        <v/>
      </c>
      <c r="P1240" t="str">
        <f>IF($A1240="","",IF($E1240=1,$F1240*$O1240,PNL!G1240))</f>
        <v/>
      </c>
      <c r="T1240" t="str">
        <f t="shared" si="79"/>
        <v/>
      </c>
    </row>
    <row r="1241" spans="1:20" x14ac:dyDescent="0.45">
      <c r="A1241" t="str">
        <f>IF(PNL!A1241="","",PNL!A1241)</f>
        <v/>
      </c>
      <c r="B1241" t="str">
        <f>IF(PNL!B1241="","",PNL!B1241)</f>
        <v/>
      </c>
      <c r="C1241" t="str">
        <f>IF(PNL!C1241="","",PNL!C1241)</f>
        <v/>
      </c>
      <c r="D1241" t="str">
        <f>IF(PNL!D1241="","",PNL!D1241)</f>
        <v/>
      </c>
      <c r="E1241" t="str">
        <f t="shared" si="76"/>
        <v/>
      </c>
      <c r="F1241" t="str">
        <f>IF($A1241="","",IF($E1241=1,SUMIFS(Compta!$F$1:$F$675,Compta!$A$1:$A$675,$A1241,Compta!$B$1:$B$675,$B1241,Compta!$C$1:$C$675,"2026"),0))</f>
        <v/>
      </c>
      <c r="G1241" t="str">
        <f>IF($A1241="","",IF($D1241="V01",cad!$C$23,IF($D1241="V02",cad!$D$23,cad!$E$23)))</f>
        <v/>
      </c>
      <c r="H1241" t="str">
        <f>IF($A1241="","",IF($D1241="V01",cad!$C$24,IF($D1241="V02",cad!$D$24,cad!$E$24)))</f>
        <v/>
      </c>
      <c r="I1241" t="str">
        <f>IF($A1241="","",IF($D1241="V01",cad!$C$32,IF($D1241="V02",cad!$D$32,cad!$E$32)))</f>
        <v/>
      </c>
      <c r="J1241" t="str">
        <f>IF($A1241="","",IF($D1241="V01",cad!$C$33,IF($D1241="V02",cad!$D$33,cad!$E$33)))</f>
        <v/>
      </c>
      <c r="K1241" t="str">
        <f>IF($A1241="","",IF($D1241="V01",cad!$C$34,IF($D1241="V02",cad!$D$34,cad!$E$34)))</f>
        <v/>
      </c>
      <c r="L1241" t="str">
        <f>IF($A1241="","",IF($D1241="V01",cad!$C$35,IF($D1241="V02",cad!$D$35,cad!$E$35)))</f>
        <v/>
      </c>
      <c r="M1241" t="str">
        <f>IF($A1241="","",IF($D1241="V01",cad!$C$36,IF($D1241="V02",cad!$D$36,cad!$E$36)))</f>
        <v/>
      </c>
      <c r="N1241" t="str">
        <f t="shared" si="77"/>
        <v/>
      </c>
      <c r="O1241" t="str">
        <f t="shared" si="78"/>
        <v/>
      </c>
      <c r="P1241" t="str">
        <f>IF($A1241="","",IF($E1241=1,$F1241*$O1241,PNL!G1241))</f>
        <v/>
      </c>
      <c r="T1241" t="str">
        <f t="shared" si="79"/>
        <v/>
      </c>
    </row>
    <row r="1242" spans="1:20" x14ac:dyDescent="0.45">
      <c r="A1242" t="str">
        <f>IF(PNL!A1242="","",PNL!A1242)</f>
        <v/>
      </c>
      <c r="B1242" t="str">
        <f>IF(PNL!B1242="","",PNL!B1242)</f>
        <v/>
      </c>
      <c r="C1242" t="str">
        <f>IF(PNL!C1242="","",PNL!C1242)</f>
        <v/>
      </c>
      <c r="D1242" t="str">
        <f>IF(PNL!D1242="","",PNL!D1242)</f>
        <v/>
      </c>
      <c r="E1242" t="str">
        <f t="shared" si="76"/>
        <v/>
      </c>
      <c r="F1242" t="str">
        <f>IF($A1242="","",IF($E1242=1,SUMIFS(Compta!$F$1:$F$675,Compta!$A$1:$A$675,$A1242,Compta!$B$1:$B$675,$B1242,Compta!$C$1:$C$675,"2026"),0))</f>
        <v/>
      </c>
      <c r="G1242" t="str">
        <f>IF($A1242="","",IF($D1242="V01",cad!$C$23,IF($D1242="V02",cad!$D$23,cad!$E$23)))</f>
        <v/>
      </c>
      <c r="H1242" t="str">
        <f>IF($A1242="","",IF($D1242="V01",cad!$C$24,IF($D1242="V02",cad!$D$24,cad!$E$24)))</f>
        <v/>
      </c>
      <c r="I1242" t="str">
        <f>IF($A1242="","",IF($D1242="V01",cad!$C$32,IF($D1242="V02",cad!$D$32,cad!$E$32)))</f>
        <v/>
      </c>
      <c r="J1242" t="str">
        <f>IF($A1242="","",IF($D1242="V01",cad!$C$33,IF($D1242="V02",cad!$D$33,cad!$E$33)))</f>
        <v/>
      </c>
      <c r="K1242" t="str">
        <f>IF($A1242="","",IF($D1242="V01",cad!$C$34,IF($D1242="V02",cad!$D$34,cad!$E$34)))</f>
        <v/>
      </c>
      <c r="L1242" t="str">
        <f>IF($A1242="","",IF($D1242="V01",cad!$C$35,IF($D1242="V02",cad!$D$35,cad!$E$35)))</f>
        <v/>
      </c>
      <c r="M1242" t="str">
        <f>IF($A1242="","",IF($D1242="V01",cad!$C$36,IF($D1242="V02",cad!$D$36,cad!$E$36)))</f>
        <v/>
      </c>
      <c r="N1242" t="str">
        <f t="shared" si="77"/>
        <v/>
      </c>
      <c r="O1242" t="str">
        <f t="shared" si="78"/>
        <v/>
      </c>
      <c r="P1242" t="str">
        <f>IF($A1242="","",IF($E1242=1,$F1242*$O1242,PNL!G1242))</f>
        <v/>
      </c>
      <c r="T1242" t="str">
        <f t="shared" si="79"/>
        <v/>
      </c>
    </row>
    <row r="1243" spans="1:20" x14ac:dyDescent="0.45">
      <c r="A1243" t="str">
        <f>IF(PNL!A1243="","",PNL!A1243)</f>
        <v/>
      </c>
      <c r="B1243" t="str">
        <f>IF(PNL!B1243="","",PNL!B1243)</f>
        <v/>
      </c>
      <c r="C1243" t="str">
        <f>IF(PNL!C1243="","",PNL!C1243)</f>
        <v/>
      </c>
      <c r="D1243" t="str">
        <f>IF(PNL!D1243="","",PNL!D1243)</f>
        <v/>
      </c>
      <c r="E1243" t="str">
        <f t="shared" si="76"/>
        <v/>
      </c>
      <c r="F1243" t="str">
        <f>IF($A1243="","",IF($E1243=1,SUMIFS(Compta!$F$1:$F$675,Compta!$A$1:$A$675,$A1243,Compta!$B$1:$B$675,$B1243,Compta!$C$1:$C$675,"2026"),0))</f>
        <v/>
      </c>
      <c r="G1243" t="str">
        <f>IF($A1243="","",IF($D1243="V01",cad!$C$23,IF($D1243="V02",cad!$D$23,cad!$E$23)))</f>
        <v/>
      </c>
      <c r="H1243" t="str">
        <f>IF($A1243="","",IF($D1243="V01",cad!$C$24,IF($D1243="V02",cad!$D$24,cad!$E$24)))</f>
        <v/>
      </c>
      <c r="I1243" t="str">
        <f>IF($A1243="","",IF($D1243="V01",cad!$C$32,IF($D1243="V02",cad!$D$32,cad!$E$32)))</f>
        <v/>
      </c>
      <c r="J1243" t="str">
        <f>IF($A1243="","",IF($D1243="V01",cad!$C$33,IF($D1243="V02",cad!$D$33,cad!$E$33)))</f>
        <v/>
      </c>
      <c r="K1243" t="str">
        <f>IF($A1243="","",IF($D1243="V01",cad!$C$34,IF($D1243="V02",cad!$D$34,cad!$E$34)))</f>
        <v/>
      </c>
      <c r="L1243" t="str">
        <f>IF($A1243="","",IF($D1243="V01",cad!$C$35,IF($D1243="V02",cad!$D$35,cad!$E$35)))</f>
        <v/>
      </c>
      <c r="M1243" t="str">
        <f>IF($A1243="","",IF($D1243="V01",cad!$C$36,IF($D1243="V02",cad!$D$36,cad!$E$36)))</f>
        <v/>
      </c>
      <c r="N1243" t="str">
        <f t="shared" si="77"/>
        <v/>
      </c>
      <c r="O1243" t="str">
        <f t="shared" si="78"/>
        <v/>
      </c>
      <c r="P1243" t="str">
        <f>IF($A1243="","",IF($E1243=1,$F1243*$O1243,PNL!G1243))</f>
        <v/>
      </c>
      <c r="T1243" t="str">
        <f t="shared" si="79"/>
        <v/>
      </c>
    </row>
    <row r="1244" spans="1:20" x14ac:dyDescent="0.45">
      <c r="A1244" t="str">
        <f>IF(PNL!A1244="","",PNL!A1244)</f>
        <v/>
      </c>
      <c r="B1244" t="str">
        <f>IF(PNL!B1244="","",PNL!B1244)</f>
        <v/>
      </c>
      <c r="C1244" t="str">
        <f>IF(PNL!C1244="","",PNL!C1244)</f>
        <v/>
      </c>
      <c r="D1244" t="str">
        <f>IF(PNL!D1244="","",PNL!D1244)</f>
        <v/>
      </c>
      <c r="E1244" t="str">
        <f t="shared" si="76"/>
        <v/>
      </c>
      <c r="F1244" t="str">
        <f>IF($A1244="","",IF($E1244=1,SUMIFS(Compta!$F$1:$F$675,Compta!$A$1:$A$675,$A1244,Compta!$B$1:$B$675,$B1244,Compta!$C$1:$C$675,"2026"),0))</f>
        <v/>
      </c>
      <c r="G1244" t="str">
        <f>IF($A1244="","",IF($D1244="V01",cad!$C$23,IF($D1244="V02",cad!$D$23,cad!$E$23)))</f>
        <v/>
      </c>
      <c r="H1244" t="str">
        <f>IF($A1244="","",IF($D1244="V01",cad!$C$24,IF($D1244="V02",cad!$D$24,cad!$E$24)))</f>
        <v/>
      </c>
      <c r="I1244" t="str">
        <f>IF($A1244="","",IF($D1244="V01",cad!$C$32,IF($D1244="V02",cad!$D$32,cad!$E$32)))</f>
        <v/>
      </c>
      <c r="J1244" t="str">
        <f>IF($A1244="","",IF($D1244="V01",cad!$C$33,IF($D1244="V02",cad!$D$33,cad!$E$33)))</f>
        <v/>
      </c>
      <c r="K1244" t="str">
        <f>IF($A1244="","",IF($D1244="V01",cad!$C$34,IF($D1244="V02",cad!$D$34,cad!$E$34)))</f>
        <v/>
      </c>
      <c r="L1244" t="str">
        <f>IF($A1244="","",IF($D1244="V01",cad!$C$35,IF($D1244="V02",cad!$D$35,cad!$E$35)))</f>
        <v/>
      </c>
      <c r="M1244" t="str">
        <f>IF($A1244="","",IF($D1244="V01",cad!$C$36,IF($D1244="V02",cad!$D$36,cad!$E$36)))</f>
        <v/>
      </c>
      <c r="N1244" t="str">
        <f t="shared" si="77"/>
        <v/>
      </c>
      <c r="O1244" t="str">
        <f t="shared" si="78"/>
        <v/>
      </c>
      <c r="P1244" t="str">
        <f>IF($A1244="","",IF($E1244=1,$F1244*$O1244,PNL!G1244))</f>
        <v/>
      </c>
      <c r="T1244" t="str">
        <f t="shared" si="79"/>
        <v/>
      </c>
    </row>
    <row r="1245" spans="1:20" x14ac:dyDescent="0.45">
      <c r="A1245" t="str">
        <f>IF(PNL!A1245="","",PNL!A1245)</f>
        <v/>
      </c>
      <c r="B1245" t="str">
        <f>IF(PNL!B1245="","",PNL!B1245)</f>
        <v/>
      </c>
      <c r="C1245" t="str">
        <f>IF(PNL!C1245="","",PNL!C1245)</f>
        <v/>
      </c>
      <c r="D1245" t="str">
        <f>IF(PNL!D1245="","",PNL!D1245)</f>
        <v/>
      </c>
      <c r="E1245" t="str">
        <f t="shared" si="76"/>
        <v/>
      </c>
      <c r="F1245" t="str">
        <f>IF($A1245="","",IF($E1245=1,SUMIFS(Compta!$F$1:$F$675,Compta!$A$1:$A$675,$A1245,Compta!$B$1:$B$675,$B1245,Compta!$C$1:$C$675,"2026"),0))</f>
        <v/>
      </c>
      <c r="G1245" t="str">
        <f>IF($A1245="","",IF($D1245="V01",cad!$C$23,IF($D1245="V02",cad!$D$23,cad!$E$23)))</f>
        <v/>
      </c>
      <c r="H1245" t="str">
        <f>IF($A1245="","",IF($D1245="V01",cad!$C$24,IF($D1245="V02",cad!$D$24,cad!$E$24)))</f>
        <v/>
      </c>
      <c r="I1245" t="str">
        <f>IF($A1245="","",IF($D1245="V01",cad!$C$32,IF($D1245="V02",cad!$D$32,cad!$E$32)))</f>
        <v/>
      </c>
      <c r="J1245" t="str">
        <f>IF($A1245="","",IF($D1245="V01",cad!$C$33,IF($D1245="V02",cad!$D$33,cad!$E$33)))</f>
        <v/>
      </c>
      <c r="K1245" t="str">
        <f>IF($A1245="","",IF($D1245="V01",cad!$C$34,IF($D1245="V02",cad!$D$34,cad!$E$34)))</f>
        <v/>
      </c>
      <c r="L1245" t="str">
        <f>IF($A1245="","",IF($D1245="V01",cad!$C$35,IF($D1245="V02",cad!$D$35,cad!$E$35)))</f>
        <v/>
      </c>
      <c r="M1245" t="str">
        <f>IF($A1245="","",IF($D1245="V01",cad!$C$36,IF($D1245="V02",cad!$D$36,cad!$E$36)))</f>
        <v/>
      </c>
      <c r="N1245" t="str">
        <f t="shared" si="77"/>
        <v/>
      </c>
      <c r="O1245" t="str">
        <f t="shared" si="78"/>
        <v/>
      </c>
      <c r="P1245" t="str">
        <f>IF($A1245="","",IF($E1245=1,$F1245*$O1245,PNL!G1245))</f>
        <v/>
      </c>
      <c r="T1245" t="str">
        <f t="shared" si="79"/>
        <v/>
      </c>
    </row>
    <row r="1246" spans="1:20" x14ac:dyDescent="0.45">
      <c r="A1246" t="str">
        <f>IF(PNL!A1246="","",PNL!A1246)</f>
        <v/>
      </c>
      <c r="B1246" t="str">
        <f>IF(PNL!B1246="","",PNL!B1246)</f>
        <v/>
      </c>
      <c r="C1246" t="str">
        <f>IF(PNL!C1246="","",PNL!C1246)</f>
        <v/>
      </c>
      <c r="D1246" t="str">
        <f>IF(PNL!D1246="","",PNL!D1246)</f>
        <v/>
      </c>
      <c r="E1246" t="str">
        <f t="shared" si="76"/>
        <v/>
      </c>
      <c r="F1246" t="str">
        <f>IF($A1246="","",IF($E1246=1,SUMIFS(Compta!$F$1:$F$675,Compta!$A$1:$A$675,$A1246,Compta!$B$1:$B$675,$B1246,Compta!$C$1:$C$675,"2026"),0))</f>
        <v/>
      </c>
      <c r="G1246" t="str">
        <f>IF($A1246="","",IF($D1246="V01",cad!$C$23,IF($D1246="V02",cad!$D$23,cad!$E$23)))</f>
        <v/>
      </c>
      <c r="H1246" t="str">
        <f>IF($A1246="","",IF($D1246="V01",cad!$C$24,IF($D1246="V02",cad!$D$24,cad!$E$24)))</f>
        <v/>
      </c>
      <c r="I1246" t="str">
        <f>IF($A1246="","",IF($D1246="V01",cad!$C$32,IF($D1246="V02",cad!$D$32,cad!$E$32)))</f>
        <v/>
      </c>
      <c r="J1246" t="str">
        <f>IF($A1246="","",IF($D1246="V01",cad!$C$33,IF($D1246="V02",cad!$D$33,cad!$E$33)))</f>
        <v/>
      </c>
      <c r="K1246" t="str">
        <f>IF($A1246="","",IF($D1246="V01",cad!$C$34,IF($D1246="V02",cad!$D$34,cad!$E$34)))</f>
        <v/>
      </c>
      <c r="L1246" t="str">
        <f>IF($A1246="","",IF($D1246="V01",cad!$C$35,IF($D1246="V02",cad!$D$35,cad!$E$35)))</f>
        <v/>
      </c>
      <c r="M1246" t="str">
        <f>IF($A1246="","",IF($D1246="V01",cad!$C$36,IF($D1246="V02",cad!$D$36,cad!$E$36)))</f>
        <v/>
      </c>
      <c r="N1246" t="str">
        <f t="shared" si="77"/>
        <v/>
      </c>
      <c r="O1246" t="str">
        <f t="shared" si="78"/>
        <v/>
      </c>
      <c r="P1246" t="str">
        <f>IF($A1246="","",IF($E1246=1,$F1246*$O1246,PNL!G1246))</f>
        <v/>
      </c>
      <c r="T1246" t="str">
        <f t="shared" si="79"/>
        <v/>
      </c>
    </row>
    <row r="1247" spans="1:20" x14ac:dyDescent="0.45">
      <c r="A1247" t="str">
        <f>IF(PNL!A1247="","",PNL!A1247)</f>
        <v/>
      </c>
      <c r="B1247" t="str">
        <f>IF(PNL!B1247="","",PNL!B1247)</f>
        <v/>
      </c>
      <c r="C1247" t="str">
        <f>IF(PNL!C1247="","",PNL!C1247)</f>
        <v/>
      </c>
      <c r="D1247" t="str">
        <f>IF(PNL!D1247="","",PNL!D1247)</f>
        <v/>
      </c>
      <c r="E1247" t="str">
        <f t="shared" si="76"/>
        <v/>
      </c>
      <c r="F1247" t="str">
        <f>IF($A1247="","",IF($E1247=1,SUMIFS(Compta!$F$1:$F$675,Compta!$A$1:$A$675,$A1247,Compta!$B$1:$B$675,$B1247,Compta!$C$1:$C$675,"2026"),0))</f>
        <v/>
      </c>
      <c r="G1247" t="str">
        <f>IF($A1247="","",IF($D1247="V01",cad!$C$23,IF($D1247="V02",cad!$D$23,cad!$E$23)))</f>
        <v/>
      </c>
      <c r="H1247" t="str">
        <f>IF($A1247="","",IF($D1247="V01",cad!$C$24,IF($D1247="V02",cad!$D$24,cad!$E$24)))</f>
        <v/>
      </c>
      <c r="I1247" t="str">
        <f>IF($A1247="","",IF($D1247="V01",cad!$C$32,IF($D1247="V02",cad!$D$32,cad!$E$32)))</f>
        <v/>
      </c>
      <c r="J1247" t="str">
        <f>IF($A1247="","",IF($D1247="V01",cad!$C$33,IF($D1247="V02",cad!$D$33,cad!$E$33)))</f>
        <v/>
      </c>
      <c r="K1247" t="str">
        <f>IF($A1247="","",IF($D1247="V01",cad!$C$34,IF($D1247="V02",cad!$D$34,cad!$E$34)))</f>
        <v/>
      </c>
      <c r="L1247" t="str">
        <f>IF($A1247="","",IF($D1247="V01",cad!$C$35,IF($D1247="V02",cad!$D$35,cad!$E$35)))</f>
        <v/>
      </c>
      <c r="M1247" t="str">
        <f>IF($A1247="","",IF($D1247="V01",cad!$C$36,IF($D1247="V02",cad!$D$36,cad!$E$36)))</f>
        <v/>
      </c>
      <c r="N1247" t="str">
        <f t="shared" si="77"/>
        <v/>
      </c>
      <c r="O1247" t="str">
        <f t="shared" si="78"/>
        <v/>
      </c>
      <c r="P1247" t="str">
        <f>IF($A1247="","",IF($E1247=1,$F1247*$O1247,PNL!G1247))</f>
        <v/>
      </c>
      <c r="T1247" t="str">
        <f t="shared" si="79"/>
        <v/>
      </c>
    </row>
    <row r="1248" spans="1:20" x14ac:dyDescent="0.45">
      <c r="A1248" t="str">
        <f>IF(PNL!A1248="","",PNL!A1248)</f>
        <v/>
      </c>
      <c r="B1248" t="str">
        <f>IF(PNL!B1248="","",PNL!B1248)</f>
        <v/>
      </c>
      <c r="C1248" t="str">
        <f>IF(PNL!C1248="","",PNL!C1248)</f>
        <v/>
      </c>
      <c r="D1248" t="str">
        <f>IF(PNL!D1248="","",PNL!D1248)</f>
        <v/>
      </c>
      <c r="E1248" t="str">
        <f t="shared" si="76"/>
        <v/>
      </c>
      <c r="F1248" t="str">
        <f>IF($A1248="","",IF($E1248=1,SUMIFS(Compta!$F$1:$F$675,Compta!$A$1:$A$675,$A1248,Compta!$B$1:$B$675,$B1248,Compta!$C$1:$C$675,"2026"),0))</f>
        <v/>
      </c>
      <c r="G1248" t="str">
        <f>IF($A1248="","",IF($D1248="V01",cad!$C$23,IF($D1248="V02",cad!$D$23,cad!$E$23)))</f>
        <v/>
      </c>
      <c r="H1248" t="str">
        <f>IF($A1248="","",IF($D1248="V01",cad!$C$24,IF($D1248="V02",cad!$D$24,cad!$E$24)))</f>
        <v/>
      </c>
      <c r="I1248" t="str">
        <f>IF($A1248="","",IF($D1248="V01",cad!$C$32,IF($D1248="V02",cad!$D$32,cad!$E$32)))</f>
        <v/>
      </c>
      <c r="J1248" t="str">
        <f>IF($A1248="","",IF($D1248="V01",cad!$C$33,IF($D1248="V02",cad!$D$33,cad!$E$33)))</f>
        <v/>
      </c>
      <c r="K1248" t="str">
        <f>IF($A1248="","",IF($D1248="V01",cad!$C$34,IF($D1248="V02",cad!$D$34,cad!$E$34)))</f>
        <v/>
      </c>
      <c r="L1248" t="str">
        <f>IF($A1248="","",IF($D1248="V01",cad!$C$35,IF($D1248="V02",cad!$D$35,cad!$E$35)))</f>
        <v/>
      </c>
      <c r="M1248" t="str">
        <f>IF($A1248="","",IF($D1248="V01",cad!$C$36,IF($D1248="V02",cad!$D$36,cad!$E$36)))</f>
        <v/>
      </c>
      <c r="N1248" t="str">
        <f t="shared" si="77"/>
        <v/>
      </c>
      <c r="O1248" t="str">
        <f t="shared" si="78"/>
        <v/>
      </c>
      <c r="P1248" t="str">
        <f>IF($A1248="","",IF($E1248=1,$F1248*$O1248,PNL!G1248))</f>
        <v/>
      </c>
      <c r="T1248" t="str">
        <f t="shared" si="79"/>
        <v/>
      </c>
    </row>
    <row r="1249" spans="1:20" x14ac:dyDescent="0.45">
      <c r="A1249" t="str">
        <f>IF(PNL!A1249="","",PNL!A1249)</f>
        <v/>
      </c>
      <c r="B1249" t="str">
        <f>IF(PNL!B1249="","",PNL!B1249)</f>
        <v/>
      </c>
      <c r="C1249" t="str">
        <f>IF(PNL!C1249="","",PNL!C1249)</f>
        <v/>
      </c>
      <c r="D1249" t="str">
        <f>IF(PNL!D1249="","",PNL!D1249)</f>
        <v/>
      </c>
      <c r="E1249" t="str">
        <f t="shared" si="76"/>
        <v/>
      </c>
      <c r="F1249" t="str">
        <f>IF($A1249="","",IF($E1249=1,SUMIFS(Compta!$F$1:$F$675,Compta!$A$1:$A$675,$A1249,Compta!$B$1:$B$675,$B1249,Compta!$C$1:$C$675,"2026"),0))</f>
        <v/>
      </c>
      <c r="G1249" t="str">
        <f>IF($A1249="","",IF($D1249="V01",cad!$C$23,IF($D1249="V02",cad!$D$23,cad!$E$23)))</f>
        <v/>
      </c>
      <c r="H1249" t="str">
        <f>IF($A1249="","",IF($D1249="V01",cad!$C$24,IF($D1249="V02",cad!$D$24,cad!$E$24)))</f>
        <v/>
      </c>
      <c r="I1249" t="str">
        <f>IF($A1249="","",IF($D1249="V01",cad!$C$32,IF($D1249="V02",cad!$D$32,cad!$E$32)))</f>
        <v/>
      </c>
      <c r="J1249" t="str">
        <f>IF($A1249="","",IF($D1249="V01",cad!$C$33,IF($D1249="V02",cad!$D$33,cad!$E$33)))</f>
        <v/>
      </c>
      <c r="K1249" t="str">
        <f>IF($A1249="","",IF($D1249="V01",cad!$C$34,IF($D1249="V02",cad!$D$34,cad!$E$34)))</f>
        <v/>
      </c>
      <c r="L1249" t="str">
        <f>IF($A1249="","",IF($D1249="V01",cad!$C$35,IF($D1249="V02",cad!$D$35,cad!$E$35)))</f>
        <v/>
      </c>
      <c r="M1249" t="str">
        <f>IF($A1249="","",IF($D1249="V01",cad!$C$36,IF($D1249="V02",cad!$D$36,cad!$E$36)))</f>
        <v/>
      </c>
      <c r="N1249" t="str">
        <f t="shared" si="77"/>
        <v/>
      </c>
      <c r="O1249" t="str">
        <f t="shared" si="78"/>
        <v/>
      </c>
      <c r="P1249" t="str">
        <f>IF($A1249="","",IF($E1249=1,$F1249*$O1249,PNL!G1249))</f>
        <v/>
      </c>
      <c r="T1249" t="str">
        <f t="shared" si="79"/>
        <v/>
      </c>
    </row>
    <row r="1250" spans="1:20" x14ac:dyDescent="0.45">
      <c r="A1250" t="str">
        <f>IF(PNL!A1250="","",PNL!A1250)</f>
        <v/>
      </c>
      <c r="B1250" t="str">
        <f>IF(PNL!B1250="","",PNL!B1250)</f>
        <v/>
      </c>
      <c r="C1250" t="str">
        <f>IF(PNL!C1250="","",PNL!C1250)</f>
        <v/>
      </c>
      <c r="D1250" t="str">
        <f>IF(PNL!D1250="","",PNL!D1250)</f>
        <v/>
      </c>
      <c r="E1250" t="str">
        <f t="shared" si="76"/>
        <v/>
      </c>
      <c r="F1250" t="str">
        <f>IF($A1250="","",IF($E1250=1,SUMIFS(Compta!$F$1:$F$675,Compta!$A$1:$A$675,$A1250,Compta!$B$1:$B$675,$B1250,Compta!$C$1:$C$675,"2026"),0))</f>
        <v/>
      </c>
      <c r="G1250" t="str">
        <f>IF($A1250="","",IF($D1250="V01",cad!$C$23,IF($D1250="V02",cad!$D$23,cad!$E$23)))</f>
        <v/>
      </c>
      <c r="H1250" t="str">
        <f>IF($A1250="","",IF($D1250="V01",cad!$C$24,IF($D1250="V02",cad!$D$24,cad!$E$24)))</f>
        <v/>
      </c>
      <c r="I1250" t="str">
        <f>IF($A1250="","",IF($D1250="V01",cad!$C$32,IF($D1250="V02",cad!$D$32,cad!$E$32)))</f>
        <v/>
      </c>
      <c r="J1250" t="str">
        <f>IF($A1250="","",IF($D1250="V01",cad!$C$33,IF($D1250="V02",cad!$D$33,cad!$E$33)))</f>
        <v/>
      </c>
      <c r="K1250" t="str">
        <f>IF($A1250="","",IF($D1250="V01",cad!$C$34,IF($D1250="V02",cad!$D$34,cad!$E$34)))</f>
        <v/>
      </c>
      <c r="L1250" t="str">
        <f>IF($A1250="","",IF($D1250="V01",cad!$C$35,IF($D1250="V02",cad!$D$35,cad!$E$35)))</f>
        <v/>
      </c>
      <c r="M1250" t="str">
        <f>IF($A1250="","",IF($D1250="V01",cad!$C$36,IF($D1250="V02",cad!$D$36,cad!$E$36)))</f>
        <v/>
      </c>
      <c r="N1250" t="str">
        <f t="shared" si="77"/>
        <v/>
      </c>
      <c r="O1250" t="str">
        <f t="shared" si="78"/>
        <v/>
      </c>
      <c r="P1250" t="str">
        <f>IF($A1250="","",IF($E1250=1,$F1250*$O1250,PNL!G1250))</f>
        <v/>
      </c>
      <c r="T1250" t="str">
        <f t="shared" si="79"/>
        <v/>
      </c>
    </row>
    <row r="1251" spans="1:20" x14ac:dyDescent="0.45">
      <c r="A1251" t="str">
        <f>IF(PNL!A1251="","",PNL!A1251)</f>
        <v/>
      </c>
      <c r="B1251" t="str">
        <f>IF(PNL!B1251="","",PNL!B1251)</f>
        <v/>
      </c>
      <c r="C1251" t="str">
        <f>IF(PNL!C1251="","",PNL!C1251)</f>
        <v/>
      </c>
      <c r="D1251" t="str">
        <f>IF(PNL!D1251="","",PNL!D1251)</f>
        <v/>
      </c>
      <c r="E1251" t="str">
        <f t="shared" si="76"/>
        <v/>
      </c>
      <c r="F1251" t="str">
        <f>IF($A1251="","",IF($E1251=1,SUMIFS(Compta!$F$1:$F$675,Compta!$A$1:$A$675,$A1251,Compta!$B$1:$B$675,$B1251,Compta!$C$1:$C$675,"2026"),0))</f>
        <v/>
      </c>
      <c r="G1251" t="str">
        <f>IF($A1251="","",IF($D1251="V01",cad!$C$23,IF($D1251="V02",cad!$D$23,cad!$E$23)))</f>
        <v/>
      </c>
      <c r="H1251" t="str">
        <f>IF($A1251="","",IF($D1251="V01",cad!$C$24,IF($D1251="V02",cad!$D$24,cad!$E$24)))</f>
        <v/>
      </c>
      <c r="I1251" t="str">
        <f>IF($A1251="","",IF($D1251="V01",cad!$C$32,IF($D1251="V02",cad!$D$32,cad!$E$32)))</f>
        <v/>
      </c>
      <c r="J1251" t="str">
        <f>IF($A1251="","",IF($D1251="V01",cad!$C$33,IF($D1251="V02",cad!$D$33,cad!$E$33)))</f>
        <v/>
      </c>
      <c r="K1251" t="str">
        <f>IF($A1251="","",IF($D1251="V01",cad!$C$34,IF($D1251="V02",cad!$D$34,cad!$E$34)))</f>
        <v/>
      </c>
      <c r="L1251" t="str">
        <f>IF($A1251="","",IF($D1251="V01",cad!$C$35,IF($D1251="V02",cad!$D$35,cad!$E$35)))</f>
        <v/>
      </c>
      <c r="M1251" t="str">
        <f>IF($A1251="","",IF($D1251="V01",cad!$C$36,IF($D1251="V02",cad!$D$36,cad!$E$36)))</f>
        <v/>
      </c>
      <c r="N1251" t="str">
        <f t="shared" si="77"/>
        <v/>
      </c>
      <c r="O1251" t="str">
        <f t="shared" si="78"/>
        <v/>
      </c>
      <c r="P1251" t="str">
        <f>IF($A1251="","",IF($E1251=1,$F1251*$O1251,PNL!G1251))</f>
        <v/>
      </c>
      <c r="T1251" t="str">
        <f t="shared" si="79"/>
        <v/>
      </c>
    </row>
    <row r="1252" spans="1:20" x14ac:dyDescent="0.45">
      <c r="A1252" t="str">
        <f>IF(PNL!A1252="","",PNL!A1252)</f>
        <v/>
      </c>
      <c r="B1252" t="str">
        <f>IF(PNL!B1252="","",PNL!B1252)</f>
        <v/>
      </c>
      <c r="C1252" t="str">
        <f>IF(PNL!C1252="","",PNL!C1252)</f>
        <v/>
      </c>
      <c r="D1252" t="str">
        <f>IF(PNL!D1252="","",PNL!D1252)</f>
        <v/>
      </c>
      <c r="E1252" t="str">
        <f t="shared" si="76"/>
        <v/>
      </c>
      <c r="F1252" t="str">
        <f>IF($A1252="","",IF($E1252=1,SUMIFS(Compta!$F$1:$F$675,Compta!$A$1:$A$675,$A1252,Compta!$B$1:$B$675,$B1252,Compta!$C$1:$C$675,"2026"),0))</f>
        <v/>
      </c>
      <c r="G1252" t="str">
        <f>IF($A1252="","",IF($D1252="V01",cad!$C$23,IF($D1252="V02",cad!$D$23,cad!$E$23)))</f>
        <v/>
      </c>
      <c r="H1252" t="str">
        <f>IF($A1252="","",IF($D1252="V01",cad!$C$24,IF($D1252="V02",cad!$D$24,cad!$E$24)))</f>
        <v/>
      </c>
      <c r="I1252" t="str">
        <f>IF($A1252="","",IF($D1252="V01",cad!$C$32,IF($D1252="V02",cad!$D$32,cad!$E$32)))</f>
        <v/>
      </c>
      <c r="J1252" t="str">
        <f>IF($A1252="","",IF($D1252="V01",cad!$C$33,IF($D1252="V02",cad!$D$33,cad!$E$33)))</f>
        <v/>
      </c>
      <c r="K1252" t="str">
        <f>IF($A1252="","",IF($D1252="V01",cad!$C$34,IF($D1252="V02",cad!$D$34,cad!$E$34)))</f>
        <v/>
      </c>
      <c r="L1252" t="str">
        <f>IF($A1252="","",IF($D1252="V01",cad!$C$35,IF($D1252="V02",cad!$D$35,cad!$E$35)))</f>
        <v/>
      </c>
      <c r="M1252" t="str">
        <f>IF($A1252="","",IF($D1252="V01",cad!$C$36,IF($D1252="V02",cad!$D$36,cad!$E$36)))</f>
        <v/>
      </c>
      <c r="N1252" t="str">
        <f t="shared" si="77"/>
        <v/>
      </c>
      <c r="O1252" t="str">
        <f t="shared" si="78"/>
        <v/>
      </c>
      <c r="P1252" t="str">
        <f>IF($A1252="","",IF($E1252=1,$F1252*$O1252,PNL!G1252))</f>
        <v/>
      </c>
      <c r="T1252" t="str">
        <f t="shared" si="79"/>
        <v/>
      </c>
    </row>
    <row r="1253" spans="1:20" x14ac:dyDescent="0.45">
      <c r="A1253" t="str">
        <f>IF(PNL!A1253="","",PNL!A1253)</f>
        <v/>
      </c>
      <c r="B1253" t="str">
        <f>IF(PNL!B1253="","",PNL!B1253)</f>
        <v/>
      </c>
      <c r="C1253" t="str">
        <f>IF(PNL!C1253="","",PNL!C1253)</f>
        <v/>
      </c>
      <c r="D1253" t="str">
        <f>IF(PNL!D1253="","",PNL!D1253)</f>
        <v/>
      </c>
      <c r="E1253" t="str">
        <f t="shared" si="76"/>
        <v/>
      </c>
      <c r="F1253" t="str">
        <f>IF($A1253="","",IF($E1253=1,SUMIFS(Compta!$F$1:$F$675,Compta!$A$1:$A$675,$A1253,Compta!$B$1:$B$675,$B1253,Compta!$C$1:$C$675,"2026"),0))</f>
        <v/>
      </c>
      <c r="G1253" t="str">
        <f>IF($A1253="","",IF($D1253="V01",cad!$C$23,IF($D1253="V02",cad!$D$23,cad!$E$23)))</f>
        <v/>
      </c>
      <c r="H1253" t="str">
        <f>IF($A1253="","",IF($D1253="V01",cad!$C$24,IF($D1253="V02",cad!$D$24,cad!$E$24)))</f>
        <v/>
      </c>
      <c r="I1253" t="str">
        <f>IF($A1253="","",IF($D1253="V01",cad!$C$32,IF($D1253="V02",cad!$D$32,cad!$E$32)))</f>
        <v/>
      </c>
      <c r="J1253" t="str">
        <f>IF($A1253="","",IF($D1253="V01",cad!$C$33,IF($D1253="V02",cad!$D$33,cad!$E$33)))</f>
        <v/>
      </c>
      <c r="K1253" t="str">
        <f>IF($A1253="","",IF($D1253="V01",cad!$C$34,IF($D1253="V02",cad!$D$34,cad!$E$34)))</f>
        <v/>
      </c>
      <c r="L1253" t="str">
        <f>IF($A1253="","",IF($D1253="V01",cad!$C$35,IF($D1253="V02",cad!$D$35,cad!$E$35)))</f>
        <v/>
      </c>
      <c r="M1253" t="str">
        <f>IF($A1253="","",IF($D1253="V01",cad!$C$36,IF($D1253="V02",cad!$D$36,cad!$E$36)))</f>
        <v/>
      </c>
      <c r="N1253" t="str">
        <f t="shared" si="77"/>
        <v/>
      </c>
      <c r="O1253" t="str">
        <f t="shared" si="78"/>
        <v/>
      </c>
      <c r="P1253" t="str">
        <f>IF($A1253="","",IF($E1253=1,$F1253*$O1253,PNL!G1253))</f>
        <v/>
      </c>
      <c r="T1253" t="str">
        <f t="shared" si="79"/>
        <v/>
      </c>
    </row>
    <row r="1254" spans="1:20" x14ac:dyDescent="0.45">
      <c r="A1254" t="str">
        <f>IF(PNL!A1254="","",PNL!A1254)</f>
        <v/>
      </c>
      <c r="B1254" t="str">
        <f>IF(PNL!B1254="","",PNL!B1254)</f>
        <v/>
      </c>
      <c r="C1254" t="str">
        <f>IF(PNL!C1254="","",PNL!C1254)</f>
        <v/>
      </c>
      <c r="D1254" t="str">
        <f>IF(PNL!D1254="","",PNL!D1254)</f>
        <v/>
      </c>
      <c r="E1254" t="str">
        <f t="shared" si="76"/>
        <v/>
      </c>
      <c r="F1254" t="str">
        <f>IF($A1254="","",IF($E1254=1,SUMIFS(Compta!$F$1:$F$675,Compta!$A$1:$A$675,$A1254,Compta!$B$1:$B$675,$B1254,Compta!$C$1:$C$675,"2026"),0))</f>
        <v/>
      </c>
      <c r="G1254" t="str">
        <f>IF($A1254="","",IF($D1254="V01",cad!$C$23,IF($D1254="V02",cad!$D$23,cad!$E$23)))</f>
        <v/>
      </c>
      <c r="H1254" t="str">
        <f>IF($A1254="","",IF($D1254="V01",cad!$C$24,IF($D1254="V02",cad!$D$24,cad!$E$24)))</f>
        <v/>
      </c>
      <c r="I1254" t="str">
        <f>IF($A1254="","",IF($D1254="V01",cad!$C$32,IF($D1254="V02",cad!$D$32,cad!$E$32)))</f>
        <v/>
      </c>
      <c r="J1254" t="str">
        <f>IF($A1254="","",IF($D1254="V01",cad!$C$33,IF($D1254="V02",cad!$D$33,cad!$E$33)))</f>
        <v/>
      </c>
      <c r="K1254" t="str">
        <f>IF($A1254="","",IF($D1254="V01",cad!$C$34,IF($D1254="V02",cad!$D$34,cad!$E$34)))</f>
        <v/>
      </c>
      <c r="L1254" t="str">
        <f>IF($A1254="","",IF($D1254="V01",cad!$C$35,IF($D1254="V02",cad!$D$35,cad!$E$35)))</f>
        <v/>
      </c>
      <c r="M1254" t="str">
        <f>IF($A1254="","",IF($D1254="V01",cad!$C$36,IF($D1254="V02",cad!$D$36,cad!$E$36)))</f>
        <v/>
      </c>
      <c r="N1254" t="str">
        <f t="shared" si="77"/>
        <v/>
      </c>
      <c r="O1254" t="str">
        <f t="shared" si="78"/>
        <v/>
      </c>
      <c r="P1254" t="str">
        <f>IF($A1254="","",IF($E1254=1,$F1254*$O1254,PNL!G1254))</f>
        <v/>
      </c>
      <c r="T1254" t="str">
        <f t="shared" si="79"/>
        <v/>
      </c>
    </row>
    <row r="1255" spans="1:20" x14ac:dyDescent="0.45">
      <c r="A1255" t="str">
        <f>IF(PNL!A1255="","",PNL!A1255)</f>
        <v/>
      </c>
      <c r="B1255" t="str">
        <f>IF(PNL!B1255="","",PNL!B1255)</f>
        <v/>
      </c>
      <c r="C1255" t="str">
        <f>IF(PNL!C1255="","",PNL!C1255)</f>
        <v/>
      </c>
      <c r="D1255" t="str">
        <f>IF(PNL!D1255="","",PNL!D1255)</f>
        <v/>
      </c>
      <c r="E1255" t="str">
        <f t="shared" si="76"/>
        <v/>
      </c>
      <c r="F1255" t="str">
        <f>IF($A1255="","",IF($E1255=1,SUMIFS(Compta!$F$1:$F$675,Compta!$A$1:$A$675,$A1255,Compta!$B$1:$B$675,$B1255,Compta!$C$1:$C$675,"2026"),0))</f>
        <v/>
      </c>
      <c r="G1255" t="str">
        <f>IF($A1255="","",IF($D1255="V01",cad!$C$23,IF($D1255="V02",cad!$D$23,cad!$E$23)))</f>
        <v/>
      </c>
      <c r="H1255" t="str">
        <f>IF($A1255="","",IF($D1255="V01",cad!$C$24,IF($D1255="V02",cad!$D$24,cad!$E$24)))</f>
        <v/>
      </c>
      <c r="I1255" t="str">
        <f>IF($A1255="","",IF($D1255="V01",cad!$C$32,IF($D1255="V02",cad!$D$32,cad!$E$32)))</f>
        <v/>
      </c>
      <c r="J1255" t="str">
        <f>IF($A1255="","",IF($D1255="V01",cad!$C$33,IF($D1255="V02",cad!$D$33,cad!$E$33)))</f>
        <v/>
      </c>
      <c r="K1255" t="str">
        <f>IF($A1255="","",IF($D1255="V01",cad!$C$34,IF($D1255="V02",cad!$D$34,cad!$E$34)))</f>
        <v/>
      </c>
      <c r="L1255" t="str">
        <f>IF($A1255="","",IF($D1255="V01",cad!$C$35,IF($D1255="V02",cad!$D$35,cad!$E$35)))</f>
        <v/>
      </c>
      <c r="M1255" t="str">
        <f>IF($A1255="","",IF($D1255="V01",cad!$C$36,IF($D1255="V02",cad!$D$36,cad!$E$36)))</f>
        <v/>
      </c>
      <c r="N1255" t="str">
        <f t="shared" si="77"/>
        <v/>
      </c>
      <c r="O1255" t="str">
        <f t="shared" si="78"/>
        <v/>
      </c>
      <c r="P1255" t="str">
        <f>IF($A1255="","",IF($E1255=1,$F1255*$O1255,PNL!G1255))</f>
        <v/>
      </c>
      <c r="T1255" t="str">
        <f t="shared" si="79"/>
        <v/>
      </c>
    </row>
    <row r="1256" spans="1:20" x14ac:dyDescent="0.45">
      <c r="A1256" t="str">
        <f>IF(PNL!A1256="","",PNL!A1256)</f>
        <v/>
      </c>
      <c r="B1256" t="str">
        <f>IF(PNL!B1256="","",PNL!B1256)</f>
        <v/>
      </c>
      <c r="C1256" t="str">
        <f>IF(PNL!C1256="","",PNL!C1256)</f>
        <v/>
      </c>
      <c r="D1256" t="str">
        <f>IF(PNL!D1256="","",PNL!D1256)</f>
        <v/>
      </c>
      <c r="E1256" t="str">
        <f t="shared" si="76"/>
        <v/>
      </c>
      <c r="F1256" t="str">
        <f>IF($A1256="","",IF($E1256=1,SUMIFS(Compta!$F$1:$F$675,Compta!$A$1:$A$675,$A1256,Compta!$B$1:$B$675,$B1256,Compta!$C$1:$C$675,"2026"),0))</f>
        <v/>
      </c>
      <c r="G1256" t="str">
        <f>IF($A1256="","",IF($D1256="V01",cad!$C$23,IF($D1256="V02",cad!$D$23,cad!$E$23)))</f>
        <v/>
      </c>
      <c r="H1256" t="str">
        <f>IF($A1256="","",IF($D1256="V01",cad!$C$24,IF($D1256="V02",cad!$D$24,cad!$E$24)))</f>
        <v/>
      </c>
      <c r="I1256" t="str">
        <f>IF($A1256="","",IF($D1256="V01",cad!$C$32,IF($D1256="V02",cad!$D$32,cad!$E$32)))</f>
        <v/>
      </c>
      <c r="J1256" t="str">
        <f>IF($A1256="","",IF($D1256="V01",cad!$C$33,IF($D1256="V02",cad!$D$33,cad!$E$33)))</f>
        <v/>
      </c>
      <c r="K1256" t="str">
        <f>IF($A1256="","",IF($D1256="V01",cad!$C$34,IF($D1256="V02",cad!$D$34,cad!$E$34)))</f>
        <v/>
      </c>
      <c r="L1256" t="str">
        <f>IF($A1256="","",IF($D1256="V01",cad!$C$35,IF($D1256="V02",cad!$D$35,cad!$E$35)))</f>
        <v/>
      </c>
      <c r="M1256" t="str">
        <f>IF($A1256="","",IF($D1256="V01",cad!$C$36,IF($D1256="V02",cad!$D$36,cad!$E$36)))</f>
        <v/>
      </c>
      <c r="N1256" t="str">
        <f t="shared" si="77"/>
        <v/>
      </c>
      <c r="O1256" t="str">
        <f t="shared" si="78"/>
        <v/>
      </c>
      <c r="P1256" t="str">
        <f>IF($A1256="","",IF($E1256=1,$F1256*$O1256,PNL!G1256))</f>
        <v/>
      </c>
      <c r="T1256" t="str">
        <f t="shared" si="79"/>
        <v/>
      </c>
    </row>
    <row r="1257" spans="1:20" x14ac:dyDescent="0.45">
      <c r="A1257" t="str">
        <f>IF(PNL!A1257="","",PNL!A1257)</f>
        <v/>
      </c>
      <c r="B1257" t="str">
        <f>IF(PNL!B1257="","",PNL!B1257)</f>
        <v/>
      </c>
      <c r="C1257" t="str">
        <f>IF(PNL!C1257="","",PNL!C1257)</f>
        <v/>
      </c>
      <c r="D1257" t="str">
        <f>IF(PNL!D1257="","",PNL!D1257)</f>
        <v/>
      </c>
      <c r="E1257" t="str">
        <f t="shared" si="76"/>
        <v/>
      </c>
      <c r="F1257" t="str">
        <f>IF($A1257="","",IF($E1257=1,SUMIFS(Compta!$F$1:$F$675,Compta!$A$1:$A$675,$A1257,Compta!$B$1:$B$675,$B1257,Compta!$C$1:$C$675,"2026"),0))</f>
        <v/>
      </c>
      <c r="G1257" t="str">
        <f>IF($A1257="","",IF($D1257="V01",cad!$C$23,IF($D1257="V02",cad!$D$23,cad!$E$23)))</f>
        <v/>
      </c>
      <c r="H1257" t="str">
        <f>IF($A1257="","",IF($D1257="V01",cad!$C$24,IF($D1257="V02",cad!$D$24,cad!$E$24)))</f>
        <v/>
      </c>
      <c r="I1257" t="str">
        <f>IF($A1257="","",IF($D1257="V01",cad!$C$32,IF($D1257="V02",cad!$D$32,cad!$E$32)))</f>
        <v/>
      </c>
      <c r="J1257" t="str">
        <f>IF($A1257="","",IF($D1257="V01",cad!$C$33,IF($D1257="V02",cad!$D$33,cad!$E$33)))</f>
        <v/>
      </c>
      <c r="K1257" t="str">
        <f>IF($A1257="","",IF($D1257="V01",cad!$C$34,IF($D1257="V02",cad!$D$34,cad!$E$34)))</f>
        <v/>
      </c>
      <c r="L1257" t="str">
        <f>IF($A1257="","",IF($D1257="V01",cad!$C$35,IF($D1257="V02",cad!$D$35,cad!$E$35)))</f>
        <v/>
      </c>
      <c r="M1257" t="str">
        <f>IF($A1257="","",IF($D1257="V01",cad!$C$36,IF($D1257="V02",cad!$D$36,cad!$E$36)))</f>
        <v/>
      </c>
      <c r="N1257" t="str">
        <f t="shared" si="77"/>
        <v/>
      </c>
      <c r="O1257" t="str">
        <f t="shared" si="78"/>
        <v/>
      </c>
      <c r="P1257" t="str">
        <f>IF($A1257="","",IF($E1257=1,$F1257*$O1257,PNL!G1257))</f>
        <v/>
      </c>
      <c r="T1257" t="str">
        <f t="shared" si="79"/>
        <v/>
      </c>
    </row>
    <row r="1258" spans="1:20" x14ac:dyDescent="0.45">
      <c r="A1258" t="str">
        <f>IF(PNL!A1258="","",PNL!A1258)</f>
        <v/>
      </c>
      <c r="B1258" t="str">
        <f>IF(PNL!B1258="","",PNL!B1258)</f>
        <v/>
      </c>
      <c r="C1258" t="str">
        <f>IF(PNL!C1258="","",PNL!C1258)</f>
        <v/>
      </c>
      <c r="D1258" t="str">
        <f>IF(PNL!D1258="","",PNL!D1258)</f>
        <v/>
      </c>
      <c r="E1258" t="str">
        <f t="shared" si="76"/>
        <v/>
      </c>
      <c r="F1258" t="str">
        <f>IF($A1258="","",IF($E1258=1,SUMIFS(Compta!$F$1:$F$675,Compta!$A$1:$A$675,$A1258,Compta!$B$1:$B$675,$B1258,Compta!$C$1:$C$675,"2026"),0))</f>
        <v/>
      </c>
      <c r="G1258" t="str">
        <f>IF($A1258="","",IF($D1258="V01",cad!$C$23,IF($D1258="V02",cad!$D$23,cad!$E$23)))</f>
        <v/>
      </c>
      <c r="H1258" t="str">
        <f>IF($A1258="","",IF($D1258="V01",cad!$C$24,IF($D1258="V02",cad!$D$24,cad!$E$24)))</f>
        <v/>
      </c>
      <c r="I1258" t="str">
        <f>IF($A1258="","",IF($D1258="V01",cad!$C$32,IF($D1258="V02",cad!$D$32,cad!$E$32)))</f>
        <v/>
      </c>
      <c r="J1258" t="str">
        <f>IF($A1258="","",IF($D1258="V01",cad!$C$33,IF($D1258="V02",cad!$D$33,cad!$E$33)))</f>
        <v/>
      </c>
      <c r="K1258" t="str">
        <f>IF($A1258="","",IF($D1258="V01",cad!$C$34,IF($D1258="V02",cad!$D$34,cad!$E$34)))</f>
        <v/>
      </c>
      <c r="L1258" t="str">
        <f>IF($A1258="","",IF($D1258="V01",cad!$C$35,IF($D1258="V02",cad!$D$35,cad!$E$35)))</f>
        <v/>
      </c>
      <c r="M1258" t="str">
        <f>IF($A1258="","",IF($D1258="V01",cad!$C$36,IF($D1258="V02",cad!$D$36,cad!$E$36)))</f>
        <v/>
      </c>
      <c r="N1258" t="str">
        <f t="shared" si="77"/>
        <v/>
      </c>
      <c r="O1258" t="str">
        <f t="shared" si="78"/>
        <v/>
      </c>
      <c r="P1258" t="str">
        <f>IF($A1258="","",IF($E1258=1,$F1258*$O1258,PNL!G1258))</f>
        <v/>
      </c>
      <c r="T1258" t="str">
        <f t="shared" si="79"/>
        <v/>
      </c>
    </row>
    <row r="1259" spans="1:20" x14ac:dyDescent="0.45">
      <c r="A1259" t="str">
        <f>IF(PNL!A1259="","",PNL!A1259)</f>
        <v/>
      </c>
      <c r="B1259" t="str">
        <f>IF(PNL!B1259="","",PNL!B1259)</f>
        <v/>
      </c>
      <c r="C1259" t="str">
        <f>IF(PNL!C1259="","",PNL!C1259)</f>
        <v/>
      </c>
      <c r="D1259" t="str">
        <f>IF(PNL!D1259="","",PNL!D1259)</f>
        <v/>
      </c>
      <c r="E1259" t="str">
        <f t="shared" si="76"/>
        <v/>
      </c>
      <c r="F1259" t="str">
        <f>IF($A1259="","",IF($E1259=1,SUMIFS(Compta!$F$1:$F$675,Compta!$A$1:$A$675,$A1259,Compta!$B$1:$B$675,$B1259,Compta!$C$1:$C$675,"2026"),0))</f>
        <v/>
      </c>
      <c r="G1259" t="str">
        <f>IF($A1259="","",IF($D1259="V01",cad!$C$23,IF($D1259="V02",cad!$D$23,cad!$E$23)))</f>
        <v/>
      </c>
      <c r="H1259" t="str">
        <f>IF($A1259="","",IF($D1259="V01",cad!$C$24,IF($D1259="V02",cad!$D$24,cad!$E$24)))</f>
        <v/>
      </c>
      <c r="I1259" t="str">
        <f>IF($A1259="","",IF($D1259="V01",cad!$C$32,IF($D1259="V02",cad!$D$32,cad!$E$32)))</f>
        <v/>
      </c>
      <c r="J1259" t="str">
        <f>IF($A1259="","",IF($D1259="V01",cad!$C$33,IF($D1259="V02",cad!$D$33,cad!$E$33)))</f>
        <v/>
      </c>
      <c r="K1259" t="str">
        <f>IF($A1259="","",IF($D1259="V01",cad!$C$34,IF($D1259="V02",cad!$D$34,cad!$E$34)))</f>
        <v/>
      </c>
      <c r="L1259" t="str">
        <f>IF($A1259="","",IF($D1259="V01",cad!$C$35,IF($D1259="V02",cad!$D$35,cad!$E$35)))</f>
        <v/>
      </c>
      <c r="M1259" t="str">
        <f>IF($A1259="","",IF($D1259="V01",cad!$C$36,IF($D1259="V02",cad!$D$36,cad!$E$36)))</f>
        <v/>
      </c>
      <c r="N1259" t="str">
        <f t="shared" si="77"/>
        <v/>
      </c>
      <c r="O1259" t="str">
        <f t="shared" si="78"/>
        <v/>
      </c>
      <c r="P1259" t="str">
        <f>IF($A1259="","",IF($E1259=1,$F1259*$O1259,PNL!G1259))</f>
        <v/>
      </c>
      <c r="T1259" t="str">
        <f t="shared" si="79"/>
        <v/>
      </c>
    </row>
    <row r="1260" spans="1:20" x14ac:dyDescent="0.45">
      <c r="A1260" t="str">
        <f>IF(PNL!A1260="","",PNL!A1260)</f>
        <v/>
      </c>
      <c r="B1260" t="str">
        <f>IF(PNL!B1260="","",PNL!B1260)</f>
        <v/>
      </c>
      <c r="C1260" t="str">
        <f>IF(PNL!C1260="","",PNL!C1260)</f>
        <v/>
      </c>
      <c r="D1260" t="str">
        <f>IF(PNL!D1260="","",PNL!D1260)</f>
        <v/>
      </c>
      <c r="E1260" t="str">
        <f t="shared" si="76"/>
        <v/>
      </c>
      <c r="F1260" t="str">
        <f>IF($A1260="","",IF($E1260=1,SUMIFS(Compta!$F$1:$F$675,Compta!$A$1:$A$675,$A1260,Compta!$B$1:$B$675,$B1260,Compta!$C$1:$C$675,"2026"),0))</f>
        <v/>
      </c>
      <c r="G1260" t="str">
        <f>IF($A1260="","",IF($D1260="V01",cad!$C$23,IF($D1260="V02",cad!$D$23,cad!$E$23)))</f>
        <v/>
      </c>
      <c r="H1260" t="str">
        <f>IF($A1260="","",IF($D1260="V01",cad!$C$24,IF($D1260="V02",cad!$D$24,cad!$E$24)))</f>
        <v/>
      </c>
      <c r="I1260" t="str">
        <f>IF($A1260="","",IF($D1260="V01",cad!$C$32,IF($D1260="V02",cad!$D$32,cad!$E$32)))</f>
        <v/>
      </c>
      <c r="J1260" t="str">
        <f>IF($A1260="","",IF($D1260="V01",cad!$C$33,IF($D1260="V02",cad!$D$33,cad!$E$33)))</f>
        <v/>
      </c>
      <c r="K1260" t="str">
        <f>IF($A1260="","",IF($D1260="V01",cad!$C$34,IF($D1260="V02",cad!$D$34,cad!$E$34)))</f>
        <v/>
      </c>
      <c r="L1260" t="str">
        <f>IF($A1260="","",IF($D1260="V01",cad!$C$35,IF($D1260="V02",cad!$D$35,cad!$E$35)))</f>
        <v/>
      </c>
      <c r="M1260" t="str">
        <f>IF($A1260="","",IF($D1260="V01",cad!$C$36,IF($D1260="V02",cad!$D$36,cad!$E$36)))</f>
        <v/>
      </c>
      <c r="N1260" t="str">
        <f t="shared" si="77"/>
        <v/>
      </c>
      <c r="O1260" t="str">
        <f t="shared" si="78"/>
        <v/>
      </c>
      <c r="P1260" t="str">
        <f>IF($A1260="","",IF($E1260=1,$F1260*$O1260,PNL!G1260))</f>
        <v/>
      </c>
      <c r="T1260" t="str">
        <f t="shared" si="79"/>
        <v/>
      </c>
    </row>
    <row r="1261" spans="1:20" x14ac:dyDescent="0.45">
      <c r="A1261" t="str">
        <f>IF(PNL!A1261="","",PNL!A1261)</f>
        <v/>
      </c>
      <c r="B1261" t="str">
        <f>IF(PNL!B1261="","",PNL!B1261)</f>
        <v/>
      </c>
      <c r="C1261" t="str">
        <f>IF(PNL!C1261="","",PNL!C1261)</f>
        <v/>
      </c>
      <c r="D1261" t="str">
        <f>IF(PNL!D1261="","",PNL!D1261)</f>
        <v/>
      </c>
      <c r="E1261" t="str">
        <f t="shared" si="76"/>
        <v/>
      </c>
      <c r="F1261" t="str">
        <f>IF($A1261="","",IF($E1261=1,SUMIFS(Compta!$F$1:$F$675,Compta!$A$1:$A$675,$A1261,Compta!$B$1:$B$675,$B1261,Compta!$C$1:$C$675,"2026"),0))</f>
        <v/>
      </c>
      <c r="G1261" t="str">
        <f>IF($A1261="","",IF($D1261="V01",cad!$C$23,IF($D1261="V02",cad!$D$23,cad!$E$23)))</f>
        <v/>
      </c>
      <c r="H1261" t="str">
        <f>IF($A1261="","",IF($D1261="V01",cad!$C$24,IF($D1261="V02",cad!$D$24,cad!$E$24)))</f>
        <v/>
      </c>
      <c r="I1261" t="str">
        <f>IF($A1261="","",IF($D1261="V01",cad!$C$32,IF($D1261="V02",cad!$D$32,cad!$E$32)))</f>
        <v/>
      </c>
      <c r="J1261" t="str">
        <f>IF($A1261="","",IF($D1261="V01",cad!$C$33,IF($D1261="V02",cad!$D$33,cad!$E$33)))</f>
        <v/>
      </c>
      <c r="K1261" t="str">
        <f>IF($A1261="","",IF($D1261="V01",cad!$C$34,IF($D1261="V02",cad!$D$34,cad!$E$34)))</f>
        <v/>
      </c>
      <c r="L1261" t="str">
        <f>IF($A1261="","",IF($D1261="V01",cad!$C$35,IF($D1261="V02",cad!$D$35,cad!$E$35)))</f>
        <v/>
      </c>
      <c r="M1261" t="str">
        <f>IF($A1261="","",IF($D1261="V01",cad!$C$36,IF($D1261="V02",cad!$D$36,cad!$E$36)))</f>
        <v/>
      </c>
      <c r="N1261" t="str">
        <f t="shared" si="77"/>
        <v/>
      </c>
      <c r="O1261" t="str">
        <f t="shared" si="78"/>
        <v/>
      </c>
      <c r="P1261" t="str">
        <f>IF($A1261="","",IF($E1261=1,$F1261*$O1261,PNL!G1261))</f>
        <v/>
      </c>
      <c r="T1261" t="str">
        <f t="shared" si="79"/>
        <v/>
      </c>
    </row>
    <row r="1262" spans="1:20" x14ac:dyDescent="0.45">
      <c r="A1262" t="str">
        <f>IF(PNL!A1262="","",PNL!A1262)</f>
        <v/>
      </c>
      <c r="B1262" t="str">
        <f>IF(PNL!B1262="","",PNL!B1262)</f>
        <v/>
      </c>
      <c r="C1262" t="str">
        <f>IF(PNL!C1262="","",PNL!C1262)</f>
        <v/>
      </c>
      <c r="D1262" t="str">
        <f>IF(PNL!D1262="","",PNL!D1262)</f>
        <v/>
      </c>
      <c r="E1262" t="str">
        <f t="shared" si="76"/>
        <v/>
      </c>
      <c r="F1262" t="str">
        <f>IF($A1262="","",IF($E1262=1,SUMIFS(Compta!$F$1:$F$675,Compta!$A$1:$A$675,$A1262,Compta!$B$1:$B$675,$B1262,Compta!$C$1:$C$675,"2026"),0))</f>
        <v/>
      </c>
      <c r="G1262" t="str">
        <f>IF($A1262="","",IF($D1262="V01",cad!$C$23,IF($D1262="V02",cad!$D$23,cad!$E$23)))</f>
        <v/>
      </c>
      <c r="H1262" t="str">
        <f>IF($A1262="","",IF($D1262="V01",cad!$C$24,IF($D1262="V02",cad!$D$24,cad!$E$24)))</f>
        <v/>
      </c>
      <c r="I1262" t="str">
        <f>IF($A1262="","",IF($D1262="V01",cad!$C$32,IF($D1262="V02",cad!$D$32,cad!$E$32)))</f>
        <v/>
      </c>
      <c r="J1262" t="str">
        <f>IF($A1262="","",IF($D1262="V01",cad!$C$33,IF($D1262="V02",cad!$D$33,cad!$E$33)))</f>
        <v/>
      </c>
      <c r="K1262" t="str">
        <f>IF($A1262="","",IF($D1262="V01",cad!$C$34,IF($D1262="V02",cad!$D$34,cad!$E$34)))</f>
        <v/>
      </c>
      <c r="L1262" t="str">
        <f>IF($A1262="","",IF($D1262="V01",cad!$C$35,IF($D1262="V02",cad!$D$35,cad!$E$35)))</f>
        <v/>
      </c>
      <c r="M1262" t="str">
        <f>IF($A1262="","",IF($D1262="V01",cad!$C$36,IF($D1262="V02",cad!$D$36,cad!$E$36)))</f>
        <v/>
      </c>
      <c r="N1262" t="str">
        <f t="shared" si="77"/>
        <v/>
      </c>
      <c r="O1262" t="str">
        <f t="shared" si="78"/>
        <v/>
      </c>
      <c r="P1262" t="str">
        <f>IF($A1262="","",IF($E1262=1,$F1262*$O1262,PNL!G1262))</f>
        <v/>
      </c>
      <c r="T1262" t="str">
        <f t="shared" si="79"/>
        <v/>
      </c>
    </row>
    <row r="1263" spans="1:20" x14ac:dyDescent="0.45">
      <c r="A1263" t="str">
        <f>IF(PNL!A1263="","",PNL!A1263)</f>
        <v/>
      </c>
      <c r="B1263" t="str">
        <f>IF(PNL!B1263="","",PNL!B1263)</f>
        <v/>
      </c>
      <c r="C1263" t="str">
        <f>IF(PNL!C1263="","",PNL!C1263)</f>
        <v/>
      </c>
      <c r="D1263" t="str">
        <f>IF(PNL!D1263="","",PNL!D1263)</f>
        <v/>
      </c>
      <c r="E1263" t="str">
        <f t="shared" si="76"/>
        <v/>
      </c>
      <c r="F1263" t="str">
        <f>IF($A1263="","",IF($E1263=1,SUMIFS(Compta!$F$1:$F$675,Compta!$A$1:$A$675,$A1263,Compta!$B$1:$B$675,$B1263,Compta!$C$1:$C$675,"2026"),0))</f>
        <v/>
      </c>
      <c r="G1263" t="str">
        <f>IF($A1263="","",IF($D1263="V01",cad!$C$23,IF($D1263="V02",cad!$D$23,cad!$E$23)))</f>
        <v/>
      </c>
      <c r="H1263" t="str">
        <f>IF($A1263="","",IF($D1263="V01",cad!$C$24,IF($D1263="V02",cad!$D$24,cad!$E$24)))</f>
        <v/>
      </c>
      <c r="I1263" t="str">
        <f>IF($A1263="","",IF($D1263="V01",cad!$C$32,IF($D1263="V02",cad!$D$32,cad!$E$32)))</f>
        <v/>
      </c>
      <c r="J1263" t="str">
        <f>IF($A1263="","",IF($D1263="V01",cad!$C$33,IF($D1263="V02",cad!$D$33,cad!$E$33)))</f>
        <v/>
      </c>
      <c r="K1263" t="str">
        <f>IF($A1263="","",IF($D1263="V01",cad!$C$34,IF($D1263="V02",cad!$D$34,cad!$E$34)))</f>
        <v/>
      </c>
      <c r="L1263" t="str">
        <f>IF($A1263="","",IF($D1263="V01",cad!$C$35,IF($D1263="V02",cad!$D$35,cad!$E$35)))</f>
        <v/>
      </c>
      <c r="M1263" t="str">
        <f>IF($A1263="","",IF($D1263="V01",cad!$C$36,IF($D1263="V02",cad!$D$36,cad!$E$36)))</f>
        <v/>
      </c>
      <c r="N1263" t="str">
        <f t="shared" si="77"/>
        <v/>
      </c>
      <c r="O1263" t="str">
        <f t="shared" si="78"/>
        <v/>
      </c>
      <c r="P1263" t="str">
        <f>IF($A1263="","",IF($E1263=1,$F1263*$O1263,PNL!G1263))</f>
        <v/>
      </c>
      <c r="T1263" t="str">
        <f t="shared" si="79"/>
        <v/>
      </c>
    </row>
    <row r="1264" spans="1:20" x14ac:dyDescent="0.45">
      <c r="A1264" t="str">
        <f>IF(PNL!A1264="","",PNL!A1264)</f>
        <v/>
      </c>
      <c r="B1264" t="str">
        <f>IF(PNL!B1264="","",PNL!B1264)</f>
        <v/>
      </c>
      <c r="C1264" t="str">
        <f>IF(PNL!C1264="","",PNL!C1264)</f>
        <v/>
      </c>
      <c r="D1264" t="str">
        <f>IF(PNL!D1264="","",PNL!D1264)</f>
        <v/>
      </c>
      <c r="E1264" t="str">
        <f t="shared" si="76"/>
        <v/>
      </c>
      <c r="F1264" t="str">
        <f>IF($A1264="","",IF($E1264=1,SUMIFS(Compta!$F$1:$F$675,Compta!$A$1:$A$675,$A1264,Compta!$B$1:$B$675,$B1264,Compta!$C$1:$C$675,"2026"),0))</f>
        <v/>
      </c>
      <c r="G1264" t="str">
        <f>IF($A1264="","",IF($D1264="V01",cad!$C$23,IF($D1264="V02",cad!$D$23,cad!$E$23)))</f>
        <v/>
      </c>
      <c r="H1264" t="str">
        <f>IF($A1264="","",IF($D1264="V01",cad!$C$24,IF($D1264="V02",cad!$D$24,cad!$E$24)))</f>
        <v/>
      </c>
      <c r="I1264" t="str">
        <f>IF($A1264="","",IF($D1264="V01",cad!$C$32,IF($D1264="V02",cad!$D$32,cad!$E$32)))</f>
        <v/>
      </c>
      <c r="J1264" t="str">
        <f>IF($A1264="","",IF($D1264="V01",cad!$C$33,IF($D1264="V02",cad!$D$33,cad!$E$33)))</f>
        <v/>
      </c>
      <c r="K1264" t="str">
        <f>IF($A1264="","",IF($D1264="V01",cad!$C$34,IF($D1264="V02",cad!$D$34,cad!$E$34)))</f>
        <v/>
      </c>
      <c r="L1264" t="str">
        <f>IF($A1264="","",IF($D1264="V01",cad!$C$35,IF($D1264="V02",cad!$D$35,cad!$E$35)))</f>
        <v/>
      </c>
      <c r="M1264" t="str">
        <f>IF($A1264="","",IF($D1264="V01",cad!$C$36,IF($D1264="V02",cad!$D$36,cad!$E$36)))</f>
        <v/>
      </c>
      <c r="N1264" t="str">
        <f t="shared" si="77"/>
        <v/>
      </c>
      <c r="O1264" t="str">
        <f t="shared" si="78"/>
        <v/>
      </c>
      <c r="P1264" t="str">
        <f>IF($A1264="","",IF($E1264=1,$F1264*$O1264,PNL!G1264))</f>
        <v/>
      </c>
      <c r="T1264" t="str">
        <f t="shared" si="79"/>
        <v/>
      </c>
    </row>
    <row r="1265" spans="1:20" x14ac:dyDescent="0.45">
      <c r="A1265" t="str">
        <f>IF(PNL!A1265="","",PNL!A1265)</f>
        <v/>
      </c>
      <c r="B1265" t="str">
        <f>IF(PNL!B1265="","",PNL!B1265)</f>
        <v/>
      </c>
      <c r="C1265" t="str">
        <f>IF(PNL!C1265="","",PNL!C1265)</f>
        <v/>
      </c>
      <c r="D1265" t="str">
        <f>IF(PNL!D1265="","",PNL!D1265)</f>
        <v/>
      </c>
      <c r="E1265" t="str">
        <f t="shared" si="76"/>
        <v/>
      </c>
      <c r="F1265" t="str">
        <f>IF($A1265="","",IF($E1265=1,SUMIFS(Compta!$F$1:$F$675,Compta!$A$1:$A$675,$A1265,Compta!$B$1:$B$675,$B1265,Compta!$C$1:$C$675,"2026"),0))</f>
        <v/>
      </c>
      <c r="G1265" t="str">
        <f>IF($A1265="","",IF($D1265="V01",cad!$C$23,IF($D1265="V02",cad!$D$23,cad!$E$23)))</f>
        <v/>
      </c>
      <c r="H1265" t="str">
        <f>IF($A1265="","",IF($D1265="V01",cad!$C$24,IF($D1265="V02",cad!$D$24,cad!$E$24)))</f>
        <v/>
      </c>
      <c r="I1265" t="str">
        <f>IF($A1265="","",IF($D1265="V01",cad!$C$32,IF($D1265="V02",cad!$D$32,cad!$E$32)))</f>
        <v/>
      </c>
      <c r="J1265" t="str">
        <f>IF($A1265="","",IF($D1265="V01",cad!$C$33,IF($D1265="V02",cad!$D$33,cad!$E$33)))</f>
        <v/>
      </c>
      <c r="K1265" t="str">
        <f>IF($A1265="","",IF($D1265="V01",cad!$C$34,IF($D1265="V02",cad!$D$34,cad!$E$34)))</f>
        <v/>
      </c>
      <c r="L1265" t="str">
        <f>IF($A1265="","",IF($D1265="V01",cad!$C$35,IF($D1265="V02",cad!$D$35,cad!$E$35)))</f>
        <v/>
      </c>
      <c r="M1265" t="str">
        <f>IF($A1265="","",IF($D1265="V01",cad!$C$36,IF($D1265="V02",cad!$D$36,cad!$E$36)))</f>
        <v/>
      </c>
      <c r="N1265" t="str">
        <f t="shared" si="77"/>
        <v/>
      </c>
      <c r="O1265" t="str">
        <f t="shared" si="78"/>
        <v/>
      </c>
      <c r="P1265" t="str">
        <f>IF($A1265="","",IF($E1265=1,$F1265*$O1265,PNL!G1265))</f>
        <v/>
      </c>
      <c r="T1265" t="str">
        <f t="shared" si="79"/>
        <v/>
      </c>
    </row>
    <row r="1266" spans="1:20" x14ac:dyDescent="0.45">
      <c r="A1266" t="str">
        <f>IF(PNL!A1266="","",PNL!A1266)</f>
        <v/>
      </c>
      <c r="B1266" t="str">
        <f>IF(PNL!B1266="","",PNL!B1266)</f>
        <v/>
      </c>
      <c r="C1266" t="str">
        <f>IF(PNL!C1266="","",PNL!C1266)</f>
        <v/>
      </c>
      <c r="D1266" t="str">
        <f>IF(PNL!D1266="","",PNL!D1266)</f>
        <v/>
      </c>
      <c r="E1266" t="str">
        <f t="shared" si="76"/>
        <v/>
      </c>
      <c r="F1266" t="str">
        <f>IF($A1266="","",IF($E1266=1,SUMIFS(Compta!$F$1:$F$675,Compta!$A$1:$A$675,$A1266,Compta!$B$1:$B$675,$B1266,Compta!$C$1:$C$675,"2026"),0))</f>
        <v/>
      </c>
      <c r="G1266" t="str">
        <f>IF($A1266="","",IF($D1266="V01",cad!$C$23,IF($D1266="V02",cad!$D$23,cad!$E$23)))</f>
        <v/>
      </c>
      <c r="H1266" t="str">
        <f>IF($A1266="","",IF($D1266="V01",cad!$C$24,IF($D1266="V02",cad!$D$24,cad!$E$24)))</f>
        <v/>
      </c>
      <c r="I1266" t="str">
        <f>IF($A1266="","",IF($D1266="V01",cad!$C$32,IF($D1266="V02",cad!$D$32,cad!$E$32)))</f>
        <v/>
      </c>
      <c r="J1266" t="str">
        <f>IF($A1266="","",IF($D1266="V01",cad!$C$33,IF($D1266="V02",cad!$D$33,cad!$E$33)))</f>
        <v/>
      </c>
      <c r="K1266" t="str">
        <f>IF($A1266="","",IF($D1266="V01",cad!$C$34,IF($D1266="V02",cad!$D$34,cad!$E$34)))</f>
        <v/>
      </c>
      <c r="L1266" t="str">
        <f>IF($A1266="","",IF($D1266="V01",cad!$C$35,IF($D1266="V02",cad!$D$35,cad!$E$35)))</f>
        <v/>
      </c>
      <c r="M1266" t="str">
        <f>IF($A1266="","",IF($D1266="V01",cad!$C$36,IF($D1266="V02",cad!$D$36,cad!$E$36)))</f>
        <v/>
      </c>
      <c r="N1266" t="str">
        <f t="shared" si="77"/>
        <v/>
      </c>
      <c r="O1266" t="str">
        <f t="shared" si="78"/>
        <v/>
      </c>
      <c r="P1266" t="str">
        <f>IF($A1266="","",IF($E1266=1,$F1266*$O1266,PNL!G1266))</f>
        <v/>
      </c>
      <c r="T1266" t="str">
        <f t="shared" si="79"/>
        <v/>
      </c>
    </row>
    <row r="1267" spans="1:20" x14ac:dyDescent="0.45">
      <c r="A1267" t="str">
        <f>IF(PNL!A1267="","",PNL!A1267)</f>
        <v/>
      </c>
      <c r="B1267" t="str">
        <f>IF(PNL!B1267="","",PNL!B1267)</f>
        <v/>
      </c>
      <c r="C1267" t="str">
        <f>IF(PNL!C1267="","",PNL!C1267)</f>
        <v/>
      </c>
      <c r="D1267" t="str">
        <f>IF(PNL!D1267="","",PNL!D1267)</f>
        <v/>
      </c>
      <c r="E1267" t="str">
        <f t="shared" si="76"/>
        <v/>
      </c>
      <c r="F1267" t="str">
        <f>IF($A1267="","",IF($E1267=1,SUMIFS(Compta!$F$1:$F$675,Compta!$A$1:$A$675,$A1267,Compta!$B$1:$B$675,$B1267,Compta!$C$1:$C$675,"2026"),0))</f>
        <v/>
      </c>
      <c r="G1267" t="str">
        <f>IF($A1267="","",IF($D1267="V01",cad!$C$23,IF($D1267="V02",cad!$D$23,cad!$E$23)))</f>
        <v/>
      </c>
      <c r="H1267" t="str">
        <f>IF($A1267="","",IF($D1267="V01",cad!$C$24,IF($D1267="V02",cad!$D$24,cad!$E$24)))</f>
        <v/>
      </c>
      <c r="I1267" t="str">
        <f>IF($A1267="","",IF($D1267="V01",cad!$C$32,IF($D1267="V02",cad!$D$32,cad!$E$32)))</f>
        <v/>
      </c>
      <c r="J1267" t="str">
        <f>IF($A1267="","",IF($D1267="V01",cad!$C$33,IF($D1267="V02",cad!$D$33,cad!$E$33)))</f>
        <v/>
      </c>
      <c r="K1267" t="str">
        <f>IF($A1267="","",IF($D1267="V01",cad!$C$34,IF($D1267="V02",cad!$D$34,cad!$E$34)))</f>
        <v/>
      </c>
      <c r="L1267" t="str">
        <f>IF($A1267="","",IF($D1267="V01",cad!$C$35,IF($D1267="V02",cad!$D$35,cad!$E$35)))</f>
        <v/>
      </c>
      <c r="M1267" t="str">
        <f>IF($A1267="","",IF($D1267="V01",cad!$C$36,IF($D1267="V02",cad!$D$36,cad!$E$36)))</f>
        <v/>
      </c>
      <c r="N1267" t="str">
        <f t="shared" si="77"/>
        <v/>
      </c>
      <c r="O1267" t="str">
        <f t="shared" si="78"/>
        <v/>
      </c>
      <c r="P1267" t="str">
        <f>IF($A1267="","",IF($E1267=1,$F1267*$O1267,PNL!G1267))</f>
        <v/>
      </c>
      <c r="T1267" t="str">
        <f t="shared" si="79"/>
        <v/>
      </c>
    </row>
    <row r="1268" spans="1:20" x14ac:dyDescent="0.45">
      <c r="A1268" t="str">
        <f>IF(PNL!A1268="","",PNL!A1268)</f>
        <v/>
      </c>
      <c r="B1268" t="str">
        <f>IF(PNL!B1268="","",PNL!B1268)</f>
        <v/>
      </c>
      <c r="C1268" t="str">
        <f>IF(PNL!C1268="","",PNL!C1268)</f>
        <v/>
      </c>
      <c r="D1268" t="str">
        <f>IF(PNL!D1268="","",PNL!D1268)</f>
        <v/>
      </c>
      <c r="E1268" t="str">
        <f t="shared" si="76"/>
        <v/>
      </c>
      <c r="F1268" t="str">
        <f>IF($A1268="","",IF($E1268=1,SUMIFS(Compta!$F$1:$F$675,Compta!$A$1:$A$675,$A1268,Compta!$B$1:$B$675,$B1268,Compta!$C$1:$C$675,"2026"),0))</f>
        <v/>
      </c>
      <c r="G1268" t="str">
        <f>IF($A1268="","",IF($D1268="V01",cad!$C$23,IF($D1268="V02",cad!$D$23,cad!$E$23)))</f>
        <v/>
      </c>
      <c r="H1268" t="str">
        <f>IF($A1268="","",IF($D1268="V01",cad!$C$24,IF($D1268="V02",cad!$D$24,cad!$E$24)))</f>
        <v/>
      </c>
      <c r="I1268" t="str">
        <f>IF($A1268="","",IF($D1268="V01",cad!$C$32,IF($D1268="V02",cad!$D$32,cad!$E$32)))</f>
        <v/>
      </c>
      <c r="J1268" t="str">
        <f>IF($A1268="","",IF($D1268="V01",cad!$C$33,IF($D1268="V02",cad!$D$33,cad!$E$33)))</f>
        <v/>
      </c>
      <c r="K1268" t="str">
        <f>IF($A1268="","",IF($D1268="V01",cad!$C$34,IF($D1268="V02",cad!$D$34,cad!$E$34)))</f>
        <v/>
      </c>
      <c r="L1268" t="str">
        <f>IF($A1268="","",IF($D1268="V01",cad!$C$35,IF($D1268="V02",cad!$D$35,cad!$E$35)))</f>
        <v/>
      </c>
      <c r="M1268" t="str">
        <f>IF($A1268="","",IF($D1268="V01",cad!$C$36,IF($D1268="V02",cad!$D$36,cad!$E$36)))</f>
        <v/>
      </c>
      <c r="N1268" t="str">
        <f t="shared" si="77"/>
        <v/>
      </c>
      <c r="O1268" t="str">
        <f t="shared" si="78"/>
        <v/>
      </c>
      <c r="P1268" t="str">
        <f>IF($A1268="","",IF($E1268=1,$F1268*$O1268,PNL!G1268))</f>
        <v/>
      </c>
      <c r="T1268" t="str">
        <f t="shared" si="79"/>
        <v/>
      </c>
    </row>
    <row r="1269" spans="1:20" x14ac:dyDescent="0.45">
      <c r="A1269" t="str">
        <f>IF(PNL!A1269="","",PNL!A1269)</f>
        <v/>
      </c>
      <c r="B1269" t="str">
        <f>IF(PNL!B1269="","",PNL!B1269)</f>
        <v/>
      </c>
      <c r="C1269" t="str">
        <f>IF(PNL!C1269="","",PNL!C1269)</f>
        <v/>
      </c>
      <c r="D1269" t="str">
        <f>IF(PNL!D1269="","",PNL!D1269)</f>
        <v/>
      </c>
      <c r="E1269" t="str">
        <f t="shared" si="76"/>
        <v/>
      </c>
      <c r="F1269" t="str">
        <f>IF($A1269="","",IF($E1269=1,SUMIFS(Compta!$F$1:$F$675,Compta!$A$1:$A$675,$A1269,Compta!$B$1:$B$675,$B1269,Compta!$C$1:$C$675,"2026"),0))</f>
        <v/>
      </c>
      <c r="G1269" t="str">
        <f>IF($A1269="","",IF($D1269="V01",cad!$C$23,IF($D1269="V02",cad!$D$23,cad!$E$23)))</f>
        <v/>
      </c>
      <c r="H1269" t="str">
        <f>IF($A1269="","",IF($D1269="V01",cad!$C$24,IF($D1269="V02",cad!$D$24,cad!$E$24)))</f>
        <v/>
      </c>
      <c r="I1269" t="str">
        <f>IF($A1269="","",IF($D1269="V01",cad!$C$32,IF($D1269="V02",cad!$D$32,cad!$E$32)))</f>
        <v/>
      </c>
      <c r="J1269" t="str">
        <f>IF($A1269="","",IF($D1269="V01",cad!$C$33,IF($D1269="V02",cad!$D$33,cad!$E$33)))</f>
        <v/>
      </c>
      <c r="K1269" t="str">
        <f>IF($A1269="","",IF($D1269="V01",cad!$C$34,IF($D1269="V02",cad!$D$34,cad!$E$34)))</f>
        <v/>
      </c>
      <c r="L1269" t="str">
        <f>IF($A1269="","",IF($D1269="V01",cad!$C$35,IF($D1269="V02",cad!$D$35,cad!$E$35)))</f>
        <v/>
      </c>
      <c r="M1269" t="str">
        <f>IF($A1269="","",IF($D1269="V01",cad!$C$36,IF($D1269="V02",cad!$D$36,cad!$E$36)))</f>
        <v/>
      </c>
      <c r="N1269" t="str">
        <f t="shared" si="77"/>
        <v/>
      </c>
      <c r="O1269" t="str">
        <f t="shared" si="78"/>
        <v/>
      </c>
      <c r="P1269" t="str">
        <f>IF($A1269="","",IF($E1269=1,$F1269*$O1269,PNL!G1269))</f>
        <v/>
      </c>
      <c r="T1269" t="str">
        <f t="shared" si="79"/>
        <v/>
      </c>
    </row>
    <row r="1270" spans="1:20" x14ac:dyDescent="0.45">
      <c r="A1270" t="str">
        <f>IF(PNL!A1270="","",PNL!A1270)</f>
        <v/>
      </c>
      <c r="B1270" t="str">
        <f>IF(PNL!B1270="","",PNL!B1270)</f>
        <v/>
      </c>
      <c r="C1270" t="str">
        <f>IF(PNL!C1270="","",PNL!C1270)</f>
        <v/>
      </c>
      <c r="D1270" t="str">
        <f>IF(PNL!D1270="","",PNL!D1270)</f>
        <v/>
      </c>
      <c r="E1270" t="str">
        <f t="shared" si="76"/>
        <v/>
      </c>
      <c r="F1270" t="str">
        <f>IF($A1270="","",IF($E1270=1,SUMIFS(Compta!$F$1:$F$675,Compta!$A$1:$A$675,$A1270,Compta!$B$1:$B$675,$B1270,Compta!$C$1:$C$675,"2026"),0))</f>
        <v/>
      </c>
      <c r="G1270" t="str">
        <f>IF($A1270="","",IF($D1270="V01",cad!$C$23,IF($D1270="V02",cad!$D$23,cad!$E$23)))</f>
        <v/>
      </c>
      <c r="H1270" t="str">
        <f>IF($A1270="","",IF($D1270="V01",cad!$C$24,IF($D1270="V02",cad!$D$24,cad!$E$24)))</f>
        <v/>
      </c>
      <c r="I1270" t="str">
        <f>IF($A1270="","",IF($D1270="V01",cad!$C$32,IF($D1270="V02",cad!$D$32,cad!$E$32)))</f>
        <v/>
      </c>
      <c r="J1270" t="str">
        <f>IF($A1270="","",IF($D1270="V01",cad!$C$33,IF($D1270="V02",cad!$D$33,cad!$E$33)))</f>
        <v/>
      </c>
      <c r="K1270" t="str">
        <f>IF($A1270="","",IF($D1270="V01",cad!$C$34,IF($D1270="V02",cad!$D$34,cad!$E$34)))</f>
        <v/>
      </c>
      <c r="L1270" t="str">
        <f>IF($A1270="","",IF($D1270="V01",cad!$C$35,IF($D1270="V02",cad!$D$35,cad!$E$35)))</f>
        <v/>
      </c>
      <c r="M1270" t="str">
        <f>IF($A1270="","",IF($D1270="V01",cad!$C$36,IF($D1270="V02",cad!$D$36,cad!$E$36)))</f>
        <v/>
      </c>
      <c r="N1270" t="str">
        <f t="shared" si="77"/>
        <v/>
      </c>
      <c r="O1270" t="str">
        <f t="shared" si="78"/>
        <v/>
      </c>
      <c r="P1270" t="str">
        <f>IF($A1270="","",IF($E1270=1,$F1270*$O1270,PNL!G1270))</f>
        <v/>
      </c>
      <c r="T1270" t="str">
        <f t="shared" si="79"/>
        <v/>
      </c>
    </row>
    <row r="1271" spans="1:20" x14ac:dyDescent="0.45">
      <c r="A1271" t="str">
        <f>IF(PNL!A1271="","",PNL!A1271)</f>
        <v/>
      </c>
      <c r="B1271" t="str">
        <f>IF(PNL!B1271="","",PNL!B1271)</f>
        <v/>
      </c>
      <c r="C1271" t="str">
        <f>IF(PNL!C1271="","",PNL!C1271)</f>
        <v/>
      </c>
      <c r="D1271" t="str">
        <f>IF(PNL!D1271="","",PNL!D1271)</f>
        <v/>
      </c>
      <c r="E1271" t="str">
        <f t="shared" si="76"/>
        <v/>
      </c>
      <c r="F1271" t="str">
        <f>IF($A1271="","",IF($E1271=1,SUMIFS(Compta!$F$1:$F$675,Compta!$A$1:$A$675,$A1271,Compta!$B$1:$B$675,$B1271,Compta!$C$1:$C$675,"2026"),0))</f>
        <v/>
      </c>
      <c r="G1271" t="str">
        <f>IF($A1271="","",IF($D1271="V01",cad!$C$23,IF($D1271="V02",cad!$D$23,cad!$E$23)))</f>
        <v/>
      </c>
      <c r="H1271" t="str">
        <f>IF($A1271="","",IF($D1271="V01",cad!$C$24,IF($D1271="V02",cad!$D$24,cad!$E$24)))</f>
        <v/>
      </c>
      <c r="I1271" t="str">
        <f>IF($A1271="","",IF($D1271="V01",cad!$C$32,IF($D1271="V02",cad!$D$32,cad!$E$32)))</f>
        <v/>
      </c>
      <c r="J1271" t="str">
        <f>IF($A1271="","",IF($D1271="V01",cad!$C$33,IF($D1271="V02",cad!$D$33,cad!$E$33)))</f>
        <v/>
      </c>
      <c r="K1271" t="str">
        <f>IF($A1271="","",IF($D1271="V01",cad!$C$34,IF($D1271="V02",cad!$D$34,cad!$E$34)))</f>
        <v/>
      </c>
      <c r="L1271" t="str">
        <f>IF($A1271="","",IF($D1271="V01",cad!$C$35,IF($D1271="V02",cad!$D$35,cad!$E$35)))</f>
        <v/>
      </c>
      <c r="M1271" t="str">
        <f>IF($A1271="","",IF($D1271="V01",cad!$C$36,IF($D1271="V02",cad!$D$36,cad!$E$36)))</f>
        <v/>
      </c>
      <c r="N1271" t="str">
        <f t="shared" si="77"/>
        <v/>
      </c>
      <c r="O1271" t="str">
        <f t="shared" si="78"/>
        <v/>
      </c>
      <c r="P1271" t="str">
        <f>IF($A1271="","",IF($E1271=1,$F1271*$O1271,PNL!G1271))</f>
        <v/>
      </c>
      <c r="T1271" t="str">
        <f t="shared" si="79"/>
        <v/>
      </c>
    </row>
    <row r="1272" spans="1:20" x14ac:dyDescent="0.45">
      <c r="A1272" t="str">
        <f>IF(PNL!A1272="","",PNL!A1272)</f>
        <v/>
      </c>
      <c r="B1272" t="str">
        <f>IF(PNL!B1272="","",PNL!B1272)</f>
        <v/>
      </c>
      <c r="C1272" t="str">
        <f>IF(PNL!C1272="","",PNL!C1272)</f>
        <v/>
      </c>
      <c r="D1272" t="str">
        <f>IF(PNL!D1272="","",PNL!D1272)</f>
        <v/>
      </c>
      <c r="E1272" t="str">
        <f t="shared" si="76"/>
        <v/>
      </c>
      <c r="F1272" t="str">
        <f>IF($A1272="","",IF($E1272=1,SUMIFS(Compta!$F$1:$F$675,Compta!$A$1:$A$675,$A1272,Compta!$B$1:$B$675,$B1272,Compta!$C$1:$C$675,"2026"),0))</f>
        <v/>
      </c>
      <c r="G1272" t="str">
        <f>IF($A1272="","",IF($D1272="V01",cad!$C$23,IF($D1272="V02",cad!$D$23,cad!$E$23)))</f>
        <v/>
      </c>
      <c r="H1272" t="str">
        <f>IF($A1272="","",IF($D1272="V01",cad!$C$24,IF($D1272="V02",cad!$D$24,cad!$E$24)))</f>
        <v/>
      </c>
      <c r="I1272" t="str">
        <f>IF($A1272="","",IF($D1272="V01",cad!$C$32,IF($D1272="V02",cad!$D$32,cad!$E$32)))</f>
        <v/>
      </c>
      <c r="J1272" t="str">
        <f>IF($A1272="","",IF($D1272="V01",cad!$C$33,IF($D1272="V02",cad!$D$33,cad!$E$33)))</f>
        <v/>
      </c>
      <c r="K1272" t="str">
        <f>IF($A1272="","",IF($D1272="V01",cad!$C$34,IF($D1272="V02",cad!$D$34,cad!$E$34)))</f>
        <v/>
      </c>
      <c r="L1272" t="str">
        <f>IF($A1272="","",IF($D1272="V01",cad!$C$35,IF($D1272="V02",cad!$D$35,cad!$E$35)))</f>
        <v/>
      </c>
      <c r="M1272" t="str">
        <f>IF($A1272="","",IF($D1272="V01",cad!$C$36,IF($D1272="V02",cad!$D$36,cad!$E$36)))</f>
        <v/>
      </c>
      <c r="N1272" t="str">
        <f t="shared" si="77"/>
        <v/>
      </c>
      <c r="O1272" t="str">
        <f t="shared" si="78"/>
        <v/>
      </c>
      <c r="P1272" t="str">
        <f>IF($A1272="","",IF($E1272=1,$F1272*$O1272,PNL!G1272))</f>
        <v/>
      </c>
      <c r="T1272" t="str">
        <f t="shared" si="79"/>
        <v/>
      </c>
    </row>
    <row r="1273" spans="1:20" x14ac:dyDescent="0.45">
      <c r="A1273" t="str">
        <f>IF(PNL!A1273="","",PNL!A1273)</f>
        <v/>
      </c>
      <c r="B1273" t="str">
        <f>IF(PNL!B1273="","",PNL!B1273)</f>
        <v/>
      </c>
      <c r="C1273" t="str">
        <f>IF(PNL!C1273="","",PNL!C1273)</f>
        <v/>
      </c>
      <c r="D1273" t="str">
        <f>IF(PNL!D1273="","",PNL!D1273)</f>
        <v/>
      </c>
      <c r="E1273" t="str">
        <f t="shared" si="76"/>
        <v/>
      </c>
      <c r="F1273" t="str">
        <f>IF($A1273="","",IF($E1273=1,SUMIFS(Compta!$F$1:$F$675,Compta!$A$1:$A$675,$A1273,Compta!$B$1:$B$675,$B1273,Compta!$C$1:$C$675,"2026"),0))</f>
        <v/>
      </c>
      <c r="G1273" t="str">
        <f>IF($A1273="","",IF($D1273="V01",cad!$C$23,IF($D1273="V02",cad!$D$23,cad!$E$23)))</f>
        <v/>
      </c>
      <c r="H1273" t="str">
        <f>IF($A1273="","",IF($D1273="V01",cad!$C$24,IF($D1273="V02",cad!$D$24,cad!$E$24)))</f>
        <v/>
      </c>
      <c r="I1273" t="str">
        <f>IF($A1273="","",IF($D1273="V01",cad!$C$32,IF($D1273="V02",cad!$D$32,cad!$E$32)))</f>
        <v/>
      </c>
      <c r="J1273" t="str">
        <f>IF($A1273="","",IF($D1273="V01",cad!$C$33,IF($D1273="V02",cad!$D$33,cad!$E$33)))</f>
        <v/>
      </c>
      <c r="K1273" t="str">
        <f>IF($A1273="","",IF($D1273="V01",cad!$C$34,IF($D1273="V02",cad!$D$34,cad!$E$34)))</f>
        <v/>
      </c>
      <c r="L1273" t="str">
        <f>IF($A1273="","",IF($D1273="V01",cad!$C$35,IF($D1273="V02",cad!$D$35,cad!$E$35)))</f>
        <v/>
      </c>
      <c r="M1273" t="str">
        <f>IF($A1273="","",IF($D1273="V01",cad!$C$36,IF($D1273="V02",cad!$D$36,cad!$E$36)))</f>
        <v/>
      </c>
      <c r="N1273" t="str">
        <f t="shared" si="77"/>
        <v/>
      </c>
      <c r="O1273" t="str">
        <f t="shared" si="78"/>
        <v/>
      </c>
      <c r="P1273" t="str">
        <f>IF($A1273="","",IF($E1273=1,$F1273*$O1273,PNL!G1273))</f>
        <v/>
      </c>
      <c r="T1273" t="str">
        <f t="shared" si="79"/>
        <v/>
      </c>
    </row>
    <row r="1274" spans="1:20" x14ac:dyDescent="0.45">
      <c r="A1274" t="str">
        <f>IF(PNL!A1274="","",PNL!A1274)</f>
        <v/>
      </c>
      <c r="B1274" t="str">
        <f>IF(PNL!B1274="","",PNL!B1274)</f>
        <v/>
      </c>
      <c r="C1274" t="str">
        <f>IF(PNL!C1274="","",PNL!C1274)</f>
        <v/>
      </c>
      <c r="D1274" t="str">
        <f>IF(PNL!D1274="","",PNL!D1274)</f>
        <v/>
      </c>
      <c r="E1274" t="str">
        <f t="shared" si="76"/>
        <v/>
      </c>
      <c r="F1274" t="str">
        <f>IF($A1274="","",IF($E1274=1,SUMIFS(Compta!$F$1:$F$675,Compta!$A$1:$A$675,$A1274,Compta!$B$1:$B$675,$B1274,Compta!$C$1:$C$675,"2026"),0))</f>
        <v/>
      </c>
      <c r="G1274" t="str">
        <f>IF($A1274="","",IF($D1274="V01",cad!$C$23,IF($D1274="V02",cad!$D$23,cad!$E$23)))</f>
        <v/>
      </c>
      <c r="H1274" t="str">
        <f>IF($A1274="","",IF($D1274="V01",cad!$C$24,IF($D1274="V02",cad!$D$24,cad!$E$24)))</f>
        <v/>
      </c>
      <c r="I1274" t="str">
        <f>IF($A1274="","",IF($D1274="V01",cad!$C$32,IF($D1274="V02",cad!$D$32,cad!$E$32)))</f>
        <v/>
      </c>
      <c r="J1274" t="str">
        <f>IF($A1274="","",IF($D1274="V01",cad!$C$33,IF($D1274="V02",cad!$D$33,cad!$E$33)))</f>
        <v/>
      </c>
      <c r="K1274" t="str">
        <f>IF($A1274="","",IF($D1274="V01",cad!$C$34,IF($D1274="V02",cad!$D$34,cad!$E$34)))</f>
        <v/>
      </c>
      <c r="L1274" t="str">
        <f>IF($A1274="","",IF($D1274="V01",cad!$C$35,IF($D1274="V02",cad!$D$35,cad!$E$35)))</f>
        <v/>
      </c>
      <c r="M1274" t="str">
        <f>IF($A1274="","",IF($D1274="V01",cad!$C$36,IF($D1274="V02",cad!$D$36,cad!$E$36)))</f>
        <v/>
      </c>
      <c r="N1274" t="str">
        <f t="shared" si="77"/>
        <v/>
      </c>
      <c r="O1274" t="str">
        <f t="shared" si="78"/>
        <v/>
      </c>
      <c r="P1274" t="str">
        <f>IF($A1274="","",IF($E1274=1,$F1274*$O1274,PNL!G1274))</f>
        <v/>
      </c>
      <c r="T1274" t="str">
        <f t="shared" si="79"/>
        <v/>
      </c>
    </row>
    <row r="1275" spans="1:20" x14ac:dyDescent="0.45">
      <c r="A1275" t="str">
        <f>IF(PNL!A1275="","",PNL!A1275)</f>
        <v/>
      </c>
      <c r="B1275" t="str">
        <f>IF(PNL!B1275="","",PNL!B1275)</f>
        <v/>
      </c>
      <c r="C1275" t="str">
        <f>IF(PNL!C1275="","",PNL!C1275)</f>
        <v/>
      </c>
      <c r="D1275" t="str">
        <f>IF(PNL!D1275="","",PNL!D1275)</f>
        <v/>
      </c>
      <c r="E1275" t="str">
        <f t="shared" si="76"/>
        <v/>
      </c>
      <c r="F1275" t="str">
        <f>IF($A1275="","",IF($E1275=1,SUMIFS(Compta!$F$1:$F$675,Compta!$A$1:$A$675,$A1275,Compta!$B$1:$B$675,$B1275,Compta!$C$1:$C$675,"2026"),0))</f>
        <v/>
      </c>
      <c r="G1275" t="str">
        <f>IF($A1275="","",IF($D1275="V01",cad!$C$23,IF($D1275="V02",cad!$D$23,cad!$E$23)))</f>
        <v/>
      </c>
      <c r="H1275" t="str">
        <f>IF($A1275="","",IF($D1275="V01",cad!$C$24,IF($D1275="V02",cad!$D$24,cad!$E$24)))</f>
        <v/>
      </c>
      <c r="I1275" t="str">
        <f>IF($A1275="","",IF($D1275="V01",cad!$C$32,IF($D1275="V02",cad!$D$32,cad!$E$32)))</f>
        <v/>
      </c>
      <c r="J1275" t="str">
        <f>IF($A1275="","",IF($D1275="V01",cad!$C$33,IF($D1275="V02",cad!$D$33,cad!$E$33)))</f>
        <v/>
      </c>
      <c r="K1275" t="str">
        <f>IF($A1275="","",IF($D1275="V01",cad!$C$34,IF($D1275="V02",cad!$D$34,cad!$E$34)))</f>
        <v/>
      </c>
      <c r="L1275" t="str">
        <f>IF($A1275="","",IF($D1275="V01",cad!$C$35,IF($D1275="V02",cad!$D$35,cad!$E$35)))</f>
        <v/>
      </c>
      <c r="M1275" t="str">
        <f>IF($A1275="","",IF($D1275="V01",cad!$C$36,IF($D1275="V02",cad!$D$36,cad!$E$36)))</f>
        <v/>
      </c>
      <c r="N1275" t="str">
        <f t="shared" si="77"/>
        <v/>
      </c>
      <c r="O1275" t="str">
        <f t="shared" si="78"/>
        <v/>
      </c>
      <c r="P1275" t="str">
        <f>IF($A1275="","",IF($E1275=1,$F1275*$O1275,PNL!G1275))</f>
        <v/>
      </c>
      <c r="T1275" t="str">
        <f t="shared" si="79"/>
        <v/>
      </c>
    </row>
    <row r="1276" spans="1:20" x14ac:dyDescent="0.45">
      <c r="A1276" t="str">
        <f>IF(PNL!A1276="","",PNL!A1276)</f>
        <v/>
      </c>
      <c r="B1276" t="str">
        <f>IF(PNL!B1276="","",PNL!B1276)</f>
        <v/>
      </c>
      <c r="C1276" t="str">
        <f>IF(PNL!C1276="","",PNL!C1276)</f>
        <v/>
      </c>
      <c r="D1276" t="str">
        <f>IF(PNL!D1276="","",PNL!D1276)</f>
        <v/>
      </c>
      <c r="E1276" t="str">
        <f t="shared" si="76"/>
        <v/>
      </c>
      <c r="F1276" t="str">
        <f>IF($A1276="","",IF($E1276=1,SUMIFS(Compta!$F$1:$F$675,Compta!$A$1:$A$675,$A1276,Compta!$B$1:$B$675,$B1276,Compta!$C$1:$C$675,"2026"),0))</f>
        <v/>
      </c>
      <c r="G1276" t="str">
        <f>IF($A1276="","",IF($D1276="V01",cad!$C$23,IF($D1276="V02",cad!$D$23,cad!$E$23)))</f>
        <v/>
      </c>
      <c r="H1276" t="str">
        <f>IF($A1276="","",IF($D1276="V01",cad!$C$24,IF($D1276="V02",cad!$D$24,cad!$E$24)))</f>
        <v/>
      </c>
      <c r="I1276" t="str">
        <f>IF($A1276="","",IF($D1276="V01",cad!$C$32,IF($D1276="V02",cad!$D$32,cad!$E$32)))</f>
        <v/>
      </c>
      <c r="J1276" t="str">
        <f>IF($A1276="","",IF($D1276="V01",cad!$C$33,IF($D1276="V02",cad!$D$33,cad!$E$33)))</f>
        <v/>
      </c>
      <c r="K1276" t="str">
        <f>IF($A1276="","",IF($D1276="V01",cad!$C$34,IF($D1276="V02",cad!$D$34,cad!$E$34)))</f>
        <v/>
      </c>
      <c r="L1276" t="str">
        <f>IF($A1276="","",IF($D1276="V01",cad!$C$35,IF($D1276="V02",cad!$D$35,cad!$E$35)))</f>
        <v/>
      </c>
      <c r="M1276" t="str">
        <f>IF($A1276="","",IF($D1276="V01",cad!$C$36,IF($D1276="V02",cad!$D$36,cad!$E$36)))</f>
        <v/>
      </c>
      <c r="N1276" t="str">
        <f t="shared" si="77"/>
        <v/>
      </c>
      <c r="O1276" t="str">
        <f t="shared" si="78"/>
        <v/>
      </c>
      <c r="P1276" t="str">
        <f>IF($A1276="","",IF($E1276=1,$F1276*$O1276,PNL!G1276))</f>
        <v/>
      </c>
      <c r="T1276" t="str">
        <f t="shared" si="79"/>
        <v/>
      </c>
    </row>
    <row r="1277" spans="1:20" x14ac:dyDescent="0.45">
      <c r="A1277" t="str">
        <f>IF(PNL!A1277="","",PNL!A1277)</f>
        <v/>
      </c>
      <c r="B1277" t="str">
        <f>IF(PNL!B1277="","",PNL!B1277)</f>
        <v/>
      </c>
      <c r="C1277" t="str">
        <f>IF(PNL!C1277="","",PNL!C1277)</f>
        <v/>
      </c>
      <c r="D1277" t="str">
        <f>IF(PNL!D1277="","",PNL!D1277)</f>
        <v/>
      </c>
      <c r="E1277" t="str">
        <f t="shared" si="76"/>
        <v/>
      </c>
      <c r="F1277" t="str">
        <f>IF($A1277="","",IF($E1277=1,SUMIFS(Compta!$F$1:$F$675,Compta!$A$1:$A$675,$A1277,Compta!$B$1:$B$675,$B1277,Compta!$C$1:$C$675,"2026"),0))</f>
        <v/>
      </c>
      <c r="G1277" t="str">
        <f>IF($A1277="","",IF($D1277="V01",cad!$C$23,IF($D1277="V02",cad!$D$23,cad!$E$23)))</f>
        <v/>
      </c>
      <c r="H1277" t="str">
        <f>IF($A1277="","",IF($D1277="V01",cad!$C$24,IF($D1277="V02",cad!$D$24,cad!$E$24)))</f>
        <v/>
      </c>
      <c r="I1277" t="str">
        <f>IF($A1277="","",IF($D1277="V01",cad!$C$32,IF($D1277="V02",cad!$D$32,cad!$E$32)))</f>
        <v/>
      </c>
      <c r="J1277" t="str">
        <f>IF($A1277="","",IF($D1277="V01",cad!$C$33,IF($D1277="V02",cad!$D$33,cad!$E$33)))</f>
        <v/>
      </c>
      <c r="K1277" t="str">
        <f>IF($A1277="","",IF($D1277="V01",cad!$C$34,IF($D1277="V02",cad!$D$34,cad!$E$34)))</f>
        <v/>
      </c>
      <c r="L1277" t="str">
        <f>IF($A1277="","",IF($D1277="V01",cad!$C$35,IF($D1277="V02",cad!$D$35,cad!$E$35)))</f>
        <v/>
      </c>
      <c r="M1277" t="str">
        <f>IF($A1277="","",IF($D1277="V01",cad!$C$36,IF($D1277="V02",cad!$D$36,cad!$E$36)))</f>
        <v/>
      </c>
      <c r="N1277" t="str">
        <f t="shared" si="77"/>
        <v/>
      </c>
      <c r="O1277" t="str">
        <f t="shared" si="78"/>
        <v/>
      </c>
      <c r="P1277" t="str">
        <f>IF($A1277="","",IF($E1277=1,$F1277*$O1277,PNL!G1277))</f>
        <v/>
      </c>
      <c r="T1277" t="str">
        <f t="shared" si="79"/>
        <v/>
      </c>
    </row>
    <row r="1278" spans="1:20" x14ac:dyDescent="0.45">
      <c r="A1278" t="str">
        <f>IF(PNL!A1278="","",PNL!A1278)</f>
        <v/>
      </c>
      <c r="B1278" t="str">
        <f>IF(PNL!B1278="","",PNL!B1278)</f>
        <v/>
      </c>
      <c r="C1278" t="str">
        <f>IF(PNL!C1278="","",PNL!C1278)</f>
        <v/>
      </c>
      <c r="D1278" t="str">
        <f>IF(PNL!D1278="","",PNL!D1278)</f>
        <v/>
      </c>
      <c r="E1278" t="str">
        <f t="shared" si="76"/>
        <v/>
      </c>
      <c r="F1278" t="str">
        <f>IF($A1278="","",IF($E1278=1,SUMIFS(Compta!$F$1:$F$675,Compta!$A$1:$A$675,$A1278,Compta!$B$1:$B$675,$B1278,Compta!$C$1:$C$675,"2026"),0))</f>
        <v/>
      </c>
      <c r="G1278" t="str">
        <f>IF($A1278="","",IF($D1278="V01",cad!$C$23,IF($D1278="V02",cad!$D$23,cad!$E$23)))</f>
        <v/>
      </c>
      <c r="H1278" t="str">
        <f>IF($A1278="","",IF($D1278="V01",cad!$C$24,IF($D1278="V02",cad!$D$24,cad!$E$24)))</f>
        <v/>
      </c>
      <c r="I1278" t="str">
        <f>IF($A1278="","",IF($D1278="V01",cad!$C$32,IF($D1278="V02",cad!$D$32,cad!$E$32)))</f>
        <v/>
      </c>
      <c r="J1278" t="str">
        <f>IF($A1278="","",IF($D1278="V01",cad!$C$33,IF($D1278="V02",cad!$D$33,cad!$E$33)))</f>
        <v/>
      </c>
      <c r="K1278" t="str">
        <f>IF($A1278="","",IF($D1278="V01",cad!$C$34,IF($D1278="V02",cad!$D$34,cad!$E$34)))</f>
        <v/>
      </c>
      <c r="L1278" t="str">
        <f>IF($A1278="","",IF($D1278="V01",cad!$C$35,IF($D1278="V02",cad!$D$35,cad!$E$35)))</f>
        <v/>
      </c>
      <c r="M1278" t="str">
        <f>IF($A1278="","",IF($D1278="V01",cad!$C$36,IF($D1278="V02",cad!$D$36,cad!$E$36)))</f>
        <v/>
      </c>
      <c r="N1278" t="str">
        <f t="shared" si="77"/>
        <v/>
      </c>
      <c r="O1278" t="str">
        <f t="shared" si="78"/>
        <v/>
      </c>
      <c r="P1278" t="str">
        <f>IF($A1278="","",IF($E1278=1,$F1278*$O1278,PNL!G1278))</f>
        <v/>
      </c>
      <c r="T1278" t="str">
        <f t="shared" si="79"/>
        <v/>
      </c>
    </row>
    <row r="1279" spans="1:20" x14ac:dyDescent="0.45">
      <c r="A1279" t="str">
        <f>IF(PNL!A1279="","",PNL!A1279)</f>
        <v/>
      </c>
      <c r="B1279" t="str">
        <f>IF(PNL!B1279="","",PNL!B1279)</f>
        <v/>
      </c>
      <c r="C1279" t="str">
        <f>IF(PNL!C1279="","",PNL!C1279)</f>
        <v/>
      </c>
      <c r="D1279" t="str">
        <f>IF(PNL!D1279="","",PNL!D1279)</f>
        <v/>
      </c>
      <c r="E1279" t="str">
        <f t="shared" si="76"/>
        <v/>
      </c>
      <c r="F1279" t="str">
        <f>IF($A1279="","",IF($E1279=1,SUMIFS(Compta!$F$1:$F$675,Compta!$A$1:$A$675,$A1279,Compta!$B$1:$B$675,$B1279,Compta!$C$1:$C$675,"2026"),0))</f>
        <v/>
      </c>
      <c r="G1279" t="str">
        <f>IF($A1279="","",IF($D1279="V01",cad!$C$23,IF($D1279="V02",cad!$D$23,cad!$E$23)))</f>
        <v/>
      </c>
      <c r="H1279" t="str">
        <f>IF($A1279="","",IF($D1279="V01",cad!$C$24,IF($D1279="V02",cad!$D$24,cad!$E$24)))</f>
        <v/>
      </c>
      <c r="I1279" t="str">
        <f>IF($A1279="","",IF($D1279="V01",cad!$C$32,IF($D1279="V02",cad!$D$32,cad!$E$32)))</f>
        <v/>
      </c>
      <c r="J1279" t="str">
        <f>IF($A1279="","",IF($D1279="V01",cad!$C$33,IF($D1279="V02",cad!$D$33,cad!$E$33)))</f>
        <v/>
      </c>
      <c r="K1279" t="str">
        <f>IF($A1279="","",IF($D1279="V01",cad!$C$34,IF($D1279="V02",cad!$D$34,cad!$E$34)))</f>
        <v/>
      </c>
      <c r="L1279" t="str">
        <f>IF($A1279="","",IF($D1279="V01",cad!$C$35,IF($D1279="V02",cad!$D$35,cad!$E$35)))</f>
        <v/>
      </c>
      <c r="M1279" t="str">
        <f>IF($A1279="","",IF($D1279="V01",cad!$C$36,IF($D1279="V02",cad!$D$36,cad!$E$36)))</f>
        <v/>
      </c>
      <c r="N1279" t="str">
        <f t="shared" si="77"/>
        <v/>
      </c>
      <c r="O1279" t="str">
        <f t="shared" si="78"/>
        <v/>
      </c>
      <c r="P1279" t="str">
        <f>IF($A1279="","",IF($E1279=1,$F1279*$O1279,PNL!G1279))</f>
        <v/>
      </c>
      <c r="T1279" t="str">
        <f t="shared" si="79"/>
        <v/>
      </c>
    </row>
    <row r="1280" spans="1:20" x14ac:dyDescent="0.45">
      <c r="A1280" t="str">
        <f>IF(PNL!A1280="","",PNL!A1280)</f>
        <v/>
      </c>
      <c r="B1280" t="str">
        <f>IF(PNL!B1280="","",PNL!B1280)</f>
        <v/>
      </c>
      <c r="C1280" t="str">
        <f>IF(PNL!C1280="","",PNL!C1280)</f>
        <v/>
      </c>
      <c r="D1280" t="str">
        <f>IF(PNL!D1280="","",PNL!D1280)</f>
        <v/>
      </c>
      <c r="E1280" t="str">
        <f t="shared" si="76"/>
        <v/>
      </c>
      <c r="F1280" t="str">
        <f>IF($A1280="","",IF($E1280=1,SUMIFS(Compta!$F$1:$F$675,Compta!$A$1:$A$675,$A1280,Compta!$B$1:$B$675,$B1280,Compta!$C$1:$C$675,"2026"),0))</f>
        <v/>
      </c>
      <c r="G1280" t="str">
        <f>IF($A1280="","",IF($D1280="V01",cad!$C$23,IF($D1280="V02",cad!$D$23,cad!$E$23)))</f>
        <v/>
      </c>
      <c r="H1280" t="str">
        <f>IF($A1280="","",IF($D1280="V01",cad!$C$24,IF($D1280="V02",cad!$D$24,cad!$E$24)))</f>
        <v/>
      </c>
      <c r="I1280" t="str">
        <f>IF($A1280="","",IF($D1280="V01",cad!$C$32,IF($D1280="V02",cad!$D$32,cad!$E$32)))</f>
        <v/>
      </c>
      <c r="J1280" t="str">
        <f>IF($A1280="","",IF($D1280="V01",cad!$C$33,IF($D1280="V02",cad!$D$33,cad!$E$33)))</f>
        <v/>
      </c>
      <c r="K1280" t="str">
        <f>IF($A1280="","",IF($D1280="V01",cad!$C$34,IF($D1280="V02",cad!$D$34,cad!$E$34)))</f>
        <v/>
      </c>
      <c r="L1280" t="str">
        <f>IF($A1280="","",IF($D1280="V01",cad!$C$35,IF($D1280="V02",cad!$D$35,cad!$E$35)))</f>
        <v/>
      </c>
      <c r="M1280" t="str">
        <f>IF($A1280="","",IF($D1280="V01",cad!$C$36,IF($D1280="V02",cad!$D$36,cad!$E$36)))</f>
        <v/>
      </c>
      <c r="N1280" t="str">
        <f t="shared" si="77"/>
        <v/>
      </c>
      <c r="O1280" t="str">
        <f t="shared" si="78"/>
        <v/>
      </c>
      <c r="P1280" t="str">
        <f>IF($A1280="","",IF($E1280=1,$F1280*$O1280,PNL!G1280))</f>
        <v/>
      </c>
      <c r="T1280" t="str">
        <f t="shared" si="79"/>
        <v/>
      </c>
    </row>
    <row r="1281" spans="1:20" x14ac:dyDescent="0.45">
      <c r="A1281" t="str">
        <f>IF(PNL!A1281="","",PNL!A1281)</f>
        <v/>
      </c>
      <c r="B1281" t="str">
        <f>IF(PNL!B1281="","",PNL!B1281)</f>
        <v/>
      </c>
      <c r="C1281" t="str">
        <f>IF(PNL!C1281="","",PNL!C1281)</f>
        <v/>
      </c>
      <c r="D1281" t="str">
        <f>IF(PNL!D1281="","",PNL!D1281)</f>
        <v/>
      </c>
      <c r="E1281" t="str">
        <f t="shared" si="76"/>
        <v/>
      </c>
      <c r="F1281" t="str">
        <f>IF($A1281="","",IF($E1281=1,SUMIFS(Compta!$F$1:$F$675,Compta!$A$1:$A$675,$A1281,Compta!$B$1:$B$675,$B1281,Compta!$C$1:$C$675,"2026"),0))</f>
        <v/>
      </c>
      <c r="G1281" t="str">
        <f>IF($A1281="","",IF($D1281="V01",cad!$C$23,IF($D1281="V02",cad!$D$23,cad!$E$23)))</f>
        <v/>
      </c>
      <c r="H1281" t="str">
        <f>IF($A1281="","",IF($D1281="V01",cad!$C$24,IF($D1281="V02",cad!$D$24,cad!$E$24)))</f>
        <v/>
      </c>
      <c r="I1281" t="str">
        <f>IF($A1281="","",IF($D1281="V01",cad!$C$32,IF($D1281="V02",cad!$D$32,cad!$E$32)))</f>
        <v/>
      </c>
      <c r="J1281" t="str">
        <f>IF($A1281="","",IF($D1281="V01",cad!$C$33,IF($D1281="V02",cad!$D$33,cad!$E$33)))</f>
        <v/>
      </c>
      <c r="K1281" t="str">
        <f>IF($A1281="","",IF($D1281="V01",cad!$C$34,IF($D1281="V02",cad!$D$34,cad!$E$34)))</f>
        <v/>
      </c>
      <c r="L1281" t="str">
        <f>IF($A1281="","",IF($D1281="V01",cad!$C$35,IF($D1281="V02",cad!$D$35,cad!$E$35)))</f>
        <v/>
      </c>
      <c r="M1281" t="str">
        <f>IF($A1281="","",IF($D1281="V01",cad!$C$36,IF($D1281="V02",cad!$D$36,cad!$E$36)))</f>
        <v/>
      </c>
      <c r="N1281" t="str">
        <f t="shared" si="77"/>
        <v/>
      </c>
      <c r="O1281" t="str">
        <f t="shared" si="78"/>
        <v/>
      </c>
      <c r="P1281" t="str">
        <f>IF($A1281="","",IF($E1281=1,$F1281*$O1281,PNL!G1281))</f>
        <v/>
      </c>
      <c r="T1281" t="str">
        <f t="shared" si="79"/>
        <v/>
      </c>
    </row>
    <row r="1282" spans="1:20" x14ac:dyDescent="0.45">
      <c r="A1282" t="str">
        <f>IF(PNL!A1282="","",PNL!A1282)</f>
        <v/>
      </c>
      <c r="B1282" t="str">
        <f>IF(PNL!B1282="","",PNL!B1282)</f>
        <v/>
      </c>
      <c r="C1282" t="str">
        <f>IF(PNL!C1282="","",PNL!C1282)</f>
        <v/>
      </c>
      <c r="D1282" t="str">
        <f>IF(PNL!D1282="","",PNL!D1282)</f>
        <v/>
      </c>
      <c r="E1282" t="str">
        <f t="shared" ref="E1282:E1345" si="80">IF($A1282="","",IF(AND($C1282="2027",OR($D1282="V01",$D1282="V02",$D1282="V03")),1,0))</f>
        <v/>
      </c>
      <c r="F1282" t="str">
        <f>IF($A1282="","",IF($E1282=1,SUMIFS(Compta!$F$1:$F$675,Compta!$A$1:$A$675,$A1282,Compta!$B$1:$B$675,$B1282,Compta!$C$1:$C$675,"2026"),0))</f>
        <v/>
      </c>
      <c r="G1282" t="str">
        <f>IF($A1282="","",IF($D1282="V01",cad!$C$23,IF($D1282="V02",cad!$D$23,cad!$E$23)))</f>
        <v/>
      </c>
      <c r="H1282" t="str">
        <f>IF($A1282="","",IF($D1282="V01",cad!$C$24,IF($D1282="V02",cad!$D$24,cad!$E$24)))</f>
        <v/>
      </c>
      <c r="I1282" t="str">
        <f>IF($A1282="","",IF($D1282="V01",cad!$C$32,IF($D1282="V02",cad!$D$32,cad!$E$32)))</f>
        <v/>
      </c>
      <c r="J1282" t="str">
        <f>IF($A1282="","",IF($D1282="V01",cad!$C$33,IF($D1282="V02",cad!$D$33,cad!$E$33)))</f>
        <v/>
      </c>
      <c r="K1282" t="str">
        <f>IF($A1282="","",IF($D1282="V01",cad!$C$34,IF($D1282="V02",cad!$D$34,cad!$E$34)))</f>
        <v/>
      </c>
      <c r="L1282" t="str">
        <f>IF($A1282="","",IF($D1282="V01",cad!$C$35,IF($D1282="V02",cad!$D$35,cad!$E$35)))</f>
        <v/>
      </c>
      <c r="M1282" t="str">
        <f>IF($A1282="","",IF($D1282="V01",cad!$C$36,IF($D1282="V02",cad!$D$36,cad!$E$36)))</f>
        <v/>
      </c>
      <c r="N1282" t="str">
        <f t="shared" ref="N1282:N1345" si="81">IF($A1282="","",IF($D1282="V01",$R$2,IF($D1282="V02",$R$3,$R$4)))</f>
        <v/>
      </c>
      <c r="O1282" t="str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 t="str">
        <f>IF($A1282="","",IF($E1282=1,$F1282*$O1282,PNL!G1282))</f>
        <v/>
      </c>
      <c r="T1282" t="str">
        <f t="shared" ref="T1282:T1345" si="83">IF($A1282="","",IF($E1282=1,IF(OR($B1282="7062",$B1282="706",$B1282="708"),$P1282,IF(AND(LEFT($B1282,1)="6",$B1282&lt;&gt;"6811"),-$P1282,0)),0))</f>
        <v/>
      </c>
    </row>
    <row r="1283" spans="1:20" x14ac:dyDescent="0.45">
      <c r="A1283" t="str">
        <f>IF(PNL!A1283="","",PNL!A1283)</f>
        <v/>
      </c>
      <c r="B1283" t="str">
        <f>IF(PNL!B1283="","",PNL!B1283)</f>
        <v/>
      </c>
      <c r="C1283" t="str">
        <f>IF(PNL!C1283="","",PNL!C1283)</f>
        <v/>
      </c>
      <c r="D1283" t="str">
        <f>IF(PNL!D1283="","",PNL!D1283)</f>
        <v/>
      </c>
      <c r="E1283" t="str">
        <f t="shared" si="80"/>
        <v/>
      </c>
      <c r="F1283" t="str">
        <f>IF($A1283="","",IF($E1283=1,SUMIFS(Compta!$F$1:$F$675,Compta!$A$1:$A$675,$A1283,Compta!$B$1:$B$675,$B1283,Compta!$C$1:$C$675,"2026"),0))</f>
        <v/>
      </c>
      <c r="G1283" t="str">
        <f>IF($A1283="","",IF($D1283="V01",cad!$C$23,IF($D1283="V02",cad!$D$23,cad!$E$23)))</f>
        <v/>
      </c>
      <c r="H1283" t="str">
        <f>IF($A1283="","",IF($D1283="V01",cad!$C$24,IF($D1283="V02",cad!$D$24,cad!$E$24)))</f>
        <v/>
      </c>
      <c r="I1283" t="str">
        <f>IF($A1283="","",IF($D1283="V01",cad!$C$32,IF($D1283="V02",cad!$D$32,cad!$E$32)))</f>
        <v/>
      </c>
      <c r="J1283" t="str">
        <f>IF($A1283="","",IF($D1283="V01",cad!$C$33,IF($D1283="V02",cad!$D$33,cad!$E$33)))</f>
        <v/>
      </c>
      <c r="K1283" t="str">
        <f>IF($A1283="","",IF($D1283="V01",cad!$C$34,IF($D1283="V02",cad!$D$34,cad!$E$34)))</f>
        <v/>
      </c>
      <c r="L1283" t="str">
        <f>IF($A1283="","",IF($D1283="V01",cad!$C$35,IF($D1283="V02",cad!$D$35,cad!$E$35)))</f>
        <v/>
      </c>
      <c r="M1283" t="str">
        <f>IF($A1283="","",IF($D1283="V01",cad!$C$36,IF($D1283="V02",cad!$D$36,cad!$E$36)))</f>
        <v/>
      </c>
      <c r="N1283" t="str">
        <f t="shared" si="81"/>
        <v/>
      </c>
      <c r="O1283" t="str">
        <f t="shared" si="82"/>
        <v/>
      </c>
      <c r="P1283" t="str">
        <f>IF($A1283="","",IF($E1283=1,$F1283*$O1283,PNL!G1283))</f>
        <v/>
      </c>
      <c r="T1283" t="str">
        <f t="shared" si="83"/>
        <v/>
      </c>
    </row>
    <row r="1284" spans="1:20" x14ac:dyDescent="0.45">
      <c r="A1284" t="str">
        <f>IF(PNL!A1284="","",PNL!A1284)</f>
        <v/>
      </c>
      <c r="B1284" t="str">
        <f>IF(PNL!B1284="","",PNL!B1284)</f>
        <v/>
      </c>
      <c r="C1284" t="str">
        <f>IF(PNL!C1284="","",PNL!C1284)</f>
        <v/>
      </c>
      <c r="D1284" t="str">
        <f>IF(PNL!D1284="","",PNL!D1284)</f>
        <v/>
      </c>
      <c r="E1284" t="str">
        <f t="shared" si="80"/>
        <v/>
      </c>
      <c r="F1284" t="str">
        <f>IF($A1284="","",IF($E1284=1,SUMIFS(Compta!$F$1:$F$675,Compta!$A$1:$A$675,$A1284,Compta!$B$1:$B$675,$B1284,Compta!$C$1:$C$675,"2026"),0))</f>
        <v/>
      </c>
      <c r="G1284" t="str">
        <f>IF($A1284="","",IF($D1284="V01",cad!$C$23,IF($D1284="V02",cad!$D$23,cad!$E$23)))</f>
        <v/>
      </c>
      <c r="H1284" t="str">
        <f>IF($A1284="","",IF($D1284="V01",cad!$C$24,IF($D1284="V02",cad!$D$24,cad!$E$24)))</f>
        <v/>
      </c>
      <c r="I1284" t="str">
        <f>IF($A1284="","",IF($D1284="V01",cad!$C$32,IF($D1284="V02",cad!$D$32,cad!$E$32)))</f>
        <v/>
      </c>
      <c r="J1284" t="str">
        <f>IF($A1284="","",IF($D1284="V01",cad!$C$33,IF($D1284="V02",cad!$D$33,cad!$E$33)))</f>
        <v/>
      </c>
      <c r="K1284" t="str">
        <f>IF($A1284="","",IF($D1284="V01",cad!$C$34,IF($D1284="V02",cad!$D$34,cad!$E$34)))</f>
        <v/>
      </c>
      <c r="L1284" t="str">
        <f>IF($A1284="","",IF($D1284="V01",cad!$C$35,IF($D1284="V02",cad!$D$35,cad!$E$35)))</f>
        <v/>
      </c>
      <c r="M1284" t="str">
        <f>IF($A1284="","",IF($D1284="V01",cad!$C$36,IF($D1284="V02",cad!$D$36,cad!$E$36)))</f>
        <v/>
      </c>
      <c r="N1284" t="str">
        <f t="shared" si="81"/>
        <v/>
      </c>
      <c r="O1284" t="str">
        <f t="shared" si="82"/>
        <v/>
      </c>
      <c r="P1284" t="str">
        <f>IF($A1284="","",IF($E1284=1,$F1284*$O1284,PNL!G1284))</f>
        <v/>
      </c>
      <c r="T1284" t="str">
        <f t="shared" si="83"/>
        <v/>
      </c>
    </row>
    <row r="1285" spans="1:20" x14ac:dyDescent="0.45">
      <c r="A1285" t="str">
        <f>IF(PNL!A1285="","",PNL!A1285)</f>
        <v/>
      </c>
      <c r="B1285" t="str">
        <f>IF(PNL!B1285="","",PNL!B1285)</f>
        <v/>
      </c>
      <c r="C1285" t="str">
        <f>IF(PNL!C1285="","",PNL!C1285)</f>
        <v/>
      </c>
      <c r="D1285" t="str">
        <f>IF(PNL!D1285="","",PNL!D1285)</f>
        <v/>
      </c>
      <c r="E1285" t="str">
        <f t="shared" si="80"/>
        <v/>
      </c>
      <c r="F1285" t="str">
        <f>IF($A1285="","",IF($E1285=1,SUMIFS(Compta!$F$1:$F$675,Compta!$A$1:$A$675,$A1285,Compta!$B$1:$B$675,$B1285,Compta!$C$1:$C$675,"2026"),0))</f>
        <v/>
      </c>
      <c r="G1285" t="str">
        <f>IF($A1285="","",IF($D1285="V01",cad!$C$23,IF($D1285="V02",cad!$D$23,cad!$E$23)))</f>
        <v/>
      </c>
      <c r="H1285" t="str">
        <f>IF($A1285="","",IF($D1285="V01",cad!$C$24,IF($D1285="V02",cad!$D$24,cad!$E$24)))</f>
        <v/>
      </c>
      <c r="I1285" t="str">
        <f>IF($A1285="","",IF($D1285="V01",cad!$C$32,IF($D1285="V02",cad!$D$32,cad!$E$32)))</f>
        <v/>
      </c>
      <c r="J1285" t="str">
        <f>IF($A1285="","",IF($D1285="V01",cad!$C$33,IF($D1285="V02",cad!$D$33,cad!$E$33)))</f>
        <v/>
      </c>
      <c r="K1285" t="str">
        <f>IF($A1285="","",IF($D1285="V01",cad!$C$34,IF($D1285="V02",cad!$D$34,cad!$E$34)))</f>
        <v/>
      </c>
      <c r="L1285" t="str">
        <f>IF($A1285="","",IF($D1285="V01",cad!$C$35,IF($D1285="V02",cad!$D$35,cad!$E$35)))</f>
        <v/>
      </c>
      <c r="M1285" t="str">
        <f>IF($A1285="","",IF($D1285="V01",cad!$C$36,IF($D1285="V02",cad!$D$36,cad!$E$36)))</f>
        <v/>
      </c>
      <c r="N1285" t="str">
        <f t="shared" si="81"/>
        <v/>
      </c>
      <c r="O1285" t="str">
        <f t="shared" si="82"/>
        <v/>
      </c>
      <c r="P1285" t="str">
        <f>IF($A1285="","",IF($E1285=1,$F1285*$O1285,PNL!G1285))</f>
        <v/>
      </c>
      <c r="T1285" t="str">
        <f t="shared" si="83"/>
        <v/>
      </c>
    </row>
    <row r="1286" spans="1:20" x14ac:dyDescent="0.45">
      <c r="A1286" t="str">
        <f>IF(PNL!A1286="","",PNL!A1286)</f>
        <v/>
      </c>
      <c r="B1286" t="str">
        <f>IF(PNL!B1286="","",PNL!B1286)</f>
        <v/>
      </c>
      <c r="C1286" t="str">
        <f>IF(PNL!C1286="","",PNL!C1286)</f>
        <v/>
      </c>
      <c r="D1286" t="str">
        <f>IF(PNL!D1286="","",PNL!D1286)</f>
        <v/>
      </c>
      <c r="E1286" t="str">
        <f t="shared" si="80"/>
        <v/>
      </c>
      <c r="F1286" t="str">
        <f>IF($A1286="","",IF($E1286=1,SUMIFS(Compta!$F$1:$F$675,Compta!$A$1:$A$675,$A1286,Compta!$B$1:$B$675,$B1286,Compta!$C$1:$C$675,"2026"),0))</f>
        <v/>
      </c>
      <c r="G1286" t="str">
        <f>IF($A1286="","",IF($D1286="V01",cad!$C$23,IF($D1286="V02",cad!$D$23,cad!$E$23)))</f>
        <v/>
      </c>
      <c r="H1286" t="str">
        <f>IF($A1286="","",IF($D1286="V01",cad!$C$24,IF($D1286="V02",cad!$D$24,cad!$E$24)))</f>
        <v/>
      </c>
      <c r="I1286" t="str">
        <f>IF($A1286="","",IF($D1286="V01",cad!$C$32,IF($D1286="V02",cad!$D$32,cad!$E$32)))</f>
        <v/>
      </c>
      <c r="J1286" t="str">
        <f>IF($A1286="","",IF($D1286="V01",cad!$C$33,IF($D1286="V02",cad!$D$33,cad!$E$33)))</f>
        <v/>
      </c>
      <c r="K1286" t="str">
        <f>IF($A1286="","",IF($D1286="V01",cad!$C$34,IF($D1286="V02",cad!$D$34,cad!$E$34)))</f>
        <v/>
      </c>
      <c r="L1286" t="str">
        <f>IF($A1286="","",IF($D1286="V01",cad!$C$35,IF($D1286="V02",cad!$D$35,cad!$E$35)))</f>
        <v/>
      </c>
      <c r="M1286" t="str">
        <f>IF($A1286="","",IF($D1286="V01",cad!$C$36,IF($D1286="V02",cad!$D$36,cad!$E$36)))</f>
        <v/>
      </c>
      <c r="N1286" t="str">
        <f t="shared" si="81"/>
        <v/>
      </c>
      <c r="O1286" t="str">
        <f t="shared" si="82"/>
        <v/>
      </c>
      <c r="P1286" t="str">
        <f>IF($A1286="","",IF($E1286=1,$F1286*$O1286,PNL!G1286))</f>
        <v/>
      </c>
      <c r="T1286" t="str">
        <f t="shared" si="83"/>
        <v/>
      </c>
    </row>
    <row r="1287" spans="1:20" x14ac:dyDescent="0.45">
      <c r="A1287" t="str">
        <f>IF(PNL!A1287="","",PNL!A1287)</f>
        <v/>
      </c>
      <c r="B1287" t="str">
        <f>IF(PNL!B1287="","",PNL!B1287)</f>
        <v/>
      </c>
      <c r="C1287" t="str">
        <f>IF(PNL!C1287="","",PNL!C1287)</f>
        <v/>
      </c>
      <c r="D1287" t="str">
        <f>IF(PNL!D1287="","",PNL!D1287)</f>
        <v/>
      </c>
      <c r="E1287" t="str">
        <f t="shared" si="80"/>
        <v/>
      </c>
      <c r="F1287" t="str">
        <f>IF($A1287="","",IF($E1287=1,SUMIFS(Compta!$F$1:$F$675,Compta!$A$1:$A$675,$A1287,Compta!$B$1:$B$675,$B1287,Compta!$C$1:$C$675,"2026"),0))</f>
        <v/>
      </c>
      <c r="G1287" t="str">
        <f>IF($A1287="","",IF($D1287="V01",cad!$C$23,IF($D1287="V02",cad!$D$23,cad!$E$23)))</f>
        <v/>
      </c>
      <c r="H1287" t="str">
        <f>IF($A1287="","",IF($D1287="V01",cad!$C$24,IF($D1287="V02",cad!$D$24,cad!$E$24)))</f>
        <v/>
      </c>
      <c r="I1287" t="str">
        <f>IF($A1287="","",IF($D1287="V01",cad!$C$32,IF($D1287="V02",cad!$D$32,cad!$E$32)))</f>
        <v/>
      </c>
      <c r="J1287" t="str">
        <f>IF($A1287="","",IF($D1287="V01",cad!$C$33,IF($D1287="V02",cad!$D$33,cad!$E$33)))</f>
        <v/>
      </c>
      <c r="K1287" t="str">
        <f>IF($A1287="","",IF($D1287="V01",cad!$C$34,IF($D1287="V02",cad!$D$34,cad!$E$34)))</f>
        <v/>
      </c>
      <c r="L1287" t="str">
        <f>IF($A1287="","",IF($D1287="V01",cad!$C$35,IF($D1287="V02",cad!$D$35,cad!$E$35)))</f>
        <v/>
      </c>
      <c r="M1287" t="str">
        <f>IF($A1287="","",IF($D1287="V01",cad!$C$36,IF($D1287="V02",cad!$D$36,cad!$E$36)))</f>
        <v/>
      </c>
      <c r="N1287" t="str">
        <f t="shared" si="81"/>
        <v/>
      </c>
      <c r="O1287" t="str">
        <f t="shared" si="82"/>
        <v/>
      </c>
      <c r="P1287" t="str">
        <f>IF($A1287="","",IF($E1287=1,$F1287*$O1287,PNL!G1287))</f>
        <v/>
      </c>
      <c r="T1287" t="str">
        <f t="shared" si="83"/>
        <v/>
      </c>
    </row>
    <row r="1288" spans="1:20" x14ac:dyDescent="0.45">
      <c r="A1288" t="str">
        <f>IF(PNL!A1288="","",PNL!A1288)</f>
        <v/>
      </c>
      <c r="B1288" t="str">
        <f>IF(PNL!B1288="","",PNL!B1288)</f>
        <v/>
      </c>
      <c r="C1288" t="str">
        <f>IF(PNL!C1288="","",PNL!C1288)</f>
        <v/>
      </c>
      <c r="D1288" t="str">
        <f>IF(PNL!D1288="","",PNL!D1288)</f>
        <v/>
      </c>
      <c r="E1288" t="str">
        <f t="shared" si="80"/>
        <v/>
      </c>
      <c r="F1288" t="str">
        <f>IF($A1288="","",IF($E1288=1,SUMIFS(Compta!$F$1:$F$675,Compta!$A$1:$A$675,$A1288,Compta!$B$1:$B$675,$B1288,Compta!$C$1:$C$675,"2026"),0))</f>
        <v/>
      </c>
      <c r="G1288" t="str">
        <f>IF($A1288="","",IF($D1288="V01",cad!$C$23,IF($D1288="V02",cad!$D$23,cad!$E$23)))</f>
        <v/>
      </c>
      <c r="H1288" t="str">
        <f>IF($A1288="","",IF($D1288="V01",cad!$C$24,IF($D1288="V02",cad!$D$24,cad!$E$24)))</f>
        <v/>
      </c>
      <c r="I1288" t="str">
        <f>IF($A1288="","",IF($D1288="V01",cad!$C$32,IF($D1288="V02",cad!$D$32,cad!$E$32)))</f>
        <v/>
      </c>
      <c r="J1288" t="str">
        <f>IF($A1288="","",IF($D1288="V01",cad!$C$33,IF($D1288="V02",cad!$D$33,cad!$E$33)))</f>
        <v/>
      </c>
      <c r="K1288" t="str">
        <f>IF($A1288="","",IF($D1288="V01",cad!$C$34,IF($D1288="V02",cad!$D$34,cad!$E$34)))</f>
        <v/>
      </c>
      <c r="L1288" t="str">
        <f>IF($A1288="","",IF($D1288="V01",cad!$C$35,IF($D1288="V02",cad!$D$35,cad!$E$35)))</f>
        <v/>
      </c>
      <c r="M1288" t="str">
        <f>IF($A1288="","",IF($D1288="V01",cad!$C$36,IF($D1288="V02",cad!$D$36,cad!$E$36)))</f>
        <v/>
      </c>
      <c r="N1288" t="str">
        <f t="shared" si="81"/>
        <v/>
      </c>
      <c r="O1288" t="str">
        <f t="shared" si="82"/>
        <v/>
      </c>
      <c r="P1288" t="str">
        <f>IF($A1288="","",IF($E1288=1,$F1288*$O1288,PNL!G1288))</f>
        <v/>
      </c>
      <c r="T1288" t="str">
        <f t="shared" si="83"/>
        <v/>
      </c>
    </row>
    <row r="1289" spans="1:20" x14ac:dyDescent="0.45">
      <c r="A1289" t="str">
        <f>IF(PNL!A1289="","",PNL!A1289)</f>
        <v/>
      </c>
      <c r="B1289" t="str">
        <f>IF(PNL!B1289="","",PNL!B1289)</f>
        <v/>
      </c>
      <c r="C1289" t="str">
        <f>IF(PNL!C1289="","",PNL!C1289)</f>
        <v/>
      </c>
      <c r="D1289" t="str">
        <f>IF(PNL!D1289="","",PNL!D1289)</f>
        <v/>
      </c>
      <c r="E1289" t="str">
        <f t="shared" si="80"/>
        <v/>
      </c>
      <c r="F1289" t="str">
        <f>IF($A1289="","",IF($E1289=1,SUMIFS(Compta!$F$1:$F$675,Compta!$A$1:$A$675,$A1289,Compta!$B$1:$B$675,$B1289,Compta!$C$1:$C$675,"2026"),0))</f>
        <v/>
      </c>
      <c r="G1289" t="str">
        <f>IF($A1289="","",IF($D1289="V01",cad!$C$23,IF($D1289="V02",cad!$D$23,cad!$E$23)))</f>
        <v/>
      </c>
      <c r="H1289" t="str">
        <f>IF($A1289="","",IF($D1289="V01",cad!$C$24,IF($D1289="V02",cad!$D$24,cad!$E$24)))</f>
        <v/>
      </c>
      <c r="I1289" t="str">
        <f>IF($A1289="","",IF($D1289="V01",cad!$C$32,IF($D1289="V02",cad!$D$32,cad!$E$32)))</f>
        <v/>
      </c>
      <c r="J1289" t="str">
        <f>IF($A1289="","",IF($D1289="V01",cad!$C$33,IF($D1289="V02",cad!$D$33,cad!$E$33)))</f>
        <v/>
      </c>
      <c r="K1289" t="str">
        <f>IF($A1289="","",IF($D1289="V01",cad!$C$34,IF($D1289="V02",cad!$D$34,cad!$E$34)))</f>
        <v/>
      </c>
      <c r="L1289" t="str">
        <f>IF($A1289="","",IF($D1289="V01",cad!$C$35,IF($D1289="V02",cad!$D$35,cad!$E$35)))</f>
        <v/>
      </c>
      <c r="M1289" t="str">
        <f>IF($A1289="","",IF($D1289="V01",cad!$C$36,IF($D1289="V02",cad!$D$36,cad!$E$36)))</f>
        <v/>
      </c>
      <c r="N1289" t="str">
        <f t="shared" si="81"/>
        <v/>
      </c>
      <c r="O1289" t="str">
        <f t="shared" si="82"/>
        <v/>
      </c>
      <c r="P1289" t="str">
        <f>IF($A1289="","",IF($E1289=1,$F1289*$O1289,PNL!G1289))</f>
        <v/>
      </c>
      <c r="T1289" t="str">
        <f t="shared" si="83"/>
        <v/>
      </c>
    </row>
    <row r="1290" spans="1:20" x14ac:dyDescent="0.45">
      <c r="A1290" t="str">
        <f>IF(PNL!A1290="","",PNL!A1290)</f>
        <v/>
      </c>
      <c r="B1290" t="str">
        <f>IF(PNL!B1290="","",PNL!B1290)</f>
        <v/>
      </c>
      <c r="C1290" t="str">
        <f>IF(PNL!C1290="","",PNL!C1290)</f>
        <v/>
      </c>
      <c r="D1290" t="str">
        <f>IF(PNL!D1290="","",PNL!D1290)</f>
        <v/>
      </c>
      <c r="E1290" t="str">
        <f t="shared" si="80"/>
        <v/>
      </c>
      <c r="F1290" t="str">
        <f>IF($A1290="","",IF($E1290=1,SUMIFS(Compta!$F$1:$F$675,Compta!$A$1:$A$675,$A1290,Compta!$B$1:$B$675,$B1290,Compta!$C$1:$C$675,"2026"),0))</f>
        <v/>
      </c>
      <c r="G1290" t="str">
        <f>IF($A1290="","",IF($D1290="V01",cad!$C$23,IF($D1290="V02",cad!$D$23,cad!$E$23)))</f>
        <v/>
      </c>
      <c r="H1290" t="str">
        <f>IF($A1290="","",IF($D1290="V01",cad!$C$24,IF($D1290="V02",cad!$D$24,cad!$E$24)))</f>
        <v/>
      </c>
      <c r="I1290" t="str">
        <f>IF($A1290="","",IF($D1290="V01",cad!$C$32,IF($D1290="V02",cad!$D$32,cad!$E$32)))</f>
        <v/>
      </c>
      <c r="J1290" t="str">
        <f>IF($A1290="","",IF($D1290="V01",cad!$C$33,IF($D1290="V02",cad!$D$33,cad!$E$33)))</f>
        <v/>
      </c>
      <c r="K1290" t="str">
        <f>IF($A1290="","",IF($D1290="V01",cad!$C$34,IF($D1290="V02",cad!$D$34,cad!$E$34)))</f>
        <v/>
      </c>
      <c r="L1290" t="str">
        <f>IF($A1290="","",IF($D1290="V01",cad!$C$35,IF($D1290="V02",cad!$D$35,cad!$E$35)))</f>
        <v/>
      </c>
      <c r="M1290" t="str">
        <f>IF($A1290="","",IF($D1290="V01",cad!$C$36,IF($D1290="V02",cad!$D$36,cad!$E$36)))</f>
        <v/>
      </c>
      <c r="N1290" t="str">
        <f t="shared" si="81"/>
        <v/>
      </c>
      <c r="O1290" t="str">
        <f t="shared" si="82"/>
        <v/>
      </c>
      <c r="P1290" t="str">
        <f>IF($A1290="","",IF($E1290=1,$F1290*$O1290,PNL!G1290))</f>
        <v/>
      </c>
      <c r="T1290" t="str">
        <f t="shared" si="83"/>
        <v/>
      </c>
    </row>
    <row r="1291" spans="1:20" x14ac:dyDescent="0.45">
      <c r="A1291" t="str">
        <f>IF(PNL!A1291="","",PNL!A1291)</f>
        <v/>
      </c>
      <c r="B1291" t="str">
        <f>IF(PNL!B1291="","",PNL!B1291)</f>
        <v/>
      </c>
      <c r="C1291" t="str">
        <f>IF(PNL!C1291="","",PNL!C1291)</f>
        <v/>
      </c>
      <c r="D1291" t="str">
        <f>IF(PNL!D1291="","",PNL!D1291)</f>
        <v/>
      </c>
      <c r="E1291" t="str">
        <f t="shared" si="80"/>
        <v/>
      </c>
      <c r="F1291" t="str">
        <f>IF($A1291="","",IF($E1291=1,SUMIFS(Compta!$F$1:$F$675,Compta!$A$1:$A$675,$A1291,Compta!$B$1:$B$675,$B1291,Compta!$C$1:$C$675,"2026"),0))</f>
        <v/>
      </c>
      <c r="G1291" t="str">
        <f>IF($A1291="","",IF($D1291="V01",cad!$C$23,IF($D1291="V02",cad!$D$23,cad!$E$23)))</f>
        <v/>
      </c>
      <c r="H1291" t="str">
        <f>IF($A1291="","",IF($D1291="V01",cad!$C$24,IF($D1291="V02",cad!$D$24,cad!$E$24)))</f>
        <v/>
      </c>
      <c r="I1291" t="str">
        <f>IF($A1291="","",IF($D1291="V01",cad!$C$32,IF($D1291="V02",cad!$D$32,cad!$E$32)))</f>
        <v/>
      </c>
      <c r="J1291" t="str">
        <f>IF($A1291="","",IF($D1291="V01",cad!$C$33,IF($D1291="V02",cad!$D$33,cad!$E$33)))</f>
        <v/>
      </c>
      <c r="K1291" t="str">
        <f>IF($A1291="","",IF($D1291="V01",cad!$C$34,IF($D1291="V02",cad!$D$34,cad!$E$34)))</f>
        <v/>
      </c>
      <c r="L1291" t="str">
        <f>IF($A1291="","",IF($D1291="V01",cad!$C$35,IF($D1291="V02",cad!$D$35,cad!$E$35)))</f>
        <v/>
      </c>
      <c r="M1291" t="str">
        <f>IF($A1291="","",IF($D1291="V01",cad!$C$36,IF($D1291="V02",cad!$D$36,cad!$E$36)))</f>
        <v/>
      </c>
      <c r="N1291" t="str">
        <f t="shared" si="81"/>
        <v/>
      </c>
      <c r="O1291" t="str">
        <f t="shared" si="82"/>
        <v/>
      </c>
      <c r="P1291" t="str">
        <f>IF($A1291="","",IF($E1291=1,$F1291*$O1291,PNL!G1291))</f>
        <v/>
      </c>
      <c r="T1291" t="str">
        <f t="shared" si="83"/>
        <v/>
      </c>
    </row>
    <row r="1292" spans="1:20" x14ac:dyDescent="0.45">
      <c r="A1292" t="str">
        <f>IF(PNL!A1292="","",PNL!A1292)</f>
        <v/>
      </c>
      <c r="B1292" t="str">
        <f>IF(PNL!B1292="","",PNL!B1292)</f>
        <v/>
      </c>
      <c r="C1292" t="str">
        <f>IF(PNL!C1292="","",PNL!C1292)</f>
        <v/>
      </c>
      <c r="D1292" t="str">
        <f>IF(PNL!D1292="","",PNL!D1292)</f>
        <v/>
      </c>
      <c r="E1292" t="str">
        <f t="shared" si="80"/>
        <v/>
      </c>
      <c r="F1292" t="str">
        <f>IF($A1292="","",IF($E1292=1,SUMIFS(Compta!$F$1:$F$675,Compta!$A$1:$A$675,$A1292,Compta!$B$1:$B$675,$B1292,Compta!$C$1:$C$675,"2026"),0))</f>
        <v/>
      </c>
      <c r="G1292" t="str">
        <f>IF($A1292="","",IF($D1292="V01",cad!$C$23,IF($D1292="V02",cad!$D$23,cad!$E$23)))</f>
        <v/>
      </c>
      <c r="H1292" t="str">
        <f>IF($A1292="","",IF($D1292="V01",cad!$C$24,IF($D1292="V02",cad!$D$24,cad!$E$24)))</f>
        <v/>
      </c>
      <c r="I1292" t="str">
        <f>IF($A1292="","",IF($D1292="V01",cad!$C$32,IF($D1292="V02",cad!$D$32,cad!$E$32)))</f>
        <v/>
      </c>
      <c r="J1292" t="str">
        <f>IF($A1292="","",IF($D1292="V01",cad!$C$33,IF($D1292="V02",cad!$D$33,cad!$E$33)))</f>
        <v/>
      </c>
      <c r="K1292" t="str">
        <f>IF($A1292="","",IF($D1292="V01",cad!$C$34,IF($D1292="V02",cad!$D$34,cad!$E$34)))</f>
        <v/>
      </c>
      <c r="L1292" t="str">
        <f>IF($A1292="","",IF($D1292="V01",cad!$C$35,IF($D1292="V02",cad!$D$35,cad!$E$35)))</f>
        <v/>
      </c>
      <c r="M1292" t="str">
        <f>IF($A1292="","",IF($D1292="V01",cad!$C$36,IF($D1292="V02",cad!$D$36,cad!$E$36)))</f>
        <v/>
      </c>
      <c r="N1292" t="str">
        <f t="shared" si="81"/>
        <v/>
      </c>
      <c r="O1292" t="str">
        <f t="shared" si="82"/>
        <v/>
      </c>
      <c r="P1292" t="str">
        <f>IF($A1292="","",IF($E1292=1,$F1292*$O1292,PNL!G1292))</f>
        <v/>
      </c>
      <c r="T1292" t="str">
        <f t="shared" si="83"/>
        <v/>
      </c>
    </row>
    <row r="1293" spans="1:20" x14ac:dyDescent="0.45">
      <c r="A1293" t="str">
        <f>IF(PNL!A1293="","",PNL!A1293)</f>
        <v/>
      </c>
      <c r="B1293" t="str">
        <f>IF(PNL!B1293="","",PNL!B1293)</f>
        <v/>
      </c>
      <c r="C1293" t="str">
        <f>IF(PNL!C1293="","",PNL!C1293)</f>
        <v/>
      </c>
      <c r="D1293" t="str">
        <f>IF(PNL!D1293="","",PNL!D1293)</f>
        <v/>
      </c>
      <c r="E1293" t="str">
        <f t="shared" si="80"/>
        <v/>
      </c>
      <c r="F1293" t="str">
        <f>IF($A1293="","",IF($E1293=1,SUMIFS(Compta!$F$1:$F$675,Compta!$A$1:$A$675,$A1293,Compta!$B$1:$B$675,$B1293,Compta!$C$1:$C$675,"2026"),0))</f>
        <v/>
      </c>
      <c r="G1293" t="str">
        <f>IF($A1293="","",IF($D1293="V01",cad!$C$23,IF($D1293="V02",cad!$D$23,cad!$E$23)))</f>
        <v/>
      </c>
      <c r="H1293" t="str">
        <f>IF($A1293="","",IF($D1293="V01",cad!$C$24,IF($D1293="V02",cad!$D$24,cad!$E$24)))</f>
        <v/>
      </c>
      <c r="I1293" t="str">
        <f>IF($A1293="","",IF($D1293="V01",cad!$C$32,IF($D1293="V02",cad!$D$32,cad!$E$32)))</f>
        <v/>
      </c>
      <c r="J1293" t="str">
        <f>IF($A1293="","",IF($D1293="V01",cad!$C$33,IF($D1293="V02",cad!$D$33,cad!$E$33)))</f>
        <v/>
      </c>
      <c r="K1293" t="str">
        <f>IF($A1293="","",IF($D1293="V01",cad!$C$34,IF($D1293="V02",cad!$D$34,cad!$E$34)))</f>
        <v/>
      </c>
      <c r="L1293" t="str">
        <f>IF($A1293="","",IF($D1293="V01",cad!$C$35,IF($D1293="V02",cad!$D$35,cad!$E$35)))</f>
        <v/>
      </c>
      <c r="M1293" t="str">
        <f>IF($A1293="","",IF($D1293="V01",cad!$C$36,IF($D1293="V02",cad!$D$36,cad!$E$36)))</f>
        <v/>
      </c>
      <c r="N1293" t="str">
        <f t="shared" si="81"/>
        <v/>
      </c>
      <c r="O1293" t="str">
        <f t="shared" si="82"/>
        <v/>
      </c>
      <c r="P1293" t="str">
        <f>IF($A1293="","",IF($E1293=1,$F1293*$O1293,PNL!G1293))</f>
        <v/>
      </c>
      <c r="T1293" t="str">
        <f t="shared" si="83"/>
        <v/>
      </c>
    </row>
    <row r="1294" spans="1:20" x14ac:dyDescent="0.45">
      <c r="A1294" t="str">
        <f>IF(PNL!A1294="","",PNL!A1294)</f>
        <v/>
      </c>
      <c r="B1294" t="str">
        <f>IF(PNL!B1294="","",PNL!B1294)</f>
        <v/>
      </c>
      <c r="C1294" t="str">
        <f>IF(PNL!C1294="","",PNL!C1294)</f>
        <v/>
      </c>
      <c r="D1294" t="str">
        <f>IF(PNL!D1294="","",PNL!D1294)</f>
        <v/>
      </c>
      <c r="E1294" t="str">
        <f t="shared" si="80"/>
        <v/>
      </c>
      <c r="F1294" t="str">
        <f>IF($A1294="","",IF($E1294=1,SUMIFS(Compta!$F$1:$F$675,Compta!$A$1:$A$675,$A1294,Compta!$B$1:$B$675,$B1294,Compta!$C$1:$C$675,"2026"),0))</f>
        <v/>
      </c>
      <c r="G1294" t="str">
        <f>IF($A1294="","",IF($D1294="V01",cad!$C$23,IF($D1294="V02",cad!$D$23,cad!$E$23)))</f>
        <v/>
      </c>
      <c r="H1294" t="str">
        <f>IF($A1294="","",IF($D1294="V01",cad!$C$24,IF($D1294="V02",cad!$D$24,cad!$E$24)))</f>
        <v/>
      </c>
      <c r="I1294" t="str">
        <f>IF($A1294="","",IF($D1294="V01",cad!$C$32,IF($D1294="V02",cad!$D$32,cad!$E$32)))</f>
        <v/>
      </c>
      <c r="J1294" t="str">
        <f>IF($A1294="","",IF($D1294="V01",cad!$C$33,IF($D1294="V02",cad!$D$33,cad!$E$33)))</f>
        <v/>
      </c>
      <c r="K1294" t="str">
        <f>IF($A1294="","",IF($D1294="V01",cad!$C$34,IF($D1294="V02",cad!$D$34,cad!$E$34)))</f>
        <v/>
      </c>
      <c r="L1294" t="str">
        <f>IF($A1294="","",IF($D1294="V01",cad!$C$35,IF($D1294="V02",cad!$D$35,cad!$E$35)))</f>
        <v/>
      </c>
      <c r="M1294" t="str">
        <f>IF($A1294="","",IF($D1294="V01",cad!$C$36,IF($D1294="V02",cad!$D$36,cad!$E$36)))</f>
        <v/>
      </c>
      <c r="N1294" t="str">
        <f t="shared" si="81"/>
        <v/>
      </c>
      <c r="O1294" t="str">
        <f t="shared" si="82"/>
        <v/>
      </c>
      <c r="P1294" t="str">
        <f>IF($A1294="","",IF($E1294=1,$F1294*$O1294,PNL!G1294))</f>
        <v/>
      </c>
      <c r="T1294" t="str">
        <f t="shared" si="83"/>
        <v/>
      </c>
    </row>
    <row r="1295" spans="1:20" x14ac:dyDescent="0.45">
      <c r="A1295" t="str">
        <f>IF(PNL!A1295="","",PNL!A1295)</f>
        <v/>
      </c>
      <c r="B1295" t="str">
        <f>IF(PNL!B1295="","",PNL!B1295)</f>
        <v/>
      </c>
      <c r="C1295" t="str">
        <f>IF(PNL!C1295="","",PNL!C1295)</f>
        <v/>
      </c>
      <c r="D1295" t="str">
        <f>IF(PNL!D1295="","",PNL!D1295)</f>
        <v/>
      </c>
      <c r="E1295" t="str">
        <f t="shared" si="80"/>
        <v/>
      </c>
      <c r="F1295" t="str">
        <f>IF($A1295="","",IF($E1295=1,SUMIFS(Compta!$F$1:$F$675,Compta!$A$1:$A$675,$A1295,Compta!$B$1:$B$675,$B1295,Compta!$C$1:$C$675,"2026"),0))</f>
        <v/>
      </c>
      <c r="G1295" t="str">
        <f>IF($A1295="","",IF($D1295="V01",cad!$C$23,IF($D1295="V02",cad!$D$23,cad!$E$23)))</f>
        <v/>
      </c>
      <c r="H1295" t="str">
        <f>IF($A1295="","",IF($D1295="V01",cad!$C$24,IF($D1295="V02",cad!$D$24,cad!$E$24)))</f>
        <v/>
      </c>
      <c r="I1295" t="str">
        <f>IF($A1295="","",IF($D1295="V01",cad!$C$32,IF($D1295="V02",cad!$D$32,cad!$E$32)))</f>
        <v/>
      </c>
      <c r="J1295" t="str">
        <f>IF($A1295="","",IF($D1295="V01",cad!$C$33,IF($D1295="V02",cad!$D$33,cad!$E$33)))</f>
        <v/>
      </c>
      <c r="K1295" t="str">
        <f>IF($A1295="","",IF($D1295="V01",cad!$C$34,IF($D1295="V02",cad!$D$34,cad!$E$34)))</f>
        <v/>
      </c>
      <c r="L1295" t="str">
        <f>IF($A1295="","",IF($D1295="V01",cad!$C$35,IF($D1295="V02",cad!$D$35,cad!$E$35)))</f>
        <v/>
      </c>
      <c r="M1295" t="str">
        <f>IF($A1295="","",IF($D1295="V01",cad!$C$36,IF($D1295="V02",cad!$D$36,cad!$E$36)))</f>
        <v/>
      </c>
      <c r="N1295" t="str">
        <f t="shared" si="81"/>
        <v/>
      </c>
      <c r="O1295" t="str">
        <f t="shared" si="82"/>
        <v/>
      </c>
      <c r="P1295" t="str">
        <f>IF($A1295="","",IF($E1295=1,$F1295*$O1295,PNL!G1295))</f>
        <v/>
      </c>
      <c r="T1295" t="str">
        <f t="shared" si="83"/>
        <v/>
      </c>
    </row>
    <row r="1296" spans="1:20" x14ac:dyDescent="0.45">
      <c r="A1296" t="str">
        <f>IF(PNL!A1296="","",PNL!A1296)</f>
        <v/>
      </c>
      <c r="B1296" t="str">
        <f>IF(PNL!B1296="","",PNL!B1296)</f>
        <v/>
      </c>
      <c r="C1296" t="str">
        <f>IF(PNL!C1296="","",PNL!C1296)</f>
        <v/>
      </c>
      <c r="D1296" t="str">
        <f>IF(PNL!D1296="","",PNL!D1296)</f>
        <v/>
      </c>
      <c r="E1296" t="str">
        <f t="shared" si="80"/>
        <v/>
      </c>
      <c r="F1296" t="str">
        <f>IF($A1296="","",IF($E1296=1,SUMIFS(Compta!$F$1:$F$675,Compta!$A$1:$A$675,$A1296,Compta!$B$1:$B$675,$B1296,Compta!$C$1:$C$675,"2026"),0))</f>
        <v/>
      </c>
      <c r="G1296" t="str">
        <f>IF($A1296="","",IF($D1296="V01",cad!$C$23,IF($D1296="V02",cad!$D$23,cad!$E$23)))</f>
        <v/>
      </c>
      <c r="H1296" t="str">
        <f>IF($A1296="","",IF($D1296="V01",cad!$C$24,IF($D1296="V02",cad!$D$24,cad!$E$24)))</f>
        <v/>
      </c>
      <c r="I1296" t="str">
        <f>IF($A1296="","",IF($D1296="V01",cad!$C$32,IF($D1296="V02",cad!$D$32,cad!$E$32)))</f>
        <v/>
      </c>
      <c r="J1296" t="str">
        <f>IF($A1296="","",IF($D1296="V01",cad!$C$33,IF($D1296="V02",cad!$D$33,cad!$E$33)))</f>
        <v/>
      </c>
      <c r="K1296" t="str">
        <f>IF($A1296="","",IF($D1296="V01",cad!$C$34,IF($D1296="V02",cad!$D$34,cad!$E$34)))</f>
        <v/>
      </c>
      <c r="L1296" t="str">
        <f>IF($A1296="","",IF($D1296="V01",cad!$C$35,IF($D1296="V02",cad!$D$35,cad!$E$35)))</f>
        <v/>
      </c>
      <c r="M1296" t="str">
        <f>IF($A1296="","",IF($D1296="V01",cad!$C$36,IF($D1296="V02",cad!$D$36,cad!$E$36)))</f>
        <v/>
      </c>
      <c r="N1296" t="str">
        <f t="shared" si="81"/>
        <v/>
      </c>
      <c r="O1296" t="str">
        <f t="shared" si="82"/>
        <v/>
      </c>
      <c r="P1296" t="str">
        <f>IF($A1296="","",IF($E1296=1,$F1296*$O1296,PNL!G1296))</f>
        <v/>
      </c>
      <c r="T1296" t="str">
        <f t="shared" si="83"/>
        <v/>
      </c>
    </row>
    <row r="1297" spans="1:20" x14ac:dyDescent="0.45">
      <c r="A1297" t="str">
        <f>IF(PNL!A1297="","",PNL!A1297)</f>
        <v/>
      </c>
      <c r="B1297" t="str">
        <f>IF(PNL!B1297="","",PNL!B1297)</f>
        <v/>
      </c>
      <c r="C1297" t="str">
        <f>IF(PNL!C1297="","",PNL!C1297)</f>
        <v/>
      </c>
      <c r="D1297" t="str">
        <f>IF(PNL!D1297="","",PNL!D1297)</f>
        <v/>
      </c>
      <c r="E1297" t="str">
        <f t="shared" si="80"/>
        <v/>
      </c>
      <c r="F1297" t="str">
        <f>IF($A1297="","",IF($E1297=1,SUMIFS(Compta!$F$1:$F$675,Compta!$A$1:$A$675,$A1297,Compta!$B$1:$B$675,$B1297,Compta!$C$1:$C$675,"2026"),0))</f>
        <v/>
      </c>
      <c r="G1297" t="str">
        <f>IF($A1297="","",IF($D1297="V01",cad!$C$23,IF($D1297="V02",cad!$D$23,cad!$E$23)))</f>
        <v/>
      </c>
      <c r="H1297" t="str">
        <f>IF($A1297="","",IF($D1297="V01",cad!$C$24,IF($D1297="V02",cad!$D$24,cad!$E$24)))</f>
        <v/>
      </c>
      <c r="I1297" t="str">
        <f>IF($A1297="","",IF($D1297="V01",cad!$C$32,IF($D1297="V02",cad!$D$32,cad!$E$32)))</f>
        <v/>
      </c>
      <c r="J1297" t="str">
        <f>IF($A1297="","",IF($D1297="V01",cad!$C$33,IF($D1297="V02",cad!$D$33,cad!$E$33)))</f>
        <v/>
      </c>
      <c r="K1297" t="str">
        <f>IF($A1297="","",IF($D1297="V01",cad!$C$34,IF($D1297="V02",cad!$D$34,cad!$E$34)))</f>
        <v/>
      </c>
      <c r="L1297" t="str">
        <f>IF($A1297="","",IF($D1297="V01",cad!$C$35,IF($D1297="V02",cad!$D$35,cad!$E$35)))</f>
        <v/>
      </c>
      <c r="M1297" t="str">
        <f>IF($A1297="","",IF($D1297="V01",cad!$C$36,IF($D1297="V02",cad!$D$36,cad!$E$36)))</f>
        <v/>
      </c>
      <c r="N1297" t="str">
        <f t="shared" si="81"/>
        <v/>
      </c>
      <c r="O1297" t="str">
        <f t="shared" si="82"/>
        <v/>
      </c>
      <c r="P1297" t="str">
        <f>IF($A1297="","",IF($E1297=1,$F1297*$O1297,PNL!G1297))</f>
        <v/>
      </c>
      <c r="T1297" t="str">
        <f t="shared" si="83"/>
        <v/>
      </c>
    </row>
    <row r="1298" spans="1:20" x14ac:dyDescent="0.45">
      <c r="A1298" t="str">
        <f>IF(PNL!A1298="","",PNL!A1298)</f>
        <v/>
      </c>
      <c r="B1298" t="str">
        <f>IF(PNL!B1298="","",PNL!B1298)</f>
        <v/>
      </c>
      <c r="C1298" t="str">
        <f>IF(PNL!C1298="","",PNL!C1298)</f>
        <v/>
      </c>
      <c r="D1298" t="str">
        <f>IF(PNL!D1298="","",PNL!D1298)</f>
        <v/>
      </c>
      <c r="E1298" t="str">
        <f t="shared" si="80"/>
        <v/>
      </c>
      <c r="F1298" t="str">
        <f>IF($A1298="","",IF($E1298=1,SUMIFS(Compta!$F$1:$F$675,Compta!$A$1:$A$675,$A1298,Compta!$B$1:$B$675,$B1298,Compta!$C$1:$C$675,"2026"),0))</f>
        <v/>
      </c>
      <c r="G1298" t="str">
        <f>IF($A1298="","",IF($D1298="V01",cad!$C$23,IF($D1298="V02",cad!$D$23,cad!$E$23)))</f>
        <v/>
      </c>
      <c r="H1298" t="str">
        <f>IF($A1298="","",IF($D1298="V01",cad!$C$24,IF($D1298="V02",cad!$D$24,cad!$E$24)))</f>
        <v/>
      </c>
      <c r="I1298" t="str">
        <f>IF($A1298="","",IF($D1298="V01",cad!$C$32,IF($D1298="V02",cad!$D$32,cad!$E$32)))</f>
        <v/>
      </c>
      <c r="J1298" t="str">
        <f>IF($A1298="","",IF($D1298="V01",cad!$C$33,IF($D1298="V02",cad!$D$33,cad!$E$33)))</f>
        <v/>
      </c>
      <c r="K1298" t="str">
        <f>IF($A1298="","",IF($D1298="V01",cad!$C$34,IF($D1298="V02",cad!$D$34,cad!$E$34)))</f>
        <v/>
      </c>
      <c r="L1298" t="str">
        <f>IF($A1298="","",IF($D1298="V01",cad!$C$35,IF($D1298="V02",cad!$D$35,cad!$E$35)))</f>
        <v/>
      </c>
      <c r="M1298" t="str">
        <f>IF($A1298="","",IF($D1298="V01",cad!$C$36,IF($D1298="V02",cad!$D$36,cad!$E$36)))</f>
        <v/>
      </c>
      <c r="N1298" t="str">
        <f t="shared" si="81"/>
        <v/>
      </c>
      <c r="O1298" t="str">
        <f t="shared" si="82"/>
        <v/>
      </c>
      <c r="P1298" t="str">
        <f>IF($A1298="","",IF($E1298=1,$F1298*$O1298,PNL!G1298))</f>
        <v/>
      </c>
      <c r="T1298" t="str">
        <f t="shared" si="83"/>
        <v/>
      </c>
    </row>
    <row r="1299" spans="1:20" x14ac:dyDescent="0.45">
      <c r="A1299" t="str">
        <f>IF(PNL!A1299="","",PNL!A1299)</f>
        <v/>
      </c>
      <c r="B1299" t="str">
        <f>IF(PNL!B1299="","",PNL!B1299)</f>
        <v/>
      </c>
      <c r="C1299" t="str">
        <f>IF(PNL!C1299="","",PNL!C1299)</f>
        <v/>
      </c>
      <c r="D1299" t="str">
        <f>IF(PNL!D1299="","",PNL!D1299)</f>
        <v/>
      </c>
      <c r="E1299" t="str">
        <f t="shared" si="80"/>
        <v/>
      </c>
      <c r="F1299" t="str">
        <f>IF($A1299="","",IF($E1299=1,SUMIFS(Compta!$F$1:$F$675,Compta!$A$1:$A$675,$A1299,Compta!$B$1:$B$675,$B1299,Compta!$C$1:$C$675,"2026"),0))</f>
        <v/>
      </c>
      <c r="G1299" t="str">
        <f>IF($A1299="","",IF($D1299="V01",cad!$C$23,IF($D1299="V02",cad!$D$23,cad!$E$23)))</f>
        <v/>
      </c>
      <c r="H1299" t="str">
        <f>IF($A1299="","",IF($D1299="V01",cad!$C$24,IF($D1299="V02",cad!$D$24,cad!$E$24)))</f>
        <v/>
      </c>
      <c r="I1299" t="str">
        <f>IF($A1299="","",IF($D1299="V01",cad!$C$32,IF($D1299="V02",cad!$D$32,cad!$E$32)))</f>
        <v/>
      </c>
      <c r="J1299" t="str">
        <f>IF($A1299="","",IF($D1299="V01",cad!$C$33,IF($D1299="V02",cad!$D$33,cad!$E$33)))</f>
        <v/>
      </c>
      <c r="K1299" t="str">
        <f>IF($A1299="","",IF($D1299="V01",cad!$C$34,IF($D1299="V02",cad!$D$34,cad!$E$34)))</f>
        <v/>
      </c>
      <c r="L1299" t="str">
        <f>IF($A1299="","",IF($D1299="V01",cad!$C$35,IF($D1299="V02",cad!$D$35,cad!$E$35)))</f>
        <v/>
      </c>
      <c r="M1299" t="str">
        <f>IF($A1299="","",IF($D1299="V01",cad!$C$36,IF($D1299="V02",cad!$D$36,cad!$E$36)))</f>
        <v/>
      </c>
      <c r="N1299" t="str">
        <f t="shared" si="81"/>
        <v/>
      </c>
      <c r="O1299" t="str">
        <f t="shared" si="82"/>
        <v/>
      </c>
      <c r="P1299" t="str">
        <f>IF($A1299="","",IF($E1299=1,$F1299*$O1299,PNL!G1299))</f>
        <v/>
      </c>
      <c r="T1299" t="str">
        <f t="shared" si="83"/>
        <v/>
      </c>
    </row>
    <row r="1300" spans="1:20" x14ac:dyDescent="0.45">
      <c r="A1300" t="str">
        <f>IF(PNL!A1300="","",PNL!A1300)</f>
        <v/>
      </c>
      <c r="B1300" t="str">
        <f>IF(PNL!B1300="","",PNL!B1300)</f>
        <v/>
      </c>
      <c r="C1300" t="str">
        <f>IF(PNL!C1300="","",PNL!C1300)</f>
        <v/>
      </c>
      <c r="D1300" t="str">
        <f>IF(PNL!D1300="","",PNL!D1300)</f>
        <v/>
      </c>
      <c r="E1300" t="str">
        <f t="shared" si="80"/>
        <v/>
      </c>
      <c r="F1300" t="str">
        <f>IF($A1300="","",IF($E1300=1,SUMIFS(Compta!$F$1:$F$675,Compta!$A$1:$A$675,$A1300,Compta!$B$1:$B$675,$B1300,Compta!$C$1:$C$675,"2026"),0))</f>
        <v/>
      </c>
      <c r="G1300" t="str">
        <f>IF($A1300="","",IF($D1300="V01",cad!$C$23,IF($D1300="V02",cad!$D$23,cad!$E$23)))</f>
        <v/>
      </c>
      <c r="H1300" t="str">
        <f>IF($A1300="","",IF($D1300="V01",cad!$C$24,IF($D1300="V02",cad!$D$24,cad!$E$24)))</f>
        <v/>
      </c>
      <c r="I1300" t="str">
        <f>IF($A1300="","",IF($D1300="V01",cad!$C$32,IF($D1300="V02",cad!$D$32,cad!$E$32)))</f>
        <v/>
      </c>
      <c r="J1300" t="str">
        <f>IF($A1300="","",IF($D1300="V01",cad!$C$33,IF($D1300="V02",cad!$D$33,cad!$E$33)))</f>
        <v/>
      </c>
      <c r="K1300" t="str">
        <f>IF($A1300="","",IF($D1300="V01",cad!$C$34,IF($D1300="V02",cad!$D$34,cad!$E$34)))</f>
        <v/>
      </c>
      <c r="L1300" t="str">
        <f>IF($A1300="","",IF($D1300="V01",cad!$C$35,IF($D1300="V02",cad!$D$35,cad!$E$35)))</f>
        <v/>
      </c>
      <c r="M1300" t="str">
        <f>IF($A1300="","",IF($D1300="V01",cad!$C$36,IF($D1300="V02",cad!$D$36,cad!$E$36)))</f>
        <v/>
      </c>
      <c r="N1300" t="str">
        <f t="shared" si="81"/>
        <v/>
      </c>
      <c r="O1300" t="str">
        <f t="shared" si="82"/>
        <v/>
      </c>
      <c r="P1300" t="str">
        <f>IF($A1300="","",IF($E1300=1,$F1300*$O1300,PNL!G1300))</f>
        <v/>
      </c>
      <c r="T1300" t="str">
        <f t="shared" si="83"/>
        <v/>
      </c>
    </row>
    <row r="1301" spans="1:20" x14ac:dyDescent="0.45">
      <c r="A1301" t="str">
        <f>IF(PNL!A1301="","",PNL!A1301)</f>
        <v/>
      </c>
      <c r="B1301" t="str">
        <f>IF(PNL!B1301="","",PNL!B1301)</f>
        <v/>
      </c>
      <c r="C1301" t="str">
        <f>IF(PNL!C1301="","",PNL!C1301)</f>
        <v/>
      </c>
      <c r="D1301" t="str">
        <f>IF(PNL!D1301="","",PNL!D1301)</f>
        <v/>
      </c>
      <c r="E1301" t="str">
        <f t="shared" si="80"/>
        <v/>
      </c>
      <c r="F1301" t="str">
        <f>IF($A1301="","",IF($E1301=1,SUMIFS(Compta!$F$1:$F$675,Compta!$A$1:$A$675,$A1301,Compta!$B$1:$B$675,$B1301,Compta!$C$1:$C$675,"2026"),0))</f>
        <v/>
      </c>
      <c r="G1301" t="str">
        <f>IF($A1301="","",IF($D1301="V01",cad!$C$23,IF($D1301="V02",cad!$D$23,cad!$E$23)))</f>
        <v/>
      </c>
      <c r="H1301" t="str">
        <f>IF($A1301="","",IF($D1301="V01",cad!$C$24,IF($D1301="V02",cad!$D$24,cad!$E$24)))</f>
        <v/>
      </c>
      <c r="I1301" t="str">
        <f>IF($A1301="","",IF($D1301="V01",cad!$C$32,IF($D1301="V02",cad!$D$32,cad!$E$32)))</f>
        <v/>
      </c>
      <c r="J1301" t="str">
        <f>IF($A1301="","",IF($D1301="V01",cad!$C$33,IF($D1301="V02",cad!$D$33,cad!$E$33)))</f>
        <v/>
      </c>
      <c r="K1301" t="str">
        <f>IF($A1301="","",IF($D1301="V01",cad!$C$34,IF($D1301="V02",cad!$D$34,cad!$E$34)))</f>
        <v/>
      </c>
      <c r="L1301" t="str">
        <f>IF($A1301="","",IF($D1301="V01",cad!$C$35,IF($D1301="V02",cad!$D$35,cad!$E$35)))</f>
        <v/>
      </c>
      <c r="M1301" t="str">
        <f>IF($A1301="","",IF($D1301="V01",cad!$C$36,IF($D1301="V02",cad!$D$36,cad!$E$36)))</f>
        <v/>
      </c>
      <c r="N1301" t="str">
        <f t="shared" si="81"/>
        <v/>
      </c>
      <c r="O1301" t="str">
        <f t="shared" si="82"/>
        <v/>
      </c>
      <c r="P1301" t="str">
        <f>IF($A1301="","",IF($E1301=1,$F1301*$O1301,PNL!G1301))</f>
        <v/>
      </c>
      <c r="T1301" t="str">
        <f t="shared" si="83"/>
        <v/>
      </c>
    </row>
    <row r="1302" spans="1:20" x14ac:dyDescent="0.45">
      <c r="A1302" t="str">
        <f>IF(PNL!A1302="","",PNL!A1302)</f>
        <v/>
      </c>
      <c r="B1302" t="str">
        <f>IF(PNL!B1302="","",PNL!B1302)</f>
        <v/>
      </c>
      <c r="C1302" t="str">
        <f>IF(PNL!C1302="","",PNL!C1302)</f>
        <v/>
      </c>
      <c r="D1302" t="str">
        <f>IF(PNL!D1302="","",PNL!D1302)</f>
        <v/>
      </c>
      <c r="E1302" t="str">
        <f t="shared" si="80"/>
        <v/>
      </c>
      <c r="F1302" t="str">
        <f>IF($A1302="","",IF($E1302=1,SUMIFS(Compta!$F$1:$F$675,Compta!$A$1:$A$675,$A1302,Compta!$B$1:$B$675,$B1302,Compta!$C$1:$C$675,"2026"),0))</f>
        <v/>
      </c>
      <c r="G1302" t="str">
        <f>IF($A1302="","",IF($D1302="V01",cad!$C$23,IF($D1302="V02",cad!$D$23,cad!$E$23)))</f>
        <v/>
      </c>
      <c r="H1302" t="str">
        <f>IF($A1302="","",IF($D1302="V01",cad!$C$24,IF($D1302="V02",cad!$D$24,cad!$E$24)))</f>
        <v/>
      </c>
      <c r="I1302" t="str">
        <f>IF($A1302="","",IF($D1302="V01",cad!$C$32,IF($D1302="V02",cad!$D$32,cad!$E$32)))</f>
        <v/>
      </c>
      <c r="J1302" t="str">
        <f>IF($A1302="","",IF($D1302="V01",cad!$C$33,IF($D1302="V02",cad!$D$33,cad!$E$33)))</f>
        <v/>
      </c>
      <c r="K1302" t="str">
        <f>IF($A1302="","",IF($D1302="V01",cad!$C$34,IF($D1302="V02",cad!$D$34,cad!$E$34)))</f>
        <v/>
      </c>
      <c r="L1302" t="str">
        <f>IF($A1302="","",IF($D1302="V01",cad!$C$35,IF($D1302="V02",cad!$D$35,cad!$E$35)))</f>
        <v/>
      </c>
      <c r="M1302" t="str">
        <f>IF($A1302="","",IF($D1302="V01",cad!$C$36,IF($D1302="V02",cad!$D$36,cad!$E$36)))</f>
        <v/>
      </c>
      <c r="N1302" t="str">
        <f t="shared" si="81"/>
        <v/>
      </c>
      <c r="O1302" t="str">
        <f t="shared" si="82"/>
        <v/>
      </c>
      <c r="P1302" t="str">
        <f>IF($A1302="","",IF($E1302=1,$F1302*$O1302,PNL!G1302))</f>
        <v/>
      </c>
      <c r="T1302" t="str">
        <f t="shared" si="83"/>
        <v/>
      </c>
    </row>
    <row r="1303" spans="1:20" x14ac:dyDescent="0.45">
      <c r="A1303" t="str">
        <f>IF(PNL!A1303="","",PNL!A1303)</f>
        <v/>
      </c>
      <c r="B1303" t="str">
        <f>IF(PNL!B1303="","",PNL!B1303)</f>
        <v/>
      </c>
      <c r="C1303" t="str">
        <f>IF(PNL!C1303="","",PNL!C1303)</f>
        <v/>
      </c>
      <c r="D1303" t="str">
        <f>IF(PNL!D1303="","",PNL!D1303)</f>
        <v/>
      </c>
      <c r="E1303" t="str">
        <f t="shared" si="80"/>
        <v/>
      </c>
      <c r="F1303" t="str">
        <f>IF($A1303="","",IF($E1303=1,SUMIFS(Compta!$F$1:$F$675,Compta!$A$1:$A$675,$A1303,Compta!$B$1:$B$675,$B1303,Compta!$C$1:$C$675,"2026"),0))</f>
        <v/>
      </c>
      <c r="G1303" t="str">
        <f>IF($A1303="","",IF($D1303="V01",cad!$C$23,IF($D1303="V02",cad!$D$23,cad!$E$23)))</f>
        <v/>
      </c>
      <c r="H1303" t="str">
        <f>IF($A1303="","",IF($D1303="V01",cad!$C$24,IF($D1303="V02",cad!$D$24,cad!$E$24)))</f>
        <v/>
      </c>
      <c r="I1303" t="str">
        <f>IF($A1303="","",IF($D1303="V01",cad!$C$32,IF($D1303="V02",cad!$D$32,cad!$E$32)))</f>
        <v/>
      </c>
      <c r="J1303" t="str">
        <f>IF($A1303="","",IF($D1303="V01",cad!$C$33,IF($D1303="V02",cad!$D$33,cad!$E$33)))</f>
        <v/>
      </c>
      <c r="K1303" t="str">
        <f>IF($A1303="","",IF($D1303="V01",cad!$C$34,IF($D1303="V02",cad!$D$34,cad!$E$34)))</f>
        <v/>
      </c>
      <c r="L1303" t="str">
        <f>IF($A1303="","",IF($D1303="V01",cad!$C$35,IF($D1303="V02",cad!$D$35,cad!$E$35)))</f>
        <v/>
      </c>
      <c r="M1303" t="str">
        <f>IF($A1303="","",IF($D1303="V01",cad!$C$36,IF($D1303="V02",cad!$D$36,cad!$E$36)))</f>
        <v/>
      </c>
      <c r="N1303" t="str">
        <f t="shared" si="81"/>
        <v/>
      </c>
      <c r="O1303" t="str">
        <f t="shared" si="82"/>
        <v/>
      </c>
      <c r="P1303" t="str">
        <f>IF($A1303="","",IF($E1303=1,$F1303*$O1303,PNL!G1303))</f>
        <v/>
      </c>
      <c r="T1303" t="str">
        <f t="shared" si="83"/>
        <v/>
      </c>
    </row>
    <row r="1304" spans="1:20" x14ac:dyDescent="0.45">
      <c r="A1304" t="str">
        <f>IF(PNL!A1304="","",PNL!A1304)</f>
        <v/>
      </c>
      <c r="B1304" t="str">
        <f>IF(PNL!B1304="","",PNL!B1304)</f>
        <v/>
      </c>
      <c r="C1304" t="str">
        <f>IF(PNL!C1304="","",PNL!C1304)</f>
        <v/>
      </c>
      <c r="D1304" t="str">
        <f>IF(PNL!D1304="","",PNL!D1304)</f>
        <v/>
      </c>
      <c r="E1304" t="str">
        <f t="shared" si="80"/>
        <v/>
      </c>
      <c r="F1304" t="str">
        <f>IF($A1304="","",IF($E1304=1,SUMIFS(Compta!$F$1:$F$675,Compta!$A$1:$A$675,$A1304,Compta!$B$1:$B$675,$B1304,Compta!$C$1:$C$675,"2026"),0))</f>
        <v/>
      </c>
      <c r="G1304" t="str">
        <f>IF($A1304="","",IF($D1304="V01",cad!$C$23,IF($D1304="V02",cad!$D$23,cad!$E$23)))</f>
        <v/>
      </c>
      <c r="H1304" t="str">
        <f>IF($A1304="","",IF($D1304="V01",cad!$C$24,IF($D1304="V02",cad!$D$24,cad!$E$24)))</f>
        <v/>
      </c>
      <c r="I1304" t="str">
        <f>IF($A1304="","",IF($D1304="V01",cad!$C$32,IF($D1304="V02",cad!$D$32,cad!$E$32)))</f>
        <v/>
      </c>
      <c r="J1304" t="str">
        <f>IF($A1304="","",IF($D1304="V01",cad!$C$33,IF($D1304="V02",cad!$D$33,cad!$E$33)))</f>
        <v/>
      </c>
      <c r="K1304" t="str">
        <f>IF($A1304="","",IF($D1304="V01",cad!$C$34,IF($D1304="V02",cad!$D$34,cad!$E$34)))</f>
        <v/>
      </c>
      <c r="L1304" t="str">
        <f>IF($A1304="","",IF($D1304="V01",cad!$C$35,IF($D1304="V02",cad!$D$35,cad!$E$35)))</f>
        <v/>
      </c>
      <c r="M1304" t="str">
        <f>IF($A1304="","",IF($D1304="V01",cad!$C$36,IF($D1304="V02",cad!$D$36,cad!$E$36)))</f>
        <v/>
      </c>
      <c r="N1304" t="str">
        <f t="shared" si="81"/>
        <v/>
      </c>
      <c r="O1304" t="str">
        <f t="shared" si="82"/>
        <v/>
      </c>
      <c r="P1304" t="str">
        <f>IF($A1304="","",IF($E1304=1,$F1304*$O1304,PNL!G1304))</f>
        <v/>
      </c>
      <c r="T1304" t="str">
        <f t="shared" si="83"/>
        <v/>
      </c>
    </row>
    <row r="1305" spans="1:20" x14ac:dyDescent="0.45">
      <c r="A1305" t="str">
        <f>IF(PNL!A1305="","",PNL!A1305)</f>
        <v/>
      </c>
      <c r="B1305" t="str">
        <f>IF(PNL!B1305="","",PNL!B1305)</f>
        <v/>
      </c>
      <c r="C1305" t="str">
        <f>IF(PNL!C1305="","",PNL!C1305)</f>
        <v/>
      </c>
      <c r="D1305" t="str">
        <f>IF(PNL!D1305="","",PNL!D1305)</f>
        <v/>
      </c>
      <c r="E1305" t="str">
        <f t="shared" si="80"/>
        <v/>
      </c>
      <c r="F1305" t="str">
        <f>IF($A1305="","",IF($E1305=1,SUMIFS(Compta!$F$1:$F$675,Compta!$A$1:$A$675,$A1305,Compta!$B$1:$B$675,$B1305,Compta!$C$1:$C$675,"2026"),0))</f>
        <v/>
      </c>
      <c r="G1305" t="str">
        <f>IF($A1305="","",IF($D1305="V01",cad!$C$23,IF($D1305="V02",cad!$D$23,cad!$E$23)))</f>
        <v/>
      </c>
      <c r="H1305" t="str">
        <f>IF($A1305="","",IF($D1305="V01",cad!$C$24,IF($D1305="V02",cad!$D$24,cad!$E$24)))</f>
        <v/>
      </c>
      <c r="I1305" t="str">
        <f>IF($A1305="","",IF($D1305="V01",cad!$C$32,IF($D1305="V02",cad!$D$32,cad!$E$32)))</f>
        <v/>
      </c>
      <c r="J1305" t="str">
        <f>IF($A1305="","",IF($D1305="V01",cad!$C$33,IF($D1305="V02",cad!$D$33,cad!$E$33)))</f>
        <v/>
      </c>
      <c r="K1305" t="str">
        <f>IF($A1305="","",IF($D1305="V01",cad!$C$34,IF($D1305="V02",cad!$D$34,cad!$E$34)))</f>
        <v/>
      </c>
      <c r="L1305" t="str">
        <f>IF($A1305="","",IF($D1305="V01",cad!$C$35,IF($D1305="V02",cad!$D$35,cad!$E$35)))</f>
        <v/>
      </c>
      <c r="M1305" t="str">
        <f>IF($A1305="","",IF($D1305="V01",cad!$C$36,IF($D1305="V02",cad!$D$36,cad!$E$36)))</f>
        <v/>
      </c>
      <c r="N1305" t="str">
        <f t="shared" si="81"/>
        <v/>
      </c>
      <c r="O1305" t="str">
        <f t="shared" si="82"/>
        <v/>
      </c>
      <c r="P1305" t="str">
        <f>IF($A1305="","",IF($E1305=1,$F1305*$O1305,PNL!G1305))</f>
        <v/>
      </c>
      <c r="T1305" t="str">
        <f t="shared" si="83"/>
        <v/>
      </c>
    </row>
    <row r="1306" spans="1:20" x14ac:dyDescent="0.45">
      <c r="A1306" t="str">
        <f>IF(PNL!A1306="","",PNL!A1306)</f>
        <v/>
      </c>
      <c r="B1306" t="str">
        <f>IF(PNL!B1306="","",PNL!B1306)</f>
        <v/>
      </c>
      <c r="C1306" t="str">
        <f>IF(PNL!C1306="","",PNL!C1306)</f>
        <v/>
      </c>
      <c r="D1306" t="str">
        <f>IF(PNL!D1306="","",PNL!D1306)</f>
        <v/>
      </c>
      <c r="E1306" t="str">
        <f t="shared" si="80"/>
        <v/>
      </c>
      <c r="F1306" t="str">
        <f>IF($A1306="","",IF($E1306=1,SUMIFS(Compta!$F$1:$F$675,Compta!$A$1:$A$675,$A1306,Compta!$B$1:$B$675,$B1306,Compta!$C$1:$C$675,"2026"),0))</f>
        <v/>
      </c>
      <c r="G1306" t="str">
        <f>IF($A1306="","",IF($D1306="V01",cad!$C$23,IF($D1306="V02",cad!$D$23,cad!$E$23)))</f>
        <v/>
      </c>
      <c r="H1306" t="str">
        <f>IF($A1306="","",IF($D1306="V01",cad!$C$24,IF($D1306="V02",cad!$D$24,cad!$E$24)))</f>
        <v/>
      </c>
      <c r="I1306" t="str">
        <f>IF($A1306="","",IF($D1306="V01",cad!$C$32,IF($D1306="V02",cad!$D$32,cad!$E$32)))</f>
        <v/>
      </c>
      <c r="J1306" t="str">
        <f>IF($A1306="","",IF($D1306="V01",cad!$C$33,IF($D1306="V02",cad!$D$33,cad!$E$33)))</f>
        <v/>
      </c>
      <c r="K1306" t="str">
        <f>IF($A1306="","",IF($D1306="V01",cad!$C$34,IF($D1306="V02",cad!$D$34,cad!$E$34)))</f>
        <v/>
      </c>
      <c r="L1306" t="str">
        <f>IF($A1306="","",IF($D1306="V01",cad!$C$35,IF($D1306="V02",cad!$D$35,cad!$E$35)))</f>
        <v/>
      </c>
      <c r="M1306" t="str">
        <f>IF($A1306="","",IF($D1306="V01",cad!$C$36,IF($D1306="V02",cad!$D$36,cad!$E$36)))</f>
        <v/>
      </c>
      <c r="N1306" t="str">
        <f t="shared" si="81"/>
        <v/>
      </c>
      <c r="O1306" t="str">
        <f t="shared" si="82"/>
        <v/>
      </c>
      <c r="P1306" t="str">
        <f>IF($A1306="","",IF($E1306=1,$F1306*$O1306,PNL!G1306))</f>
        <v/>
      </c>
      <c r="T1306" t="str">
        <f t="shared" si="83"/>
        <v/>
      </c>
    </row>
    <row r="1307" spans="1:20" x14ac:dyDescent="0.45">
      <c r="A1307" t="str">
        <f>IF(PNL!A1307="","",PNL!A1307)</f>
        <v/>
      </c>
      <c r="B1307" t="str">
        <f>IF(PNL!B1307="","",PNL!B1307)</f>
        <v/>
      </c>
      <c r="C1307" t="str">
        <f>IF(PNL!C1307="","",PNL!C1307)</f>
        <v/>
      </c>
      <c r="D1307" t="str">
        <f>IF(PNL!D1307="","",PNL!D1307)</f>
        <v/>
      </c>
      <c r="E1307" t="str">
        <f t="shared" si="80"/>
        <v/>
      </c>
      <c r="F1307" t="str">
        <f>IF($A1307="","",IF($E1307=1,SUMIFS(Compta!$F$1:$F$675,Compta!$A$1:$A$675,$A1307,Compta!$B$1:$B$675,$B1307,Compta!$C$1:$C$675,"2026"),0))</f>
        <v/>
      </c>
      <c r="G1307" t="str">
        <f>IF($A1307="","",IF($D1307="V01",cad!$C$23,IF($D1307="V02",cad!$D$23,cad!$E$23)))</f>
        <v/>
      </c>
      <c r="H1307" t="str">
        <f>IF($A1307="","",IF($D1307="V01",cad!$C$24,IF($D1307="V02",cad!$D$24,cad!$E$24)))</f>
        <v/>
      </c>
      <c r="I1307" t="str">
        <f>IF($A1307="","",IF($D1307="V01",cad!$C$32,IF($D1307="V02",cad!$D$32,cad!$E$32)))</f>
        <v/>
      </c>
      <c r="J1307" t="str">
        <f>IF($A1307="","",IF($D1307="V01",cad!$C$33,IF($D1307="V02",cad!$D$33,cad!$E$33)))</f>
        <v/>
      </c>
      <c r="K1307" t="str">
        <f>IF($A1307="","",IF($D1307="V01",cad!$C$34,IF($D1307="V02",cad!$D$34,cad!$E$34)))</f>
        <v/>
      </c>
      <c r="L1307" t="str">
        <f>IF($A1307="","",IF($D1307="V01",cad!$C$35,IF($D1307="V02",cad!$D$35,cad!$E$35)))</f>
        <v/>
      </c>
      <c r="M1307" t="str">
        <f>IF($A1307="","",IF($D1307="V01",cad!$C$36,IF($D1307="V02",cad!$D$36,cad!$E$36)))</f>
        <v/>
      </c>
      <c r="N1307" t="str">
        <f t="shared" si="81"/>
        <v/>
      </c>
      <c r="O1307" t="str">
        <f t="shared" si="82"/>
        <v/>
      </c>
      <c r="P1307" t="str">
        <f>IF($A1307="","",IF($E1307=1,$F1307*$O1307,PNL!G1307))</f>
        <v/>
      </c>
      <c r="T1307" t="str">
        <f t="shared" si="83"/>
        <v/>
      </c>
    </row>
    <row r="1308" spans="1:20" x14ac:dyDescent="0.45">
      <c r="A1308" t="str">
        <f>IF(PNL!A1308="","",PNL!A1308)</f>
        <v/>
      </c>
      <c r="B1308" t="str">
        <f>IF(PNL!B1308="","",PNL!B1308)</f>
        <v/>
      </c>
      <c r="C1308" t="str">
        <f>IF(PNL!C1308="","",PNL!C1308)</f>
        <v/>
      </c>
      <c r="D1308" t="str">
        <f>IF(PNL!D1308="","",PNL!D1308)</f>
        <v/>
      </c>
      <c r="E1308" t="str">
        <f t="shared" si="80"/>
        <v/>
      </c>
      <c r="F1308" t="str">
        <f>IF($A1308="","",IF($E1308=1,SUMIFS(Compta!$F$1:$F$675,Compta!$A$1:$A$675,$A1308,Compta!$B$1:$B$675,$B1308,Compta!$C$1:$C$675,"2026"),0))</f>
        <v/>
      </c>
      <c r="G1308" t="str">
        <f>IF($A1308="","",IF($D1308="V01",cad!$C$23,IF($D1308="V02",cad!$D$23,cad!$E$23)))</f>
        <v/>
      </c>
      <c r="H1308" t="str">
        <f>IF($A1308="","",IF($D1308="V01",cad!$C$24,IF($D1308="V02",cad!$D$24,cad!$E$24)))</f>
        <v/>
      </c>
      <c r="I1308" t="str">
        <f>IF($A1308="","",IF($D1308="V01",cad!$C$32,IF($D1308="V02",cad!$D$32,cad!$E$32)))</f>
        <v/>
      </c>
      <c r="J1308" t="str">
        <f>IF($A1308="","",IF($D1308="V01",cad!$C$33,IF($D1308="V02",cad!$D$33,cad!$E$33)))</f>
        <v/>
      </c>
      <c r="K1308" t="str">
        <f>IF($A1308="","",IF($D1308="V01",cad!$C$34,IF($D1308="V02",cad!$D$34,cad!$E$34)))</f>
        <v/>
      </c>
      <c r="L1308" t="str">
        <f>IF($A1308="","",IF($D1308="V01",cad!$C$35,IF($D1308="V02",cad!$D$35,cad!$E$35)))</f>
        <v/>
      </c>
      <c r="M1308" t="str">
        <f>IF($A1308="","",IF($D1308="V01",cad!$C$36,IF($D1308="V02",cad!$D$36,cad!$E$36)))</f>
        <v/>
      </c>
      <c r="N1308" t="str">
        <f t="shared" si="81"/>
        <v/>
      </c>
      <c r="O1308" t="str">
        <f t="shared" si="82"/>
        <v/>
      </c>
      <c r="P1308" t="str">
        <f>IF($A1308="","",IF($E1308=1,$F1308*$O1308,PNL!G1308))</f>
        <v/>
      </c>
      <c r="T1308" t="str">
        <f t="shared" si="83"/>
        <v/>
      </c>
    </row>
    <row r="1309" spans="1:20" x14ac:dyDescent="0.45">
      <c r="A1309" t="str">
        <f>IF(PNL!A1309="","",PNL!A1309)</f>
        <v/>
      </c>
      <c r="B1309" t="str">
        <f>IF(PNL!B1309="","",PNL!B1309)</f>
        <v/>
      </c>
      <c r="C1309" t="str">
        <f>IF(PNL!C1309="","",PNL!C1309)</f>
        <v/>
      </c>
      <c r="D1309" t="str">
        <f>IF(PNL!D1309="","",PNL!D1309)</f>
        <v/>
      </c>
      <c r="E1309" t="str">
        <f t="shared" si="80"/>
        <v/>
      </c>
      <c r="F1309" t="str">
        <f>IF($A1309="","",IF($E1309=1,SUMIFS(Compta!$F$1:$F$675,Compta!$A$1:$A$675,$A1309,Compta!$B$1:$B$675,$B1309,Compta!$C$1:$C$675,"2026"),0))</f>
        <v/>
      </c>
      <c r="G1309" t="str">
        <f>IF($A1309="","",IF($D1309="V01",cad!$C$23,IF($D1309="V02",cad!$D$23,cad!$E$23)))</f>
        <v/>
      </c>
      <c r="H1309" t="str">
        <f>IF($A1309="","",IF($D1309="V01",cad!$C$24,IF($D1309="V02",cad!$D$24,cad!$E$24)))</f>
        <v/>
      </c>
      <c r="I1309" t="str">
        <f>IF($A1309="","",IF($D1309="V01",cad!$C$32,IF($D1309="V02",cad!$D$32,cad!$E$32)))</f>
        <v/>
      </c>
      <c r="J1309" t="str">
        <f>IF($A1309="","",IF($D1309="V01",cad!$C$33,IF($D1309="V02",cad!$D$33,cad!$E$33)))</f>
        <v/>
      </c>
      <c r="K1309" t="str">
        <f>IF($A1309="","",IF($D1309="V01",cad!$C$34,IF($D1309="V02",cad!$D$34,cad!$E$34)))</f>
        <v/>
      </c>
      <c r="L1309" t="str">
        <f>IF($A1309="","",IF($D1309="V01",cad!$C$35,IF($D1309="V02",cad!$D$35,cad!$E$35)))</f>
        <v/>
      </c>
      <c r="M1309" t="str">
        <f>IF($A1309="","",IF($D1309="V01",cad!$C$36,IF($D1309="V02",cad!$D$36,cad!$E$36)))</f>
        <v/>
      </c>
      <c r="N1309" t="str">
        <f t="shared" si="81"/>
        <v/>
      </c>
      <c r="O1309" t="str">
        <f t="shared" si="82"/>
        <v/>
      </c>
      <c r="P1309" t="str">
        <f>IF($A1309="","",IF($E1309=1,$F1309*$O1309,PNL!G1309))</f>
        <v/>
      </c>
      <c r="T1309" t="str">
        <f t="shared" si="83"/>
        <v/>
      </c>
    </row>
    <row r="1310" spans="1:20" x14ac:dyDescent="0.45">
      <c r="A1310" t="str">
        <f>IF(PNL!A1310="","",PNL!A1310)</f>
        <v/>
      </c>
      <c r="B1310" t="str">
        <f>IF(PNL!B1310="","",PNL!B1310)</f>
        <v/>
      </c>
      <c r="C1310" t="str">
        <f>IF(PNL!C1310="","",PNL!C1310)</f>
        <v/>
      </c>
      <c r="D1310" t="str">
        <f>IF(PNL!D1310="","",PNL!D1310)</f>
        <v/>
      </c>
      <c r="E1310" t="str">
        <f t="shared" si="80"/>
        <v/>
      </c>
      <c r="F1310" t="str">
        <f>IF($A1310="","",IF($E1310=1,SUMIFS(Compta!$F$1:$F$675,Compta!$A$1:$A$675,$A1310,Compta!$B$1:$B$675,$B1310,Compta!$C$1:$C$675,"2026"),0))</f>
        <v/>
      </c>
      <c r="G1310" t="str">
        <f>IF($A1310="","",IF($D1310="V01",cad!$C$23,IF($D1310="V02",cad!$D$23,cad!$E$23)))</f>
        <v/>
      </c>
      <c r="H1310" t="str">
        <f>IF($A1310="","",IF($D1310="V01",cad!$C$24,IF($D1310="V02",cad!$D$24,cad!$E$24)))</f>
        <v/>
      </c>
      <c r="I1310" t="str">
        <f>IF($A1310="","",IF($D1310="V01",cad!$C$32,IF($D1310="V02",cad!$D$32,cad!$E$32)))</f>
        <v/>
      </c>
      <c r="J1310" t="str">
        <f>IF($A1310="","",IF($D1310="V01",cad!$C$33,IF($D1310="V02",cad!$D$33,cad!$E$33)))</f>
        <v/>
      </c>
      <c r="K1310" t="str">
        <f>IF($A1310="","",IF($D1310="V01",cad!$C$34,IF($D1310="V02",cad!$D$34,cad!$E$34)))</f>
        <v/>
      </c>
      <c r="L1310" t="str">
        <f>IF($A1310="","",IF($D1310="V01",cad!$C$35,IF($D1310="V02",cad!$D$35,cad!$E$35)))</f>
        <v/>
      </c>
      <c r="M1310" t="str">
        <f>IF($A1310="","",IF($D1310="V01",cad!$C$36,IF($D1310="V02",cad!$D$36,cad!$E$36)))</f>
        <v/>
      </c>
      <c r="N1310" t="str">
        <f t="shared" si="81"/>
        <v/>
      </c>
      <c r="O1310" t="str">
        <f t="shared" si="82"/>
        <v/>
      </c>
      <c r="P1310" t="str">
        <f>IF($A1310="","",IF($E1310=1,$F1310*$O1310,PNL!G1310))</f>
        <v/>
      </c>
      <c r="T1310" t="str">
        <f t="shared" si="83"/>
        <v/>
      </c>
    </row>
    <row r="1311" spans="1:20" x14ac:dyDescent="0.45">
      <c r="A1311" t="str">
        <f>IF(PNL!A1311="","",PNL!A1311)</f>
        <v/>
      </c>
      <c r="B1311" t="str">
        <f>IF(PNL!B1311="","",PNL!B1311)</f>
        <v/>
      </c>
      <c r="C1311" t="str">
        <f>IF(PNL!C1311="","",PNL!C1311)</f>
        <v/>
      </c>
      <c r="D1311" t="str">
        <f>IF(PNL!D1311="","",PNL!D1311)</f>
        <v/>
      </c>
      <c r="E1311" t="str">
        <f t="shared" si="80"/>
        <v/>
      </c>
      <c r="F1311" t="str">
        <f>IF($A1311="","",IF($E1311=1,SUMIFS(Compta!$F$1:$F$675,Compta!$A$1:$A$675,$A1311,Compta!$B$1:$B$675,$B1311,Compta!$C$1:$C$675,"2026"),0))</f>
        <v/>
      </c>
      <c r="G1311" t="str">
        <f>IF($A1311="","",IF($D1311="V01",cad!$C$23,IF($D1311="V02",cad!$D$23,cad!$E$23)))</f>
        <v/>
      </c>
      <c r="H1311" t="str">
        <f>IF($A1311="","",IF($D1311="V01",cad!$C$24,IF($D1311="V02",cad!$D$24,cad!$E$24)))</f>
        <v/>
      </c>
      <c r="I1311" t="str">
        <f>IF($A1311="","",IF($D1311="V01",cad!$C$32,IF($D1311="V02",cad!$D$32,cad!$E$32)))</f>
        <v/>
      </c>
      <c r="J1311" t="str">
        <f>IF($A1311="","",IF($D1311="V01",cad!$C$33,IF($D1311="V02",cad!$D$33,cad!$E$33)))</f>
        <v/>
      </c>
      <c r="K1311" t="str">
        <f>IF($A1311="","",IF($D1311="V01",cad!$C$34,IF($D1311="V02",cad!$D$34,cad!$E$34)))</f>
        <v/>
      </c>
      <c r="L1311" t="str">
        <f>IF($A1311="","",IF($D1311="V01",cad!$C$35,IF($D1311="V02",cad!$D$35,cad!$E$35)))</f>
        <v/>
      </c>
      <c r="M1311" t="str">
        <f>IF($A1311="","",IF($D1311="V01",cad!$C$36,IF($D1311="V02",cad!$D$36,cad!$E$36)))</f>
        <v/>
      </c>
      <c r="N1311" t="str">
        <f t="shared" si="81"/>
        <v/>
      </c>
      <c r="O1311" t="str">
        <f t="shared" si="82"/>
        <v/>
      </c>
      <c r="P1311" t="str">
        <f>IF($A1311="","",IF($E1311=1,$F1311*$O1311,PNL!G1311))</f>
        <v/>
      </c>
      <c r="T1311" t="str">
        <f t="shared" si="83"/>
        <v/>
      </c>
    </row>
    <row r="1312" spans="1:20" x14ac:dyDescent="0.45">
      <c r="A1312" t="str">
        <f>IF(PNL!A1312="","",PNL!A1312)</f>
        <v/>
      </c>
      <c r="B1312" t="str">
        <f>IF(PNL!B1312="","",PNL!B1312)</f>
        <v/>
      </c>
      <c r="C1312" t="str">
        <f>IF(PNL!C1312="","",PNL!C1312)</f>
        <v/>
      </c>
      <c r="D1312" t="str">
        <f>IF(PNL!D1312="","",PNL!D1312)</f>
        <v/>
      </c>
      <c r="E1312" t="str">
        <f t="shared" si="80"/>
        <v/>
      </c>
      <c r="F1312" t="str">
        <f>IF($A1312="","",IF($E1312=1,SUMIFS(Compta!$F$1:$F$675,Compta!$A$1:$A$675,$A1312,Compta!$B$1:$B$675,$B1312,Compta!$C$1:$C$675,"2026"),0))</f>
        <v/>
      </c>
      <c r="G1312" t="str">
        <f>IF($A1312="","",IF($D1312="V01",cad!$C$23,IF($D1312="V02",cad!$D$23,cad!$E$23)))</f>
        <v/>
      </c>
      <c r="H1312" t="str">
        <f>IF($A1312="","",IF($D1312="V01",cad!$C$24,IF($D1312="V02",cad!$D$24,cad!$E$24)))</f>
        <v/>
      </c>
      <c r="I1312" t="str">
        <f>IF($A1312="","",IF($D1312="V01",cad!$C$32,IF($D1312="V02",cad!$D$32,cad!$E$32)))</f>
        <v/>
      </c>
      <c r="J1312" t="str">
        <f>IF($A1312="","",IF($D1312="V01",cad!$C$33,IF($D1312="V02",cad!$D$33,cad!$E$33)))</f>
        <v/>
      </c>
      <c r="K1312" t="str">
        <f>IF($A1312="","",IF($D1312="V01",cad!$C$34,IF($D1312="V02",cad!$D$34,cad!$E$34)))</f>
        <v/>
      </c>
      <c r="L1312" t="str">
        <f>IF($A1312="","",IF($D1312="V01",cad!$C$35,IF($D1312="V02",cad!$D$35,cad!$E$35)))</f>
        <v/>
      </c>
      <c r="M1312" t="str">
        <f>IF($A1312="","",IF($D1312="V01",cad!$C$36,IF($D1312="V02",cad!$D$36,cad!$E$36)))</f>
        <v/>
      </c>
      <c r="N1312" t="str">
        <f t="shared" si="81"/>
        <v/>
      </c>
      <c r="O1312" t="str">
        <f t="shared" si="82"/>
        <v/>
      </c>
      <c r="P1312" t="str">
        <f>IF($A1312="","",IF($E1312=1,$F1312*$O1312,PNL!G1312))</f>
        <v/>
      </c>
      <c r="T1312" t="str">
        <f t="shared" si="83"/>
        <v/>
      </c>
    </row>
    <row r="1313" spans="1:20" x14ac:dyDescent="0.45">
      <c r="A1313" t="str">
        <f>IF(PNL!A1313="","",PNL!A1313)</f>
        <v/>
      </c>
      <c r="B1313" t="str">
        <f>IF(PNL!B1313="","",PNL!B1313)</f>
        <v/>
      </c>
      <c r="C1313" t="str">
        <f>IF(PNL!C1313="","",PNL!C1313)</f>
        <v/>
      </c>
      <c r="D1313" t="str">
        <f>IF(PNL!D1313="","",PNL!D1313)</f>
        <v/>
      </c>
      <c r="E1313" t="str">
        <f t="shared" si="80"/>
        <v/>
      </c>
      <c r="F1313" t="str">
        <f>IF($A1313="","",IF($E1313=1,SUMIFS(Compta!$F$1:$F$675,Compta!$A$1:$A$675,$A1313,Compta!$B$1:$B$675,$B1313,Compta!$C$1:$C$675,"2026"),0))</f>
        <v/>
      </c>
      <c r="G1313" t="str">
        <f>IF($A1313="","",IF($D1313="V01",cad!$C$23,IF($D1313="V02",cad!$D$23,cad!$E$23)))</f>
        <v/>
      </c>
      <c r="H1313" t="str">
        <f>IF($A1313="","",IF($D1313="V01",cad!$C$24,IF($D1313="V02",cad!$D$24,cad!$E$24)))</f>
        <v/>
      </c>
      <c r="I1313" t="str">
        <f>IF($A1313="","",IF($D1313="V01",cad!$C$32,IF($D1313="V02",cad!$D$32,cad!$E$32)))</f>
        <v/>
      </c>
      <c r="J1313" t="str">
        <f>IF($A1313="","",IF($D1313="V01",cad!$C$33,IF($D1313="V02",cad!$D$33,cad!$E$33)))</f>
        <v/>
      </c>
      <c r="K1313" t="str">
        <f>IF($A1313="","",IF($D1313="V01",cad!$C$34,IF($D1313="V02",cad!$D$34,cad!$E$34)))</f>
        <v/>
      </c>
      <c r="L1313" t="str">
        <f>IF($A1313="","",IF($D1313="V01",cad!$C$35,IF($D1313="V02",cad!$D$35,cad!$E$35)))</f>
        <v/>
      </c>
      <c r="M1313" t="str">
        <f>IF($A1313="","",IF($D1313="V01",cad!$C$36,IF($D1313="V02",cad!$D$36,cad!$E$36)))</f>
        <v/>
      </c>
      <c r="N1313" t="str">
        <f t="shared" si="81"/>
        <v/>
      </c>
      <c r="O1313" t="str">
        <f t="shared" si="82"/>
        <v/>
      </c>
      <c r="P1313" t="str">
        <f>IF($A1313="","",IF($E1313=1,$F1313*$O1313,PNL!G1313))</f>
        <v/>
      </c>
      <c r="T1313" t="str">
        <f t="shared" si="83"/>
        <v/>
      </c>
    </row>
    <row r="1314" spans="1:20" x14ac:dyDescent="0.45">
      <c r="A1314" t="str">
        <f>IF(PNL!A1314="","",PNL!A1314)</f>
        <v/>
      </c>
      <c r="B1314" t="str">
        <f>IF(PNL!B1314="","",PNL!B1314)</f>
        <v/>
      </c>
      <c r="C1314" t="str">
        <f>IF(PNL!C1314="","",PNL!C1314)</f>
        <v/>
      </c>
      <c r="D1314" t="str">
        <f>IF(PNL!D1314="","",PNL!D1314)</f>
        <v/>
      </c>
      <c r="E1314" t="str">
        <f t="shared" si="80"/>
        <v/>
      </c>
      <c r="F1314" t="str">
        <f>IF($A1314="","",IF($E1314=1,SUMIFS(Compta!$F$1:$F$675,Compta!$A$1:$A$675,$A1314,Compta!$B$1:$B$675,$B1314,Compta!$C$1:$C$675,"2026"),0))</f>
        <v/>
      </c>
      <c r="G1314" t="str">
        <f>IF($A1314="","",IF($D1314="V01",cad!$C$23,IF($D1314="V02",cad!$D$23,cad!$E$23)))</f>
        <v/>
      </c>
      <c r="H1314" t="str">
        <f>IF($A1314="","",IF($D1314="V01",cad!$C$24,IF($D1314="V02",cad!$D$24,cad!$E$24)))</f>
        <v/>
      </c>
      <c r="I1314" t="str">
        <f>IF($A1314="","",IF($D1314="V01",cad!$C$32,IF($D1314="V02",cad!$D$32,cad!$E$32)))</f>
        <v/>
      </c>
      <c r="J1314" t="str">
        <f>IF($A1314="","",IF($D1314="V01",cad!$C$33,IF($D1314="V02",cad!$D$33,cad!$E$33)))</f>
        <v/>
      </c>
      <c r="K1314" t="str">
        <f>IF($A1314="","",IF($D1314="V01",cad!$C$34,IF($D1314="V02",cad!$D$34,cad!$E$34)))</f>
        <v/>
      </c>
      <c r="L1314" t="str">
        <f>IF($A1314="","",IF($D1314="V01",cad!$C$35,IF($D1314="V02",cad!$D$35,cad!$E$35)))</f>
        <v/>
      </c>
      <c r="M1314" t="str">
        <f>IF($A1314="","",IF($D1314="V01",cad!$C$36,IF($D1314="V02",cad!$D$36,cad!$E$36)))</f>
        <v/>
      </c>
      <c r="N1314" t="str">
        <f t="shared" si="81"/>
        <v/>
      </c>
      <c r="O1314" t="str">
        <f t="shared" si="82"/>
        <v/>
      </c>
      <c r="P1314" t="str">
        <f>IF($A1314="","",IF($E1314=1,$F1314*$O1314,PNL!G1314))</f>
        <v/>
      </c>
      <c r="T1314" t="str">
        <f t="shared" si="83"/>
        <v/>
      </c>
    </row>
    <row r="1315" spans="1:20" x14ac:dyDescent="0.45">
      <c r="A1315" t="str">
        <f>IF(PNL!A1315="","",PNL!A1315)</f>
        <v/>
      </c>
      <c r="B1315" t="str">
        <f>IF(PNL!B1315="","",PNL!B1315)</f>
        <v/>
      </c>
      <c r="C1315" t="str">
        <f>IF(PNL!C1315="","",PNL!C1315)</f>
        <v/>
      </c>
      <c r="D1315" t="str">
        <f>IF(PNL!D1315="","",PNL!D1315)</f>
        <v/>
      </c>
      <c r="E1315" t="str">
        <f t="shared" si="80"/>
        <v/>
      </c>
      <c r="F1315" t="str">
        <f>IF($A1315="","",IF($E1315=1,SUMIFS(Compta!$F$1:$F$675,Compta!$A$1:$A$675,$A1315,Compta!$B$1:$B$675,$B1315,Compta!$C$1:$C$675,"2026"),0))</f>
        <v/>
      </c>
      <c r="G1315" t="str">
        <f>IF($A1315="","",IF($D1315="V01",cad!$C$23,IF($D1315="V02",cad!$D$23,cad!$E$23)))</f>
        <v/>
      </c>
      <c r="H1315" t="str">
        <f>IF($A1315="","",IF($D1315="V01",cad!$C$24,IF($D1315="V02",cad!$D$24,cad!$E$24)))</f>
        <v/>
      </c>
      <c r="I1315" t="str">
        <f>IF($A1315="","",IF($D1315="V01",cad!$C$32,IF($D1315="V02",cad!$D$32,cad!$E$32)))</f>
        <v/>
      </c>
      <c r="J1315" t="str">
        <f>IF($A1315="","",IF($D1315="V01",cad!$C$33,IF($D1315="V02",cad!$D$33,cad!$E$33)))</f>
        <v/>
      </c>
      <c r="K1315" t="str">
        <f>IF($A1315="","",IF($D1315="V01",cad!$C$34,IF($D1315="V02",cad!$D$34,cad!$E$34)))</f>
        <v/>
      </c>
      <c r="L1315" t="str">
        <f>IF($A1315="","",IF($D1315="V01",cad!$C$35,IF($D1315="V02",cad!$D$35,cad!$E$35)))</f>
        <v/>
      </c>
      <c r="M1315" t="str">
        <f>IF($A1315="","",IF($D1315="V01",cad!$C$36,IF($D1315="V02",cad!$D$36,cad!$E$36)))</f>
        <v/>
      </c>
      <c r="N1315" t="str">
        <f t="shared" si="81"/>
        <v/>
      </c>
      <c r="O1315" t="str">
        <f t="shared" si="82"/>
        <v/>
      </c>
      <c r="P1315" t="str">
        <f>IF($A1315="","",IF($E1315=1,$F1315*$O1315,PNL!G1315))</f>
        <v/>
      </c>
      <c r="T1315" t="str">
        <f t="shared" si="83"/>
        <v/>
      </c>
    </row>
    <row r="1316" spans="1:20" x14ac:dyDescent="0.45">
      <c r="A1316" t="str">
        <f>IF(PNL!A1316="","",PNL!A1316)</f>
        <v/>
      </c>
      <c r="B1316" t="str">
        <f>IF(PNL!B1316="","",PNL!B1316)</f>
        <v/>
      </c>
      <c r="C1316" t="str">
        <f>IF(PNL!C1316="","",PNL!C1316)</f>
        <v/>
      </c>
      <c r="D1316" t="str">
        <f>IF(PNL!D1316="","",PNL!D1316)</f>
        <v/>
      </c>
      <c r="E1316" t="str">
        <f t="shared" si="80"/>
        <v/>
      </c>
      <c r="F1316" t="str">
        <f>IF($A1316="","",IF($E1316=1,SUMIFS(Compta!$F$1:$F$675,Compta!$A$1:$A$675,$A1316,Compta!$B$1:$B$675,$B1316,Compta!$C$1:$C$675,"2026"),0))</f>
        <v/>
      </c>
      <c r="G1316" t="str">
        <f>IF($A1316="","",IF($D1316="V01",cad!$C$23,IF($D1316="V02",cad!$D$23,cad!$E$23)))</f>
        <v/>
      </c>
      <c r="H1316" t="str">
        <f>IF($A1316="","",IF($D1316="V01",cad!$C$24,IF($D1316="V02",cad!$D$24,cad!$E$24)))</f>
        <v/>
      </c>
      <c r="I1316" t="str">
        <f>IF($A1316="","",IF($D1316="V01",cad!$C$32,IF($D1316="V02",cad!$D$32,cad!$E$32)))</f>
        <v/>
      </c>
      <c r="J1316" t="str">
        <f>IF($A1316="","",IF($D1316="V01",cad!$C$33,IF($D1316="V02",cad!$D$33,cad!$E$33)))</f>
        <v/>
      </c>
      <c r="K1316" t="str">
        <f>IF($A1316="","",IF($D1316="V01",cad!$C$34,IF($D1316="V02",cad!$D$34,cad!$E$34)))</f>
        <v/>
      </c>
      <c r="L1316" t="str">
        <f>IF($A1316="","",IF($D1316="V01",cad!$C$35,IF($D1316="V02",cad!$D$35,cad!$E$35)))</f>
        <v/>
      </c>
      <c r="M1316" t="str">
        <f>IF($A1316="","",IF($D1316="V01",cad!$C$36,IF($D1316="V02",cad!$D$36,cad!$E$36)))</f>
        <v/>
      </c>
      <c r="N1316" t="str">
        <f t="shared" si="81"/>
        <v/>
      </c>
      <c r="O1316" t="str">
        <f t="shared" si="82"/>
        <v/>
      </c>
      <c r="P1316" t="str">
        <f>IF($A1316="","",IF($E1316=1,$F1316*$O1316,PNL!G1316))</f>
        <v/>
      </c>
      <c r="T1316" t="str">
        <f t="shared" si="83"/>
        <v/>
      </c>
    </row>
    <row r="1317" spans="1:20" x14ac:dyDescent="0.45">
      <c r="A1317" t="str">
        <f>IF(PNL!A1317="","",PNL!A1317)</f>
        <v/>
      </c>
      <c r="B1317" t="str">
        <f>IF(PNL!B1317="","",PNL!B1317)</f>
        <v/>
      </c>
      <c r="C1317" t="str">
        <f>IF(PNL!C1317="","",PNL!C1317)</f>
        <v/>
      </c>
      <c r="D1317" t="str">
        <f>IF(PNL!D1317="","",PNL!D1317)</f>
        <v/>
      </c>
      <c r="E1317" t="str">
        <f t="shared" si="80"/>
        <v/>
      </c>
      <c r="F1317" t="str">
        <f>IF($A1317="","",IF($E1317=1,SUMIFS(Compta!$F$1:$F$675,Compta!$A$1:$A$675,$A1317,Compta!$B$1:$B$675,$B1317,Compta!$C$1:$C$675,"2026"),0))</f>
        <v/>
      </c>
      <c r="G1317" t="str">
        <f>IF($A1317="","",IF($D1317="V01",cad!$C$23,IF($D1317="V02",cad!$D$23,cad!$E$23)))</f>
        <v/>
      </c>
      <c r="H1317" t="str">
        <f>IF($A1317="","",IF($D1317="V01",cad!$C$24,IF($D1317="V02",cad!$D$24,cad!$E$24)))</f>
        <v/>
      </c>
      <c r="I1317" t="str">
        <f>IF($A1317="","",IF($D1317="V01",cad!$C$32,IF($D1317="V02",cad!$D$32,cad!$E$32)))</f>
        <v/>
      </c>
      <c r="J1317" t="str">
        <f>IF($A1317="","",IF($D1317="V01",cad!$C$33,IF($D1317="V02",cad!$D$33,cad!$E$33)))</f>
        <v/>
      </c>
      <c r="K1317" t="str">
        <f>IF($A1317="","",IF($D1317="V01",cad!$C$34,IF($D1317="V02",cad!$D$34,cad!$E$34)))</f>
        <v/>
      </c>
      <c r="L1317" t="str">
        <f>IF($A1317="","",IF($D1317="V01",cad!$C$35,IF($D1317="V02",cad!$D$35,cad!$E$35)))</f>
        <v/>
      </c>
      <c r="M1317" t="str">
        <f>IF($A1317="","",IF($D1317="V01",cad!$C$36,IF($D1317="V02",cad!$D$36,cad!$E$36)))</f>
        <v/>
      </c>
      <c r="N1317" t="str">
        <f t="shared" si="81"/>
        <v/>
      </c>
      <c r="O1317" t="str">
        <f t="shared" si="82"/>
        <v/>
      </c>
      <c r="P1317" t="str">
        <f>IF($A1317="","",IF($E1317=1,$F1317*$O1317,PNL!G1317))</f>
        <v/>
      </c>
      <c r="T1317" t="str">
        <f t="shared" si="83"/>
        <v/>
      </c>
    </row>
    <row r="1318" spans="1:20" x14ac:dyDescent="0.45">
      <c r="A1318" t="str">
        <f>IF(PNL!A1318="","",PNL!A1318)</f>
        <v/>
      </c>
      <c r="B1318" t="str">
        <f>IF(PNL!B1318="","",PNL!B1318)</f>
        <v/>
      </c>
      <c r="C1318" t="str">
        <f>IF(PNL!C1318="","",PNL!C1318)</f>
        <v/>
      </c>
      <c r="D1318" t="str">
        <f>IF(PNL!D1318="","",PNL!D1318)</f>
        <v/>
      </c>
      <c r="E1318" t="str">
        <f t="shared" si="80"/>
        <v/>
      </c>
      <c r="F1318" t="str">
        <f>IF($A1318="","",IF($E1318=1,SUMIFS(Compta!$F$1:$F$675,Compta!$A$1:$A$675,$A1318,Compta!$B$1:$B$675,$B1318,Compta!$C$1:$C$675,"2026"),0))</f>
        <v/>
      </c>
      <c r="G1318" t="str">
        <f>IF($A1318="","",IF($D1318="V01",cad!$C$23,IF($D1318="V02",cad!$D$23,cad!$E$23)))</f>
        <v/>
      </c>
      <c r="H1318" t="str">
        <f>IF($A1318="","",IF($D1318="V01",cad!$C$24,IF($D1318="V02",cad!$D$24,cad!$E$24)))</f>
        <v/>
      </c>
      <c r="I1318" t="str">
        <f>IF($A1318="","",IF($D1318="V01",cad!$C$32,IF($D1318="V02",cad!$D$32,cad!$E$32)))</f>
        <v/>
      </c>
      <c r="J1318" t="str">
        <f>IF($A1318="","",IF($D1318="V01",cad!$C$33,IF($D1318="V02",cad!$D$33,cad!$E$33)))</f>
        <v/>
      </c>
      <c r="K1318" t="str">
        <f>IF($A1318="","",IF($D1318="V01",cad!$C$34,IF($D1318="V02",cad!$D$34,cad!$E$34)))</f>
        <v/>
      </c>
      <c r="L1318" t="str">
        <f>IF($A1318="","",IF($D1318="V01",cad!$C$35,IF($D1318="V02",cad!$D$35,cad!$E$35)))</f>
        <v/>
      </c>
      <c r="M1318" t="str">
        <f>IF($A1318="","",IF($D1318="V01",cad!$C$36,IF($D1318="V02",cad!$D$36,cad!$E$36)))</f>
        <v/>
      </c>
      <c r="N1318" t="str">
        <f t="shared" si="81"/>
        <v/>
      </c>
      <c r="O1318" t="str">
        <f t="shared" si="82"/>
        <v/>
      </c>
      <c r="P1318" t="str">
        <f>IF($A1318="","",IF($E1318=1,$F1318*$O1318,PNL!G1318))</f>
        <v/>
      </c>
      <c r="T1318" t="str">
        <f t="shared" si="83"/>
        <v/>
      </c>
    </row>
    <row r="1319" spans="1:20" x14ac:dyDescent="0.45">
      <c r="A1319" t="str">
        <f>IF(PNL!A1319="","",PNL!A1319)</f>
        <v/>
      </c>
      <c r="B1319" t="str">
        <f>IF(PNL!B1319="","",PNL!B1319)</f>
        <v/>
      </c>
      <c r="C1319" t="str">
        <f>IF(PNL!C1319="","",PNL!C1319)</f>
        <v/>
      </c>
      <c r="D1319" t="str">
        <f>IF(PNL!D1319="","",PNL!D1319)</f>
        <v/>
      </c>
      <c r="E1319" t="str">
        <f t="shared" si="80"/>
        <v/>
      </c>
      <c r="F1319" t="str">
        <f>IF($A1319="","",IF($E1319=1,SUMIFS(Compta!$F$1:$F$675,Compta!$A$1:$A$675,$A1319,Compta!$B$1:$B$675,$B1319,Compta!$C$1:$C$675,"2026"),0))</f>
        <v/>
      </c>
      <c r="G1319" t="str">
        <f>IF($A1319="","",IF($D1319="V01",cad!$C$23,IF($D1319="V02",cad!$D$23,cad!$E$23)))</f>
        <v/>
      </c>
      <c r="H1319" t="str">
        <f>IF($A1319="","",IF($D1319="V01",cad!$C$24,IF($D1319="V02",cad!$D$24,cad!$E$24)))</f>
        <v/>
      </c>
      <c r="I1319" t="str">
        <f>IF($A1319="","",IF($D1319="V01",cad!$C$32,IF($D1319="V02",cad!$D$32,cad!$E$32)))</f>
        <v/>
      </c>
      <c r="J1319" t="str">
        <f>IF($A1319="","",IF($D1319="V01",cad!$C$33,IF($D1319="V02",cad!$D$33,cad!$E$33)))</f>
        <v/>
      </c>
      <c r="K1319" t="str">
        <f>IF($A1319="","",IF($D1319="V01",cad!$C$34,IF($D1319="V02",cad!$D$34,cad!$E$34)))</f>
        <v/>
      </c>
      <c r="L1319" t="str">
        <f>IF($A1319="","",IF($D1319="V01",cad!$C$35,IF($D1319="V02",cad!$D$35,cad!$E$35)))</f>
        <v/>
      </c>
      <c r="M1319" t="str">
        <f>IF($A1319="","",IF($D1319="V01",cad!$C$36,IF($D1319="V02",cad!$D$36,cad!$E$36)))</f>
        <v/>
      </c>
      <c r="N1319" t="str">
        <f t="shared" si="81"/>
        <v/>
      </c>
      <c r="O1319" t="str">
        <f t="shared" si="82"/>
        <v/>
      </c>
      <c r="P1319" t="str">
        <f>IF($A1319="","",IF($E1319=1,$F1319*$O1319,PNL!G1319))</f>
        <v/>
      </c>
      <c r="T1319" t="str">
        <f t="shared" si="83"/>
        <v/>
      </c>
    </row>
    <row r="1320" spans="1:20" x14ac:dyDescent="0.45">
      <c r="A1320" t="str">
        <f>IF(PNL!A1320="","",PNL!A1320)</f>
        <v/>
      </c>
      <c r="B1320" t="str">
        <f>IF(PNL!B1320="","",PNL!B1320)</f>
        <v/>
      </c>
      <c r="C1320" t="str">
        <f>IF(PNL!C1320="","",PNL!C1320)</f>
        <v/>
      </c>
      <c r="D1320" t="str">
        <f>IF(PNL!D1320="","",PNL!D1320)</f>
        <v/>
      </c>
      <c r="E1320" t="str">
        <f t="shared" si="80"/>
        <v/>
      </c>
      <c r="F1320" t="str">
        <f>IF($A1320="","",IF($E1320=1,SUMIFS(Compta!$F$1:$F$675,Compta!$A$1:$A$675,$A1320,Compta!$B$1:$B$675,$B1320,Compta!$C$1:$C$675,"2026"),0))</f>
        <v/>
      </c>
      <c r="G1320" t="str">
        <f>IF($A1320="","",IF($D1320="V01",cad!$C$23,IF($D1320="V02",cad!$D$23,cad!$E$23)))</f>
        <v/>
      </c>
      <c r="H1320" t="str">
        <f>IF($A1320="","",IF($D1320="V01",cad!$C$24,IF($D1320="V02",cad!$D$24,cad!$E$24)))</f>
        <v/>
      </c>
      <c r="I1320" t="str">
        <f>IF($A1320="","",IF($D1320="V01",cad!$C$32,IF($D1320="V02",cad!$D$32,cad!$E$32)))</f>
        <v/>
      </c>
      <c r="J1320" t="str">
        <f>IF($A1320="","",IF($D1320="V01",cad!$C$33,IF($D1320="V02",cad!$D$33,cad!$E$33)))</f>
        <v/>
      </c>
      <c r="K1320" t="str">
        <f>IF($A1320="","",IF($D1320="V01",cad!$C$34,IF($D1320="V02",cad!$D$34,cad!$E$34)))</f>
        <v/>
      </c>
      <c r="L1320" t="str">
        <f>IF($A1320="","",IF($D1320="V01",cad!$C$35,IF($D1320="V02",cad!$D$35,cad!$E$35)))</f>
        <v/>
      </c>
      <c r="M1320" t="str">
        <f>IF($A1320="","",IF($D1320="V01",cad!$C$36,IF($D1320="V02",cad!$D$36,cad!$E$36)))</f>
        <v/>
      </c>
      <c r="N1320" t="str">
        <f t="shared" si="81"/>
        <v/>
      </c>
      <c r="O1320" t="str">
        <f t="shared" si="82"/>
        <v/>
      </c>
      <c r="P1320" t="str">
        <f>IF($A1320="","",IF($E1320=1,$F1320*$O1320,PNL!G1320))</f>
        <v/>
      </c>
      <c r="T1320" t="str">
        <f t="shared" si="83"/>
        <v/>
      </c>
    </row>
    <row r="1321" spans="1:20" x14ac:dyDescent="0.45">
      <c r="A1321" t="str">
        <f>IF(PNL!A1321="","",PNL!A1321)</f>
        <v/>
      </c>
      <c r="B1321" t="str">
        <f>IF(PNL!B1321="","",PNL!B1321)</f>
        <v/>
      </c>
      <c r="C1321" t="str">
        <f>IF(PNL!C1321="","",PNL!C1321)</f>
        <v/>
      </c>
      <c r="D1321" t="str">
        <f>IF(PNL!D1321="","",PNL!D1321)</f>
        <v/>
      </c>
      <c r="E1321" t="str">
        <f t="shared" si="80"/>
        <v/>
      </c>
      <c r="F1321" t="str">
        <f>IF($A1321="","",IF($E1321=1,SUMIFS(Compta!$F$1:$F$675,Compta!$A$1:$A$675,$A1321,Compta!$B$1:$B$675,$B1321,Compta!$C$1:$C$675,"2026"),0))</f>
        <v/>
      </c>
      <c r="G1321" t="str">
        <f>IF($A1321="","",IF($D1321="V01",cad!$C$23,IF($D1321="V02",cad!$D$23,cad!$E$23)))</f>
        <v/>
      </c>
      <c r="H1321" t="str">
        <f>IF($A1321="","",IF($D1321="V01",cad!$C$24,IF($D1321="V02",cad!$D$24,cad!$E$24)))</f>
        <v/>
      </c>
      <c r="I1321" t="str">
        <f>IF($A1321="","",IF($D1321="V01",cad!$C$32,IF($D1321="V02",cad!$D$32,cad!$E$32)))</f>
        <v/>
      </c>
      <c r="J1321" t="str">
        <f>IF($A1321="","",IF($D1321="V01",cad!$C$33,IF($D1321="V02",cad!$D$33,cad!$E$33)))</f>
        <v/>
      </c>
      <c r="K1321" t="str">
        <f>IF($A1321="","",IF($D1321="V01",cad!$C$34,IF($D1321="V02",cad!$D$34,cad!$E$34)))</f>
        <v/>
      </c>
      <c r="L1321" t="str">
        <f>IF($A1321="","",IF($D1321="V01",cad!$C$35,IF($D1321="V02",cad!$D$35,cad!$E$35)))</f>
        <v/>
      </c>
      <c r="M1321" t="str">
        <f>IF($A1321="","",IF($D1321="V01",cad!$C$36,IF($D1321="V02",cad!$D$36,cad!$E$36)))</f>
        <v/>
      </c>
      <c r="N1321" t="str">
        <f t="shared" si="81"/>
        <v/>
      </c>
      <c r="O1321" t="str">
        <f t="shared" si="82"/>
        <v/>
      </c>
      <c r="P1321" t="str">
        <f>IF($A1321="","",IF($E1321=1,$F1321*$O1321,PNL!G1321))</f>
        <v/>
      </c>
      <c r="T1321" t="str">
        <f t="shared" si="83"/>
        <v/>
      </c>
    </row>
    <row r="1322" spans="1:20" x14ac:dyDescent="0.45">
      <c r="A1322" t="str">
        <f>IF(PNL!A1322="","",PNL!A1322)</f>
        <v/>
      </c>
      <c r="B1322" t="str">
        <f>IF(PNL!B1322="","",PNL!B1322)</f>
        <v/>
      </c>
      <c r="C1322" t="str">
        <f>IF(PNL!C1322="","",PNL!C1322)</f>
        <v/>
      </c>
      <c r="D1322" t="str">
        <f>IF(PNL!D1322="","",PNL!D1322)</f>
        <v/>
      </c>
      <c r="E1322" t="str">
        <f t="shared" si="80"/>
        <v/>
      </c>
      <c r="F1322" t="str">
        <f>IF($A1322="","",IF($E1322=1,SUMIFS(Compta!$F$1:$F$675,Compta!$A$1:$A$675,$A1322,Compta!$B$1:$B$675,$B1322,Compta!$C$1:$C$675,"2026"),0))</f>
        <v/>
      </c>
      <c r="G1322" t="str">
        <f>IF($A1322="","",IF($D1322="V01",cad!$C$23,IF($D1322="V02",cad!$D$23,cad!$E$23)))</f>
        <v/>
      </c>
      <c r="H1322" t="str">
        <f>IF($A1322="","",IF($D1322="V01",cad!$C$24,IF($D1322="V02",cad!$D$24,cad!$E$24)))</f>
        <v/>
      </c>
      <c r="I1322" t="str">
        <f>IF($A1322="","",IF($D1322="V01",cad!$C$32,IF($D1322="V02",cad!$D$32,cad!$E$32)))</f>
        <v/>
      </c>
      <c r="J1322" t="str">
        <f>IF($A1322="","",IF($D1322="V01",cad!$C$33,IF($D1322="V02",cad!$D$33,cad!$E$33)))</f>
        <v/>
      </c>
      <c r="K1322" t="str">
        <f>IF($A1322="","",IF($D1322="V01",cad!$C$34,IF($D1322="V02",cad!$D$34,cad!$E$34)))</f>
        <v/>
      </c>
      <c r="L1322" t="str">
        <f>IF($A1322="","",IF($D1322="V01",cad!$C$35,IF($D1322="V02",cad!$D$35,cad!$E$35)))</f>
        <v/>
      </c>
      <c r="M1322" t="str">
        <f>IF($A1322="","",IF($D1322="V01",cad!$C$36,IF($D1322="V02",cad!$D$36,cad!$E$36)))</f>
        <v/>
      </c>
      <c r="N1322" t="str">
        <f t="shared" si="81"/>
        <v/>
      </c>
      <c r="O1322" t="str">
        <f t="shared" si="82"/>
        <v/>
      </c>
      <c r="P1322" t="str">
        <f>IF($A1322="","",IF($E1322=1,$F1322*$O1322,PNL!G1322))</f>
        <v/>
      </c>
      <c r="T1322" t="str">
        <f t="shared" si="83"/>
        <v/>
      </c>
    </row>
    <row r="1323" spans="1:20" x14ac:dyDescent="0.45">
      <c r="A1323" t="str">
        <f>IF(PNL!A1323="","",PNL!A1323)</f>
        <v/>
      </c>
      <c r="B1323" t="str">
        <f>IF(PNL!B1323="","",PNL!B1323)</f>
        <v/>
      </c>
      <c r="C1323" t="str">
        <f>IF(PNL!C1323="","",PNL!C1323)</f>
        <v/>
      </c>
      <c r="D1323" t="str">
        <f>IF(PNL!D1323="","",PNL!D1323)</f>
        <v/>
      </c>
      <c r="E1323" t="str">
        <f t="shared" si="80"/>
        <v/>
      </c>
      <c r="F1323" t="str">
        <f>IF($A1323="","",IF($E1323=1,SUMIFS(Compta!$F$1:$F$675,Compta!$A$1:$A$675,$A1323,Compta!$B$1:$B$675,$B1323,Compta!$C$1:$C$675,"2026"),0))</f>
        <v/>
      </c>
      <c r="G1323" t="str">
        <f>IF($A1323="","",IF($D1323="V01",cad!$C$23,IF($D1323="V02",cad!$D$23,cad!$E$23)))</f>
        <v/>
      </c>
      <c r="H1323" t="str">
        <f>IF($A1323="","",IF($D1323="V01",cad!$C$24,IF($D1323="V02",cad!$D$24,cad!$E$24)))</f>
        <v/>
      </c>
      <c r="I1323" t="str">
        <f>IF($A1323="","",IF($D1323="V01",cad!$C$32,IF($D1323="V02",cad!$D$32,cad!$E$32)))</f>
        <v/>
      </c>
      <c r="J1323" t="str">
        <f>IF($A1323="","",IF($D1323="V01",cad!$C$33,IF($D1323="V02",cad!$D$33,cad!$E$33)))</f>
        <v/>
      </c>
      <c r="K1323" t="str">
        <f>IF($A1323="","",IF($D1323="V01",cad!$C$34,IF($D1323="V02",cad!$D$34,cad!$E$34)))</f>
        <v/>
      </c>
      <c r="L1323" t="str">
        <f>IF($A1323="","",IF($D1323="V01",cad!$C$35,IF($D1323="V02",cad!$D$35,cad!$E$35)))</f>
        <v/>
      </c>
      <c r="M1323" t="str">
        <f>IF($A1323="","",IF($D1323="V01",cad!$C$36,IF($D1323="V02",cad!$D$36,cad!$E$36)))</f>
        <v/>
      </c>
      <c r="N1323" t="str">
        <f t="shared" si="81"/>
        <v/>
      </c>
      <c r="O1323" t="str">
        <f t="shared" si="82"/>
        <v/>
      </c>
      <c r="P1323" t="str">
        <f>IF($A1323="","",IF($E1323=1,$F1323*$O1323,PNL!G1323))</f>
        <v/>
      </c>
      <c r="T1323" t="str">
        <f t="shared" si="83"/>
        <v/>
      </c>
    </row>
    <row r="1324" spans="1:20" x14ac:dyDescent="0.45">
      <c r="A1324" t="str">
        <f>IF(PNL!A1324="","",PNL!A1324)</f>
        <v/>
      </c>
      <c r="B1324" t="str">
        <f>IF(PNL!B1324="","",PNL!B1324)</f>
        <v/>
      </c>
      <c r="C1324" t="str">
        <f>IF(PNL!C1324="","",PNL!C1324)</f>
        <v/>
      </c>
      <c r="D1324" t="str">
        <f>IF(PNL!D1324="","",PNL!D1324)</f>
        <v/>
      </c>
      <c r="E1324" t="str">
        <f t="shared" si="80"/>
        <v/>
      </c>
      <c r="F1324" t="str">
        <f>IF($A1324="","",IF($E1324=1,SUMIFS(Compta!$F$1:$F$675,Compta!$A$1:$A$675,$A1324,Compta!$B$1:$B$675,$B1324,Compta!$C$1:$C$675,"2026"),0))</f>
        <v/>
      </c>
      <c r="G1324" t="str">
        <f>IF($A1324="","",IF($D1324="V01",cad!$C$23,IF($D1324="V02",cad!$D$23,cad!$E$23)))</f>
        <v/>
      </c>
      <c r="H1324" t="str">
        <f>IF($A1324="","",IF($D1324="V01",cad!$C$24,IF($D1324="V02",cad!$D$24,cad!$E$24)))</f>
        <v/>
      </c>
      <c r="I1324" t="str">
        <f>IF($A1324="","",IF($D1324="V01",cad!$C$32,IF($D1324="V02",cad!$D$32,cad!$E$32)))</f>
        <v/>
      </c>
      <c r="J1324" t="str">
        <f>IF($A1324="","",IF($D1324="V01",cad!$C$33,IF($D1324="V02",cad!$D$33,cad!$E$33)))</f>
        <v/>
      </c>
      <c r="K1324" t="str">
        <f>IF($A1324="","",IF($D1324="V01",cad!$C$34,IF($D1324="V02",cad!$D$34,cad!$E$34)))</f>
        <v/>
      </c>
      <c r="L1324" t="str">
        <f>IF($A1324="","",IF($D1324="V01",cad!$C$35,IF($D1324="V02",cad!$D$35,cad!$E$35)))</f>
        <v/>
      </c>
      <c r="M1324" t="str">
        <f>IF($A1324="","",IF($D1324="V01",cad!$C$36,IF($D1324="V02",cad!$D$36,cad!$E$36)))</f>
        <v/>
      </c>
      <c r="N1324" t="str">
        <f t="shared" si="81"/>
        <v/>
      </c>
      <c r="O1324" t="str">
        <f t="shared" si="82"/>
        <v/>
      </c>
      <c r="P1324" t="str">
        <f>IF($A1324="","",IF($E1324=1,$F1324*$O1324,PNL!G1324))</f>
        <v/>
      </c>
      <c r="T1324" t="str">
        <f t="shared" si="83"/>
        <v/>
      </c>
    </row>
    <row r="1325" spans="1:20" x14ac:dyDescent="0.45">
      <c r="A1325" t="str">
        <f>IF(PNL!A1325="","",PNL!A1325)</f>
        <v/>
      </c>
      <c r="B1325" t="str">
        <f>IF(PNL!B1325="","",PNL!B1325)</f>
        <v/>
      </c>
      <c r="C1325" t="str">
        <f>IF(PNL!C1325="","",PNL!C1325)</f>
        <v/>
      </c>
      <c r="D1325" t="str">
        <f>IF(PNL!D1325="","",PNL!D1325)</f>
        <v/>
      </c>
      <c r="E1325" t="str">
        <f t="shared" si="80"/>
        <v/>
      </c>
      <c r="F1325" t="str">
        <f>IF($A1325="","",IF($E1325=1,SUMIFS(Compta!$F$1:$F$675,Compta!$A$1:$A$675,$A1325,Compta!$B$1:$B$675,$B1325,Compta!$C$1:$C$675,"2026"),0))</f>
        <v/>
      </c>
      <c r="G1325" t="str">
        <f>IF($A1325="","",IF($D1325="V01",cad!$C$23,IF($D1325="V02",cad!$D$23,cad!$E$23)))</f>
        <v/>
      </c>
      <c r="H1325" t="str">
        <f>IF($A1325="","",IF($D1325="V01",cad!$C$24,IF($D1325="V02",cad!$D$24,cad!$E$24)))</f>
        <v/>
      </c>
      <c r="I1325" t="str">
        <f>IF($A1325="","",IF($D1325="V01",cad!$C$32,IF($D1325="V02",cad!$D$32,cad!$E$32)))</f>
        <v/>
      </c>
      <c r="J1325" t="str">
        <f>IF($A1325="","",IF($D1325="V01",cad!$C$33,IF($D1325="V02",cad!$D$33,cad!$E$33)))</f>
        <v/>
      </c>
      <c r="K1325" t="str">
        <f>IF($A1325="","",IF($D1325="V01",cad!$C$34,IF($D1325="V02",cad!$D$34,cad!$E$34)))</f>
        <v/>
      </c>
      <c r="L1325" t="str">
        <f>IF($A1325="","",IF($D1325="V01",cad!$C$35,IF($D1325="V02",cad!$D$35,cad!$E$35)))</f>
        <v/>
      </c>
      <c r="M1325" t="str">
        <f>IF($A1325="","",IF($D1325="V01",cad!$C$36,IF($D1325="V02",cad!$D$36,cad!$E$36)))</f>
        <v/>
      </c>
      <c r="N1325" t="str">
        <f t="shared" si="81"/>
        <v/>
      </c>
      <c r="O1325" t="str">
        <f t="shared" si="82"/>
        <v/>
      </c>
      <c r="P1325" t="str">
        <f>IF($A1325="","",IF($E1325=1,$F1325*$O1325,PNL!G1325))</f>
        <v/>
      </c>
      <c r="T1325" t="str">
        <f t="shared" si="83"/>
        <v/>
      </c>
    </row>
    <row r="1326" spans="1:20" x14ac:dyDescent="0.45">
      <c r="A1326" t="str">
        <f>IF(PNL!A1326="","",PNL!A1326)</f>
        <v/>
      </c>
      <c r="B1326" t="str">
        <f>IF(PNL!B1326="","",PNL!B1326)</f>
        <v/>
      </c>
      <c r="C1326" t="str">
        <f>IF(PNL!C1326="","",PNL!C1326)</f>
        <v/>
      </c>
      <c r="D1326" t="str">
        <f>IF(PNL!D1326="","",PNL!D1326)</f>
        <v/>
      </c>
      <c r="E1326" t="str">
        <f t="shared" si="80"/>
        <v/>
      </c>
      <c r="F1326" t="str">
        <f>IF($A1326="","",IF($E1326=1,SUMIFS(Compta!$F$1:$F$675,Compta!$A$1:$A$675,$A1326,Compta!$B$1:$B$675,$B1326,Compta!$C$1:$C$675,"2026"),0))</f>
        <v/>
      </c>
      <c r="G1326" t="str">
        <f>IF($A1326="","",IF($D1326="V01",cad!$C$23,IF($D1326="V02",cad!$D$23,cad!$E$23)))</f>
        <v/>
      </c>
      <c r="H1326" t="str">
        <f>IF($A1326="","",IF($D1326="V01",cad!$C$24,IF($D1326="V02",cad!$D$24,cad!$E$24)))</f>
        <v/>
      </c>
      <c r="I1326" t="str">
        <f>IF($A1326="","",IF($D1326="V01",cad!$C$32,IF($D1326="V02",cad!$D$32,cad!$E$32)))</f>
        <v/>
      </c>
      <c r="J1326" t="str">
        <f>IF($A1326="","",IF($D1326="V01",cad!$C$33,IF($D1326="V02",cad!$D$33,cad!$E$33)))</f>
        <v/>
      </c>
      <c r="K1326" t="str">
        <f>IF($A1326="","",IF($D1326="V01",cad!$C$34,IF($D1326="V02",cad!$D$34,cad!$E$34)))</f>
        <v/>
      </c>
      <c r="L1326" t="str">
        <f>IF($A1326="","",IF($D1326="V01",cad!$C$35,IF($D1326="V02",cad!$D$35,cad!$E$35)))</f>
        <v/>
      </c>
      <c r="M1326" t="str">
        <f>IF($A1326="","",IF($D1326="V01",cad!$C$36,IF($D1326="V02",cad!$D$36,cad!$E$36)))</f>
        <v/>
      </c>
      <c r="N1326" t="str">
        <f t="shared" si="81"/>
        <v/>
      </c>
      <c r="O1326" t="str">
        <f t="shared" si="82"/>
        <v/>
      </c>
      <c r="P1326" t="str">
        <f>IF($A1326="","",IF($E1326=1,$F1326*$O1326,PNL!G1326))</f>
        <v/>
      </c>
      <c r="T1326" t="str">
        <f t="shared" si="83"/>
        <v/>
      </c>
    </row>
    <row r="1327" spans="1:20" x14ac:dyDescent="0.45">
      <c r="A1327" t="str">
        <f>IF(PNL!A1327="","",PNL!A1327)</f>
        <v/>
      </c>
      <c r="B1327" t="str">
        <f>IF(PNL!B1327="","",PNL!B1327)</f>
        <v/>
      </c>
      <c r="C1327" t="str">
        <f>IF(PNL!C1327="","",PNL!C1327)</f>
        <v/>
      </c>
      <c r="D1327" t="str">
        <f>IF(PNL!D1327="","",PNL!D1327)</f>
        <v/>
      </c>
      <c r="E1327" t="str">
        <f t="shared" si="80"/>
        <v/>
      </c>
      <c r="F1327" t="str">
        <f>IF($A1327="","",IF($E1327=1,SUMIFS(Compta!$F$1:$F$675,Compta!$A$1:$A$675,$A1327,Compta!$B$1:$B$675,$B1327,Compta!$C$1:$C$675,"2026"),0))</f>
        <v/>
      </c>
      <c r="G1327" t="str">
        <f>IF($A1327="","",IF($D1327="V01",cad!$C$23,IF($D1327="V02",cad!$D$23,cad!$E$23)))</f>
        <v/>
      </c>
      <c r="H1327" t="str">
        <f>IF($A1327="","",IF($D1327="V01",cad!$C$24,IF($D1327="V02",cad!$D$24,cad!$E$24)))</f>
        <v/>
      </c>
      <c r="I1327" t="str">
        <f>IF($A1327="","",IF($D1327="V01",cad!$C$32,IF($D1327="V02",cad!$D$32,cad!$E$32)))</f>
        <v/>
      </c>
      <c r="J1327" t="str">
        <f>IF($A1327="","",IF($D1327="V01",cad!$C$33,IF($D1327="V02",cad!$D$33,cad!$E$33)))</f>
        <v/>
      </c>
      <c r="K1327" t="str">
        <f>IF($A1327="","",IF($D1327="V01",cad!$C$34,IF($D1327="V02",cad!$D$34,cad!$E$34)))</f>
        <v/>
      </c>
      <c r="L1327" t="str">
        <f>IF($A1327="","",IF($D1327="V01",cad!$C$35,IF($D1327="V02",cad!$D$35,cad!$E$35)))</f>
        <v/>
      </c>
      <c r="M1327" t="str">
        <f>IF($A1327="","",IF($D1327="V01",cad!$C$36,IF($D1327="V02",cad!$D$36,cad!$E$36)))</f>
        <v/>
      </c>
      <c r="N1327" t="str">
        <f t="shared" si="81"/>
        <v/>
      </c>
      <c r="O1327" t="str">
        <f t="shared" si="82"/>
        <v/>
      </c>
      <c r="P1327" t="str">
        <f>IF($A1327="","",IF($E1327=1,$F1327*$O1327,PNL!G1327))</f>
        <v/>
      </c>
      <c r="T1327" t="str">
        <f t="shared" si="83"/>
        <v/>
      </c>
    </row>
    <row r="1328" spans="1:20" x14ac:dyDescent="0.45">
      <c r="A1328" t="str">
        <f>IF(PNL!A1328="","",PNL!A1328)</f>
        <v/>
      </c>
      <c r="B1328" t="str">
        <f>IF(PNL!B1328="","",PNL!B1328)</f>
        <v/>
      </c>
      <c r="C1328" t="str">
        <f>IF(PNL!C1328="","",PNL!C1328)</f>
        <v/>
      </c>
      <c r="D1328" t="str">
        <f>IF(PNL!D1328="","",PNL!D1328)</f>
        <v/>
      </c>
      <c r="E1328" t="str">
        <f t="shared" si="80"/>
        <v/>
      </c>
      <c r="F1328" t="str">
        <f>IF($A1328="","",IF($E1328=1,SUMIFS(Compta!$F$1:$F$675,Compta!$A$1:$A$675,$A1328,Compta!$B$1:$B$675,$B1328,Compta!$C$1:$C$675,"2026"),0))</f>
        <v/>
      </c>
      <c r="G1328" t="str">
        <f>IF($A1328="","",IF($D1328="V01",cad!$C$23,IF($D1328="V02",cad!$D$23,cad!$E$23)))</f>
        <v/>
      </c>
      <c r="H1328" t="str">
        <f>IF($A1328="","",IF($D1328="V01",cad!$C$24,IF($D1328="V02",cad!$D$24,cad!$E$24)))</f>
        <v/>
      </c>
      <c r="I1328" t="str">
        <f>IF($A1328="","",IF($D1328="V01",cad!$C$32,IF($D1328="V02",cad!$D$32,cad!$E$32)))</f>
        <v/>
      </c>
      <c r="J1328" t="str">
        <f>IF($A1328="","",IF($D1328="V01",cad!$C$33,IF($D1328="V02",cad!$D$33,cad!$E$33)))</f>
        <v/>
      </c>
      <c r="K1328" t="str">
        <f>IF($A1328="","",IF($D1328="V01",cad!$C$34,IF($D1328="V02",cad!$D$34,cad!$E$34)))</f>
        <v/>
      </c>
      <c r="L1328" t="str">
        <f>IF($A1328="","",IF($D1328="V01",cad!$C$35,IF($D1328="V02",cad!$D$35,cad!$E$35)))</f>
        <v/>
      </c>
      <c r="M1328" t="str">
        <f>IF($A1328="","",IF($D1328="V01",cad!$C$36,IF($D1328="V02",cad!$D$36,cad!$E$36)))</f>
        <v/>
      </c>
      <c r="N1328" t="str">
        <f t="shared" si="81"/>
        <v/>
      </c>
      <c r="O1328" t="str">
        <f t="shared" si="82"/>
        <v/>
      </c>
      <c r="P1328" t="str">
        <f>IF($A1328="","",IF($E1328=1,$F1328*$O1328,PNL!G1328))</f>
        <v/>
      </c>
      <c r="T1328" t="str">
        <f t="shared" si="83"/>
        <v/>
      </c>
    </row>
    <row r="1329" spans="1:20" x14ac:dyDescent="0.45">
      <c r="A1329" t="str">
        <f>IF(PNL!A1329="","",PNL!A1329)</f>
        <v/>
      </c>
      <c r="B1329" t="str">
        <f>IF(PNL!B1329="","",PNL!B1329)</f>
        <v/>
      </c>
      <c r="C1329" t="str">
        <f>IF(PNL!C1329="","",PNL!C1329)</f>
        <v/>
      </c>
      <c r="D1329" t="str">
        <f>IF(PNL!D1329="","",PNL!D1329)</f>
        <v/>
      </c>
      <c r="E1329" t="str">
        <f t="shared" si="80"/>
        <v/>
      </c>
      <c r="F1329" t="str">
        <f>IF($A1329="","",IF($E1329=1,SUMIFS(Compta!$F$1:$F$675,Compta!$A$1:$A$675,$A1329,Compta!$B$1:$B$675,$B1329,Compta!$C$1:$C$675,"2026"),0))</f>
        <v/>
      </c>
      <c r="G1329" t="str">
        <f>IF($A1329="","",IF($D1329="V01",cad!$C$23,IF($D1329="V02",cad!$D$23,cad!$E$23)))</f>
        <v/>
      </c>
      <c r="H1329" t="str">
        <f>IF($A1329="","",IF($D1329="V01",cad!$C$24,IF($D1329="V02",cad!$D$24,cad!$E$24)))</f>
        <v/>
      </c>
      <c r="I1329" t="str">
        <f>IF($A1329="","",IF($D1329="V01",cad!$C$32,IF($D1329="V02",cad!$D$32,cad!$E$32)))</f>
        <v/>
      </c>
      <c r="J1329" t="str">
        <f>IF($A1329="","",IF($D1329="V01",cad!$C$33,IF($D1329="V02",cad!$D$33,cad!$E$33)))</f>
        <v/>
      </c>
      <c r="K1329" t="str">
        <f>IF($A1329="","",IF($D1329="V01",cad!$C$34,IF($D1329="V02",cad!$D$34,cad!$E$34)))</f>
        <v/>
      </c>
      <c r="L1329" t="str">
        <f>IF($A1329="","",IF($D1329="V01",cad!$C$35,IF($D1329="V02",cad!$D$35,cad!$E$35)))</f>
        <v/>
      </c>
      <c r="M1329" t="str">
        <f>IF($A1329="","",IF($D1329="V01",cad!$C$36,IF($D1329="V02",cad!$D$36,cad!$E$36)))</f>
        <v/>
      </c>
      <c r="N1329" t="str">
        <f t="shared" si="81"/>
        <v/>
      </c>
      <c r="O1329" t="str">
        <f t="shared" si="82"/>
        <v/>
      </c>
      <c r="P1329" t="str">
        <f>IF($A1329="","",IF($E1329=1,$F1329*$O1329,PNL!G1329))</f>
        <v/>
      </c>
      <c r="T1329" t="str">
        <f t="shared" si="83"/>
        <v/>
      </c>
    </row>
    <row r="1330" spans="1:20" x14ac:dyDescent="0.45">
      <c r="A1330" t="str">
        <f>IF(PNL!A1330="","",PNL!A1330)</f>
        <v/>
      </c>
      <c r="B1330" t="str">
        <f>IF(PNL!B1330="","",PNL!B1330)</f>
        <v/>
      </c>
      <c r="C1330" t="str">
        <f>IF(PNL!C1330="","",PNL!C1330)</f>
        <v/>
      </c>
      <c r="D1330" t="str">
        <f>IF(PNL!D1330="","",PNL!D1330)</f>
        <v/>
      </c>
      <c r="E1330" t="str">
        <f t="shared" si="80"/>
        <v/>
      </c>
      <c r="F1330" t="str">
        <f>IF($A1330="","",IF($E1330=1,SUMIFS(Compta!$F$1:$F$675,Compta!$A$1:$A$675,$A1330,Compta!$B$1:$B$675,$B1330,Compta!$C$1:$C$675,"2026"),0))</f>
        <v/>
      </c>
      <c r="G1330" t="str">
        <f>IF($A1330="","",IF($D1330="V01",cad!$C$23,IF($D1330="V02",cad!$D$23,cad!$E$23)))</f>
        <v/>
      </c>
      <c r="H1330" t="str">
        <f>IF($A1330="","",IF($D1330="V01",cad!$C$24,IF($D1330="V02",cad!$D$24,cad!$E$24)))</f>
        <v/>
      </c>
      <c r="I1330" t="str">
        <f>IF($A1330="","",IF($D1330="V01",cad!$C$32,IF($D1330="V02",cad!$D$32,cad!$E$32)))</f>
        <v/>
      </c>
      <c r="J1330" t="str">
        <f>IF($A1330="","",IF($D1330="V01",cad!$C$33,IF($D1330="V02",cad!$D$33,cad!$E$33)))</f>
        <v/>
      </c>
      <c r="K1330" t="str">
        <f>IF($A1330="","",IF($D1330="V01",cad!$C$34,IF($D1330="V02",cad!$D$34,cad!$E$34)))</f>
        <v/>
      </c>
      <c r="L1330" t="str">
        <f>IF($A1330="","",IF($D1330="V01",cad!$C$35,IF($D1330="V02",cad!$D$35,cad!$E$35)))</f>
        <v/>
      </c>
      <c r="M1330" t="str">
        <f>IF($A1330="","",IF($D1330="V01",cad!$C$36,IF($D1330="V02",cad!$D$36,cad!$E$36)))</f>
        <v/>
      </c>
      <c r="N1330" t="str">
        <f t="shared" si="81"/>
        <v/>
      </c>
      <c r="O1330" t="str">
        <f t="shared" si="82"/>
        <v/>
      </c>
      <c r="P1330" t="str">
        <f>IF($A1330="","",IF($E1330=1,$F1330*$O1330,PNL!G1330))</f>
        <v/>
      </c>
      <c r="T1330" t="str">
        <f t="shared" si="83"/>
        <v/>
      </c>
    </row>
    <row r="1331" spans="1:20" x14ac:dyDescent="0.45">
      <c r="A1331" t="str">
        <f>IF(PNL!A1331="","",PNL!A1331)</f>
        <v/>
      </c>
      <c r="B1331" t="str">
        <f>IF(PNL!B1331="","",PNL!B1331)</f>
        <v/>
      </c>
      <c r="C1331" t="str">
        <f>IF(PNL!C1331="","",PNL!C1331)</f>
        <v/>
      </c>
      <c r="D1331" t="str">
        <f>IF(PNL!D1331="","",PNL!D1331)</f>
        <v/>
      </c>
      <c r="E1331" t="str">
        <f t="shared" si="80"/>
        <v/>
      </c>
      <c r="F1331" t="str">
        <f>IF($A1331="","",IF($E1331=1,SUMIFS(Compta!$F$1:$F$675,Compta!$A$1:$A$675,$A1331,Compta!$B$1:$B$675,$B1331,Compta!$C$1:$C$675,"2026"),0))</f>
        <v/>
      </c>
      <c r="G1331" t="str">
        <f>IF($A1331="","",IF($D1331="V01",cad!$C$23,IF($D1331="V02",cad!$D$23,cad!$E$23)))</f>
        <v/>
      </c>
      <c r="H1331" t="str">
        <f>IF($A1331="","",IF($D1331="V01",cad!$C$24,IF($D1331="V02",cad!$D$24,cad!$E$24)))</f>
        <v/>
      </c>
      <c r="I1331" t="str">
        <f>IF($A1331="","",IF($D1331="V01",cad!$C$32,IF($D1331="V02",cad!$D$32,cad!$E$32)))</f>
        <v/>
      </c>
      <c r="J1331" t="str">
        <f>IF($A1331="","",IF($D1331="V01",cad!$C$33,IF($D1331="V02",cad!$D$33,cad!$E$33)))</f>
        <v/>
      </c>
      <c r="K1331" t="str">
        <f>IF($A1331="","",IF($D1331="V01",cad!$C$34,IF($D1331="V02",cad!$D$34,cad!$E$34)))</f>
        <v/>
      </c>
      <c r="L1331" t="str">
        <f>IF($A1331="","",IF($D1331="V01",cad!$C$35,IF($D1331="V02",cad!$D$35,cad!$E$35)))</f>
        <v/>
      </c>
      <c r="M1331" t="str">
        <f>IF($A1331="","",IF($D1331="V01",cad!$C$36,IF($D1331="V02",cad!$D$36,cad!$E$36)))</f>
        <v/>
      </c>
      <c r="N1331" t="str">
        <f t="shared" si="81"/>
        <v/>
      </c>
      <c r="O1331" t="str">
        <f t="shared" si="82"/>
        <v/>
      </c>
      <c r="P1331" t="str">
        <f>IF($A1331="","",IF($E1331=1,$F1331*$O1331,PNL!G1331))</f>
        <v/>
      </c>
      <c r="T1331" t="str">
        <f t="shared" si="83"/>
        <v/>
      </c>
    </row>
    <row r="1332" spans="1:20" x14ac:dyDescent="0.45">
      <c r="A1332" t="str">
        <f>IF(PNL!A1332="","",PNL!A1332)</f>
        <v/>
      </c>
      <c r="B1332" t="str">
        <f>IF(PNL!B1332="","",PNL!B1332)</f>
        <v/>
      </c>
      <c r="C1332" t="str">
        <f>IF(PNL!C1332="","",PNL!C1332)</f>
        <v/>
      </c>
      <c r="D1332" t="str">
        <f>IF(PNL!D1332="","",PNL!D1332)</f>
        <v/>
      </c>
      <c r="E1332" t="str">
        <f t="shared" si="80"/>
        <v/>
      </c>
      <c r="F1332" t="str">
        <f>IF($A1332="","",IF($E1332=1,SUMIFS(Compta!$F$1:$F$675,Compta!$A$1:$A$675,$A1332,Compta!$B$1:$B$675,$B1332,Compta!$C$1:$C$675,"2026"),0))</f>
        <v/>
      </c>
      <c r="G1332" t="str">
        <f>IF($A1332="","",IF($D1332="V01",cad!$C$23,IF($D1332="V02",cad!$D$23,cad!$E$23)))</f>
        <v/>
      </c>
      <c r="H1332" t="str">
        <f>IF($A1332="","",IF($D1332="V01",cad!$C$24,IF($D1332="V02",cad!$D$24,cad!$E$24)))</f>
        <v/>
      </c>
      <c r="I1332" t="str">
        <f>IF($A1332="","",IF($D1332="V01",cad!$C$32,IF($D1332="V02",cad!$D$32,cad!$E$32)))</f>
        <v/>
      </c>
      <c r="J1332" t="str">
        <f>IF($A1332="","",IF($D1332="V01",cad!$C$33,IF($D1332="V02",cad!$D$33,cad!$E$33)))</f>
        <v/>
      </c>
      <c r="K1332" t="str">
        <f>IF($A1332="","",IF($D1332="V01",cad!$C$34,IF($D1332="V02",cad!$D$34,cad!$E$34)))</f>
        <v/>
      </c>
      <c r="L1332" t="str">
        <f>IF($A1332="","",IF($D1332="V01",cad!$C$35,IF($D1332="V02",cad!$D$35,cad!$E$35)))</f>
        <v/>
      </c>
      <c r="M1332" t="str">
        <f>IF($A1332="","",IF($D1332="V01",cad!$C$36,IF($D1332="V02",cad!$D$36,cad!$E$36)))</f>
        <v/>
      </c>
      <c r="N1332" t="str">
        <f t="shared" si="81"/>
        <v/>
      </c>
      <c r="O1332" t="str">
        <f t="shared" si="82"/>
        <v/>
      </c>
      <c r="P1332" t="str">
        <f>IF($A1332="","",IF($E1332=1,$F1332*$O1332,PNL!G1332))</f>
        <v/>
      </c>
      <c r="T1332" t="str">
        <f t="shared" si="83"/>
        <v/>
      </c>
    </row>
    <row r="1333" spans="1:20" x14ac:dyDescent="0.45">
      <c r="A1333" t="str">
        <f>IF(PNL!A1333="","",PNL!A1333)</f>
        <v/>
      </c>
      <c r="B1333" t="str">
        <f>IF(PNL!B1333="","",PNL!B1333)</f>
        <v/>
      </c>
      <c r="C1333" t="str">
        <f>IF(PNL!C1333="","",PNL!C1333)</f>
        <v/>
      </c>
      <c r="D1333" t="str">
        <f>IF(PNL!D1333="","",PNL!D1333)</f>
        <v/>
      </c>
      <c r="E1333" t="str">
        <f t="shared" si="80"/>
        <v/>
      </c>
      <c r="F1333" t="str">
        <f>IF($A1333="","",IF($E1333=1,SUMIFS(Compta!$F$1:$F$675,Compta!$A$1:$A$675,$A1333,Compta!$B$1:$B$675,$B1333,Compta!$C$1:$C$675,"2026"),0))</f>
        <v/>
      </c>
      <c r="G1333" t="str">
        <f>IF($A1333="","",IF($D1333="V01",cad!$C$23,IF($D1333="V02",cad!$D$23,cad!$E$23)))</f>
        <v/>
      </c>
      <c r="H1333" t="str">
        <f>IF($A1333="","",IF($D1333="V01",cad!$C$24,IF($D1333="V02",cad!$D$24,cad!$E$24)))</f>
        <v/>
      </c>
      <c r="I1333" t="str">
        <f>IF($A1333="","",IF($D1333="V01",cad!$C$32,IF($D1333="V02",cad!$D$32,cad!$E$32)))</f>
        <v/>
      </c>
      <c r="J1333" t="str">
        <f>IF($A1333="","",IF($D1333="V01",cad!$C$33,IF($D1333="V02",cad!$D$33,cad!$E$33)))</f>
        <v/>
      </c>
      <c r="K1333" t="str">
        <f>IF($A1333="","",IF($D1333="V01",cad!$C$34,IF($D1333="V02",cad!$D$34,cad!$E$34)))</f>
        <v/>
      </c>
      <c r="L1333" t="str">
        <f>IF($A1333="","",IF($D1333="V01",cad!$C$35,IF($D1333="V02",cad!$D$35,cad!$E$35)))</f>
        <v/>
      </c>
      <c r="M1333" t="str">
        <f>IF($A1333="","",IF($D1333="V01",cad!$C$36,IF($D1333="V02",cad!$D$36,cad!$E$36)))</f>
        <v/>
      </c>
      <c r="N1333" t="str">
        <f t="shared" si="81"/>
        <v/>
      </c>
      <c r="O1333" t="str">
        <f t="shared" si="82"/>
        <v/>
      </c>
      <c r="P1333" t="str">
        <f>IF($A1333="","",IF($E1333=1,$F1333*$O1333,PNL!G1333))</f>
        <v/>
      </c>
      <c r="T1333" t="str">
        <f t="shared" si="83"/>
        <v/>
      </c>
    </row>
    <row r="1334" spans="1:20" x14ac:dyDescent="0.45">
      <c r="A1334" t="str">
        <f>IF(PNL!A1334="","",PNL!A1334)</f>
        <v/>
      </c>
      <c r="B1334" t="str">
        <f>IF(PNL!B1334="","",PNL!B1334)</f>
        <v/>
      </c>
      <c r="C1334" t="str">
        <f>IF(PNL!C1334="","",PNL!C1334)</f>
        <v/>
      </c>
      <c r="D1334" t="str">
        <f>IF(PNL!D1334="","",PNL!D1334)</f>
        <v/>
      </c>
      <c r="E1334" t="str">
        <f t="shared" si="80"/>
        <v/>
      </c>
      <c r="F1334" t="str">
        <f>IF($A1334="","",IF($E1334=1,SUMIFS(Compta!$F$1:$F$675,Compta!$A$1:$A$675,$A1334,Compta!$B$1:$B$675,$B1334,Compta!$C$1:$C$675,"2026"),0))</f>
        <v/>
      </c>
      <c r="G1334" t="str">
        <f>IF($A1334="","",IF($D1334="V01",cad!$C$23,IF($D1334="V02",cad!$D$23,cad!$E$23)))</f>
        <v/>
      </c>
      <c r="H1334" t="str">
        <f>IF($A1334="","",IF($D1334="V01",cad!$C$24,IF($D1334="V02",cad!$D$24,cad!$E$24)))</f>
        <v/>
      </c>
      <c r="I1334" t="str">
        <f>IF($A1334="","",IF($D1334="V01",cad!$C$32,IF($D1334="V02",cad!$D$32,cad!$E$32)))</f>
        <v/>
      </c>
      <c r="J1334" t="str">
        <f>IF($A1334="","",IF($D1334="V01",cad!$C$33,IF($D1334="V02",cad!$D$33,cad!$E$33)))</f>
        <v/>
      </c>
      <c r="K1334" t="str">
        <f>IF($A1334="","",IF($D1334="V01",cad!$C$34,IF($D1334="V02",cad!$D$34,cad!$E$34)))</f>
        <v/>
      </c>
      <c r="L1334" t="str">
        <f>IF($A1334="","",IF($D1334="V01",cad!$C$35,IF($D1334="V02",cad!$D$35,cad!$E$35)))</f>
        <v/>
      </c>
      <c r="M1334" t="str">
        <f>IF($A1334="","",IF($D1334="V01",cad!$C$36,IF($D1334="V02",cad!$D$36,cad!$E$36)))</f>
        <v/>
      </c>
      <c r="N1334" t="str">
        <f t="shared" si="81"/>
        <v/>
      </c>
      <c r="O1334" t="str">
        <f t="shared" si="82"/>
        <v/>
      </c>
      <c r="P1334" t="str">
        <f>IF($A1334="","",IF($E1334=1,$F1334*$O1334,PNL!G1334))</f>
        <v/>
      </c>
      <c r="T1334" t="str">
        <f t="shared" si="83"/>
        <v/>
      </c>
    </row>
    <row r="1335" spans="1:20" x14ac:dyDescent="0.45">
      <c r="A1335" t="str">
        <f>IF(PNL!A1335="","",PNL!A1335)</f>
        <v/>
      </c>
      <c r="B1335" t="str">
        <f>IF(PNL!B1335="","",PNL!B1335)</f>
        <v/>
      </c>
      <c r="C1335" t="str">
        <f>IF(PNL!C1335="","",PNL!C1335)</f>
        <v/>
      </c>
      <c r="D1335" t="str">
        <f>IF(PNL!D1335="","",PNL!D1335)</f>
        <v/>
      </c>
      <c r="E1335" t="str">
        <f t="shared" si="80"/>
        <v/>
      </c>
      <c r="F1335" t="str">
        <f>IF($A1335="","",IF($E1335=1,SUMIFS(Compta!$F$1:$F$675,Compta!$A$1:$A$675,$A1335,Compta!$B$1:$B$675,$B1335,Compta!$C$1:$C$675,"2026"),0))</f>
        <v/>
      </c>
      <c r="G1335" t="str">
        <f>IF($A1335="","",IF($D1335="V01",cad!$C$23,IF($D1335="V02",cad!$D$23,cad!$E$23)))</f>
        <v/>
      </c>
      <c r="H1335" t="str">
        <f>IF($A1335="","",IF($D1335="V01",cad!$C$24,IF($D1335="V02",cad!$D$24,cad!$E$24)))</f>
        <v/>
      </c>
      <c r="I1335" t="str">
        <f>IF($A1335="","",IF($D1335="V01",cad!$C$32,IF($D1335="V02",cad!$D$32,cad!$E$32)))</f>
        <v/>
      </c>
      <c r="J1335" t="str">
        <f>IF($A1335="","",IF($D1335="V01",cad!$C$33,IF($D1335="V02",cad!$D$33,cad!$E$33)))</f>
        <v/>
      </c>
      <c r="K1335" t="str">
        <f>IF($A1335="","",IF($D1335="V01",cad!$C$34,IF($D1335="V02",cad!$D$34,cad!$E$34)))</f>
        <v/>
      </c>
      <c r="L1335" t="str">
        <f>IF($A1335="","",IF($D1335="V01",cad!$C$35,IF($D1335="V02",cad!$D$35,cad!$E$35)))</f>
        <v/>
      </c>
      <c r="M1335" t="str">
        <f>IF($A1335="","",IF($D1335="V01",cad!$C$36,IF($D1335="V02",cad!$D$36,cad!$E$36)))</f>
        <v/>
      </c>
      <c r="N1335" t="str">
        <f t="shared" si="81"/>
        <v/>
      </c>
      <c r="O1335" t="str">
        <f t="shared" si="82"/>
        <v/>
      </c>
      <c r="P1335" t="str">
        <f>IF($A1335="","",IF($E1335=1,$F1335*$O1335,PNL!G1335))</f>
        <v/>
      </c>
      <c r="T1335" t="str">
        <f t="shared" si="83"/>
        <v/>
      </c>
    </row>
    <row r="1336" spans="1:20" x14ac:dyDescent="0.45">
      <c r="A1336" t="str">
        <f>IF(PNL!A1336="","",PNL!A1336)</f>
        <v/>
      </c>
      <c r="B1336" t="str">
        <f>IF(PNL!B1336="","",PNL!B1336)</f>
        <v/>
      </c>
      <c r="C1336" t="str">
        <f>IF(PNL!C1336="","",PNL!C1336)</f>
        <v/>
      </c>
      <c r="D1336" t="str">
        <f>IF(PNL!D1336="","",PNL!D1336)</f>
        <v/>
      </c>
      <c r="E1336" t="str">
        <f t="shared" si="80"/>
        <v/>
      </c>
      <c r="F1336" t="str">
        <f>IF($A1336="","",IF($E1336=1,SUMIFS(Compta!$F$1:$F$675,Compta!$A$1:$A$675,$A1336,Compta!$B$1:$B$675,$B1336,Compta!$C$1:$C$675,"2026"),0))</f>
        <v/>
      </c>
      <c r="G1336" t="str">
        <f>IF($A1336="","",IF($D1336="V01",cad!$C$23,IF($D1336="V02",cad!$D$23,cad!$E$23)))</f>
        <v/>
      </c>
      <c r="H1336" t="str">
        <f>IF($A1336="","",IF($D1336="V01",cad!$C$24,IF($D1336="V02",cad!$D$24,cad!$E$24)))</f>
        <v/>
      </c>
      <c r="I1336" t="str">
        <f>IF($A1336="","",IF($D1336="V01",cad!$C$32,IF($D1336="V02",cad!$D$32,cad!$E$32)))</f>
        <v/>
      </c>
      <c r="J1336" t="str">
        <f>IF($A1336="","",IF($D1336="V01",cad!$C$33,IF($D1336="V02",cad!$D$33,cad!$E$33)))</f>
        <v/>
      </c>
      <c r="K1336" t="str">
        <f>IF($A1336="","",IF($D1336="V01",cad!$C$34,IF($D1336="V02",cad!$D$34,cad!$E$34)))</f>
        <v/>
      </c>
      <c r="L1336" t="str">
        <f>IF($A1336="","",IF($D1336="V01",cad!$C$35,IF($D1336="V02",cad!$D$35,cad!$E$35)))</f>
        <v/>
      </c>
      <c r="M1336" t="str">
        <f>IF($A1336="","",IF($D1336="V01",cad!$C$36,IF($D1336="V02",cad!$D$36,cad!$E$36)))</f>
        <v/>
      </c>
      <c r="N1336" t="str">
        <f t="shared" si="81"/>
        <v/>
      </c>
      <c r="O1336" t="str">
        <f t="shared" si="82"/>
        <v/>
      </c>
      <c r="P1336" t="str">
        <f>IF($A1336="","",IF($E1336=1,$F1336*$O1336,PNL!G1336))</f>
        <v/>
      </c>
      <c r="T1336" t="str">
        <f t="shared" si="83"/>
        <v/>
      </c>
    </row>
    <row r="1337" spans="1:20" x14ac:dyDescent="0.45">
      <c r="A1337" t="str">
        <f>IF(PNL!A1337="","",PNL!A1337)</f>
        <v/>
      </c>
      <c r="B1337" t="str">
        <f>IF(PNL!B1337="","",PNL!B1337)</f>
        <v/>
      </c>
      <c r="C1337" t="str">
        <f>IF(PNL!C1337="","",PNL!C1337)</f>
        <v/>
      </c>
      <c r="D1337" t="str">
        <f>IF(PNL!D1337="","",PNL!D1337)</f>
        <v/>
      </c>
      <c r="E1337" t="str">
        <f t="shared" si="80"/>
        <v/>
      </c>
      <c r="F1337" t="str">
        <f>IF($A1337="","",IF($E1337=1,SUMIFS(Compta!$F$1:$F$675,Compta!$A$1:$A$675,$A1337,Compta!$B$1:$B$675,$B1337,Compta!$C$1:$C$675,"2026"),0))</f>
        <v/>
      </c>
      <c r="G1337" t="str">
        <f>IF($A1337="","",IF($D1337="V01",cad!$C$23,IF($D1337="V02",cad!$D$23,cad!$E$23)))</f>
        <v/>
      </c>
      <c r="H1337" t="str">
        <f>IF($A1337="","",IF($D1337="V01",cad!$C$24,IF($D1337="V02",cad!$D$24,cad!$E$24)))</f>
        <v/>
      </c>
      <c r="I1337" t="str">
        <f>IF($A1337="","",IF($D1337="V01",cad!$C$32,IF($D1337="V02",cad!$D$32,cad!$E$32)))</f>
        <v/>
      </c>
      <c r="J1337" t="str">
        <f>IF($A1337="","",IF($D1337="V01",cad!$C$33,IF($D1337="V02",cad!$D$33,cad!$E$33)))</f>
        <v/>
      </c>
      <c r="K1337" t="str">
        <f>IF($A1337="","",IF($D1337="V01",cad!$C$34,IF($D1337="V02",cad!$D$34,cad!$E$34)))</f>
        <v/>
      </c>
      <c r="L1337" t="str">
        <f>IF($A1337="","",IF($D1337="V01",cad!$C$35,IF($D1337="V02",cad!$D$35,cad!$E$35)))</f>
        <v/>
      </c>
      <c r="M1337" t="str">
        <f>IF($A1337="","",IF($D1337="V01",cad!$C$36,IF($D1337="V02",cad!$D$36,cad!$E$36)))</f>
        <v/>
      </c>
      <c r="N1337" t="str">
        <f t="shared" si="81"/>
        <v/>
      </c>
      <c r="O1337" t="str">
        <f t="shared" si="82"/>
        <v/>
      </c>
      <c r="P1337" t="str">
        <f>IF($A1337="","",IF($E1337=1,$F1337*$O1337,PNL!G1337))</f>
        <v/>
      </c>
      <c r="T1337" t="str">
        <f t="shared" si="83"/>
        <v/>
      </c>
    </row>
    <row r="1338" spans="1:20" x14ac:dyDescent="0.45">
      <c r="A1338" t="str">
        <f>IF(PNL!A1338="","",PNL!A1338)</f>
        <v/>
      </c>
      <c r="B1338" t="str">
        <f>IF(PNL!B1338="","",PNL!B1338)</f>
        <v/>
      </c>
      <c r="C1338" t="str">
        <f>IF(PNL!C1338="","",PNL!C1338)</f>
        <v/>
      </c>
      <c r="D1338" t="str">
        <f>IF(PNL!D1338="","",PNL!D1338)</f>
        <v/>
      </c>
      <c r="E1338" t="str">
        <f t="shared" si="80"/>
        <v/>
      </c>
      <c r="F1338" t="str">
        <f>IF($A1338="","",IF($E1338=1,SUMIFS(Compta!$F$1:$F$675,Compta!$A$1:$A$675,$A1338,Compta!$B$1:$B$675,$B1338,Compta!$C$1:$C$675,"2026"),0))</f>
        <v/>
      </c>
      <c r="G1338" t="str">
        <f>IF($A1338="","",IF($D1338="V01",cad!$C$23,IF($D1338="V02",cad!$D$23,cad!$E$23)))</f>
        <v/>
      </c>
      <c r="H1338" t="str">
        <f>IF($A1338="","",IF($D1338="V01",cad!$C$24,IF($D1338="V02",cad!$D$24,cad!$E$24)))</f>
        <v/>
      </c>
      <c r="I1338" t="str">
        <f>IF($A1338="","",IF($D1338="V01",cad!$C$32,IF($D1338="V02",cad!$D$32,cad!$E$32)))</f>
        <v/>
      </c>
      <c r="J1338" t="str">
        <f>IF($A1338="","",IF($D1338="V01",cad!$C$33,IF($D1338="V02",cad!$D$33,cad!$E$33)))</f>
        <v/>
      </c>
      <c r="K1338" t="str">
        <f>IF($A1338="","",IF($D1338="V01",cad!$C$34,IF($D1338="V02",cad!$D$34,cad!$E$34)))</f>
        <v/>
      </c>
      <c r="L1338" t="str">
        <f>IF($A1338="","",IF($D1338="V01",cad!$C$35,IF($D1338="V02",cad!$D$35,cad!$E$35)))</f>
        <v/>
      </c>
      <c r="M1338" t="str">
        <f>IF($A1338="","",IF($D1338="V01",cad!$C$36,IF($D1338="V02",cad!$D$36,cad!$E$36)))</f>
        <v/>
      </c>
      <c r="N1338" t="str">
        <f t="shared" si="81"/>
        <v/>
      </c>
      <c r="O1338" t="str">
        <f t="shared" si="82"/>
        <v/>
      </c>
      <c r="P1338" t="str">
        <f>IF($A1338="","",IF($E1338=1,$F1338*$O1338,PNL!G1338))</f>
        <v/>
      </c>
      <c r="T1338" t="str">
        <f t="shared" si="83"/>
        <v/>
      </c>
    </row>
    <row r="1339" spans="1:20" x14ac:dyDescent="0.45">
      <c r="A1339" t="str">
        <f>IF(PNL!A1339="","",PNL!A1339)</f>
        <v/>
      </c>
      <c r="B1339" t="str">
        <f>IF(PNL!B1339="","",PNL!B1339)</f>
        <v/>
      </c>
      <c r="C1339" t="str">
        <f>IF(PNL!C1339="","",PNL!C1339)</f>
        <v/>
      </c>
      <c r="D1339" t="str">
        <f>IF(PNL!D1339="","",PNL!D1339)</f>
        <v/>
      </c>
      <c r="E1339" t="str">
        <f t="shared" si="80"/>
        <v/>
      </c>
      <c r="F1339" t="str">
        <f>IF($A1339="","",IF($E1339=1,SUMIFS(Compta!$F$1:$F$675,Compta!$A$1:$A$675,$A1339,Compta!$B$1:$B$675,$B1339,Compta!$C$1:$C$675,"2026"),0))</f>
        <v/>
      </c>
      <c r="G1339" t="str">
        <f>IF($A1339="","",IF($D1339="V01",cad!$C$23,IF($D1339="V02",cad!$D$23,cad!$E$23)))</f>
        <v/>
      </c>
      <c r="H1339" t="str">
        <f>IF($A1339="","",IF($D1339="V01",cad!$C$24,IF($D1339="V02",cad!$D$24,cad!$E$24)))</f>
        <v/>
      </c>
      <c r="I1339" t="str">
        <f>IF($A1339="","",IF($D1339="V01",cad!$C$32,IF($D1339="V02",cad!$D$32,cad!$E$32)))</f>
        <v/>
      </c>
      <c r="J1339" t="str">
        <f>IF($A1339="","",IF($D1339="V01",cad!$C$33,IF($D1339="V02",cad!$D$33,cad!$E$33)))</f>
        <v/>
      </c>
      <c r="K1339" t="str">
        <f>IF($A1339="","",IF($D1339="V01",cad!$C$34,IF($D1339="V02",cad!$D$34,cad!$E$34)))</f>
        <v/>
      </c>
      <c r="L1339" t="str">
        <f>IF($A1339="","",IF($D1339="V01",cad!$C$35,IF($D1339="V02",cad!$D$35,cad!$E$35)))</f>
        <v/>
      </c>
      <c r="M1339" t="str">
        <f>IF($A1339="","",IF($D1339="V01",cad!$C$36,IF($D1339="V02",cad!$D$36,cad!$E$36)))</f>
        <v/>
      </c>
      <c r="N1339" t="str">
        <f t="shared" si="81"/>
        <v/>
      </c>
      <c r="O1339" t="str">
        <f t="shared" si="82"/>
        <v/>
      </c>
      <c r="P1339" t="str">
        <f>IF($A1339="","",IF($E1339=1,$F1339*$O1339,PNL!G1339))</f>
        <v/>
      </c>
      <c r="T1339" t="str">
        <f t="shared" si="83"/>
        <v/>
      </c>
    </row>
    <row r="1340" spans="1:20" x14ac:dyDescent="0.45">
      <c r="A1340" t="str">
        <f>IF(PNL!A1340="","",PNL!A1340)</f>
        <v/>
      </c>
      <c r="B1340" t="str">
        <f>IF(PNL!B1340="","",PNL!B1340)</f>
        <v/>
      </c>
      <c r="C1340" t="str">
        <f>IF(PNL!C1340="","",PNL!C1340)</f>
        <v/>
      </c>
      <c r="D1340" t="str">
        <f>IF(PNL!D1340="","",PNL!D1340)</f>
        <v/>
      </c>
      <c r="E1340" t="str">
        <f t="shared" si="80"/>
        <v/>
      </c>
      <c r="F1340" t="str">
        <f>IF($A1340="","",IF($E1340=1,SUMIFS(Compta!$F$1:$F$675,Compta!$A$1:$A$675,$A1340,Compta!$B$1:$B$675,$B1340,Compta!$C$1:$C$675,"2026"),0))</f>
        <v/>
      </c>
      <c r="G1340" t="str">
        <f>IF($A1340="","",IF($D1340="V01",cad!$C$23,IF($D1340="V02",cad!$D$23,cad!$E$23)))</f>
        <v/>
      </c>
      <c r="H1340" t="str">
        <f>IF($A1340="","",IF($D1340="V01",cad!$C$24,IF($D1340="V02",cad!$D$24,cad!$E$24)))</f>
        <v/>
      </c>
      <c r="I1340" t="str">
        <f>IF($A1340="","",IF($D1340="V01",cad!$C$32,IF($D1340="V02",cad!$D$32,cad!$E$32)))</f>
        <v/>
      </c>
      <c r="J1340" t="str">
        <f>IF($A1340="","",IF($D1340="V01",cad!$C$33,IF($D1340="V02",cad!$D$33,cad!$E$33)))</f>
        <v/>
      </c>
      <c r="K1340" t="str">
        <f>IF($A1340="","",IF($D1340="V01",cad!$C$34,IF($D1340="V02",cad!$D$34,cad!$E$34)))</f>
        <v/>
      </c>
      <c r="L1340" t="str">
        <f>IF($A1340="","",IF($D1340="V01",cad!$C$35,IF($D1340="V02",cad!$D$35,cad!$E$35)))</f>
        <v/>
      </c>
      <c r="M1340" t="str">
        <f>IF($A1340="","",IF($D1340="V01",cad!$C$36,IF($D1340="V02",cad!$D$36,cad!$E$36)))</f>
        <v/>
      </c>
      <c r="N1340" t="str">
        <f t="shared" si="81"/>
        <v/>
      </c>
      <c r="O1340" t="str">
        <f t="shared" si="82"/>
        <v/>
      </c>
      <c r="P1340" t="str">
        <f>IF($A1340="","",IF($E1340=1,$F1340*$O1340,PNL!G1340))</f>
        <v/>
      </c>
      <c r="T1340" t="str">
        <f t="shared" si="83"/>
        <v/>
      </c>
    </row>
    <row r="1341" spans="1:20" x14ac:dyDescent="0.45">
      <c r="A1341" t="str">
        <f>IF(PNL!A1341="","",PNL!A1341)</f>
        <v/>
      </c>
      <c r="B1341" t="str">
        <f>IF(PNL!B1341="","",PNL!B1341)</f>
        <v/>
      </c>
      <c r="C1341" t="str">
        <f>IF(PNL!C1341="","",PNL!C1341)</f>
        <v/>
      </c>
      <c r="D1341" t="str">
        <f>IF(PNL!D1341="","",PNL!D1341)</f>
        <v/>
      </c>
      <c r="E1341" t="str">
        <f t="shared" si="80"/>
        <v/>
      </c>
      <c r="F1341" t="str">
        <f>IF($A1341="","",IF($E1341=1,SUMIFS(Compta!$F$1:$F$675,Compta!$A$1:$A$675,$A1341,Compta!$B$1:$B$675,$B1341,Compta!$C$1:$C$675,"2026"),0))</f>
        <v/>
      </c>
      <c r="G1341" t="str">
        <f>IF($A1341="","",IF($D1341="V01",cad!$C$23,IF($D1341="V02",cad!$D$23,cad!$E$23)))</f>
        <v/>
      </c>
      <c r="H1341" t="str">
        <f>IF($A1341="","",IF($D1341="V01",cad!$C$24,IF($D1341="V02",cad!$D$24,cad!$E$24)))</f>
        <v/>
      </c>
      <c r="I1341" t="str">
        <f>IF($A1341="","",IF($D1341="V01",cad!$C$32,IF($D1341="V02",cad!$D$32,cad!$E$32)))</f>
        <v/>
      </c>
      <c r="J1341" t="str">
        <f>IF($A1341="","",IF($D1341="V01",cad!$C$33,IF($D1341="V02",cad!$D$33,cad!$E$33)))</f>
        <v/>
      </c>
      <c r="K1341" t="str">
        <f>IF($A1341="","",IF($D1341="V01",cad!$C$34,IF($D1341="V02",cad!$D$34,cad!$E$34)))</f>
        <v/>
      </c>
      <c r="L1341" t="str">
        <f>IF($A1341="","",IF($D1341="V01",cad!$C$35,IF($D1341="V02",cad!$D$35,cad!$E$35)))</f>
        <v/>
      </c>
      <c r="M1341" t="str">
        <f>IF($A1341="","",IF($D1341="V01",cad!$C$36,IF($D1341="V02",cad!$D$36,cad!$E$36)))</f>
        <v/>
      </c>
      <c r="N1341" t="str">
        <f t="shared" si="81"/>
        <v/>
      </c>
      <c r="O1341" t="str">
        <f t="shared" si="82"/>
        <v/>
      </c>
      <c r="P1341" t="str">
        <f>IF($A1341="","",IF($E1341=1,$F1341*$O1341,PNL!G1341))</f>
        <v/>
      </c>
      <c r="T1341" t="str">
        <f t="shared" si="83"/>
        <v/>
      </c>
    </row>
    <row r="1342" spans="1:20" x14ac:dyDescent="0.45">
      <c r="A1342" t="str">
        <f>IF(PNL!A1342="","",PNL!A1342)</f>
        <v/>
      </c>
      <c r="B1342" t="str">
        <f>IF(PNL!B1342="","",PNL!B1342)</f>
        <v/>
      </c>
      <c r="C1342" t="str">
        <f>IF(PNL!C1342="","",PNL!C1342)</f>
        <v/>
      </c>
      <c r="D1342" t="str">
        <f>IF(PNL!D1342="","",PNL!D1342)</f>
        <v/>
      </c>
      <c r="E1342" t="str">
        <f t="shared" si="80"/>
        <v/>
      </c>
      <c r="F1342" t="str">
        <f>IF($A1342="","",IF($E1342=1,SUMIFS(Compta!$F$1:$F$675,Compta!$A$1:$A$675,$A1342,Compta!$B$1:$B$675,$B1342,Compta!$C$1:$C$675,"2026"),0))</f>
        <v/>
      </c>
      <c r="G1342" t="str">
        <f>IF($A1342="","",IF($D1342="V01",cad!$C$23,IF($D1342="V02",cad!$D$23,cad!$E$23)))</f>
        <v/>
      </c>
      <c r="H1342" t="str">
        <f>IF($A1342="","",IF($D1342="V01",cad!$C$24,IF($D1342="V02",cad!$D$24,cad!$E$24)))</f>
        <v/>
      </c>
      <c r="I1342" t="str">
        <f>IF($A1342="","",IF($D1342="V01",cad!$C$32,IF($D1342="V02",cad!$D$32,cad!$E$32)))</f>
        <v/>
      </c>
      <c r="J1342" t="str">
        <f>IF($A1342="","",IF($D1342="V01",cad!$C$33,IF($D1342="V02",cad!$D$33,cad!$E$33)))</f>
        <v/>
      </c>
      <c r="K1342" t="str">
        <f>IF($A1342="","",IF($D1342="V01",cad!$C$34,IF($D1342="V02",cad!$D$34,cad!$E$34)))</f>
        <v/>
      </c>
      <c r="L1342" t="str">
        <f>IF($A1342="","",IF($D1342="V01",cad!$C$35,IF($D1342="V02",cad!$D$35,cad!$E$35)))</f>
        <v/>
      </c>
      <c r="M1342" t="str">
        <f>IF($A1342="","",IF($D1342="V01",cad!$C$36,IF($D1342="V02",cad!$D$36,cad!$E$36)))</f>
        <v/>
      </c>
      <c r="N1342" t="str">
        <f t="shared" si="81"/>
        <v/>
      </c>
      <c r="O1342" t="str">
        <f t="shared" si="82"/>
        <v/>
      </c>
      <c r="P1342" t="str">
        <f>IF($A1342="","",IF($E1342=1,$F1342*$O1342,PNL!G1342))</f>
        <v/>
      </c>
      <c r="T1342" t="str">
        <f t="shared" si="83"/>
        <v/>
      </c>
    </row>
    <row r="1343" spans="1:20" x14ac:dyDescent="0.45">
      <c r="A1343" t="str">
        <f>IF(PNL!A1343="","",PNL!A1343)</f>
        <v/>
      </c>
      <c r="B1343" t="str">
        <f>IF(PNL!B1343="","",PNL!B1343)</f>
        <v/>
      </c>
      <c r="C1343" t="str">
        <f>IF(PNL!C1343="","",PNL!C1343)</f>
        <v/>
      </c>
      <c r="D1343" t="str">
        <f>IF(PNL!D1343="","",PNL!D1343)</f>
        <v/>
      </c>
      <c r="E1343" t="str">
        <f t="shared" si="80"/>
        <v/>
      </c>
      <c r="F1343" t="str">
        <f>IF($A1343="","",IF($E1343=1,SUMIFS(Compta!$F$1:$F$675,Compta!$A$1:$A$675,$A1343,Compta!$B$1:$B$675,$B1343,Compta!$C$1:$C$675,"2026"),0))</f>
        <v/>
      </c>
      <c r="G1343" t="str">
        <f>IF($A1343="","",IF($D1343="V01",cad!$C$23,IF($D1343="V02",cad!$D$23,cad!$E$23)))</f>
        <v/>
      </c>
      <c r="H1343" t="str">
        <f>IF($A1343="","",IF($D1343="V01",cad!$C$24,IF($D1343="V02",cad!$D$24,cad!$E$24)))</f>
        <v/>
      </c>
      <c r="I1343" t="str">
        <f>IF($A1343="","",IF($D1343="V01",cad!$C$32,IF($D1343="V02",cad!$D$32,cad!$E$32)))</f>
        <v/>
      </c>
      <c r="J1343" t="str">
        <f>IF($A1343="","",IF($D1343="V01",cad!$C$33,IF($D1343="V02",cad!$D$33,cad!$E$33)))</f>
        <v/>
      </c>
      <c r="K1343" t="str">
        <f>IF($A1343="","",IF($D1343="V01",cad!$C$34,IF($D1343="V02",cad!$D$34,cad!$E$34)))</f>
        <v/>
      </c>
      <c r="L1343" t="str">
        <f>IF($A1343="","",IF($D1343="V01",cad!$C$35,IF($D1343="V02",cad!$D$35,cad!$E$35)))</f>
        <v/>
      </c>
      <c r="M1343" t="str">
        <f>IF($A1343="","",IF($D1343="V01",cad!$C$36,IF($D1343="V02",cad!$D$36,cad!$E$36)))</f>
        <v/>
      </c>
      <c r="N1343" t="str">
        <f t="shared" si="81"/>
        <v/>
      </c>
      <c r="O1343" t="str">
        <f t="shared" si="82"/>
        <v/>
      </c>
      <c r="P1343" t="str">
        <f>IF($A1343="","",IF($E1343=1,$F1343*$O1343,PNL!G1343))</f>
        <v/>
      </c>
      <c r="T1343" t="str">
        <f t="shared" si="83"/>
        <v/>
      </c>
    </row>
    <row r="1344" spans="1:20" x14ac:dyDescent="0.45">
      <c r="A1344" t="str">
        <f>IF(PNL!A1344="","",PNL!A1344)</f>
        <v/>
      </c>
      <c r="B1344" t="str">
        <f>IF(PNL!B1344="","",PNL!B1344)</f>
        <v/>
      </c>
      <c r="C1344" t="str">
        <f>IF(PNL!C1344="","",PNL!C1344)</f>
        <v/>
      </c>
      <c r="D1344" t="str">
        <f>IF(PNL!D1344="","",PNL!D1344)</f>
        <v/>
      </c>
      <c r="E1344" t="str">
        <f t="shared" si="80"/>
        <v/>
      </c>
      <c r="F1344" t="str">
        <f>IF($A1344="","",IF($E1344=1,SUMIFS(Compta!$F$1:$F$675,Compta!$A$1:$A$675,$A1344,Compta!$B$1:$B$675,$B1344,Compta!$C$1:$C$675,"2026"),0))</f>
        <v/>
      </c>
      <c r="G1344" t="str">
        <f>IF($A1344="","",IF($D1344="V01",cad!$C$23,IF($D1344="V02",cad!$D$23,cad!$E$23)))</f>
        <v/>
      </c>
      <c r="H1344" t="str">
        <f>IF($A1344="","",IF($D1344="V01",cad!$C$24,IF($D1344="V02",cad!$D$24,cad!$E$24)))</f>
        <v/>
      </c>
      <c r="I1344" t="str">
        <f>IF($A1344="","",IF($D1344="V01",cad!$C$32,IF($D1344="V02",cad!$D$32,cad!$E$32)))</f>
        <v/>
      </c>
      <c r="J1344" t="str">
        <f>IF($A1344="","",IF($D1344="V01",cad!$C$33,IF($D1344="V02",cad!$D$33,cad!$E$33)))</f>
        <v/>
      </c>
      <c r="K1344" t="str">
        <f>IF($A1344="","",IF($D1344="V01",cad!$C$34,IF($D1344="V02",cad!$D$34,cad!$E$34)))</f>
        <v/>
      </c>
      <c r="L1344" t="str">
        <f>IF($A1344="","",IF($D1344="V01",cad!$C$35,IF($D1344="V02",cad!$D$35,cad!$E$35)))</f>
        <v/>
      </c>
      <c r="M1344" t="str">
        <f>IF($A1344="","",IF($D1344="V01",cad!$C$36,IF($D1344="V02",cad!$D$36,cad!$E$36)))</f>
        <v/>
      </c>
      <c r="N1344" t="str">
        <f t="shared" si="81"/>
        <v/>
      </c>
      <c r="O1344" t="str">
        <f t="shared" si="82"/>
        <v/>
      </c>
      <c r="P1344" t="str">
        <f>IF($A1344="","",IF($E1344=1,$F1344*$O1344,PNL!G1344))</f>
        <v/>
      </c>
      <c r="T1344" t="str">
        <f t="shared" si="83"/>
        <v/>
      </c>
    </row>
    <row r="1345" spans="1:20" x14ac:dyDescent="0.45">
      <c r="A1345" t="str">
        <f>IF(PNL!A1345="","",PNL!A1345)</f>
        <v/>
      </c>
      <c r="B1345" t="str">
        <f>IF(PNL!B1345="","",PNL!B1345)</f>
        <v/>
      </c>
      <c r="C1345" t="str">
        <f>IF(PNL!C1345="","",PNL!C1345)</f>
        <v/>
      </c>
      <c r="D1345" t="str">
        <f>IF(PNL!D1345="","",PNL!D1345)</f>
        <v/>
      </c>
      <c r="E1345" t="str">
        <f t="shared" si="80"/>
        <v/>
      </c>
      <c r="F1345" t="str">
        <f>IF($A1345="","",IF($E1345=1,SUMIFS(Compta!$F$1:$F$675,Compta!$A$1:$A$675,$A1345,Compta!$B$1:$B$675,$B1345,Compta!$C$1:$C$675,"2026"),0))</f>
        <v/>
      </c>
      <c r="G1345" t="str">
        <f>IF($A1345="","",IF($D1345="V01",cad!$C$23,IF($D1345="V02",cad!$D$23,cad!$E$23)))</f>
        <v/>
      </c>
      <c r="H1345" t="str">
        <f>IF($A1345="","",IF($D1345="V01",cad!$C$24,IF($D1345="V02",cad!$D$24,cad!$E$24)))</f>
        <v/>
      </c>
      <c r="I1345" t="str">
        <f>IF($A1345="","",IF($D1345="V01",cad!$C$32,IF($D1345="V02",cad!$D$32,cad!$E$32)))</f>
        <v/>
      </c>
      <c r="J1345" t="str">
        <f>IF($A1345="","",IF($D1345="V01",cad!$C$33,IF($D1345="V02",cad!$D$33,cad!$E$33)))</f>
        <v/>
      </c>
      <c r="K1345" t="str">
        <f>IF($A1345="","",IF($D1345="V01",cad!$C$34,IF($D1345="V02",cad!$D$34,cad!$E$34)))</f>
        <v/>
      </c>
      <c r="L1345" t="str">
        <f>IF($A1345="","",IF($D1345="V01",cad!$C$35,IF($D1345="V02",cad!$D$35,cad!$E$35)))</f>
        <v/>
      </c>
      <c r="M1345" t="str">
        <f>IF($A1345="","",IF($D1345="V01",cad!$C$36,IF($D1345="V02",cad!$D$36,cad!$E$36)))</f>
        <v/>
      </c>
      <c r="N1345" t="str">
        <f t="shared" si="81"/>
        <v/>
      </c>
      <c r="O1345" t="str">
        <f t="shared" si="82"/>
        <v/>
      </c>
      <c r="P1345" t="str">
        <f>IF($A1345="","",IF($E1345=1,$F1345*$O1345,PNL!G1345))</f>
        <v/>
      </c>
      <c r="T1345" t="str">
        <f t="shared" si="83"/>
        <v/>
      </c>
    </row>
    <row r="1346" spans="1:20" x14ac:dyDescent="0.4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347" si="84">IF($A1346="","",IF(AND($C1346="2027",OR($D1346="V01",$D1346="V02",$D1346="V03")),1,0))</f>
        <v/>
      </c>
      <c r="F1346" t="str">
        <f>IF($A1346="","",IF($E1346=1,SUMIFS(Compta!$F$1:$F$675,Compta!$A$1:$A$675,$A1346,Compta!$B$1:$B$675,$B1346,Compta!$C$1:$C$675,"2026"),0))</f>
        <v/>
      </c>
      <c r="G1346" t="str">
        <f>IF($A1346="","",IF($D1346="V01",cad!$C$23,IF($D1346="V02",cad!$D$23,cad!$E$23)))</f>
        <v/>
      </c>
      <c r="H1346" t="str">
        <f>IF($A1346="","",IF($D1346="V01",cad!$C$24,IF($D1346="V02",cad!$D$24,cad!$E$24)))</f>
        <v/>
      </c>
      <c r="I1346" t="str">
        <f>IF($A1346="","",IF($D1346="V01",cad!$C$32,IF($D1346="V02",cad!$D$32,cad!$E$32)))</f>
        <v/>
      </c>
      <c r="J1346" t="str">
        <f>IF($A1346="","",IF($D1346="V01",cad!$C$33,IF($D1346="V02",cad!$D$33,cad!$E$33)))</f>
        <v/>
      </c>
      <c r="K1346" t="str">
        <f>IF($A1346="","",IF($D1346="V01",cad!$C$34,IF($D1346="V02",cad!$D$34,cad!$E$34)))</f>
        <v/>
      </c>
      <c r="L1346" t="str">
        <f>IF($A1346="","",IF($D1346="V01",cad!$C$35,IF($D1346="V02",cad!$D$35,cad!$E$35)))</f>
        <v/>
      </c>
      <c r="M1346" t="str">
        <f>IF($A1346="","",IF($D1346="V01",cad!$C$36,IF($D1346="V02",cad!$D$36,cad!$E$36)))</f>
        <v/>
      </c>
      <c r="N1346" t="str">
        <f t="shared" ref="N1346:N1347" si="85">IF($A1346="","",IF($D1346="V01",$R$2,IF($D1346="V02",$R$3,$R$4)))</f>
        <v/>
      </c>
      <c r="O1346" t="str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ref="T1346:T1347" si="87">IF($A1346="","",IF($E1346=1,IF(OR($B1346="7062",$B1346="706",$B1346="708"),$P1346,IF(AND(LEFT($B1346,1)="6",$B1346&lt;&gt;"6811"),-$P1346,0)),0))</f>
        <v/>
      </c>
    </row>
    <row r="1347" spans="1:20" x14ac:dyDescent="0.4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IF($A1347="","",IF($E1347=1,SUMIFS(Compta!$F$1:$F$675,Compta!$A$1:$A$675,$A1347,Compta!$B$1:$B$675,$B1347,Compta!$C$1:$C$675,"2026"),0))</f>
        <v/>
      </c>
      <c r="G1347" t="str">
        <f>IF($A1347="","",IF($D1347="V01",cad!$C$23,IF($D1347="V02",cad!$D$23,cad!$E$23)))</f>
        <v/>
      </c>
      <c r="H1347" t="str">
        <f>IF($A1347="","",IF($D1347="V01",cad!$C$24,IF($D1347="V02",cad!$D$24,cad!$E$24)))</f>
        <v/>
      </c>
      <c r="I1347" t="str">
        <f>IF($A1347="","",IF($D1347="V01",cad!$C$32,IF($D1347="V02",cad!$D$32,cad!$E$32)))</f>
        <v/>
      </c>
      <c r="J1347" t="str">
        <f>IF($A1347="","",IF($D1347="V01",cad!$C$33,IF($D1347="V02",cad!$D$33,cad!$E$33)))</f>
        <v/>
      </c>
      <c r="K1347" t="str">
        <f>IF($A1347="","",IF($D1347="V01",cad!$C$34,IF($D1347="V02",cad!$D$34,cad!$E$34)))</f>
        <v/>
      </c>
      <c r="L1347" t="str">
        <f>IF($A1347="","",IF($D1347="V01",cad!$C$35,IF($D1347="V02",cad!$D$35,cad!$E$35)))</f>
        <v/>
      </c>
      <c r="M1347" t="str">
        <f>IF($A1347="","",IF($D1347="V01",cad!$C$36,IF($D1347="V02",cad!$D$36,cad!$E$36)))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7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49"/>
  <sheetViews>
    <sheetView topLeftCell="AO1" workbookViewId="0">
      <selection activeCell="BC3" sqref="BC3"/>
    </sheetView>
  </sheetViews>
  <sheetFormatPr baseColWidth="10" defaultColWidth="9.06640625" defaultRowHeight="14.25" x14ac:dyDescent="0.45"/>
  <sheetData>
    <row r="1" spans="1:46" x14ac:dyDescent="0.45">
      <c r="A1" t="s">
        <v>33</v>
      </c>
      <c r="B1" t="s">
        <v>29</v>
      </c>
      <c r="C1" t="s">
        <v>55</v>
      </c>
      <c r="D1" t="s">
        <v>243</v>
      </c>
      <c r="E1" t="s">
        <v>244</v>
      </c>
      <c r="F1" t="s">
        <v>245</v>
      </c>
      <c r="G1" t="s">
        <v>36</v>
      </c>
      <c r="H1" t="s">
        <v>38</v>
      </c>
      <c r="I1" t="s">
        <v>42</v>
      </c>
      <c r="J1" t="s">
        <v>35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125</v>
      </c>
      <c r="X1" t="s">
        <v>126</v>
      </c>
      <c r="Y1" t="s">
        <v>127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T1" t="s">
        <v>228</v>
      </c>
    </row>
    <row r="2" spans="1:46" x14ac:dyDescent="0.45">
      <c r="A2" t="str">
        <f>IF(Allocation2!D2="","",Allocation2!D2)</f>
        <v/>
      </c>
      <c r="B2" t="str">
        <f>IF(Allocation2!E2="","",Allocation2!E2)</f>
        <v/>
      </c>
      <c r="C2" t="str">
        <f>IF(Allocation2!F2="","",Allocation2!F2)</f>
        <v/>
      </c>
      <c r="D2" t="str">
        <f>IF(Allocation2!G2="","",Allocation2!G2)</f>
        <v/>
      </c>
      <c r="E2" t="str">
        <f>IF(Allocation2!H2="","",Allocation2!H2)</f>
        <v/>
      </c>
      <c r="F2" t="str">
        <f>IF(Allocation2!I2="","",Allocation2!I2)</f>
        <v/>
      </c>
      <c r="G2" t="str">
        <f>IF(Allocation2!E2="","",Allocation2!J2)</f>
        <v/>
      </c>
      <c r="H2" t="str">
        <f>IF(Allocation2!E2="","",Allocation2!K2)</f>
        <v/>
      </c>
      <c r="I2" t="str">
        <f>IF(Allocation2!E2="","",Allocation2!L2)</f>
        <v/>
      </c>
      <c r="J2" t="str">
        <f>IF($A2="","",Allocation2!X2)</f>
        <v/>
      </c>
      <c r="K2" t="str">
        <f t="shared" ref="K2:K65" si="0">IF($A2="","",$H2*IF(AND(LEFT($D2,3)="BAC",$F2="INIT"),600,IF(LEFT($D2,3)="BAC",480,IF(AND(LEFT($D2,3)="MAS",$F2="INIT"),520,IF(LEFT($D2,3)="MAS",420,IF($F2="INIT",1000,700))))))</f>
        <v/>
      </c>
      <c r="L2" t="str">
        <f t="shared" ref="L2:L33" si="1">IF($A2="","",SUMIFS($G$1:$G$349,$A$1:$A$349,$A2,$B$1:$B$349,$B2))</f>
        <v/>
      </c>
      <c r="M2" t="str">
        <f t="shared" ref="M2:M33" si="2">IF($A2="","",SUMIFS($H$1:$H$349,$A$1:$A$349,$A2,$B$1:$B$349,$B2))</f>
        <v/>
      </c>
      <c r="N2" t="str">
        <f t="shared" ref="N2:N33" si="3">IF($A2="","",SUMIFS($I$1:$I$349,$A$1:$A$349,$A2,$B$1:$B$349,$B2))</f>
        <v/>
      </c>
      <c r="O2" t="str">
        <f t="shared" ref="O2:O65" si="4">IF($A2="","",SUMIFS($K$1:$K$349,$A$1:$A$349,$A2,$B$1:$B$349,$B2))</f>
        <v/>
      </c>
      <c r="P2" t="str">
        <f t="shared" ref="P2:P65" si="5">IF($A2="","",SUMIFS($J$1:$J$349,$A$1:$A$349,$A2,$B$1:$B$349,$B2))</f>
        <v/>
      </c>
      <c r="Q2" t="str">
        <f t="shared" ref="Q2:Q33" si="6">IF($A2="","",SUMIFS($G$1:$G$349,$A$1:$A$349,$A2,$C$1:$C$349,$C2))</f>
        <v/>
      </c>
      <c r="R2" t="str">
        <f t="shared" ref="R2:R33" si="7">IF($A2="","",SUMIFS($H$1:$H$349,$A$1:$A$349,$A2,$C$1:$C$349,$C2))</f>
        <v/>
      </c>
      <c r="S2" t="str">
        <f t="shared" ref="S2:S33" si="8">IF($A2="","",SUMIFS($I$1:$I$349,$A$1:$A$349,$A2,$C$1:$C$349,$C2))</f>
        <v/>
      </c>
      <c r="T2" t="str">
        <f t="shared" ref="T2:T33" si="9">IF($A2="","",SUMIFS($G$1:$G$349,$A$1:$A$349,$A2))</f>
        <v/>
      </c>
      <c r="U2" t="str">
        <f t="shared" ref="U2:U33" si="10">IF($A2="","",SUMIFS($H$1:$H$349,$A$1:$A$349,$A2))</f>
        <v/>
      </c>
      <c r="V2" t="str">
        <f t="shared" ref="V2:V33" si="11">IF($A2="","",SUMIFS($I$1:$I$349,$A$1:$A$349,$A2))</f>
        <v/>
      </c>
      <c r="W2" t="str">
        <f>IF($A2="","",Allocation2!Y2)</f>
        <v/>
      </c>
      <c r="X2" t="str">
        <f>IF($A2="","",Allocation2!Z2)</f>
        <v/>
      </c>
      <c r="Y2" t="str">
        <f>IF($A2="","",Allocation2!AA2)</f>
        <v/>
      </c>
      <c r="Z2" t="str">
        <f>IF($A2="","",Allocation2!AB2)</f>
        <v/>
      </c>
      <c r="AA2" t="str">
        <f>IF($A2="","",Allocation2!AC2)</f>
        <v/>
      </c>
      <c r="AB2" t="str">
        <f>IF($A2="","",Allocation2!AD2)</f>
        <v/>
      </c>
      <c r="AC2" t="str">
        <f>IF($A2="","",IF(ALLOC!$N$4="VOL_EFF",$G2,IF(ALLOC!$N$4="VOL_CLASS",$H2,$I2)))</f>
        <v/>
      </c>
      <c r="AD2" t="str">
        <f>IF($A2="","",IF(ALLOC!$N$4="VOL_EFF",$L2,IF(ALLOC!$N$4="VOL_CLASS",$M2,$N2)))</f>
        <v/>
      </c>
      <c r="AE2" t="str">
        <f>IF($A2="","",IF(ALLOC!$N$3="VOL_EFF",$L2,IF(ALLOC!$N$3="VOL_CLASS",$M2,$N2)))</f>
        <v/>
      </c>
      <c r="AF2" t="str">
        <f>IF($A2="","",IF(ALLOC!$N$3="VOL_EFF",$Q2,IF(ALLOC!$N$3="VOL_CLASS",$R2,$S2)))</f>
        <v/>
      </c>
      <c r="AG2" t="str">
        <f>IF($A2="","",IF(ALLOC!$N$1="VOL_EFF",$Q2,IF(ALLOC!$N$1="VOL_CLASS",$R2,$S2)))</f>
        <v/>
      </c>
      <c r="AH2" t="str">
        <f>IF($A2="","",IF(ALLOC!$N$1="VOL_EFF",$T2,IF(ALLOC!$N$1="VOL_CLASS",$U2,$V2)))</f>
        <v/>
      </c>
      <c r="AI2" t="str">
        <f t="shared" ref="AI2:AI65" si="12">IF($A2="","",$W2*IFERROR($K2/$O2,0))</f>
        <v/>
      </c>
      <c r="AJ2" t="str">
        <f t="shared" ref="AJ2:AJ65" si="13">IF($A2="","",$X2*IFERROR($K2/$O2,0))</f>
        <v/>
      </c>
      <c r="AK2" t="str">
        <f t="shared" ref="AK2:AK65" si="14">IF($A2="","",$Y2*IFERROR($G2/$L2,0)+$Z2*IFERROR($J2/$P2,0))</f>
        <v/>
      </c>
      <c r="AL2" t="str">
        <f t="shared" ref="AL2:AL65" si="15">IF($A2="","",$AA2*IFERROR($AC2/$AD2,0))</f>
        <v/>
      </c>
      <c r="AM2" t="str">
        <f t="shared" ref="AM2:AM65" si="16">IF($A2="","",$AB2*IFERROR($AG2/$AH2,0)*IFERROR($AE2/$AF2,0)*IFERROR($AC2/$AD2,0))</f>
        <v/>
      </c>
      <c r="AN2" t="str">
        <f t="shared" ref="AN2:AN65" si="17">IF($A2="","",$I2-($AI2+$AJ2+$AK2+$AL2+$AM2+$AR2))</f>
        <v/>
      </c>
      <c r="AO2" t="str">
        <f>IF($A2="","",Allocation2!AE2)</f>
        <v/>
      </c>
      <c r="AP2" t="str">
        <f>IF($A2="","",IF(ALLOC!$N$2="VOL_EFF",$Q2,IF(ALLOC!$N$2="VOL_CLASS",$R2,$S2)))</f>
        <v/>
      </c>
      <c r="AQ2" t="str">
        <f>IF($A2="","",IF(ALLOC!$N$2="VOL_EFF",$T2,IF(ALLOC!$N$2="VOL_CLASS",$U2,$V2)))</f>
        <v/>
      </c>
      <c r="AR2" t="str">
        <f t="shared" ref="AR2:AR65" si="18">IF($A2="","",$AO2*IFERROR($AP2/$AQ2,0)*IFERROR($AE2/$AF2,0)*IFERROR($AC2/$AD2,0))</f>
        <v/>
      </c>
    </row>
    <row r="3" spans="1:46" x14ac:dyDescent="0.45">
      <c r="A3" t="str">
        <f>IF(Allocation2!D3="","",Allocation2!D3)</f>
        <v/>
      </c>
      <c r="B3" t="str">
        <f>IF(Allocation2!E3="","",Allocation2!E3)</f>
        <v/>
      </c>
      <c r="C3" t="str">
        <f>IF(Allocation2!F3="","",Allocation2!F3)</f>
        <v/>
      </c>
      <c r="D3" t="str">
        <f>IF(Allocation2!G3="","",Allocation2!G3)</f>
        <v/>
      </c>
      <c r="E3" t="str">
        <f>IF(Allocation2!H3="","",Allocation2!H3)</f>
        <v/>
      </c>
      <c r="F3" t="str">
        <f>IF(Allocation2!I3="","",Allocation2!I3)</f>
        <v/>
      </c>
      <c r="G3" t="str">
        <f>IF(Allocation2!E3="","",Allocation2!J3)</f>
        <v/>
      </c>
      <c r="H3" t="str">
        <f>IF(Allocation2!E3="","",Allocation2!K3)</f>
        <v/>
      </c>
      <c r="I3" t="str">
        <f>IF(Allocation2!E3="","",Allocation2!L3)</f>
        <v/>
      </c>
      <c r="J3" t="str">
        <f>IF($A3="","",Allocation2!X3)</f>
        <v/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P3" t="str">
        <f t="shared" si="5"/>
        <v/>
      </c>
      <c r="Q3" t="str">
        <f t="shared" si="6"/>
        <v/>
      </c>
      <c r="R3" t="str">
        <f t="shared" si="7"/>
        <v/>
      </c>
      <c r="S3" t="str">
        <f t="shared" si="8"/>
        <v/>
      </c>
      <c r="T3" t="str">
        <f t="shared" si="9"/>
        <v/>
      </c>
      <c r="U3" t="str">
        <f t="shared" si="10"/>
        <v/>
      </c>
      <c r="V3" t="str">
        <f t="shared" si="11"/>
        <v/>
      </c>
      <c r="W3" t="str">
        <f>IF($A3="","",Allocation2!Y3)</f>
        <v/>
      </c>
      <c r="X3" t="str">
        <f>IF($A3="","",Allocation2!Z3)</f>
        <v/>
      </c>
      <c r="Y3" t="str">
        <f>IF($A3="","",Allocation2!AA3)</f>
        <v/>
      </c>
      <c r="Z3" t="str">
        <f>IF($A3="","",Allocation2!AB3)</f>
        <v/>
      </c>
      <c r="AA3" t="str">
        <f>IF($A3="","",Allocation2!AC3)</f>
        <v/>
      </c>
      <c r="AB3" t="str">
        <f>IF($A3="","",Allocation2!AD3)</f>
        <v/>
      </c>
      <c r="AC3" t="str">
        <f>IF($A3="","",IF(ALLOC!$N$4="VOL_EFF",$G3,IF(ALLOC!$N$4="VOL_CLASS",$H3,$I3)))</f>
        <v/>
      </c>
      <c r="AD3" t="str">
        <f>IF($A3="","",IF(ALLOC!$N$4="VOL_EFF",$L3,IF(ALLOC!$N$4="VOL_CLASS",$M3,$N3)))</f>
        <v/>
      </c>
      <c r="AE3" t="str">
        <f>IF($A3="","",IF(ALLOC!$N$3="VOL_EFF",$L3,IF(ALLOC!$N$3="VOL_CLASS",$M3,$N3)))</f>
        <v/>
      </c>
      <c r="AF3" t="str">
        <f>IF($A3="","",IF(ALLOC!$N$3="VOL_EFF",$Q3,IF(ALLOC!$N$3="VOL_CLASS",$R3,$S3)))</f>
        <v/>
      </c>
      <c r="AG3" t="str">
        <f>IF($A3="","",IF(ALLOC!$N$1="VOL_EFF",$Q3,IF(ALLOC!$N$1="VOL_CLASS",$R3,$S3)))</f>
        <v/>
      </c>
      <c r="AH3" t="str">
        <f>IF($A3="","",IF(ALLOC!$N$1="VOL_EFF",$T3,IF(ALLOC!$N$1="VOL_CLASS",$U3,$V3)))</f>
        <v/>
      </c>
      <c r="AI3" t="str">
        <f t="shared" si="12"/>
        <v/>
      </c>
      <c r="AJ3" t="str">
        <f t="shared" si="13"/>
        <v/>
      </c>
      <c r="AK3" t="str">
        <f t="shared" si="14"/>
        <v/>
      </c>
      <c r="AL3" t="str">
        <f t="shared" si="15"/>
        <v/>
      </c>
      <c r="AM3" t="str">
        <f t="shared" si="16"/>
        <v/>
      </c>
      <c r="AN3" t="str">
        <f t="shared" si="17"/>
        <v/>
      </c>
      <c r="AO3" t="str">
        <f>IF($A3="","",Allocation2!AE3)</f>
        <v/>
      </c>
      <c r="AP3" t="str">
        <f>IF($A3="","",IF(ALLOC!$N$2="VOL_EFF",$Q3,IF(ALLOC!$N$2="VOL_CLASS",$R3,$S3)))</f>
        <v/>
      </c>
      <c r="AQ3" t="str">
        <f>IF($A3="","",IF(ALLOC!$N$2="VOL_EFF",$T3,IF(ALLOC!$N$2="VOL_CLASS",$U3,$V3)))</f>
        <v/>
      </c>
      <c r="AR3" t="str">
        <f t="shared" si="18"/>
        <v/>
      </c>
    </row>
    <row r="4" spans="1:46" x14ac:dyDescent="0.45">
      <c r="A4" t="str">
        <f>IF(Allocation2!D4="","",Allocation2!D4)</f>
        <v/>
      </c>
      <c r="B4" t="str">
        <f>IF(Allocation2!E4="","",Allocation2!E4)</f>
        <v/>
      </c>
      <c r="C4" t="str">
        <f>IF(Allocation2!F4="","",Allocation2!F4)</f>
        <v/>
      </c>
      <c r="D4" t="str">
        <f>IF(Allocation2!G4="","",Allocation2!G4)</f>
        <v/>
      </c>
      <c r="E4" t="str">
        <f>IF(Allocation2!H4="","",Allocation2!H4)</f>
        <v/>
      </c>
      <c r="F4" t="str">
        <f>IF(Allocation2!I4="","",Allocation2!I4)</f>
        <v/>
      </c>
      <c r="G4" t="str">
        <f>IF(Allocation2!E4="","",Allocation2!J4)</f>
        <v/>
      </c>
      <c r="H4" t="str">
        <f>IF(Allocation2!E4="","",Allocation2!K4)</f>
        <v/>
      </c>
      <c r="I4" t="str">
        <f>IF(Allocation2!E4="","",Allocation2!L4)</f>
        <v/>
      </c>
      <c r="J4" t="str">
        <f>IF($A4="","",Allocation2!X4)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P4" t="str">
        <f t="shared" si="5"/>
        <v/>
      </c>
      <c r="Q4" t="str">
        <f t="shared" si="6"/>
        <v/>
      </c>
      <c r="R4" t="str">
        <f t="shared" si="7"/>
        <v/>
      </c>
      <c r="S4" t="str">
        <f t="shared" si="8"/>
        <v/>
      </c>
      <c r="T4" t="str">
        <f t="shared" si="9"/>
        <v/>
      </c>
      <c r="U4" t="str">
        <f t="shared" si="10"/>
        <v/>
      </c>
      <c r="V4" t="str">
        <f t="shared" si="11"/>
        <v/>
      </c>
      <c r="W4" t="str">
        <f>IF($A4="","",Allocation2!Y4)</f>
        <v/>
      </c>
      <c r="X4" t="str">
        <f>IF($A4="","",Allocation2!Z4)</f>
        <v/>
      </c>
      <c r="Y4" t="str">
        <f>IF($A4="","",Allocation2!AA4)</f>
        <v/>
      </c>
      <c r="Z4" t="str">
        <f>IF($A4="","",Allocation2!AB4)</f>
        <v/>
      </c>
      <c r="AA4" t="str">
        <f>IF($A4="","",Allocation2!AC4)</f>
        <v/>
      </c>
      <c r="AB4" t="str">
        <f>IF($A4="","",Allocation2!AD4)</f>
        <v/>
      </c>
      <c r="AC4" t="str">
        <f>IF($A4="","",IF(ALLOC!$N$4="VOL_EFF",$G4,IF(ALLOC!$N$4="VOL_CLASS",$H4,$I4)))</f>
        <v/>
      </c>
      <c r="AD4" t="str">
        <f>IF($A4="","",IF(ALLOC!$N$4="VOL_EFF",$L4,IF(ALLOC!$N$4="VOL_CLASS",$M4,$N4)))</f>
        <v/>
      </c>
      <c r="AE4" t="str">
        <f>IF($A4="","",IF(ALLOC!$N$3="VOL_EFF",$L4,IF(ALLOC!$N$3="VOL_CLASS",$M4,$N4)))</f>
        <v/>
      </c>
      <c r="AF4" t="str">
        <f>IF($A4="","",IF(ALLOC!$N$3="VOL_EFF",$Q4,IF(ALLOC!$N$3="VOL_CLASS",$R4,$S4)))</f>
        <v/>
      </c>
      <c r="AG4" t="str">
        <f>IF($A4="","",IF(ALLOC!$N$1="VOL_EFF",$Q4,IF(ALLOC!$N$1="VOL_CLASS",$R4,$S4)))</f>
        <v/>
      </c>
      <c r="AH4" t="str">
        <f>IF($A4="","",IF(ALLOC!$N$1="VOL_EFF",$T4,IF(ALLOC!$N$1="VOL_CLASS",$U4,$V4)))</f>
        <v/>
      </c>
      <c r="AI4" t="str">
        <f t="shared" si="12"/>
        <v/>
      </c>
      <c r="AJ4" t="str">
        <f t="shared" si="13"/>
        <v/>
      </c>
      <c r="AK4" t="str">
        <f t="shared" si="14"/>
        <v/>
      </c>
      <c r="AL4" t="str">
        <f t="shared" si="15"/>
        <v/>
      </c>
      <c r="AM4" t="str">
        <f t="shared" si="16"/>
        <v/>
      </c>
      <c r="AN4" t="str">
        <f t="shared" si="17"/>
        <v/>
      </c>
      <c r="AO4" t="str">
        <f>IF($A4="","",Allocation2!AE4)</f>
        <v/>
      </c>
      <c r="AP4" t="str">
        <f>IF($A4="","",IF(ALLOC!$N$2="VOL_EFF",$Q4,IF(ALLOC!$N$2="VOL_CLASS",$R4,$S4)))</f>
        <v/>
      </c>
      <c r="AQ4" t="str">
        <f>IF($A4="","",IF(ALLOC!$N$2="VOL_EFF",$T4,IF(ALLOC!$N$2="VOL_CLASS",$U4,$V4)))</f>
        <v/>
      </c>
      <c r="AR4" t="str">
        <f t="shared" si="18"/>
        <v/>
      </c>
    </row>
    <row r="5" spans="1:46" x14ac:dyDescent="0.45">
      <c r="A5" t="str">
        <f>IF(Allocation2!D5="","",Allocation2!D5)</f>
        <v/>
      </c>
      <c r="B5" t="str">
        <f>IF(Allocation2!E5="","",Allocation2!E5)</f>
        <v/>
      </c>
      <c r="C5" t="str">
        <f>IF(Allocation2!F5="","",Allocation2!F5)</f>
        <v/>
      </c>
      <c r="D5" t="str">
        <f>IF(Allocation2!G5="","",Allocation2!G5)</f>
        <v/>
      </c>
      <c r="E5" t="str">
        <f>IF(Allocation2!H5="","",Allocation2!H5)</f>
        <v/>
      </c>
      <c r="F5" t="str">
        <f>IF(Allocation2!I5="","",Allocation2!I5)</f>
        <v/>
      </c>
      <c r="G5" t="str">
        <f>IF(Allocation2!E5="","",Allocation2!J5)</f>
        <v/>
      </c>
      <c r="H5" t="str">
        <f>IF(Allocation2!E5="","",Allocation2!K5)</f>
        <v/>
      </c>
      <c r="I5" t="str">
        <f>IF(Allocation2!E5="","",Allocation2!L5)</f>
        <v/>
      </c>
      <c r="J5" t="str">
        <f>IF($A5="","",Allocation2!X5)</f>
        <v/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P5" t="str">
        <f t="shared" si="5"/>
        <v/>
      </c>
      <c r="Q5" t="str">
        <f t="shared" si="6"/>
        <v/>
      </c>
      <c r="R5" t="str">
        <f t="shared" si="7"/>
        <v/>
      </c>
      <c r="S5" t="str">
        <f t="shared" si="8"/>
        <v/>
      </c>
      <c r="T5" t="str">
        <f t="shared" si="9"/>
        <v/>
      </c>
      <c r="U5" t="str">
        <f t="shared" si="10"/>
        <v/>
      </c>
      <c r="V5" t="str">
        <f t="shared" si="11"/>
        <v/>
      </c>
      <c r="W5" t="str">
        <f>IF($A5="","",Allocation2!Y5)</f>
        <v/>
      </c>
      <c r="X5" t="str">
        <f>IF($A5="","",Allocation2!Z5)</f>
        <v/>
      </c>
      <c r="Y5" t="str">
        <f>IF($A5="","",Allocation2!AA5)</f>
        <v/>
      </c>
      <c r="Z5" t="str">
        <f>IF($A5="","",Allocation2!AB5)</f>
        <v/>
      </c>
      <c r="AA5" t="str">
        <f>IF($A5="","",Allocation2!AC5)</f>
        <v/>
      </c>
      <c r="AB5" t="str">
        <f>IF($A5="","",Allocation2!AD5)</f>
        <v/>
      </c>
      <c r="AC5" t="str">
        <f>IF($A5="","",IF(ALLOC!$N$4="VOL_EFF",$G5,IF(ALLOC!$N$4="VOL_CLASS",$H5,$I5)))</f>
        <v/>
      </c>
      <c r="AD5" t="str">
        <f>IF($A5="","",IF(ALLOC!$N$4="VOL_EFF",$L5,IF(ALLOC!$N$4="VOL_CLASS",$M5,$N5)))</f>
        <v/>
      </c>
      <c r="AE5" t="str">
        <f>IF($A5="","",IF(ALLOC!$N$3="VOL_EFF",$L5,IF(ALLOC!$N$3="VOL_CLASS",$M5,$N5)))</f>
        <v/>
      </c>
      <c r="AF5" t="str">
        <f>IF($A5="","",IF(ALLOC!$N$3="VOL_EFF",$Q5,IF(ALLOC!$N$3="VOL_CLASS",$R5,$S5)))</f>
        <v/>
      </c>
      <c r="AG5" t="str">
        <f>IF($A5="","",IF(ALLOC!$N$1="VOL_EFF",$Q5,IF(ALLOC!$N$1="VOL_CLASS",$R5,$S5)))</f>
        <v/>
      </c>
      <c r="AH5" t="str">
        <f>IF($A5="","",IF(ALLOC!$N$1="VOL_EFF",$T5,IF(ALLOC!$N$1="VOL_CLASS",$U5,$V5)))</f>
        <v/>
      </c>
      <c r="AI5" t="str">
        <f t="shared" si="12"/>
        <v/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>IF($A5="","",Allocation2!AE5)</f>
        <v/>
      </c>
      <c r="AP5" t="str">
        <f>IF($A5="","",IF(ALLOC!$N$2="VOL_EFF",$Q5,IF(ALLOC!$N$2="VOL_CLASS",$R5,$S5)))</f>
        <v/>
      </c>
      <c r="AQ5" t="str">
        <f>IF($A5="","",IF(ALLOC!$N$2="VOL_EFF",$T5,IF(ALLOC!$N$2="VOL_CLASS",$U5,$V5)))</f>
        <v/>
      </c>
      <c r="AR5" t="str">
        <f t="shared" si="18"/>
        <v/>
      </c>
    </row>
    <row r="6" spans="1:46" x14ac:dyDescent="0.45">
      <c r="A6" t="str">
        <f>IF(Allocation2!D6="","",Allocation2!D6)</f>
        <v/>
      </c>
      <c r="B6" t="str">
        <f>IF(Allocation2!E6="","",Allocation2!E6)</f>
        <v/>
      </c>
      <c r="C6" t="str">
        <f>IF(Allocation2!F6="","",Allocation2!F6)</f>
        <v/>
      </c>
      <c r="D6" t="str">
        <f>IF(Allocation2!G6="","",Allocation2!G6)</f>
        <v/>
      </c>
      <c r="E6" t="str">
        <f>IF(Allocation2!H6="","",Allocation2!H6)</f>
        <v/>
      </c>
      <c r="F6" t="str">
        <f>IF(Allocation2!I6="","",Allocation2!I6)</f>
        <v/>
      </c>
      <c r="G6" t="str">
        <f>IF(Allocation2!E6="","",Allocation2!J6)</f>
        <v/>
      </c>
      <c r="H6" t="str">
        <f>IF(Allocation2!E6="","",Allocation2!K6)</f>
        <v/>
      </c>
      <c r="I6" t="str">
        <f>IF(Allocation2!E6="","",Allocation2!L6)</f>
        <v/>
      </c>
      <c r="J6" t="str">
        <f>IF($A6="","",Allocation2!X6)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P6" t="str">
        <f t="shared" si="5"/>
        <v/>
      </c>
      <c r="Q6" t="str">
        <f t="shared" si="6"/>
        <v/>
      </c>
      <c r="R6" t="str">
        <f t="shared" si="7"/>
        <v/>
      </c>
      <c r="S6" t="str">
        <f t="shared" si="8"/>
        <v/>
      </c>
      <c r="T6" t="str">
        <f t="shared" si="9"/>
        <v/>
      </c>
      <c r="U6" t="str">
        <f t="shared" si="10"/>
        <v/>
      </c>
      <c r="V6" t="str">
        <f t="shared" si="11"/>
        <v/>
      </c>
      <c r="W6" t="str">
        <f>IF($A6="","",Allocation2!Y6)</f>
        <v/>
      </c>
      <c r="X6" t="str">
        <f>IF($A6="","",Allocation2!Z6)</f>
        <v/>
      </c>
      <c r="Y6" t="str">
        <f>IF($A6="","",Allocation2!AA6)</f>
        <v/>
      </c>
      <c r="Z6" t="str">
        <f>IF($A6="","",Allocation2!AB6)</f>
        <v/>
      </c>
      <c r="AA6" t="str">
        <f>IF($A6="","",Allocation2!AC6)</f>
        <v/>
      </c>
      <c r="AB6" t="str">
        <f>IF($A6="","",Allocation2!AD6)</f>
        <v/>
      </c>
      <c r="AC6" t="str">
        <f>IF($A6="","",IF(ALLOC!$N$4="VOL_EFF",$G6,IF(ALLOC!$N$4="VOL_CLASS",$H6,$I6)))</f>
        <v/>
      </c>
      <c r="AD6" t="str">
        <f>IF($A6="","",IF(ALLOC!$N$4="VOL_EFF",$L6,IF(ALLOC!$N$4="VOL_CLASS",$M6,$N6)))</f>
        <v/>
      </c>
      <c r="AE6" t="str">
        <f>IF($A6="","",IF(ALLOC!$N$3="VOL_EFF",$L6,IF(ALLOC!$N$3="VOL_CLASS",$M6,$N6)))</f>
        <v/>
      </c>
      <c r="AF6" t="str">
        <f>IF($A6="","",IF(ALLOC!$N$3="VOL_EFF",$Q6,IF(ALLOC!$N$3="VOL_CLASS",$R6,$S6)))</f>
        <v/>
      </c>
      <c r="AG6" t="str">
        <f>IF($A6="","",IF(ALLOC!$N$1="VOL_EFF",$Q6,IF(ALLOC!$N$1="VOL_CLASS",$R6,$S6)))</f>
        <v/>
      </c>
      <c r="AH6" t="str">
        <f>IF($A6="","",IF(ALLOC!$N$1="VOL_EFF",$T6,IF(ALLOC!$N$1="VOL_CLASS",$U6,$V6)))</f>
        <v/>
      </c>
      <c r="AI6" t="str">
        <f t="shared" si="12"/>
        <v/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>IF($A6="","",Allocation2!AE6)</f>
        <v/>
      </c>
      <c r="AP6" t="str">
        <f>IF($A6="","",IF(ALLOC!$N$2="VOL_EFF",$Q6,IF(ALLOC!$N$2="VOL_CLASS",$R6,$S6)))</f>
        <v/>
      </c>
      <c r="AQ6" t="str">
        <f>IF($A6="","",IF(ALLOC!$N$2="VOL_EFF",$T6,IF(ALLOC!$N$2="VOL_CLASS",$U6,$V6)))</f>
        <v/>
      </c>
      <c r="AR6" t="str">
        <f t="shared" si="18"/>
        <v/>
      </c>
    </row>
    <row r="7" spans="1:46" x14ac:dyDescent="0.45">
      <c r="A7" t="str">
        <f>IF(Allocation2!D7="","",Allocation2!D7)</f>
        <v/>
      </c>
      <c r="B7" t="str">
        <f>IF(Allocation2!E7="","",Allocation2!E7)</f>
        <v/>
      </c>
      <c r="C7" t="str">
        <f>IF(Allocation2!F7="","",Allocation2!F7)</f>
        <v/>
      </c>
      <c r="D7" t="str">
        <f>IF(Allocation2!G7="","",Allocation2!G7)</f>
        <v/>
      </c>
      <c r="E7" t="str">
        <f>IF(Allocation2!H7="","",Allocation2!H7)</f>
        <v/>
      </c>
      <c r="F7" t="str">
        <f>IF(Allocation2!I7="","",Allocation2!I7)</f>
        <v/>
      </c>
      <c r="G7" t="str">
        <f>IF(Allocation2!E7="","",Allocation2!J7)</f>
        <v/>
      </c>
      <c r="H7" t="str">
        <f>IF(Allocation2!E7="","",Allocation2!K7)</f>
        <v/>
      </c>
      <c r="I7" t="str">
        <f>IF(Allocation2!E7="","",Allocation2!L7)</f>
        <v/>
      </c>
      <c r="J7" t="str">
        <f>IF($A7="","",Allocation2!X7)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P7" t="str">
        <f t="shared" si="5"/>
        <v/>
      </c>
      <c r="Q7" t="str">
        <f t="shared" si="6"/>
        <v/>
      </c>
      <c r="R7" t="str">
        <f t="shared" si="7"/>
        <v/>
      </c>
      <c r="S7" t="str">
        <f t="shared" si="8"/>
        <v/>
      </c>
      <c r="T7" t="str">
        <f t="shared" si="9"/>
        <v/>
      </c>
      <c r="U7" t="str">
        <f t="shared" si="10"/>
        <v/>
      </c>
      <c r="V7" t="str">
        <f t="shared" si="11"/>
        <v/>
      </c>
      <c r="W7" t="str">
        <f>IF($A7="","",Allocation2!Y7)</f>
        <v/>
      </c>
      <c r="X7" t="str">
        <f>IF($A7="","",Allocation2!Z7)</f>
        <v/>
      </c>
      <c r="Y7" t="str">
        <f>IF($A7="","",Allocation2!AA7)</f>
        <v/>
      </c>
      <c r="Z7" t="str">
        <f>IF($A7="","",Allocation2!AB7)</f>
        <v/>
      </c>
      <c r="AA7" t="str">
        <f>IF($A7="","",Allocation2!AC7)</f>
        <v/>
      </c>
      <c r="AB7" t="str">
        <f>IF($A7="","",Allocation2!AD7)</f>
        <v/>
      </c>
      <c r="AC7" t="str">
        <f>IF($A7="","",IF(ALLOC!$N$4="VOL_EFF",$G7,IF(ALLOC!$N$4="VOL_CLASS",$H7,$I7)))</f>
        <v/>
      </c>
      <c r="AD7" t="str">
        <f>IF($A7="","",IF(ALLOC!$N$4="VOL_EFF",$L7,IF(ALLOC!$N$4="VOL_CLASS",$M7,$N7)))</f>
        <v/>
      </c>
      <c r="AE7" t="str">
        <f>IF($A7="","",IF(ALLOC!$N$3="VOL_EFF",$L7,IF(ALLOC!$N$3="VOL_CLASS",$M7,$N7)))</f>
        <v/>
      </c>
      <c r="AF7" t="str">
        <f>IF($A7="","",IF(ALLOC!$N$3="VOL_EFF",$Q7,IF(ALLOC!$N$3="VOL_CLASS",$R7,$S7)))</f>
        <v/>
      </c>
      <c r="AG7" t="str">
        <f>IF($A7="","",IF(ALLOC!$N$1="VOL_EFF",$Q7,IF(ALLOC!$N$1="VOL_CLASS",$R7,$S7)))</f>
        <v/>
      </c>
      <c r="AH7" t="str">
        <f>IF($A7="","",IF(ALLOC!$N$1="VOL_EFF",$T7,IF(ALLOC!$N$1="VOL_CLASS",$U7,$V7)))</f>
        <v/>
      </c>
      <c r="AI7" t="str">
        <f t="shared" si="12"/>
        <v/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>IF($A7="","",Allocation2!AE7)</f>
        <v/>
      </c>
      <c r="AP7" t="str">
        <f>IF($A7="","",IF(ALLOC!$N$2="VOL_EFF",$Q7,IF(ALLOC!$N$2="VOL_CLASS",$R7,$S7)))</f>
        <v/>
      </c>
      <c r="AQ7" t="str">
        <f>IF($A7="","",IF(ALLOC!$N$2="VOL_EFF",$T7,IF(ALLOC!$N$2="VOL_CLASS",$U7,$V7)))</f>
        <v/>
      </c>
      <c r="AR7" t="str">
        <f t="shared" si="18"/>
        <v/>
      </c>
    </row>
    <row r="8" spans="1:46" x14ac:dyDescent="0.45">
      <c r="A8" t="str">
        <f>IF(Allocation2!D8="","",Allocation2!D8)</f>
        <v/>
      </c>
      <c r="B8" t="str">
        <f>IF(Allocation2!E8="","",Allocation2!E8)</f>
        <v/>
      </c>
      <c r="C8" t="str">
        <f>IF(Allocation2!F8="","",Allocation2!F8)</f>
        <v/>
      </c>
      <c r="D8" t="str">
        <f>IF(Allocation2!G8="","",Allocation2!G8)</f>
        <v/>
      </c>
      <c r="E8" t="str">
        <f>IF(Allocation2!H8="","",Allocation2!H8)</f>
        <v/>
      </c>
      <c r="F8" t="str">
        <f>IF(Allocation2!I8="","",Allocation2!I8)</f>
        <v/>
      </c>
      <c r="G8" t="str">
        <f>IF(Allocation2!E8="","",Allocation2!J8)</f>
        <v/>
      </c>
      <c r="H8" t="str">
        <f>IF(Allocation2!E8="","",Allocation2!K8)</f>
        <v/>
      </c>
      <c r="I8" t="str">
        <f>IF(Allocation2!E8="","",Allocation2!L8)</f>
        <v/>
      </c>
      <c r="J8" t="str">
        <f>IF($A8="","",Allocation2!X8)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P8" t="str">
        <f t="shared" si="5"/>
        <v/>
      </c>
      <c r="Q8" t="str">
        <f t="shared" si="6"/>
        <v/>
      </c>
      <c r="R8" t="str">
        <f t="shared" si="7"/>
        <v/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/>
      </c>
      <c r="W8" t="str">
        <f>IF($A8="","",Allocation2!Y8)</f>
        <v/>
      </c>
      <c r="X8" t="str">
        <f>IF($A8="","",Allocation2!Z8)</f>
        <v/>
      </c>
      <c r="Y8" t="str">
        <f>IF($A8="","",Allocation2!AA8)</f>
        <v/>
      </c>
      <c r="Z8" t="str">
        <f>IF($A8="","",Allocation2!AB8)</f>
        <v/>
      </c>
      <c r="AA8" t="str">
        <f>IF($A8="","",Allocation2!AC8)</f>
        <v/>
      </c>
      <c r="AB8" t="str">
        <f>IF($A8="","",Allocation2!AD8)</f>
        <v/>
      </c>
      <c r="AC8" t="str">
        <f>IF($A8="","",IF(ALLOC!$N$4="VOL_EFF",$G8,IF(ALLOC!$N$4="VOL_CLASS",$H8,$I8)))</f>
        <v/>
      </c>
      <c r="AD8" t="str">
        <f>IF($A8="","",IF(ALLOC!$N$4="VOL_EFF",$L8,IF(ALLOC!$N$4="VOL_CLASS",$M8,$N8)))</f>
        <v/>
      </c>
      <c r="AE8" t="str">
        <f>IF($A8="","",IF(ALLOC!$N$3="VOL_EFF",$L8,IF(ALLOC!$N$3="VOL_CLASS",$M8,$N8)))</f>
        <v/>
      </c>
      <c r="AF8" t="str">
        <f>IF($A8="","",IF(ALLOC!$N$3="VOL_EFF",$Q8,IF(ALLOC!$N$3="VOL_CLASS",$R8,$S8)))</f>
        <v/>
      </c>
      <c r="AG8" t="str">
        <f>IF($A8="","",IF(ALLOC!$N$1="VOL_EFF",$Q8,IF(ALLOC!$N$1="VOL_CLASS",$R8,$S8)))</f>
        <v/>
      </c>
      <c r="AH8" t="str">
        <f>IF($A8="","",IF(ALLOC!$N$1="VOL_EFF",$T8,IF(ALLOC!$N$1="VOL_CLASS",$U8,$V8)))</f>
        <v/>
      </c>
      <c r="AI8" t="str">
        <f t="shared" si="12"/>
        <v/>
      </c>
      <c r="AJ8" t="str">
        <f t="shared" si="13"/>
        <v/>
      </c>
      <c r="AK8" t="str">
        <f t="shared" si="14"/>
        <v/>
      </c>
      <c r="AL8" t="str">
        <f t="shared" si="15"/>
        <v/>
      </c>
      <c r="AM8" t="str">
        <f t="shared" si="16"/>
        <v/>
      </c>
      <c r="AN8" t="str">
        <f t="shared" si="17"/>
        <v/>
      </c>
      <c r="AO8" t="str">
        <f>IF($A8="","",Allocation2!AE8)</f>
        <v/>
      </c>
      <c r="AP8" t="str">
        <f>IF($A8="","",IF(ALLOC!$N$2="VOL_EFF",$Q8,IF(ALLOC!$N$2="VOL_CLASS",$R8,$S8)))</f>
        <v/>
      </c>
      <c r="AQ8" t="str">
        <f>IF($A8="","",IF(ALLOC!$N$2="VOL_EFF",$T8,IF(ALLOC!$N$2="VOL_CLASS",$U8,$V8)))</f>
        <v/>
      </c>
      <c r="AR8" t="str">
        <f t="shared" si="18"/>
        <v/>
      </c>
    </row>
    <row r="9" spans="1:46" x14ac:dyDescent="0.45">
      <c r="A9" t="str">
        <f>IF(Allocation2!D9="","",Allocation2!D9)</f>
        <v/>
      </c>
      <c r="B9" t="str">
        <f>IF(Allocation2!E9="","",Allocation2!E9)</f>
        <v/>
      </c>
      <c r="C9" t="str">
        <f>IF(Allocation2!F9="","",Allocation2!F9)</f>
        <v/>
      </c>
      <c r="D9" t="str">
        <f>IF(Allocation2!G9="","",Allocation2!G9)</f>
        <v/>
      </c>
      <c r="E9" t="str">
        <f>IF(Allocation2!H9="","",Allocation2!H9)</f>
        <v/>
      </c>
      <c r="F9" t="str">
        <f>IF(Allocation2!I9="","",Allocation2!I9)</f>
        <v/>
      </c>
      <c r="G9" t="str">
        <f>IF(Allocation2!E9="","",Allocation2!J9)</f>
        <v/>
      </c>
      <c r="H9" t="str">
        <f>IF(Allocation2!E9="","",Allocation2!K9)</f>
        <v/>
      </c>
      <c r="I9" t="str">
        <f>IF(Allocation2!E9="","",Allocation2!L9)</f>
        <v/>
      </c>
      <c r="J9" t="str">
        <f>IF($A9="","",Allocation2!X9)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P9" t="str">
        <f t="shared" si="5"/>
        <v/>
      </c>
      <c r="Q9" t="str">
        <f t="shared" si="6"/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 t="str">
        <f t="shared" si="11"/>
        <v/>
      </c>
      <c r="W9" t="str">
        <f>IF($A9="","",Allocation2!Y9)</f>
        <v/>
      </c>
      <c r="X9" t="str">
        <f>IF($A9="","",Allocation2!Z9)</f>
        <v/>
      </c>
      <c r="Y9" t="str">
        <f>IF($A9="","",Allocation2!AA9)</f>
        <v/>
      </c>
      <c r="Z9" t="str">
        <f>IF($A9="","",Allocation2!AB9)</f>
        <v/>
      </c>
      <c r="AA9" t="str">
        <f>IF($A9="","",Allocation2!AC9)</f>
        <v/>
      </c>
      <c r="AB9" t="str">
        <f>IF($A9="","",Allocation2!AD9)</f>
        <v/>
      </c>
      <c r="AC9" t="str">
        <f>IF($A9="","",IF(ALLOC!$N$4="VOL_EFF",$G9,IF(ALLOC!$N$4="VOL_CLASS",$H9,$I9)))</f>
        <v/>
      </c>
      <c r="AD9" t="str">
        <f>IF($A9="","",IF(ALLOC!$N$4="VOL_EFF",$L9,IF(ALLOC!$N$4="VOL_CLASS",$M9,$N9)))</f>
        <v/>
      </c>
      <c r="AE9" t="str">
        <f>IF($A9="","",IF(ALLOC!$N$3="VOL_EFF",$L9,IF(ALLOC!$N$3="VOL_CLASS",$M9,$N9)))</f>
        <v/>
      </c>
      <c r="AF9" t="str">
        <f>IF($A9="","",IF(ALLOC!$N$3="VOL_EFF",$Q9,IF(ALLOC!$N$3="VOL_CLASS",$R9,$S9)))</f>
        <v/>
      </c>
      <c r="AG9" t="str">
        <f>IF($A9="","",IF(ALLOC!$N$1="VOL_EFF",$Q9,IF(ALLOC!$N$1="VOL_CLASS",$R9,$S9)))</f>
        <v/>
      </c>
      <c r="AH9" t="str">
        <f>IF($A9="","",IF(ALLOC!$N$1="VOL_EFF",$T9,IF(ALLOC!$N$1="VOL_CLASS",$U9,$V9)))</f>
        <v/>
      </c>
      <c r="AI9" t="str">
        <f t="shared" si="12"/>
        <v/>
      </c>
      <c r="AJ9" t="str">
        <f t="shared" si="13"/>
        <v/>
      </c>
      <c r="AK9" t="str">
        <f t="shared" si="14"/>
        <v/>
      </c>
      <c r="AL9" t="str">
        <f t="shared" si="15"/>
        <v/>
      </c>
      <c r="AM9" t="str">
        <f t="shared" si="16"/>
        <v/>
      </c>
      <c r="AN9" t="str">
        <f t="shared" si="17"/>
        <v/>
      </c>
      <c r="AO9" t="str">
        <f>IF($A9="","",Allocation2!AE9)</f>
        <v/>
      </c>
      <c r="AP9" t="str">
        <f>IF($A9="","",IF(ALLOC!$N$2="VOL_EFF",$Q9,IF(ALLOC!$N$2="VOL_CLASS",$R9,$S9)))</f>
        <v/>
      </c>
      <c r="AQ9" t="str">
        <f>IF($A9="","",IF(ALLOC!$N$2="VOL_EFF",$T9,IF(ALLOC!$N$2="VOL_CLASS",$U9,$V9)))</f>
        <v/>
      </c>
      <c r="AR9" t="str">
        <f t="shared" si="18"/>
        <v/>
      </c>
    </row>
    <row r="10" spans="1:46" x14ac:dyDescent="0.45">
      <c r="A10" t="str">
        <f>IF(Allocation2!D10="","",Allocation2!D10)</f>
        <v/>
      </c>
      <c r="B10" t="str">
        <f>IF(Allocation2!E10="","",Allocation2!E10)</f>
        <v/>
      </c>
      <c r="C10" t="str">
        <f>IF(Allocation2!F10="","",Allocation2!F10)</f>
        <v/>
      </c>
      <c r="D10" t="str">
        <f>IF(Allocation2!G10="","",Allocation2!G10)</f>
        <v/>
      </c>
      <c r="E10" t="str">
        <f>IF(Allocation2!H10="","",Allocation2!H10)</f>
        <v/>
      </c>
      <c r="F10" t="str">
        <f>IF(Allocation2!I10="","",Allocation2!I10)</f>
        <v/>
      </c>
      <c r="G10" t="str">
        <f>IF(Allocation2!E10="","",Allocation2!J10)</f>
        <v/>
      </c>
      <c r="H10" t="str">
        <f>IF(Allocation2!E10="","",Allocation2!K10)</f>
        <v/>
      </c>
      <c r="I10" t="str">
        <f>IF(Allocation2!E10="","",Allocation2!L10)</f>
        <v/>
      </c>
      <c r="J10" t="str">
        <f>IF($A10="","",Allocation2!X10)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P10" t="str">
        <f t="shared" si="5"/>
        <v/>
      </c>
      <c r="Q10" t="str">
        <f t="shared" si="6"/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/>
      </c>
      <c r="W10" t="str">
        <f>IF($A10="","",Allocation2!Y10)</f>
        <v/>
      </c>
      <c r="X10" t="str">
        <f>IF($A10="","",Allocation2!Z10)</f>
        <v/>
      </c>
      <c r="Y10" t="str">
        <f>IF($A10="","",Allocation2!AA10)</f>
        <v/>
      </c>
      <c r="Z10" t="str">
        <f>IF($A10="","",Allocation2!AB10)</f>
        <v/>
      </c>
      <c r="AA10" t="str">
        <f>IF($A10="","",Allocation2!AC10)</f>
        <v/>
      </c>
      <c r="AB10" t="str">
        <f>IF($A10="","",Allocation2!AD10)</f>
        <v/>
      </c>
      <c r="AC10" t="str">
        <f>IF($A10="","",IF(ALLOC!$N$4="VOL_EFF",$G10,IF(ALLOC!$N$4="VOL_CLASS",$H10,$I10)))</f>
        <v/>
      </c>
      <c r="AD10" t="str">
        <f>IF($A10="","",IF(ALLOC!$N$4="VOL_EFF",$L10,IF(ALLOC!$N$4="VOL_CLASS",$M10,$N10)))</f>
        <v/>
      </c>
      <c r="AE10" t="str">
        <f>IF($A10="","",IF(ALLOC!$N$3="VOL_EFF",$L10,IF(ALLOC!$N$3="VOL_CLASS",$M10,$N10)))</f>
        <v/>
      </c>
      <c r="AF10" t="str">
        <f>IF($A10="","",IF(ALLOC!$N$3="VOL_EFF",$Q10,IF(ALLOC!$N$3="VOL_CLASS",$R10,$S10)))</f>
        <v/>
      </c>
      <c r="AG10" t="str">
        <f>IF($A10="","",IF(ALLOC!$N$1="VOL_EFF",$Q10,IF(ALLOC!$N$1="VOL_CLASS",$R10,$S10)))</f>
        <v/>
      </c>
      <c r="AH10" t="str">
        <f>IF($A10="","",IF(ALLOC!$N$1="VOL_EFF",$T10,IF(ALLOC!$N$1="VOL_CLASS",$U10,$V10)))</f>
        <v/>
      </c>
      <c r="AI10" t="str">
        <f t="shared" si="12"/>
        <v/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>IF($A10="","",Allocation2!AE10)</f>
        <v/>
      </c>
      <c r="AP10" t="str">
        <f>IF($A10="","",IF(ALLOC!$N$2="VOL_EFF",$Q10,IF(ALLOC!$N$2="VOL_CLASS",$R10,$S10)))</f>
        <v/>
      </c>
      <c r="AQ10" t="str">
        <f>IF($A10="","",IF(ALLOC!$N$2="VOL_EFF",$T10,IF(ALLOC!$N$2="VOL_CLASS",$U10,$V10)))</f>
        <v/>
      </c>
      <c r="AR10" t="str">
        <f t="shared" si="18"/>
        <v/>
      </c>
    </row>
    <row r="11" spans="1:46" x14ac:dyDescent="0.45">
      <c r="A11" t="str">
        <f>IF(Allocation2!D11="","",Allocation2!D11)</f>
        <v/>
      </c>
      <c r="B11" t="str">
        <f>IF(Allocation2!E11="","",Allocation2!E11)</f>
        <v/>
      </c>
      <c r="C11" t="str">
        <f>IF(Allocation2!F11="","",Allocation2!F11)</f>
        <v/>
      </c>
      <c r="D11" t="str">
        <f>IF(Allocation2!G11="","",Allocation2!G11)</f>
        <v/>
      </c>
      <c r="E11" t="str">
        <f>IF(Allocation2!H11="","",Allocation2!H11)</f>
        <v/>
      </c>
      <c r="F11" t="str">
        <f>IF(Allocation2!I11="","",Allocation2!I11)</f>
        <v/>
      </c>
      <c r="G11" t="str">
        <f>IF(Allocation2!E11="","",Allocation2!J11)</f>
        <v/>
      </c>
      <c r="H11" t="str">
        <f>IF(Allocation2!E11="","",Allocation2!K11)</f>
        <v/>
      </c>
      <c r="I11" t="str">
        <f>IF(Allocation2!E11="","",Allocation2!L11)</f>
        <v/>
      </c>
      <c r="J11" t="str">
        <f>IF($A11="","",Allocation2!X11)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P11" t="str">
        <f t="shared" si="5"/>
        <v/>
      </c>
      <c r="Q11" t="str">
        <f t="shared" si="6"/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 t="str">
        <f t="shared" si="11"/>
        <v/>
      </c>
      <c r="W11" t="str">
        <f>IF($A11="","",Allocation2!Y11)</f>
        <v/>
      </c>
      <c r="X11" t="str">
        <f>IF($A11="","",Allocation2!Z11)</f>
        <v/>
      </c>
      <c r="Y11" t="str">
        <f>IF($A11="","",Allocation2!AA11)</f>
        <v/>
      </c>
      <c r="Z11" t="str">
        <f>IF($A11="","",Allocation2!AB11)</f>
        <v/>
      </c>
      <c r="AA11" t="str">
        <f>IF($A11="","",Allocation2!AC11)</f>
        <v/>
      </c>
      <c r="AB11" t="str">
        <f>IF($A11="","",Allocation2!AD11)</f>
        <v/>
      </c>
      <c r="AC11" t="str">
        <f>IF($A11="","",IF(ALLOC!$N$4="VOL_EFF",$G11,IF(ALLOC!$N$4="VOL_CLASS",$H11,$I11)))</f>
        <v/>
      </c>
      <c r="AD11" t="str">
        <f>IF($A11="","",IF(ALLOC!$N$4="VOL_EFF",$L11,IF(ALLOC!$N$4="VOL_CLASS",$M11,$N11)))</f>
        <v/>
      </c>
      <c r="AE11" t="str">
        <f>IF($A11="","",IF(ALLOC!$N$3="VOL_EFF",$L11,IF(ALLOC!$N$3="VOL_CLASS",$M11,$N11)))</f>
        <v/>
      </c>
      <c r="AF11" t="str">
        <f>IF($A11="","",IF(ALLOC!$N$3="VOL_EFF",$Q11,IF(ALLOC!$N$3="VOL_CLASS",$R11,$S11)))</f>
        <v/>
      </c>
      <c r="AG11" t="str">
        <f>IF($A11="","",IF(ALLOC!$N$1="VOL_EFF",$Q11,IF(ALLOC!$N$1="VOL_CLASS",$R11,$S11)))</f>
        <v/>
      </c>
      <c r="AH11" t="str">
        <f>IF($A11="","",IF(ALLOC!$N$1="VOL_EFF",$T11,IF(ALLOC!$N$1="VOL_CLASS",$U11,$V11)))</f>
        <v/>
      </c>
      <c r="AI11" t="str">
        <f t="shared" si="12"/>
        <v/>
      </c>
      <c r="AJ11" t="str">
        <f t="shared" si="13"/>
        <v/>
      </c>
      <c r="AK11" t="str">
        <f t="shared" si="14"/>
        <v/>
      </c>
      <c r="AL11" t="str">
        <f t="shared" si="15"/>
        <v/>
      </c>
      <c r="AM11" t="str">
        <f t="shared" si="16"/>
        <v/>
      </c>
      <c r="AN11" t="str">
        <f t="shared" si="17"/>
        <v/>
      </c>
      <c r="AO11" t="str">
        <f>IF($A11="","",Allocation2!AE11)</f>
        <v/>
      </c>
      <c r="AP11" t="str">
        <f>IF($A11="","",IF(ALLOC!$N$2="VOL_EFF",$Q11,IF(ALLOC!$N$2="VOL_CLASS",$R11,$S11)))</f>
        <v/>
      </c>
      <c r="AQ11" t="str">
        <f>IF($A11="","",IF(ALLOC!$N$2="VOL_EFF",$T11,IF(ALLOC!$N$2="VOL_CLASS",$U11,$V11)))</f>
        <v/>
      </c>
      <c r="AR11" t="str">
        <f t="shared" si="18"/>
        <v/>
      </c>
    </row>
    <row r="12" spans="1:46" x14ac:dyDescent="0.45">
      <c r="A12" t="str">
        <f>IF(Allocation2!D12="","",Allocation2!D12)</f>
        <v/>
      </c>
      <c r="B12" t="str">
        <f>IF(Allocation2!E12="","",Allocation2!E12)</f>
        <v/>
      </c>
      <c r="C12" t="str">
        <f>IF(Allocation2!F12="","",Allocation2!F12)</f>
        <v/>
      </c>
      <c r="D12" t="str">
        <f>IF(Allocation2!G12="","",Allocation2!G12)</f>
        <v/>
      </c>
      <c r="E12" t="str">
        <f>IF(Allocation2!H12="","",Allocation2!H12)</f>
        <v/>
      </c>
      <c r="F12" t="str">
        <f>IF(Allocation2!I12="","",Allocation2!I12)</f>
        <v/>
      </c>
      <c r="G12" t="str">
        <f>IF(Allocation2!E12="","",Allocation2!J12)</f>
        <v/>
      </c>
      <c r="H12" t="str">
        <f>IF(Allocation2!E12="","",Allocation2!K12)</f>
        <v/>
      </c>
      <c r="I12" t="str">
        <f>IF(Allocation2!E12="","",Allocation2!L12)</f>
        <v/>
      </c>
      <c r="J12" t="str">
        <f>IF($A12="","",Allocation2!X12)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P12" t="str">
        <f t="shared" si="5"/>
        <v/>
      </c>
      <c r="Q12" t="str">
        <f t="shared" si="6"/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/>
      </c>
      <c r="W12" t="str">
        <f>IF($A12="","",Allocation2!Y12)</f>
        <v/>
      </c>
      <c r="X12" t="str">
        <f>IF($A12="","",Allocation2!Z12)</f>
        <v/>
      </c>
      <c r="Y12" t="str">
        <f>IF($A12="","",Allocation2!AA12)</f>
        <v/>
      </c>
      <c r="Z12" t="str">
        <f>IF($A12="","",Allocation2!AB12)</f>
        <v/>
      </c>
      <c r="AA12" t="str">
        <f>IF($A12="","",Allocation2!AC12)</f>
        <v/>
      </c>
      <c r="AB12" t="str">
        <f>IF($A12="","",Allocation2!AD12)</f>
        <v/>
      </c>
      <c r="AC12" t="str">
        <f>IF($A12="","",IF(ALLOC!$N$4="VOL_EFF",$G12,IF(ALLOC!$N$4="VOL_CLASS",$H12,$I12)))</f>
        <v/>
      </c>
      <c r="AD12" t="str">
        <f>IF($A12="","",IF(ALLOC!$N$4="VOL_EFF",$L12,IF(ALLOC!$N$4="VOL_CLASS",$M12,$N12)))</f>
        <v/>
      </c>
      <c r="AE12" t="str">
        <f>IF($A12="","",IF(ALLOC!$N$3="VOL_EFF",$L12,IF(ALLOC!$N$3="VOL_CLASS",$M12,$N12)))</f>
        <v/>
      </c>
      <c r="AF12" t="str">
        <f>IF($A12="","",IF(ALLOC!$N$3="VOL_EFF",$Q12,IF(ALLOC!$N$3="VOL_CLASS",$R12,$S12)))</f>
        <v/>
      </c>
      <c r="AG12" t="str">
        <f>IF($A12="","",IF(ALLOC!$N$1="VOL_EFF",$Q12,IF(ALLOC!$N$1="VOL_CLASS",$R12,$S12)))</f>
        <v/>
      </c>
      <c r="AH12" t="str">
        <f>IF($A12="","",IF(ALLOC!$N$1="VOL_EFF",$T12,IF(ALLOC!$N$1="VOL_CLASS",$U12,$V12)))</f>
        <v/>
      </c>
      <c r="AI12" t="str">
        <f t="shared" si="12"/>
        <v/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>IF($A12="","",Allocation2!AE12)</f>
        <v/>
      </c>
      <c r="AP12" t="str">
        <f>IF($A12="","",IF(ALLOC!$N$2="VOL_EFF",$Q12,IF(ALLOC!$N$2="VOL_CLASS",$R12,$S12)))</f>
        <v/>
      </c>
      <c r="AQ12" t="str">
        <f>IF($A12="","",IF(ALLOC!$N$2="VOL_EFF",$T12,IF(ALLOC!$N$2="VOL_CLASS",$U12,$V12)))</f>
        <v/>
      </c>
      <c r="AR12" t="str">
        <f t="shared" si="18"/>
        <v/>
      </c>
    </row>
    <row r="13" spans="1:46" x14ac:dyDescent="0.45">
      <c r="A13" t="str">
        <f>IF(Allocation2!D13="","",Allocation2!D13)</f>
        <v/>
      </c>
      <c r="B13" t="str">
        <f>IF(Allocation2!E13="","",Allocation2!E13)</f>
        <v/>
      </c>
      <c r="C13" t="str">
        <f>IF(Allocation2!F13="","",Allocation2!F13)</f>
        <v/>
      </c>
      <c r="D13" t="str">
        <f>IF(Allocation2!G13="","",Allocation2!G13)</f>
        <v/>
      </c>
      <c r="E13" t="str">
        <f>IF(Allocation2!H13="","",Allocation2!H13)</f>
        <v/>
      </c>
      <c r="F13" t="str">
        <f>IF(Allocation2!I13="","",Allocation2!I13)</f>
        <v/>
      </c>
      <c r="G13" t="str">
        <f>IF(Allocation2!E13="","",Allocation2!J13)</f>
        <v/>
      </c>
      <c r="H13" t="str">
        <f>IF(Allocation2!E13="","",Allocation2!K13)</f>
        <v/>
      </c>
      <c r="I13" t="str">
        <f>IF(Allocation2!E13="","",Allocation2!L13)</f>
        <v/>
      </c>
      <c r="J13" t="str">
        <f>IF($A13="","",Allocation2!X13)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P13" t="str">
        <f t="shared" si="5"/>
        <v/>
      </c>
      <c r="Q13" t="str">
        <f t="shared" si="6"/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 t="str">
        <f t="shared" si="11"/>
        <v/>
      </c>
      <c r="W13" t="str">
        <f>IF($A13="","",Allocation2!Y13)</f>
        <v/>
      </c>
      <c r="X13" t="str">
        <f>IF($A13="","",Allocation2!Z13)</f>
        <v/>
      </c>
      <c r="Y13" t="str">
        <f>IF($A13="","",Allocation2!AA13)</f>
        <v/>
      </c>
      <c r="Z13" t="str">
        <f>IF($A13="","",Allocation2!AB13)</f>
        <v/>
      </c>
      <c r="AA13" t="str">
        <f>IF($A13="","",Allocation2!AC13)</f>
        <v/>
      </c>
      <c r="AB13" t="str">
        <f>IF($A13="","",Allocation2!AD13)</f>
        <v/>
      </c>
      <c r="AC13" t="str">
        <f>IF($A13="","",IF(ALLOC!$N$4="VOL_EFF",$G13,IF(ALLOC!$N$4="VOL_CLASS",$H13,$I13)))</f>
        <v/>
      </c>
      <c r="AD13" t="str">
        <f>IF($A13="","",IF(ALLOC!$N$4="VOL_EFF",$L13,IF(ALLOC!$N$4="VOL_CLASS",$M13,$N13)))</f>
        <v/>
      </c>
      <c r="AE13" t="str">
        <f>IF($A13="","",IF(ALLOC!$N$3="VOL_EFF",$L13,IF(ALLOC!$N$3="VOL_CLASS",$M13,$N13)))</f>
        <v/>
      </c>
      <c r="AF13" t="str">
        <f>IF($A13="","",IF(ALLOC!$N$3="VOL_EFF",$Q13,IF(ALLOC!$N$3="VOL_CLASS",$R13,$S13)))</f>
        <v/>
      </c>
      <c r="AG13" t="str">
        <f>IF($A13="","",IF(ALLOC!$N$1="VOL_EFF",$Q13,IF(ALLOC!$N$1="VOL_CLASS",$R13,$S13)))</f>
        <v/>
      </c>
      <c r="AH13" t="str">
        <f>IF($A13="","",IF(ALLOC!$N$1="VOL_EFF",$T13,IF(ALLOC!$N$1="VOL_CLASS",$U13,$V13)))</f>
        <v/>
      </c>
      <c r="AI13" t="str">
        <f t="shared" si="12"/>
        <v/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>IF($A13="","",Allocation2!AE13)</f>
        <v/>
      </c>
      <c r="AP13" t="str">
        <f>IF($A13="","",IF(ALLOC!$N$2="VOL_EFF",$Q13,IF(ALLOC!$N$2="VOL_CLASS",$R13,$S13)))</f>
        <v/>
      </c>
      <c r="AQ13" t="str">
        <f>IF($A13="","",IF(ALLOC!$N$2="VOL_EFF",$T13,IF(ALLOC!$N$2="VOL_CLASS",$U13,$V13)))</f>
        <v/>
      </c>
      <c r="AR13" t="str">
        <f t="shared" si="18"/>
        <v/>
      </c>
    </row>
    <row r="14" spans="1:46" x14ac:dyDescent="0.45">
      <c r="A14" t="str">
        <f>IF(Allocation2!D14="","",Allocation2!D14)</f>
        <v/>
      </c>
      <c r="B14" t="str">
        <f>IF(Allocation2!E14="","",Allocation2!E14)</f>
        <v/>
      </c>
      <c r="C14" t="str">
        <f>IF(Allocation2!F14="","",Allocation2!F14)</f>
        <v/>
      </c>
      <c r="D14" t="str">
        <f>IF(Allocation2!G14="","",Allocation2!G14)</f>
        <v/>
      </c>
      <c r="E14" t="str">
        <f>IF(Allocation2!H14="","",Allocation2!H14)</f>
        <v/>
      </c>
      <c r="F14" t="str">
        <f>IF(Allocation2!I14="","",Allocation2!I14)</f>
        <v/>
      </c>
      <c r="G14" t="str">
        <f>IF(Allocation2!E14="","",Allocation2!J14)</f>
        <v/>
      </c>
      <c r="H14" t="str">
        <f>IF(Allocation2!E14="","",Allocation2!K14)</f>
        <v/>
      </c>
      <c r="I14" t="str">
        <f>IF(Allocation2!E14="","",Allocation2!L14)</f>
        <v/>
      </c>
      <c r="J14" t="str">
        <f>IF($A14="","",Allocation2!X14)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P14" t="str">
        <f t="shared" si="5"/>
        <v/>
      </c>
      <c r="Q14" t="str">
        <f t="shared" si="6"/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/>
      </c>
      <c r="W14" t="str">
        <f>IF($A14="","",Allocation2!Y14)</f>
        <v/>
      </c>
      <c r="X14" t="str">
        <f>IF($A14="","",Allocation2!Z14)</f>
        <v/>
      </c>
      <c r="Y14" t="str">
        <f>IF($A14="","",Allocation2!AA14)</f>
        <v/>
      </c>
      <c r="Z14" t="str">
        <f>IF($A14="","",Allocation2!AB14)</f>
        <v/>
      </c>
      <c r="AA14" t="str">
        <f>IF($A14="","",Allocation2!AC14)</f>
        <v/>
      </c>
      <c r="AB14" t="str">
        <f>IF($A14="","",Allocation2!AD14)</f>
        <v/>
      </c>
      <c r="AC14" t="str">
        <f>IF($A14="","",IF(ALLOC!$N$4="VOL_EFF",$G14,IF(ALLOC!$N$4="VOL_CLASS",$H14,$I14)))</f>
        <v/>
      </c>
      <c r="AD14" t="str">
        <f>IF($A14="","",IF(ALLOC!$N$4="VOL_EFF",$L14,IF(ALLOC!$N$4="VOL_CLASS",$M14,$N14)))</f>
        <v/>
      </c>
      <c r="AE14" t="str">
        <f>IF($A14="","",IF(ALLOC!$N$3="VOL_EFF",$L14,IF(ALLOC!$N$3="VOL_CLASS",$M14,$N14)))</f>
        <v/>
      </c>
      <c r="AF14" t="str">
        <f>IF($A14="","",IF(ALLOC!$N$3="VOL_EFF",$Q14,IF(ALLOC!$N$3="VOL_CLASS",$R14,$S14)))</f>
        <v/>
      </c>
      <c r="AG14" t="str">
        <f>IF($A14="","",IF(ALLOC!$N$1="VOL_EFF",$Q14,IF(ALLOC!$N$1="VOL_CLASS",$R14,$S14)))</f>
        <v/>
      </c>
      <c r="AH14" t="str">
        <f>IF($A14="","",IF(ALLOC!$N$1="VOL_EFF",$T14,IF(ALLOC!$N$1="VOL_CLASS",$U14,$V14)))</f>
        <v/>
      </c>
      <c r="AI14" t="str">
        <f t="shared" si="12"/>
        <v/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>IF($A14="","",Allocation2!AE14)</f>
        <v/>
      </c>
      <c r="AP14" t="str">
        <f>IF($A14="","",IF(ALLOC!$N$2="VOL_EFF",$Q14,IF(ALLOC!$N$2="VOL_CLASS",$R14,$S14)))</f>
        <v/>
      </c>
      <c r="AQ14" t="str">
        <f>IF($A14="","",IF(ALLOC!$N$2="VOL_EFF",$T14,IF(ALLOC!$N$2="VOL_CLASS",$U14,$V14)))</f>
        <v/>
      </c>
      <c r="AR14" t="str">
        <f t="shared" si="18"/>
        <v/>
      </c>
    </row>
    <row r="15" spans="1:46" x14ac:dyDescent="0.45">
      <c r="A15" t="str">
        <f>IF(Allocation2!D15="","",Allocation2!D15)</f>
        <v/>
      </c>
      <c r="B15" t="str">
        <f>IF(Allocation2!E15="","",Allocation2!E15)</f>
        <v/>
      </c>
      <c r="C15" t="str">
        <f>IF(Allocation2!F15="","",Allocation2!F15)</f>
        <v/>
      </c>
      <c r="D15" t="str">
        <f>IF(Allocation2!G15="","",Allocation2!G15)</f>
        <v/>
      </c>
      <c r="E15" t="str">
        <f>IF(Allocation2!H15="","",Allocation2!H15)</f>
        <v/>
      </c>
      <c r="F15" t="str">
        <f>IF(Allocation2!I15="","",Allocation2!I15)</f>
        <v/>
      </c>
      <c r="G15" t="str">
        <f>IF(Allocation2!E15="","",Allocation2!J15)</f>
        <v/>
      </c>
      <c r="H15" t="str">
        <f>IF(Allocation2!E15="","",Allocation2!K15)</f>
        <v/>
      </c>
      <c r="I15" t="str">
        <f>IF(Allocation2!E15="","",Allocation2!L15)</f>
        <v/>
      </c>
      <c r="J15" t="str">
        <f>IF($A15="","",Allocation2!X15)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P15" t="str">
        <f t="shared" si="5"/>
        <v/>
      </c>
      <c r="Q15" t="str">
        <f t="shared" si="6"/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 t="str">
        <f t="shared" si="11"/>
        <v/>
      </c>
      <c r="W15" t="str">
        <f>IF($A15="","",Allocation2!Y15)</f>
        <v/>
      </c>
      <c r="X15" t="str">
        <f>IF($A15="","",Allocation2!Z15)</f>
        <v/>
      </c>
      <c r="Y15" t="str">
        <f>IF($A15="","",Allocation2!AA15)</f>
        <v/>
      </c>
      <c r="Z15" t="str">
        <f>IF($A15="","",Allocation2!AB15)</f>
        <v/>
      </c>
      <c r="AA15" t="str">
        <f>IF($A15="","",Allocation2!AC15)</f>
        <v/>
      </c>
      <c r="AB15" t="str">
        <f>IF($A15="","",Allocation2!AD15)</f>
        <v/>
      </c>
      <c r="AC15" t="str">
        <f>IF($A15="","",IF(ALLOC!$N$4="VOL_EFF",$G15,IF(ALLOC!$N$4="VOL_CLASS",$H15,$I15)))</f>
        <v/>
      </c>
      <c r="AD15" t="str">
        <f>IF($A15="","",IF(ALLOC!$N$4="VOL_EFF",$L15,IF(ALLOC!$N$4="VOL_CLASS",$M15,$N15)))</f>
        <v/>
      </c>
      <c r="AE15" t="str">
        <f>IF($A15="","",IF(ALLOC!$N$3="VOL_EFF",$L15,IF(ALLOC!$N$3="VOL_CLASS",$M15,$N15)))</f>
        <v/>
      </c>
      <c r="AF15" t="str">
        <f>IF($A15="","",IF(ALLOC!$N$3="VOL_EFF",$Q15,IF(ALLOC!$N$3="VOL_CLASS",$R15,$S15)))</f>
        <v/>
      </c>
      <c r="AG15" t="str">
        <f>IF($A15="","",IF(ALLOC!$N$1="VOL_EFF",$Q15,IF(ALLOC!$N$1="VOL_CLASS",$R15,$S15)))</f>
        <v/>
      </c>
      <c r="AH15" t="str">
        <f>IF($A15="","",IF(ALLOC!$N$1="VOL_EFF",$T15,IF(ALLOC!$N$1="VOL_CLASS",$U15,$V15)))</f>
        <v/>
      </c>
      <c r="AI15" t="str">
        <f t="shared" si="12"/>
        <v/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>IF($A15="","",Allocation2!AE15)</f>
        <v/>
      </c>
      <c r="AP15" t="str">
        <f>IF($A15="","",IF(ALLOC!$N$2="VOL_EFF",$Q15,IF(ALLOC!$N$2="VOL_CLASS",$R15,$S15)))</f>
        <v/>
      </c>
      <c r="AQ15" t="str">
        <f>IF($A15="","",IF(ALLOC!$N$2="VOL_EFF",$T15,IF(ALLOC!$N$2="VOL_CLASS",$U15,$V15)))</f>
        <v/>
      </c>
      <c r="AR15" t="str">
        <f t="shared" si="18"/>
        <v/>
      </c>
    </row>
    <row r="16" spans="1:46" x14ac:dyDescent="0.45">
      <c r="A16" t="str">
        <f>IF(Allocation2!D16="","",Allocation2!D16)</f>
        <v/>
      </c>
      <c r="B16" t="str">
        <f>IF(Allocation2!E16="","",Allocation2!E16)</f>
        <v/>
      </c>
      <c r="C16" t="str">
        <f>IF(Allocation2!F16="","",Allocation2!F16)</f>
        <v/>
      </c>
      <c r="D16" t="str">
        <f>IF(Allocation2!G16="","",Allocation2!G16)</f>
        <v/>
      </c>
      <c r="E16" t="str">
        <f>IF(Allocation2!H16="","",Allocation2!H16)</f>
        <v/>
      </c>
      <c r="F16" t="str">
        <f>IF(Allocation2!I16="","",Allocation2!I16)</f>
        <v/>
      </c>
      <c r="G16" t="str">
        <f>IF(Allocation2!E16="","",Allocation2!J16)</f>
        <v/>
      </c>
      <c r="H16" t="str">
        <f>IF(Allocation2!E16="","",Allocation2!K16)</f>
        <v/>
      </c>
      <c r="I16" t="str">
        <f>IF(Allocation2!E16="","",Allocation2!L16)</f>
        <v/>
      </c>
      <c r="J16" t="str">
        <f>IF($A16="","",Allocation2!X16)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P16" t="str">
        <f t="shared" si="5"/>
        <v/>
      </c>
      <c r="Q16" t="str">
        <f t="shared" si="6"/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  <c r="W16" t="str">
        <f>IF($A16="","",Allocation2!Y16)</f>
        <v/>
      </c>
      <c r="X16" t="str">
        <f>IF($A16="","",Allocation2!Z16)</f>
        <v/>
      </c>
      <c r="Y16" t="str">
        <f>IF($A16="","",Allocation2!AA16)</f>
        <v/>
      </c>
      <c r="Z16" t="str">
        <f>IF($A16="","",Allocation2!AB16)</f>
        <v/>
      </c>
      <c r="AA16" t="str">
        <f>IF($A16="","",Allocation2!AC16)</f>
        <v/>
      </c>
      <c r="AB16" t="str">
        <f>IF($A16="","",Allocation2!AD16)</f>
        <v/>
      </c>
      <c r="AC16" t="str">
        <f>IF($A16="","",IF(ALLOC!$N$4="VOL_EFF",$G16,IF(ALLOC!$N$4="VOL_CLASS",$H16,$I16)))</f>
        <v/>
      </c>
      <c r="AD16" t="str">
        <f>IF($A16="","",IF(ALLOC!$N$4="VOL_EFF",$L16,IF(ALLOC!$N$4="VOL_CLASS",$M16,$N16)))</f>
        <v/>
      </c>
      <c r="AE16" t="str">
        <f>IF($A16="","",IF(ALLOC!$N$3="VOL_EFF",$L16,IF(ALLOC!$N$3="VOL_CLASS",$M16,$N16)))</f>
        <v/>
      </c>
      <c r="AF16" t="str">
        <f>IF($A16="","",IF(ALLOC!$N$3="VOL_EFF",$Q16,IF(ALLOC!$N$3="VOL_CLASS",$R16,$S16)))</f>
        <v/>
      </c>
      <c r="AG16" t="str">
        <f>IF($A16="","",IF(ALLOC!$N$1="VOL_EFF",$Q16,IF(ALLOC!$N$1="VOL_CLASS",$R16,$S16)))</f>
        <v/>
      </c>
      <c r="AH16" t="str">
        <f>IF($A16="","",IF(ALLOC!$N$1="VOL_EFF",$T16,IF(ALLOC!$N$1="VOL_CLASS",$U16,$V16)))</f>
        <v/>
      </c>
      <c r="AI16" t="str">
        <f t="shared" si="12"/>
        <v/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>IF($A16="","",Allocation2!AE16)</f>
        <v/>
      </c>
      <c r="AP16" t="str">
        <f>IF($A16="","",IF(ALLOC!$N$2="VOL_EFF",$Q16,IF(ALLOC!$N$2="VOL_CLASS",$R16,$S16)))</f>
        <v/>
      </c>
      <c r="AQ16" t="str">
        <f>IF($A16="","",IF(ALLOC!$N$2="VOL_EFF",$T16,IF(ALLOC!$N$2="VOL_CLASS",$U16,$V16)))</f>
        <v/>
      </c>
      <c r="AR16" t="str">
        <f t="shared" si="18"/>
        <v/>
      </c>
    </row>
    <row r="17" spans="1:44" x14ac:dyDescent="0.45">
      <c r="A17" t="str">
        <f>IF(Allocation2!D17="","",Allocation2!D17)</f>
        <v/>
      </c>
      <c r="B17" t="str">
        <f>IF(Allocation2!E17="","",Allocation2!E17)</f>
        <v/>
      </c>
      <c r="C17" t="str">
        <f>IF(Allocation2!F17="","",Allocation2!F17)</f>
        <v/>
      </c>
      <c r="D17" t="str">
        <f>IF(Allocation2!G17="","",Allocation2!G17)</f>
        <v/>
      </c>
      <c r="E17" t="str">
        <f>IF(Allocation2!H17="","",Allocation2!H17)</f>
        <v/>
      </c>
      <c r="F17" t="str">
        <f>IF(Allocation2!I17="","",Allocation2!I17)</f>
        <v/>
      </c>
      <c r="G17" t="str">
        <f>IF(Allocation2!E17="","",Allocation2!J17)</f>
        <v/>
      </c>
      <c r="H17" t="str">
        <f>IF(Allocation2!E17="","",Allocation2!K17)</f>
        <v/>
      </c>
      <c r="I17" t="str">
        <f>IF(Allocation2!E17="","",Allocation2!L17)</f>
        <v/>
      </c>
      <c r="J17" t="str">
        <f>IF($A17="","",Allocation2!X17)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P17" t="str">
        <f t="shared" si="5"/>
        <v/>
      </c>
      <c r="Q17" t="str">
        <f t="shared" si="6"/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 t="str">
        <f t="shared" si="11"/>
        <v/>
      </c>
      <c r="W17" t="str">
        <f>IF($A17="","",Allocation2!Y17)</f>
        <v/>
      </c>
      <c r="X17" t="str">
        <f>IF($A17="","",Allocation2!Z17)</f>
        <v/>
      </c>
      <c r="Y17" t="str">
        <f>IF($A17="","",Allocation2!AA17)</f>
        <v/>
      </c>
      <c r="Z17" t="str">
        <f>IF($A17="","",Allocation2!AB17)</f>
        <v/>
      </c>
      <c r="AA17" t="str">
        <f>IF($A17="","",Allocation2!AC17)</f>
        <v/>
      </c>
      <c r="AB17" t="str">
        <f>IF($A17="","",Allocation2!AD17)</f>
        <v/>
      </c>
      <c r="AC17" t="str">
        <f>IF($A17="","",IF(ALLOC!$N$4="VOL_EFF",$G17,IF(ALLOC!$N$4="VOL_CLASS",$H17,$I17)))</f>
        <v/>
      </c>
      <c r="AD17" t="str">
        <f>IF($A17="","",IF(ALLOC!$N$4="VOL_EFF",$L17,IF(ALLOC!$N$4="VOL_CLASS",$M17,$N17)))</f>
        <v/>
      </c>
      <c r="AE17" t="str">
        <f>IF($A17="","",IF(ALLOC!$N$3="VOL_EFF",$L17,IF(ALLOC!$N$3="VOL_CLASS",$M17,$N17)))</f>
        <v/>
      </c>
      <c r="AF17" t="str">
        <f>IF($A17="","",IF(ALLOC!$N$3="VOL_EFF",$Q17,IF(ALLOC!$N$3="VOL_CLASS",$R17,$S17)))</f>
        <v/>
      </c>
      <c r="AG17" t="str">
        <f>IF($A17="","",IF(ALLOC!$N$1="VOL_EFF",$Q17,IF(ALLOC!$N$1="VOL_CLASS",$R17,$S17)))</f>
        <v/>
      </c>
      <c r="AH17" t="str">
        <f>IF($A17="","",IF(ALLOC!$N$1="VOL_EFF",$T17,IF(ALLOC!$N$1="VOL_CLASS",$U17,$V17)))</f>
        <v/>
      </c>
      <c r="AI17" t="str">
        <f t="shared" si="12"/>
        <v/>
      </c>
      <c r="AJ17" t="str">
        <f t="shared" si="13"/>
        <v/>
      </c>
      <c r="AK17" t="str">
        <f t="shared" si="14"/>
        <v/>
      </c>
      <c r="AL17" t="str">
        <f t="shared" si="15"/>
        <v/>
      </c>
      <c r="AM17" t="str">
        <f t="shared" si="16"/>
        <v/>
      </c>
      <c r="AN17" t="str">
        <f t="shared" si="17"/>
        <v/>
      </c>
      <c r="AO17" t="str">
        <f>IF($A17="","",Allocation2!AE17)</f>
        <v/>
      </c>
      <c r="AP17" t="str">
        <f>IF($A17="","",IF(ALLOC!$N$2="VOL_EFF",$Q17,IF(ALLOC!$N$2="VOL_CLASS",$R17,$S17)))</f>
        <v/>
      </c>
      <c r="AQ17" t="str">
        <f>IF($A17="","",IF(ALLOC!$N$2="VOL_EFF",$T17,IF(ALLOC!$N$2="VOL_CLASS",$U17,$V17)))</f>
        <v/>
      </c>
      <c r="AR17" t="str">
        <f t="shared" si="18"/>
        <v/>
      </c>
    </row>
    <row r="18" spans="1:44" x14ac:dyDescent="0.45">
      <c r="A18" t="str">
        <f>IF(Allocation2!D18="","",Allocation2!D18)</f>
        <v/>
      </c>
      <c r="B18" t="str">
        <f>IF(Allocation2!E18="","",Allocation2!E18)</f>
        <v/>
      </c>
      <c r="C18" t="str">
        <f>IF(Allocation2!F18="","",Allocation2!F18)</f>
        <v/>
      </c>
      <c r="D18" t="str">
        <f>IF(Allocation2!G18="","",Allocation2!G18)</f>
        <v/>
      </c>
      <c r="E18" t="str">
        <f>IF(Allocation2!H18="","",Allocation2!H18)</f>
        <v/>
      </c>
      <c r="F18" t="str">
        <f>IF(Allocation2!I18="","",Allocation2!I18)</f>
        <v/>
      </c>
      <c r="G18" t="str">
        <f>IF(Allocation2!E18="","",Allocation2!J18)</f>
        <v/>
      </c>
      <c r="H18" t="str">
        <f>IF(Allocation2!E18="","",Allocation2!K18)</f>
        <v/>
      </c>
      <c r="I18" t="str">
        <f>IF(Allocation2!E18="","",Allocation2!L18)</f>
        <v/>
      </c>
      <c r="J18" t="str">
        <f>IF($A18="","",Allocation2!X18)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P18" t="str">
        <f t="shared" si="5"/>
        <v/>
      </c>
      <c r="Q18" t="str">
        <f t="shared" si="6"/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 t="str">
        <f t="shared" si="11"/>
        <v/>
      </c>
      <c r="W18" t="str">
        <f>IF($A18="","",Allocation2!Y18)</f>
        <v/>
      </c>
      <c r="X18" t="str">
        <f>IF($A18="","",Allocation2!Z18)</f>
        <v/>
      </c>
      <c r="Y18" t="str">
        <f>IF($A18="","",Allocation2!AA18)</f>
        <v/>
      </c>
      <c r="Z18" t="str">
        <f>IF($A18="","",Allocation2!AB18)</f>
        <v/>
      </c>
      <c r="AA18" t="str">
        <f>IF($A18="","",Allocation2!AC18)</f>
        <v/>
      </c>
      <c r="AB18" t="str">
        <f>IF($A18="","",Allocation2!AD18)</f>
        <v/>
      </c>
      <c r="AC18" t="str">
        <f>IF($A18="","",IF(ALLOC!$N$4="VOL_EFF",$G18,IF(ALLOC!$N$4="VOL_CLASS",$H18,$I18)))</f>
        <v/>
      </c>
      <c r="AD18" t="str">
        <f>IF($A18="","",IF(ALLOC!$N$4="VOL_EFF",$L18,IF(ALLOC!$N$4="VOL_CLASS",$M18,$N18)))</f>
        <v/>
      </c>
      <c r="AE18" t="str">
        <f>IF($A18="","",IF(ALLOC!$N$3="VOL_EFF",$L18,IF(ALLOC!$N$3="VOL_CLASS",$M18,$N18)))</f>
        <v/>
      </c>
      <c r="AF18" t="str">
        <f>IF($A18="","",IF(ALLOC!$N$3="VOL_EFF",$Q18,IF(ALLOC!$N$3="VOL_CLASS",$R18,$S18)))</f>
        <v/>
      </c>
      <c r="AG18" t="str">
        <f>IF($A18="","",IF(ALLOC!$N$1="VOL_EFF",$Q18,IF(ALLOC!$N$1="VOL_CLASS",$R18,$S18)))</f>
        <v/>
      </c>
      <c r="AH18" t="str">
        <f>IF($A18="","",IF(ALLOC!$N$1="VOL_EFF",$T18,IF(ALLOC!$N$1="VOL_CLASS",$U18,$V18)))</f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>IF($A18="","",Allocation2!AE18)</f>
        <v/>
      </c>
      <c r="AP18" t="str">
        <f>IF($A18="","",IF(ALLOC!$N$2="VOL_EFF",$Q18,IF(ALLOC!$N$2="VOL_CLASS",$R18,$S18)))</f>
        <v/>
      </c>
      <c r="AQ18" t="str">
        <f>IF($A18="","",IF(ALLOC!$N$2="VOL_EFF",$T18,IF(ALLOC!$N$2="VOL_CLASS",$U18,$V18)))</f>
        <v/>
      </c>
      <c r="AR18" t="str">
        <f t="shared" si="18"/>
        <v/>
      </c>
    </row>
    <row r="19" spans="1:44" x14ac:dyDescent="0.45">
      <c r="A19" t="str">
        <f>IF(Allocation2!D19="","",Allocation2!D19)</f>
        <v/>
      </c>
      <c r="B19" t="str">
        <f>IF(Allocation2!E19="","",Allocation2!E19)</f>
        <v/>
      </c>
      <c r="C19" t="str">
        <f>IF(Allocation2!F19="","",Allocation2!F19)</f>
        <v/>
      </c>
      <c r="D19" t="str">
        <f>IF(Allocation2!G19="","",Allocation2!G19)</f>
        <v/>
      </c>
      <c r="E19" t="str">
        <f>IF(Allocation2!H19="","",Allocation2!H19)</f>
        <v/>
      </c>
      <c r="F19" t="str">
        <f>IF(Allocation2!I19="","",Allocation2!I19)</f>
        <v/>
      </c>
      <c r="G19" t="str">
        <f>IF(Allocation2!E19="","",Allocation2!J19)</f>
        <v/>
      </c>
      <c r="H19" t="str">
        <f>IF(Allocation2!E19="","",Allocation2!K19)</f>
        <v/>
      </c>
      <c r="I19" t="str">
        <f>IF(Allocation2!E19="","",Allocation2!L19)</f>
        <v/>
      </c>
      <c r="J19" t="str">
        <f>IF($A19="","",Allocation2!X19)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P19" t="str">
        <f t="shared" si="5"/>
        <v/>
      </c>
      <c r="Q19" t="str">
        <f t="shared" si="6"/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 t="str">
        <f t="shared" si="11"/>
        <v/>
      </c>
      <c r="W19" t="str">
        <f>IF($A19="","",Allocation2!Y19)</f>
        <v/>
      </c>
      <c r="X19" t="str">
        <f>IF($A19="","",Allocation2!Z19)</f>
        <v/>
      </c>
      <c r="Y19" t="str">
        <f>IF($A19="","",Allocation2!AA19)</f>
        <v/>
      </c>
      <c r="Z19" t="str">
        <f>IF($A19="","",Allocation2!AB19)</f>
        <v/>
      </c>
      <c r="AA19" t="str">
        <f>IF($A19="","",Allocation2!AC19)</f>
        <v/>
      </c>
      <c r="AB19" t="str">
        <f>IF($A19="","",Allocation2!AD19)</f>
        <v/>
      </c>
      <c r="AC19" t="str">
        <f>IF($A19="","",IF(ALLOC!$N$4="VOL_EFF",$G19,IF(ALLOC!$N$4="VOL_CLASS",$H19,$I19)))</f>
        <v/>
      </c>
      <c r="AD19" t="str">
        <f>IF($A19="","",IF(ALLOC!$N$4="VOL_EFF",$L19,IF(ALLOC!$N$4="VOL_CLASS",$M19,$N19)))</f>
        <v/>
      </c>
      <c r="AE19" t="str">
        <f>IF($A19="","",IF(ALLOC!$N$3="VOL_EFF",$L19,IF(ALLOC!$N$3="VOL_CLASS",$M19,$N19)))</f>
        <v/>
      </c>
      <c r="AF19" t="str">
        <f>IF($A19="","",IF(ALLOC!$N$3="VOL_EFF",$Q19,IF(ALLOC!$N$3="VOL_CLASS",$R19,$S19)))</f>
        <v/>
      </c>
      <c r="AG19" t="str">
        <f>IF($A19="","",IF(ALLOC!$N$1="VOL_EFF",$Q19,IF(ALLOC!$N$1="VOL_CLASS",$R19,$S19)))</f>
        <v/>
      </c>
      <c r="AH19" t="str">
        <f>IF($A19="","",IF(ALLOC!$N$1="VOL_EFF",$T19,IF(ALLOC!$N$1="VOL_CLASS",$U19,$V19)))</f>
        <v/>
      </c>
      <c r="AI19" t="str">
        <f t="shared" si="12"/>
        <v/>
      </c>
      <c r="AJ19" t="str">
        <f t="shared" si="13"/>
        <v/>
      </c>
      <c r="AK19" t="str">
        <f t="shared" si="14"/>
        <v/>
      </c>
      <c r="AL19" t="str">
        <f t="shared" si="15"/>
        <v/>
      </c>
      <c r="AM19" t="str">
        <f t="shared" si="16"/>
        <v/>
      </c>
      <c r="AN19" t="str">
        <f t="shared" si="17"/>
        <v/>
      </c>
      <c r="AO19" t="str">
        <f>IF($A19="","",Allocation2!AE19)</f>
        <v/>
      </c>
      <c r="AP19" t="str">
        <f>IF($A19="","",IF(ALLOC!$N$2="VOL_EFF",$Q19,IF(ALLOC!$N$2="VOL_CLASS",$R19,$S19)))</f>
        <v/>
      </c>
      <c r="AQ19" t="str">
        <f>IF($A19="","",IF(ALLOC!$N$2="VOL_EFF",$T19,IF(ALLOC!$N$2="VOL_CLASS",$U19,$V19)))</f>
        <v/>
      </c>
      <c r="AR19" t="str">
        <f t="shared" si="18"/>
        <v/>
      </c>
    </row>
    <row r="20" spans="1:44" x14ac:dyDescent="0.45">
      <c r="A20" t="str">
        <f>IF(Allocation2!D20="","",Allocation2!D20)</f>
        <v/>
      </c>
      <c r="B20" t="str">
        <f>IF(Allocation2!E20="","",Allocation2!E20)</f>
        <v/>
      </c>
      <c r="C20" t="str">
        <f>IF(Allocation2!F20="","",Allocation2!F20)</f>
        <v/>
      </c>
      <c r="D20" t="str">
        <f>IF(Allocation2!G20="","",Allocation2!G20)</f>
        <v/>
      </c>
      <c r="E20" t="str">
        <f>IF(Allocation2!H20="","",Allocation2!H20)</f>
        <v/>
      </c>
      <c r="F20" t="str">
        <f>IF(Allocation2!I20="","",Allocation2!I20)</f>
        <v/>
      </c>
      <c r="G20" t="str">
        <f>IF(Allocation2!E20="","",Allocation2!J20)</f>
        <v/>
      </c>
      <c r="H20" t="str">
        <f>IF(Allocation2!E20="","",Allocation2!K20)</f>
        <v/>
      </c>
      <c r="I20" t="str">
        <f>IF(Allocation2!E20="","",Allocation2!L20)</f>
        <v/>
      </c>
      <c r="J20" t="str">
        <f>IF($A20="","",Allocation2!X20)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 t="str">
        <f t="shared" si="11"/>
        <v/>
      </c>
      <c r="W20" t="str">
        <f>IF($A20="","",Allocation2!Y20)</f>
        <v/>
      </c>
      <c r="X20" t="str">
        <f>IF($A20="","",Allocation2!Z20)</f>
        <v/>
      </c>
      <c r="Y20" t="str">
        <f>IF($A20="","",Allocation2!AA20)</f>
        <v/>
      </c>
      <c r="Z20" t="str">
        <f>IF($A20="","",Allocation2!AB20)</f>
        <v/>
      </c>
      <c r="AA20" t="str">
        <f>IF($A20="","",Allocation2!AC20)</f>
        <v/>
      </c>
      <c r="AB20" t="str">
        <f>IF($A20="","",Allocation2!AD20)</f>
        <v/>
      </c>
      <c r="AC20" t="str">
        <f>IF($A20="","",IF(ALLOC!$N$4="VOL_EFF",$G20,IF(ALLOC!$N$4="VOL_CLASS",$H20,$I20)))</f>
        <v/>
      </c>
      <c r="AD20" t="str">
        <f>IF($A20="","",IF(ALLOC!$N$4="VOL_EFF",$L20,IF(ALLOC!$N$4="VOL_CLASS",$M20,$N20)))</f>
        <v/>
      </c>
      <c r="AE20" t="str">
        <f>IF($A20="","",IF(ALLOC!$N$3="VOL_EFF",$L20,IF(ALLOC!$N$3="VOL_CLASS",$M20,$N20)))</f>
        <v/>
      </c>
      <c r="AF20" t="str">
        <f>IF($A20="","",IF(ALLOC!$N$3="VOL_EFF",$Q20,IF(ALLOC!$N$3="VOL_CLASS",$R20,$S20)))</f>
        <v/>
      </c>
      <c r="AG20" t="str">
        <f>IF($A20="","",IF(ALLOC!$N$1="VOL_EFF",$Q20,IF(ALLOC!$N$1="VOL_CLASS",$R20,$S20)))</f>
        <v/>
      </c>
      <c r="AH20" t="str">
        <f>IF($A20="","",IF(ALLOC!$N$1="VOL_EFF",$T20,IF(ALLOC!$N$1="VOL_CLASS",$U20,$V20)))</f>
        <v/>
      </c>
      <c r="AI20" t="str">
        <f t="shared" si="12"/>
        <v/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>IF($A20="","",Allocation2!AE20)</f>
        <v/>
      </c>
      <c r="AP20" t="str">
        <f>IF($A20="","",IF(ALLOC!$N$2="VOL_EFF",$Q20,IF(ALLOC!$N$2="VOL_CLASS",$R20,$S20)))</f>
        <v/>
      </c>
      <c r="AQ20" t="str">
        <f>IF($A20="","",IF(ALLOC!$N$2="VOL_EFF",$T20,IF(ALLOC!$N$2="VOL_CLASS",$U20,$V20)))</f>
        <v/>
      </c>
      <c r="AR20" t="str">
        <f t="shared" si="18"/>
        <v/>
      </c>
    </row>
    <row r="21" spans="1:44" x14ac:dyDescent="0.45">
      <c r="A21" t="str">
        <f>IF(Allocation2!D21="","",Allocation2!D21)</f>
        <v/>
      </c>
      <c r="B21" t="str">
        <f>IF(Allocation2!E21="","",Allocation2!E21)</f>
        <v/>
      </c>
      <c r="C21" t="str">
        <f>IF(Allocation2!F21="","",Allocation2!F21)</f>
        <v/>
      </c>
      <c r="D21" t="str">
        <f>IF(Allocation2!G21="","",Allocation2!G21)</f>
        <v/>
      </c>
      <c r="E21" t="str">
        <f>IF(Allocation2!H21="","",Allocation2!H21)</f>
        <v/>
      </c>
      <c r="F21" t="str">
        <f>IF(Allocation2!I21="","",Allocation2!I21)</f>
        <v/>
      </c>
      <c r="G21" t="str">
        <f>IF(Allocation2!E21="","",Allocation2!J21)</f>
        <v/>
      </c>
      <c r="H21" t="str">
        <f>IF(Allocation2!E21="","",Allocation2!K21)</f>
        <v/>
      </c>
      <c r="I21" t="str">
        <f>IF(Allocation2!E21="","",Allocation2!L21)</f>
        <v/>
      </c>
      <c r="J21" t="str">
        <f>IF($A21="","",Allocation2!X21)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 t="str">
        <f t="shared" si="11"/>
        <v/>
      </c>
      <c r="W21" t="str">
        <f>IF($A21="","",Allocation2!Y21)</f>
        <v/>
      </c>
      <c r="X21" t="str">
        <f>IF($A21="","",Allocation2!Z21)</f>
        <v/>
      </c>
      <c r="Y21" t="str">
        <f>IF($A21="","",Allocation2!AA21)</f>
        <v/>
      </c>
      <c r="Z21" t="str">
        <f>IF($A21="","",Allocation2!AB21)</f>
        <v/>
      </c>
      <c r="AA21" t="str">
        <f>IF($A21="","",Allocation2!AC21)</f>
        <v/>
      </c>
      <c r="AB21" t="str">
        <f>IF($A21="","",Allocation2!AD21)</f>
        <v/>
      </c>
      <c r="AC21" t="str">
        <f>IF($A21="","",IF(ALLOC!$N$4="VOL_EFF",$G21,IF(ALLOC!$N$4="VOL_CLASS",$H21,$I21)))</f>
        <v/>
      </c>
      <c r="AD21" t="str">
        <f>IF($A21="","",IF(ALLOC!$N$4="VOL_EFF",$L21,IF(ALLOC!$N$4="VOL_CLASS",$M21,$N21)))</f>
        <v/>
      </c>
      <c r="AE21" t="str">
        <f>IF($A21="","",IF(ALLOC!$N$3="VOL_EFF",$L21,IF(ALLOC!$N$3="VOL_CLASS",$M21,$N21)))</f>
        <v/>
      </c>
      <c r="AF21" t="str">
        <f>IF($A21="","",IF(ALLOC!$N$3="VOL_EFF",$Q21,IF(ALLOC!$N$3="VOL_CLASS",$R21,$S21)))</f>
        <v/>
      </c>
      <c r="AG21" t="str">
        <f>IF($A21="","",IF(ALLOC!$N$1="VOL_EFF",$Q21,IF(ALLOC!$N$1="VOL_CLASS",$R21,$S21)))</f>
        <v/>
      </c>
      <c r="AH21" t="str">
        <f>IF($A21="","",IF(ALLOC!$N$1="VOL_EFF",$T21,IF(ALLOC!$N$1="VOL_CLASS",$U21,$V21)))</f>
        <v/>
      </c>
      <c r="AI21" t="str">
        <f t="shared" si="12"/>
        <v/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>IF($A21="","",Allocation2!AE21)</f>
        <v/>
      </c>
      <c r="AP21" t="str">
        <f>IF($A21="","",IF(ALLOC!$N$2="VOL_EFF",$Q21,IF(ALLOC!$N$2="VOL_CLASS",$R21,$S21)))</f>
        <v/>
      </c>
      <c r="AQ21" t="str">
        <f>IF($A21="","",IF(ALLOC!$N$2="VOL_EFF",$T21,IF(ALLOC!$N$2="VOL_CLASS",$U21,$V21)))</f>
        <v/>
      </c>
      <c r="AR21" t="str">
        <f t="shared" si="18"/>
        <v/>
      </c>
    </row>
    <row r="22" spans="1:44" x14ac:dyDescent="0.45">
      <c r="A22" t="str">
        <f>IF(Allocation2!D22="","",Allocation2!D22)</f>
        <v/>
      </c>
      <c r="B22" t="str">
        <f>IF(Allocation2!E22="","",Allocation2!E22)</f>
        <v/>
      </c>
      <c r="C22" t="str">
        <f>IF(Allocation2!F22="","",Allocation2!F22)</f>
        <v/>
      </c>
      <c r="D22" t="str">
        <f>IF(Allocation2!G22="","",Allocation2!G22)</f>
        <v/>
      </c>
      <c r="E22" t="str">
        <f>IF(Allocation2!H22="","",Allocation2!H22)</f>
        <v/>
      </c>
      <c r="F22" t="str">
        <f>IF(Allocation2!I22="","",Allocation2!I22)</f>
        <v/>
      </c>
      <c r="G22" t="str">
        <f>IF(Allocation2!E22="","",Allocation2!J22)</f>
        <v/>
      </c>
      <c r="H22" t="str">
        <f>IF(Allocation2!E22="","",Allocation2!K22)</f>
        <v/>
      </c>
      <c r="I22" t="str">
        <f>IF(Allocation2!E22="","",Allocation2!L22)</f>
        <v/>
      </c>
      <c r="J22" t="str">
        <f>IF($A22="","",Allocation2!X22)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 t="str">
        <f t="shared" si="11"/>
        <v/>
      </c>
      <c r="W22" t="str">
        <f>IF($A22="","",Allocation2!Y22)</f>
        <v/>
      </c>
      <c r="X22" t="str">
        <f>IF($A22="","",Allocation2!Z22)</f>
        <v/>
      </c>
      <c r="Y22" t="str">
        <f>IF($A22="","",Allocation2!AA22)</f>
        <v/>
      </c>
      <c r="Z22" t="str">
        <f>IF($A22="","",Allocation2!AB22)</f>
        <v/>
      </c>
      <c r="AA22" t="str">
        <f>IF($A22="","",Allocation2!AC22)</f>
        <v/>
      </c>
      <c r="AB22" t="str">
        <f>IF($A22="","",Allocation2!AD22)</f>
        <v/>
      </c>
      <c r="AC22" t="str">
        <f>IF($A22="","",IF(ALLOC!$N$4="VOL_EFF",$G22,IF(ALLOC!$N$4="VOL_CLASS",$H22,$I22)))</f>
        <v/>
      </c>
      <c r="AD22" t="str">
        <f>IF($A22="","",IF(ALLOC!$N$4="VOL_EFF",$L22,IF(ALLOC!$N$4="VOL_CLASS",$M22,$N22)))</f>
        <v/>
      </c>
      <c r="AE22" t="str">
        <f>IF($A22="","",IF(ALLOC!$N$3="VOL_EFF",$L22,IF(ALLOC!$N$3="VOL_CLASS",$M22,$N22)))</f>
        <v/>
      </c>
      <c r="AF22" t="str">
        <f>IF($A22="","",IF(ALLOC!$N$3="VOL_EFF",$Q22,IF(ALLOC!$N$3="VOL_CLASS",$R22,$S22)))</f>
        <v/>
      </c>
      <c r="AG22" t="str">
        <f>IF($A22="","",IF(ALLOC!$N$1="VOL_EFF",$Q22,IF(ALLOC!$N$1="VOL_CLASS",$R22,$S22)))</f>
        <v/>
      </c>
      <c r="AH22" t="str">
        <f>IF($A22="","",IF(ALLOC!$N$1="VOL_EFF",$T22,IF(ALLOC!$N$1="VOL_CLASS",$U22,$V22)))</f>
        <v/>
      </c>
      <c r="AI22" t="str">
        <f t="shared" si="12"/>
        <v/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>IF($A22="","",Allocation2!AE22)</f>
        <v/>
      </c>
      <c r="AP22" t="str">
        <f>IF($A22="","",IF(ALLOC!$N$2="VOL_EFF",$Q22,IF(ALLOC!$N$2="VOL_CLASS",$R22,$S22)))</f>
        <v/>
      </c>
      <c r="AQ22" t="str">
        <f>IF($A22="","",IF(ALLOC!$N$2="VOL_EFF",$T22,IF(ALLOC!$N$2="VOL_CLASS",$U22,$V22)))</f>
        <v/>
      </c>
      <c r="AR22" t="str">
        <f t="shared" si="18"/>
        <v/>
      </c>
    </row>
    <row r="23" spans="1:44" x14ac:dyDescent="0.45">
      <c r="A23" t="str">
        <f>IF(Allocation2!D23="","",Allocation2!D23)</f>
        <v/>
      </c>
      <c r="B23" t="str">
        <f>IF(Allocation2!E23="","",Allocation2!E23)</f>
        <v/>
      </c>
      <c r="C23" t="str">
        <f>IF(Allocation2!F23="","",Allocation2!F23)</f>
        <v/>
      </c>
      <c r="D23" t="str">
        <f>IF(Allocation2!G23="","",Allocation2!G23)</f>
        <v/>
      </c>
      <c r="E23" t="str">
        <f>IF(Allocation2!H23="","",Allocation2!H23)</f>
        <v/>
      </c>
      <c r="F23" t="str">
        <f>IF(Allocation2!I23="","",Allocation2!I23)</f>
        <v/>
      </c>
      <c r="G23" t="str">
        <f>IF(Allocation2!E23="","",Allocation2!J23)</f>
        <v/>
      </c>
      <c r="H23" t="str">
        <f>IF(Allocation2!E23="","",Allocation2!K23)</f>
        <v/>
      </c>
      <c r="I23" t="str">
        <f>IF(Allocation2!E23="","",Allocation2!L23)</f>
        <v/>
      </c>
      <c r="J23" t="str">
        <f>IF($A23="","",Allocation2!X23)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 t="str">
        <f t="shared" si="11"/>
        <v/>
      </c>
      <c r="W23" t="str">
        <f>IF($A23="","",Allocation2!Y23)</f>
        <v/>
      </c>
      <c r="X23" t="str">
        <f>IF($A23="","",Allocation2!Z23)</f>
        <v/>
      </c>
      <c r="Y23" t="str">
        <f>IF($A23="","",Allocation2!AA23)</f>
        <v/>
      </c>
      <c r="Z23" t="str">
        <f>IF($A23="","",Allocation2!AB23)</f>
        <v/>
      </c>
      <c r="AA23" t="str">
        <f>IF($A23="","",Allocation2!AC23)</f>
        <v/>
      </c>
      <c r="AB23" t="str">
        <f>IF($A23="","",Allocation2!AD23)</f>
        <v/>
      </c>
      <c r="AC23" t="str">
        <f>IF($A23="","",IF(ALLOC!$N$4="VOL_EFF",$G23,IF(ALLOC!$N$4="VOL_CLASS",$H23,$I23)))</f>
        <v/>
      </c>
      <c r="AD23" t="str">
        <f>IF($A23="","",IF(ALLOC!$N$4="VOL_EFF",$L23,IF(ALLOC!$N$4="VOL_CLASS",$M23,$N23)))</f>
        <v/>
      </c>
      <c r="AE23" t="str">
        <f>IF($A23="","",IF(ALLOC!$N$3="VOL_EFF",$L23,IF(ALLOC!$N$3="VOL_CLASS",$M23,$N23)))</f>
        <v/>
      </c>
      <c r="AF23" t="str">
        <f>IF($A23="","",IF(ALLOC!$N$3="VOL_EFF",$Q23,IF(ALLOC!$N$3="VOL_CLASS",$R23,$S23)))</f>
        <v/>
      </c>
      <c r="AG23" t="str">
        <f>IF($A23="","",IF(ALLOC!$N$1="VOL_EFF",$Q23,IF(ALLOC!$N$1="VOL_CLASS",$R23,$S23)))</f>
        <v/>
      </c>
      <c r="AH23" t="str">
        <f>IF($A23="","",IF(ALLOC!$N$1="VOL_EFF",$T23,IF(ALLOC!$N$1="VOL_CLASS",$U23,$V23)))</f>
        <v/>
      </c>
      <c r="AI23" t="str">
        <f t="shared" si="12"/>
        <v/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>IF($A23="","",Allocation2!AE23)</f>
        <v/>
      </c>
      <c r="AP23" t="str">
        <f>IF($A23="","",IF(ALLOC!$N$2="VOL_EFF",$Q23,IF(ALLOC!$N$2="VOL_CLASS",$R23,$S23)))</f>
        <v/>
      </c>
      <c r="AQ23" t="str">
        <f>IF($A23="","",IF(ALLOC!$N$2="VOL_EFF",$T23,IF(ALLOC!$N$2="VOL_CLASS",$U23,$V23)))</f>
        <v/>
      </c>
      <c r="AR23" t="str">
        <f t="shared" si="18"/>
        <v/>
      </c>
    </row>
    <row r="24" spans="1:44" x14ac:dyDescent="0.45">
      <c r="A24" t="str">
        <f>IF(Allocation2!D24="","",Allocation2!D24)</f>
        <v/>
      </c>
      <c r="B24" t="str">
        <f>IF(Allocation2!E24="","",Allocation2!E24)</f>
        <v/>
      </c>
      <c r="C24" t="str">
        <f>IF(Allocation2!F24="","",Allocation2!F24)</f>
        <v/>
      </c>
      <c r="D24" t="str">
        <f>IF(Allocation2!G24="","",Allocation2!G24)</f>
        <v/>
      </c>
      <c r="E24" t="str">
        <f>IF(Allocation2!H24="","",Allocation2!H24)</f>
        <v/>
      </c>
      <c r="F24" t="str">
        <f>IF(Allocation2!I24="","",Allocation2!I24)</f>
        <v/>
      </c>
      <c r="G24" t="str">
        <f>IF(Allocation2!E24="","",Allocation2!J24)</f>
        <v/>
      </c>
      <c r="H24" t="str">
        <f>IF(Allocation2!E24="","",Allocation2!K24)</f>
        <v/>
      </c>
      <c r="I24" t="str">
        <f>IF(Allocation2!E24="","",Allocation2!L24)</f>
        <v/>
      </c>
      <c r="J24" t="str">
        <f>IF($A24="","",Allocation2!X24)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 t="str">
        <f t="shared" si="11"/>
        <v/>
      </c>
      <c r="W24" t="str">
        <f>IF($A24="","",Allocation2!Y24)</f>
        <v/>
      </c>
      <c r="X24" t="str">
        <f>IF($A24="","",Allocation2!Z24)</f>
        <v/>
      </c>
      <c r="Y24" t="str">
        <f>IF($A24="","",Allocation2!AA24)</f>
        <v/>
      </c>
      <c r="Z24" t="str">
        <f>IF($A24="","",Allocation2!AB24)</f>
        <v/>
      </c>
      <c r="AA24" t="str">
        <f>IF($A24="","",Allocation2!AC24)</f>
        <v/>
      </c>
      <c r="AB24" t="str">
        <f>IF($A24="","",Allocation2!AD24)</f>
        <v/>
      </c>
      <c r="AC24" t="str">
        <f>IF($A24="","",IF(ALLOC!$N$4="VOL_EFF",$G24,IF(ALLOC!$N$4="VOL_CLASS",$H24,$I24)))</f>
        <v/>
      </c>
      <c r="AD24" t="str">
        <f>IF($A24="","",IF(ALLOC!$N$4="VOL_EFF",$L24,IF(ALLOC!$N$4="VOL_CLASS",$M24,$N24)))</f>
        <v/>
      </c>
      <c r="AE24" t="str">
        <f>IF($A24="","",IF(ALLOC!$N$3="VOL_EFF",$L24,IF(ALLOC!$N$3="VOL_CLASS",$M24,$N24)))</f>
        <v/>
      </c>
      <c r="AF24" t="str">
        <f>IF($A24="","",IF(ALLOC!$N$3="VOL_EFF",$Q24,IF(ALLOC!$N$3="VOL_CLASS",$R24,$S24)))</f>
        <v/>
      </c>
      <c r="AG24" t="str">
        <f>IF($A24="","",IF(ALLOC!$N$1="VOL_EFF",$Q24,IF(ALLOC!$N$1="VOL_CLASS",$R24,$S24)))</f>
        <v/>
      </c>
      <c r="AH24" t="str">
        <f>IF($A24="","",IF(ALLOC!$N$1="VOL_EFF",$T24,IF(ALLOC!$N$1="VOL_CLASS",$U24,$V24)))</f>
        <v/>
      </c>
      <c r="AI24" t="str">
        <f t="shared" si="12"/>
        <v/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>IF($A24="","",Allocation2!AE24)</f>
        <v/>
      </c>
      <c r="AP24" t="str">
        <f>IF($A24="","",IF(ALLOC!$N$2="VOL_EFF",$Q24,IF(ALLOC!$N$2="VOL_CLASS",$R24,$S24)))</f>
        <v/>
      </c>
      <c r="AQ24" t="str">
        <f>IF($A24="","",IF(ALLOC!$N$2="VOL_EFF",$T24,IF(ALLOC!$N$2="VOL_CLASS",$U24,$V24)))</f>
        <v/>
      </c>
      <c r="AR24" t="str">
        <f t="shared" si="18"/>
        <v/>
      </c>
    </row>
    <row r="25" spans="1:44" x14ac:dyDescent="0.45">
      <c r="A25" t="str">
        <f>IF(Allocation2!D25="","",Allocation2!D25)</f>
        <v/>
      </c>
      <c r="B25" t="str">
        <f>IF(Allocation2!E25="","",Allocation2!E25)</f>
        <v/>
      </c>
      <c r="C25" t="str">
        <f>IF(Allocation2!F25="","",Allocation2!F25)</f>
        <v/>
      </c>
      <c r="D25" t="str">
        <f>IF(Allocation2!G25="","",Allocation2!G25)</f>
        <v/>
      </c>
      <c r="E25" t="str">
        <f>IF(Allocation2!H25="","",Allocation2!H25)</f>
        <v/>
      </c>
      <c r="F25" t="str">
        <f>IF(Allocation2!I25="","",Allocation2!I25)</f>
        <v/>
      </c>
      <c r="G25" t="str">
        <f>IF(Allocation2!E25="","",Allocation2!J25)</f>
        <v/>
      </c>
      <c r="H25" t="str">
        <f>IF(Allocation2!E25="","",Allocation2!K25)</f>
        <v/>
      </c>
      <c r="I25" t="str">
        <f>IF(Allocation2!E25="","",Allocation2!L25)</f>
        <v/>
      </c>
      <c r="J25" t="str">
        <f>IF($A25="","",Allocation2!X25)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 t="str">
        <f t="shared" si="11"/>
        <v/>
      </c>
      <c r="W25" t="str">
        <f>IF($A25="","",Allocation2!Y25)</f>
        <v/>
      </c>
      <c r="X25" t="str">
        <f>IF($A25="","",Allocation2!Z25)</f>
        <v/>
      </c>
      <c r="Y25" t="str">
        <f>IF($A25="","",Allocation2!AA25)</f>
        <v/>
      </c>
      <c r="Z25" t="str">
        <f>IF($A25="","",Allocation2!AB25)</f>
        <v/>
      </c>
      <c r="AA25" t="str">
        <f>IF($A25="","",Allocation2!AC25)</f>
        <v/>
      </c>
      <c r="AB25" t="str">
        <f>IF($A25="","",Allocation2!AD25)</f>
        <v/>
      </c>
      <c r="AC25" t="str">
        <f>IF($A25="","",IF(ALLOC!$N$4="VOL_EFF",$G25,IF(ALLOC!$N$4="VOL_CLASS",$H25,$I25)))</f>
        <v/>
      </c>
      <c r="AD25" t="str">
        <f>IF($A25="","",IF(ALLOC!$N$4="VOL_EFF",$L25,IF(ALLOC!$N$4="VOL_CLASS",$M25,$N25)))</f>
        <v/>
      </c>
      <c r="AE25" t="str">
        <f>IF($A25="","",IF(ALLOC!$N$3="VOL_EFF",$L25,IF(ALLOC!$N$3="VOL_CLASS",$M25,$N25)))</f>
        <v/>
      </c>
      <c r="AF25" t="str">
        <f>IF($A25="","",IF(ALLOC!$N$3="VOL_EFF",$Q25,IF(ALLOC!$N$3="VOL_CLASS",$R25,$S25)))</f>
        <v/>
      </c>
      <c r="AG25" t="str">
        <f>IF($A25="","",IF(ALLOC!$N$1="VOL_EFF",$Q25,IF(ALLOC!$N$1="VOL_CLASS",$R25,$S25)))</f>
        <v/>
      </c>
      <c r="AH25" t="str">
        <f>IF($A25="","",IF(ALLOC!$N$1="VOL_EFF",$T25,IF(ALLOC!$N$1="VOL_CLASS",$U25,$V25)))</f>
        <v/>
      </c>
      <c r="AI25" t="str">
        <f t="shared" si="12"/>
        <v/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>IF($A25="","",Allocation2!AE25)</f>
        <v/>
      </c>
      <c r="AP25" t="str">
        <f>IF($A25="","",IF(ALLOC!$N$2="VOL_EFF",$Q25,IF(ALLOC!$N$2="VOL_CLASS",$R25,$S25)))</f>
        <v/>
      </c>
      <c r="AQ25" t="str">
        <f>IF($A25="","",IF(ALLOC!$N$2="VOL_EFF",$T25,IF(ALLOC!$N$2="VOL_CLASS",$U25,$V25)))</f>
        <v/>
      </c>
      <c r="AR25" t="str">
        <f t="shared" si="18"/>
        <v/>
      </c>
    </row>
    <row r="26" spans="1:44" x14ac:dyDescent="0.45">
      <c r="A26" t="str">
        <f>IF(Allocation2!D26="","",Allocation2!D26)</f>
        <v/>
      </c>
      <c r="B26" t="str">
        <f>IF(Allocation2!E26="","",Allocation2!E26)</f>
        <v/>
      </c>
      <c r="C26" t="str">
        <f>IF(Allocation2!F26="","",Allocation2!F26)</f>
        <v/>
      </c>
      <c r="D26" t="str">
        <f>IF(Allocation2!G26="","",Allocation2!G26)</f>
        <v/>
      </c>
      <c r="E26" t="str">
        <f>IF(Allocation2!H26="","",Allocation2!H26)</f>
        <v/>
      </c>
      <c r="F26" t="str">
        <f>IF(Allocation2!I26="","",Allocation2!I26)</f>
        <v/>
      </c>
      <c r="G26" t="str">
        <f>IF(Allocation2!E26="","",Allocation2!J26)</f>
        <v/>
      </c>
      <c r="H26" t="str">
        <f>IF(Allocation2!E26="","",Allocation2!K26)</f>
        <v/>
      </c>
      <c r="I26" t="str">
        <f>IF(Allocation2!E26="","",Allocation2!L26)</f>
        <v/>
      </c>
      <c r="J26" t="str">
        <f>IF($A26="","",Allocation2!X26)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 t="str">
        <f t="shared" si="11"/>
        <v/>
      </c>
      <c r="W26" t="str">
        <f>IF($A26="","",Allocation2!Y26)</f>
        <v/>
      </c>
      <c r="X26" t="str">
        <f>IF($A26="","",Allocation2!Z26)</f>
        <v/>
      </c>
      <c r="Y26" t="str">
        <f>IF($A26="","",Allocation2!AA26)</f>
        <v/>
      </c>
      <c r="Z26" t="str">
        <f>IF($A26="","",Allocation2!AB26)</f>
        <v/>
      </c>
      <c r="AA26" t="str">
        <f>IF($A26="","",Allocation2!AC26)</f>
        <v/>
      </c>
      <c r="AB26" t="str">
        <f>IF($A26="","",Allocation2!AD26)</f>
        <v/>
      </c>
      <c r="AC26" t="str">
        <f>IF($A26="","",IF(ALLOC!$N$4="VOL_EFF",$G26,IF(ALLOC!$N$4="VOL_CLASS",$H26,$I26)))</f>
        <v/>
      </c>
      <c r="AD26" t="str">
        <f>IF($A26="","",IF(ALLOC!$N$4="VOL_EFF",$L26,IF(ALLOC!$N$4="VOL_CLASS",$M26,$N26)))</f>
        <v/>
      </c>
      <c r="AE26" t="str">
        <f>IF($A26="","",IF(ALLOC!$N$3="VOL_EFF",$L26,IF(ALLOC!$N$3="VOL_CLASS",$M26,$N26)))</f>
        <v/>
      </c>
      <c r="AF26" t="str">
        <f>IF($A26="","",IF(ALLOC!$N$3="VOL_EFF",$Q26,IF(ALLOC!$N$3="VOL_CLASS",$R26,$S26)))</f>
        <v/>
      </c>
      <c r="AG26" t="str">
        <f>IF($A26="","",IF(ALLOC!$N$1="VOL_EFF",$Q26,IF(ALLOC!$N$1="VOL_CLASS",$R26,$S26)))</f>
        <v/>
      </c>
      <c r="AH26" t="str">
        <f>IF($A26="","",IF(ALLOC!$N$1="VOL_EFF",$T26,IF(ALLOC!$N$1="VOL_CLASS",$U26,$V26)))</f>
        <v/>
      </c>
      <c r="AI26" t="str">
        <f t="shared" si="12"/>
        <v/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>IF($A26="","",Allocation2!AE26)</f>
        <v/>
      </c>
      <c r="AP26" t="str">
        <f>IF($A26="","",IF(ALLOC!$N$2="VOL_EFF",$Q26,IF(ALLOC!$N$2="VOL_CLASS",$R26,$S26)))</f>
        <v/>
      </c>
      <c r="AQ26" t="str">
        <f>IF($A26="","",IF(ALLOC!$N$2="VOL_EFF",$T26,IF(ALLOC!$N$2="VOL_CLASS",$U26,$V26)))</f>
        <v/>
      </c>
      <c r="AR26" t="str">
        <f t="shared" si="18"/>
        <v/>
      </c>
    </row>
    <row r="27" spans="1:44" x14ac:dyDescent="0.45">
      <c r="A27" t="str">
        <f>IF(Allocation2!D27="","",Allocation2!D27)</f>
        <v/>
      </c>
      <c r="B27" t="str">
        <f>IF(Allocation2!E27="","",Allocation2!E27)</f>
        <v/>
      </c>
      <c r="C27" t="str">
        <f>IF(Allocation2!F27="","",Allocation2!F27)</f>
        <v/>
      </c>
      <c r="D27" t="str">
        <f>IF(Allocation2!G27="","",Allocation2!G27)</f>
        <v/>
      </c>
      <c r="E27" t="str">
        <f>IF(Allocation2!H27="","",Allocation2!H27)</f>
        <v/>
      </c>
      <c r="F27" t="str">
        <f>IF(Allocation2!I27="","",Allocation2!I27)</f>
        <v/>
      </c>
      <c r="G27" t="str">
        <f>IF(Allocation2!E27="","",Allocation2!J27)</f>
        <v/>
      </c>
      <c r="H27" t="str">
        <f>IF(Allocation2!E27="","",Allocation2!K27)</f>
        <v/>
      </c>
      <c r="I27" t="str">
        <f>IF(Allocation2!E27="","",Allocation2!L27)</f>
        <v/>
      </c>
      <c r="J27" t="str">
        <f>IF($A27="","",Allocation2!X27)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 t="str">
        <f t="shared" si="11"/>
        <v/>
      </c>
      <c r="W27" t="str">
        <f>IF($A27="","",Allocation2!Y27)</f>
        <v/>
      </c>
      <c r="X27" t="str">
        <f>IF($A27="","",Allocation2!Z27)</f>
        <v/>
      </c>
      <c r="Y27" t="str">
        <f>IF($A27="","",Allocation2!AA27)</f>
        <v/>
      </c>
      <c r="Z27" t="str">
        <f>IF($A27="","",Allocation2!AB27)</f>
        <v/>
      </c>
      <c r="AA27" t="str">
        <f>IF($A27="","",Allocation2!AC27)</f>
        <v/>
      </c>
      <c r="AB27" t="str">
        <f>IF($A27="","",Allocation2!AD27)</f>
        <v/>
      </c>
      <c r="AC27" t="str">
        <f>IF($A27="","",IF(ALLOC!$N$4="VOL_EFF",$G27,IF(ALLOC!$N$4="VOL_CLASS",$H27,$I27)))</f>
        <v/>
      </c>
      <c r="AD27" t="str">
        <f>IF($A27="","",IF(ALLOC!$N$4="VOL_EFF",$L27,IF(ALLOC!$N$4="VOL_CLASS",$M27,$N27)))</f>
        <v/>
      </c>
      <c r="AE27" t="str">
        <f>IF($A27="","",IF(ALLOC!$N$3="VOL_EFF",$L27,IF(ALLOC!$N$3="VOL_CLASS",$M27,$N27)))</f>
        <v/>
      </c>
      <c r="AF27" t="str">
        <f>IF($A27="","",IF(ALLOC!$N$3="VOL_EFF",$Q27,IF(ALLOC!$N$3="VOL_CLASS",$R27,$S27)))</f>
        <v/>
      </c>
      <c r="AG27" t="str">
        <f>IF($A27="","",IF(ALLOC!$N$1="VOL_EFF",$Q27,IF(ALLOC!$N$1="VOL_CLASS",$R27,$S27)))</f>
        <v/>
      </c>
      <c r="AH27" t="str">
        <f>IF($A27="","",IF(ALLOC!$N$1="VOL_EFF",$T27,IF(ALLOC!$N$1="VOL_CLASS",$U27,$V27)))</f>
        <v/>
      </c>
      <c r="AI27" t="str">
        <f t="shared" si="12"/>
        <v/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>IF($A27="","",Allocation2!AE27)</f>
        <v/>
      </c>
      <c r="AP27" t="str">
        <f>IF($A27="","",IF(ALLOC!$N$2="VOL_EFF",$Q27,IF(ALLOC!$N$2="VOL_CLASS",$R27,$S27)))</f>
        <v/>
      </c>
      <c r="AQ27" t="str">
        <f>IF($A27="","",IF(ALLOC!$N$2="VOL_EFF",$T27,IF(ALLOC!$N$2="VOL_CLASS",$U27,$V27)))</f>
        <v/>
      </c>
      <c r="AR27" t="str">
        <f t="shared" si="18"/>
        <v/>
      </c>
    </row>
    <row r="28" spans="1:44" x14ac:dyDescent="0.45">
      <c r="A28" t="str">
        <f>IF(Allocation2!D28="","",Allocation2!D28)</f>
        <v/>
      </c>
      <c r="B28" t="str">
        <f>IF(Allocation2!E28="","",Allocation2!E28)</f>
        <v/>
      </c>
      <c r="C28" t="str">
        <f>IF(Allocation2!F28="","",Allocation2!F28)</f>
        <v/>
      </c>
      <c r="D28" t="str">
        <f>IF(Allocation2!G28="","",Allocation2!G28)</f>
        <v/>
      </c>
      <c r="E28" t="str">
        <f>IF(Allocation2!H28="","",Allocation2!H28)</f>
        <v/>
      </c>
      <c r="F28" t="str">
        <f>IF(Allocation2!I28="","",Allocation2!I28)</f>
        <v/>
      </c>
      <c r="G28" t="str">
        <f>IF(Allocation2!E28="","",Allocation2!J28)</f>
        <v/>
      </c>
      <c r="H28" t="str">
        <f>IF(Allocation2!E28="","",Allocation2!K28)</f>
        <v/>
      </c>
      <c r="I28" t="str">
        <f>IF(Allocation2!E28="","",Allocation2!L28)</f>
        <v/>
      </c>
      <c r="J28" t="str">
        <f>IF($A28="","",Allocation2!X28)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 t="str">
        <f t="shared" si="11"/>
        <v/>
      </c>
      <c r="W28" t="str">
        <f>IF($A28="","",Allocation2!Y28)</f>
        <v/>
      </c>
      <c r="X28" t="str">
        <f>IF($A28="","",Allocation2!Z28)</f>
        <v/>
      </c>
      <c r="Y28" t="str">
        <f>IF($A28="","",Allocation2!AA28)</f>
        <v/>
      </c>
      <c r="Z28" t="str">
        <f>IF($A28="","",Allocation2!AB28)</f>
        <v/>
      </c>
      <c r="AA28" t="str">
        <f>IF($A28="","",Allocation2!AC28)</f>
        <v/>
      </c>
      <c r="AB28" t="str">
        <f>IF($A28="","",Allocation2!AD28)</f>
        <v/>
      </c>
      <c r="AC28" t="str">
        <f>IF($A28="","",IF(ALLOC!$N$4="VOL_EFF",$G28,IF(ALLOC!$N$4="VOL_CLASS",$H28,$I28)))</f>
        <v/>
      </c>
      <c r="AD28" t="str">
        <f>IF($A28="","",IF(ALLOC!$N$4="VOL_EFF",$L28,IF(ALLOC!$N$4="VOL_CLASS",$M28,$N28)))</f>
        <v/>
      </c>
      <c r="AE28" t="str">
        <f>IF($A28="","",IF(ALLOC!$N$3="VOL_EFF",$L28,IF(ALLOC!$N$3="VOL_CLASS",$M28,$N28)))</f>
        <v/>
      </c>
      <c r="AF28" t="str">
        <f>IF($A28="","",IF(ALLOC!$N$3="VOL_EFF",$Q28,IF(ALLOC!$N$3="VOL_CLASS",$R28,$S28)))</f>
        <v/>
      </c>
      <c r="AG28" t="str">
        <f>IF($A28="","",IF(ALLOC!$N$1="VOL_EFF",$Q28,IF(ALLOC!$N$1="VOL_CLASS",$R28,$S28)))</f>
        <v/>
      </c>
      <c r="AH28" t="str">
        <f>IF($A28="","",IF(ALLOC!$N$1="VOL_EFF",$T28,IF(ALLOC!$N$1="VOL_CLASS",$U28,$V28)))</f>
        <v/>
      </c>
      <c r="AI28" t="str">
        <f t="shared" si="12"/>
        <v/>
      </c>
      <c r="AJ28" t="str">
        <f t="shared" si="13"/>
        <v/>
      </c>
      <c r="AK28" t="str">
        <f t="shared" si="14"/>
        <v/>
      </c>
      <c r="AL28" t="str">
        <f t="shared" si="15"/>
        <v/>
      </c>
      <c r="AM28" t="str">
        <f t="shared" si="16"/>
        <v/>
      </c>
      <c r="AN28" t="str">
        <f t="shared" si="17"/>
        <v/>
      </c>
      <c r="AO28" t="str">
        <f>IF($A28="","",Allocation2!AE28)</f>
        <v/>
      </c>
      <c r="AP28" t="str">
        <f>IF($A28="","",IF(ALLOC!$N$2="VOL_EFF",$Q28,IF(ALLOC!$N$2="VOL_CLASS",$R28,$S28)))</f>
        <v/>
      </c>
      <c r="AQ28" t="str">
        <f>IF($A28="","",IF(ALLOC!$N$2="VOL_EFF",$T28,IF(ALLOC!$N$2="VOL_CLASS",$U28,$V28)))</f>
        <v/>
      </c>
      <c r="AR28" t="str">
        <f t="shared" si="18"/>
        <v/>
      </c>
    </row>
    <row r="29" spans="1:44" x14ac:dyDescent="0.45">
      <c r="A29" t="str">
        <f>IF(Allocation2!D29="","",Allocation2!D29)</f>
        <v/>
      </c>
      <c r="B29" t="str">
        <f>IF(Allocation2!E29="","",Allocation2!E29)</f>
        <v/>
      </c>
      <c r="C29" t="str">
        <f>IF(Allocation2!F29="","",Allocation2!F29)</f>
        <v/>
      </c>
      <c r="D29" t="str">
        <f>IF(Allocation2!G29="","",Allocation2!G29)</f>
        <v/>
      </c>
      <c r="E29" t="str">
        <f>IF(Allocation2!H29="","",Allocation2!H29)</f>
        <v/>
      </c>
      <c r="F29" t="str">
        <f>IF(Allocation2!I29="","",Allocation2!I29)</f>
        <v/>
      </c>
      <c r="G29" t="str">
        <f>IF(Allocation2!E29="","",Allocation2!J29)</f>
        <v/>
      </c>
      <c r="H29" t="str">
        <f>IF(Allocation2!E29="","",Allocation2!K29)</f>
        <v/>
      </c>
      <c r="I29" t="str">
        <f>IF(Allocation2!E29="","",Allocation2!L29)</f>
        <v/>
      </c>
      <c r="J29" t="str">
        <f>IF($A29="","",Allocation2!X29)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 t="str">
        <f t="shared" si="11"/>
        <v/>
      </c>
      <c r="W29" t="str">
        <f>IF($A29="","",Allocation2!Y29)</f>
        <v/>
      </c>
      <c r="X29" t="str">
        <f>IF($A29="","",Allocation2!Z29)</f>
        <v/>
      </c>
      <c r="Y29" t="str">
        <f>IF($A29="","",Allocation2!AA29)</f>
        <v/>
      </c>
      <c r="Z29" t="str">
        <f>IF($A29="","",Allocation2!AB29)</f>
        <v/>
      </c>
      <c r="AA29" t="str">
        <f>IF($A29="","",Allocation2!AC29)</f>
        <v/>
      </c>
      <c r="AB29" t="str">
        <f>IF($A29="","",Allocation2!AD29)</f>
        <v/>
      </c>
      <c r="AC29" t="str">
        <f>IF($A29="","",IF(ALLOC!$N$4="VOL_EFF",$G29,IF(ALLOC!$N$4="VOL_CLASS",$H29,$I29)))</f>
        <v/>
      </c>
      <c r="AD29" t="str">
        <f>IF($A29="","",IF(ALLOC!$N$4="VOL_EFF",$L29,IF(ALLOC!$N$4="VOL_CLASS",$M29,$N29)))</f>
        <v/>
      </c>
      <c r="AE29" t="str">
        <f>IF($A29="","",IF(ALLOC!$N$3="VOL_EFF",$L29,IF(ALLOC!$N$3="VOL_CLASS",$M29,$N29)))</f>
        <v/>
      </c>
      <c r="AF29" t="str">
        <f>IF($A29="","",IF(ALLOC!$N$3="VOL_EFF",$Q29,IF(ALLOC!$N$3="VOL_CLASS",$R29,$S29)))</f>
        <v/>
      </c>
      <c r="AG29" t="str">
        <f>IF($A29="","",IF(ALLOC!$N$1="VOL_EFF",$Q29,IF(ALLOC!$N$1="VOL_CLASS",$R29,$S29)))</f>
        <v/>
      </c>
      <c r="AH29" t="str">
        <f>IF($A29="","",IF(ALLOC!$N$1="VOL_EFF",$T29,IF(ALLOC!$N$1="VOL_CLASS",$U29,$V29)))</f>
        <v/>
      </c>
      <c r="AI29" t="str">
        <f t="shared" si="12"/>
        <v/>
      </c>
      <c r="AJ29" t="str">
        <f t="shared" si="13"/>
        <v/>
      </c>
      <c r="AK29" t="str">
        <f t="shared" si="14"/>
        <v/>
      </c>
      <c r="AL29" t="str">
        <f t="shared" si="15"/>
        <v/>
      </c>
      <c r="AM29" t="str">
        <f t="shared" si="16"/>
        <v/>
      </c>
      <c r="AN29" t="str">
        <f t="shared" si="17"/>
        <v/>
      </c>
      <c r="AO29" t="str">
        <f>IF($A29="","",Allocation2!AE29)</f>
        <v/>
      </c>
      <c r="AP29" t="str">
        <f>IF($A29="","",IF(ALLOC!$N$2="VOL_EFF",$Q29,IF(ALLOC!$N$2="VOL_CLASS",$R29,$S29)))</f>
        <v/>
      </c>
      <c r="AQ29" t="str">
        <f>IF($A29="","",IF(ALLOC!$N$2="VOL_EFF",$T29,IF(ALLOC!$N$2="VOL_CLASS",$U29,$V29)))</f>
        <v/>
      </c>
      <c r="AR29" t="str">
        <f t="shared" si="18"/>
        <v/>
      </c>
    </row>
    <row r="30" spans="1:44" x14ac:dyDescent="0.45">
      <c r="A30" t="str">
        <f>IF(Allocation2!D30="","",Allocation2!D30)</f>
        <v/>
      </c>
      <c r="B30" t="str">
        <f>IF(Allocation2!E30="","",Allocation2!E30)</f>
        <v/>
      </c>
      <c r="C30" t="str">
        <f>IF(Allocation2!F30="","",Allocation2!F30)</f>
        <v/>
      </c>
      <c r="D30" t="str">
        <f>IF(Allocation2!G30="","",Allocation2!G30)</f>
        <v/>
      </c>
      <c r="E30" t="str">
        <f>IF(Allocation2!H30="","",Allocation2!H30)</f>
        <v/>
      </c>
      <c r="F30" t="str">
        <f>IF(Allocation2!I30="","",Allocation2!I30)</f>
        <v/>
      </c>
      <c r="G30" t="str">
        <f>IF(Allocation2!E30="","",Allocation2!J30)</f>
        <v/>
      </c>
      <c r="H30" t="str">
        <f>IF(Allocation2!E30="","",Allocation2!K30)</f>
        <v/>
      </c>
      <c r="I30" t="str">
        <f>IF(Allocation2!E30="","",Allocation2!L30)</f>
        <v/>
      </c>
      <c r="J30" t="str">
        <f>IF($A30="","",Allocation2!X30)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 t="str">
        <f t="shared" si="11"/>
        <v/>
      </c>
      <c r="W30" t="str">
        <f>IF($A30="","",Allocation2!Y30)</f>
        <v/>
      </c>
      <c r="X30" t="str">
        <f>IF($A30="","",Allocation2!Z30)</f>
        <v/>
      </c>
      <c r="Y30" t="str">
        <f>IF($A30="","",Allocation2!AA30)</f>
        <v/>
      </c>
      <c r="Z30" t="str">
        <f>IF($A30="","",Allocation2!AB30)</f>
        <v/>
      </c>
      <c r="AA30" t="str">
        <f>IF($A30="","",Allocation2!AC30)</f>
        <v/>
      </c>
      <c r="AB30" t="str">
        <f>IF($A30="","",Allocation2!AD30)</f>
        <v/>
      </c>
      <c r="AC30" t="str">
        <f>IF($A30="","",IF(ALLOC!$N$4="VOL_EFF",$G30,IF(ALLOC!$N$4="VOL_CLASS",$H30,$I30)))</f>
        <v/>
      </c>
      <c r="AD30" t="str">
        <f>IF($A30="","",IF(ALLOC!$N$4="VOL_EFF",$L30,IF(ALLOC!$N$4="VOL_CLASS",$M30,$N30)))</f>
        <v/>
      </c>
      <c r="AE30" t="str">
        <f>IF($A30="","",IF(ALLOC!$N$3="VOL_EFF",$L30,IF(ALLOC!$N$3="VOL_CLASS",$M30,$N30)))</f>
        <v/>
      </c>
      <c r="AF30" t="str">
        <f>IF($A30="","",IF(ALLOC!$N$3="VOL_EFF",$Q30,IF(ALLOC!$N$3="VOL_CLASS",$R30,$S30)))</f>
        <v/>
      </c>
      <c r="AG30" t="str">
        <f>IF($A30="","",IF(ALLOC!$N$1="VOL_EFF",$Q30,IF(ALLOC!$N$1="VOL_CLASS",$R30,$S30)))</f>
        <v/>
      </c>
      <c r="AH30" t="str">
        <f>IF($A30="","",IF(ALLOC!$N$1="VOL_EFF",$T30,IF(ALLOC!$N$1="VOL_CLASS",$U30,$V30)))</f>
        <v/>
      </c>
      <c r="AI30" t="str">
        <f t="shared" si="12"/>
        <v/>
      </c>
      <c r="AJ30" t="str">
        <f t="shared" si="13"/>
        <v/>
      </c>
      <c r="AK30" t="str">
        <f t="shared" si="14"/>
        <v/>
      </c>
      <c r="AL30" t="str">
        <f t="shared" si="15"/>
        <v/>
      </c>
      <c r="AM30" t="str">
        <f t="shared" si="16"/>
        <v/>
      </c>
      <c r="AN30" t="str">
        <f t="shared" si="17"/>
        <v/>
      </c>
      <c r="AO30" t="str">
        <f>IF($A30="","",Allocation2!AE30)</f>
        <v/>
      </c>
      <c r="AP30" t="str">
        <f>IF($A30="","",IF(ALLOC!$N$2="VOL_EFF",$Q30,IF(ALLOC!$N$2="VOL_CLASS",$R30,$S30)))</f>
        <v/>
      </c>
      <c r="AQ30" t="str">
        <f>IF($A30="","",IF(ALLOC!$N$2="VOL_EFF",$T30,IF(ALLOC!$N$2="VOL_CLASS",$U30,$V30)))</f>
        <v/>
      </c>
      <c r="AR30" t="str">
        <f t="shared" si="18"/>
        <v/>
      </c>
    </row>
    <row r="31" spans="1:44" x14ac:dyDescent="0.45">
      <c r="A31" t="str">
        <f>IF(Allocation2!D31="","",Allocation2!D31)</f>
        <v/>
      </c>
      <c r="B31" t="str">
        <f>IF(Allocation2!E31="","",Allocation2!E31)</f>
        <v/>
      </c>
      <c r="C31" t="str">
        <f>IF(Allocation2!F31="","",Allocation2!F31)</f>
        <v/>
      </c>
      <c r="D31" t="str">
        <f>IF(Allocation2!G31="","",Allocation2!G31)</f>
        <v/>
      </c>
      <c r="E31" t="str">
        <f>IF(Allocation2!H31="","",Allocation2!H31)</f>
        <v/>
      </c>
      <c r="F31" t="str">
        <f>IF(Allocation2!I31="","",Allocation2!I31)</f>
        <v/>
      </c>
      <c r="G31" t="str">
        <f>IF(Allocation2!E31="","",Allocation2!J31)</f>
        <v/>
      </c>
      <c r="H31" t="str">
        <f>IF(Allocation2!E31="","",Allocation2!K31)</f>
        <v/>
      </c>
      <c r="I31" t="str">
        <f>IF(Allocation2!E31="","",Allocation2!L31)</f>
        <v/>
      </c>
      <c r="J31" t="str">
        <f>IF($A31="","",Allocation2!X31)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t="str">
        <f t="shared" si="5"/>
        <v/>
      </c>
      <c r="Q31" t="str">
        <f t="shared" si="6"/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 t="str">
        <f t="shared" si="11"/>
        <v/>
      </c>
      <c r="W31" t="str">
        <f>IF($A31="","",Allocation2!Y31)</f>
        <v/>
      </c>
      <c r="X31" t="str">
        <f>IF($A31="","",Allocation2!Z31)</f>
        <v/>
      </c>
      <c r="Y31" t="str">
        <f>IF($A31="","",Allocation2!AA31)</f>
        <v/>
      </c>
      <c r="Z31" t="str">
        <f>IF($A31="","",Allocation2!AB31)</f>
        <v/>
      </c>
      <c r="AA31" t="str">
        <f>IF($A31="","",Allocation2!AC31)</f>
        <v/>
      </c>
      <c r="AB31" t="str">
        <f>IF($A31="","",Allocation2!AD31)</f>
        <v/>
      </c>
      <c r="AC31" t="str">
        <f>IF($A31="","",IF(ALLOC!$N$4="VOL_EFF",$G31,IF(ALLOC!$N$4="VOL_CLASS",$H31,$I31)))</f>
        <v/>
      </c>
      <c r="AD31" t="str">
        <f>IF($A31="","",IF(ALLOC!$N$4="VOL_EFF",$L31,IF(ALLOC!$N$4="VOL_CLASS",$M31,$N31)))</f>
        <v/>
      </c>
      <c r="AE31" t="str">
        <f>IF($A31="","",IF(ALLOC!$N$3="VOL_EFF",$L31,IF(ALLOC!$N$3="VOL_CLASS",$M31,$N31)))</f>
        <v/>
      </c>
      <c r="AF31" t="str">
        <f>IF($A31="","",IF(ALLOC!$N$3="VOL_EFF",$Q31,IF(ALLOC!$N$3="VOL_CLASS",$R31,$S31)))</f>
        <v/>
      </c>
      <c r="AG31" t="str">
        <f>IF($A31="","",IF(ALLOC!$N$1="VOL_EFF",$Q31,IF(ALLOC!$N$1="VOL_CLASS",$R31,$S31)))</f>
        <v/>
      </c>
      <c r="AH31" t="str">
        <f>IF($A31="","",IF(ALLOC!$N$1="VOL_EFF",$T31,IF(ALLOC!$N$1="VOL_CLASS",$U31,$V31)))</f>
        <v/>
      </c>
      <c r="AI31" t="str">
        <f t="shared" si="12"/>
        <v/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>IF($A31="","",Allocation2!AE31)</f>
        <v/>
      </c>
      <c r="AP31" t="str">
        <f>IF($A31="","",IF(ALLOC!$N$2="VOL_EFF",$Q31,IF(ALLOC!$N$2="VOL_CLASS",$R31,$S31)))</f>
        <v/>
      </c>
      <c r="AQ31" t="str">
        <f>IF($A31="","",IF(ALLOC!$N$2="VOL_EFF",$T31,IF(ALLOC!$N$2="VOL_CLASS",$U31,$V31)))</f>
        <v/>
      </c>
      <c r="AR31" t="str">
        <f t="shared" si="18"/>
        <v/>
      </c>
    </row>
    <row r="32" spans="1:44" x14ac:dyDescent="0.45">
      <c r="A32" t="str">
        <f>IF(Allocation2!D32="","",Allocation2!D32)</f>
        <v/>
      </c>
      <c r="B32" t="str">
        <f>IF(Allocation2!E32="","",Allocation2!E32)</f>
        <v/>
      </c>
      <c r="C32" t="str">
        <f>IF(Allocation2!F32="","",Allocation2!F32)</f>
        <v/>
      </c>
      <c r="D32" t="str">
        <f>IF(Allocation2!G32="","",Allocation2!G32)</f>
        <v/>
      </c>
      <c r="E32" t="str">
        <f>IF(Allocation2!H32="","",Allocation2!H32)</f>
        <v/>
      </c>
      <c r="F32" t="str">
        <f>IF(Allocation2!I32="","",Allocation2!I32)</f>
        <v/>
      </c>
      <c r="G32" t="str">
        <f>IF(Allocation2!E32="","",Allocation2!J32)</f>
        <v/>
      </c>
      <c r="H32" t="str">
        <f>IF(Allocation2!E32="","",Allocation2!K32)</f>
        <v/>
      </c>
      <c r="I32" t="str">
        <f>IF(Allocation2!E32="","",Allocation2!L32)</f>
        <v/>
      </c>
      <c r="J32" t="str">
        <f>IF($A32="","",Allocation2!X32)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t="str">
        <f t="shared" si="5"/>
        <v/>
      </c>
      <c r="Q32" t="str">
        <f t="shared" si="6"/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 t="str">
        <f t="shared" si="11"/>
        <v/>
      </c>
      <c r="W32" t="str">
        <f>IF($A32="","",Allocation2!Y32)</f>
        <v/>
      </c>
      <c r="X32" t="str">
        <f>IF($A32="","",Allocation2!Z32)</f>
        <v/>
      </c>
      <c r="Y32" t="str">
        <f>IF($A32="","",Allocation2!AA32)</f>
        <v/>
      </c>
      <c r="Z32" t="str">
        <f>IF($A32="","",Allocation2!AB32)</f>
        <v/>
      </c>
      <c r="AA32" t="str">
        <f>IF($A32="","",Allocation2!AC32)</f>
        <v/>
      </c>
      <c r="AB32" t="str">
        <f>IF($A32="","",Allocation2!AD32)</f>
        <v/>
      </c>
      <c r="AC32" t="str">
        <f>IF($A32="","",IF(ALLOC!$N$4="VOL_EFF",$G32,IF(ALLOC!$N$4="VOL_CLASS",$H32,$I32)))</f>
        <v/>
      </c>
      <c r="AD32" t="str">
        <f>IF($A32="","",IF(ALLOC!$N$4="VOL_EFF",$L32,IF(ALLOC!$N$4="VOL_CLASS",$M32,$N32)))</f>
        <v/>
      </c>
      <c r="AE32" t="str">
        <f>IF($A32="","",IF(ALLOC!$N$3="VOL_EFF",$L32,IF(ALLOC!$N$3="VOL_CLASS",$M32,$N32)))</f>
        <v/>
      </c>
      <c r="AF32" t="str">
        <f>IF($A32="","",IF(ALLOC!$N$3="VOL_EFF",$Q32,IF(ALLOC!$N$3="VOL_CLASS",$R32,$S32)))</f>
        <v/>
      </c>
      <c r="AG32" t="str">
        <f>IF($A32="","",IF(ALLOC!$N$1="VOL_EFF",$Q32,IF(ALLOC!$N$1="VOL_CLASS",$R32,$S32)))</f>
        <v/>
      </c>
      <c r="AH32" t="str">
        <f>IF($A32="","",IF(ALLOC!$N$1="VOL_EFF",$T32,IF(ALLOC!$N$1="VOL_CLASS",$U32,$V32)))</f>
        <v/>
      </c>
      <c r="AI32" t="str">
        <f t="shared" si="12"/>
        <v/>
      </c>
      <c r="AJ32" t="str">
        <f t="shared" si="13"/>
        <v/>
      </c>
      <c r="AK32" t="str">
        <f t="shared" si="14"/>
        <v/>
      </c>
      <c r="AL32" t="str">
        <f t="shared" si="15"/>
        <v/>
      </c>
      <c r="AM32" t="str">
        <f t="shared" si="16"/>
        <v/>
      </c>
      <c r="AN32" t="str">
        <f t="shared" si="17"/>
        <v/>
      </c>
      <c r="AO32" t="str">
        <f>IF($A32="","",Allocation2!AE32)</f>
        <v/>
      </c>
      <c r="AP32" t="str">
        <f>IF($A32="","",IF(ALLOC!$N$2="VOL_EFF",$Q32,IF(ALLOC!$N$2="VOL_CLASS",$R32,$S32)))</f>
        <v/>
      </c>
      <c r="AQ32" t="str">
        <f>IF($A32="","",IF(ALLOC!$N$2="VOL_EFF",$T32,IF(ALLOC!$N$2="VOL_CLASS",$U32,$V32)))</f>
        <v/>
      </c>
      <c r="AR32" t="str">
        <f t="shared" si="18"/>
        <v/>
      </c>
    </row>
    <row r="33" spans="1:44" x14ac:dyDescent="0.45">
      <c r="A33" t="str">
        <f>IF(Allocation2!D33="","",Allocation2!D33)</f>
        <v/>
      </c>
      <c r="B33" t="str">
        <f>IF(Allocation2!E33="","",Allocation2!E33)</f>
        <v/>
      </c>
      <c r="C33" t="str">
        <f>IF(Allocation2!F33="","",Allocation2!F33)</f>
        <v/>
      </c>
      <c r="D33" t="str">
        <f>IF(Allocation2!G33="","",Allocation2!G33)</f>
        <v/>
      </c>
      <c r="E33" t="str">
        <f>IF(Allocation2!H33="","",Allocation2!H33)</f>
        <v/>
      </c>
      <c r="F33" t="str">
        <f>IF(Allocation2!I33="","",Allocation2!I33)</f>
        <v/>
      </c>
      <c r="G33" t="str">
        <f>IF(Allocation2!E33="","",Allocation2!J33)</f>
        <v/>
      </c>
      <c r="H33" t="str">
        <f>IF(Allocation2!E33="","",Allocation2!K33)</f>
        <v/>
      </c>
      <c r="I33" t="str">
        <f>IF(Allocation2!E33="","",Allocation2!L33)</f>
        <v/>
      </c>
      <c r="J33" t="str">
        <f>IF($A33="","",Allocation2!X33)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t="str">
        <f t="shared" si="5"/>
        <v/>
      </c>
      <c r="Q33" t="str">
        <f t="shared" si="6"/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 t="str">
        <f t="shared" si="11"/>
        <v/>
      </c>
      <c r="W33" t="str">
        <f>IF($A33="","",Allocation2!Y33)</f>
        <v/>
      </c>
      <c r="X33" t="str">
        <f>IF($A33="","",Allocation2!Z33)</f>
        <v/>
      </c>
      <c r="Y33" t="str">
        <f>IF($A33="","",Allocation2!AA33)</f>
        <v/>
      </c>
      <c r="Z33" t="str">
        <f>IF($A33="","",Allocation2!AB33)</f>
        <v/>
      </c>
      <c r="AA33" t="str">
        <f>IF($A33="","",Allocation2!AC33)</f>
        <v/>
      </c>
      <c r="AB33" t="str">
        <f>IF($A33="","",Allocation2!AD33)</f>
        <v/>
      </c>
      <c r="AC33" t="str">
        <f>IF($A33="","",IF(ALLOC!$N$4="VOL_EFF",$G33,IF(ALLOC!$N$4="VOL_CLASS",$H33,$I33)))</f>
        <v/>
      </c>
      <c r="AD33" t="str">
        <f>IF($A33="","",IF(ALLOC!$N$4="VOL_EFF",$L33,IF(ALLOC!$N$4="VOL_CLASS",$M33,$N33)))</f>
        <v/>
      </c>
      <c r="AE33" t="str">
        <f>IF($A33="","",IF(ALLOC!$N$3="VOL_EFF",$L33,IF(ALLOC!$N$3="VOL_CLASS",$M33,$N33)))</f>
        <v/>
      </c>
      <c r="AF33" t="str">
        <f>IF($A33="","",IF(ALLOC!$N$3="VOL_EFF",$Q33,IF(ALLOC!$N$3="VOL_CLASS",$R33,$S33)))</f>
        <v/>
      </c>
      <c r="AG33" t="str">
        <f>IF($A33="","",IF(ALLOC!$N$1="VOL_EFF",$Q33,IF(ALLOC!$N$1="VOL_CLASS",$R33,$S33)))</f>
        <v/>
      </c>
      <c r="AH33" t="str">
        <f>IF($A33="","",IF(ALLOC!$N$1="VOL_EFF",$T33,IF(ALLOC!$N$1="VOL_CLASS",$U33,$V33)))</f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>IF($A33="","",Allocation2!AE33)</f>
        <v/>
      </c>
      <c r="AP33" t="str">
        <f>IF($A33="","",IF(ALLOC!$N$2="VOL_EFF",$Q33,IF(ALLOC!$N$2="VOL_CLASS",$R33,$S33)))</f>
        <v/>
      </c>
      <c r="AQ33" t="str">
        <f>IF($A33="","",IF(ALLOC!$N$2="VOL_EFF",$T33,IF(ALLOC!$N$2="VOL_CLASS",$U33,$V33)))</f>
        <v/>
      </c>
      <c r="AR33" t="str">
        <f t="shared" si="18"/>
        <v/>
      </c>
    </row>
    <row r="34" spans="1:44" x14ac:dyDescent="0.45">
      <c r="A34" t="str">
        <f>IF(Allocation2!D34="","",Allocation2!D34)</f>
        <v/>
      </c>
      <c r="B34" t="str">
        <f>IF(Allocation2!E34="","",Allocation2!E34)</f>
        <v/>
      </c>
      <c r="C34" t="str">
        <f>IF(Allocation2!F34="","",Allocation2!F34)</f>
        <v/>
      </c>
      <c r="D34" t="str">
        <f>IF(Allocation2!G34="","",Allocation2!G34)</f>
        <v/>
      </c>
      <c r="E34" t="str">
        <f>IF(Allocation2!H34="","",Allocation2!H34)</f>
        <v/>
      </c>
      <c r="F34" t="str">
        <f>IF(Allocation2!I34="","",Allocation2!I34)</f>
        <v/>
      </c>
      <c r="G34" t="str">
        <f>IF(Allocation2!E34="","",Allocation2!J34)</f>
        <v/>
      </c>
      <c r="H34" t="str">
        <f>IF(Allocation2!E34="","",Allocation2!K34)</f>
        <v/>
      </c>
      <c r="I34" t="str">
        <f>IF(Allocation2!E34="","",Allocation2!L34)</f>
        <v/>
      </c>
      <c r="J34" t="str">
        <f>IF($A34="","",Allocation2!X34)</f>
        <v/>
      </c>
      <c r="K34" t="str">
        <f t="shared" si="0"/>
        <v/>
      </c>
      <c r="L34" t="str">
        <f t="shared" ref="L34:L65" si="19">IF($A34="","",SUMIFS($G$1:$G$349,$A$1:$A$349,$A34,$B$1:$B$349,$B34))</f>
        <v/>
      </c>
      <c r="M34" t="str">
        <f t="shared" ref="M34:M65" si="20">IF($A34="","",SUMIFS($H$1:$H$349,$A$1:$A$349,$A34,$B$1:$B$349,$B34))</f>
        <v/>
      </c>
      <c r="N34" t="str">
        <f t="shared" ref="N34:N65" si="21">IF($A34="","",SUMIFS($I$1:$I$349,$A$1:$A$349,$A34,$B$1:$B$349,$B34))</f>
        <v/>
      </c>
      <c r="O34" t="str">
        <f t="shared" si="4"/>
        <v/>
      </c>
      <c r="P34" t="str">
        <f t="shared" si="5"/>
        <v/>
      </c>
      <c r="Q34" t="str">
        <f t="shared" ref="Q34:Q65" si="22">IF($A34="","",SUMIFS($G$1:$G$349,$A$1:$A$349,$A34,$C$1:$C$349,$C34))</f>
        <v/>
      </c>
      <c r="R34" t="str">
        <f t="shared" ref="R34:R65" si="23">IF($A34="","",SUMIFS($H$1:$H$349,$A$1:$A$349,$A34,$C$1:$C$349,$C34))</f>
        <v/>
      </c>
      <c r="S34" t="str">
        <f t="shared" ref="S34:S65" si="24">IF($A34="","",SUMIFS($I$1:$I$349,$A$1:$A$349,$A34,$C$1:$C$349,$C34))</f>
        <v/>
      </c>
      <c r="T34" t="str">
        <f t="shared" ref="T34:T65" si="25">IF($A34="","",SUMIFS($G$1:$G$349,$A$1:$A$349,$A34))</f>
        <v/>
      </c>
      <c r="U34" t="str">
        <f t="shared" ref="U34:U65" si="26">IF($A34="","",SUMIFS($H$1:$H$349,$A$1:$A$349,$A34))</f>
        <v/>
      </c>
      <c r="V34" t="str">
        <f t="shared" ref="V34:V65" si="27">IF($A34="","",SUMIFS($I$1:$I$349,$A$1:$A$349,$A34))</f>
        <v/>
      </c>
      <c r="W34" t="str">
        <f>IF($A34="","",Allocation2!Y34)</f>
        <v/>
      </c>
      <c r="X34" t="str">
        <f>IF($A34="","",Allocation2!Z34)</f>
        <v/>
      </c>
      <c r="Y34" t="str">
        <f>IF($A34="","",Allocation2!AA34)</f>
        <v/>
      </c>
      <c r="Z34" t="str">
        <f>IF($A34="","",Allocation2!AB34)</f>
        <v/>
      </c>
      <c r="AA34" t="str">
        <f>IF($A34="","",Allocation2!AC34)</f>
        <v/>
      </c>
      <c r="AB34" t="str">
        <f>IF($A34="","",Allocation2!AD34)</f>
        <v/>
      </c>
      <c r="AC34" t="str">
        <f>IF($A34="","",IF(ALLOC!$N$4="VOL_EFF",$G34,IF(ALLOC!$N$4="VOL_CLASS",$H34,$I34)))</f>
        <v/>
      </c>
      <c r="AD34" t="str">
        <f>IF($A34="","",IF(ALLOC!$N$4="VOL_EFF",$L34,IF(ALLOC!$N$4="VOL_CLASS",$M34,$N34)))</f>
        <v/>
      </c>
      <c r="AE34" t="str">
        <f>IF($A34="","",IF(ALLOC!$N$3="VOL_EFF",$L34,IF(ALLOC!$N$3="VOL_CLASS",$M34,$N34)))</f>
        <v/>
      </c>
      <c r="AF34" t="str">
        <f>IF($A34="","",IF(ALLOC!$N$3="VOL_EFF",$Q34,IF(ALLOC!$N$3="VOL_CLASS",$R34,$S34)))</f>
        <v/>
      </c>
      <c r="AG34" t="str">
        <f>IF($A34="","",IF(ALLOC!$N$1="VOL_EFF",$Q34,IF(ALLOC!$N$1="VOL_CLASS",$R34,$S34)))</f>
        <v/>
      </c>
      <c r="AH34" t="str">
        <f>IF($A34="","",IF(ALLOC!$N$1="VOL_EFF",$T34,IF(ALLOC!$N$1="VOL_CLASS",$U34,$V34)))</f>
        <v/>
      </c>
      <c r="AI34" t="str">
        <f t="shared" si="12"/>
        <v/>
      </c>
      <c r="AJ34" t="str">
        <f t="shared" si="13"/>
        <v/>
      </c>
      <c r="AK34" t="str">
        <f t="shared" si="14"/>
        <v/>
      </c>
      <c r="AL34" t="str">
        <f t="shared" si="15"/>
        <v/>
      </c>
      <c r="AM34" t="str">
        <f t="shared" si="16"/>
        <v/>
      </c>
      <c r="AN34" t="str">
        <f t="shared" si="17"/>
        <v/>
      </c>
      <c r="AO34" t="str">
        <f>IF($A34="","",Allocation2!AE34)</f>
        <v/>
      </c>
      <c r="AP34" t="str">
        <f>IF($A34="","",IF(ALLOC!$N$2="VOL_EFF",$Q34,IF(ALLOC!$N$2="VOL_CLASS",$R34,$S34)))</f>
        <v/>
      </c>
      <c r="AQ34" t="str">
        <f>IF($A34="","",IF(ALLOC!$N$2="VOL_EFF",$T34,IF(ALLOC!$N$2="VOL_CLASS",$U34,$V34)))</f>
        <v/>
      </c>
      <c r="AR34" t="str">
        <f t="shared" si="18"/>
        <v/>
      </c>
    </row>
    <row r="35" spans="1:44" x14ac:dyDescent="0.45">
      <c r="A35" t="str">
        <f>IF(Allocation2!D35="","",Allocation2!D35)</f>
        <v/>
      </c>
      <c r="B35" t="str">
        <f>IF(Allocation2!E35="","",Allocation2!E35)</f>
        <v/>
      </c>
      <c r="C35" t="str">
        <f>IF(Allocation2!F35="","",Allocation2!F35)</f>
        <v/>
      </c>
      <c r="D35" t="str">
        <f>IF(Allocation2!G35="","",Allocation2!G35)</f>
        <v/>
      </c>
      <c r="E35" t="str">
        <f>IF(Allocation2!H35="","",Allocation2!H35)</f>
        <v/>
      </c>
      <c r="F35" t="str">
        <f>IF(Allocation2!I35="","",Allocation2!I35)</f>
        <v/>
      </c>
      <c r="G35" t="str">
        <f>IF(Allocation2!E35="","",Allocation2!J35)</f>
        <v/>
      </c>
      <c r="H35" t="str">
        <f>IF(Allocation2!E35="","",Allocation2!K35)</f>
        <v/>
      </c>
      <c r="I35" t="str">
        <f>IF(Allocation2!E35="","",Allocation2!L35)</f>
        <v/>
      </c>
      <c r="J35" t="str">
        <f>IF($A35="","",Allocation2!X35)</f>
        <v/>
      </c>
      <c r="K35" t="str">
        <f t="shared" si="0"/>
        <v/>
      </c>
      <c r="L35" t="str">
        <f t="shared" si="19"/>
        <v/>
      </c>
      <c r="M35" t="str">
        <f t="shared" si="20"/>
        <v/>
      </c>
      <c r="N35" t="str">
        <f t="shared" si="21"/>
        <v/>
      </c>
      <c r="O35" t="str">
        <f t="shared" si="4"/>
        <v/>
      </c>
      <c r="P35" t="str">
        <f t="shared" si="5"/>
        <v/>
      </c>
      <c r="Q35" t="str">
        <f t="shared" si="22"/>
        <v/>
      </c>
      <c r="R35" t="str">
        <f t="shared" si="23"/>
        <v/>
      </c>
      <c r="S35" t="str">
        <f t="shared" si="24"/>
        <v/>
      </c>
      <c r="T35" t="str">
        <f t="shared" si="25"/>
        <v/>
      </c>
      <c r="U35" t="str">
        <f t="shared" si="26"/>
        <v/>
      </c>
      <c r="V35" t="str">
        <f t="shared" si="27"/>
        <v/>
      </c>
      <c r="W35" t="str">
        <f>IF($A35="","",Allocation2!Y35)</f>
        <v/>
      </c>
      <c r="X35" t="str">
        <f>IF($A35="","",Allocation2!Z35)</f>
        <v/>
      </c>
      <c r="Y35" t="str">
        <f>IF($A35="","",Allocation2!AA35)</f>
        <v/>
      </c>
      <c r="Z35" t="str">
        <f>IF($A35="","",Allocation2!AB35)</f>
        <v/>
      </c>
      <c r="AA35" t="str">
        <f>IF($A35="","",Allocation2!AC35)</f>
        <v/>
      </c>
      <c r="AB35" t="str">
        <f>IF($A35="","",Allocation2!AD35)</f>
        <v/>
      </c>
      <c r="AC35" t="str">
        <f>IF($A35="","",IF(ALLOC!$N$4="VOL_EFF",$G35,IF(ALLOC!$N$4="VOL_CLASS",$H35,$I35)))</f>
        <v/>
      </c>
      <c r="AD35" t="str">
        <f>IF($A35="","",IF(ALLOC!$N$4="VOL_EFF",$L35,IF(ALLOC!$N$4="VOL_CLASS",$M35,$N35)))</f>
        <v/>
      </c>
      <c r="AE35" t="str">
        <f>IF($A35="","",IF(ALLOC!$N$3="VOL_EFF",$L35,IF(ALLOC!$N$3="VOL_CLASS",$M35,$N35)))</f>
        <v/>
      </c>
      <c r="AF35" t="str">
        <f>IF($A35="","",IF(ALLOC!$N$3="VOL_EFF",$Q35,IF(ALLOC!$N$3="VOL_CLASS",$R35,$S35)))</f>
        <v/>
      </c>
      <c r="AG35" t="str">
        <f>IF($A35="","",IF(ALLOC!$N$1="VOL_EFF",$Q35,IF(ALLOC!$N$1="VOL_CLASS",$R35,$S35)))</f>
        <v/>
      </c>
      <c r="AH35" t="str">
        <f>IF($A35="","",IF(ALLOC!$N$1="VOL_EFF",$T35,IF(ALLOC!$N$1="VOL_CLASS",$U35,$V35)))</f>
        <v/>
      </c>
      <c r="AI35" t="str">
        <f t="shared" si="12"/>
        <v/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>IF($A35="","",Allocation2!AE35)</f>
        <v/>
      </c>
      <c r="AP35" t="str">
        <f>IF($A35="","",IF(ALLOC!$N$2="VOL_EFF",$Q35,IF(ALLOC!$N$2="VOL_CLASS",$R35,$S35)))</f>
        <v/>
      </c>
      <c r="AQ35" t="str">
        <f>IF($A35="","",IF(ALLOC!$N$2="VOL_EFF",$T35,IF(ALLOC!$N$2="VOL_CLASS",$U35,$V35)))</f>
        <v/>
      </c>
      <c r="AR35" t="str">
        <f t="shared" si="18"/>
        <v/>
      </c>
    </row>
    <row r="36" spans="1:44" x14ac:dyDescent="0.45">
      <c r="A36" t="str">
        <f>IF(Allocation2!D36="","",Allocation2!D36)</f>
        <v/>
      </c>
      <c r="B36" t="str">
        <f>IF(Allocation2!E36="","",Allocation2!E36)</f>
        <v/>
      </c>
      <c r="C36" t="str">
        <f>IF(Allocation2!F36="","",Allocation2!F36)</f>
        <v/>
      </c>
      <c r="D36" t="str">
        <f>IF(Allocation2!G36="","",Allocation2!G36)</f>
        <v/>
      </c>
      <c r="E36" t="str">
        <f>IF(Allocation2!H36="","",Allocation2!H36)</f>
        <v/>
      </c>
      <c r="F36" t="str">
        <f>IF(Allocation2!I36="","",Allocation2!I36)</f>
        <v/>
      </c>
      <c r="G36" t="str">
        <f>IF(Allocation2!E36="","",Allocation2!J36)</f>
        <v/>
      </c>
      <c r="H36" t="str">
        <f>IF(Allocation2!E36="","",Allocation2!K36)</f>
        <v/>
      </c>
      <c r="I36" t="str">
        <f>IF(Allocation2!E36="","",Allocation2!L36)</f>
        <v/>
      </c>
      <c r="J36" t="str">
        <f>IF($A36="","",Allocation2!X36)</f>
        <v/>
      </c>
      <c r="K36" t="str">
        <f t="shared" si="0"/>
        <v/>
      </c>
      <c r="L36" t="str">
        <f t="shared" si="19"/>
        <v/>
      </c>
      <c r="M36" t="str">
        <f t="shared" si="20"/>
        <v/>
      </c>
      <c r="N36" t="str">
        <f t="shared" si="21"/>
        <v/>
      </c>
      <c r="O36" t="str">
        <f t="shared" si="4"/>
        <v/>
      </c>
      <c r="P36" t="str">
        <f t="shared" si="5"/>
        <v/>
      </c>
      <c r="Q36" t="str">
        <f t="shared" si="22"/>
        <v/>
      </c>
      <c r="R36" t="str">
        <f t="shared" si="23"/>
        <v/>
      </c>
      <c r="S36" t="str">
        <f t="shared" si="24"/>
        <v/>
      </c>
      <c r="T36" t="str">
        <f t="shared" si="25"/>
        <v/>
      </c>
      <c r="U36" t="str">
        <f t="shared" si="26"/>
        <v/>
      </c>
      <c r="V36" t="str">
        <f t="shared" si="27"/>
        <v/>
      </c>
      <c r="W36" t="str">
        <f>IF($A36="","",Allocation2!Y36)</f>
        <v/>
      </c>
      <c r="X36" t="str">
        <f>IF($A36="","",Allocation2!Z36)</f>
        <v/>
      </c>
      <c r="Y36" t="str">
        <f>IF($A36="","",Allocation2!AA36)</f>
        <v/>
      </c>
      <c r="Z36" t="str">
        <f>IF($A36="","",Allocation2!AB36)</f>
        <v/>
      </c>
      <c r="AA36" t="str">
        <f>IF($A36="","",Allocation2!AC36)</f>
        <v/>
      </c>
      <c r="AB36" t="str">
        <f>IF($A36="","",Allocation2!AD36)</f>
        <v/>
      </c>
      <c r="AC36" t="str">
        <f>IF($A36="","",IF(ALLOC!$N$4="VOL_EFF",$G36,IF(ALLOC!$N$4="VOL_CLASS",$H36,$I36)))</f>
        <v/>
      </c>
      <c r="AD36" t="str">
        <f>IF($A36="","",IF(ALLOC!$N$4="VOL_EFF",$L36,IF(ALLOC!$N$4="VOL_CLASS",$M36,$N36)))</f>
        <v/>
      </c>
      <c r="AE36" t="str">
        <f>IF($A36="","",IF(ALLOC!$N$3="VOL_EFF",$L36,IF(ALLOC!$N$3="VOL_CLASS",$M36,$N36)))</f>
        <v/>
      </c>
      <c r="AF36" t="str">
        <f>IF($A36="","",IF(ALLOC!$N$3="VOL_EFF",$Q36,IF(ALLOC!$N$3="VOL_CLASS",$R36,$S36)))</f>
        <v/>
      </c>
      <c r="AG36" t="str">
        <f>IF($A36="","",IF(ALLOC!$N$1="VOL_EFF",$Q36,IF(ALLOC!$N$1="VOL_CLASS",$R36,$S36)))</f>
        <v/>
      </c>
      <c r="AH36" t="str">
        <f>IF($A36="","",IF(ALLOC!$N$1="VOL_EFF",$T36,IF(ALLOC!$N$1="VOL_CLASS",$U36,$V36)))</f>
        <v/>
      </c>
      <c r="AI36" t="str">
        <f t="shared" si="12"/>
        <v/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>IF($A36="","",Allocation2!AE36)</f>
        <v/>
      </c>
      <c r="AP36" t="str">
        <f>IF($A36="","",IF(ALLOC!$N$2="VOL_EFF",$Q36,IF(ALLOC!$N$2="VOL_CLASS",$R36,$S36)))</f>
        <v/>
      </c>
      <c r="AQ36" t="str">
        <f>IF($A36="","",IF(ALLOC!$N$2="VOL_EFF",$T36,IF(ALLOC!$N$2="VOL_CLASS",$U36,$V36)))</f>
        <v/>
      </c>
      <c r="AR36" t="str">
        <f t="shared" si="18"/>
        <v/>
      </c>
    </row>
    <row r="37" spans="1:44" x14ac:dyDescent="0.45">
      <c r="A37" t="str">
        <f>IF(Allocation2!D37="","",Allocation2!D37)</f>
        <v/>
      </c>
      <c r="B37" t="str">
        <f>IF(Allocation2!E37="","",Allocation2!E37)</f>
        <v/>
      </c>
      <c r="C37" t="str">
        <f>IF(Allocation2!F37="","",Allocation2!F37)</f>
        <v/>
      </c>
      <c r="D37" t="str">
        <f>IF(Allocation2!G37="","",Allocation2!G37)</f>
        <v/>
      </c>
      <c r="E37" t="str">
        <f>IF(Allocation2!H37="","",Allocation2!H37)</f>
        <v/>
      </c>
      <c r="F37" t="str">
        <f>IF(Allocation2!I37="","",Allocation2!I37)</f>
        <v/>
      </c>
      <c r="G37" t="str">
        <f>IF(Allocation2!E37="","",Allocation2!J37)</f>
        <v/>
      </c>
      <c r="H37" t="str">
        <f>IF(Allocation2!E37="","",Allocation2!K37)</f>
        <v/>
      </c>
      <c r="I37" t="str">
        <f>IF(Allocation2!E37="","",Allocation2!L37)</f>
        <v/>
      </c>
      <c r="J37" t="str">
        <f>IF($A37="","",Allocation2!X37)</f>
        <v/>
      </c>
      <c r="K37" t="str">
        <f t="shared" si="0"/>
        <v/>
      </c>
      <c r="L37" t="str">
        <f t="shared" si="19"/>
        <v/>
      </c>
      <c r="M37" t="str">
        <f t="shared" si="20"/>
        <v/>
      </c>
      <c r="N37" t="str">
        <f t="shared" si="21"/>
        <v/>
      </c>
      <c r="O37" t="str">
        <f t="shared" si="4"/>
        <v/>
      </c>
      <c r="P37" t="str">
        <f t="shared" si="5"/>
        <v/>
      </c>
      <c r="Q37" t="str">
        <f t="shared" si="22"/>
        <v/>
      </c>
      <c r="R37" t="str">
        <f t="shared" si="23"/>
        <v/>
      </c>
      <c r="S37" t="str">
        <f t="shared" si="24"/>
        <v/>
      </c>
      <c r="T37" t="str">
        <f t="shared" si="25"/>
        <v/>
      </c>
      <c r="U37" t="str">
        <f t="shared" si="26"/>
        <v/>
      </c>
      <c r="V37" t="str">
        <f t="shared" si="27"/>
        <v/>
      </c>
      <c r="W37" t="str">
        <f>IF($A37="","",Allocation2!Y37)</f>
        <v/>
      </c>
      <c r="X37" t="str">
        <f>IF($A37="","",Allocation2!Z37)</f>
        <v/>
      </c>
      <c r="Y37" t="str">
        <f>IF($A37="","",Allocation2!AA37)</f>
        <v/>
      </c>
      <c r="Z37" t="str">
        <f>IF($A37="","",Allocation2!AB37)</f>
        <v/>
      </c>
      <c r="AA37" t="str">
        <f>IF($A37="","",Allocation2!AC37)</f>
        <v/>
      </c>
      <c r="AB37" t="str">
        <f>IF($A37="","",Allocation2!AD37)</f>
        <v/>
      </c>
      <c r="AC37" t="str">
        <f>IF($A37="","",IF(ALLOC!$N$4="VOL_EFF",$G37,IF(ALLOC!$N$4="VOL_CLASS",$H37,$I37)))</f>
        <v/>
      </c>
      <c r="AD37" t="str">
        <f>IF($A37="","",IF(ALLOC!$N$4="VOL_EFF",$L37,IF(ALLOC!$N$4="VOL_CLASS",$M37,$N37)))</f>
        <v/>
      </c>
      <c r="AE37" t="str">
        <f>IF($A37="","",IF(ALLOC!$N$3="VOL_EFF",$L37,IF(ALLOC!$N$3="VOL_CLASS",$M37,$N37)))</f>
        <v/>
      </c>
      <c r="AF37" t="str">
        <f>IF($A37="","",IF(ALLOC!$N$3="VOL_EFF",$Q37,IF(ALLOC!$N$3="VOL_CLASS",$R37,$S37)))</f>
        <v/>
      </c>
      <c r="AG37" t="str">
        <f>IF($A37="","",IF(ALLOC!$N$1="VOL_EFF",$Q37,IF(ALLOC!$N$1="VOL_CLASS",$R37,$S37)))</f>
        <v/>
      </c>
      <c r="AH37" t="str">
        <f>IF($A37="","",IF(ALLOC!$N$1="VOL_EFF",$T37,IF(ALLOC!$N$1="VOL_CLASS",$U37,$V37)))</f>
        <v/>
      </c>
      <c r="AI37" t="str">
        <f t="shared" si="12"/>
        <v/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>IF($A37="","",Allocation2!AE37)</f>
        <v/>
      </c>
      <c r="AP37" t="str">
        <f>IF($A37="","",IF(ALLOC!$N$2="VOL_EFF",$Q37,IF(ALLOC!$N$2="VOL_CLASS",$R37,$S37)))</f>
        <v/>
      </c>
      <c r="AQ37" t="str">
        <f>IF($A37="","",IF(ALLOC!$N$2="VOL_EFF",$T37,IF(ALLOC!$N$2="VOL_CLASS",$U37,$V37)))</f>
        <v/>
      </c>
      <c r="AR37" t="str">
        <f t="shared" si="18"/>
        <v/>
      </c>
    </row>
    <row r="38" spans="1:44" x14ac:dyDescent="0.45">
      <c r="A38" t="str">
        <f>IF(Allocation2!D38="","",Allocation2!D38)</f>
        <v/>
      </c>
      <c r="B38" t="str">
        <f>IF(Allocation2!E38="","",Allocation2!E38)</f>
        <v/>
      </c>
      <c r="C38" t="str">
        <f>IF(Allocation2!F38="","",Allocation2!F38)</f>
        <v/>
      </c>
      <c r="D38" t="str">
        <f>IF(Allocation2!G38="","",Allocation2!G38)</f>
        <v/>
      </c>
      <c r="E38" t="str">
        <f>IF(Allocation2!H38="","",Allocation2!H38)</f>
        <v/>
      </c>
      <c r="F38" t="str">
        <f>IF(Allocation2!I38="","",Allocation2!I38)</f>
        <v/>
      </c>
      <c r="G38" t="str">
        <f>IF(Allocation2!E38="","",Allocation2!J38)</f>
        <v/>
      </c>
      <c r="H38" t="str">
        <f>IF(Allocation2!E38="","",Allocation2!K38)</f>
        <v/>
      </c>
      <c r="I38" t="str">
        <f>IF(Allocation2!E38="","",Allocation2!L38)</f>
        <v/>
      </c>
      <c r="J38" t="str">
        <f>IF($A38="","",Allocation2!X38)</f>
        <v/>
      </c>
      <c r="K38" t="str">
        <f t="shared" si="0"/>
        <v/>
      </c>
      <c r="L38" t="str">
        <f t="shared" si="19"/>
        <v/>
      </c>
      <c r="M38" t="str">
        <f t="shared" si="20"/>
        <v/>
      </c>
      <c r="N38" t="str">
        <f t="shared" si="21"/>
        <v/>
      </c>
      <c r="O38" t="str">
        <f t="shared" si="4"/>
        <v/>
      </c>
      <c r="P38" t="str">
        <f t="shared" si="5"/>
        <v/>
      </c>
      <c r="Q38" t="str">
        <f t="shared" si="22"/>
        <v/>
      </c>
      <c r="R38" t="str">
        <f t="shared" si="23"/>
        <v/>
      </c>
      <c r="S38" t="str">
        <f t="shared" si="24"/>
        <v/>
      </c>
      <c r="T38" t="str">
        <f t="shared" si="25"/>
        <v/>
      </c>
      <c r="U38" t="str">
        <f t="shared" si="26"/>
        <v/>
      </c>
      <c r="V38" t="str">
        <f t="shared" si="27"/>
        <v/>
      </c>
      <c r="W38" t="str">
        <f>IF($A38="","",Allocation2!Y38)</f>
        <v/>
      </c>
      <c r="X38" t="str">
        <f>IF($A38="","",Allocation2!Z38)</f>
        <v/>
      </c>
      <c r="Y38" t="str">
        <f>IF($A38="","",Allocation2!AA38)</f>
        <v/>
      </c>
      <c r="Z38" t="str">
        <f>IF($A38="","",Allocation2!AB38)</f>
        <v/>
      </c>
      <c r="AA38" t="str">
        <f>IF($A38="","",Allocation2!AC38)</f>
        <v/>
      </c>
      <c r="AB38" t="str">
        <f>IF($A38="","",Allocation2!AD38)</f>
        <v/>
      </c>
      <c r="AC38" t="str">
        <f>IF($A38="","",IF(ALLOC!$N$4="VOL_EFF",$G38,IF(ALLOC!$N$4="VOL_CLASS",$H38,$I38)))</f>
        <v/>
      </c>
      <c r="AD38" t="str">
        <f>IF($A38="","",IF(ALLOC!$N$4="VOL_EFF",$L38,IF(ALLOC!$N$4="VOL_CLASS",$M38,$N38)))</f>
        <v/>
      </c>
      <c r="AE38" t="str">
        <f>IF($A38="","",IF(ALLOC!$N$3="VOL_EFF",$L38,IF(ALLOC!$N$3="VOL_CLASS",$M38,$N38)))</f>
        <v/>
      </c>
      <c r="AF38" t="str">
        <f>IF($A38="","",IF(ALLOC!$N$3="VOL_EFF",$Q38,IF(ALLOC!$N$3="VOL_CLASS",$R38,$S38)))</f>
        <v/>
      </c>
      <c r="AG38" t="str">
        <f>IF($A38="","",IF(ALLOC!$N$1="VOL_EFF",$Q38,IF(ALLOC!$N$1="VOL_CLASS",$R38,$S38)))</f>
        <v/>
      </c>
      <c r="AH38" t="str">
        <f>IF($A38="","",IF(ALLOC!$N$1="VOL_EFF",$T38,IF(ALLOC!$N$1="VOL_CLASS",$U38,$V38)))</f>
        <v/>
      </c>
      <c r="AI38" t="str">
        <f t="shared" si="12"/>
        <v/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>IF($A38="","",Allocation2!AE38)</f>
        <v/>
      </c>
      <c r="AP38" t="str">
        <f>IF($A38="","",IF(ALLOC!$N$2="VOL_EFF",$Q38,IF(ALLOC!$N$2="VOL_CLASS",$R38,$S38)))</f>
        <v/>
      </c>
      <c r="AQ38" t="str">
        <f>IF($A38="","",IF(ALLOC!$N$2="VOL_EFF",$T38,IF(ALLOC!$N$2="VOL_CLASS",$U38,$V38)))</f>
        <v/>
      </c>
      <c r="AR38" t="str">
        <f t="shared" si="18"/>
        <v/>
      </c>
    </row>
    <row r="39" spans="1:44" x14ac:dyDescent="0.45">
      <c r="A39" t="str">
        <f>IF(Allocation2!D39="","",Allocation2!D39)</f>
        <v/>
      </c>
      <c r="B39" t="str">
        <f>IF(Allocation2!E39="","",Allocation2!E39)</f>
        <v/>
      </c>
      <c r="C39" t="str">
        <f>IF(Allocation2!F39="","",Allocation2!F39)</f>
        <v/>
      </c>
      <c r="D39" t="str">
        <f>IF(Allocation2!G39="","",Allocation2!G39)</f>
        <v/>
      </c>
      <c r="E39" t="str">
        <f>IF(Allocation2!H39="","",Allocation2!H39)</f>
        <v/>
      </c>
      <c r="F39" t="str">
        <f>IF(Allocation2!I39="","",Allocation2!I39)</f>
        <v/>
      </c>
      <c r="G39" t="str">
        <f>IF(Allocation2!E39="","",Allocation2!J39)</f>
        <v/>
      </c>
      <c r="H39" t="str">
        <f>IF(Allocation2!E39="","",Allocation2!K39)</f>
        <v/>
      </c>
      <c r="I39" t="str">
        <f>IF(Allocation2!E39="","",Allocation2!L39)</f>
        <v/>
      </c>
      <c r="J39" t="str">
        <f>IF($A39="","",Allocation2!X39)</f>
        <v/>
      </c>
      <c r="K39" t="str">
        <f t="shared" si="0"/>
        <v/>
      </c>
      <c r="L39" t="str">
        <f t="shared" si="19"/>
        <v/>
      </c>
      <c r="M39" t="str">
        <f t="shared" si="20"/>
        <v/>
      </c>
      <c r="N39" t="str">
        <f t="shared" si="21"/>
        <v/>
      </c>
      <c r="O39" t="str">
        <f t="shared" si="4"/>
        <v/>
      </c>
      <c r="P39" t="str">
        <f t="shared" si="5"/>
        <v/>
      </c>
      <c r="Q39" t="str">
        <f t="shared" si="22"/>
        <v/>
      </c>
      <c r="R39" t="str">
        <f t="shared" si="23"/>
        <v/>
      </c>
      <c r="S39" t="str">
        <f t="shared" si="24"/>
        <v/>
      </c>
      <c r="T39" t="str">
        <f t="shared" si="25"/>
        <v/>
      </c>
      <c r="U39" t="str">
        <f t="shared" si="26"/>
        <v/>
      </c>
      <c r="V39" t="str">
        <f t="shared" si="27"/>
        <v/>
      </c>
      <c r="W39" t="str">
        <f>IF($A39="","",Allocation2!Y39)</f>
        <v/>
      </c>
      <c r="X39" t="str">
        <f>IF($A39="","",Allocation2!Z39)</f>
        <v/>
      </c>
      <c r="Y39" t="str">
        <f>IF($A39="","",Allocation2!AA39)</f>
        <v/>
      </c>
      <c r="Z39" t="str">
        <f>IF($A39="","",Allocation2!AB39)</f>
        <v/>
      </c>
      <c r="AA39" t="str">
        <f>IF($A39="","",Allocation2!AC39)</f>
        <v/>
      </c>
      <c r="AB39" t="str">
        <f>IF($A39="","",Allocation2!AD39)</f>
        <v/>
      </c>
      <c r="AC39" t="str">
        <f>IF($A39="","",IF(ALLOC!$N$4="VOL_EFF",$G39,IF(ALLOC!$N$4="VOL_CLASS",$H39,$I39)))</f>
        <v/>
      </c>
      <c r="AD39" t="str">
        <f>IF($A39="","",IF(ALLOC!$N$4="VOL_EFF",$L39,IF(ALLOC!$N$4="VOL_CLASS",$M39,$N39)))</f>
        <v/>
      </c>
      <c r="AE39" t="str">
        <f>IF($A39="","",IF(ALLOC!$N$3="VOL_EFF",$L39,IF(ALLOC!$N$3="VOL_CLASS",$M39,$N39)))</f>
        <v/>
      </c>
      <c r="AF39" t="str">
        <f>IF($A39="","",IF(ALLOC!$N$3="VOL_EFF",$Q39,IF(ALLOC!$N$3="VOL_CLASS",$R39,$S39)))</f>
        <v/>
      </c>
      <c r="AG39" t="str">
        <f>IF($A39="","",IF(ALLOC!$N$1="VOL_EFF",$Q39,IF(ALLOC!$N$1="VOL_CLASS",$R39,$S39)))</f>
        <v/>
      </c>
      <c r="AH39" t="str">
        <f>IF($A39="","",IF(ALLOC!$N$1="VOL_EFF",$T39,IF(ALLOC!$N$1="VOL_CLASS",$U39,$V39)))</f>
        <v/>
      </c>
      <c r="AI39" t="str">
        <f t="shared" si="12"/>
        <v/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>IF($A39="","",Allocation2!AE39)</f>
        <v/>
      </c>
      <c r="AP39" t="str">
        <f>IF($A39="","",IF(ALLOC!$N$2="VOL_EFF",$Q39,IF(ALLOC!$N$2="VOL_CLASS",$R39,$S39)))</f>
        <v/>
      </c>
      <c r="AQ39" t="str">
        <f>IF($A39="","",IF(ALLOC!$N$2="VOL_EFF",$T39,IF(ALLOC!$N$2="VOL_CLASS",$U39,$V39)))</f>
        <v/>
      </c>
      <c r="AR39" t="str">
        <f t="shared" si="18"/>
        <v/>
      </c>
    </row>
    <row r="40" spans="1:44" x14ac:dyDescent="0.45">
      <c r="A40" t="str">
        <f>IF(Allocation2!D40="","",Allocation2!D40)</f>
        <v/>
      </c>
      <c r="B40" t="str">
        <f>IF(Allocation2!E40="","",Allocation2!E40)</f>
        <v/>
      </c>
      <c r="C40" t="str">
        <f>IF(Allocation2!F40="","",Allocation2!F40)</f>
        <v/>
      </c>
      <c r="D40" t="str">
        <f>IF(Allocation2!G40="","",Allocation2!G40)</f>
        <v/>
      </c>
      <c r="E40" t="str">
        <f>IF(Allocation2!H40="","",Allocation2!H40)</f>
        <v/>
      </c>
      <c r="F40" t="str">
        <f>IF(Allocation2!I40="","",Allocation2!I40)</f>
        <v/>
      </c>
      <c r="G40" t="str">
        <f>IF(Allocation2!E40="","",Allocation2!J40)</f>
        <v/>
      </c>
      <c r="H40" t="str">
        <f>IF(Allocation2!E40="","",Allocation2!K40)</f>
        <v/>
      </c>
      <c r="I40" t="str">
        <f>IF(Allocation2!E40="","",Allocation2!L40)</f>
        <v/>
      </c>
      <c r="J40" t="str">
        <f>IF($A40="","",Allocation2!X40)</f>
        <v/>
      </c>
      <c r="K40" t="str">
        <f t="shared" si="0"/>
        <v/>
      </c>
      <c r="L40" t="str">
        <f t="shared" si="19"/>
        <v/>
      </c>
      <c r="M40" t="str">
        <f t="shared" si="20"/>
        <v/>
      </c>
      <c r="N40" t="str">
        <f t="shared" si="21"/>
        <v/>
      </c>
      <c r="O40" t="str">
        <f t="shared" si="4"/>
        <v/>
      </c>
      <c r="P40" t="str">
        <f t="shared" si="5"/>
        <v/>
      </c>
      <c r="Q40" t="str">
        <f t="shared" si="22"/>
        <v/>
      </c>
      <c r="R40" t="str">
        <f t="shared" si="23"/>
        <v/>
      </c>
      <c r="S40" t="str">
        <f t="shared" si="24"/>
        <v/>
      </c>
      <c r="T40" t="str">
        <f t="shared" si="25"/>
        <v/>
      </c>
      <c r="U40" t="str">
        <f t="shared" si="26"/>
        <v/>
      </c>
      <c r="V40" t="str">
        <f t="shared" si="27"/>
        <v/>
      </c>
      <c r="W40" t="str">
        <f>IF($A40="","",Allocation2!Y40)</f>
        <v/>
      </c>
      <c r="X40" t="str">
        <f>IF($A40="","",Allocation2!Z40)</f>
        <v/>
      </c>
      <c r="Y40" t="str">
        <f>IF($A40="","",Allocation2!AA40)</f>
        <v/>
      </c>
      <c r="Z40" t="str">
        <f>IF($A40="","",Allocation2!AB40)</f>
        <v/>
      </c>
      <c r="AA40" t="str">
        <f>IF($A40="","",Allocation2!AC40)</f>
        <v/>
      </c>
      <c r="AB40" t="str">
        <f>IF($A40="","",Allocation2!AD40)</f>
        <v/>
      </c>
      <c r="AC40" t="str">
        <f>IF($A40="","",IF(ALLOC!$N$4="VOL_EFF",$G40,IF(ALLOC!$N$4="VOL_CLASS",$H40,$I40)))</f>
        <v/>
      </c>
      <c r="AD40" t="str">
        <f>IF($A40="","",IF(ALLOC!$N$4="VOL_EFF",$L40,IF(ALLOC!$N$4="VOL_CLASS",$M40,$N40)))</f>
        <v/>
      </c>
      <c r="AE40" t="str">
        <f>IF($A40="","",IF(ALLOC!$N$3="VOL_EFF",$L40,IF(ALLOC!$N$3="VOL_CLASS",$M40,$N40)))</f>
        <v/>
      </c>
      <c r="AF40" t="str">
        <f>IF($A40="","",IF(ALLOC!$N$3="VOL_EFF",$Q40,IF(ALLOC!$N$3="VOL_CLASS",$R40,$S40)))</f>
        <v/>
      </c>
      <c r="AG40" t="str">
        <f>IF($A40="","",IF(ALLOC!$N$1="VOL_EFF",$Q40,IF(ALLOC!$N$1="VOL_CLASS",$R40,$S40)))</f>
        <v/>
      </c>
      <c r="AH40" t="str">
        <f>IF($A40="","",IF(ALLOC!$N$1="VOL_EFF",$T40,IF(ALLOC!$N$1="VOL_CLASS",$U40,$V40)))</f>
        <v/>
      </c>
      <c r="AI40" t="str">
        <f t="shared" si="12"/>
        <v/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>IF($A40="","",Allocation2!AE40)</f>
        <v/>
      </c>
      <c r="AP40" t="str">
        <f>IF($A40="","",IF(ALLOC!$N$2="VOL_EFF",$Q40,IF(ALLOC!$N$2="VOL_CLASS",$R40,$S40)))</f>
        <v/>
      </c>
      <c r="AQ40" t="str">
        <f>IF($A40="","",IF(ALLOC!$N$2="VOL_EFF",$T40,IF(ALLOC!$N$2="VOL_CLASS",$U40,$V40)))</f>
        <v/>
      </c>
      <c r="AR40" t="str">
        <f t="shared" si="18"/>
        <v/>
      </c>
    </row>
    <row r="41" spans="1:44" x14ac:dyDescent="0.45">
      <c r="A41" t="str">
        <f>IF(Allocation2!D41="","",Allocation2!D41)</f>
        <v/>
      </c>
      <c r="B41" t="str">
        <f>IF(Allocation2!E41="","",Allocation2!E41)</f>
        <v/>
      </c>
      <c r="C41" t="str">
        <f>IF(Allocation2!F41="","",Allocation2!F41)</f>
        <v/>
      </c>
      <c r="D41" t="str">
        <f>IF(Allocation2!G41="","",Allocation2!G41)</f>
        <v/>
      </c>
      <c r="E41" t="str">
        <f>IF(Allocation2!H41="","",Allocation2!H41)</f>
        <v/>
      </c>
      <c r="F41" t="str">
        <f>IF(Allocation2!I41="","",Allocation2!I41)</f>
        <v/>
      </c>
      <c r="G41" t="str">
        <f>IF(Allocation2!E41="","",Allocation2!J41)</f>
        <v/>
      </c>
      <c r="H41" t="str">
        <f>IF(Allocation2!E41="","",Allocation2!K41)</f>
        <v/>
      </c>
      <c r="I41" t="str">
        <f>IF(Allocation2!E41="","",Allocation2!L41)</f>
        <v/>
      </c>
      <c r="J41" t="str">
        <f>IF($A41="","",Allocation2!X41)</f>
        <v/>
      </c>
      <c r="K41" t="str">
        <f t="shared" si="0"/>
        <v/>
      </c>
      <c r="L41" t="str">
        <f t="shared" si="19"/>
        <v/>
      </c>
      <c r="M41" t="str">
        <f t="shared" si="20"/>
        <v/>
      </c>
      <c r="N41" t="str">
        <f t="shared" si="21"/>
        <v/>
      </c>
      <c r="O41" t="str">
        <f t="shared" si="4"/>
        <v/>
      </c>
      <c r="P41" t="str">
        <f t="shared" si="5"/>
        <v/>
      </c>
      <c r="Q41" t="str">
        <f t="shared" si="22"/>
        <v/>
      </c>
      <c r="R41" t="str">
        <f t="shared" si="23"/>
        <v/>
      </c>
      <c r="S41" t="str">
        <f t="shared" si="24"/>
        <v/>
      </c>
      <c r="T41" t="str">
        <f t="shared" si="25"/>
        <v/>
      </c>
      <c r="U41" t="str">
        <f t="shared" si="26"/>
        <v/>
      </c>
      <c r="V41" t="str">
        <f t="shared" si="27"/>
        <v/>
      </c>
      <c r="W41" t="str">
        <f>IF($A41="","",Allocation2!Y41)</f>
        <v/>
      </c>
      <c r="X41" t="str">
        <f>IF($A41="","",Allocation2!Z41)</f>
        <v/>
      </c>
      <c r="Y41" t="str">
        <f>IF($A41="","",Allocation2!AA41)</f>
        <v/>
      </c>
      <c r="Z41" t="str">
        <f>IF($A41="","",Allocation2!AB41)</f>
        <v/>
      </c>
      <c r="AA41" t="str">
        <f>IF($A41="","",Allocation2!AC41)</f>
        <v/>
      </c>
      <c r="AB41" t="str">
        <f>IF($A41="","",Allocation2!AD41)</f>
        <v/>
      </c>
      <c r="AC41" t="str">
        <f>IF($A41="","",IF(ALLOC!$N$4="VOL_EFF",$G41,IF(ALLOC!$N$4="VOL_CLASS",$H41,$I41)))</f>
        <v/>
      </c>
      <c r="AD41" t="str">
        <f>IF($A41="","",IF(ALLOC!$N$4="VOL_EFF",$L41,IF(ALLOC!$N$4="VOL_CLASS",$M41,$N41)))</f>
        <v/>
      </c>
      <c r="AE41" t="str">
        <f>IF($A41="","",IF(ALLOC!$N$3="VOL_EFF",$L41,IF(ALLOC!$N$3="VOL_CLASS",$M41,$N41)))</f>
        <v/>
      </c>
      <c r="AF41" t="str">
        <f>IF($A41="","",IF(ALLOC!$N$3="VOL_EFF",$Q41,IF(ALLOC!$N$3="VOL_CLASS",$R41,$S41)))</f>
        <v/>
      </c>
      <c r="AG41" t="str">
        <f>IF($A41="","",IF(ALLOC!$N$1="VOL_EFF",$Q41,IF(ALLOC!$N$1="VOL_CLASS",$R41,$S41)))</f>
        <v/>
      </c>
      <c r="AH41" t="str">
        <f>IF($A41="","",IF(ALLOC!$N$1="VOL_EFF",$T41,IF(ALLOC!$N$1="VOL_CLASS",$U41,$V41)))</f>
        <v/>
      </c>
      <c r="AI41" t="str">
        <f t="shared" si="12"/>
        <v/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>IF($A41="","",Allocation2!AE41)</f>
        <v/>
      </c>
      <c r="AP41" t="str">
        <f>IF($A41="","",IF(ALLOC!$N$2="VOL_EFF",$Q41,IF(ALLOC!$N$2="VOL_CLASS",$R41,$S41)))</f>
        <v/>
      </c>
      <c r="AQ41" t="str">
        <f>IF($A41="","",IF(ALLOC!$N$2="VOL_EFF",$T41,IF(ALLOC!$N$2="VOL_CLASS",$U41,$V41)))</f>
        <v/>
      </c>
      <c r="AR41" t="str">
        <f t="shared" si="18"/>
        <v/>
      </c>
    </row>
    <row r="42" spans="1:44" x14ac:dyDescent="0.45">
      <c r="A42" t="str">
        <f>IF(Allocation2!D42="","",Allocation2!D42)</f>
        <v/>
      </c>
      <c r="B42" t="str">
        <f>IF(Allocation2!E42="","",Allocation2!E42)</f>
        <v/>
      </c>
      <c r="C42" t="str">
        <f>IF(Allocation2!F42="","",Allocation2!F42)</f>
        <v/>
      </c>
      <c r="D42" t="str">
        <f>IF(Allocation2!G42="","",Allocation2!G42)</f>
        <v/>
      </c>
      <c r="E42" t="str">
        <f>IF(Allocation2!H42="","",Allocation2!H42)</f>
        <v/>
      </c>
      <c r="F42" t="str">
        <f>IF(Allocation2!I42="","",Allocation2!I42)</f>
        <v/>
      </c>
      <c r="G42" t="str">
        <f>IF(Allocation2!E42="","",Allocation2!J42)</f>
        <v/>
      </c>
      <c r="H42" t="str">
        <f>IF(Allocation2!E42="","",Allocation2!K42)</f>
        <v/>
      </c>
      <c r="I42" t="str">
        <f>IF(Allocation2!E42="","",Allocation2!L42)</f>
        <v/>
      </c>
      <c r="J42" t="str">
        <f>IF($A42="","",Allocation2!X42)</f>
        <v/>
      </c>
      <c r="K42" t="str">
        <f t="shared" si="0"/>
        <v/>
      </c>
      <c r="L42" t="str">
        <f t="shared" si="19"/>
        <v/>
      </c>
      <c r="M42" t="str">
        <f t="shared" si="20"/>
        <v/>
      </c>
      <c r="N42" t="str">
        <f t="shared" si="21"/>
        <v/>
      </c>
      <c r="O42" t="str">
        <f t="shared" si="4"/>
        <v/>
      </c>
      <c r="P42" t="str">
        <f t="shared" si="5"/>
        <v/>
      </c>
      <c r="Q42" t="str">
        <f t="shared" si="22"/>
        <v/>
      </c>
      <c r="R42" t="str">
        <f t="shared" si="23"/>
        <v/>
      </c>
      <c r="S42" t="str">
        <f t="shared" si="24"/>
        <v/>
      </c>
      <c r="T42" t="str">
        <f t="shared" si="25"/>
        <v/>
      </c>
      <c r="U42" t="str">
        <f t="shared" si="26"/>
        <v/>
      </c>
      <c r="V42" t="str">
        <f t="shared" si="27"/>
        <v/>
      </c>
      <c r="W42" t="str">
        <f>IF($A42="","",Allocation2!Y42)</f>
        <v/>
      </c>
      <c r="X42" t="str">
        <f>IF($A42="","",Allocation2!Z42)</f>
        <v/>
      </c>
      <c r="Y42" t="str">
        <f>IF($A42="","",Allocation2!AA42)</f>
        <v/>
      </c>
      <c r="Z42" t="str">
        <f>IF($A42="","",Allocation2!AB42)</f>
        <v/>
      </c>
      <c r="AA42" t="str">
        <f>IF($A42="","",Allocation2!AC42)</f>
        <v/>
      </c>
      <c r="AB42" t="str">
        <f>IF($A42="","",Allocation2!AD42)</f>
        <v/>
      </c>
      <c r="AC42" t="str">
        <f>IF($A42="","",IF(ALLOC!$N$4="VOL_EFF",$G42,IF(ALLOC!$N$4="VOL_CLASS",$H42,$I42)))</f>
        <v/>
      </c>
      <c r="AD42" t="str">
        <f>IF($A42="","",IF(ALLOC!$N$4="VOL_EFF",$L42,IF(ALLOC!$N$4="VOL_CLASS",$M42,$N42)))</f>
        <v/>
      </c>
      <c r="AE42" t="str">
        <f>IF($A42="","",IF(ALLOC!$N$3="VOL_EFF",$L42,IF(ALLOC!$N$3="VOL_CLASS",$M42,$N42)))</f>
        <v/>
      </c>
      <c r="AF42" t="str">
        <f>IF($A42="","",IF(ALLOC!$N$3="VOL_EFF",$Q42,IF(ALLOC!$N$3="VOL_CLASS",$R42,$S42)))</f>
        <v/>
      </c>
      <c r="AG42" t="str">
        <f>IF($A42="","",IF(ALLOC!$N$1="VOL_EFF",$Q42,IF(ALLOC!$N$1="VOL_CLASS",$R42,$S42)))</f>
        <v/>
      </c>
      <c r="AH42" t="str">
        <f>IF($A42="","",IF(ALLOC!$N$1="VOL_EFF",$T42,IF(ALLOC!$N$1="VOL_CLASS",$U42,$V42)))</f>
        <v/>
      </c>
      <c r="AI42" t="str">
        <f t="shared" si="12"/>
        <v/>
      </c>
      <c r="AJ42" t="str">
        <f t="shared" si="13"/>
        <v/>
      </c>
      <c r="AK42" t="str">
        <f t="shared" si="14"/>
        <v/>
      </c>
      <c r="AL42" t="str">
        <f t="shared" si="15"/>
        <v/>
      </c>
      <c r="AM42" t="str">
        <f t="shared" si="16"/>
        <v/>
      </c>
      <c r="AN42" t="str">
        <f t="shared" si="17"/>
        <v/>
      </c>
      <c r="AO42" t="str">
        <f>IF($A42="","",Allocation2!AE42)</f>
        <v/>
      </c>
      <c r="AP42" t="str">
        <f>IF($A42="","",IF(ALLOC!$N$2="VOL_EFF",$Q42,IF(ALLOC!$N$2="VOL_CLASS",$R42,$S42)))</f>
        <v/>
      </c>
      <c r="AQ42" t="str">
        <f>IF($A42="","",IF(ALLOC!$N$2="VOL_EFF",$T42,IF(ALLOC!$N$2="VOL_CLASS",$U42,$V42)))</f>
        <v/>
      </c>
      <c r="AR42" t="str">
        <f t="shared" si="18"/>
        <v/>
      </c>
    </row>
    <row r="43" spans="1:44" x14ac:dyDescent="0.45">
      <c r="A43" t="str">
        <f>IF(Allocation2!D43="","",Allocation2!D43)</f>
        <v/>
      </c>
      <c r="B43" t="str">
        <f>IF(Allocation2!E43="","",Allocation2!E43)</f>
        <v/>
      </c>
      <c r="C43" t="str">
        <f>IF(Allocation2!F43="","",Allocation2!F43)</f>
        <v/>
      </c>
      <c r="D43" t="str">
        <f>IF(Allocation2!G43="","",Allocation2!G43)</f>
        <v/>
      </c>
      <c r="E43" t="str">
        <f>IF(Allocation2!H43="","",Allocation2!H43)</f>
        <v/>
      </c>
      <c r="F43" t="str">
        <f>IF(Allocation2!I43="","",Allocation2!I43)</f>
        <v/>
      </c>
      <c r="G43" t="str">
        <f>IF(Allocation2!E43="","",Allocation2!J43)</f>
        <v/>
      </c>
      <c r="H43" t="str">
        <f>IF(Allocation2!E43="","",Allocation2!K43)</f>
        <v/>
      </c>
      <c r="I43" t="str">
        <f>IF(Allocation2!E43="","",Allocation2!L43)</f>
        <v/>
      </c>
      <c r="J43" t="str">
        <f>IF($A43="","",Allocation2!X43)</f>
        <v/>
      </c>
      <c r="K43" t="str">
        <f t="shared" si="0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4"/>
        <v/>
      </c>
      <c r="P43" t="str">
        <f t="shared" si="5"/>
        <v/>
      </c>
      <c r="Q43" t="str">
        <f t="shared" si="22"/>
        <v/>
      </c>
      <c r="R43" t="str">
        <f t="shared" si="23"/>
        <v/>
      </c>
      <c r="S43" t="str">
        <f t="shared" si="24"/>
        <v/>
      </c>
      <c r="T43" t="str">
        <f t="shared" si="25"/>
        <v/>
      </c>
      <c r="U43" t="str">
        <f t="shared" si="26"/>
        <v/>
      </c>
      <c r="V43" t="str">
        <f t="shared" si="27"/>
        <v/>
      </c>
      <c r="W43" t="str">
        <f>IF($A43="","",Allocation2!Y43)</f>
        <v/>
      </c>
      <c r="X43" t="str">
        <f>IF($A43="","",Allocation2!Z43)</f>
        <v/>
      </c>
      <c r="Y43" t="str">
        <f>IF($A43="","",Allocation2!AA43)</f>
        <v/>
      </c>
      <c r="Z43" t="str">
        <f>IF($A43="","",Allocation2!AB43)</f>
        <v/>
      </c>
      <c r="AA43" t="str">
        <f>IF($A43="","",Allocation2!AC43)</f>
        <v/>
      </c>
      <c r="AB43" t="str">
        <f>IF($A43="","",Allocation2!AD43)</f>
        <v/>
      </c>
      <c r="AC43" t="str">
        <f>IF($A43="","",IF(ALLOC!$N$4="VOL_EFF",$G43,IF(ALLOC!$N$4="VOL_CLASS",$H43,$I43)))</f>
        <v/>
      </c>
      <c r="AD43" t="str">
        <f>IF($A43="","",IF(ALLOC!$N$4="VOL_EFF",$L43,IF(ALLOC!$N$4="VOL_CLASS",$M43,$N43)))</f>
        <v/>
      </c>
      <c r="AE43" t="str">
        <f>IF($A43="","",IF(ALLOC!$N$3="VOL_EFF",$L43,IF(ALLOC!$N$3="VOL_CLASS",$M43,$N43)))</f>
        <v/>
      </c>
      <c r="AF43" t="str">
        <f>IF($A43="","",IF(ALLOC!$N$3="VOL_EFF",$Q43,IF(ALLOC!$N$3="VOL_CLASS",$R43,$S43)))</f>
        <v/>
      </c>
      <c r="AG43" t="str">
        <f>IF($A43="","",IF(ALLOC!$N$1="VOL_EFF",$Q43,IF(ALLOC!$N$1="VOL_CLASS",$R43,$S43)))</f>
        <v/>
      </c>
      <c r="AH43" t="str">
        <f>IF($A43="","",IF(ALLOC!$N$1="VOL_EFF",$T43,IF(ALLOC!$N$1="VOL_CLASS",$U43,$V43)))</f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>IF($A43="","",Allocation2!AE43)</f>
        <v/>
      </c>
      <c r="AP43" t="str">
        <f>IF($A43="","",IF(ALLOC!$N$2="VOL_EFF",$Q43,IF(ALLOC!$N$2="VOL_CLASS",$R43,$S43)))</f>
        <v/>
      </c>
      <c r="AQ43" t="str">
        <f>IF($A43="","",IF(ALLOC!$N$2="VOL_EFF",$T43,IF(ALLOC!$N$2="VOL_CLASS",$U43,$V43)))</f>
        <v/>
      </c>
      <c r="AR43" t="str">
        <f t="shared" si="18"/>
        <v/>
      </c>
    </row>
    <row r="44" spans="1:44" x14ac:dyDescent="0.45">
      <c r="A44" t="str">
        <f>IF(Allocation2!D44="","",Allocation2!D44)</f>
        <v/>
      </c>
      <c r="B44" t="str">
        <f>IF(Allocation2!E44="","",Allocation2!E44)</f>
        <v/>
      </c>
      <c r="C44" t="str">
        <f>IF(Allocation2!F44="","",Allocation2!F44)</f>
        <v/>
      </c>
      <c r="D44" t="str">
        <f>IF(Allocation2!G44="","",Allocation2!G44)</f>
        <v/>
      </c>
      <c r="E44" t="str">
        <f>IF(Allocation2!H44="","",Allocation2!H44)</f>
        <v/>
      </c>
      <c r="F44" t="str">
        <f>IF(Allocation2!I44="","",Allocation2!I44)</f>
        <v/>
      </c>
      <c r="G44" t="str">
        <f>IF(Allocation2!E44="","",Allocation2!J44)</f>
        <v/>
      </c>
      <c r="H44" t="str">
        <f>IF(Allocation2!E44="","",Allocation2!K44)</f>
        <v/>
      </c>
      <c r="I44" t="str">
        <f>IF(Allocation2!E44="","",Allocation2!L44)</f>
        <v/>
      </c>
      <c r="J44" t="str">
        <f>IF($A44="","",Allocation2!X44)</f>
        <v/>
      </c>
      <c r="K44" t="str">
        <f t="shared" si="0"/>
        <v/>
      </c>
      <c r="L44" t="str">
        <f t="shared" si="19"/>
        <v/>
      </c>
      <c r="M44" t="str">
        <f t="shared" si="20"/>
        <v/>
      </c>
      <c r="N44" t="str">
        <f t="shared" si="21"/>
        <v/>
      </c>
      <c r="O44" t="str">
        <f t="shared" si="4"/>
        <v/>
      </c>
      <c r="P44" t="str">
        <f t="shared" si="5"/>
        <v/>
      </c>
      <c r="Q44" t="str">
        <f t="shared" si="22"/>
        <v/>
      </c>
      <c r="R44" t="str">
        <f t="shared" si="23"/>
        <v/>
      </c>
      <c r="S44" t="str">
        <f t="shared" si="24"/>
        <v/>
      </c>
      <c r="T44" t="str">
        <f t="shared" si="25"/>
        <v/>
      </c>
      <c r="U44" t="str">
        <f t="shared" si="26"/>
        <v/>
      </c>
      <c r="V44" t="str">
        <f t="shared" si="27"/>
        <v/>
      </c>
      <c r="W44" t="str">
        <f>IF($A44="","",Allocation2!Y44)</f>
        <v/>
      </c>
      <c r="X44" t="str">
        <f>IF($A44="","",Allocation2!Z44)</f>
        <v/>
      </c>
      <c r="Y44" t="str">
        <f>IF($A44="","",Allocation2!AA44)</f>
        <v/>
      </c>
      <c r="Z44" t="str">
        <f>IF($A44="","",Allocation2!AB44)</f>
        <v/>
      </c>
      <c r="AA44" t="str">
        <f>IF($A44="","",Allocation2!AC44)</f>
        <v/>
      </c>
      <c r="AB44" t="str">
        <f>IF($A44="","",Allocation2!AD44)</f>
        <v/>
      </c>
      <c r="AC44" t="str">
        <f>IF($A44="","",IF(ALLOC!$N$4="VOL_EFF",$G44,IF(ALLOC!$N$4="VOL_CLASS",$H44,$I44)))</f>
        <v/>
      </c>
      <c r="AD44" t="str">
        <f>IF($A44="","",IF(ALLOC!$N$4="VOL_EFF",$L44,IF(ALLOC!$N$4="VOL_CLASS",$M44,$N44)))</f>
        <v/>
      </c>
      <c r="AE44" t="str">
        <f>IF($A44="","",IF(ALLOC!$N$3="VOL_EFF",$L44,IF(ALLOC!$N$3="VOL_CLASS",$M44,$N44)))</f>
        <v/>
      </c>
      <c r="AF44" t="str">
        <f>IF($A44="","",IF(ALLOC!$N$3="VOL_EFF",$Q44,IF(ALLOC!$N$3="VOL_CLASS",$R44,$S44)))</f>
        <v/>
      </c>
      <c r="AG44" t="str">
        <f>IF($A44="","",IF(ALLOC!$N$1="VOL_EFF",$Q44,IF(ALLOC!$N$1="VOL_CLASS",$R44,$S44)))</f>
        <v/>
      </c>
      <c r="AH44" t="str">
        <f>IF($A44="","",IF(ALLOC!$N$1="VOL_EFF",$T44,IF(ALLOC!$N$1="VOL_CLASS",$U44,$V44)))</f>
        <v/>
      </c>
      <c r="AI44" t="str">
        <f t="shared" si="12"/>
        <v/>
      </c>
      <c r="AJ44" t="str">
        <f t="shared" si="13"/>
        <v/>
      </c>
      <c r="AK44" t="str">
        <f t="shared" si="14"/>
        <v/>
      </c>
      <c r="AL44" t="str">
        <f t="shared" si="15"/>
        <v/>
      </c>
      <c r="AM44" t="str">
        <f t="shared" si="16"/>
        <v/>
      </c>
      <c r="AN44" t="str">
        <f t="shared" si="17"/>
        <v/>
      </c>
      <c r="AO44" t="str">
        <f>IF($A44="","",Allocation2!AE44)</f>
        <v/>
      </c>
      <c r="AP44" t="str">
        <f>IF($A44="","",IF(ALLOC!$N$2="VOL_EFF",$Q44,IF(ALLOC!$N$2="VOL_CLASS",$R44,$S44)))</f>
        <v/>
      </c>
      <c r="AQ44" t="str">
        <f>IF($A44="","",IF(ALLOC!$N$2="VOL_EFF",$T44,IF(ALLOC!$N$2="VOL_CLASS",$U44,$V44)))</f>
        <v/>
      </c>
      <c r="AR44" t="str">
        <f t="shared" si="18"/>
        <v/>
      </c>
    </row>
    <row r="45" spans="1:44" x14ac:dyDescent="0.45">
      <c r="A45" t="str">
        <f>IF(Allocation2!D45="","",Allocation2!D45)</f>
        <v/>
      </c>
      <c r="B45" t="str">
        <f>IF(Allocation2!E45="","",Allocation2!E45)</f>
        <v/>
      </c>
      <c r="C45" t="str">
        <f>IF(Allocation2!F45="","",Allocation2!F45)</f>
        <v/>
      </c>
      <c r="D45" t="str">
        <f>IF(Allocation2!G45="","",Allocation2!G45)</f>
        <v/>
      </c>
      <c r="E45" t="str">
        <f>IF(Allocation2!H45="","",Allocation2!H45)</f>
        <v/>
      </c>
      <c r="F45" t="str">
        <f>IF(Allocation2!I45="","",Allocation2!I45)</f>
        <v/>
      </c>
      <c r="G45" t="str">
        <f>IF(Allocation2!E45="","",Allocation2!J45)</f>
        <v/>
      </c>
      <c r="H45" t="str">
        <f>IF(Allocation2!E45="","",Allocation2!K45)</f>
        <v/>
      </c>
      <c r="I45" t="str">
        <f>IF(Allocation2!E45="","",Allocation2!L45)</f>
        <v/>
      </c>
      <c r="J45" t="str">
        <f>IF($A45="","",Allocation2!X45)</f>
        <v/>
      </c>
      <c r="K45" t="str">
        <f t="shared" si="0"/>
        <v/>
      </c>
      <c r="L45" t="str">
        <f t="shared" si="19"/>
        <v/>
      </c>
      <c r="M45" t="str">
        <f t="shared" si="20"/>
        <v/>
      </c>
      <c r="N45" t="str">
        <f t="shared" si="21"/>
        <v/>
      </c>
      <c r="O45" t="str">
        <f t="shared" si="4"/>
        <v/>
      </c>
      <c r="P45" t="str">
        <f t="shared" si="5"/>
        <v/>
      </c>
      <c r="Q45" t="str">
        <f t="shared" si="22"/>
        <v/>
      </c>
      <c r="R45" t="str">
        <f t="shared" si="23"/>
        <v/>
      </c>
      <c r="S45" t="str">
        <f t="shared" si="24"/>
        <v/>
      </c>
      <c r="T45" t="str">
        <f t="shared" si="25"/>
        <v/>
      </c>
      <c r="U45" t="str">
        <f t="shared" si="26"/>
        <v/>
      </c>
      <c r="V45" t="str">
        <f t="shared" si="27"/>
        <v/>
      </c>
      <c r="W45" t="str">
        <f>IF($A45="","",Allocation2!Y45)</f>
        <v/>
      </c>
      <c r="X45" t="str">
        <f>IF($A45="","",Allocation2!Z45)</f>
        <v/>
      </c>
      <c r="Y45" t="str">
        <f>IF($A45="","",Allocation2!AA45)</f>
        <v/>
      </c>
      <c r="Z45" t="str">
        <f>IF($A45="","",Allocation2!AB45)</f>
        <v/>
      </c>
      <c r="AA45" t="str">
        <f>IF($A45="","",Allocation2!AC45)</f>
        <v/>
      </c>
      <c r="AB45" t="str">
        <f>IF($A45="","",Allocation2!AD45)</f>
        <v/>
      </c>
      <c r="AC45" t="str">
        <f>IF($A45="","",IF(ALLOC!$N$4="VOL_EFF",$G45,IF(ALLOC!$N$4="VOL_CLASS",$H45,$I45)))</f>
        <v/>
      </c>
      <c r="AD45" t="str">
        <f>IF($A45="","",IF(ALLOC!$N$4="VOL_EFF",$L45,IF(ALLOC!$N$4="VOL_CLASS",$M45,$N45)))</f>
        <v/>
      </c>
      <c r="AE45" t="str">
        <f>IF($A45="","",IF(ALLOC!$N$3="VOL_EFF",$L45,IF(ALLOC!$N$3="VOL_CLASS",$M45,$N45)))</f>
        <v/>
      </c>
      <c r="AF45" t="str">
        <f>IF($A45="","",IF(ALLOC!$N$3="VOL_EFF",$Q45,IF(ALLOC!$N$3="VOL_CLASS",$R45,$S45)))</f>
        <v/>
      </c>
      <c r="AG45" t="str">
        <f>IF($A45="","",IF(ALLOC!$N$1="VOL_EFF",$Q45,IF(ALLOC!$N$1="VOL_CLASS",$R45,$S45)))</f>
        <v/>
      </c>
      <c r="AH45" t="str">
        <f>IF($A45="","",IF(ALLOC!$N$1="VOL_EFF",$T45,IF(ALLOC!$N$1="VOL_CLASS",$U45,$V45)))</f>
        <v/>
      </c>
      <c r="AI45" t="str">
        <f t="shared" si="12"/>
        <v/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>IF($A45="","",Allocation2!AE45)</f>
        <v/>
      </c>
      <c r="AP45" t="str">
        <f>IF($A45="","",IF(ALLOC!$N$2="VOL_EFF",$Q45,IF(ALLOC!$N$2="VOL_CLASS",$R45,$S45)))</f>
        <v/>
      </c>
      <c r="AQ45" t="str">
        <f>IF($A45="","",IF(ALLOC!$N$2="VOL_EFF",$T45,IF(ALLOC!$N$2="VOL_CLASS",$U45,$V45)))</f>
        <v/>
      </c>
      <c r="AR45" t="str">
        <f t="shared" si="18"/>
        <v/>
      </c>
    </row>
    <row r="46" spans="1:44" x14ac:dyDescent="0.45">
      <c r="A46" t="str">
        <f>IF(Allocation2!D46="","",Allocation2!D46)</f>
        <v/>
      </c>
      <c r="B46" t="str">
        <f>IF(Allocation2!E46="","",Allocation2!E46)</f>
        <v/>
      </c>
      <c r="C46" t="str">
        <f>IF(Allocation2!F46="","",Allocation2!F46)</f>
        <v/>
      </c>
      <c r="D46" t="str">
        <f>IF(Allocation2!G46="","",Allocation2!G46)</f>
        <v/>
      </c>
      <c r="E46" t="str">
        <f>IF(Allocation2!H46="","",Allocation2!H46)</f>
        <v/>
      </c>
      <c r="F46" t="str">
        <f>IF(Allocation2!I46="","",Allocation2!I46)</f>
        <v/>
      </c>
      <c r="G46" t="str">
        <f>IF(Allocation2!E46="","",Allocation2!J46)</f>
        <v/>
      </c>
      <c r="H46" t="str">
        <f>IF(Allocation2!E46="","",Allocation2!K46)</f>
        <v/>
      </c>
      <c r="I46" t="str">
        <f>IF(Allocation2!E46="","",Allocation2!L46)</f>
        <v/>
      </c>
      <c r="J46" t="str">
        <f>IF($A46="","",Allocation2!X46)</f>
        <v/>
      </c>
      <c r="K46" t="str">
        <f t="shared" si="0"/>
        <v/>
      </c>
      <c r="L46" t="str">
        <f t="shared" si="19"/>
        <v/>
      </c>
      <c r="M46" t="str">
        <f t="shared" si="20"/>
        <v/>
      </c>
      <c r="N46" t="str">
        <f t="shared" si="21"/>
        <v/>
      </c>
      <c r="O46" t="str">
        <f t="shared" si="4"/>
        <v/>
      </c>
      <c r="P46" t="str">
        <f t="shared" si="5"/>
        <v/>
      </c>
      <c r="Q46" t="str">
        <f t="shared" si="22"/>
        <v/>
      </c>
      <c r="R46" t="str">
        <f t="shared" si="23"/>
        <v/>
      </c>
      <c r="S46" t="str">
        <f t="shared" si="24"/>
        <v/>
      </c>
      <c r="T46" t="str">
        <f t="shared" si="25"/>
        <v/>
      </c>
      <c r="U46" t="str">
        <f t="shared" si="26"/>
        <v/>
      </c>
      <c r="V46" t="str">
        <f t="shared" si="27"/>
        <v/>
      </c>
      <c r="W46" t="str">
        <f>IF($A46="","",Allocation2!Y46)</f>
        <v/>
      </c>
      <c r="X46" t="str">
        <f>IF($A46="","",Allocation2!Z46)</f>
        <v/>
      </c>
      <c r="Y46" t="str">
        <f>IF($A46="","",Allocation2!AA46)</f>
        <v/>
      </c>
      <c r="Z46" t="str">
        <f>IF($A46="","",Allocation2!AB46)</f>
        <v/>
      </c>
      <c r="AA46" t="str">
        <f>IF($A46="","",Allocation2!AC46)</f>
        <v/>
      </c>
      <c r="AB46" t="str">
        <f>IF($A46="","",Allocation2!AD46)</f>
        <v/>
      </c>
      <c r="AC46" t="str">
        <f>IF($A46="","",IF(ALLOC!$N$4="VOL_EFF",$G46,IF(ALLOC!$N$4="VOL_CLASS",$H46,$I46)))</f>
        <v/>
      </c>
      <c r="AD46" t="str">
        <f>IF($A46="","",IF(ALLOC!$N$4="VOL_EFF",$L46,IF(ALLOC!$N$4="VOL_CLASS",$M46,$N46)))</f>
        <v/>
      </c>
      <c r="AE46" t="str">
        <f>IF($A46="","",IF(ALLOC!$N$3="VOL_EFF",$L46,IF(ALLOC!$N$3="VOL_CLASS",$M46,$N46)))</f>
        <v/>
      </c>
      <c r="AF46" t="str">
        <f>IF($A46="","",IF(ALLOC!$N$3="VOL_EFF",$Q46,IF(ALLOC!$N$3="VOL_CLASS",$R46,$S46)))</f>
        <v/>
      </c>
      <c r="AG46" t="str">
        <f>IF($A46="","",IF(ALLOC!$N$1="VOL_EFF",$Q46,IF(ALLOC!$N$1="VOL_CLASS",$R46,$S46)))</f>
        <v/>
      </c>
      <c r="AH46" t="str">
        <f>IF($A46="","",IF(ALLOC!$N$1="VOL_EFF",$T46,IF(ALLOC!$N$1="VOL_CLASS",$U46,$V46)))</f>
        <v/>
      </c>
      <c r="AI46" t="str">
        <f t="shared" si="12"/>
        <v/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>IF($A46="","",Allocation2!AE46)</f>
        <v/>
      </c>
      <c r="AP46" t="str">
        <f>IF($A46="","",IF(ALLOC!$N$2="VOL_EFF",$Q46,IF(ALLOC!$N$2="VOL_CLASS",$R46,$S46)))</f>
        <v/>
      </c>
      <c r="AQ46" t="str">
        <f>IF($A46="","",IF(ALLOC!$N$2="VOL_EFF",$T46,IF(ALLOC!$N$2="VOL_CLASS",$U46,$V46)))</f>
        <v/>
      </c>
      <c r="AR46" t="str">
        <f t="shared" si="18"/>
        <v/>
      </c>
    </row>
    <row r="47" spans="1:44" x14ac:dyDescent="0.45">
      <c r="A47" t="str">
        <f>IF(Allocation2!D47="","",Allocation2!D47)</f>
        <v/>
      </c>
      <c r="B47" t="str">
        <f>IF(Allocation2!E47="","",Allocation2!E47)</f>
        <v/>
      </c>
      <c r="C47" t="str">
        <f>IF(Allocation2!F47="","",Allocation2!F47)</f>
        <v/>
      </c>
      <c r="D47" t="str">
        <f>IF(Allocation2!G47="","",Allocation2!G47)</f>
        <v/>
      </c>
      <c r="E47" t="str">
        <f>IF(Allocation2!H47="","",Allocation2!H47)</f>
        <v/>
      </c>
      <c r="F47" t="str">
        <f>IF(Allocation2!I47="","",Allocation2!I47)</f>
        <v/>
      </c>
      <c r="G47" t="str">
        <f>IF(Allocation2!E47="","",Allocation2!J47)</f>
        <v/>
      </c>
      <c r="H47" t="str">
        <f>IF(Allocation2!E47="","",Allocation2!K47)</f>
        <v/>
      </c>
      <c r="I47" t="str">
        <f>IF(Allocation2!E47="","",Allocation2!L47)</f>
        <v/>
      </c>
      <c r="J47" t="str">
        <f>IF($A47="","",Allocation2!X47)</f>
        <v/>
      </c>
      <c r="K47" t="str">
        <f t="shared" si="0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4"/>
        <v/>
      </c>
      <c r="P47" t="str">
        <f t="shared" si="5"/>
        <v/>
      </c>
      <c r="Q47" t="str">
        <f t="shared" si="22"/>
        <v/>
      </c>
      <c r="R47" t="str">
        <f t="shared" si="23"/>
        <v/>
      </c>
      <c r="S47" t="str">
        <f t="shared" si="24"/>
        <v/>
      </c>
      <c r="T47" t="str">
        <f t="shared" si="25"/>
        <v/>
      </c>
      <c r="U47" t="str">
        <f t="shared" si="26"/>
        <v/>
      </c>
      <c r="V47" t="str">
        <f t="shared" si="27"/>
        <v/>
      </c>
      <c r="W47" t="str">
        <f>IF($A47="","",Allocation2!Y47)</f>
        <v/>
      </c>
      <c r="X47" t="str">
        <f>IF($A47="","",Allocation2!Z47)</f>
        <v/>
      </c>
      <c r="Y47" t="str">
        <f>IF($A47="","",Allocation2!AA47)</f>
        <v/>
      </c>
      <c r="Z47" t="str">
        <f>IF($A47="","",Allocation2!AB47)</f>
        <v/>
      </c>
      <c r="AA47" t="str">
        <f>IF($A47="","",Allocation2!AC47)</f>
        <v/>
      </c>
      <c r="AB47" t="str">
        <f>IF($A47="","",Allocation2!AD47)</f>
        <v/>
      </c>
      <c r="AC47" t="str">
        <f>IF($A47="","",IF(ALLOC!$N$4="VOL_EFF",$G47,IF(ALLOC!$N$4="VOL_CLASS",$H47,$I47)))</f>
        <v/>
      </c>
      <c r="AD47" t="str">
        <f>IF($A47="","",IF(ALLOC!$N$4="VOL_EFF",$L47,IF(ALLOC!$N$4="VOL_CLASS",$M47,$N47)))</f>
        <v/>
      </c>
      <c r="AE47" t="str">
        <f>IF($A47="","",IF(ALLOC!$N$3="VOL_EFF",$L47,IF(ALLOC!$N$3="VOL_CLASS",$M47,$N47)))</f>
        <v/>
      </c>
      <c r="AF47" t="str">
        <f>IF($A47="","",IF(ALLOC!$N$3="VOL_EFF",$Q47,IF(ALLOC!$N$3="VOL_CLASS",$R47,$S47)))</f>
        <v/>
      </c>
      <c r="AG47" t="str">
        <f>IF($A47="","",IF(ALLOC!$N$1="VOL_EFF",$Q47,IF(ALLOC!$N$1="VOL_CLASS",$R47,$S47)))</f>
        <v/>
      </c>
      <c r="AH47" t="str">
        <f>IF($A47="","",IF(ALLOC!$N$1="VOL_EFF",$T47,IF(ALLOC!$N$1="VOL_CLASS",$U47,$V47)))</f>
        <v/>
      </c>
      <c r="AI47" t="str">
        <f t="shared" si="12"/>
        <v/>
      </c>
      <c r="AJ47" t="str">
        <f t="shared" si="13"/>
        <v/>
      </c>
      <c r="AK47" t="str">
        <f t="shared" si="14"/>
        <v/>
      </c>
      <c r="AL47" t="str">
        <f t="shared" si="15"/>
        <v/>
      </c>
      <c r="AM47" t="str">
        <f t="shared" si="16"/>
        <v/>
      </c>
      <c r="AN47" t="str">
        <f t="shared" si="17"/>
        <v/>
      </c>
      <c r="AO47" t="str">
        <f>IF($A47="","",Allocation2!AE47)</f>
        <v/>
      </c>
      <c r="AP47" t="str">
        <f>IF($A47="","",IF(ALLOC!$N$2="VOL_EFF",$Q47,IF(ALLOC!$N$2="VOL_CLASS",$R47,$S47)))</f>
        <v/>
      </c>
      <c r="AQ47" t="str">
        <f>IF($A47="","",IF(ALLOC!$N$2="VOL_EFF",$T47,IF(ALLOC!$N$2="VOL_CLASS",$U47,$V47)))</f>
        <v/>
      </c>
      <c r="AR47" t="str">
        <f t="shared" si="18"/>
        <v/>
      </c>
    </row>
    <row r="48" spans="1:44" x14ac:dyDescent="0.45">
      <c r="A48" t="str">
        <f>IF(Allocation2!D48="","",Allocation2!D48)</f>
        <v/>
      </c>
      <c r="B48" t="str">
        <f>IF(Allocation2!E48="","",Allocation2!E48)</f>
        <v/>
      </c>
      <c r="C48" t="str">
        <f>IF(Allocation2!F48="","",Allocation2!F48)</f>
        <v/>
      </c>
      <c r="D48" t="str">
        <f>IF(Allocation2!G48="","",Allocation2!G48)</f>
        <v/>
      </c>
      <c r="E48" t="str">
        <f>IF(Allocation2!H48="","",Allocation2!H48)</f>
        <v/>
      </c>
      <c r="F48" t="str">
        <f>IF(Allocation2!I48="","",Allocation2!I48)</f>
        <v/>
      </c>
      <c r="G48" t="str">
        <f>IF(Allocation2!E48="","",Allocation2!J48)</f>
        <v/>
      </c>
      <c r="H48" t="str">
        <f>IF(Allocation2!E48="","",Allocation2!K48)</f>
        <v/>
      </c>
      <c r="I48" t="str">
        <f>IF(Allocation2!E48="","",Allocation2!L48)</f>
        <v/>
      </c>
      <c r="J48" t="str">
        <f>IF($A48="","",Allocation2!X48)</f>
        <v/>
      </c>
      <c r="K48" t="str">
        <f t="shared" si="0"/>
        <v/>
      </c>
      <c r="L48" t="str">
        <f t="shared" si="19"/>
        <v/>
      </c>
      <c r="M48" t="str">
        <f t="shared" si="20"/>
        <v/>
      </c>
      <c r="N48" t="str">
        <f t="shared" si="21"/>
        <v/>
      </c>
      <c r="O48" t="str">
        <f t="shared" si="4"/>
        <v/>
      </c>
      <c r="P48" t="str">
        <f t="shared" si="5"/>
        <v/>
      </c>
      <c r="Q48" t="str">
        <f t="shared" si="22"/>
        <v/>
      </c>
      <c r="R48" t="str">
        <f t="shared" si="23"/>
        <v/>
      </c>
      <c r="S48" t="str">
        <f t="shared" si="24"/>
        <v/>
      </c>
      <c r="T48" t="str">
        <f t="shared" si="25"/>
        <v/>
      </c>
      <c r="U48" t="str">
        <f t="shared" si="26"/>
        <v/>
      </c>
      <c r="V48" t="str">
        <f t="shared" si="27"/>
        <v/>
      </c>
      <c r="W48" t="str">
        <f>IF($A48="","",Allocation2!Y48)</f>
        <v/>
      </c>
      <c r="X48" t="str">
        <f>IF($A48="","",Allocation2!Z48)</f>
        <v/>
      </c>
      <c r="Y48" t="str">
        <f>IF($A48="","",Allocation2!AA48)</f>
        <v/>
      </c>
      <c r="Z48" t="str">
        <f>IF($A48="","",Allocation2!AB48)</f>
        <v/>
      </c>
      <c r="AA48" t="str">
        <f>IF($A48="","",Allocation2!AC48)</f>
        <v/>
      </c>
      <c r="AB48" t="str">
        <f>IF($A48="","",Allocation2!AD48)</f>
        <v/>
      </c>
      <c r="AC48" t="str">
        <f>IF($A48="","",IF(ALLOC!$N$4="VOL_EFF",$G48,IF(ALLOC!$N$4="VOL_CLASS",$H48,$I48)))</f>
        <v/>
      </c>
      <c r="AD48" t="str">
        <f>IF($A48="","",IF(ALLOC!$N$4="VOL_EFF",$L48,IF(ALLOC!$N$4="VOL_CLASS",$M48,$N48)))</f>
        <v/>
      </c>
      <c r="AE48" t="str">
        <f>IF($A48="","",IF(ALLOC!$N$3="VOL_EFF",$L48,IF(ALLOC!$N$3="VOL_CLASS",$M48,$N48)))</f>
        <v/>
      </c>
      <c r="AF48" t="str">
        <f>IF($A48="","",IF(ALLOC!$N$3="VOL_EFF",$Q48,IF(ALLOC!$N$3="VOL_CLASS",$R48,$S48)))</f>
        <v/>
      </c>
      <c r="AG48" t="str">
        <f>IF($A48="","",IF(ALLOC!$N$1="VOL_EFF",$Q48,IF(ALLOC!$N$1="VOL_CLASS",$R48,$S48)))</f>
        <v/>
      </c>
      <c r="AH48" t="str">
        <f>IF($A48="","",IF(ALLOC!$N$1="VOL_EFF",$T48,IF(ALLOC!$N$1="VOL_CLASS",$U48,$V48)))</f>
        <v/>
      </c>
      <c r="AI48" t="str">
        <f t="shared" si="12"/>
        <v/>
      </c>
      <c r="AJ48" t="str">
        <f t="shared" si="13"/>
        <v/>
      </c>
      <c r="AK48" t="str">
        <f t="shared" si="14"/>
        <v/>
      </c>
      <c r="AL48" t="str">
        <f t="shared" si="15"/>
        <v/>
      </c>
      <c r="AM48" t="str">
        <f t="shared" si="16"/>
        <v/>
      </c>
      <c r="AN48" t="str">
        <f t="shared" si="17"/>
        <v/>
      </c>
      <c r="AO48" t="str">
        <f>IF($A48="","",Allocation2!AE48)</f>
        <v/>
      </c>
      <c r="AP48" t="str">
        <f>IF($A48="","",IF(ALLOC!$N$2="VOL_EFF",$Q48,IF(ALLOC!$N$2="VOL_CLASS",$R48,$S48)))</f>
        <v/>
      </c>
      <c r="AQ48" t="str">
        <f>IF($A48="","",IF(ALLOC!$N$2="VOL_EFF",$T48,IF(ALLOC!$N$2="VOL_CLASS",$U48,$V48)))</f>
        <v/>
      </c>
      <c r="AR48" t="str">
        <f t="shared" si="18"/>
        <v/>
      </c>
    </row>
    <row r="49" spans="1:44" x14ac:dyDescent="0.45">
      <c r="A49" t="str">
        <f>IF(Allocation2!D49="","",Allocation2!D49)</f>
        <v/>
      </c>
      <c r="B49" t="str">
        <f>IF(Allocation2!E49="","",Allocation2!E49)</f>
        <v/>
      </c>
      <c r="C49" t="str">
        <f>IF(Allocation2!F49="","",Allocation2!F49)</f>
        <v/>
      </c>
      <c r="D49" t="str">
        <f>IF(Allocation2!G49="","",Allocation2!G49)</f>
        <v/>
      </c>
      <c r="E49" t="str">
        <f>IF(Allocation2!H49="","",Allocation2!H49)</f>
        <v/>
      </c>
      <c r="F49" t="str">
        <f>IF(Allocation2!I49="","",Allocation2!I49)</f>
        <v/>
      </c>
      <c r="G49" t="str">
        <f>IF(Allocation2!E49="","",Allocation2!J49)</f>
        <v/>
      </c>
      <c r="H49" t="str">
        <f>IF(Allocation2!E49="","",Allocation2!K49)</f>
        <v/>
      </c>
      <c r="I49" t="str">
        <f>IF(Allocation2!E49="","",Allocation2!L49)</f>
        <v/>
      </c>
      <c r="J49" t="str">
        <f>IF($A49="","",Allocation2!X49)</f>
        <v/>
      </c>
      <c r="K49" t="str">
        <f t="shared" si="0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4"/>
        <v/>
      </c>
      <c r="P49" t="str">
        <f t="shared" si="5"/>
        <v/>
      </c>
      <c r="Q49" t="str">
        <f t="shared" si="22"/>
        <v/>
      </c>
      <c r="R49" t="str">
        <f t="shared" si="23"/>
        <v/>
      </c>
      <c r="S49" t="str">
        <f t="shared" si="24"/>
        <v/>
      </c>
      <c r="T49" t="str">
        <f t="shared" si="25"/>
        <v/>
      </c>
      <c r="U49" t="str">
        <f t="shared" si="26"/>
        <v/>
      </c>
      <c r="V49" t="str">
        <f t="shared" si="27"/>
        <v/>
      </c>
      <c r="W49" t="str">
        <f>IF($A49="","",Allocation2!Y49)</f>
        <v/>
      </c>
      <c r="X49" t="str">
        <f>IF($A49="","",Allocation2!Z49)</f>
        <v/>
      </c>
      <c r="Y49" t="str">
        <f>IF($A49="","",Allocation2!AA49)</f>
        <v/>
      </c>
      <c r="Z49" t="str">
        <f>IF($A49="","",Allocation2!AB49)</f>
        <v/>
      </c>
      <c r="AA49" t="str">
        <f>IF($A49="","",Allocation2!AC49)</f>
        <v/>
      </c>
      <c r="AB49" t="str">
        <f>IF($A49="","",Allocation2!AD49)</f>
        <v/>
      </c>
      <c r="AC49" t="str">
        <f>IF($A49="","",IF(ALLOC!$N$4="VOL_EFF",$G49,IF(ALLOC!$N$4="VOL_CLASS",$H49,$I49)))</f>
        <v/>
      </c>
      <c r="AD49" t="str">
        <f>IF($A49="","",IF(ALLOC!$N$4="VOL_EFF",$L49,IF(ALLOC!$N$4="VOL_CLASS",$M49,$N49)))</f>
        <v/>
      </c>
      <c r="AE49" t="str">
        <f>IF($A49="","",IF(ALLOC!$N$3="VOL_EFF",$L49,IF(ALLOC!$N$3="VOL_CLASS",$M49,$N49)))</f>
        <v/>
      </c>
      <c r="AF49" t="str">
        <f>IF($A49="","",IF(ALLOC!$N$3="VOL_EFF",$Q49,IF(ALLOC!$N$3="VOL_CLASS",$R49,$S49)))</f>
        <v/>
      </c>
      <c r="AG49" t="str">
        <f>IF($A49="","",IF(ALLOC!$N$1="VOL_EFF",$Q49,IF(ALLOC!$N$1="VOL_CLASS",$R49,$S49)))</f>
        <v/>
      </c>
      <c r="AH49" t="str">
        <f>IF($A49="","",IF(ALLOC!$N$1="VOL_EFF",$T49,IF(ALLOC!$N$1="VOL_CLASS",$U49,$V49)))</f>
        <v/>
      </c>
      <c r="AI49" t="str">
        <f t="shared" si="12"/>
        <v/>
      </c>
      <c r="AJ49" t="str">
        <f t="shared" si="13"/>
        <v/>
      </c>
      <c r="AK49" t="str">
        <f t="shared" si="14"/>
        <v/>
      </c>
      <c r="AL49" t="str">
        <f t="shared" si="15"/>
        <v/>
      </c>
      <c r="AM49" t="str">
        <f t="shared" si="16"/>
        <v/>
      </c>
      <c r="AN49" t="str">
        <f t="shared" si="17"/>
        <v/>
      </c>
      <c r="AO49" t="str">
        <f>IF($A49="","",Allocation2!AE49)</f>
        <v/>
      </c>
      <c r="AP49" t="str">
        <f>IF($A49="","",IF(ALLOC!$N$2="VOL_EFF",$Q49,IF(ALLOC!$N$2="VOL_CLASS",$R49,$S49)))</f>
        <v/>
      </c>
      <c r="AQ49" t="str">
        <f>IF($A49="","",IF(ALLOC!$N$2="VOL_EFF",$T49,IF(ALLOC!$N$2="VOL_CLASS",$U49,$V49)))</f>
        <v/>
      </c>
      <c r="AR49" t="str">
        <f t="shared" si="18"/>
        <v/>
      </c>
    </row>
    <row r="50" spans="1:44" x14ac:dyDescent="0.45">
      <c r="A50" t="str">
        <f>IF(Allocation2!D50="","",Allocation2!D50)</f>
        <v/>
      </c>
      <c r="B50" t="str">
        <f>IF(Allocation2!E50="","",Allocation2!E50)</f>
        <v/>
      </c>
      <c r="C50" t="str">
        <f>IF(Allocation2!F50="","",Allocation2!F50)</f>
        <v/>
      </c>
      <c r="D50" t="str">
        <f>IF(Allocation2!G50="","",Allocation2!G50)</f>
        <v/>
      </c>
      <c r="E50" t="str">
        <f>IF(Allocation2!H50="","",Allocation2!H50)</f>
        <v/>
      </c>
      <c r="F50" t="str">
        <f>IF(Allocation2!I50="","",Allocation2!I50)</f>
        <v/>
      </c>
      <c r="G50" t="str">
        <f>IF(Allocation2!E50="","",Allocation2!J50)</f>
        <v/>
      </c>
      <c r="H50" t="str">
        <f>IF(Allocation2!E50="","",Allocation2!K50)</f>
        <v/>
      </c>
      <c r="I50" t="str">
        <f>IF(Allocation2!E50="","",Allocation2!L50)</f>
        <v/>
      </c>
      <c r="J50" t="str">
        <f>IF($A50="","",Allocation2!X50)</f>
        <v/>
      </c>
      <c r="K50" t="str">
        <f t="shared" si="0"/>
        <v/>
      </c>
      <c r="L50" t="str">
        <f t="shared" si="19"/>
        <v/>
      </c>
      <c r="M50" t="str">
        <f t="shared" si="20"/>
        <v/>
      </c>
      <c r="N50" t="str">
        <f t="shared" si="21"/>
        <v/>
      </c>
      <c r="O50" t="str">
        <f t="shared" si="4"/>
        <v/>
      </c>
      <c r="P50" t="str">
        <f t="shared" si="5"/>
        <v/>
      </c>
      <c r="Q50" t="str">
        <f t="shared" si="22"/>
        <v/>
      </c>
      <c r="R50" t="str">
        <f t="shared" si="23"/>
        <v/>
      </c>
      <c r="S50" t="str">
        <f t="shared" si="24"/>
        <v/>
      </c>
      <c r="T50" t="str">
        <f t="shared" si="25"/>
        <v/>
      </c>
      <c r="U50" t="str">
        <f t="shared" si="26"/>
        <v/>
      </c>
      <c r="V50" t="str">
        <f t="shared" si="27"/>
        <v/>
      </c>
      <c r="W50" t="str">
        <f>IF($A50="","",Allocation2!Y50)</f>
        <v/>
      </c>
      <c r="X50" t="str">
        <f>IF($A50="","",Allocation2!Z50)</f>
        <v/>
      </c>
      <c r="Y50" t="str">
        <f>IF($A50="","",Allocation2!AA50)</f>
        <v/>
      </c>
      <c r="Z50" t="str">
        <f>IF($A50="","",Allocation2!AB50)</f>
        <v/>
      </c>
      <c r="AA50" t="str">
        <f>IF($A50="","",Allocation2!AC50)</f>
        <v/>
      </c>
      <c r="AB50" t="str">
        <f>IF($A50="","",Allocation2!AD50)</f>
        <v/>
      </c>
      <c r="AC50" t="str">
        <f>IF($A50="","",IF(ALLOC!$N$4="VOL_EFF",$G50,IF(ALLOC!$N$4="VOL_CLASS",$H50,$I50)))</f>
        <v/>
      </c>
      <c r="AD50" t="str">
        <f>IF($A50="","",IF(ALLOC!$N$4="VOL_EFF",$L50,IF(ALLOC!$N$4="VOL_CLASS",$M50,$N50)))</f>
        <v/>
      </c>
      <c r="AE50" t="str">
        <f>IF($A50="","",IF(ALLOC!$N$3="VOL_EFF",$L50,IF(ALLOC!$N$3="VOL_CLASS",$M50,$N50)))</f>
        <v/>
      </c>
      <c r="AF50" t="str">
        <f>IF($A50="","",IF(ALLOC!$N$3="VOL_EFF",$Q50,IF(ALLOC!$N$3="VOL_CLASS",$R50,$S50)))</f>
        <v/>
      </c>
      <c r="AG50" t="str">
        <f>IF($A50="","",IF(ALLOC!$N$1="VOL_EFF",$Q50,IF(ALLOC!$N$1="VOL_CLASS",$R50,$S50)))</f>
        <v/>
      </c>
      <c r="AH50" t="str">
        <f>IF($A50="","",IF(ALLOC!$N$1="VOL_EFF",$T50,IF(ALLOC!$N$1="VOL_CLASS",$U50,$V50)))</f>
        <v/>
      </c>
      <c r="AI50" t="str">
        <f t="shared" si="12"/>
        <v/>
      </c>
      <c r="AJ50" t="str">
        <f t="shared" si="13"/>
        <v/>
      </c>
      <c r="AK50" t="str">
        <f t="shared" si="14"/>
        <v/>
      </c>
      <c r="AL50" t="str">
        <f t="shared" si="15"/>
        <v/>
      </c>
      <c r="AM50" t="str">
        <f t="shared" si="16"/>
        <v/>
      </c>
      <c r="AN50" t="str">
        <f t="shared" si="17"/>
        <v/>
      </c>
      <c r="AO50" t="str">
        <f>IF($A50="","",Allocation2!AE50)</f>
        <v/>
      </c>
      <c r="AP50" t="str">
        <f>IF($A50="","",IF(ALLOC!$N$2="VOL_EFF",$Q50,IF(ALLOC!$N$2="VOL_CLASS",$R50,$S50)))</f>
        <v/>
      </c>
      <c r="AQ50" t="str">
        <f>IF($A50="","",IF(ALLOC!$N$2="VOL_EFF",$T50,IF(ALLOC!$N$2="VOL_CLASS",$U50,$V50)))</f>
        <v/>
      </c>
      <c r="AR50" t="str">
        <f t="shared" si="18"/>
        <v/>
      </c>
    </row>
    <row r="51" spans="1:44" x14ac:dyDescent="0.45">
      <c r="A51" t="str">
        <f>IF(Allocation2!D51="","",Allocation2!D51)</f>
        <v/>
      </c>
      <c r="B51" t="str">
        <f>IF(Allocation2!E51="","",Allocation2!E51)</f>
        <v/>
      </c>
      <c r="C51" t="str">
        <f>IF(Allocation2!F51="","",Allocation2!F51)</f>
        <v/>
      </c>
      <c r="D51" t="str">
        <f>IF(Allocation2!G51="","",Allocation2!G51)</f>
        <v/>
      </c>
      <c r="E51" t="str">
        <f>IF(Allocation2!H51="","",Allocation2!H51)</f>
        <v/>
      </c>
      <c r="F51" t="str">
        <f>IF(Allocation2!I51="","",Allocation2!I51)</f>
        <v/>
      </c>
      <c r="G51" t="str">
        <f>IF(Allocation2!E51="","",Allocation2!J51)</f>
        <v/>
      </c>
      <c r="H51" t="str">
        <f>IF(Allocation2!E51="","",Allocation2!K51)</f>
        <v/>
      </c>
      <c r="I51" t="str">
        <f>IF(Allocation2!E51="","",Allocation2!L51)</f>
        <v/>
      </c>
      <c r="J51" t="str">
        <f>IF($A51="","",Allocation2!X51)</f>
        <v/>
      </c>
      <c r="K51" t="str">
        <f t="shared" si="0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4"/>
        <v/>
      </c>
      <c r="P51" t="str">
        <f t="shared" si="5"/>
        <v/>
      </c>
      <c r="Q51" t="str">
        <f t="shared" si="22"/>
        <v/>
      </c>
      <c r="R51" t="str">
        <f t="shared" si="23"/>
        <v/>
      </c>
      <c r="S51" t="str">
        <f t="shared" si="24"/>
        <v/>
      </c>
      <c r="T51" t="str">
        <f t="shared" si="25"/>
        <v/>
      </c>
      <c r="U51" t="str">
        <f t="shared" si="26"/>
        <v/>
      </c>
      <c r="V51" t="str">
        <f t="shared" si="27"/>
        <v/>
      </c>
      <c r="W51" t="str">
        <f>IF($A51="","",Allocation2!Y51)</f>
        <v/>
      </c>
      <c r="X51" t="str">
        <f>IF($A51="","",Allocation2!Z51)</f>
        <v/>
      </c>
      <c r="Y51" t="str">
        <f>IF($A51="","",Allocation2!AA51)</f>
        <v/>
      </c>
      <c r="Z51" t="str">
        <f>IF($A51="","",Allocation2!AB51)</f>
        <v/>
      </c>
      <c r="AA51" t="str">
        <f>IF($A51="","",Allocation2!AC51)</f>
        <v/>
      </c>
      <c r="AB51" t="str">
        <f>IF($A51="","",Allocation2!AD51)</f>
        <v/>
      </c>
      <c r="AC51" t="str">
        <f>IF($A51="","",IF(ALLOC!$N$4="VOL_EFF",$G51,IF(ALLOC!$N$4="VOL_CLASS",$H51,$I51)))</f>
        <v/>
      </c>
      <c r="AD51" t="str">
        <f>IF($A51="","",IF(ALLOC!$N$4="VOL_EFF",$L51,IF(ALLOC!$N$4="VOL_CLASS",$M51,$N51)))</f>
        <v/>
      </c>
      <c r="AE51" t="str">
        <f>IF($A51="","",IF(ALLOC!$N$3="VOL_EFF",$L51,IF(ALLOC!$N$3="VOL_CLASS",$M51,$N51)))</f>
        <v/>
      </c>
      <c r="AF51" t="str">
        <f>IF($A51="","",IF(ALLOC!$N$3="VOL_EFF",$Q51,IF(ALLOC!$N$3="VOL_CLASS",$R51,$S51)))</f>
        <v/>
      </c>
      <c r="AG51" t="str">
        <f>IF($A51="","",IF(ALLOC!$N$1="VOL_EFF",$Q51,IF(ALLOC!$N$1="VOL_CLASS",$R51,$S51)))</f>
        <v/>
      </c>
      <c r="AH51" t="str">
        <f>IF($A51="","",IF(ALLOC!$N$1="VOL_EFF",$T51,IF(ALLOC!$N$1="VOL_CLASS",$U51,$V51)))</f>
        <v/>
      </c>
      <c r="AI51" t="str">
        <f t="shared" si="12"/>
        <v/>
      </c>
      <c r="AJ51" t="str">
        <f t="shared" si="13"/>
        <v/>
      </c>
      <c r="AK51" t="str">
        <f t="shared" si="14"/>
        <v/>
      </c>
      <c r="AL51" t="str">
        <f t="shared" si="15"/>
        <v/>
      </c>
      <c r="AM51" t="str">
        <f t="shared" si="16"/>
        <v/>
      </c>
      <c r="AN51" t="str">
        <f t="shared" si="17"/>
        <v/>
      </c>
      <c r="AO51" t="str">
        <f>IF($A51="","",Allocation2!AE51)</f>
        <v/>
      </c>
      <c r="AP51" t="str">
        <f>IF($A51="","",IF(ALLOC!$N$2="VOL_EFF",$Q51,IF(ALLOC!$N$2="VOL_CLASS",$R51,$S51)))</f>
        <v/>
      </c>
      <c r="AQ51" t="str">
        <f>IF($A51="","",IF(ALLOC!$N$2="VOL_EFF",$T51,IF(ALLOC!$N$2="VOL_CLASS",$U51,$V51)))</f>
        <v/>
      </c>
      <c r="AR51" t="str">
        <f t="shared" si="18"/>
        <v/>
      </c>
    </row>
    <row r="52" spans="1:44" x14ac:dyDescent="0.45">
      <c r="A52" t="str">
        <f>IF(Allocation2!D52="","",Allocation2!D52)</f>
        <v/>
      </c>
      <c r="B52" t="str">
        <f>IF(Allocation2!E52="","",Allocation2!E52)</f>
        <v/>
      </c>
      <c r="C52" t="str">
        <f>IF(Allocation2!F52="","",Allocation2!F52)</f>
        <v/>
      </c>
      <c r="D52" t="str">
        <f>IF(Allocation2!G52="","",Allocation2!G52)</f>
        <v/>
      </c>
      <c r="E52" t="str">
        <f>IF(Allocation2!H52="","",Allocation2!H52)</f>
        <v/>
      </c>
      <c r="F52" t="str">
        <f>IF(Allocation2!I52="","",Allocation2!I52)</f>
        <v/>
      </c>
      <c r="G52" t="str">
        <f>IF(Allocation2!E52="","",Allocation2!J52)</f>
        <v/>
      </c>
      <c r="H52" t="str">
        <f>IF(Allocation2!E52="","",Allocation2!K52)</f>
        <v/>
      </c>
      <c r="I52" t="str">
        <f>IF(Allocation2!E52="","",Allocation2!L52)</f>
        <v/>
      </c>
      <c r="J52" t="str">
        <f>IF($A52="","",Allocation2!X52)</f>
        <v/>
      </c>
      <c r="K52" t="str">
        <f t="shared" si="0"/>
        <v/>
      </c>
      <c r="L52" t="str">
        <f t="shared" si="19"/>
        <v/>
      </c>
      <c r="M52" t="str">
        <f t="shared" si="20"/>
        <v/>
      </c>
      <c r="N52" t="str">
        <f t="shared" si="21"/>
        <v/>
      </c>
      <c r="O52" t="str">
        <f t="shared" si="4"/>
        <v/>
      </c>
      <c r="P52" t="str">
        <f t="shared" si="5"/>
        <v/>
      </c>
      <c r="Q52" t="str">
        <f t="shared" si="22"/>
        <v/>
      </c>
      <c r="R52" t="str">
        <f t="shared" si="23"/>
        <v/>
      </c>
      <c r="S52" t="str">
        <f t="shared" si="24"/>
        <v/>
      </c>
      <c r="T52" t="str">
        <f t="shared" si="25"/>
        <v/>
      </c>
      <c r="U52" t="str">
        <f t="shared" si="26"/>
        <v/>
      </c>
      <c r="V52" t="str">
        <f t="shared" si="27"/>
        <v/>
      </c>
      <c r="W52" t="str">
        <f>IF($A52="","",Allocation2!Y52)</f>
        <v/>
      </c>
      <c r="X52" t="str">
        <f>IF($A52="","",Allocation2!Z52)</f>
        <v/>
      </c>
      <c r="Y52" t="str">
        <f>IF($A52="","",Allocation2!AA52)</f>
        <v/>
      </c>
      <c r="Z52" t="str">
        <f>IF($A52="","",Allocation2!AB52)</f>
        <v/>
      </c>
      <c r="AA52" t="str">
        <f>IF($A52="","",Allocation2!AC52)</f>
        <v/>
      </c>
      <c r="AB52" t="str">
        <f>IF($A52="","",Allocation2!AD52)</f>
        <v/>
      </c>
      <c r="AC52" t="str">
        <f>IF($A52="","",IF(ALLOC!$N$4="VOL_EFF",$G52,IF(ALLOC!$N$4="VOL_CLASS",$H52,$I52)))</f>
        <v/>
      </c>
      <c r="AD52" t="str">
        <f>IF($A52="","",IF(ALLOC!$N$4="VOL_EFF",$L52,IF(ALLOC!$N$4="VOL_CLASS",$M52,$N52)))</f>
        <v/>
      </c>
      <c r="AE52" t="str">
        <f>IF($A52="","",IF(ALLOC!$N$3="VOL_EFF",$L52,IF(ALLOC!$N$3="VOL_CLASS",$M52,$N52)))</f>
        <v/>
      </c>
      <c r="AF52" t="str">
        <f>IF($A52="","",IF(ALLOC!$N$3="VOL_EFF",$Q52,IF(ALLOC!$N$3="VOL_CLASS",$R52,$S52)))</f>
        <v/>
      </c>
      <c r="AG52" t="str">
        <f>IF($A52="","",IF(ALLOC!$N$1="VOL_EFF",$Q52,IF(ALLOC!$N$1="VOL_CLASS",$R52,$S52)))</f>
        <v/>
      </c>
      <c r="AH52" t="str">
        <f>IF($A52="","",IF(ALLOC!$N$1="VOL_EFF",$T52,IF(ALLOC!$N$1="VOL_CLASS",$U52,$V52)))</f>
        <v/>
      </c>
      <c r="AI52" t="str">
        <f t="shared" si="12"/>
        <v/>
      </c>
      <c r="AJ52" t="str">
        <f t="shared" si="13"/>
        <v/>
      </c>
      <c r="AK52" t="str">
        <f t="shared" si="14"/>
        <v/>
      </c>
      <c r="AL52" t="str">
        <f t="shared" si="15"/>
        <v/>
      </c>
      <c r="AM52" t="str">
        <f t="shared" si="16"/>
        <v/>
      </c>
      <c r="AN52" t="str">
        <f t="shared" si="17"/>
        <v/>
      </c>
      <c r="AO52" t="str">
        <f>IF($A52="","",Allocation2!AE52)</f>
        <v/>
      </c>
      <c r="AP52" t="str">
        <f>IF($A52="","",IF(ALLOC!$N$2="VOL_EFF",$Q52,IF(ALLOC!$N$2="VOL_CLASS",$R52,$S52)))</f>
        <v/>
      </c>
      <c r="AQ52" t="str">
        <f>IF($A52="","",IF(ALLOC!$N$2="VOL_EFF",$T52,IF(ALLOC!$N$2="VOL_CLASS",$U52,$V52)))</f>
        <v/>
      </c>
      <c r="AR52" t="str">
        <f t="shared" si="18"/>
        <v/>
      </c>
    </row>
    <row r="53" spans="1:44" x14ac:dyDescent="0.45">
      <c r="A53" t="str">
        <f>IF(Allocation2!D53="","",Allocation2!D53)</f>
        <v/>
      </c>
      <c r="B53" t="str">
        <f>IF(Allocation2!E53="","",Allocation2!E53)</f>
        <v/>
      </c>
      <c r="C53" t="str">
        <f>IF(Allocation2!F53="","",Allocation2!F53)</f>
        <v/>
      </c>
      <c r="D53" t="str">
        <f>IF(Allocation2!G53="","",Allocation2!G53)</f>
        <v/>
      </c>
      <c r="E53" t="str">
        <f>IF(Allocation2!H53="","",Allocation2!H53)</f>
        <v/>
      </c>
      <c r="F53" t="str">
        <f>IF(Allocation2!I53="","",Allocation2!I53)</f>
        <v/>
      </c>
      <c r="G53" t="str">
        <f>IF(Allocation2!E53="","",Allocation2!J53)</f>
        <v/>
      </c>
      <c r="H53" t="str">
        <f>IF(Allocation2!E53="","",Allocation2!K53)</f>
        <v/>
      </c>
      <c r="I53" t="str">
        <f>IF(Allocation2!E53="","",Allocation2!L53)</f>
        <v/>
      </c>
      <c r="J53" t="str">
        <f>IF($A53="","",Allocation2!X53)</f>
        <v/>
      </c>
      <c r="K53" t="str">
        <f t="shared" si="0"/>
        <v/>
      </c>
      <c r="L53" t="str">
        <f t="shared" si="19"/>
        <v/>
      </c>
      <c r="M53" t="str">
        <f t="shared" si="20"/>
        <v/>
      </c>
      <c r="N53" t="str">
        <f t="shared" si="21"/>
        <v/>
      </c>
      <c r="O53" t="str">
        <f t="shared" si="4"/>
        <v/>
      </c>
      <c r="P53" t="str">
        <f t="shared" si="5"/>
        <v/>
      </c>
      <c r="Q53" t="str">
        <f t="shared" si="22"/>
        <v/>
      </c>
      <c r="R53" t="str">
        <f t="shared" si="23"/>
        <v/>
      </c>
      <c r="S53" t="str">
        <f t="shared" si="24"/>
        <v/>
      </c>
      <c r="T53" t="str">
        <f t="shared" si="25"/>
        <v/>
      </c>
      <c r="U53" t="str">
        <f t="shared" si="26"/>
        <v/>
      </c>
      <c r="V53" t="str">
        <f t="shared" si="27"/>
        <v/>
      </c>
      <c r="W53" t="str">
        <f>IF($A53="","",Allocation2!Y53)</f>
        <v/>
      </c>
      <c r="X53" t="str">
        <f>IF($A53="","",Allocation2!Z53)</f>
        <v/>
      </c>
      <c r="Y53" t="str">
        <f>IF($A53="","",Allocation2!AA53)</f>
        <v/>
      </c>
      <c r="Z53" t="str">
        <f>IF($A53="","",Allocation2!AB53)</f>
        <v/>
      </c>
      <c r="AA53" t="str">
        <f>IF($A53="","",Allocation2!AC53)</f>
        <v/>
      </c>
      <c r="AB53" t="str">
        <f>IF($A53="","",Allocation2!AD53)</f>
        <v/>
      </c>
      <c r="AC53" t="str">
        <f>IF($A53="","",IF(ALLOC!$N$4="VOL_EFF",$G53,IF(ALLOC!$N$4="VOL_CLASS",$H53,$I53)))</f>
        <v/>
      </c>
      <c r="AD53" t="str">
        <f>IF($A53="","",IF(ALLOC!$N$4="VOL_EFF",$L53,IF(ALLOC!$N$4="VOL_CLASS",$M53,$N53)))</f>
        <v/>
      </c>
      <c r="AE53" t="str">
        <f>IF($A53="","",IF(ALLOC!$N$3="VOL_EFF",$L53,IF(ALLOC!$N$3="VOL_CLASS",$M53,$N53)))</f>
        <v/>
      </c>
      <c r="AF53" t="str">
        <f>IF($A53="","",IF(ALLOC!$N$3="VOL_EFF",$Q53,IF(ALLOC!$N$3="VOL_CLASS",$R53,$S53)))</f>
        <v/>
      </c>
      <c r="AG53" t="str">
        <f>IF($A53="","",IF(ALLOC!$N$1="VOL_EFF",$Q53,IF(ALLOC!$N$1="VOL_CLASS",$R53,$S53)))</f>
        <v/>
      </c>
      <c r="AH53" t="str">
        <f>IF($A53="","",IF(ALLOC!$N$1="VOL_EFF",$T53,IF(ALLOC!$N$1="VOL_CLASS",$U53,$V53)))</f>
        <v/>
      </c>
      <c r="AI53" t="str">
        <f t="shared" si="12"/>
        <v/>
      </c>
      <c r="AJ53" t="str">
        <f t="shared" si="13"/>
        <v/>
      </c>
      <c r="AK53" t="str">
        <f t="shared" si="14"/>
        <v/>
      </c>
      <c r="AL53" t="str">
        <f t="shared" si="15"/>
        <v/>
      </c>
      <c r="AM53" t="str">
        <f t="shared" si="16"/>
        <v/>
      </c>
      <c r="AN53" t="str">
        <f t="shared" si="17"/>
        <v/>
      </c>
      <c r="AO53" t="str">
        <f>IF($A53="","",Allocation2!AE53)</f>
        <v/>
      </c>
      <c r="AP53" t="str">
        <f>IF($A53="","",IF(ALLOC!$N$2="VOL_EFF",$Q53,IF(ALLOC!$N$2="VOL_CLASS",$R53,$S53)))</f>
        <v/>
      </c>
      <c r="AQ53" t="str">
        <f>IF($A53="","",IF(ALLOC!$N$2="VOL_EFF",$T53,IF(ALLOC!$N$2="VOL_CLASS",$U53,$V53)))</f>
        <v/>
      </c>
      <c r="AR53" t="str">
        <f t="shared" si="18"/>
        <v/>
      </c>
    </row>
    <row r="54" spans="1:44" x14ac:dyDescent="0.45">
      <c r="A54" t="str">
        <f>IF(Allocation2!D54="","",Allocation2!D54)</f>
        <v/>
      </c>
      <c r="B54" t="str">
        <f>IF(Allocation2!E54="","",Allocation2!E54)</f>
        <v/>
      </c>
      <c r="C54" t="str">
        <f>IF(Allocation2!F54="","",Allocation2!F54)</f>
        <v/>
      </c>
      <c r="D54" t="str">
        <f>IF(Allocation2!G54="","",Allocation2!G54)</f>
        <v/>
      </c>
      <c r="E54" t="str">
        <f>IF(Allocation2!H54="","",Allocation2!H54)</f>
        <v/>
      </c>
      <c r="F54" t="str">
        <f>IF(Allocation2!I54="","",Allocation2!I54)</f>
        <v/>
      </c>
      <c r="G54" t="str">
        <f>IF(Allocation2!E54="","",Allocation2!J54)</f>
        <v/>
      </c>
      <c r="H54" t="str">
        <f>IF(Allocation2!E54="","",Allocation2!K54)</f>
        <v/>
      </c>
      <c r="I54" t="str">
        <f>IF(Allocation2!E54="","",Allocation2!L54)</f>
        <v/>
      </c>
      <c r="J54" t="str">
        <f>IF($A54="","",Allocation2!X54)</f>
        <v/>
      </c>
      <c r="K54" t="str">
        <f t="shared" si="0"/>
        <v/>
      </c>
      <c r="L54" t="str">
        <f t="shared" si="19"/>
        <v/>
      </c>
      <c r="M54" t="str">
        <f t="shared" si="20"/>
        <v/>
      </c>
      <c r="N54" t="str">
        <f t="shared" si="21"/>
        <v/>
      </c>
      <c r="O54" t="str">
        <f t="shared" si="4"/>
        <v/>
      </c>
      <c r="P54" t="str">
        <f t="shared" si="5"/>
        <v/>
      </c>
      <c r="Q54" t="str">
        <f t="shared" si="22"/>
        <v/>
      </c>
      <c r="R54" t="str">
        <f t="shared" si="23"/>
        <v/>
      </c>
      <c r="S54" t="str">
        <f t="shared" si="24"/>
        <v/>
      </c>
      <c r="T54" t="str">
        <f t="shared" si="25"/>
        <v/>
      </c>
      <c r="U54" t="str">
        <f t="shared" si="26"/>
        <v/>
      </c>
      <c r="V54" t="str">
        <f t="shared" si="27"/>
        <v/>
      </c>
      <c r="W54" t="str">
        <f>IF($A54="","",Allocation2!Y54)</f>
        <v/>
      </c>
      <c r="X54" t="str">
        <f>IF($A54="","",Allocation2!Z54)</f>
        <v/>
      </c>
      <c r="Y54" t="str">
        <f>IF($A54="","",Allocation2!AA54)</f>
        <v/>
      </c>
      <c r="Z54" t="str">
        <f>IF($A54="","",Allocation2!AB54)</f>
        <v/>
      </c>
      <c r="AA54" t="str">
        <f>IF($A54="","",Allocation2!AC54)</f>
        <v/>
      </c>
      <c r="AB54" t="str">
        <f>IF($A54="","",Allocation2!AD54)</f>
        <v/>
      </c>
      <c r="AC54" t="str">
        <f>IF($A54="","",IF(ALLOC!$N$4="VOL_EFF",$G54,IF(ALLOC!$N$4="VOL_CLASS",$H54,$I54)))</f>
        <v/>
      </c>
      <c r="AD54" t="str">
        <f>IF($A54="","",IF(ALLOC!$N$4="VOL_EFF",$L54,IF(ALLOC!$N$4="VOL_CLASS",$M54,$N54)))</f>
        <v/>
      </c>
      <c r="AE54" t="str">
        <f>IF($A54="","",IF(ALLOC!$N$3="VOL_EFF",$L54,IF(ALLOC!$N$3="VOL_CLASS",$M54,$N54)))</f>
        <v/>
      </c>
      <c r="AF54" t="str">
        <f>IF($A54="","",IF(ALLOC!$N$3="VOL_EFF",$Q54,IF(ALLOC!$N$3="VOL_CLASS",$R54,$S54)))</f>
        <v/>
      </c>
      <c r="AG54" t="str">
        <f>IF($A54="","",IF(ALLOC!$N$1="VOL_EFF",$Q54,IF(ALLOC!$N$1="VOL_CLASS",$R54,$S54)))</f>
        <v/>
      </c>
      <c r="AH54" t="str">
        <f>IF($A54="","",IF(ALLOC!$N$1="VOL_EFF",$T54,IF(ALLOC!$N$1="VOL_CLASS",$U54,$V54)))</f>
        <v/>
      </c>
      <c r="AI54" t="str">
        <f t="shared" si="12"/>
        <v/>
      </c>
      <c r="AJ54" t="str">
        <f t="shared" si="13"/>
        <v/>
      </c>
      <c r="AK54" t="str">
        <f t="shared" si="14"/>
        <v/>
      </c>
      <c r="AL54" t="str">
        <f t="shared" si="15"/>
        <v/>
      </c>
      <c r="AM54" t="str">
        <f t="shared" si="16"/>
        <v/>
      </c>
      <c r="AN54" t="str">
        <f t="shared" si="17"/>
        <v/>
      </c>
      <c r="AO54" t="str">
        <f>IF($A54="","",Allocation2!AE54)</f>
        <v/>
      </c>
      <c r="AP54" t="str">
        <f>IF($A54="","",IF(ALLOC!$N$2="VOL_EFF",$Q54,IF(ALLOC!$N$2="VOL_CLASS",$R54,$S54)))</f>
        <v/>
      </c>
      <c r="AQ54" t="str">
        <f>IF($A54="","",IF(ALLOC!$N$2="VOL_EFF",$T54,IF(ALLOC!$N$2="VOL_CLASS",$U54,$V54)))</f>
        <v/>
      </c>
      <c r="AR54" t="str">
        <f t="shared" si="18"/>
        <v/>
      </c>
    </row>
    <row r="55" spans="1:44" x14ac:dyDescent="0.45">
      <c r="A55" t="str">
        <f>IF(Allocation2!D55="","",Allocation2!D55)</f>
        <v/>
      </c>
      <c r="B55" t="str">
        <f>IF(Allocation2!E55="","",Allocation2!E55)</f>
        <v/>
      </c>
      <c r="C55" t="str">
        <f>IF(Allocation2!F55="","",Allocation2!F55)</f>
        <v/>
      </c>
      <c r="D55" t="str">
        <f>IF(Allocation2!G55="","",Allocation2!G55)</f>
        <v/>
      </c>
      <c r="E55" t="str">
        <f>IF(Allocation2!H55="","",Allocation2!H55)</f>
        <v/>
      </c>
      <c r="F55" t="str">
        <f>IF(Allocation2!I55="","",Allocation2!I55)</f>
        <v/>
      </c>
      <c r="G55" t="str">
        <f>IF(Allocation2!E55="","",Allocation2!J55)</f>
        <v/>
      </c>
      <c r="H55" t="str">
        <f>IF(Allocation2!E55="","",Allocation2!K55)</f>
        <v/>
      </c>
      <c r="I55" t="str">
        <f>IF(Allocation2!E55="","",Allocation2!L55)</f>
        <v/>
      </c>
      <c r="J55" t="str">
        <f>IF($A55="","",Allocation2!X55)</f>
        <v/>
      </c>
      <c r="K55" t="str">
        <f t="shared" si="0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4"/>
        <v/>
      </c>
      <c r="P55" t="str">
        <f t="shared" si="5"/>
        <v/>
      </c>
      <c r="Q55" t="str">
        <f t="shared" si="22"/>
        <v/>
      </c>
      <c r="R55" t="str">
        <f t="shared" si="23"/>
        <v/>
      </c>
      <c r="S55" t="str">
        <f t="shared" si="24"/>
        <v/>
      </c>
      <c r="T55" t="str">
        <f t="shared" si="25"/>
        <v/>
      </c>
      <c r="U55" t="str">
        <f t="shared" si="26"/>
        <v/>
      </c>
      <c r="V55" t="str">
        <f t="shared" si="27"/>
        <v/>
      </c>
      <c r="W55" t="str">
        <f>IF($A55="","",Allocation2!Y55)</f>
        <v/>
      </c>
      <c r="X55" t="str">
        <f>IF($A55="","",Allocation2!Z55)</f>
        <v/>
      </c>
      <c r="Y55" t="str">
        <f>IF($A55="","",Allocation2!AA55)</f>
        <v/>
      </c>
      <c r="Z55" t="str">
        <f>IF($A55="","",Allocation2!AB55)</f>
        <v/>
      </c>
      <c r="AA55" t="str">
        <f>IF($A55="","",Allocation2!AC55)</f>
        <v/>
      </c>
      <c r="AB55" t="str">
        <f>IF($A55="","",Allocation2!AD55)</f>
        <v/>
      </c>
      <c r="AC55" t="str">
        <f>IF($A55="","",IF(ALLOC!$N$4="VOL_EFF",$G55,IF(ALLOC!$N$4="VOL_CLASS",$H55,$I55)))</f>
        <v/>
      </c>
      <c r="AD55" t="str">
        <f>IF($A55="","",IF(ALLOC!$N$4="VOL_EFF",$L55,IF(ALLOC!$N$4="VOL_CLASS",$M55,$N55)))</f>
        <v/>
      </c>
      <c r="AE55" t="str">
        <f>IF($A55="","",IF(ALLOC!$N$3="VOL_EFF",$L55,IF(ALLOC!$N$3="VOL_CLASS",$M55,$N55)))</f>
        <v/>
      </c>
      <c r="AF55" t="str">
        <f>IF($A55="","",IF(ALLOC!$N$3="VOL_EFF",$Q55,IF(ALLOC!$N$3="VOL_CLASS",$R55,$S55)))</f>
        <v/>
      </c>
      <c r="AG55" t="str">
        <f>IF($A55="","",IF(ALLOC!$N$1="VOL_EFF",$Q55,IF(ALLOC!$N$1="VOL_CLASS",$R55,$S55)))</f>
        <v/>
      </c>
      <c r="AH55" t="str">
        <f>IF($A55="","",IF(ALLOC!$N$1="VOL_EFF",$T55,IF(ALLOC!$N$1="VOL_CLASS",$U55,$V55)))</f>
        <v/>
      </c>
      <c r="AI55" t="str">
        <f t="shared" si="12"/>
        <v/>
      </c>
      <c r="AJ55" t="str">
        <f t="shared" si="13"/>
        <v/>
      </c>
      <c r="AK55" t="str">
        <f t="shared" si="14"/>
        <v/>
      </c>
      <c r="AL55" t="str">
        <f t="shared" si="15"/>
        <v/>
      </c>
      <c r="AM55" t="str">
        <f t="shared" si="16"/>
        <v/>
      </c>
      <c r="AN55" t="str">
        <f t="shared" si="17"/>
        <v/>
      </c>
      <c r="AO55" t="str">
        <f>IF($A55="","",Allocation2!AE55)</f>
        <v/>
      </c>
      <c r="AP55" t="str">
        <f>IF($A55="","",IF(ALLOC!$N$2="VOL_EFF",$Q55,IF(ALLOC!$N$2="VOL_CLASS",$R55,$S55)))</f>
        <v/>
      </c>
      <c r="AQ55" t="str">
        <f>IF($A55="","",IF(ALLOC!$N$2="VOL_EFF",$T55,IF(ALLOC!$N$2="VOL_CLASS",$U55,$V55)))</f>
        <v/>
      </c>
      <c r="AR55" t="str">
        <f t="shared" si="18"/>
        <v/>
      </c>
    </row>
    <row r="56" spans="1:44" x14ac:dyDescent="0.45">
      <c r="A56" t="str">
        <f>IF(Allocation2!D56="","",Allocation2!D56)</f>
        <v/>
      </c>
      <c r="B56" t="str">
        <f>IF(Allocation2!E56="","",Allocation2!E56)</f>
        <v/>
      </c>
      <c r="C56" t="str">
        <f>IF(Allocation2!F56="","",Allocation2!F56)</f>
        <v/>
      </c>
      <c r="D56" t="str">
        <f>IF(Allocation2!G56="","",Allocation2!G56)</f>
        <v/>
      </c>
      <c r="E56" t="str">
        <f>IF(Allocation2!H56="","",Allocation2!H56)</f>
        <v/>
      </c>
      <c r="F56" t="str">
        <f>IF(Allocation2!I56="","",Allocation2!I56)</f>
        <v/>
      </c>
      <c r="G56" t="str">
        <f>IF(Allocation2!E56="","",Allocation2!J56)</f>
        <v/>
      </c>
      <c r="H56" t="str">
        <f>IF(Allocation2!E56="","",Allocation2!K56)</f>
        <v/>
      </c>
      <c r="I56" t="str">
        <f>IF(Allocation2!E56="","",Allocation2!L56)</f>
        <v/>
      </c>
      <c r="J56" t="str">
        <f>IF($A56="","",Allocation2!X56)</f>
        <v/>
      </c>
      <c r="K56" t="str">
        <f t="shared" si="0"/>
        <v/>
      </c>
      <c r="L56" t="str">
        <f t="shared" si="19"/>
        <v/>
      </c>
      <c r="M56" t="str">
        <f t="shared" si="20"/>
        <v/>
      </c>
      <c r="N56" t="str">
        <f t="shared" si="21"/>
        <v/>
      </c>
      <c r="O56" t="str">
        <f t="shared" si="4"/>
        <v/>
      </c>
      <c r="P56" t="str">
        <f t="shared" si="5"/>
        <v/>
      </c>
      <c r="Q56" t="str">
        <f t="shared" si="22"/>
        <v/>
      </c>
      <c r="R56" t="str">
        <f t="shared" si="23"/>
        <v/>
      </c>
      <c r="S56" t="str">
        <f t="shared" si="24"/>
        <v/>
      </c>
      <c r="T56" t="str">
        <f t="shared" si="25"/>
        <v/>
      </c>
      <c r="U56" t="str">
        <f t="shared" si="26"/>
        <v/>
      </c>
      <c r="V56" t="str">
        <f t="shared" si="27"/>
        <v/>
      </c>
      <c r="W56" t="str">
        <f>IF($A56="","",Allocation2!Y56)</f>
        <v/>
      </c>
      <c r="X56" t="str">
        <f>IF($A56="","",Allocation2!Z56)</f>
        <v/>
      </c>
      <c r="Y56" t="str">
        <f>IF($A56="","",Allocation2!AA56)</f>
        <v/>
      </c>
      <c r="Z56" t="str">
        <f>IF($A56="","",Allocation2!AB56)</f>
        <v/>
      </c>
      <c r="AA56" t="str">
        <f>IF($A56="","",Allocation2!AC56)</f>
        <v/>
      </c>
      <c r="AB56" t="str">
        <f>IF($A56="","",Allocation2!AD56)</f>
        <v/>
      </c>
      <c r="AC56" t="str">
        <f>IF($A56="","",IF(ALLOC!$N$4="VOL_EFF",$G56,IF(ALLOC!$N$4="VOL_CLASS",$H56,$I56)))</f>
        <v/>
      </c>
      <c r="AD56" t="str">
        <f>IF($A56="","",IF(ALLOC!$N$4="VOL_EFF",$L56,IF(ALLOC!$N$4="VOL_CLASS",$M56,$N56)))</f>
        <v/>
      </c>
      <c r="AE56" t="str">
        <f>IF($A56="","",IF(ALLOC!$N$3="VOL_EFF",$L56,IF(ALLOC!$N$3="VOL_CLASS",$M56,$N56)))</f>
        <v/>
      </c>
      <c r="AF56" t="str">
        <f>IF($A56="","",IF(ALLOC!$N$3="VOL_EFF",$Q56,IF(ALLOC!$N$3="VOL_CLASS",$R56,$S56)))</f>
        <v/>
      </c>
      <c r="AG56" t="str">
        <f>IF($A56="","",IF(ALLOC!$N$1="VOL_EFF",$Q56,IF(ALLOC!$N$1="VOL_CLASS",$R56,$S56)))</f>
        <v/>
      </c>
      <c r="AH56" t="str">
        <f>IF($A56="","",IF(ALLOC!$N$1="VOL_EFF",$T56,IF(ALLOC!$N$1="VOL_CLASS",$U56,$V56)))</f>
        <v/>
      </c>
      <c r="AI56" t="str">
        <f t="shared" si="12"/>
        <v/>
      </c>
      <c r="AJ56" t="str">
        <f t="shared" si="13"/>
        <v/>
      </c>
      <c r="AK56" t="str">
        <f t="shared" si="14"/>
        <v/>
      </c>
      <c r="AL56" t="str">
        <f t="shared" si="15"/>
        <v/>
      </c>
      <c r="AM56" t="str">
        <f t="shared" si="16"/>
        <v/>
      </c>
      <c r="AN56" t="str">
        <f t="shared" si="17"/>
        <v/>
      </c>
      <c r="AO56" t="str">
        <f>IF($A56="","",Allocation2!AE56)</f>
        <v/>
      </c>
      <c r="AP56" t="str">
        <f>IF($A56="","",IF(ALLOC!$N$2="VOL_EFF",$Q56,IF(ALLOC!$N$2="VOL_CLASS",$R56,$S56)))</f>
        <v/>
      </c>
      <c r="AQ56" t="str">
        <f>IF($A56="","",IF(ALLOC!$N$2="VOL_EFF",$T56,IF(ALLOC!$N$2="VOL_CLASS",$U56,$V56)))</f>
        <v/>
      </c>
      <c r="AR56" t="str">
        <f t="shared" si="18"/>
        <v/>
      </c>
    </row>
    <row r="57" spans="1:44" x14ac:dyDescent="0.45">
      <c r="A57" t="str">
        <f>IF(Allocation2!D57="","",Allocation2!D57)</f>
        <v/>
      </c>
      <c r="B57" t="str">
        <f>IF(Allocation2!E57="","",Allocation2!E57)</f>
        <v/>
      </c>
      <c r="C57" t="str">
        <f>IF(Allocation2!F57="","",Allocation2!F57)</f>
        <v/>
      </c>
      <c r="D57" t="str">
        <f>IF(Allocation2!G57="","",Allocation2!G57)</f>
        <v/>
      </c>
      <c r="E57" t="str">
        <f>IF(Allocation2!H57="","",Allocation2!H57)</f>
        <v/>
      </c>
      <c r="F57" t="str">
        <f>IF(Allocation2!I57="","",Allocation2!I57)</f>
        <v/>
      </c>
      <c r="G57" t="str">
        <f>IF(Allocation2!E57="","",Allocation2!J57)</f>
        <v/>
      </c>
      <c r="H57" t="str">
        <f>IF(Allocation2!E57="","",Allocation2!K57)</f>
        <v/>
      </c>
      <c r="I57" t="str">
        <f>IF(Allocation2!E57="","",Allocation2!L57)</f>
        <v/>
      </c>
      <c r="J57" t="str">
        <f>IF($A57="","",Allocation2!X57)</f>
        <v/>
      </c>
      <c r="K57" t="str">
        <f t="shared" si="0"/>
        <v/>
      </c>
      <c r="L57" t="str">
        <f t="shared" si="19"/>
        <v/>
      </c>
      <c r="M57" t="str">
        <f t="shared" si="20"/>
        <v/>
      </c>
      <c r="N57" t="str">
        <f t="shared" si="21"/>
        <v/>
      </c>
      <c r="O57" t="str">
        <f t="shared" si="4"/>
        <v/>
      </c>
      <c r="P57" t="str">
        <f t="shared" si="5"/>
        <v/>
      </c>
      <c r="Q57" t="str">
        <f t="shared" si="22"/>
        <v/>
      </c>
      <c r="R57" t="str">
        <f t="shared" si="23"/>
        <v/>
      </c>
      <c r="S57" t="str">
        <f t="shared" si="24"/>
        <v/>
      </c>
      <c r="T57" t="str">
        <f t="shared" si="25"/>
        <v/>
      </c>
      <c r="U57" t="str">
        <f t="shared" si="26"/>
        <v/>
      </c>
      <c r="V57" t="str">
        <f t="shared" si="27"/>
        <v/>
      </c>
      <c r="W57" t="str">
        <f>IF($A57="","",Allocation2!Y57)</f>
        <v/>
      </c>
      <c r="X57" t="str">
        <f>IF($A57="","",Allocation2!Z57)</f>
        <v/>
      </c>
      <c r="Y57" t="str">
        <f>IF($A57="","",Allocation2!AA57)</f>
        <v/>
      </c>
      <c r="Z57" t="str">
        <f>IF($A57="","",Allocation2!AB57)</f>
        <v/>
      </c>
      <c r="AA57" t="str">
        <f>IF($A57="","",Allocation2!AC57)</f>
        <v/>
      </c>
      <c r="AB57" t="str">
        <f>IF($A57="","",Allocation2!AD57)</f>
        <v/>
      </c>
      <c r="AC57" t="str">
        <f>IF($A57="","",IF(ALLOC!$N$4="VOL_EFF",$G57,IF(ALLOC!$N$4="VOL_CLASS",$H57,$I57)))</f>
        <v/>
      </c>
      <c r="AD57" t="str">
        <f>IF($A57="","",IF(ALLOC!$N$4="VOL_EFF",$L57,IF(ALLOC!$N$4="VOL_CLASS",$M57,$N57)))</f>
        <v/>
      </c>
      <c r="AE57" t="str">
        <f>IF($A57="","",IF(ALLOC!$N$3="VOL_EFF",$L57,IF(ALLOC!$N$3="VOL_CLASS",$M57,$N57)))</f>
        <v/>
      </c>
      <c r="AF57" t="str">
        <f>IF($A57="","",IF(ALLOC!$N$3="VOL_EFF",$Q57,IF(ALLOC!$N$3="VOL_CLASS",$R57,$S57)))</f>
        <v/>
      </c>
      <c r="AG57" t="str">
        <f>IF($A57="","",IF(ALLOC!$N$1="VOL_EFF",$Q57,IF(ALLOC!$N$1="VOL_CLASS",$R57,$S57)))</f>
        <v/>
      </c>
      <c r="AH57" t="str">
        <f>IF($A57="","",IF(ALLOC!$N$1="VOL_EFF",$T57,IF(ALLOC!$N$1="VOL_CLASS",$U57,$V57)))</f>
        <v/>
      </c>
      <c r="AI57" t="str">
        <f t="shared" si="12"/>
        <v/>
      </c>
      <c r="AJ57" t="str">
        <f t="shared" si="13"/>
        <v/>
      </c>
      <c r="AK57" t="str">
        <f t="shared" si="14"/>
        <v/>
      </c>
      <c r="AL57" t="str">
        <f t="shared" si="15"/>
        <v/>
      </c>
      <c r="AM57" t="str">
        <f t="shared" si="16"/>
        <v/>
      </c>
      <c r="AN57" t="str">
        <f t="shared" si="17"/>
        <v/>
      </c>
      <c r="AO57" t="str">
        <f>IF($A57="","",Allocation2!AE57)</f>
        <v/>
      </c>
      <c r="AP57" t="str">
        <f>IF($A57="","",IF(ALLOC!$N$2="VOL_EFF",$Q57,IF(ALLOC!$N$2="VOL_CLASS",$R57,$S57)))</f>
        <v/>
      </c>
      <c r="AQ57" t="str">
        <f>IF($A57="","",IF(ALLOC!$N$2="VOL_EFF",$T57,IF(ALLOC!$N$2="VOL_CLASS",$U57,$V57)))</f>
        <v/>
      </c>
      <c r="AR57" t="str">
        <f t="shared" si="18"/>
        <v/>
      </c>
    </row>
    <row r="58" spans="1:44" x14ac:dyDescent="0.45">
      <c r="A58" t="str">
        <f>IF(Allocation2!D58="","",Allocation2!D58)</f>
        <v/>
      </c>
      <c r="B58" t="str">
        <f>IF(Allocation2!E58="","",Allocation2!E58)</f>
        <v/>
      </c>
      <c r="C58" t="str">
        <f>IF(Allocation2!F58="","",Allocation2!F58)</f>
        <v/>
      </c>
      <c r="D58" t="str">
        <f>IF(Allocation2!G58="","",Allocation2!G58)</f>
        <v/>
      </c>
      <c r="E58" t="str">
        <f>IF(Allocation2!H58="","",Allocation2!H58)</f>
        <v/>
      </c>
      <c r="F58" t="str">
        <f>IF(Allocation2!I58="","",Allocation2!I58)</f>
        <v/>
      </c>
      <c r="G58" t="str">
        <f>IF(Allocation2!E58="","",Allocation2!J58)</f>
        <v/>
      </c>
      <c r="H58" t="str">
        <f>IF(Allocation2!E58="","",Allocation2!K58)</f>
        <v/>
      </c>
      <c r="I58" t="str">
        <f>IF(Allocation2!E58="","",Allocation2!L58)</f>
        <v/>
      </c>
      <c r="J58" t="str">
        <f>IF($A58="","",Allocation2!X58)</f>
        <v/>
      </c>
      <c r="K58" t="str">
        <f t="shared" si="0"/>
        <v/>
      </c>
      <c r="L58" t="str">
        <f t="shared" si="19"/>
        <v/>
      </c>
      <c r="M58" t="str">
        <f t="shared" si="20"/>
        <v/>
      </c>
      <c r="N58" t="str">
        <f t="shared" si="21"/>
        <v/>
      </c>
      <c r="O58" t="str">
        <f t="shared" si="4"/>
        <v/>
      </c>
      <c r="P58" t="str">
        <f t="shared" si="5"/>
        <v/>
      </c>
      <c r="Q58" t="str">
        <f t="shared" si="22"/>
        <v/>
      </c>
      <c r="R58" t="str">
        <f t="shared" si="23"/>
        <v/>
      </c>
      <c r="S58" t="str">
        <f t="shared" si="24"/>
        <v/>
      </c>
      <c r="T58" t="str">
        <f t="shared" si="25"/>
        <v/>
      </c>
      <c r="U58" t="str">
        <f t="shared" si="26"/>
        <v/>
      </c>
      <c r="V58" t="str">
        <f t="shared" si="27"/>
        <v/>
      </c>
      <c r="W58" t="str">
        <f>IF($A58="","",Allocation2!Y58)</f>
        <v/>
      </c>
      <c r="X58" t="str">
        <f>IF($A58="","",Allocation2!Z58)</f>
        <v/>
      </c>
      <c r="Y58" t="str">
        <f>IF($A58="","",Allocation2!AA58)</f>
        <v/>
      </c>
      <c r="Z58" t="str">
        <f>IF($A58="","",Allocation2!AB58)</f>
        <v/>
      </c>
      <c r="AA58" t="str">
        <f>IF($A58="","",Allocation2!AC58)</f>
        <v/>
      </c>
      <c r="AB58" t="str">
        <f>IF($A58="","",Allocation2!AD58)</f>
        <v/>
      </c>
      <c r="AC58" t="str">
        <f>IF($A58="","",IF(ALLOC!$N$4="VOL_EFF",$G58,IF(ALLOC!$N$4="VOL_CLASS",$H58,$I58)))</f>
        <v/>
      </c>
      <c r="AD58" t="str">
        <f>IF($A58="","",IF(ALLOC!$N$4="VOL_EFF",$L58,IF(ALLOC!$N$4="VOL_CLASS",$M58,$N58)))</f>
        <v/>
      </c>
      <c r="AE58" t="str">
        <f>IF($A58="","",IF(ALLOC!$N$3="VOL_EFF",$L58,IF(ALLOC!$N$3="VOL_CLASS",$M58,$N58)))</f>
        <v/>
      </c>
      <c r="AF58" t="str">
        <f>IF($A58="","",IF(ALLOC!$N$3="VOL_EFF",$Q58,IF(ALLOC!$N$3="VOL_CLASS",$R58,$S58)))</f>
        <v/>
      </c>
      <c r="AG58" t="str">
        <f>IF($A58="","",IF(ALLOC!$N$1="VOL_EFF",$Q58,IF(ALLOC!$N$1="VOL_CLASS",$R58,$S58)))</f>
        <v/>
      </c>
      <c r="AH58" t="str">
        <f>IF($A58="","",IF(ALLOC!$N$1="VOL_EFF",$T58,IF(ALLOC!$N$1="VOL_CLASS",$U58,$V58)))</f>
        <v/>
      </c>
      <c r="AI58" t="str">
        <f t="shared" si="12"/>
        <v/>
      </c>
      <c r="AJ58" t="str">
        <f t="shared" si="13"/>
        <v/>
      </c>
      <c r="AK58" t="str">
        <f t="shared" si="14"/>
        <v/>
      </c>
      <c r="AL58" t="str">
        <f t="shared" si="15"/>
        <v/>
      </c>
      <c r="AM58" t="str">
        <f t="shared" si="16"/>
        <v/>
      </c>
      <c r="AN58" t="str">
        <f t="shared" si="17"/>
        <v/>
      </c>
      <c r="AO58" t="str">
        <f>IF($A58="","",Allocation2!AE58)</f>
        <v/>
      </c>
      <c r="AP58" t="str">
        <f>IF($A58="","",IF(ALLOC!$N$2="VOL_EFF",$Q58,IF(ALLOC!$N$2="VOL_CLASS",$R58,$S58)))</f>
        <v/>
      </c>
      <c r="AQ58" t="str">
        <f>IF($A58="","",IF(ALLOC!$N$2="VOL_EFF",$T58,IF(ALLOC!$N$2="VOL_CLASS",$U58,$V58)))</f>
        <v/>
      </c>
      <c r="AR58" t="str">
        <f t="shared" si="18"/>
        <v/>
      </c>
    </row>
    <row r="59" spans="1:44" x14ac:dyDescent="0.45">
      <c r="A59" t="str">
        <f>IF(Allocation2!D59="","",Allocation2!D59)</f>
        <v/>
      </c>
      <c r="B59" t="str">
        <f>IF(Allocation2!E59="","",Allocation2!E59)</f>
        <v/>
      </c>
      <c r="C59" t="str">
        <f>IF(Allocation2!F59="","",Allocation2!F59)</f>
        <v/>
      </c>
      <c r="D59" t="str">
        <f>IF(Allocation2!G59="","",Allocation2!G59)</f>
        <v/>
      </c>
      <c r="E59" t="str">
        <f>IF(Allocation2!H59="","",Allocation2!H59)</f>
        <v/>
      </c>
      <c r="F59" t="str">
        <f>IF(Allocation2!I59="","",Allocation2!I59)</f>
        <v/>
      </c>
      <c r="G59" t="str">
        <f>IF(Allocation2!E59="","",Allocation2!J59)</f>
        <v/>
      </c>
      <c r="H59" t="str">
        <f>IF(Allocation2!E59="","",Allocation2!K59)</f>
        <v/>
      </c>
      <c r="I59" t="str">
        <f>IF(Allocation2!E59="","",Allocation2!L59)</f>
        <v/>
      </c>
      <c r="J59" t="str">
        <f>IF($A59="","",Allocation2!X59)</f>
        <v/>
      </c>
      <c r="K59" t="str">
        <f t="shared" si="0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4"/>
        <v/>
      </c>
      <c r="P59" t="str">
        <f t="shared" si="5"/>
        <v/>
      </c>
      <c r="Q59" t="str">
        <f t="shared" si="22"/>
        <v/>
      </c>
      <c r="R59" t="str">
        <f t="shared" si="23"/>
        <v/>
      </c>
      <c r="S59" t="str">
        <f t="shared" si="24"/>
        <v/>
      </c>
      <c r="T59" t="str">
        <f t="shared" si="25"/>
        <v/>
      </c>
      <c r="U59" t="str">
        <f t="shared" si="26"/>
        <v/>
      </c>
      <c r="V59" t="str">
        <f t="shared" si="27"/>
        <v/>
      </c>
      <c r="W59" t="str">
        <f>IF($A59="","",Allocation2!Y59)</f>
        <v/>
      </c>
      <c r="X59" t="str">
        <f>IF($A59="","",Allocation2!Z59)</f>
        <v/>
      </c>
      <c r="Y59" t="str">
        <f>IF($A59="","",Allocation2!AA59)</f>
        <v/>
      </c>
      <c r="Z59" t="str">
        <f>IF($A59="","",Allocation2!AB59)</f>
        <v/>
      </c>
      <c r="AA59" t="str">
        <f>IF($A59="","",Allocation2!AC59)</f>
        <v/>
      </c>
      <c r="AB59" t="str">
        <f>IF($A59="","",Allocation2!AD59)</f>
        <v/>
      </c>
      <c r="AC59" t="str">
        <f>IF($A59="","",IF(ALLOC!$N$4="VOL_EFF",$G59,IF(ALLOC!$N$4="VOL_CLASS",$H59,$I59)))</f>
        <v/>
      </c>
      <c r="AD59" t="str">
        <f>IF($A59="","",IF(ALLOC!$N$4="VOL_EFF",$L59,IF(ALLOC!$N$4="VOL_CLASS",$M59,$N59)))</f>
        <v/>
      </c>
      <c r="AE59" t="str">
        <f>IF($A59="","",IF(ALLOC!$N$3="VOL_EFF",$L59,IF(ALLOC!$N$3="VOL_CLASS",$M59,$N59)))</f>
        <v/>
      </c>
      <c r="AF59" t="str">
        <f>IF($A59="","",IF(ALLOC!$N$3="VOL_EFF",$Q59,IF(ALLOC!$N$3="VOL_CLASS",$R59,$S59)))</f>
        <v/>
      </c>
      <c r="AG59" t="str">
        <f>IF($A59="","",IF(ALLOC!$N$1="VOL_EFF",$Q59,IF(ALLOC!$N$1="VOL_CLASS",$R59,$S59)))</f>
        <v/>
      </c>
      <c r="AH59" t="str">
        <f>IF($A59="","",IF(ALLOC!$N$1="VOL_EFF",$T59,IF(ALLOC!$N$1="VOL_CLASS",$U59,$V59)))</f>
        <v/>
      </c>
      <c r="AI59" t="str">
        <f t="shared" si="12"/>
        <v/>
      </c>
      <c r="AJ59" t="str">
        <f t="shared" si="13"/>
        <v/>
      </c>
      <c r="AK59" t="str">
        <f t="shared" si="14"/>
        <v/>
      </c>
      <c r="AL59" t="str">
        <f t="shared" si="15"/>
        <v/>
      </c>
      <c r="AM59" t="str">
        <f t="shared" si="16"/>
        <v/>
      </c>
      <c r="AN59" t="str">
        <f t="shared" si="17"/>
        <v/>
      </c>
      <c r="AO59" t="str">
        <f>IF($A59="","",Allocation2!AE59)</f>
        <v/>
      </c>
      <c r="AP59" t="str">
        <f>IF($A59="","",IF(ALLOC!$N$2="VOL_EFF",$Q59,IF(ALLOC!$N$2="VOL_CLASS",$R59,$S59)))</f>
        <v/>
      </c>
      <c r="AQ59" t="str">
        <f>IF($A59="","",IF(ALLOC!$N$2="VOL_EFF",$T59,IF(ALLOC!$N$2="VOL_CLASS",$U59,$V59)))</f>
        <v/>
      </c>
      <c r="AR59" t="str">
        <f t="shared" si="18"/>
        <v/>
      </c>
    </row>
    <row r="60" spans="1:44" x14ac:dyDescent="0.45">
      <c r="A60" t="str">
        <f>IF(Allocation2!D60="","",Allocation2!D60)</f>
        <v/>
      </c>
      <c r="B60" t="str">
        <f>IF(Allocation2!E60="","",Allocation2!E60)</f>
        <v/>
      </c>
      <c r="C60" t="str">
        <f>IF(Allocation2!F60="","",Allocation2!F60)</f>
        <v/>
      </c>
      <c r="D60" t="str">
        <f>IF(Allocation2!G60="","",Allocation2!G60)</f>
        <v/>
      </c>
      <c r="E60" t="str">
        <f>IF(Allocation2!H60="","",Allocation2!H60)</f>
        <v/>
      </c>
      <c r="F60" t="str">
        <f>IF(Allocation2!I60="","",Allocation2!I60)</f>
        <v/>
      </c>
      <c r="G60" t="str">
        <f>IF(Allocation2!E60="","",Allocation2!J60)</f>
        <v/>
      </c>
      <c r="H60" t="str">
        <f>IF(Allocation2!E60="","",Allocation2!K60)</f>
        <v/>
      </c>
      <c r="I60" t="str">
        <f>IF(Allocation2!E60="","",Allocation2!L60)</f>
        <v/>
      </c>
      <c r="J60" t="str">
        <f>IF($A60="","",Allocation2!X60)</f>
        <v/>
      </c>
      <c r="K60" t="str">
        <f t="shared" si="0"/>
        <v/>
      </c>
      <c r="L60" t="str">
        <f t="shared" si="19"/>
        <v/>
      </c>
      <c r="M60" t="str">
        <f t="shared" si="20"/>
        <v/>
      </c>
      <c r="N60" t="str">
        <f t="shared" si="21"/>
        <v/>
      </c>
      <c r="O60" t="str">
        <f t="shared" si="4"/>
        <v/>
      </c>
      <c r="P60" t="str">
        <f t="shared" si="5"/>
        <v/>
      </c>
      <c r="Q60" t="str">
        <f t="shared" si="22"/>
        <v/>
      </c>
      <c r="R60" t="str">
        <f t="shared" si="23"/>
        <v/>
      </c>
      <c r="S60" t="str">
        <f t="shared" si="24"/>
        <v/>
      </c>
      <c r="T60" t="str">
        <f t="shared" si="25"/>
        <v/>
      </c>
      <c r="U60" t="str">
        <f t="shared" si="26"/>
        <v/>
      </c>
      <c r="V60" t="str">
        <f t="shared" si="27"/>
        <v/>
      </c>
      <c r="W60" t="str">
        <f>IF($A60="","",Allocation2!Y60)</f>
        <v/>
      </c>
      <c r="X60" t="str">
        <f>IF($A60="","",Allocation2!Z60)</f>
        <v/>
      </c>
      <c r="Y60" t="str">
        <f>IF($A60="","",Allocation2!AA60)</f>
        <v/>
      </c>
      <c r="Z60" t="str">
        <f>IF($A60="","",Allocation2!AB60)</f>
        <v/>
      </c>
      <c r="AA60" t="str">
        <f>IF($A60="","",Allocation2!AC60)</f>
        <v/>
      </c>
      <c r="AB60" t="str">
        <f>IF($A60="","",Allocation2!AD60)</f>
        <v/>
      </c>
      <c r="AC60" t="str">
        <f>IF($A60="","",IF(ALLOC!$N$4="VOL_EFF",$G60,IF(ALLOC!$N$4="VOL_CLASS",$H60,$I60)))</f>
        <v/>
      </c>
      <c r="AD60" t="str">
        <f>IF($A60="","",IF(ALLOC!$N$4="VOL_EFF",$L60,IF(ALLOC!$N$4="VOL_CLASS",$M60,$N60)))</f>
        <v/>
      </c>
      <c r="AE60" t="str">
        <f>IF($A60="","",IF(ALLOC!$N$3="VOL_EFF",$L60,IF(ALLOC!$N$3="VOL_CLASS",$M60,$N60)))</f>
        <v/>
      </c>
      <c r="AF60" t="str">
        <f>IF($A60="","",IF(ALLOC!$N$3="VOL_EFF",$Q60,IF(ALLOC!$N$3="VOL_CLASS",$R60,$S60)))</f>
        <v/>
      </c>
      <c r="AG60" t="str">
        <f>IF($A60="","",IF(ALLOC!$N$1="VOL_EFF",$Q60,IF(ALLOC!$N$1="VOL_CLASS",$R60,$S60)))</f>
        <v/>
      </c>
      <c r="AH60" t="str">
        <f>IF($A60="","",IF(ALLOC!$N$1="VOL_EFF",$T60,IF(ALLOC!$N$1="VOL_CLASS",$U60,$V60)))</f>
        <v/>
      </c>
      <c r="AI60" t="str">
        <f t="shared" si="12"/>
        <v/>
      </c>
      <c r="AJ60" t="str">
        <f t="shared" si="13"/>
        <v/>
      </c>
      <c r="AK60" t="str">
        <f t="shared" si="14"/>
        <v/>
      </c>
      <c r="AL60" t="str">
        <f t="shared" si="15"/>
        <v/>
      </c>
      <c r="AM60" t="str">
        <f t="shared" si="16"/>
        <v/>
      </c>
      <c r="AN60" t="str">
        <f t="shared" si="17"/>
        <v/>
      </c>
      <c r="AO60" t="str">
        <f>IF($A60="","",Allocation2!AE60)</f>
        <v/>
      </c>
      <c r="AP60" t="str">
        <f>IF($A60="","",IF(ALLOC!$N$2="VOL_EFF",$Q60,IF(ALLOC!$N$2="VOL_CLASS",$R60,$S60)))</f>
        <v/>
      </c>
      <c r="AQ60" t="str">
        <f>IF($A60="","",IF(ALLOC!$N$2="VOL_EFF",$T60,IF(ALLOC!$N$2="VOL_CLASS",$U60,$V60)))</f>
        <v/>
      </c>
      <c r="AR60" t="str">
        <f t="shared" si="18"/>
        <v/>
      </c>
    </row>
    <row r="61" spans="1:44" x14ac:dyDescent="0.45">
      <c r="A61" t="str">
        <f>IF(Allocation2!D61="","",Allocation2!D61)</f>
        <v/>
      </c>
      <c r="B61" t="str">
        <f>IF(Allocation2!E61="","",Allocation2!E61)</f>
        <v/>
      </c>
      <c r="C61" t="str">
        <f>IF(Allocation2!F61="","",Allocation2!F61)</f>
        <v/>
      </c>
      <c r="D61" t="str">
        <f>IF(Allocation2!G61="","",Allocation2!G61)</f>
        <v/>
      </c>
      <c r="E61" t="str">
        <f>IF(Allocation2!H61="","",Allocation2!H61)</f>
        <v/>
      </c>
      <c r="F61" t="str">
        <f>IF(Allocation2!I61="","",Allocation2!I61)</f>
        <v/>
      </c>
      <c r="G61" t="str">
        <f>IF(Allocation2!E61="","",Allocation2!J61)</f>
        <v/>
      </c>
      <c r="H61" t="str">
        <f>IF(Allocation2!E61="","",Allocation2!K61)</f>
        <v/>
      </c>
      <c r="I61" t="str">
        <f>IF(Allocation2!E61="","",Allocation2!L61)</f>
        <v/>
      </c>
      <c r="J61" t="str">
        <f>IF($A61="","",Allocation2!X61)</f>
        <v/>
      </c>
      <c r="K61" t="str">
        <f t="shared" si="0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4"/>
        <v/>
      </c>
      <c r="P61" t="str">
        <f t="shared" si="5"/>
        <v/>
      </c>
      <c r="Q61" t="str">
        <f t="shared" si="22"/>
        <v/>
      </c>
      <c r="R61" t="str">
        <f t="shared" si="23"/>
        <v/>
      </c>
      <c r="S61" t="str">
        <f t="shared" si="24"/>
        <v/>
      </c>
      <c r="T61" t="str">
        <f t="shared" si="25"/>
        <v/>
      </c>
      <c r="U61" t="str">
        <f t="shared" si="26"/>
        <v/>
      </c>
      <c r="V61" t="str">
        <f t="shared" si="27"/>
        <v/>
      </c>
      <c r="W61" t="str">
        <f>IF($A61="","",Allocation2!Y61)</f>
        <v/>
      </c>
      <c r="X61" t="str">
        <f>IF($A61="","",Allocation2!Z61)</f>
        <v/>
      </c>
      <c r="Y61" t="str">
        <f>IF($A61="","",Allocation2!AA61)</f>
        <v/>
      </c>
      <c r="Z61" t="str">
        <f>IF($A61="","",Allocation2!AB61)</f>
        <v/>
      </c>
      <c r="AA61" t="str">
        <f>IF($A61="","",Allocation2!AC61)</f>
        <v/>
      </c>
      <c r="AB61" t="str">
        <f>IF($A61="","",Allocation2!AD61)</f>
        <v/>
      </c>
      <c r="AC61" t="str">
        <f>IF($A61="","",IF(ALLOC!$N$4="VOL_EFF",$G61,IF(ALLOC!$N$4="VOL_CLASS",$H61,$I61)))</f>
        <v/>
      </c>
      <c r="AD61" t="str">
        <f>IF($A61="","",IF(ALLOC!$N$4="VOL_EFF",$L61,IF(ALLOC!$N$4="VOL_CLASS",$M61,$N61)))</f>
        <v/>
      </c>
      <c r="AE61" t="str">
        <f>IF($A61="","",IF(ALLOC!$N$3="VOL_EFF",$L61,IF(ALLOC!$N$3="VOL_CLASS",$M61,$N61)))</f>
        <v/>
      </c>
      <c r="AF61" t="str">
        <f>IF($A61="","",IF(ALLOC!$N$3="VOL_EFF",$Q61,IF(ALLOC!$N$3="VOL_CLASS",$R61,$S61)))</f>
        <v/>
      </c>
      <c r="AG61" t="str">
        <f>IF($A61="","",IF(ALLOC!$N$1="VOL_EFF",$Q61,IF(ALLOC!$N$1="VOL_CLASS",$R61,$S61)))</f>
        <v/>
      </c>
      <c r="AH61" t="str">
        <f>IF($A61="","",IF(ALLOC!$N$1="VOL_EFF",$T61,IF(ALLOC!$N$1="VOL_CLASS",$U61,$V61)))</f>
        <v/>
      </c>
      <c r="AI61" t="str">
        <f t="shared" si="12"/>
        <v/>
      </c>
      <c r="AJ61" t="str">
        <f t="shared" si="13"/>
        <v/>
      </c>
      <c r="AK61" t="str">
        <f t="shared" si="14"/>
        <v/>
      </c>
      <c r="AL61" t="str">
        <f t="shared" si="15"/>
        <v/>
      </c>
      <c r="AM61" t="str">
        <f t="shared" si="16"/>
        <v/>
      </c>
      <c r="AN61" t="str">
        <f t="shared" si="17"/>
        <v/>
      </c>
      <c r="AO61" t="str">
        <f>IF($A61="","",Allocation2!AE61)</f>
        <v/>
      </c>
      <c r="AP61" t="str">
        <f>IF($A61="","",IF(ALLOC!$N$2="VOL_EFF",$Q61,IF(ALLOC!$N$2="VOL_CLASS",$R61,$S61)))</f>
        <v/>
      </c>
      <c r="AQ61" t="str">
        <f>IF($A61="","",IF(ALLOC!$N$2="VOL_EFF",$T61,IF(ALLOC!$N$2="VOL_CLASS",$U61,$V61)))</f>
        <v/>
      </c>
      <c r="AR61" t="str">
        <f t="shared" si="18"/>
        <v/>
      </c>
    </row>
    <row r="62" spans="1:44" x14ac:dyDescent="0.45">
      <c r="A62" t="str">
        <f>IF(Allocation2!D62="","",Allocation2!D62)</f>
        <v/>
      </c>
      <c r="B62" t="str">
        <f>IF(Allocation2!E62="","",Allocation2!E62)</f>
        <v/>
      </c>
      <c r="C62" t="str">
        <f>IF(Allocation2!F62="","",Allocation2!F62)</f>
        <v/>
      </c>
      <c r="D62" t="str">
        <f>IF(Allocation2!G62="","",Allocation2!G62)</f>
        <v/>
      </c>
      <c r="E62" t="str">
        <f>IF(Allocation2!H62="","",Allocation2!H62)</f>
        <v/>
      </c>
      <c r="F62" t="str">
        <f>IF(Allocation2!I62="","",Allocation2!I62)</f>
        <v/>
      </c>
      <c r="G62" t="str">
        <f>IF(Allocation2!E62="","",Allocation2!J62)</f>
        <v/>
      </c>
      <c r="H62" t="str">
        <f>IF(Allocation2!E62="","",Allocation2!K62)</f>
        <v/>
      </c>
      <c r="I62" t="str">
        <f>IF(Allocation2!E62="","",Allocation2!L62)</f>
        <v/>
      </c>
      <c r="J62" t="str">
        <f>IF($A62="","",Allocation2!X62)</f>
        <v/>
      </c>
      <c r="K62" t="str">
        <f t="shared" si="0"/>
        <v/>
      </c>
      <c r="L62" t="str">
        <f t="shared" si="19"/>
        <v/>
      </c>
      <c r="M62" t="str">
        <f t="shared" si="20"/>
        <v/>
      </c>
      <c r="N62" t="str">
        <f t="shared" si="21"/>
        <v/>
      </c>
      <c r="O62" t="str">
        <f t="shared" si="4"/>
        <v/>
      </c>
      <c r="P62" t="str">
        <f t="shared" si="5"/>
        <v/>
      </c>
      <c r="Q62" t="str">
        <f t="shared" si="22"/>
        <v/>
      </c>
      <c r="R62" t="str">
        <f t="shared" si="23"/>
        <v/>
      </c>
      <c r="S62" t="str">
        <f t="shared" si="24"/>
        <v/>
      </c>
      <c r="T62" t="str">
        <f t="shared" si="25"/>
        <v/>
      </c>
      <c r="U62" t="str">
        <f t="shared" si="26"/>
        <v/>
      </c>
      <c r="V62" t="str">
        <f t="shared" si="27"/>
        <v/>
      </c>
      <c r="W62" t="str">
        <f>IF($A62="","",Allocation2!Y62)</f>
        <v/>
      </c>
      <c r="X62" t="str">
        <f>IF($A62="","",Allocation2!Z62)</f>
        <v/>
      </c>
      <c r="Y62" t="str">
        <f>IF($A62="","",Allocation2!AA62)</f>
        <v/>
      </c>
      <c r="Z62" t="str">
        <f>IF($A62="","",Allocation2!AB62)</f>
        <v/>
      </c>
      <c r="AA62" t="str">
        <f>IF($A62="","",Allocation2!AC62)</f>
        <v/>
      </c>
      <c r="AB62" t="str">
        <f>IF($A62="","",Allocation2!AD62)</f>
        <v/>
      </c>
      <c r="AC62" t="str">
        <f>IF($A62="","",IF(ALLOC!$N$4="VOL_EFF",$G62,IF(ALLOC!$N$4="VOL_CLASS",$H62,$I62)))</f>
        <v/>
      </c>
      <c r="AD62" t="str">
        <f>IF($A62="","",IF(ALLOC!$N$4="VOL_EFF",$L62,IF(ALLOC!$N$4="VOL_CLASS",$M62,$N62)))</f>
        <v/>
      </c>
      <c r="AE62" t="str">
        <f>IF($A62="","",IF(ALLOC!$N$3="VOL_EFF",$L62,IF(ALLOC!$N$3="VOL_CLASS",$M62,$N62)))</f>
        <v/>
      </c>
      <c r="AF62" t="str">
        <f>IF($A62="","",IF(ALLOC!$N$3="VOL_EFF",$Q62,IF(ALLOC!$N$3="VOL_CLASS",$R62,$S62)))</f>
        <v/>
      </c>
      <c r="AG62" t="str">
        <f>IF($A62="","",IF(ALLOC!$N$1="VOL_EFF",$Q62,IF(ALLOC!$N$1="VOL_CLASS",$R62,$S62)))</f>
        <v/>
      </c>
      <c r="AH62" t="str">
        <f>IF($A62="","",IF(ALLOC!$N$1="VOL_EFF",$T62,IF(ALLOC!$N$1="VOL_CLASS",$U62,$V62)))</f>
        <v/>
      </c>
      <c r="AI62" t="str">
        <f t="shared" si="12"/>
        <v/>
      </c>
      <c r="AJ62" t="str">
        <f t="shared" si="13"/>
        <v/>
      </c>
      <c r="AK62" t="str">
        <f t="shared" si="14"/>
        <v/>
      </c>
      <c r="AL62" t="str">
        <f t="shared" si="15"/>
        <v/>
      </c>
      <c r="AM62" t="str">
        <f t="shared" si="16"/>
        <v/>
      </c>
      <c r="AN62" t="str">
        <f t="shared" si="17"/>
        <v/>
      </c>
      <c r="AO62" t="str">
        <f>IF($A62="","",Allocation2!AE62)</f>
        <v/>
      </c>
      <c r="AP62" t="str">
        <f>IF($A62="","",IF(ALLOC!$N$2="VOL_EFF",$Q62,IF(ALLOC!$N$2="VOL_CLASS",$R62,$S62)))</f>
        <v/>
      </c>
      <c r="AQ62" t="str">
        <f>IF($A62="","",IF(ALLOC!$N$2="VOL_EFF",$T62,IF(ALLOC!$N$2="VOL_CLASS",$U62,$V62)))</f>
        <v/>
      </c>
      <c r="AR62" t="str">
        <f t="shared" si="18"/>
        <v/>
      </c>
    </row>
    <row r="63" spans="1:44" x14ac:dyDescent="0.45">
      <c r="A63" t="str">
        <f>IF(Allocation2!D63="","",Allocation2!D63)</f>
        <v/>
      </c>
      <c r="B63" t="str">
        <f>IF(Allocation2!E63="","",Allocation2!E63)</f>
        <v/>
      </c>
      <c r="C63" t="str">
        <f>IF(Allocation2!F63="","",Allocation2!F63)</f>
        <v/>
      </c>
      <c r="D63" t="str">
        <f>IF(Allocation2!G63="","",Allocation2!G63)</f>
        <v/>
      </c>
      <c r="E63" t="str">
        <f>IF(Allocation2!H63="","",Allocation2!H63)</f>
        <v/>
      </c>
      <c r="F63" t="str">
        <f>IF(Allocation2!I63="","",Allocation2!I63)</f>
        <v/>
      </c>
      <c r="G63" t="str">
        <f>IF(Allocation2!E63="","",Allocation2!J63)</f>
        <v/>
      </c>
      <c r="H63" t="str">
        <f>IF(Allocation2!E63="","",Allocation2!K63)</f>
        <v/>
      </c>
      <c r="I63" t="str">
        <f>IF(Allocation2!E63="","",Allocation2!L63)</f>
        <v/>
      </c>
      <c r="J63" t="str">
        <f>IF($A63="","",Allocation2!X63)</f>
        <v/>
      </c>
      <c r="K63" t="str">
        <f t="shared" si="0"/>
        <v/>
      </c>
      <c r="L63" t="str">
        <f t="shared" si="19"/>
        <v/>
      </c>
      <c r="M63" t="str">
        <f t="shared" si="20"/>
        <v/>
      </c>
      <c r="N63" t="str">
        <f t="shared" si="21"/>
        <v/>
      </c>
      <c r="O63" t="str">
        <f t="shared" si="4"/>
        <v/>
      </c>
      <c r="P63" t="str">
        <f t="shared" si="5"/>
        <v/>
      </c>
      <c r="Q63" t="str">
        <f t="shared" si="22"/>
        <v/>
      </c>
      <c r="R63" t="str">
        <f t="shared" si="23"/>
        <v/>
      </c>
      <c r="S63" t="str">
        <f t="shared" si="24"/>
        <v/>
      </c>
      <c r="T63" t="str">
        <f t="shared" si="25"/>
        <v/>
      </c>
      <c r="U63" t="str">
        <f t="shared" si="26"/>
        <v/>
      </c>
      <c r="V63" t="str">
        <f t="shared" si="27"/>
        <v/>
      </c>
      <c r="W63" t="str">
        <f>IF($A63="","",Allocation2!Y63)</f>
        <v/>
      </c>
      <c r="X63" t="str">
        <f>IF($A63="","",Allocation2!Z63)</f>
        <v/>
      </c>
      <c r="Y63" t="str">
        <f>IF($A63="","",Allocation2!AA63)</f>
        <v/>
      </c>
      <c r="Z63" t="str">
        <f>IF($A63="","",Allocation2!AB63)</f>
        <v/>
      </c>
      <c r="AA63" t="str">
        <f>IF($A63="","",Allocation2!AC63)</f>
        <v/>
      </c>
      <c r="AB63" t="str">
        <f>IF($A63="","",Allocation2!AD63)</f>
        <v/>
      </c>
      <c r="AC63" t="str">
        <f>IF($A63="","",IF(ALLOC!$N$4="VOL_EFF",$G63,IF(ALLOC!$N$4="VOL_CLASS",$H63,$I63)))</f>
        <v/>
      </c>
      <c r="AD63" t="str">
        <f>IF($A63="","",IF(ALLOC!$N$4="VOL_EFF",$L63,IF(ALLOC!$N$4="VOL_CLASS",$M63,$N63)))</f>
        <v/>
      </c>
      <c r="AE63" t="str">
        <f>IF($A63="","",IF(ALLOC!$N$3="VOL_EFF",$L63,IF(ALLOC!$N$3="VOL_CLASS",$M63,$N63)))</f>
        <v/>
      </c>
      <c r="AF63" t="str">
        <f>IF($A63="","",IF(ALLOC!$N$3="VOL_EFF",$Q63,IF(ALLOC!$N$3="VOL_CLASS",$R63,$S63)))</f>
        <v/>
      </c>
      <c r="AG63" t="str">
        <f>IF($A63="","",IF(ALLOC!$N$1="VOL_EFF",$Q63,IF(ALLOC!$N$1="VOL_CLASS",$R63,$S63)))</f>
        <v/>
      </c>
      <c r="AH63" t="str">
        <f>IF($A63="","",IF(ALLOC!$N$1="VOL_EFF",$T63,IF(ALLOC!$N$1="VOL_CLASS",$U63,$V63)))</f>
        <v/>
      </c>
      <c r="AI63" t="str">
        <f t="shared" si="12"/>
        <v/>
      </c>
      <c r="AJ63" t="str">
        <f t="shared" si="13"/>
        <v/>
      </c>
      <c r="AK63" t="str">
        <f t="shared" si="14"/>
        <v/>
      </c>
      <c r="AL63" t="str">
        <f t="shared" si="15"/>
        <v/>
      </c>
      <c r="AM63" t="str">
        <f t="shared" si="16"/>
        <v/>
      </c>
      <c r="AN63" t="str">
        <f t="shared" si="17"/>
        <v/>
      </c>
      <c r="AO63" t="str">
        <f>IF($A63="","",Allocation2!AE63)</f>
        <v/>
      </c>
      <c r="AP63" t="str">
        <f>IF($A63="","",IF(ALLOC!$N$2="VOL_EFF",$Q63,IF(ALLOC!$N$2="VOL_CLASS",$R63,$S63)))</f>
        <v/>
      </c>
      <c r="AQ63" t="str">
        <f>IF($A63="","",IF(ALLOC!$N$2="VOL_EFF",$T63,IF(ALLOC!$N$2="VOL_CLASS",$U63,$V63)))</f>
        <v/>
      </c>
      <c r="AR63" t="str">
        <f t="shared" si="18"/>
        <v/>
      </c>
    </row>
    <row r="64" spans="1:44" x14ac:dyDescent="0.45">
      <c r="A64" t="str">
        <f>IF(Allocation2!D64="","",Allocation2!D64)</f>
        <v/>
      </c>
      <c r="B64" t="str">
        <f>IF(Allocation2!E64="","",Allocation2!E64)</f>
        <v/>
      </c>
      <c r="C64" t="str">
        <f>IF(Allocation2!F64="","",Allocation2!F64)</f>
        <v/>
      </c>
      <c r="D64" t="str">
        <f>IF(Allocation2!G64="","",Allocation2!G64)</f>
        <v/>
      </c>
      <c r="E64" t="str">
        <f>IF(Allocation2!H64="","",Allocation2!H64)</f>
        <v/>
      </c>
      <c r="F64" t="str">
        <f>IF(Allocation2!I64="","",Allocation2!I64)</f>
        <v/>
      </c>
      <c r="G64" t="str">
        <f>IF(Allocation2!E64="","",Allocation2!J64)</f>
        <v/>
      </c>
      <c r="H64" t="str">
        <f>IF(Allocation2!E64="","",Allocation2!K64)</f>
        <v/>
      </c>
      <c r="I64" t="str">
        <f>IF(Allocation2!E64="","",Allocation2!L64)</f>
        <v/>
      </c>
      <c r="J64" t="str">
        <f>IF($A64="","",Allocation2!X64)</f>
        <v/>
      </c>
      <c r="K64" t="str">
        <f t="shared" si="0"/>
        <v/>
      </c>
      <c r="L64" t="str">
        <f t="shared" si="19"/>
        <v/>
      </c>
      <c r="M64" t="str">
        <f t="shared" si="20"/>
        <v/>
      </c>
      <c r="N64" t="str">
        <f t="shared" si="21"/>
        <v/>
      </c>
      <c r="O64" t="str">
        <f t="shared" si="4"/>
        <v/>
      </c>
      <c r="P64" t="str">
        <f t="shared" si="5"/>
        <v/>
      </c>
      <c r="Q64" t="str">
        <f t="shared" si="22"/>
        <v/>
      </c>
      <c r="R64" t="str">
        <f t="shared" si="23"/>
        <v/>
      </c>
      <c r="S64" t="str">
        <f t="shared" si="24"/>
        <v/>
      </c>
      <c r="T64" t="str">
        <f t="shared" si="25"/>
        <v/>
      </c>
      <c r="U64" t="str">
        <f t="shared" si="26"/>
        <v/>
      </c>
      <c r="V64" t="str">
        <f t="shared" si="27"/>
        <v/>
      </c>
      <c r="W64" t="str">
        <f>IF($A64="","",Allocation2!Y64)</f>
        <v/>
      </c>
      <c r="X64" t="str">
        <f>IF($A64="","",Allocation2!Z64)</f>
        <v/>
      </c>
      <c r="Y64" t="str">
        <f>IF($A64="","",Allocation2!AA64)</f>
        <v/>
      </c>
      <c r="Z64" t="str">
        <f>IF($A64="","",Allocation2!AB64)</f>
        <v/>
      </c>
      <c r="AA64" t="str">
        <f>IF($A64="","",Allocation2!AC64)</f>
        <v/>
      </c>
      <c r="AB64" t="str">
        <f>IF($A64="","",Allocation2!AD64)</f>
        <v/>
      </c>
      <c r="AC64" t="str">
        <f>IF($A64="","",IF(ALLOC!$N$4="VOL_EFF",$G64,IF(ALLOC!$N$4="VOL_CLASS",$H64,$I64)))</f>
        <v/>
      </c>
      <c r="AD64" t="str">
        <f>IF($A64="","",IF(ALLOC!$N$4="VOL_EFF",$L64,IF(ALLOC!$N$4="VOL_CLASS",$M64,$N64)))</f>
        <v/>
      </c>
      <c r="AE64" t="str">
        <f>IF($A64="","",IF(ALLOC!$N$3="VOL_EFF",$L64,IF(ALLOC!$N$3="VOL_CLASS",$M64,$N64)))</f>
        <v/>
      </c>
      <c r="AF64" t="str">
        <f>IF($A64="","",IF(ALLOC!$N$3="VOL_EFF",$Q64,IF(ALLOC!$N$3="VOL_CLASS",$R64,$S64)))</f>
        <v/>
      </c>
      <c r="AG64" t="str">
        <f>IF($A64="","",IF(ALLOC!$N$1="VOL_EFF",$Q64,IF(ALLOC!$N$1="VOL_CLASS",$R64,$S64)))</f>
        <v/>
      </c>
      <c r="AH64" t="str">
        <f>IF($A64="","",IF(ALLOC!$N$1="VOL_EFF",$T64,IF(ALLOC!$N$1="VOL_CLASS",$U64,$V64)))</f>
        <v/>
      </c>
      <c r="AI64" t="str">
        <f t="shared" si="12"/>
        <v/>
      </c>
      <c r="AJ64" t="str">
        <f t="shared" si="13"/>
        <v/>
      </c>
      <c r="AK64" t="str">
        <f t="shared" si="14"/>
        <v/>
      </c>
      <c r="AL64" t="str">
        <f t="shared" si="15"/>
        <v/>
      </c>
      <c r="AM64" t="str">
        <f t="shared" si="16"/>
        <v/>
      </c>
      <c r="AN64" t="str">
        <f t="shared" si="17"/>
        <v/>
      </c>
      <c r="AO64" t="str">
        <f>IF($A64="","",Allocation2!AE64)</f>
        <v/>
      </c>
      <c r="AP64" t="str">
        <f>IF($A64="","",IF(ALLOC!$N$2="VOL_EFF",$Q64,IF(ALLOC!$N$2="VOL_CLASS",$R64,$S64)))</f>
        <v/>
      </c>
      <c r="AQ64" t="str">
        <f>IF($A64="","",IF(ALLOC!$N$2="VOL_EFF",$T64,IF(ALLOC!$N$2="VOL_CLASS",$U64,$V64)))</f>
        <v/>
      </c>
      <c r="AR64" t="str">
        <f t="shared" si="18"/>
        <v/>
      </c>
    </row>
    <row r="65" spans="1:44" x14ac:dyDescent="0.45">
      <c r="A65" t="str">
        <f>IF(Allocation2!D65="","",Allocation2!D65)</f>
        <v/>
      </c>
      <c r="B65" t="str">
        <f>IF(Allocation2!E65="","",Allocation2!E65)</f>
        <v/>
      </c>
      <c r="C65" t="str">
        <f>IF(Allocation2!F65="","",Allocation2!F65)</f>
        <v/>
      </c>
      <c r="D65" t="str">
        <f>IF(Allocation2!G65="","",Allocation2!G65)</f>
        <v/>
      </c>
      <c r="E65" t="str">
        <f>IF(Allocation2!H65="","",Allocation2!H65)</f>
        <v/>
      </c>
      <c r="F65" t="str">
        <f>IF(Allocation2!I65="","",Allocation2!I65)</f>
        <v/>
      </c>
      <c r="G65" t="str">
        <f>IF(Allocation2!E65="","",Allocation2!J65)</f>
        <v/>
      </c>
      <c r="H65" t="str">
        <f>IF(Allocation2!E65="","",Allocation2!K65)</f>
        <v/>
      </c>
      <c r="I65" t="str">
        <f>IF(Allocation2!E65="","",Allocation2!L65)</f>
        <v/>
      </c>
      <c r="J65" t="str">
        <f>IF($A65="","",Allocation2!X65)</f>
        <v/>
      </c>
      <c r="K65" t="str">
        <f t="shared" si="0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4"/>
        <v/>
      </c>
      <c r="P65" t="str">
        <f t="shared" si="5"/>
        <v/>
      </c>
      <c r="Q65" t="str">
        <f t="shared" si="22"/>
        <v/>
      </c>
      <c r="R65" t="str">
        <f t="shared" si="23"/>
        <v/>
      </c>
      <c r="S65" t="str">
        <f t="shared" si="24"/>
        <v/>
      </c>
      <c r="T65" t="str">
        <f t="shared" si="25"/>
        <v/>
      </c>
      <c r="U65" t="str">
        <f t="shared" si="26"/>
        <v/>
      </c>
      <c r="V65" t="str">
        <f t="shared" si="27"/>
        <v/>
      </c>
      <c r="W65" t="str">
        <f>IF($A65="","",Allocation2!Y65)</f>
        <v/>
      </c>
      <c r="X65" t="str">
        <f>IF($A65="","",Allocation2!Z65)</f>
        <v/>
      </c>
      <c r="Y65" t="str">
        <f>IF($A65="","",Allocation2!AA65)</f>
        <v/>
      </c>
      <c r="Z65" t="str">
        <f>IF($A65="","",Allocation2!AB65)</f>
        <v/>
      </c>
      <c r="AA65" t="str">
        <f>IF($A65="","",Allocation2!AC65)</f>
        <v/>
      </c>
      <c r="AB65" t="str">
        <f>IF($A65="","",Allocation2!AD65)</f>
        <v/>
      </c>
      <c r="AC65" t="str">
        <f>IF($A65="","",IF(ALLOC!$N$4="VOL_EFF",$G65,IF(ALLOC!$N$4="VOL_CLASS",$H65,$I65)))</f>
        <v/>
      </c>
      <c r="AD65" t="str">
        <f>IF($A65="","",IF(ALLOC!$N$4="VOL_EFF",$L65,IF(ALLOC!$N$4="VOL_CLASS",$M65,$N65)))</f>
        <v/>
      </c>
      <c r="AE65" t="str">
        <f>IF($A65="","",IF(ALLOC!$N$3="VOL_EFF",$L65,IF(ALLOC!$N$3="VOL_CLASS",$M65,$N65)))</f>
        <v/>
      </c>
      <c r="AF65" t="str">
        <f>IF($A65="","",IF(ALLOC!$N$3="VOL_EFF",$Q65,IF(ALLOC!$N$3="VOL_CLASS",$R65,$S65)))</f>
        <v/>
      </c>
      <c r="AG65" t="str">
        <f>IF($A65="","",IF(ALLOC!$N$1="VOL_EFF",$Q65,IF(ALLOC!$N$1="VOL_CLASS",$R65,$S65)))</f>
        <v/>
      </c>
      <c r="AH65" t="str">
        <f>IF($A65="","",IF(ALLOC!$N$1="VOL_EFF",$T65,IF(ALLOC!$N$1="VOL_CLASS",$U65,$V65)))</f>
        <v/>
      </c>
      <c r="AI65" t="str">
        <f t="shared" si="12"/>
        <v/>
      </c>
      <c r="AJ65" t="str">
        <f t="shared" si="13"/>
        <v/>
      </c>
      <c r="AK65" t="str">
        <f t="shared" si="14"/>
        <v/>
      </c>
      <c r="AL65" t="str">
        <f t="shared" si="15"/>
        <v/>
      </c>
      <c r="AM65" t="str">
        <f t="shared" si="16"/>
        <v/>
      </c>
      <c r="AN65" t="str">
        <f t="shared" si="17"/>
        <v/>
      </c>
      <c r="AO65" t="str">
        <f>IF($A65="","",Allocation2!AE65)</f>
        <v/>
      </c>
      <c r="AP65" t="str">
        <f>IF($A65="","",IF(ALLOC!$N$2="VOL_EFF",$Q65,IF(ALLOC!$N$2="VOL_CLASS",$R65,$S65)))</f>
        <v/>
      </c>
      <c r="AQ65" t="str">
        <f>IF($A65="","",IF(ALLOC!$N$2="VOL_EFF",$T65,IF(ALLOC!$N$2="VOL_CLASS",$U65,$V65)))</f>
        <v/>
      </c>
      <c r="AR65" t="str">
        <f t="shared" si="18"/>
        <v/>
      </c>
    </row>
    <row r="66" spans="1:44" x14ac:dyDescent="0.45">
      <c r="A66" t="str">
        <f>IF(Allocation2!D66="","",Allocation2!D66)</f>
        <v/>
      </c>
      <c r="B66" t="str">
        <f>IF(Allocation2!E66="","",Allocation2!E66)</f>
        <v/>
      </c>
      <c r="C66" t="str">
        <f>IF(Allocation2!F66="","",Allocation2!F66)</f>
        <v/>
      </c>
      <c r="D66" t="str">
        <f>IF(Allocation2!G66="","",Allocation2!G66)</f>
        <v/>
      </c>
      <c r="E66" t="str">
        <f>IF(Allocation2!H66="","",Allocation2!H66)</f>
        <v/>
      </c>
      <c r="F66" t="str">
        <f>IF(Allocation2!I66="","",Allocation2!I66)</f>
        <v/>
      </c>
      <c r="G66" t="str">
        <f>IF(Allocation2!E66="","",Allocation2!J66)</f>
        <v/>
      </c>
      <c r="H66" t="str">
        <f>IF(Allocation2!E66="","",Allocation2!K66)</f>
        <v/>
      </c>
      <c r="I66" t="str">
        <f>IF(Allocation2!E66="","",Allocation2!L66)</f>
        <v/>
      </c>
      <c r="J66" t="str">
        <f>IF($A66="","",Allocation2!X66)</f>
        <v/>
      </c>
      <c r="K66" t="str">
        <f t="shared" ref="K66:K129" si="28">IF($A66="","",$H66*IF(AND(LEFT($D66,3)="BAC",$F66="INIT"),600,IF(LEFT($D66,3)="BAC",480,IF(AND(LEFT($D66,3)="MAS",$F66="INIT"),520,IF(LEFT($D66,3)="MAS",420,IF($F66="INIT",1000,700))))))</f>
        <v/>
      </c>
      <c r="L66" t="str">
        <f t="shared" ref="L66:L97" si="29">IF($A66="","",SUMIFS($G$1:$G$349,$A$1:$A$349,$A66,$B$1:$B$349,$B66))</f>
        <v/>
      </c>
      <c r="M66" t="str">
        <f t="shared" ref="M66:M97" si="30">IF($A66="","",SUMIFS($H$1:$H$349,$A$1:$A$349,$A66,$B$1:$B$349,$B66))</f>
        <v/>
      </c>
      <c r="N66" t="str">
        <f t="shared" ref="N66:N97" si="31">IF($A66="","",SUMIFS($I$1:$I$349,$A$1:$A$349,$A66,$B$1:$B$349,$B66))</f>
        <v/>
      </c>
      <c r="O66" t="str">
        <f t="shared" ref="O66:O129" si="32">IF($A66="","",SUMIFS($K$1:$K$349,$A$1:$A$349,$A66,$B$1:$B$349,$B66))</f>
        <v/>
      </c>
      <c r="P66" t="str">
        <f t="shared" ref="P66:P129" si="33">IF($A66="","",SUMIFS($J$1:$J$349,$A$1:$A$349,$A66,$B$1:$B$349,$B66))</f>
        <v/>
      </c>
      <c r="Q66" t="str">
        <f t="shared" ref="Q66:Q97" si="34">IF($A66="","",SUMIFS($G$1:$G$349,$A$1:$A$349,$A66,$C$1:$C$349,$C66))</f>
        <v/>
      </c>
      <c r="R66" t="str">
        <f t="shared" ref="R66:R97" si="35">IF($A66="","",SUMIFS($H$1:$H$349,$A$1:$A$349,$A66,$C$1:$C$349,$C66))</f>
        <v/>
      </c>
      <c r="S66" t="str">
        <f t="shared" ref="S66:S97" si="36">IF($A66="","",SUMIFS($I$1:$I$349,$A$1:$A$349,$A66,$C$1:$C$349,$C66))</f>
        <v/>
      </c>
      <c r="T66" t="str">
        <f t="shared" ref="T66:T97" si="37">IF($A66="","",SUMIFS($G$1:$G$349,$A$1:$A$349,$A66))</f>
        <v/>
      </c>
      <c r="U66" t="str">
        <f t="shared" ref="U66:U97" si="38">IF($A66="","",SUMIFS($H$1:$H$349,$A$1:$A$349,$A66))</f>
        <v/>
      </c>
      <c r="V66" t="str">
        <f t="shared" ref="V66:V97" si="39">IF($A66="","",SUMIFS($I$1:$I$349,$A$1:$A$349,$A66))</f>
        <v/>
      </c>
      <c r="W66" t="str">
        <f>IF($A66="","",Allocation2!Y66)</f>
        <v/>
      </c>
      <c r="X66" t="str">
        <f>IF($A66="","",Allocation2!Z66)</f>
        <v/>
      </c>
      <c r="Y66" t="str">
        <f>IF($A66="","",Allocation2!AA66)</f>
        <v/>
      </c>
      <c r="Z66" t="str">
        <f>IF($A66="","",Allocation2!AB66)</f>
        <v/>
      </c>
      <c r="AA66" t="str">
        <f>IF($A66="","",Allocation2!AC66)</f>
        <v/>
      </c>
      <c r="AB66" t="str">
        <f>IF($A66="","",Allocation2!AD66)</f>
        <v/>
      </c>
      <c r="AC66" t="str">
        <f>IF($A66="","",IF(ALLOC!$N$4="VOL_EFF",$G66,IF(ALLOC!$N$4="VOL_CLASS",$H66,$I66)))</f>
        <v/>
      </c>
      <c r="AD66" t="str">
        <f>IF($A66="","",IF(ALLOC!$N$4="VOL_EFF",$L66,IF(ALLOC!$N$4="VOL_CLASS",$M66,$N66)))</f>
        <v/>
      </c>
      <c r="AE66" t="str">
        <f>IF($A66="","",IF(ALLOC!$N$3="VOL_EFF",$L66,IF(ALLOC!$N$3="VOL_CLASS",$M66,$N66)))</f>
        <v/>
      </c>
      <c r="AF66" t="str">
        <f>IF($A66="","",IF(ALLOC!$N$3="VOL_EFF",$Q66,IF(ALLOC!$N$3="VOL_CLASS",$R66,$S66)))</f>
        <v/>
      </c>
      <c r="AG66" t="str">
        <f>IF($A66="","",IF(ALLOC!$N$1="VOL_EFF",$Q66,IF(ALLOC!$N$1="VOL_CLASS",$R66,$S66)))</f>
        <v/>
      </c>
      <c r="AH66" t="str">
        <f>IF($A66="","",IF(ALLOC!$N$1="VOL_EFF",$T66,IF(ALLOC!$N$1="VOL_CLASS",$U66,$V66)))</f>
        <v/>
      </c>
      <c r="AI66" t="str">
        <f t="shared" ref="AI66:AI129" si="40">IF($A66="","",$W66*IFERROR($K66/$O66,0))</f>
        <v/>
      </c>
      <c r="AJ66" t="str">
        <f t="shared" ref="AJ66:AJ129" si="41">IF($A66="","",$X66*IFERROR($K66/$O66,0))</f>
        <v/>
      </c>
      <c r="AK66" t="str">
        <f t="shared" ref="AK66:AK129" si="42">IF($A66="","",$Y66*IFERROR($G66/$L66,0)+$Z66*IFERROR($J66/$P66,0))</f>
        <v/>
      </c>
      <c r="AL66" t="str">
        <f t="shared" ref="AL66:AL129" si="43">IF($A66="","",$AA66*IFERROR($AC66/$AD66,0))</f>
        <v/>
      </c>
      <c r="AM66" t="str">
        <f t="shared" ref="AM66:AM129" si="44">IF($A66="","",$AB66*IFERROR($AG66/$AH66,0)*IFERROR($AE66/$AF66,0)*IFERROR($AC66/$AD66,0))</f>
        <v/>
      </c>
      <c r="AN66" t="str">
        <f t="shared" ref="AN66:AN129" si="45">IF($A66="","",$I66-($AI66+$AJ66+$AK66+$AL66+$AM66+$AR66))</f>
        <v/>
      </c>
      <c r="AO66" t="str">
        <f>IF($A66="","",Allocation2!AE66)</f>
        <v/>
      </c>
      <c r="AP66" t="str">
        <f>IF($A66="","",IF(ALLOC!$N$2="VOL_EFF",$Q66,IF(ALLOC!$N$2="VOL_CLASS",$R66,$S66)))</f>
        <v/>
      </c>
      <c r="AQ66" t="str">
        <f>IF($A66="","",IF(ALLOC!$N$2="VOL_EFF",$T66,IF(ALLOC!$N$2="VOL_CLASS",$U66,$V66)))</f>
        <v/>
      </c>
      <c r="AR66" t="str">
        <f t="shared" ref="AR66:AR129" si="46">IF($A66="","",$AO66*IFERROR($AP66/$AQ66,0)*IFERROR($AE66/$AF66,0)*IFERROR($AC66/$AD66,0))</f>
        <v/>
      </c>
    </row>
    <row r="67" spans="1:44" x14ac:dyDescent="0.45">
      <c r="A67" t="str">
        <f>IF(Allocation2!D67="","",Allocation2!D67)</f>
        <v/>
      </c>
      <c r="B67" t="str">
        <f>IF(Allocation2!E67="","",Allocation2!E67)</f>
        <v/>
      </c>
      <c r="C67" t="str">
        <f>IF(Allocation2!F67="","",Allocation2!F67)</f>
        <v/>
      </c>
      <c r="D67" t="str">
        <f>IF(Allocation2!G67="","",Allocation2!G67)</f>
        <v/>
      </c>
      <c r="E67" t="str">
        <f>IF(Allocation2!H67="","",Allocation2!H67)</f>
        <v/>
      </c>
      <c r="F67" t="str">
        <f>IF(Allocation2!I67="","",Allocation2!I67)</f>
        <v/>
      </c>
      <c r="G67" t="str">
        <f>IF(Allocation2!E67="","",Allocation2!J67)</f>
        <v/>
      </c>
      <c r="H67" t="str">
        <f>IF(Allocation2!E67="","",Allocation2!K67)</f>
        <v/>
      </c>
      <c r="I67" t="str">
        <f>IF(Allocation2!E67="","",Allocation2!L67)</f>
        <v/>
      </c>
      <c r="J67" t="str">
        <f>IF($A67="","",Allocation2!X67)</f>
        <v/>
      </c>
      <c r="K67" t="str">
        <f t="shared" si="28"/>
        <v/>
      </c>
      <c r="L67" t="str">
        <f t="shared" si="29"/>
        <v/>
      </c>
      <c r="M67" t="str">
        <f t="shared" si="30"/>
        <v/>
      </c>
      <c r="N67" t="str">
        <f t="shared" si="31"/>
        <v/>
      </c>
      <c r="O67" t="str">
        <f t="shared" si="32"/>
        <v/>
      </c>
      <c r="P67" t="str">
        <f t="shared" si="33"/>
        <v/>
      </c>
      <c r="Q67" t="str">
        <f t="shared" si="34"/>
        <v/>
      </c>
      <c r="R67" t="str">
        <f t="shared" si="35"/>
        <v/>
      </c>
      <c r="S67" t="str">
        <f t="shared" si="36"/>
        <v/>
      </c>
      <c r="T67" t="str">
        <f t="shared" si="37"/>
        <v/>
      </c>
      <c r="U67" t="str">
        <f t="shared" si="38"/>
        <v/>
      </c>
      <c r="V67" t="str">
        <f t="shared" si="39"/>
        <v/>
      </c>
      <c r="W67" t="str">
        <f>IF($A67="","",Allocation2!Y67)</f>
        <v/>
      </c>
      <c r="X67" t="str">
        <f>IF($A67="","",Allocation2!Z67)</f>
        <v/>
      </c>
      <c r="Y67" t="str">
        <f>IF($A67="","",Allocation2!AA67)</f>
        <v/>
      </c>
      <c r="Z67" t="str">
        <f>IF($A67="","",Allocation2!AB67)</f>
        <v/>
      </c>
      <c r="AA67" t="str">
        <f>IF($A67="","",Allocation2!AC67)</f>
        <v/>
      </c>
      <c r="AB67" t="str">
        <f>IF($A67="","",Allocation2!AD67)</f>
        <v/>
      </c>
      <c r="AC67" t="str">
        <f>IF($A67="","",IF(ALLOC!$N$4="VOL_EFF",$G67,IF(ALLOC!$N$4="VOL_CLASS",$H67,$I67)))</f>
        <v/>
      </c>
      <c r="AD67" t="str">
        <f>IF($A67="","",IF(ALLOC!$N$4="VOL_EFF",$L67,IF(ALLOC!$N$4="VOL_CLASS",$M67,$N67)))</f>
        <v/>
      </c>
      <c r="AE67" t="str">
        <f>IF($A67="","",IF(ALLOC!$N$3="VOL_EFF",$L67,IF(ALLOC!$N$3="VOL_CLASS",$M67,$N67)))</f>
        <v/>
      </c>
      <c r="AF67" t="str">
        <f>IF($A67="","",IF(ALLOC!$N$3="VOL_EFF",$Q67,IF(ALLOC!$N$3="VOL_CLASS",$R67,$S67)))</f>
        <v/>
      </c>
      <c r="AG67" t="str">
        <f>IF($A67="","",IF(ALLOC!$N$1="VOL_EFF",$Q67,IF(ALLOC!$N$1="VOL_CLASS",$R67,$S67)))</f>
        <v/>
      </c>
      <c r="AH67" t="str">
        <f>IF($A67="","",IF(ALLOC!$N$1="VOL_EFF",$T67,IF(ALLOC!$N$1="VOL_CLASS",$U67,$V67)))</f>
        <v/>
      </c>
      <c r="AI67" t="str">
        <f t="shared" si="40"/>
        <v/>
      </c>
      <c r="AJ67" t="str">
        <f t="shared" si="41"/>
        <v/>
      </c>
      <c r="AK67" t="str">
        <f t="shared" si="42"/>
        <v/>
      </c>
      <c r="AL67" t="str">
        <f t="shared" si="43"/>
        <v/>
      </c>
      <c r="AM67" t="str">
        <f t="shared" si="44"/>
        <v/>
      </c>
      <c r="AN67" t="str">
        <f t="shared" si="45"/>
        <v/>
      </c>
      <c r="AO67" t="str">
        <f>IF($A67="","",Allocation2!AE67)</f>
        <v/>
      </c>
      <c r="AP67" t="str">
        <f>IF($A67="","",IF(ALLOC!$N$2="VOL_EFF",$Q67,IF(ALLOC!$N$2="VOL_CLASS",$R67,$S67)))</f>
        <v/>
      </c>
      <c r="AQ67" t="str">
        <f>IF($A67="","",IF(ALLOC!$N$2="VOL_EFF",$T67,IF(ALLOC!$N$2="VOL_CLASS",$U67,$V67)))</f>
        <v/>
      </c>
      <c r="AR67" t="str">
        <f t="shared" si="46"/>
        <v/>
      </c>
    </row>
    <row r="68" spans="1:44" x14ac:dyDescent="0.45">
      <c r="A68" t="str">
        <f>IF(Allocation2!D68="","",Allocation2!D68)</f>
        <v/>
      </c>
      <c r="B68" t="str">
        <f>IF(Allocation2!E68="","",Allocation2!E68)</f>
        <v/>
      </c>
      <c r="C68" t="str">
        <f>IF(Allocation2!F68="","",Allocation2!F68)</f>
        <v/>
      </c>
      <c r="D68" t="str">
        <f>IF(Allocation2!G68="","",Allocation2!G68)</f>
        <v/>
      </c>
      <c r="E68" t="str">
        <f>IF(Allocation2!H68="","",Allocation2!H68)</f>
        <v/>
      </c>
      <c r="F68" t="str">
        <f>IF(Allocation2!I68="","",Allocation2!I68)</f>
        <v/>
      </c>
      <c r="G68" t="str">
        <f>IF(Allocation2!E68="","",Allocation2!J68)</f>
        <v/>
      </c>
      <c r="H68" t="str">
        <f>IF(Allocation2!E68="","",Allocation2!K68)</f>
        <v/>
      </c>
      <c r="I68" t="str">
        <f>IF(Allocation2!E68="","",Allocation2!L68)</f>
        <v/>
      </c>
      <c r="J68" t="str">
        <f>IF($A68="","",Allocation2!X68)</f>
        <v/>
      </c>
      <c r="K68" t="str">
        <f t="shared" si="28"/>
        <v/>
      </c>
      <c r="L68" t="str">
        <f t="shared" si="29"/>
        <v/>
      </c>
      <c r="M68" t="str">
        <f t="shared" si="30"/>
        <v/>
      </c>
      <c r="N68" t="str">
        <f t="shared" si="31"/>
        <v/>
      </c>
      <c r="O68" t="str">
        <f t="shared" si="32"/>
        <v/>
      </c>
      <c r="P68" t="str">
        <f t="shared" si="33"/>
        <v/>
      </c>
      <c r="Q68" t="str">
        <f t="shared" si="34"/>
        <v/>
      </c>
      <c r="R68" t="str">
        <f t="shared" si="35"/>
        <v/>
      </c>
      <c r="S68" t="str">
        <f t="shared" si="36"/>
        <v/>
      </c>
      <c r="T68" t="str">
        <f t="shared" si="37"/>
        <v/>
      </c>
      <c r="U68" t="str">
        <f t="shared" si="38"/>
        <v/>
      </c>
      <c r="V68" t="str">
        <f t="shared" si="39"/>
        <v/>
      </c>
      <c r="W68" t="str">
        <f>IF($A68="","",Allocation2!Y68)</f>
        <v/>
      </c>
      <c r="X68" t="str">
        <f>IF($A68="","",Allocation2!Z68)</f>
        <v/>
      </c>
      <c r="Y68" t="str">
        <f>IF($A68="","",Allocation2!AA68)</f>
        <v/>
      </c>
      <c r="Z68" t="str">
        <f>IF($A68="","",Allocation2!AB68)</f>
        <v/>
      </c>
      <c r="AA68" t="str">
        <f>IF($A68="","",Allocation2!AC68)</f>
        <v/>
      </c>
      <c r="AB68" t="str">
        <f>IF($A68="","",Allocation2!AD68)</f>
        <v/>
      </c>
      <c r="AC68" t="str">
        <f>IF($A68="","",IF(ALLOC!$N$4="VOL_EFF",$G68,IF(ALLOC!$N$4="VOL_CLASS",$H68,$I68)))</f>
        <v/>
      </c>
      <c r="AD68" t="str">
        <f>IF($A68="","",IF(ALLOC!$N$4="VOL_EFF",$L68,IF(ALLOC!$N$4="VOL_CLASS",$M68,$N68)))</f>
        <v/>
      </c>
      <c r="AE68" t="str">
        <f>IF($A68="","",IF(ALLOC!$N$3="VOL_EFF",$L68,IF(ALLOC!$N$3="VOL_CLASS",$M68,$N68)))</f>
        <v/>
      </c>
      <c r="AF68" t="str">
        <f>IF($A68="","",IF(ALLOC!$N$3="VOL_EFF",$Q68,IF(ALLOC!$N$3="VOL_CLASS",$R68,$S68)))</f>
        <v/>
      </c>
      <c r="AG68" t="str">
        <f>IF($A68="","",IF(ALLOC!$N$1="VOL_EFF",$Q68,IF(ALLOC!$N$1="VOL_CLASS",$R68,$S68)))</f>
        <v/>
      </c>
      <c r="AH68" t="str">
        <f>IF($A68="","",IF(ALLOC!$N$1="VOL_EFF",$T68,IF(ALLOC!$N$1="VOL_CLASS",$U68,$V68)))</f>
        <v/>
      </c>
      <c r="AI68" t="str">
        <f t="shared" si="40"/>
        <v/>
      </c>
      <c r="AJ68" t="str">
        <f t="shared" si="41"/>
        <v/>
      </c>
      <c r="AK68" t="str">
        <f t="shared" si="42"/>
        <v/>
      </c>
      <c r="AL68" t="str">
        <f t="shared" si="43"/>
        <v/>
      </c>
      <c r="AM68" t="str">
        <f t="shared" si="44"/>
        <v/>
      </c>
      <c r="AN68" t="str">
        <f t="shared" si="45"/>
        <v/>
      </c>
      <c r="AO68" t="str">
        <f>IF($A68="","",Allocation2!AE68)</f>
        <v/>
      </c>
      <c r="AP68" t="str">
        <f>IF($A68="","",IF(ALLOC!$N$2="VOL_EFF",$Q68,IF(ALLOC!$N$2="VOL_CLASS",$R68,$S68)))</f>
        <v/>
      </c>
      <c r="AQ68" t="str">
        <f>IF($A68="","",IF(ALLOC!$N$2="VOL_EFF",$T68,IF(ALLOC!$N$2="VOL_CLASS",$U68,$V68)))</f>
        <v/>
      </c>
      <c r="AR68" t="str">
        <f t="shared" si="46"/>
        <v/>
      </c>
    </row>
    <row r="69" spans="1:44" x14ac:dyDescent="0.45">
      <c r="A69" t="str">
        <f>IF(Allocation2!D69="","",Allocation2!D69)</f>
        <v/>
      </c>
      <c r="B69" t="str">
        <f>IF(Allocation2!E69="","",Allocation2!E69)</f>
        <v/>
      </c>
      <c r="C69" t="str">
        <f>IF(Allocation2!F69="","",Allocation2!F69)</f>
        <v/>
      </c>
      <c r="D69" t="str">
        <f>IF(Allocation2!G69="","",Allocation2!G69)</f>
        <v/>
      </c>
      <c r="E69" t="str">
        <f>IF(Allocation2!H69="","",Allocation2!H69)</f>
        <v/>
      </c>
      <c r="F69" t="str">
        <f>IF(Allocation2!I69="","",Allocation2!I69)</f>
        <v/>
      </c>
      <c r="G69" t="str">
        <f>IF(Allocation2!E69="","",Allocation2!J69)</f>
        <v/>
      </c>
      <c r="H69" t="str">
        <f>IF(Allocation2!E69="","",Allocation2!K69)</f>
        <v/>
      </c>
      <c r="I69" t="str">
        <f>IF(Allocation2!E69="","",Allocation2!L69)</f>
        <v/>
      </c>
      <c r="J69" t="str">
        <f>IF($A69="","",Allocation2!X69)</f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N69" t="str">
        <f t="shared" si="31"/>
        <v/>
      </c>
      <c r="O69" t="str">
        <f t="shared" si="32"/>
        <v/>
      </c>
      <c r="P69" t="str">
        <f t="shared" si="33"/>
        <v/>
      </c>
      <c r="Q69" t="str">
        <f t="shared" si="34"/>
        <v/>
      </c>
      <c r="R69" t="str">
        <f t="shared" si="35"/>
        <v/>
      </c>
      <c r="S69" t="str">
        <f t="shared" si="36"/>
        <v/>
      </c>
      <c r="T69" t="str">
        <f t="shared" si="37"/>
        <v/>
      </c>
      <c r="U69" t="str">
        <f t="shared" si="38"/>
        <v/>
      </c>
      <c r="V69" t="str">
        <f t="shared" si="39"/>
        <v/>
      </c>
      <c r="W69" t="str">
        <f>IF($A69="","",Allocation2!Y69)</f>
        <v/>
      </c>
      <c r="X69" t="str">
        <f>IF($A69="","",Allocation2!Z69)</f>
        <v/>
      </c>
      <c r="Y69" t="str">
        <f>IF($A69="","",Allocation2!AA69)</f>
        <v/>
      </c>
      <c r="Z69" t="str">
        <f>IF($A69="","",Allocation2!AB69)</f>
        <v/>
      </c>
      <c r="AA69" t="str">
        <f>IF($A69="","",Allocation2!AC69)</f>
        <v/>
      </c>
      <c r="AB69" t="str">
        <f>IF($A69="","",Allocation2!AD69)</f>
        <v/>
      </c>
      <c r="AC69" t="str">
        <f>IF($A69="","",IF(ALLOC!$N$4="VOL_EFF",$G69,IF(ALLOC!$N$4="VOL_CLASS",$H69,$I69)))</f>
        <v/>
      </c>
      <c r="AD69" t="str">
        <f>IF($A69="","",IF(ALLOC!$N$4="VOL_EFF",$L69,IF(ALLOC!$N$4="VOL_CLASS",$M69,$N69)))</f>
        <v/>
      </c>
      <c r="AE69" t="str">
        <f>IF($A69="","",IF(ALLOC!$N$3="VOL_EFF",$L69,IF(ALLOC!$N$3="VOL_CLASS",$M69,$N69)))</f>
        <v/>
      </c>
      <c r="AF69" t="str">
        <f>IF($A69="","",IF(ALLOC!$N$3="VOL_EFF",$Q69,IF(ALLOC!$N$3="VOL_CLASS",$R69,$S69)))</f>
        <v/>
      </c>
      <c r="AG69" t="str">
        <f>IF($A69="","",IF(ALLOC!$N$1="VOL_EFF",$Q69,IF(ALLOC!$N$1="VOL_CLASS",$R69,$S69)))</f>
        <v/>
      </c>
      <c r="AH69" t="str">
        <f>IF($A69="","",IF(ALLOC!$N$1="VOL_EFF",$T69,IF(ALLOC!$N$1="VOL_CLASS",$U69,$V69)))</f>
        <v/>
      </c>
      <c r="AI69" t="str">
        <f t="shared" si="40"/>
        <v/>
      </c>
      <c r="AJ69" t="str">
        <f t="shared" si="41"/>
        <v/>
      </c>
      <c r="AK69" t="str">
        <f t="shared" si="42"/>
        <v/>
      </c>
      <c r="AL69" t="str">
        <f t="shared" si="43"/>
        <v/>
      </c>
      <c r="AM69" t="str">
        <f t="shared" si="44"/>
        <v/>
      </c>
      <c r="AN69" t="str">
        <f t="shared" si="45"/>
        <v/>
      </c>
      <c r="AO69" t="str">
        <f>IF($A69="","",Allocation2!AE69)</f>
        <v/>
      </c>
      <c r="AP69" t="str">
        <f>IF($A69="","",IF(ALLOC!$N$2="VOL_EFF",$Q69,IF(ALLOC!$N$2="VOL_CLASS",$R69,$S69)))</f>
        <v/>
      </c>
      <c r="AQ69" t="str">
        <f>IF($A69="","",IF(ALLOC!$N$2="VOL_EFF",$T69,IF(ALLOC!$N$2="VOL_CLASS",$U69,$V69)))</f>
        <v/>
      </c>
      <c r="AR69" t="str">
        <f t="shared" si="46"/>
        <v/>
      </c>
    </row>
    <row r="70" spans="1:44" x14ac:dyDescent="0.45">
      <c r="A70" t="str">
        <f>IF(Allocation2!D70="","",Allocation2!D70)</f>
        <v/>
      </c>
      <c r="B70" t="str">
        <f>IF(Allocation2!E70="","",Allocation2!E70)</f>
        <v/>
      </c>
      <c r="C70" t="str">
        <f>IF(Allocation2!F70="","",Allocation2!F70)</f>
        <v/>
      </c>
      <c r="D70" t="str">
        <f>IF(Allocation2!G70="","",Allocation2!G70)</f>
        <v/>
      </c>
      <c r="E70" t="str">
        <f>IF(Allocation2!H70="","",Allocation2!H70)</f>
        <v/>
      </c>
      <c r="F70" t="str">
        <f>IF(Allocation2!I70="","",Allocation2!I70)</f>
        <v/>
      </c>
      <c r="G70" t="str">
        <f>IF(Allocation2!E70="","",Allocation2!J70)</f>
        <v/>
      </c>
      <c r="H70" t="str">
        <f>IF(Allocation2!E70="","",Allocation2!K70)</f>
        <v/>
      </c>
      <c r="I70" t="str">
        <f>IF(Allocation2!E70="","",Allocation2!L70)</f>
        <v/>
      </c>
      <c r="J70" t="str">
        <f>IF($A70="","",Allocation2!X70)</f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N70" t="str">
        <f t="shared" si="31"/>
        <v/>
      </c>
      <c r="O70" t="str">
        <f t="shared" si="32"/>
        <v/>
      </c>
      <c r="P70" t="str">
        <f t="shared" si="33"/>
        <v/>
      </c>
      <c r="Q70" t="str">
        <f t="shared" si="34"/>
        <v/>
      </c>
      <c r="R70" t="str">
        <f t="shared" si="35"/>
        <v/>
      </c>
      <c r="S70" t="str">
        <f t="shared" si="36"/>
        <v/>
      </c>
      <c r="T70" t="str">
        <f t="shared" si="37"/>
        <v/>
      </c>
      <c r="U70" t="str">
        <f t="shared" si="38"/>
        <v/>
      </c>
      <c r="V70" t="str">
        <f t="shared" si="39"/>
        <v/>
      </c>
      <c r="W70" t="str">
        <f>IF($A70="","",Allocation2!Y70)</f>
        <v/>
      </c>
      <c r="X70" t="str">
        <f>IF($A70="","",Allocation2!Z70)</f>
        <v/>
      </c>
      <c r="Y70" t="str">
        <f>IF($A70="","",Allocation2!AA70)</f>
        <v/>
      </c>
      <c r="Z70" t="str">
        <f>IF($A70="","",Allocation2!AB70)</f>
        <v/>
      </c>
      <c r="AA70" t="str">
        <f>IF($A70="","",Allocation2!AC70)</f>
        <v/>
      </c>
      <c r="AB70" t="str">
        <f>IF($A70="","",Allocation2!AD70)</f>
        <v/>
      </c>
      <c r="AC70" t="str">
        <f>IF($A70="","",IF(ALLOC!$N$4="VOL_EFF",$G70,IF(ALLOC!$N$4="VOL_CLASS",$H70,$I70)))</f>
        <v/>
      </c>
      <c r="AD70" t="str">
        <f>IF($A70="","",IF(ALLOC!$N$4="VOL_EFF",$L70,IF(ALLOC!$N$4="VOL_CLASS",$M70,$N70)))</f>
        <v/>
      </c>
      <c r="AE70" t="str">
        <f>IF($A70="","",IF(ALLOC!$N$3="VOL_EFF",$L70,IF(ALLOC!$N$3="VOL_CLASS",$M70,$N70)))</f>
        <v/>
      </c>
      <c r="AF70" t="str">
        <f>IF($A70="","",IF(ALLOC!$N$3="VOL_EFF",$Q70,IF(ALLOC!$N$3="VOL_CLASS",$R70,$S70)))</f>
        <v/>
      </c>
      <c r="AG70" t="str">
        <f>IF($A70="","",IF(ALLOC!$N$1="VOL_EFF",$Q70,IF(ALLOC!$N$1="VOL_CLASS",$R70,$S70)))</f>
        <v/>
      </c>
      <c r="AH70" t="str">
        <f>IF($A70="","",IF(ALLOC!$N$1="VOL_EFF",$T70,IF(ALLOC!$N$1="VOL_CLASS",$U70,$V70)))</f>
        <v/>
      </c>
      <c r="AI70" t="str">
        <f t="shared" si="40"/>
        <v/>
      </c>
      <c r="AJ70" t="str">
        <f t="shared" si="41"/>
        <v/>
      </c>
      <c r="AK70" t="str">
        <f t="shared" si="42"/>
        <v/>
      </c>
      <c r="AL70" t="str">
        <f t="shared" si="43"/>
        <v/>
      </c>
      <c r="AM70" t="str">
        <f t="shared" si="44"/>
        <v/>
      </c>
      <c r="AN70" t="str">
        <f t="shared" si="45"/>
        <v/>
      </c>
      <c r="AO70" t="str">
        <f>IF($A70="","",Allocation2!AE70)</f>
        <v/>
      </c>
      <c r="AP70" t="str">
        <f>IF($A70="","",IF(ALLOC!$N$2="VOL_EFF",$Q70,IF(ALLOC!$N$2="VOL_CLASS",$R70,$S70)))</f>
        <v/>
      </c>
      <c r="AQ70" t="str">
        <f>IF($A70="","",IF(ALLOC!$N$2="VOL_EFF",$T70,IF(ALLOC!$N$2="VOL_CLASS",$U70,$V70)))</f>
        <v/>
      </c>
      <c r="AR70" t="str">
        <f t="shared" si="46"/>
        <v/>
      </c>
    </row>
    <row r="71" spans="1:44" x14ac:dyDescent="0.45">
      <c r="A71" t="str">
        <f>IF(Allocation2!D71="","",Allocation2!D71)</f>
        <v/>
      </c>
      <c r="B71" t="str">
        <f>IF(Allocation2!E71="","",Allocation2!E71)</f>
        <v/>
      </c>
      <c r="C71" t="str">
        <f>IF(Allocation2!F71="","",Allocation2!F71)</f>
        <v/>
      </c>
      <c r="D71" t="str">
        <f>IF(Allocation2!G71="","",Allocation2!G71)</f>
        <v/>
      </c>
      <c r="E71" t="str">
        <f>IF(Allocation2!H71="","",Allocation2!H71)</f>
        <v/>
      </c>
      <c r="F71" t="str">
        <f>IF(Allocation2!I71="","",Allocation2!I71)</f>
        <v/>
      </c>
      <c r="G71" t="str">
        <f>IF(Allocation2!E71="","",Allocation2!J71)</f>
        <v/>
      </c>
      <c r="H71" t="str">
        <f>IF(Allocation2!E71="","",Allocation2!K71)</f>
        <v/>
      </c>
      <c r="I71" t="str">
        <f>IF(Allocation2!E71="","",Allocation2!L71)</f>
        <v/>
      </c>
      <c r="J71" t="str">
        <f>IF($A71="","",Allocation2!X71)</f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N71" t="str">
        <f t="shared" si="31"/>
        <v/>
      </c>
      <c r="O71" t="str">
        <f t="shared" si="32"/>
        <v/>
      </c>
      <c r="P71" t="str">
        <f t="shared" si="33"/>
        <v/>
      </c>
      <c r="Q71" t="str">
        <f t="shared" si="34"/>
        <v/>
      </c>
      <c r="R71" t="str">
        <f t="shared" si="35"/>
        <v/>
      </c>
      <c r="S71" t="str">
        <f t="shared" si="36"/>
        <v/>
      </c>
      <c r="T71" t="str">
        <f t="shared" si="37"/>
        <v/>
      </c>
      <c r="U71" t="str">
        <f t="shared" si="38"/>
        <v/>
      </c>
      <c r="V71" t="str">
        <f t="shared" si="39"/>
        <v/>
      </c>
      <c r="W71" t="str">
        <f>IF($A71="","",Allocation2!Y71)</f>
        <v/>
      </c>
      <c r="X71" t="str">
        <f>IF($A71="","",Allocation2!Z71)</f>
        <v/>
      </c>
      <c r="Y71" t="str">
        <f>IF($A71="","",Allocation2!AA71)</f>
        <v/>
      </c>
      <c r="Z71" t="str">
        <f>IF($A71="","",Allocation2!AB71)</f>
        <v/>
      </c>
      <c r="AA71" t="str">
        <f>IF($A71="","",Allocation2!AC71)</f>
        <v/>
      </c>
      <c r="AB71" t="str">
        <f>IF($A71="","",Allocation2!AD71)</f>
        <v/>
      </c>
      <c r="AC71" t="str">
        <f>IF($A71="","",IF(ALLOC!$N$4="VOL_EFF",$G71,IF(ALLOC!$N$4="VOL_CLASS",$H71,$I71)))</f>
        <v/>
      </c>
      <c r="AD71" t="str">
        <f>IF($A71="","",IF(ALLOC!$N$4="VOL_EFF",$L71,IF(ALLOC!$N$4="VOL_CLASS",$M71,$N71)))</f>
        <v/>
      </c>
      <c r="AE71" t="str">
        <f>IF($A71="","",IF(ALLOC!$N$3="VOL_EFF",$L71,IF(ALLOC!$N$3="VOL_CLASS",$M71,$N71)))</f>
        <v/>
      </c>
      <c r="AF71" t="str">
        <f>IF($A71="","",IF(ALLOC!$N$3="VOL_EFF",$Q71,IF(ALLOC!$N$3="VOL_CLASS",$R71,$S71)))</f>
        <v/>
      </c>
      <c r="AG71" t="str">
        <f>IF($A71="","",IF(ALLOC!$N$1="VOL_EFF",$Q71,IF(ALLOC!$N$1="VOL_CLASS",$R71,$S71)))</f>
        <v/>
      </c>
      <c r="AH71" t="str">
        <f>IF($A71="","",IF(ALLOC!$N$1="VOL_EFF",$T71,IF(ALLOC!$N$1="VOL_CLASS",$U71,$V71)))</f>
        <v/>
      </c>
      <c r="AI71" t="str">
        <f t="shared" si="40"/>
        <v/>
      </c>
      <c r="AJ71" t="str">
        <f t="shared" si="41"/>
        <v/>
      </c>
      <c r="AK71" t="str">
        <f t="shared" si="42"/>
        <v/>
      </c>
      <c r="AL71" t="str">
        <f t="shared" si="43"/>
        <v/>
      </c>
      <c r="AM71" t="str">
        <f t="shared" si="44"/>
        <v/>
      </c>
      <c r="AN71" t="str">
        <f t="shared" si="45"/>
        <v/>
      </c>
      <c r="AO71" t="str">
        <f>IF($A71="","",Allocation2!AE71)</f>
        <v/>
      </c>
      <c r="AP71" t="str">
        <f>IF($A71="","",IF(ALLOC!$N$2="VOL_EFF",$Q71,IF(ALLOC!$N$2="VOL_CLASS",$R71,$S71)))</f>
        <v/>
      </c>
      <c r="AQ71" t="str">
        <f>IF($A71="","",IF(ALLOC!$N$2="VOL_EFF",$T71,IF(ALLOC!$N$2="VOL_CLASS",$U71,$V71)))</f>
        <v/>
      </c>
      <c r="AR71" t="str">
        <f t="shared" si="46"/>
        <v/>
      </c>
    </row>
    <row r="72" spans="1:44" x14ac:dyDescent="0.45">
      <c r="A72" t="str">
        <f>IF(Allocation2!D72="","",Allocation2!D72)</f>
        <v/>
      </c>
      <c r="B72" t="str">
        <f>IF(Allocation2!E72="","",Allocation2!E72)</f>
        <v/>
      </c>
      <c r="C72" t="str">
        <f>IF(Allocation2!F72="","",Allocation2!F72)</f>
        <v/>
      </c>
      <c r="D72" t="str">
        <f>IF(Allocation2!G72="","",Allocation2!G72)</f>
        <v/>
      </c>
      <c r="E72" t="str">
        <f>IF(Allocation2!H72="","",Allocation2!H72)</f>
        <v/>
      </c>
      <c r="F72" t="str">
        <f>IF(Allocation2!I72="","",Allocation2!I72)</f>
        <v/>
      </c>
      <c r="G72" t="str">
        <f>IF(Allocation2!E72="","",Allocation2!J72)</f>
        <v/>
      </c>
      <c r="H72" t="str">
        <f>IF(Allocation2!E72="","",Allocation2!K72)</f>
        <v/>
      </c>
      <c r="I72" t="str">
        <f>IF(Allocation2!E72="","",Allocation2!L72)</f>
        <v/>
      </c>
      <c r="J72" t="str">
        <f>IF($A72="","",Allocation2!X72)</f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N72" t="str">
        <f t="shared" si="31"/>
        <v/>
      </c>
      <c r="O72" t="str">
        <f t="shared" si="32"/>
        <v/>
      </c>
      <c r="P72" t="str">
        <f t="shared" si="33"/>
        <v/>
      </c>
      <c r="Q72" t="str">
        <f t="shared" si="34"/>
        <v/>
      </c>
      <c r="R72" t="str">
        <f t="shared" si="35"/>
        <v/>
      </c>
      <c r="S72" t="str">
        <f t="shared" si="36"/>
        <v/>
      </c>
      <c r="T72" t="str">
        <f t="shared" si="37"/>
        <v/>
      </c>
      <c r="U72" t="str">
        <f t="shared" si="38"/>
        <v/>
      </c>
      <c r="V72" t="str">
        <f t="shared" si="39"/>
        <v/>
      </c>
      <c r="W72" t="str">
        <f>IF($A72="","",Allocation2!Y72)</f>
        <v/>
      </c>
      <c r="X72" t="str">
        <f>IF($A72="","",Allocation2!Z72)</f>
        <v/>
      </c>
      <c r="Y72" t="str">
        <f>IF($A72="","",Allocation2!AA72)</f>
        <v/>
      </c>
      <c r="Z72" t="str">
        <f>IF($A72="","",Allocation2!AB72)</f>
        <v/>
      </c>
      <c r="AA72" t="str">
        <f>IF($A72="","",Allocation2!AC72)</f>
        <v/>
      </c>
      <c r="AB72" t="str">
        <f>IF($A72="","",Allocation2!AD72)</f>
        <v/>
      </c>
      <c r="AC72" t="str">
        <f>IF($A72="","",IF(ALLOC!$N$4="VOL_EFF",$G72,IF(ALLOC!$N$4="VOL_CLASS",$H72,$I72)))</f>
        <v/>
      </c>
      <c r="AD72" t="str">
        <f>IF($A72="","",IF(ALLOC!$N$4="VOL_EFF",$L72,IF(ALLOC!$N$4="VOL_CLASS",$M72,$N72)))</f>
        <v/>
      </c>
      <c r="AE72" t="str">
        <f>IF($A72="","",IF(ALLOC!$N$3="VOL_EFF",$L72,IF(ALLOC!$N$3="VOL_CLASS",$M72,$N72)))</f>
        <v/>
      </c>
      <c r="AF72" t="str">
        <f>IF($A72="","",IF(ALLOC!$N$3="VOL_EFF",$Q72,IF(ALLOC!$N$3="VOL_CLASS",$R72,$S72)))</f>
        <v/>
      </c>
      <c r="AG72" t="str">
        <f>IF($A72="","",IF(ALLOC!$N$1="VOL_EFF",$Q72,IF(ALLOC!$N$1="VOL_CLASS",$R72,$S72)))</f>
        <v/>
      </c>
      <c r="AH72" t="str">
        <f>IF($A72="","",IF(ALLOC!$N$1="VOL_EFF",$T72,IF(ALLOC!$N$1="VOL_CLASS",$U72,$V72)))</f>
        <v/>
      </c>
      <c r="AI72" t="str">
        <f t="shared" si="40"/>
        <v/>
      </c>
      <c r="AJ72" t="str">
        <f t="shared" si="41"/>
        <v/>
      </c>
      <c r="AK72" t="str">
        <f t="shared" si="42"/>
        <v/>
      </c>
      <c r="AL72" t="str">
        <f t="shared" si="43"/>
        <v/>
      </c>
      <c r="AM72" t="str">
        <f t="shared" si="44"/>
        <v/>
      </c>
      <c r="AN72" t="str">
        <f t="shared" si="45"/>
        <v/>
      </c>
      <c r="AO72" t="str">
        <f>IF($A72="","",Allocation2!AE72)</f>
        <v/>
      </c>
      <c r="AP72" t="str">
        <f>IF($A72="","",IF(ALLOC!$N$2="VOL_EFF",$Q72,IF(ALLOC!$N$2="VOL_CLASS",$R72,$S72)))</f>
        <v/>
      </c>
      <c r="AQ72" t="str">
        <f>IF($A72="","",IF(ALLOC!$N$2="VOL_EFF",$T72,IF(ALLOC!$N$2="VOL_CLASS",$U72,$V72)))</f>
        <v/>
      </c>
      <c r="AR72" t="str">
        <f t="shared" si="46"/>
        <v/>
      </c>
    </row>
    <row r="73" spans="1:44" x14ac:dyDescent="0.45">
      <c r="A73" t="str">
        <f>IF(Allocation2!D73="","",Allocation2!D73)</f>
        <v/>
      </c>
      <c r="B73" t="str">
        <f>IF(Allocation2!E73="","",Allocation2!E73)</f>
        <v/>
      </c>
      <c r="C73" t="str">
        <f>IF(Allocation2!F73="","",Allocation2!F73)</f>
        <v/>
      </c>
      <c r="D73" t="str">
        <f>IF(Allocation2!G73="","",Allocation2!G73)</f>
        <v/>
      </c>
      <c r="E73" t="str">
        <f>IF(Allocation2!H73="","",Allocation2!H73)</f>
        <v/>
      </c>
      <c r="F73" t="str">
        <f>IF(Allocation2!I73="","",Allocation2!I73)</f>
        <v/>
      </c>
      <c r="G73" t="str">
        <f>IF(Allocation2!E73="","",Allocation2!J73)</f>
        <v/>
      </c>
      <c r="H73" t="str">
        <f>IF(Allocation2!E73="","",Allocation2!K73)</f>
        <v/>
      </c>
      <c r="I73" t="str">
        <f>IF(Allocation2!E73="","",Allocation2!L73)</f>
        <v/>
      </c>
      <c r="J73" t="str">
        <f>IF($A73="","",Allocation2!X73)</f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N73" t="str">
        <f t="shared" si="31"/>
        <v/>
      </c>
      <c r="O73" t="str">
        <f t="shared" si="32"/>
        <v/>
      </c>
      <c r="P73" t="str">
        <f t="shared" si="33"/>
        <v/>
      </c>
      <c r="Q73" t="str">
        <f t="shared" si="34"/>
        <v/>
      </c>
      <c r="R73" t="str">
        <f t="shared" si="35"/>
        <v/>
      </c>
      <c r="S73" t="str">
        <f t="shared" si="36"/>
        <v/>
      </c>
      <c r="T73" t="str">
        <f t="shared" si="37"/>
        <v/>
      </c>
      <c r="U73" t="str">
        <f t="shared" si="38"/>
        <v/>
      </c>
      <c r="V73" t="str">
        <f t="shared" si="39"/>
        <v/>
      </c>
      <c r="W73" t="str">
        <f>IF($A73="","",Allocation2!Y73)</f>
        <v/>
      </c>
      <c r="X73" t="str">
        <f>IF($A73="","",Allocation2!Z73)</f>
        <v/>
      </c>
      <c r="Y73" t="str">
        <f>IF($A73="","",Allocation2!AA73)</f>
        <v/>
      </c>
      <c r="Z73" t="str">
        <f>IF($A73="","",Allocation2!AB73)</f>
        <v/>
      </c>
      <c r="AA73" t="str">
        <f>IF($A73="","",Allocation2!AC73)</f>
        <v/>
      </c>
      <c r="AB73" t="str">
        <f>IF($A73="","",Allocation2!AD73)</f>
        <v/>
      </c>
      <c r="AC73" t="str">
        <f>IF($A73="","",IF(ALLOC!$N$4="VOL_EFF",$G73,IF(ALLOC!$N$4="VOL_CLASS",$H73,$I73)))</f>
        <v/>
      </c>
      <c r="AD73" t="str">
        <f>IF($A73="","",IF(ALLOC!$N$4="VOL_EFF",$L73,IF(ALLOC!$N$4="VOL_CLASS",$M73,$N73)))</f>
        <v/>
      </c>
      <c r="AE73" t="str">
        <f>IF($A73="","",IF(ALLOC!$N$3="VOL_EFF",$L73,IF(ALLOC!$N$3="VOL_CLASS",$M73,$N73)))</f>
        <v/>
      </c>
      <c r="AF73" t="str">
        <f>IF($A73="","",IF(ALLOC!$N$3="VOL_EFF",$Q73,IF(ALLOC!$N$3="VOL_CLASS",$R73,$S73)))</f>
        <v/>
      </c>
      <c r="AG73" t="str">
        <f>IF($A73="","",IF(ALLOC!$N$1="VOL_EFF",$Q73,IF(ALLOC!$N$1="VOL_CLASS",$R73,$S73)))</f>
        <v/>
      </c>
      <c r="AH73" t="str">
        <f>IF($A73="","",IF(ALLOC!$N$1="VOL_EFF",$T73,IF(ALLOC!$N$1="VOL_CLASS",$U73,$V73)))</f>
        <v/>
      </c>
      <c r="AI73" t="str">
        <f t="shared" si="40"/>
        <v/>
      </c>
      <c r="AJ73" t="str">
        <f t="shared" si="41"/>
        <v/>
      </c>
      <c r="AK73" t="str">
        <f t="shared" si="42"/>
        <v/>
      </c>
      <c r="AL73" t="str">
        <f t="shared" si="43"/>
        <v/>
      </c>
      <c r="AM73" t="str">
        <f t="shared" si="44"/>
        <v/>
      </c>
      <c r="AN73" t="str">
        <f t="shared" si="45"/>
        <v/>
      </c>
      <c r="AO73" t="str">
        <f>IF($A73="","",Allocation2!AE73)</f>
        <v/>
      </c>
      <c r="AP73" t="str">
        <f>IF($A73="","",IF(ALLOC!$N$2="VOL_EFF",$Q73,IF(ALLOC!$N$2="VOL_CLASS",$R73,$S73)))</f>
        <v/>
      </c>
      <c r="AQ73" t="str">
        <f>IF($A73="","",IF(ALLOC!$N$2="VOL_EFF",$T73,IF(ALLOC!$N$2="VOL_CLASS",$U73,$V73)))</f>
        <v/>
      </c>
      <c r="AR73" t="str">
        <f t="shared" si="46"/>
        <v/>
      </c>
    </row>
    <row r="74" spans="1:44" x14ac:dyDescent="0.45">
      <c r="A74" t="str">
        <f>IF(Allocation2!D74="","",Allocation2!D74)</f>
        <v/>
      </c>
      <c r="B74" t="str">
        <f>IF(Allocation2!E74="","",Allocation2!E74)</f>
        <v/>
      </c>
      <c r="C74" t="str">
        <f>IF(Allocation2!F74="","",Allocation2!F74)</f>
        <v/>
      </c>
      <c r="D74" t="str">
        <f>IF(Allocation2!G74="","",Allocation2!G74)</f>
        <v/>
      </c>
      <c r="E74" t="str">
        <f>IF(Allocation2!H74="","",Allocation2!H74)</f>
        <v/>
      </c>
      <c r="F74" t="str">
        <f>IF(Allocation2!I74="","",Allocation2!I74)</f>
        <v/>
      </c>
      <c r="G74" t="str">
        <f>IF(Allocation2!E74="","",Allocation2!J74)</f>
        <v/>
      </c>
      <c r="H74" t="str">
        <f>IF(Allocation2!E74="","",Allocation2!K74)</f>
        <v/>
      </c>
      <c r="I74" t="str">
        <f>IF(Allocation2!E74="","",Allocation2!L74)</f>
        <v/>
      </c>
      <c r="J74" t="str">
        <f>IF($A74="","",Allocation2!X74)</f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N74" t="str">
        <f t="shared" si="31"/>
        <v/>
      </c>
      <c r="O74" t="str">
        <f t="shared" si="32"/>
        <v/>
      </c>
      <c r="P74" t="str">
        <f t="shared" si="33"/>
        <v/>
      </c>
      <c r="Q74" t="str">
        <f t="shared" si="34"/>
        <v/>
      </c>
      <c r="R74" t="str">
        <f t="shared" si="35"/>
        <v/>
      </c>
      <c r="S74" t="str">
        <f t="shared" si="36"/>
        <v/>
      </c>
      <c r="T74" t="str">
        <f t="shared" si="37"/>
        <v/>
      </c>
      <c r="U74" t="str">
        <f t="shared" si="38"/>
        <v/>
      </c>
      <c r="V74" t="str">
        <f t="shared" si="39"/>
        <v/>
      </c>
      <c r="W74" t="str">
        <f>IF($A74="","",Allocation2!Y74)</f>
        <v/>
      </c>
      <c r="X74" t="str">
        <f>IF($A74="","",Allocation2!Z74)</f>
        <v/>
      </c>
      <c r="Y74" t="str">
        <f>IF($A74="","",Allocation2!AA74)</f>
        <v/>
      </c>
      <c r="Z74" t="str">
        <f>IF($A74="","",Allocation2!AB74)</f>
        <v/>
      </c>
      <c r="AA74" t="str">
        <f>IF($A74="","",Allocation2!AC74)</f>
        <v/>
      </c>
      <c r="AB74" t="str">
        <f>IF($A74="","",Allocation2!AD74)</f>
        <v/>
      </c>
      <c r="AC74" t="str">
        <f>IF($A74="","",IF(ALLOC!$N$4="VOL_EFF",$G74,IF(ALLOC!$N$4="VOL_CLASS",$H74,$I74)))</f>
        <v/>
      </c>
      <c r="AD74" t="str">
        <f>IF($A74="","",IF(ALLOC!$N$4="VOL_EFF",$L74,IF(ALLOC!$N$4="VOL_CLASS",$M74,$N74)))</f>
        <v/>
      </c>
      <c r="AE74" t="str">
        <f>IF($A74="","",IF(ALLOC!$N$3="VOL_EFF",$L74,IF(ALLOC!$N$3="VOL_CLASS",$M74,$N74)))</f>
        <v/>
      </c>
      <c r="AF74" t="str">
        <f>IF($A74="","",IF(ALLOC!$N$3="VOL_EFF",$Q74,IF(ALLOC!$N$3="VOL_CLASS",$R74,$S74)))</f>
        <v/>
      </c>
      <c r="AG74" t="str">
        <f>IF($A74="","",IF(ALLOC!$N$1="VOL_EFF",$Q74,IF(ALLOC!$N$1="VOL_CLASS",$R74,$S74)))</f>
        <v/>
      </c>
      <c r="AH74" t="str">
        <f>IF($A74="","",IF(ALLOC!$N$1="VOL_EFF",$T74,IF(ALLOC!$N$1="VOL_CLASS",$U74,$V74)))</f>
        <v/>
      </c>
      <c r="AI74" t="str">
        <f t="shared" si="40"/>
        <v/>
      </c>
      <c r="AJ74" t="str">
        <f t="shared" si="41"/>
        <v/>
      </c>
      <c r="AK74" t="str">
        <f t="shared" si="42"/>
        <v/>
      </c>
      <c r="AL74" t="str">
        <f t="shared" si="43"/>
        <v/>
      </c>
      <c r="AM74" t="str">
        <f t="shared" si="44"/>
        <v/>
      </c>
      <c r="AN74" t="str">
        <f t="shared" si="45"/>
        <v/>
      </c>
      <c r="AO74" t="str">
        <f>IF($A74="","",Allocation2!AE74)</f>
        <v/>
      </c>
      <c r="AP74" t="str">
        <f>IF($A74="","",IF(ALLOC!$N$2="VOL_EFF",$Q74,IF(ALLOC!$N$2="VOL_CLASS",$R74,$S74)))</f>
        <v/>
      </c>
      <c r="AQ74" t="str">
        <f>IF($A74="","",IF(ALLOC!$N$2="VOL_EFF",$T74,IF(ALLOC!$N$2="VOL_CLASS",$U74,$V74)))</f>
        <v/>
      </c>
      <c r="AR74" t="str">
        <f t="shared" si="46"/>
        <v/>
      </c>
    </row>
    <row r="75" spans="1:44" x14ac:dyDescent="0.45">
      <c r="A75" t="str">
        <f>IF(Allocation2!D75="","",Allocation2!D75)</f>
        <v/>
      </c>
      <c r="B75" t="str">
        <f>IF(Allocation2!E75="","",Allocation2!E75)</f>
        <v/>
      </c>
      <c r="C75" t="str">
        <f>IF(Allocation2!F75="","",Allocation2!F75)</f>
        <v/>
      </c>
      <c r="D75" t="str">
        <f>IF(Allocation2!G75="","",Allocation2!G75)</f>
        <v/>
      </c>
      <c r="E75" t="str">
        <f>IF(Allocation2!H75="","",Allocation2!H75)</f>
        <v/>
      </c>
      <c r="F75" t="str">
        <f>IF(Allocation2!I75="","",Allocation2!I75)</f>
        <v/>
      </c>
      <c r="G75" t="str">
        <f>IF(Allocation2!E75="","",Allocation2!J75)</f>
        <v/>
      </c>
      <c r="H75" t="str">
        <f>IF(Allocation2!E75="","",Allocation2!K75)</f>
        <v/>
      </c>
      <c r="I75" t="str">
        <f>IF(Allocation2!E75="","",Allocation2!L75)</f>
        <v/>
      </c>
      <c r="J75" t="str">
        <f>IF($A75="","",Allocation2!X75)</f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N75" t="str">
        <f t="shared" si="31"/>
        <v/>
      </c>
      <c r="O75" t="str">
        <f t="shared" si="32"/>
        <v/>
      </c>
      <c r="P75" t="str">
        <f t="shared" si="33"/>
        <v/>
      </c>
      <c r="Q75" t="str">
        <f t="shared" si="34"/>
        <v/>
      </c>
      <c r="R75" t="str">
        <f t="shared" si="35"/>
        <v/>
      </c>
      <c r="S75" t="str">
        <f t="shared" si="36"/>
        <v/>
      </c>
      <c r="T75" t="str">
        <f t="shared" si="37"/>
        <v/>
      </c>
      <c r="U75" t="str">
        <f t="shared" si="38"/>
        <v/>
      </c>
      <c r="V75" t="str">
        <f t="shared" si="39"/>
        <v/>
      </c>
      <c r="W75" t="str">
        <f>IF($A75="","",Allocation2!Y75)</f>
        <v/>
      </c>
      <c r="X75" t="str">
        <f>IF($A75="","",Allocation2!Z75)</f>
        <v/>
      </c>
      <c r="Y75" t="str">
        <f>IF($A75="","",Allocation2!AA75)</f>
        <v/>
      </c>
      <c r="Z75" t="str">
        <f>IF($A75="","",Allocation2!AB75)</f>
        <v/>
      </c>
      <c r="AA75" t="str">
        <f>IF($A75="","",Allocation2!AC75)</f>
        <v/>
      </c>
      <c r="AB75" t="str">
        <f>IF($A75="","",Allocation2!AD75)</f>
        <v/>
      </c>
      <c r="AC75" t="str">
        <f>IF($A75="","",IF(ALLOC!$N$4="VOL_EFF",$G75,IF(ALLOC!$N$4="VOL_CLASS",$H75,$I75)))</f>
        <v/>
      </c>
      <c r="AD75" t="str">
        <f>IF($A75="","",IF(ALLOC!$N$4="VOL_EFF",$L75,IF(ALLOC!$N$4="VOL_CLASS",$M75,$N75)))</f>
        <v/>
      </c>
      <c r="AE75" t="str">
        <f>IF($A75="","",IF(ALLOC!$N$3="VOL_EFF",$L75,IF(ALLOC!$N$3="VOL_CLASS",$M75,$N75)))</f>
        <v/>
      </c>
      <c r="AF75" t="str">
        <f>IF($A75="","",IF(ALLOC!$N$3="VOL_EFF",$Q75,IF(ALLOC!$N$3="VOL_CLASS",$R75,$S75)))</f>
        <v/>
      </c>
      <c r="AG75" t="str">
        <f>IF($A75="","",IF(ALLOC!$N$1="VOL_EFF",$Q75,IF(ALLOC!$N$1="VOL_CLASS",$R75,$S75)))</f>
        <v/>
      </c>
      <c r="AH75" t="str">
        <f>IF($A75="","",IF(ALLOC!$N$1="VOL_EFF",$T75,IF(ALLOC!$N$1="VOL_CLASS",$U75,$V75)))</f>
        <v/>
      </c>
      <c r="AI75" t="str">
        <f t="shared" si="40"/>
        <v/>
      </c>
      <c r="AJ75" t="str">
        <f t="shared" si="41"/>
        <v/>
      </c>
      <c r="AK75" t="str">
        <f t="shared" si="42"/>
        <v/>
      </c>
      <c r="AL75" t="str">
        <f t="shared" si="43"/>
        <v/>
      </c>
      <c r="AM75" t="str">
        <f t="shared" si="44"/>
        <v/>
      </c>
      <c r="AN75" t="str">
        <f t="shared" si="45"/>
        <v/>
      </c>
      <c r="AO75" t="str">
        <f>IF($A75="","",Allocation2!AE75)</f>
        <v/>
      </c>
      <c r="AP75" t="str">
        <f>IF($A75="","",IF(ALLOC!$N$2="VOL_EFF",$Q75,IF(ALLOC!$N$2="VOL_CLASS",$R75,$S75)))</f>
        <v/>
      </c>
      <c r="AQ75" t="str">
        <f>IF($A75="","",IF(ALLOC!$N$2="VOL_EFF",$T75,IF(ALLOC!$N$2="VOL_CLASS",$U75,$V75)))</f>
        <v/>
      </c>
      <c r="AR75" t="str">
        <f t="shared" si="46"/>
        <v/>
      </c>
    </row>
    <row r="76" spans="1:44" x14ac:dyDescent="0.45">
      <c r="A76" t="str">
        <f>IF(Allocation2!D76="","",Allocation2!D76)</f>
        <v/>
      </c>
      <c r="B76" t="str">
        <f>IF(Allocation2!E76="","",Allocation2!E76)</f>
        <v/>
      </c>
      <c r="C76" t="str">
        <f>IF(Allocation2!F76="","",Allocation2!F76)</f>
        <v/>
      </c>
      <c r="D76" t="str">
        <f>IF(Allocation2!G76="","",Allocation2!G76)</f>
        <v/>
      </c>
      <c r="E76" t="str">
        <f>IF(Allocation2!H76="","",Allocation2!H76)</f>
        <v/>
      </c>
      <c r="F76" t="str">
        <f>IF(Allocation2!I76="","",Allocation2!I76)</f>
        <v/>
      </c>
      <c r="G76" t="str">
        <f>IF(Allocation2!E76="","",Allocation2!J76)</f>
        <v/>
      </c>
      <c r="H76" t="str">
        <f>IF(Allocation2!E76="","",Allocation2!K76)</f>
        <v/>
      </c>
      <c r="I76" t="str">
        <f>IF(Allocation2!E76="","",Allocation2!L76)</f>
        <v/>
      </c>
      <c r="J76" t="str">
        <f>IF($A76="","",Allocation2!X76)</f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N76" t="str">
        <f t="shared" si="31"/>
        <v/>
      </c>
      <c r="O76" t="str">
        <f t="shared" si="32"/>
        <v/>
      </c>
      <c r="P76" t="str">
        <f t="shared" si="33"/>
        <v/>
      </c>
      <c r="Q76" t="str">
        <f t="shared" si="34"/>
        <v/>
      </c>
      <c r="R76" t="str">
        <f t="shared" si="35"/>
        <v/>
      </c>
      <c r="S76" t="str">
        <f t="shared" si="36"/>
        <v/>
      </c>
      <c r="T76" t="str">
        <f t="shared" si="37"/>
        <v/>
      </c>
      <c r="U76" t="str">
        <f t="shared" si="38"/>
        <v/>
      </c>
      <c r="V76" t="str">
        <f t="shared" si="39"/>
        <v/>
      </c>
      <c r="W76" t="str">
        <f>IF($A76="","",Allocation2!Y76)</f>
        <v/>
      </c>
      <c r="X76" t="str">
        <f>IF($A76="","",Allocation2!Z76)</f>
        <v/>
      </c>
      <c r="Y76" t="str">
        <f>IF($A76="","",Allocation2!AA76)</f>
        <v/>
      </c>
      <c r="Z76" t="str">
        <f>IF($A76="","",Allocation2!AB76)</f>
        <v/>
      </c>
      <c r="AA76" t="str">
        <f>IF($A76="","",Allocation2!AC76)</f>
        <v/>
      </c>
      <c r="AB76" t="str">
        <f>IF($A76="","",Allocation2!AD76)</f>
        <v/>
      </c>
      <c r="AC76" t="str">
        <f>IF($A76="","",IF(ALLOC!$N$4="VOL_EFF",$G76,IF(ALLOC!$N$4="VOL_CLASS",$H76,$I76)))</f>
        <v/>
      </c>
      <c r="AD76" t="str">
        <f>IF($A76="","",IF(ALLOC!$N$4="VOL_EFF",$L76,IF(ALLOC!$N$4="VOL_CLASS",$M76,$N76)))</f>
        <v/>
      </c>
      <c r="AE76" t="str">
        <f>IF($A76="","",IF(ALLOC!$N$3="VOL_EFF",$L76,IF(ALLOC!$N$3="VOL_CLASS",$M76,$N76)))</f>
        <v/>
      </c>
      <c r="AF76" t="str">
        <f>IF($A76="","",IF(ALLOC!$N$3="VOL_EFF",$Q76,IF(ALLOC!$N$3="VOL_CLASS",$R76,$S76)))</f>
        <v/>
      </c>
      <c r="AG76" t="str">
        <f>IF($A76="","",IF(ALLOC!$N$1="VOL_EFF",$Q76,IF(ALLOC!$N$1="VOL_CLASS",$R76,$S76)))</f>
        <v/>
      </c>
      <c r="AH76" t="str">
        <f>IF($A76="","",IF(ALLOC!$N$1="VOL_EFF",$T76,IF(ALLOC!$N$1="VOL_CLASS",$U76,$V76)))</f>
        <v/>
      </c>
      <c r="AI76" t="str">
        <f t="shared" si="40"/>
        <v/>
      </c>
      <c r="AJ76" t="str">
        <f t="shared" si="41"/>
        <v/>
      </c>
      <c r="AK76" t="str">
        <f t="shared" si="42"/>
        <v/>
      </c>
      <c r="AL76" t="str">
        <f t="shared" si="43"/>
        <v/>
      </c>
      <c r="AM76" t="str">
        <f t="shared" si="44"/>
        <v/>
      </c>
      <c r="AN76" t="str">
        <f t="shared" si="45"/>
        <v/>
      </c>
      <c r="AO76" t="str">
        <f>IF($A76="","",Allocation2!AE76)</f>
        <v/>
      </c>
      <c r="AP76" t="str">
        <f>IF($A76="","",IF(ALLOC!$N$2="VOL_EFF",$Q76,IF(ALLOC!$N$2="VOL_CLASS",$R76,$S76)))</f>
        <v/>
      </c>
      <c r="AQ76" t="str">
        <f>IF($A76="","",IF(ALLOC!$N$2="VOL_EFF",$T76,IF(ALLOC!$N$2="VOL_CLASS",$U76,$V76)))</f>
        <v/>
      </c>
      <c r="AR76" t="str">
        <f t="shared" si="46"/>
        <v/>
      </c>
    </row>
    <row r="77" spans="1:44" x14ac:dyDescent="0.45">
      <c r="A77" t="str">
        <f>IF(Allocation2!D77="","",Allocation2!D77)</f>
        <v/>
      </c>
      <c r="B77" t="str">
        <f>IF(Allocation2!E77="","",Allocation2!E77)</f>
        <v/>
      </c>
      <c r="C77" t="str">
        <f>IF(Allocation2!F77="","",Allocation2!F77)</f>
        <v/>
      </c>
      <c r="D77" t="str">
        <f>IF(Allocation2!G77="","",Allocation2!G77)</f>
        <v/>
      </c>
      <c r="E77" t="str">
        <f>IF(Allocation2!H77="","",Allocation2!H77)</f>
        <v/>
      </c>
      <c r="F77" t="str">
        <f>IF(Allocation2!I77="","",Allocation2!I77)</f>
        <v/>
      </c>
      <c r="G77" t="str">
        <f>IF(Allocation2!E77="","",Allocation2!J77)</f>
        <v/>
      </c>
      <c r="H77" t="str">
        <f>IF(Allocation2!E77="","",Allocation2!K77)</f>
        <v/>
      </c>
      <c r="I77" t="str">
        <f>IF(Allocation2!E77="","",Allocation2!L77)</f>
        <v/>
      </c>
      <c r="J77" t="str">
        <f>IF($A77="","",Allocation2!X77)</f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N77" t="str">
        <f t="shared" si="31"/>
        <v/>
      </c>
      <c r="O77" t="str">
        <f t="shared" si="32"/>
        <v/>
      </c>
      <c r="P77" t="str">
        <f t="shared" si="33"/>
        <v/>
      </c>
      <c r="Q77" t="str">
        <f t="shared" si="34"/>
        <v/>
      </c>
      <c r="R77" t="str">
        <f t="shared" si="35"/>
        <v/>
      </c>
      <c r="S77" t="str">
        <f t="shared" si="36"/>
        <v/>
      </c>
      <c r="T77" t="str">
        <f t="shared" si="37"/>
        <v/>
      </c>
      <c r="U77" t="str">
        <f t="shared" si="38"/>
        <v/>
      </c>
      <c r="V77" t="str">
        <f t="shared" si="39"/>
        <v/>
      </c>
      <c r="W77" t="str">
        <f>IF($A77="","",Allocation2!Y77)</f>
        <v/>
      </c>
      <c r="X77" t="str">
        <f>IF($A77="","",Allocation2!Z77)</f>
        <v/>
      </c>
      <c r="Y77" t="str">
        <f>IF($A77="","",Allocation2!AA77)</f>
        <v/>
      </c>
      <c r="Z77" t="str">
        <f>IF($A77="","",Allocation2!AB77)</f>
        <v/>
      </c>
      <c r="AA77" t="str">
        <f>IF($A77="","",Allocation2!AC77)</f>
        <v/>
      </c>
      <c r="AB77" t="str">
        <f>IF($A77="","",Allocation2!AD77)</f>
        <v/>
      </c>
      <c r="AC77" t="str">
        <f>IF($A77="","",IF(ALLOC!$N$4="VOL_EFF",$G77,IF(ALLOC!$N$4="VOL_CLASS",$H77,$I77)))</f>
        <v/>
      </c>
      <c r="AD77" t="str">
        <f>IF($A77="","",IF(ALLOC!$N$4="VOL_EFF",$L77,IF(ALLOC!$N$4="VOL_CLASS",$M77,$N77)))</f>
        <v/>
      </c>
      <c r="AE77" t="str">
        <f>IF($A77="","",IF(ALLOC!$N$3="VOL_EFF",$L77,IF(ALLOC!$N$3="VOL_CLASS",$M77,$N77)))</f>
        <v/>
      </c>
      <c r="AF77" t="str">
        <f>IF($A77="","",IF(ALLOC!$N$3="VOL_EFF",$Q77,IF(ALLOC!$N$3="VOL_CLASS",$R77,$S77)))</f>
        <v/>
      </c>
      <c r="AG77" t="str">
        <f>IF($A77="","",IF(ALLOC!$N$1="VOL_EFF",$Q77,IF(ALLOC!$N$1="VOL_CLASS",$R77,$S77)))</f>
        <v/>
      </c>
      <c r="AH77" t="str">
        <f>IF($A77="","",IF(ALLOC!$N$1="VOL_EFF",$T77,IF(ALLOC!$N$1="VOL_CLASS",$U77,$V77)))</f>
        <v/>
      </c>
      <c r="AI77" t="str">
        <f t="shared" si="40"/>
        <v/>
      </c>
      <c r="AJ77" t="str">
        <f t="shared" si="41"/>
        <v/>
      </c>
      <c r="AK77" t="str">
        <f t="shared" si="42"/>
        <v/>
      </c>
      <c r="AL77" t="str">
        <f t="shared" si="43"/>
        <v/>
      </c>
      <c r="AM77" t="str">
        <f t="shared" si="44"/>
        <v/>
      </c>
      <c r="AN77" t="str">
        <f t="shared" si="45"/>
        <v/>
      </c>
      <c r="AO77" t="str">
        <f>IF($A77="","",Allocation2!AE77)</f>
        <v/>
      </c>
      <c r="AP77" t="str">
        <f>IF($A77="","",IF(ALLOC!$N$2="VOL_EFF",$Q77,IF(ALLOC!$N$2="VOL_CLASS",$R77,$S77)))</f>
        <v/>
      </c>
      <c r="AQ77" t="str">
        <f>IF($A77="","",IF(ALLOC!$N$2="VOL_EFF",$T77,IF(ALLOC!$N$2="VOL_CLASS",$U77,$V77)))</f>
        <v/>
      </c>
      <c r="AR77" t="str">
        <f t="shared" si="46"/>
        <v/>
      </c>
    </row>
    <row r="78" spans="1:44" x14ac:dyDescent="0.45">
      <c r="A78" t="str">
        <f>IF(Allocation2!D78="","",Allocation2!D78)</f>
        <v/>
      </c>
      <c r="B78" t="str">
        <f>IF(Allocation2!E78="","",Allocation2!E78)</f>
        <v/>
      </c>
      <c r="C78" t="str">
        <f>IF(Allocation2!F78="","",Allocation2!F78)</f>
        <v/>
      </c>
      <c r="D78" t="str">
        <f>IF(Allocation2!G78="","",Allocation2!G78)</f>
        <v/>
      </c>
      <c r="E78" t="str">
        <f>IF(Allocation2!H78="","",Allocation2!H78)</f>
        <v/>
      </c>
      <c r="F78" t="str">
        <f>IF(Allocation2!I78="","",Allocation2!I78)</f>
        <v/>
      </c>
      <c r="G78" t="str">
        <f>IF(Allocation2!E78="","",Allocation2!J78)</f>
        <v/>
      </c>
      <c r="H78" t="str">
        <f>IF(Allocation2!E78="","",Allocation2!K78)</f>
        <v/>
      </c>
      <c r="I78" t="str">
        <f>IF(Allocation2!E78="","",Allocation2!L78)</f>
        <v/>
      </c>
      <c r="J78" t="str">
        <f>IF($A78="","",Allocation2!X78)</f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N78" t="str">
        <f t="shared" si="31"/>
        <v/>
      </c>
      <c r="O78" t="str">
        <f t="shared" si="32"/>
        <v/>
      </c>
      <c r="P78" t="str">
        <f t="shared" si="33"/>
        <v/>
      </c>
      <c r="Q78" t="str">
        <f t="shared" si="34"/>
        <v/>
      </c>
      <c r="R78" t="str">
        <f t="shared" si="35"/>
        <v/>
      </c>
      <c r="S78" t="str">
        <f t="shared" si="36"/>
        <v/>
      </c>
      <c r="T78" t="str">
        <f t="shared" si="37"/>
        <v/>
      </c>
      <c r="U78" t="str">
        <f t="shared" si="38"/>
        <v/>
      </c>
      <c r="V78" t="str">
        <f t="shared" si="39"/>
        <v/>
      </c>
      <c r="W78" t="str">
        <f>IF($A78="","",Allocation2!Y78)</f>
        <v/>
      </c>
      <c r="X78" t="str">
        <f>IF($A78="","",Allocation2!Z78)</f>
        <v/>
      </c>
      <c r="Y78" t="str">
        <f>IF($A78="","",Allocation2!AA78)</f>
        <v/>
      </c>
      <c r="Z78" t="str">
        <f>IF($A78="","",Allocation2!AB78)</f>
        <v/>
      </c>
      <c r="AA78" t="str">
        <f>IF($A78="","",Allocation2!AC78)</f>
        <v/>
      </c>
      <c r="AB78" t="str">
        <f>IF($A78="","",Allocation2!AD78)</f>
        <v/>
      </c>
      <c r="AC78" t="str">
        <f>IF($A78="","",IF(ALLOC!$N$4="VOL_EFF",$G78,IF(ALLOC!$N$4="VOL_CLASS",$H78,$I78)))</f>
        <v/>
      </c>
      <c r="AD78" t="str">
        <f>IF($A78="","",IF(ALLOC!$N$4="VOL_EFF",$L78,IF(ALLOC!$N$4="VOL_CLASS",$M78,$N78)))</f>
        <v/>
      </c>
      <c r="AE78" t="str">
        <f>IF($A78="","",IF(ALLOC!$N$3="VOL_EFF",$L78,IF(ALLOC!$N$3="VOL_CLASS",$M78,$N78)))</f>
        <v/>
      </c>
      <c r="AF78" t="str">
        <f>IF($A78="","",IF(ALLOC!$N$3="VOL_EFF",$Q78,IF(ALLOC!$N$3="VOL_CLASS",$R78,$S78)))</f>
        <v/>
      </c>
      <c r="AG78" t="str">
        <f>IF($A78="","",IF(ALLOC!$N$1="VOL_EFF",$Q78,IF(ALLOC!$N$1="VOL_CLASS",$R78,$S78)))</f>
        <v/>
      </c>
      <c r="AH78" t="str">
        <f>IF($A78="","",IF(ALLOC!$N$1="VOL_EFF",$T78,IF(ALLOC!$N$1="VOL_CLASS",$U78,$V78)))</f>
        <v/>
      </c>
      <c r="AI78" t="str">
        <f t="shared" si="40"/>
        <v/>
      </c>
      <c r="AJ78" t="str">
        <f t="shared" si="41"/>
        <v/>
      </c>
      <c r="AK78" t="str">
        <f t="shared" si="42"/>
        <v/>
      </c>
      <c r="AL78" t="str">
        <f t="shared" si="43"/>
        <v/>
      </c>
      <c r="AM78" t="str">
        <f t="shared" si="44"/>
        <v/>
      </c>
      <c r="AN78" t="str">
        <f t="shared" si="45"/>
        <v/>
      </c>
      <c r="AO78" t="str">
        <f>IF($A78="","",Allocation2!AE78)</f>
        <v/>
      </c>
      <c r="AP78" t="str">
        <f>IF($A78="","",IF(ALLOC!$N$2="VOL_EFF",$Q78,IF(ALLOC!$N$2="VOL_CLASS",$R78,$S78)))</f>
        <v/>
      </c>
      <c r="AQ78" t="str">
        <f>IF($A78="","",IF(ALLOC!$N$2="VOL_EFF",$T78,IF(ALLOC!$N$2="VOL_CLASS",$U78,$V78)))</f>
        <v/>
      </c>
      <c r="AR78" t="str">
        <f t="shared" si="46"/>
        <v/>
      </c>
    </row>
    <row r="79" spans="1:44" x14ac:dyDescent="0.45">
      <c r="A79" t="str">
        <f>IF(Allocation2!D79="","",Allocation2!D79)</f>
        <v/>
      </c>
      <c r="B79" t="str">
        <f>IF(Allocation2!E79="","",Allocation2!E79)</f>
        <v/>
      </c>
      <c r="C79" t="str">
        <f>IF(Allocation2!F79="","",Allocation2!F79)</f>
        <v/>
      </c>
      <c r="D79" t="str">
        <f>IF(Allocation2!G79="","",Allocation2!G79)</f>
        <v/>
      </c>
      <c r="E79" t="str">
        <f>IF(Allocation2!H79="","",Allocation2!H79)</f>
        <v/>
      </c>
      <c r="F79" t="str">
        <f>IF(Allocation2!I79="","",Allocation2!I79)</f>
        <v/>
      </c>
      <c r="G79" t="str">
        <f>IF(Allocation2!E79="","",Allocation2!J79)</f>
        <v/>
      </c>
      <c r="H79" t="str">
        <f>IF(Allocation2!E79="","",Allocation2!K79)</f>
        <v/>
      </c>
      <c r="I79" t="str">
        <f>IF(Allocation2!E79="","",Allocation2!L79)</f>
        <v/>
      </c>
      <c r="J79" t="str">
        <f>IF($A79="","",Allocation2!X79)</f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N79" t="str">
        <f t="shared" si="31"/>
        <v/>
      </c>
      <c r="O79" t="str">
        <f t="shared" si="32"/>
        <v/>
      </c>
      <c r="P79" t="str">
        <f t="shared" si="33"/>
        <v/>
      </c>
      <c r="Q79" t="str">
        <f t="shared" si="34"/>
        <v/>
      </c>
      <c r="R79" t="str">
        <f t="shared" si="35"/>
        <v/>
      </c>
      <c r="S79" t="str">
        <f t="shared" si="36"/>
        <v/>
      </c>
      <c r="T79" t="str">
        <f t="shared" si="37"/>
        <v/>
      </c>
      <c r="U79" t="str">
        <f t="shared" si="38"/>
        <v/>
      </c>
      <c r="V79" t="str">
        <f t="shared" si="39"/>
        <v/>
      </c>
      <c r="W79" t="str">
        <f>IF($A79="","",Allocation2!Y79)</f>
        <v/>
      </c>
      <c r="X79" t="str">
        <f>IF($A79="","",Allocation2!Z79)</f>
        <v/>
      </c>
      <c r="Y79" t="str">
        <f>IF($A79="","",Allocation2!AA79)</f>
        <v/>
      </c>
      <c r="Z79" t="str">
        <f>IF($A79="","",Allocation2!AB79)</f>
        <v/>
      </c>
      <c r="AA79" t="str">
        <f>IF($A79="","",Allocation2!AC79)</f>
        <v/>
      </c>
      <c r="AB79" t="str">
        <f>IF($A79="","",Allocation2!AD79)</f>
        <v/>
      </c>
      <c r="AC79" t="str">
        <f>IF($A79="","",IF(ALLOC!$N$4="VOL_EFF",$G79,IF(ALLOC!$N$4="VOL_CLASS",$H79,$I79)))</f>
        <v/>
      </c>
      <c r="AD79" t="str">
        <f>IF($A79="","",IF(ALLOC!$N$4="VOL_EFF",$L79,IF(ALLOC!$N$4="VOL_CLASS",$M79,$N79)))</f>
        <v/>
      </c>
      <c r="AE79" t="str">
        <f>IF($A79="","",IF(ALLOC!$N$3="VOL_EFF",$L79,IF(ALLOC!$N$3="VOL_CLASS",$M79,$N79)))</f>
        <v/>
      </c>
      <c r="AF79" t="str">
        <f>IF($A79="","",IF(ALLOC!$N$3="VOL_EFF",$Q79,IF(ALLOC!$N$3="VOL_CLASS",$R79,$S79)))</f>
        <v/>
      </c>
      <c r="AG79" t="str">
        <f>IF($A79="","",IF(ALLOC!$N$1="VOL_EFF",$Q79,IF(ALLOC!$N$1="VOL_CLASS",$R79,$S79)))</f>
        <v/>
      </c>
      <c r="AH79" t="str">
        <f>IF($A79="","",IF(ALLOC!$N$1="VOL_EFF",$T79,IF(ALLOC!$N$1="VOL_CLASS",$U79,$V79)))</f>
        <v/>
      </c>
      <c r="AI79" t="str">
        <f t="shared" si="40"/>
        <v/>
      </c>
      <c r="AJ79" t="str">
        <f t="shared" si="41"/>
        <v/>
      </c>
      <c r="AK79" t="str">
        <f t="shared" si="42"/>
        <v/>
      </c>
      <c r="AL79" t="str">
        <f t="shared" si="43"/>
        <v/>
      </c>
      <c r="AM79" t="str">
        <f t="shared" si="44"/>
        <v/>
      </c>
      <c r="AN79" t="str">
        <f t="shared" si="45"/>
        <v/>
      </c>
      <c r="AO79" t="str">
        <f>IF($A79="","",Allocation2!AE79)</f>
        <v/>
      </c>
      <c r="AP79" t="str">
        <f>IF($A79="","",IF(ALLOC!$N$2="VOL_EFF",$Q79,IF(ALLOC!$N$2="VOL_CLASS",$R79,$S79)))</f>
        <v/>
      </c>
      <c r="AQ79" t="str">
        <f>IF($A79="","",IF(ALLOC!$N$2="VOL_EFF",$T79,IF(ALLOC!$N$2="VOL_CLASS",$U79,$V79)))</f>
        <v/>
      </c>
      <c r="AR79" t="str">
        <f t="shared" si="46"/>
        <v/>
      </c>
    </row>
    <row r="80" spans="1:44" x14ac:dyDescent="0.45">
      <c r="A80" t="str">
        <f>IF(Allocation2!D80="","",Allocation2!D80)</f>
        <v/>
      </c>
      <c r="B80" t="str">
        <f>IF(Allocation2!E80="","",Allocation2!E80)</f>
        <v/>
      </c>
      <c r="C80" t="str">
        <f>IF(Allocation2!F80="","",Allocation2!F80)</f>
        <v/>
      </c>
      <c r="D80" t="str">
        <f>IF(Allocation2!G80="","",Allocation2!G80)</f>
        <v/>
      </c>
      <c r="E80" t="str">
        <f>IF(Allocation2!H80="","",Allocation2!H80)</f>
        <v/>
      </c>
      <c r="F80" t="str">
        <f>IF(Allocation2!I80="","",Allocation2!I80)</f>
        <v/>
      </c>
      <c r="G80" t="str">
        <f>IF(Allocation2!E80="","",Allocation2!J80)</f>
        <v/>
      </c>
      <c r="H80" t="str">
        <f>IF(Allocation2!E80="","",Allocation2!K80)</f>
        <v/>
      </c>
      <c r="I80" t="str">
        <f>IF(Allocation2!E80="","",Allocation2!L80)</f>
        <v/>
      </c>
      <c r="J80" t="str">
        <f>IF($A80="","",Allocation2!X80)</f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N80" t="str">
        <f t="shared" si="31"/>
        <v/>
      </c>
      <c r="O80" t="str">
        <f t="shared" si="32"/>
        <v/>
      </c>
      <c r="P80" t="str">
        <f t="shared" si="33"/>
        <v/>
      </c>
      <c r="Q80" t="str">
        <f t="shared" si="34"/>
        <v/>
      </c>
      <c r="R80" t="str">
        <f t="shared" si="35"/>
        <v/>
      </c>
      <c r="S80" t="str">
        <f t="shared" si="36"/>
        <v/>
      </c>
      <c r="T80" t="str">
        <f t="shared" si="37"/>
        <v/>
      </c>
      <c r="U80" t="str">
        <f t="shared" si="38"/>
        <v/>
      </c>
      <c r="V80" t="str">
        <f t="shared" si="39"/>
        <v/>
      </c>
      <c r="W80" t="str">
        <f>IF($A80="","",Allocation2!Y80)</f>
        <v/>
      </c>
      <c r="X80" t="str">
        <f>IF($A80="","",Allocation2!Z80)</f>
        <v/>
      </c>
      <c r="Y80" t="str">
        <f>IF($A80="","",Allocation2!AA80)</f>
        <v/>
      </c>
      <c r="Z80" t="str">
        <f>IF($A80="","",Allocation2!AB80)</f>
        <v/>
      </c>
      <c r="AA80" t="str">
        <f>IF($A80="","",Allocation2!AC80)</f>
        <v/>
      </c>
      <c r="AB80" t="str">
        <f>IF($A80="","",Allocation2!AD80)</f>
        <v/>
      </c>
      <c r="AC80" t="str">
        <f>IF($A80="","",IF(ALLOC!$N$4="VOL_EFF",$G80,IF(ALLOC!$N$4="VOL_CLASS",$H80,$I80)))</f>
        <v/>
      </c>
      <c r="AD80" t="str">
        <f>IF($A80="","",IF(ALLOC!$N$4="VOL_EFF",$L80,IF(ALLOC!$N$4="VOL_CLASS",$M80,$N80)))</f>
        <v/>
      </c>
      <c r="AE80" t="str">
        <f>IF($A80="","",IF(ALLOC!$N$3="VOL_EFF",$L80,IF(ALLOC!$N$3="VOL_CLASS",$M80,$N80)))</f>
        <v/>
      </c>
      <c r="AF80" t="str">
        <f>IF($A80="","",IF(ALLOC!$N$3="VOL_EFF",$Q80,IF(ALLOC!$N$3="VOL_CLASS",$R80,$S80)))</f>
        <v/>
      </c>
      <c r="AG80" t="str">
        <f>IF($A80="","",IF(ALLOC!$N$1="VOL_EFF",$Q80,IF(ALLOC!$N$1="VOL_CLASS",$R80,$S80)))</f>
        <v/>
      </c>
      <c r="AH80" t="str">
        <f>IF($A80="","",IF(ALLOC!$N$1="VOL_EFF",$T80,IF(ALLOC!$N$1="VOL_CLASS",$U80,$V80)))</f>
        <v/>
      </c>
      <c r="AI80" t="str">
        <f t="shared" si="40"/>
        <v/>
      </c>
      <c r="AJ80" t="str">
        <f t="shared" si="41"/>
        <v/>
      </c>
      <c r="AK80" t="str">
        <f t="shared" si="42"/>
        <v/>
      </c>
      <c r="AL80" t="str">
        <f t="shared" si="43"/>
        <v/>
      </c>
      <c r="AM80" t="str">
        <f t="shared" si="44"/>
        <v/>
      </c>
      <c r="AN80" t="str">
        <f t="shared" si="45"/>
        <v/>
      </c>
      <c r="AO80" t="str">
        <f>IF($A80="","",Allocation2!AE80)</f>
        <v/>
      </c>
      <c r="AP80" t="str">
        <f>IF($A80="","",IF(ALLOC!$N$2="VOL_EFF",$Q80,IF(ALLOC!$N$2="VOL_CLASS",$R80,$S80)))</f>
        <v/>
      </c>
      <c r="AQ80" t="str">
        <f>IF($A80="","",IF(ALLOC!$N$2="VOL_EFF",$T80,IF(ALLOC!$N$2="VOL_CLASS",$U80,$V80)))</f>
        <v/>
      </c>
      <c r="AR80" t="str">
        <f t="shared" si="46"/>
        <v/>
      </c>
    </row>
    <row r="81" spans="1:44" x14ac:dyDescent="0.45">
      <c r="A81" t="str">
        <f>IF(Allocation2!D81="","",Allocation2!D81)</f>
        <v/>
      </c>
      <c r="B81" t="str">
        <f>IF(Allocation2!E81="","",Allocation2!E81)</f>
        <v/>
      </c>
      <c r="C81" t="str">
        <f>IF(Allocation2!F81="","",Allocation2!F81)</f>
        <v/>
      </c>
      <c r="D81" t="str">
        <f>IF(Allocation2!G81="","",Allocation2!G81)</f>
        <v/>
      </c>
      <c r="E81" t="str">
        <f>IF(Allocation2!H81="","",Allocation2!H81)</f>
        <v/>
      </c>
      <c r="F81" t="str">
        <f>IF(Allocation2!I81="","",Allocation2!I81)</f>
        <v/>
      </c>
      <c r="G81" t="str">
        <f>IF(Allocation2!E81="","",Allocation2!J81)</f>
        <v/>
      </c>
      <c r="H81" t="str">
        <f>IF(Allocation2!E81="","",Allocation2!K81)</f>
        <v/>
      </c>
      <c r="I81" t="str">
        <f>IF(Allocation2!E81="","",Allocation2!L81)</f>
        <v/>
      </c>
      <c r="J81" t="str">
        <f>IF($A81="","",Allocation2!X81)</f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N81" t="str">
        <f t="shared" si="31"/>
        <v/>
      </c>
      <c r="O81" t="str">
        <f t="shared" si="32"/>
        <v/>
      </c>
      <c r="P81" t="str">
        <f t="shared" si="33"/>
        <v/>
      </c>
      <c r="Q81" t="str">
        <f t="shared" si="34"/>
        <v/>
      </c>
      <c r="R81" t="str">
        <f t="shared" si="35"/>
        <v/>
      </c>
      <c r="S81" t="str">
        <f t="shared" si="36"/>
        <v/>
      </c>
      <c r="T81" t="str">
        <f t="shared" si="37"/>
        <v/>
      </c>
      <c r="U81" t="str">
        <f t="shared" si="38"/>
        <v/>
      </c>
      <c r="V81" t="str">
        <f t="shared" si="39"/>
        <v/>
      </c>
      <c r="W81" t="str">
        <f>IF($A81="","",Allocation2!Y81)</f>
        <v/>
      </c>
      <c r="X81" t="str">
        <f>IF($A81="","",Allocation2!Z81)</f>
        <v/>
      </c>
      <c r="Y81" t="str">
        <f>IF($A81="","",Allocation2!AA81)</f>
        <v/>
      </c>
      <c r="Z81" t="str">
        <f>IF($A81="","",Allocation2!AB81)</f>
        <v/>
      </c>
      <c r="AA81" t="str">
        <f>IF($A81="","",Allocation2!AC81)</f>
        <v/>
      </c>
      <c r="AB81" t="str">
        <f>IF($A81="","",Allocation2!AD81)</f>
        <v/>
      </c>
      <c r="AC81" t="str">
        <f>IF($A81="","",IF(ALLOC!$N$4="VOL_EFF",$G81,IF(ALLOC!$N$4="VOL_CLASS",$H81,$I81)))</f>
        <v/>
      </c>
      <c r="AD81" t="str">
        <f>IF($A81="","",IF(ALLOC!$N$4="VOL_EFF",$L81,IF(ALLOC!$N$4="VOL_CLASS",$M81,$N81)))</f>
        <v/>
      </c>
      <c r="AE81" t="str">
        <f>IF($A81="","",IF(ALLOC!$N$3="VOL_EFF",$L81,IF(ALLOC!$N$3="VOL_CLASS",$M81,$N81)))</f>
        <v/>
      </c>
      <c r="AF81" t="str">
        <f>IF($A81="","",IF(ALLOC!$N$3="VOL_EFF",$Q81,IF(ALLOC!$N$3="VOL_CLASS",$R81,$S81)))</f>
        <v/>
      </c>
      <c r="AG81" t="str">
        <f>IF($A81="","",IF(ALLOC!$N$1="VOL_EFF",$Q81,IF(ALLOC!$N$1="VOL_CLASS",$R81,$S81)))</f>
        <v/>
      </c>
      <c r="AH81" t="str">
        <f>IF($A81="","",IF(ALLOC!$N$1="VOL_EFF",$T81,IF(ALLOC!$N$1="VOL_CLASS",$U81,$V81)))</f>
        <v/>
      </c>
      <c r="AI81" t="str">
        <f t="shared" si="40"/>
        <v/>
      </c>
      <c r="AJ81" t="str">
        <f t="shared" si="41"/>
        <v/>
      </c>
      <c r="AK81" t="str">
        <f t="shared" si="42"/>
        <v/>
      </c>
      <c r="AL81" t="str">
        <f t="shared" si="43"/>
        <v/>
      </c>
      <c r="AM81" t="str">
        <f t="shared" si="44"/>
        <v/>
      </c>
      <c r="AN81" t="str">
        <f t="shared" si="45"/>
        <v/>
      </c>
      <c r="AO81" t="str">
        <f>IF($A81="","",Allocation2!AE81)</f>
        <v/>
      </c>
      <c r="AP81" t="str">
        <f>IF($A81="","",IF(ALLOC!$N$2="VOL_EFF",$Q81,IF(ALLOC!$N$2="VOL_CLASS",$R81,$S81)))</f>
        <v/>
      </c>
      <c r="AQ81" t="str">
        <f>IF($A81="","",IF(ALLOC!$N$2="VOL_EFF",$T81,IF(ALLOC!$N$2="VOL_CLASS",$U81,$V81)))</f>
        <v/>
      </c>
      <c r="AR81" t="str">
        <f t="shared" si="46"/>
        <v/>
      </c>
    </row>
    <row r="82" spans="1:44" x14ac:dyDescent="0.45">
      <c r="A82" t="str">
        <f>IF(Allocation2!D82="","",Allocation2!D82)</f>
        <v/>
      </c>
      <c r="B82" t="str">
        <f>IF(Allocation2!E82="","",Allocation2!E82)</f>
        <v/>
      </c>
      <c r="C82" t="str">
        <f>IF(Allocation2!F82="","",Allocation2!F82)</f>
        <v/>
      </c>
      <c r="D82" t="str">
        <f>IF(Allocation2!G82="","",Allocation2!G82)</f>
        <v/>
      </c>
      <c r="E82" t="str">
        <f>IF(Allocation2!H82="","",Allocation2!H82)</f>
        <v/>
      </c>
      <c r="F82" t="str">
        <f>IF(Allocation2!I82="","",Allocation2!I82)</f>
        <v/>
      </c>
      <c r="G82" t="str">
        <f>IF(Allocation2!E82="","",Allocation2!J82)</f>
        <v/>
      </c>
      <c r="H82" t="str">
        <f>IF(Allocation2!E82="","",Allocation2!K82)</f>
        <v/>
      </c>
      <c r="I82" t="str">
        <f>IF(Allocation2!E82="","",Allocation2!L82)</f>
        <v/>
      </c>
      <c r="J82" t="str">
        <f>IF($A82="","",Allocation2!X82)</f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N82" t="str">
        <f t="shared" si="31"/>
        <v/>
      </c>
      <c r="O82" t="str">
        <f t="shared" si="32"/>
        <v/>
      </c>
      <c r="P82" t="str">
        <f t="shared" si="33"/>
        <v/>
      </c>
      <c r="Q82" t="str">
        <f t="shared" si="34"/>
        <v/>
      </c>
      <c r="R82" t="str">
        <f t="shared" si="35"/>
        <v/>
      </c>
      <c r="S82" t="str">
        <f t="shared" si="36"/>
        <v/>
      </c>
      <c r="T82" t="str">
        <f t="shared" si="37"/>
        <v/>
      </c>
      <c r="U82" t="str">
        <f t="shared" si="38"/>
        <v/>
      </c>
      <c r="V82" t="str">
        <f t="shared" si="39"/>
        <v/>
      </c>
      <c r="W82" t="str">
        <f>IF($A82="","",Allocation2!Y82)</f>
        <v/>
      </c>
      <c r="X82" t="str">
        <f>IF($A82="","",Allocation2!Z82)</f>
        <v/>
      </c>
      <c r="Y82" t="str">
        <f>IF($A82="","",Allocation2!AA82)</f>
        <v/>
      </c>
      <c r="Z82" t="str">
        <f>IF($A82="","",Allocation2!AB82)</f>
        <v/>
      </c>
      <c r="AA82" t="str">
        <f>IF($A82="","",Allocation2!AC82)</f>
        <v/>
      </c>
      <c r="AB82" t="str">
        <f>IF($A82="","",Allocation2!AD82)</f>
        <v/>
      </c>
      <c r="AC82" t="str">
        <f>IF($A82="","",IF(ALLOC!$N$4="VOL_EFF",$G82,IF(ALLOC!$N$4="VOL_CLASS",$H82,$I82)))</f>
        <v/>
      </c>
      <c r="AD82" t="str">
        <f>IF($A82="","",IF(ALLOC!$N$4="VOL_EFF",$L82,IF(ALLOC!$N$4="VOL_CLASS",$M82,$N82)))</f>
        <v/>
      </c>
      <c r="AE82" t="str">
        <f>IF($A82="","",IF(ALLOC!$N$3="VOL_EFF",$L82,IF(ALLOC!$N$3="VOL_CLASS",$M82,$N82)))</f>
        <v/>
      </c>
      <c r="AF82" t="str">
        <f>IF($A82="","",IF(ALLOC!$N$3="VOL_EFF",$Q82,IF(ALLOC!$N$3="VOL_CLASS",$R82,$S82)))</f>
        <v/>
      </c>
      <c r="AG82" t="str">
        <f>IF($A82="","",IF(ALLOC!$N$1="VOL_EFF",$Q82,IF(ALLOC!$N$1="VOL_CLASS",$R82,$S82)))</f>
        <v/>
      </c>
      <c r="AH82" t="str">
        <f>IF($A82="","",IF(ALLOC!$N$1="VOL_EFF",$T82,IF(ALLOC!$N$1="VOL_CLASS",$U82,$V82)))</f>
        <v/>
      </c>
      <c r="AI82" t="str">
        <f t="shared" si="40"/>
        <v/>
      </c>
      <c r="AJ82" t="str">
        <f t="shared" si="41"/>
        <v/>
      </c>
      <c r="AK82" t="str">
        <f t="shared" si="42"/>
        <v/>
      </c>
      <c r="AL82" t="str">
        <f t="shared" si="43"/>
        <v/>
      </c>
      <c r="AM82" t="str">
        <f t="shared" si="44"/>
        <v/>
      </c>
      <c r="AN82" t="str">
        <f t="shared" si="45"/>
        <v/>
      </c>
      <c r="AO82" t="str">
        <f>IF($A82="","",Allocation2!AE82)</f>
        <v/>
      </c>
      <c r="AP82" t="str">
        <f>IF($A82="","",IF(ALLOC!$N$2="VOL_EFF",$Q82,IF(ALLOC!$N$2="VOL_CLASS",$R82,$S82)))</f>
        <v/>
      </c>
      <c r="AQ82" t="str">
        <f>IF($A82="","",IF(ALLOC!$N$2="VOL_EFF",$T82,IF(ALLOC!$N$2="VOL_CLASS",$U82,$V82)))</f>
        <v/>
      </c>
      <c r="AR82" t="str">
        <f t="shared" si="46"/>
        <v/>
      </c>
    </row>
    <row r="83" spans="1:44" x14ac:dyDescent="0.45">
      <c r="A83" t="str">
        <f>IF(Allocation2!D83="","",Allocation2!D83)</f>
        <v/>
      </c>
      <c r="B83" t="str">
        <f>IF(Allocation2!E83="","",Allocation2!E83)</f>
        <v/>
      </c>
      <c r="C83" t="str">
        <f>IF(Allocation2!F83="","",Allocation2!F83)</f>
        <v/>
      </c>
      <c r="D83" t="str">
        <f>IF(Allocation2!G83="","",Allocation2!G83)</f>
        <v/>
      </c>
      <c r="E83" t="str">
        <f>IF(Allocation2!H83="","",Allocation2!H83)</f>
        <v/>
      </c>
      <c r="F83" t="str">
        <f>IF(Allocation2!I83="","",Allocation2!I83)</f>
        <v/>
      </c>
      <c r="G83" t="str">
        <f>IF(Allocation2!E83="","",Allocation2!J83)</f>
        <v/>
      </c>
      <c r="H83" t="str">
        <f>IF(Allocation2!E83="","",Allocation2!K83)</f>
        <v/>
      </c>
      <c r="I83" t="str">
        <f>IF(Allocation2!E83="","",Allocation2!L83)</f>
        <v/>
      </c>
      <c r="J83" t="str">
        <f>IF($A83="","",Allocation2!X83)</f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N83" t="str">
        <f t="shared" si="31"/>
        <v/>
      </c>
      <c r="O83" t="str">
        <f t="shared" si="32"/>
        <v/>
      </c>
      <c r="P83" t="str">
        <f t="shared" si="33"/>
        <v/>
      </c>
      <c r="Q83" t="str">
        <f t="shared" si="34"/>
        <v/>
      </c>
      <c r="R83" t="str">
        <f t="shared" si="35"/>
        <v/>
      </c>
      <c r="S83" t="str">
        <f t="shared" si="36"/>
        <v/>
      </c>
      <c r="T83" t="str">
        <f t="shared" si="37"/>
        <v/>
      </c>
      <c r="U83" t="str">
        <f t="shared" si="38"/>
        <v/>
      </c>
      <c r="V83" t="str">
        <f t="shared" si="39"/>
        <v/>
      </c>
      <c r="W83" t="str">
        <f>IF($A83="","",Allocation2!Y83)</f>
        <v/>
      </c>
      <c r="X83" t="str">
        <f>IF($A83="","",Allocation2!Z83)</f>
        <v/>
      </c>
      <c r="Y83" t="str">
        <f>IF($A83="","",Allocation2!AA83)</f>
        <v/>
      </c>
      <c r="Z83" t="str">
        <f>IF($A83="","",Allocation2!AB83)</f>
        <v/>
      </c>
      <c r="AA83" t="str">
        <f>IF($A83="","",Allocation2!AC83)</f>
        <v/>
      </c>
      <c r="AB83" t="str">
        <f>IF($A83="","",Allocation2!AD83)</f>
        <v/>
      </c>
      <c r="AC83" t="str">
        <f>IF($A83="","",IF(ALLOC!$N$4="VOL_EFF",$G83,IF(ALLOC!$N$4="VOL_CLASS",$H83,$I83)))</f>
        <v/>
      </c>
      <c r="AD83" t="str">
        <f>IF($A83="","",IF(ALLOC!$N$4="VOL_EFF",$L83,IF(ALLOC!$N$4="VOL_CLASS",$M83,$N83)))</f>
        <v/>
      </c>
      <c r="AE83" t="str">
        <f>IF($A83="","",IF(ALLOC!$N$3="VOL_EFF",$L83,IF(ALLOC!$N$3="VOL_CLASS",$M83,$N83)))</f>
        <v/>
      </c>
      <c r="AF83" t="str">
        <f>IF($A83="","",IF(ALLOC!$N$3="VOL_EFF",$Q83,IF(ALLOC!$N$3="VOL_CLASS",$R83,$S83)))</f>
        <v/>
      </c>
      <c r="AG83" t="str">
        <f>IF($A83="","",IF(ALLOC!$N$1="VOL_EFF",$Q83,IF(ALLOC!$N$1="VOL_CLASS",$R83,$S83)))</f>
        <v/>
      </c>
      <c r="AH83" t="str">
        <f>IF($A83="","",IF(ALLOC!$N$1="VOL_EFF",$T83,IF(ALLOC!$N$1="VOL_CLASS",$U83,$V83)))</f>
        <v/>
      </c>
      <c r="AI83" t="str">
        <f t="shared" si="40"/>
        <v/>
      </c>
      <c r="AJ83" t="str">
        <f t="shared" si="41"/>
        <v/>
      </c>
      <c r="AK83" t="str">
        <f t="shared" si="42"/>
        <v/>
      </c>
      <c r="AL83" t="str">
        <f t="shared" si="43"/>
        <v/>
      </c>
      <c r="AM83" t="str">
        <f t="shared" si="44"/>
        <v/>
      </c>
      <c r="AN83" t="str">
        <f t="shared" si="45"/>
        <v/>
      </c>
      <c r="AO83" t="str">
        <f>IF($A83="","",Allocation2!AE83)</f>
        <v/>
      </c>
      <c r="AP83" t="str">
        <f>IF($A83="","",IF(ALLOC!$N$2="VOL_EFF",$Q83,IF(ALLOC!$N$2="VOL_CLASS",$R83,$S83)))</f>
        <v/>
      </c>
      <c r="AQ83" t="str">
        <f>IF($A83="","",IF(ALLOC!$N$2="VOL_EFF",$T83,IF(ALLOC!$N$2="VOL_CLASS",$U83,$V83)))</f>
        <v/>
      </c>
      <c r="AR83" t="str">
        <f t="shared" si="46"/>
        <v/>
      </c>
    </row>
    <row r="84" spans="1:44" x14ac:dyDescent="0.45">
      <c r="A84" t="str">
        <f>IF(Allocation2!D84="","",Allocation2!D84)</f>
        <v/>
      </c>
      <c r="B84" t="str">
        <f>IF(Allocation2!E84="","",Allocation2!E84)</f>
        <v/>
      </c>
      <c r="C84" t="str">
        <f>IF(Allocation2!F84="","",Allocation2!F84)</f>
        <v/>
      </c>
      <c r="D84" t="str">
        <f>IF(Allocation2!G84="","",Allocation2!G84)</f>
        <v/>
      </c>
      <c r="E84" t="str">
        <f>IF(Allocation2!H84="","",Allocation2!H84)</f>
        <v/>
      </c>
      <c r="F84" t="str">
        <f>IF(Allocation2!I84="","",Allocation2!I84)</f>
        <v/>
      </c>
      <c r="G84" t="str">
        <f>IF(Allocation2!E84="","",Allocation2!J84)</f>
        <v/>
      </c>
      <c r="H84" t="str">
        <f>IF(Allocation2!E84="","",Allocation2!K84)</f>
        <v/>
      </c>
      <c r="I84" t="str">
        <f>IF(Allocation2!E84="","",Allocation2!L84)</f>
        <v/>
      </c>
      <c r="J84" t="str">
        <f>IF($A84="","",Allocation2!X84)</f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N84" t="str">
        <f t="shared" si="31"/>
        <v/>
      </c>
      <c r="O84" t="str">
        <f t="shared" si="32"/>
        <v/>
      </c>
      <c r="P84" t="str">
        <f t="shared" si="33"/>
        <v/>
      </c>
      <c r="Q84" t="str">
        <f t="shared" si="34"/>
        <v/>
      </c>
      <c r="R84" t="str">
        <f t="shared" si="35"/>
        <v/>
      </c>
      <c r="S84" t="str">
        <f t="shared" si="36"/>
        <v/>
      </c>
      <c r="T84" t="str">
        <f t="shared" si="37"/>
        <v/>
      </c>
      <c r="U84" t="str">
        <f t="shared" si="38"/>
        <v/>
      </c>
      <c r="V84" t="str">
        <f t="shared" si="39"/>
        <v/>
      </c>
      <c r="W84" t="str">
        <f>IF($A84="","",Allocation2!Y84)</f>
        <v/>
      </c>
      <c r="X84" t="str">
        <f>IF($A84="","",Allocation2!Z84)</f>
        <v/>
      </c>
      <c r="Y84" t="str">
        <f>IF($A84="","",Allocation2!AA84)</f>
        <v/>
      </c>
      <c r="Z84" t="str">
        <f>IF($A84="","",Allocation2!AB84)</f>
        <v/>
      </c>
      <c r="AA84" t="str">
        <f>IF($A84="","",Allocation2!AC84)</f>
        <v/>
      </c>
      <c r="AB84" t="str">
        <f>IF($A84="","",Allocation2!AD84)</f>
        <v/>
      </c>
      <c r="AC84" t="str">
        <f>IF($A84="","",IF(ALLOC!$N$4="VOL_EFF",$G84,IF(ALLOC!$N$4="VOL_CLASS",$H84,$I84)))</f>
        <v/>
      </c>
      <c r="AD84" t="str">
        <f>IF($A84="","",IF(ALLOC!$N$4="VOL_EFF",$L84,IF(ALLOC!$N$4="VOL_CLASS",$M84,$N84)))</f>
        <v/>
      </c>
      <c r="AE84" t="str">
        <f>IF($A84="","",IF(ALLOC!$N$3="VOL_EFF",$L84,IF(ALLOC!$N$3="VOL_CLASS",$M84,$N84)))</f>
        <v/>
      </c>
      <c r="AF84" t="str">
        <f>IF($A84="","",IF(ALLOC!$N$3="VOL_EFF",$Q84,IF(ALLOC!$N$3="VOL_CLASS",$R84,$S84)))</f>
        <v/>
      </c>
      <c r="AG84" t="str">
        <f>IF($A84="","",IF(ALLOC!$N$1="VOL_EFF",$Q84,IF(ALLOC!$N$1="VOL_CLASS",$R84,$S84)))</f>
        <v/>
      </c>
      <c r="AH84" t="str">
        <f>IF($A84="","",IF(ALLOC!$N$1="VOL_EFF",$T84,IF(ALLOC!$N$1="VOL_CLASS",$U84,$V84)))</f>
        <v/>
      </c>
      <c r="AI84" t="str">
        <f t="shared" si="40"/>
        <v/>
      </c>
      <c r="AJ84" t="str">
        <f t="shared" si="41"/>
        <v/>
      </c>
      <c r="AK84" t="str">
        <f t="shared" si="42"/>
        <v/>
      </c>
      <c r="AL84" t="str">
        <f t="shared" si="43"/>
        <v/>
      </c>
      <c r="AM84" t="str">
        <f t="shared" si="44"/>
        <v/>
      </c>
      <c r="AN84" t="str">
        <f t="shared" si="45"/>
        <v/>
      </c>
      <c r="AO84" t="str">
        <f>IF($A84="","",Allocation2!AE84)</f>
        <v/>
      </c>
      <c r="AP84" t="str">
        <f>IF($A84="","",IF(ALLOC!$N$2="VOL_EFF",$Q84,IF(ALLOC!$N$2="VOL_CLASS",$R84,$S84)))</f>
        <v/>
      </c>
      <c r="AQ84" t="str">
        <f>IF($A84="","",IF(ALLOC!$N$2="VOL_EFF",$T84,IF(ALLOC!$N$2="VOL_CLASS",$U84,$V84)))</f>
        <v/>
      </c>
      <c r="AR84" t="str">
        <f t="shared" si="46"/>
        <v/>
      </c>
    </row>
    <row r="85" spans="1:44" x14ac:dyDescent="0.45">
      <c r="A85" t="str">
        <f>IF(Allocation2!D85="","",Allocation2!D85)</f>
        <v/>
      </c>
      <c r="B85" t="str">
        <f>IF(Allocation2!E85="","",Allocation2!E85)</f>
        <v/>
      </c>
      <c r="C85" t="str">
        <f>IF(Allocation2!F85="","",Allocation2!F85)</f>
        <v/>
      </c>
      <c r="D85" t="str">
        <f>IF(Allocation2!G85="","",Allocation2!G85)</f>
        <v/>
      </c>
      <c r="E85" t="str">
        <f>IF(Allocation2!H85="","",Allocation2!H85)</f>
        <v/>
      </c>
      <c r="F85" t="str">
        <f>IF(Allocation2!I85="","",Allocation2!I85)</f>
        <v/>
      </c>
      <c r="G85" t="str">
        <f>IF(Allocation2!E85="","",Allocation2!J85)</f>
        <v/>
      </c>
      <c r="H85" t="str">
        <f>IF(Allocation2!E85="","",Allocation2!K85)</f>
        <v/>
      </c>
      <c r="I85" t="str">
        <f>IF(Allocation2!E85="","",Allocation2!L85)</f>
        <v/>
      </c>
      <c r="J85" t="str">
        <f>IF($A85="","",Allocation2!X85)</f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N85" t="str">
        <f t="shared" si="31"/>
        <v/>
      </c>
      <c r="O85" t="str">
        <f t="shared" si="32"/>
        <v/>
      </c>
      <c r="P85" t="str">
        <f t="shared" si="33"/>
        <v/>
      </c>
      <c r="Q85" t="str">
        <f t="shared" si="34"/>
        <v/>
      </c>
      <c r="R85" t="str">
        <f t="shared" si="35"/>
        <v/>
      </c>
      <c r="S85" t="str">
        <f t="shared" si="36"/>
        <v/>
      </c>
      <c r="T85" t="str">
        <f t="shared" si="37"/>
        <v/>
      </c>
      <c r="U85" t="str">
        <f t="shared" si="38"/>
        <v/>
      </c>
      <c r="V85" t="str">
        <f t="shared" si="39"/>
        <v/>
      </c>
      <c r="W85" t="str">
        <f>IF($A85="","",Allocation2!Y85)</f>
        <v/>
      </c>
      <c r="X85" t="str">
        <f>IF($A85="","",Allocation2!Z85)</f>
        <v/>
      </c>
      <c r="Y85" t="str">
        <f>IF($A85="","",Allocation2!AA85)</f>
        <v/>
      </c>
      <c r="Z85" t="str">
        <f>IF($A85="","",Allocation2!AB85)</f>
        <v/>
      </c>
      <c r="AA85" t="str">
        <f>IF($A85="","",Allocation2!AC85)</f>
        <v/>
      </c>
      <c r="AB85" t="str">
        <f>IF($A85="","",Allocation2!AD85)</f>
        <v/>
      </c>
      <c r="AC85" t="str">
        <f>IF($A85="","",IF(ALLOC!$N$4="VOL_EFF",$G85,IF(ALLOC!$N$4="VOL_CLASS",$H85,$I85)))</f>
        <v/>
      </c>
      <c r="AD85" t="str">
        <f>IF($A85="","",IF(ALLOC!$N$4="VOL_EFF",$L85,IF(ALLOC!$N$4="VOL_CLASS",$M85,$N85)))</f>
        <v/>
      </c>
      <c r="AE85" t="str">
        <f>IF($A85="","",IF(ALLOC!$N$3="VOL_EFF",$L85,IF(ALLOC!$N$3="VOL_CLASS",$M85,$N85)))</f>
        <v/>
      </c>
      <c r="AF85" t="str">
        <f>IF($A85="","",IF(ALLOC!$N$3="VOL_EFF",$Q85,IF(ALLOC!$N$3="VOL_CLASS",$R85,$S85)))</f>
        <v/>
      </c>
      <c r="AG85" t="str">
        <f>IF($A85="","",IF(ALLOC!$N$1="VOL_EFF",$Q85,IF(ALLOC!$N$1="VOL_CLASS",$R85,$S85)))</f>
        <v/>
      </c>
      <c r="AH85" t="str">
        <f>IF($A85="","",IF(ALLOC!$N$1="VOL_EFF",$T85,IF(ALLOC!$N$1="VOL_CLASS",$U85,$V85)))</f>
        <v/>
      </c>
      <c r="AI85" t="str">
        <f t="shared" si="40"/>
        <v/>
      </c>
      <c r="AJ85" t="str">
        <f t="shared" si="41"/>
        <v/>
      </c>
      <c r="AK85" t="str">
        <f t="shared" si="42"/>
        <v/>
      </c>
      <c r="AL85" t="str">
        <f t="shared" si="43"/>
        <v/>
      </c>
      <c r="AM85" t="str">
        <f t="shared" si="44"/>
        <v/>
      </c>
      <c r="AN85" t="str">
        <f t="shared" si="45"/>
        <v/>
      </c>
      <c r="AO85" t="str">
        <f>IF($A85="","",Allocation2!AE85)</f>
        <v/>
      </c>
      <c r="AP85" t="str">
        <f>IF($A85="","",IF(ALLOC!$N$2="VOL_EFF",$Q85,IF(ALLOC!$N$2="VOL_CLASS",$R85,$S85)))</f>
        <v/>
      </c>
      <c r="AQ85" t="str">
        <f>IF($A85="","",IF(ALLOC!$N$2="VOL_EFF",$T85,IF(ALLOC!$N$2="VOL_CLASS",$U85,$V85)))</f>
        <v/>
      </c>
      <c r="AR85" t="str">
        <f t="shared" si="46"/>
        <v/>
      </c>
    </row>
    <row r="86" spans="1:44" x14ac:dyDescent="0.45">
      <c r="A86" t="str">
        <f>IF(Allocation2!D86="","",Allocation2!D86)</f>
        <v/>
      </c>
      <c r="B86" t="str">
        <f>IF(Allocation2!E86="","",Allocation2!E86)</f>
        <v/>
      </c>
      <c r="C86" t="str">
        <f>IF(Allocation2!F86="","",Allocation2!F86)</f>
        <v/>
      </c>
      <c r="D86" t="str">
        <f>IF(Allocation2!G86="","",Allocation2!G86)</f>
        <v/>
      </c>
      <c r="E86" t="str">
        <f>IF(Allocation2!H86="","",Allocation2!H86)</f>
        <v/>
      </c>
      <c r="F86" t="str">
        <f>IF(Allocation2!I86="","",Allocation2!I86)</f>
        <v/>
      </c>
      <c r="G86" t="str">
        <f>IF(Allocation2!E86="","",Allocation2!J86)</f>
        <v/>
      </c>
      <c r="H86" t="str">
        <f>IF(Allocation2!E86="","",Allocation2!K86)</f>
        <v/>
      </c>
      <c r="I86" t="str">
        <f>IF(Allocation2!E86="","",Allocation2!L86)</f>
        <v/>
      </c>
      <c r="J86" t="str">
        <f>IF($A86="","",Allocation2!X86)</f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N86" t="str">
        <f t="shared" si="31"/>
        <v/>
      </c>
      <c r="O86" t="str">
        <f t="shared" si="32"/>
        <v/>
      </c>
      <c r="P86" t="str">
        <f t="shared" si="33"/>
        <v/>
      </c>
      <c r="Q86" t="str">
        <f t="shared" si="34"/>
        <v/>
      </c>
      <c r="R86" t="str">
        <f t="shared" si="35"/>
        <v/>
      </c>
      <c r="S86" t="str">
        <f t="shared" si="36"/>
        <v/>
      </c>
      <c r="T86" t="str">
        <f t="shared" si="37"/>
        <v/>
      </c>
      <c r="U86" t="str">
        <f t="shared" si="38"/>
        <v/>
      </c>
      <c r="V86" t="str">
        <f t="shared" si="39"/>
        <v/>
      </c>
      <c r="W86" t="str">
        <f>IF($A86="","",Allocation2!Y86)</f>
        <v/>
      </c>
      <c r="X86" t="str">
        <f>IF($A86="","",Allocation2!Z86)</f>
        <v/>
      </c>
      <c r="Y86" t="str">
        <f>IF($A86="","",Allocation2!AA86)</f>
        <v/>
      </c>
      <c r="Z86" t="str">
        <f>IF($A86="","",Allocation2!AB86)</f>
        <v/>
      </c>
      <c r="AA86" t="str">
        <f>IF($A86="","",Allocation2!AC86)</f>
        <v/>
      </c>
      <c r="AB86" t="str">
        <f>IF($A86="","",Allocation2!AD86)</f>
        <v/>
      </c>
      <c r="AC86" t="str">
        <f>IF($A86="","",IF(ALLOC!$N$4="VOL_EFF",$G86,IF(ALLOC!$N$4="VOL_CLASS",$H86,$I86)))</f>
        <v/>
      </c>
      <c r="AD86" t="str">
        <f>IF($A86="","",IF(ALLOC!$N$4="VOL_EFF",$L86,IF(ALLOC!$N$4="VOL_CLASS",$M86,$N86)))</f>
        <v/>
      </c>
      <c r="AE86" t="str">
        <f>IF($A86="","",IF(ALLOC!$N$3="VOL_EFF",$L86,IF(ALLOC!$N$3="VOL_CLASS",$M86,$N86)))</f>
        <v/>
      </c>
      <c r="AF86" t="str">
        <f>IF($A86="","",IF(ALLOC!$N$3="VOL_EFF",$Q86,IF(ALLOC!$N$3="VOL_CLASS",$R86,$S86)))</f>
        <v/>
      </c>
      <c r="AG86" t="str">
        <f>IF($A86="","",IF(ALLOC!$N$1="VOL_EFF",$Q86,IF(ALLOC!$N$1="VOL_CLASS",$R86,$S86)))</f>
        <v/>
      </c>
      <c r="AH86" t="str">
        <f>IF($A86="","",IF(ALLOC!$N$1="VOL_EFF",$T86,IF(ALLOC!$N$1="VOL_CLASS",$U86,$V86)))</f>
        <v/>
      </c>
      <c r="AI86" t="str">
        <f t="shared" si="40"/>
        <v/>
      </c>
      <c r="AJ86" t="str">
        <f t="shared" si="41"/>
        <v/>
      </c>
      <c r="AK86" t="str">
        <f t="shared" si="42"/>
        <v/>
      </c>
      <c r="AL86" t="str">
        <f t="shared" si="43"/>
        <v/>
      </c>
      <c r="AM86" t="str">
        <f t="shared" si="44"/>
        <v/>
      </c>
      <c r="AN86" t="str">
        <f t="shared" si="45"/>
        <v/>
      </c>
      <c r="AO86" t="str">
        <f>IF($A86="","",Allocation2!AE86)</f>
        <v/>
      </c>
      <c r="AP86" t="str">
        <f>IF($A86="","",IF(ALLOC!$N$2="VOL_EFF",$Q86,IF(ALLOC!$N$2="VOL_CLASS",$R86,$S86)))</f>
        <v/>
      </c>
      <c r="AQ86" t="str">
        <f>IF($A86="","",IF(ALLOC!$N$2="VOL_EFF",$T86,IF(ALLOC!$N$2="VOL_CLASS",$U86,$V86)))</f>
        <v/>
      </c>
      <c r="AR86" t="str">
        <f t="shared" si="46"/>
        <v/>
      </c>
    </row>
    <row r="87" spans="1:44" x14ac:dyDescent="0.45">
      <c r="A87" t="str">
        <f>IF(Allocation2!D87="","",Allocation2!D87)</f>
        <v/>
      </c>
      <c r="B87" t="str">
        <f>IF(Allocation2!E87="","",Allocation2!E87)</f>
        <v/>
      </c>
      <c r="C87" t="str">
        <f>IF(Allocation2!F87="","",Allocation2!F87)</f>
        <v/>
      </c>
      <c r="D87" t="str">
        <f>IF(Allocation2!G87="","",Allocation2!G87)</f>
        <v/>
      </c>
      <c r="E87" t="str">
        <f>IF(Allocation2!H87="","",Allocation2!H87)</f>
        <v/>
      </c>
      <c r="F87" t="str">
        <f>IF(Allocation2!I87="","",Allocation2!I87)</f>
        <v/>
      </c>
      <c r="G87" t="str">
        <f>IF(Allocation2!E87="","",Allocation2!J87)</f>
        <v/>
      </c>
      <c r="H87" t="str">
        <f>IF(Allocation2!E87="","",Allocation2!K87)</f>
        <v/>
      </c>
      <c r="I87" t="str">
        <f>IF(Allocation2!E87="","",Allocation2!L87)</f>
        <v/>
      </c>
      <c r="J87" t="str">
        <f>IF($A87="","",Allocation2!X87)</f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N87" t="str">
        <f t="shared" si="31"/>
        <v/>
      </c>
      <c r="O87" t="str">
        <f t="shared" si="32"/>
        <v/>
      </c>
      <c r="P87" t="str">
        <f t="shared" si="33"/>
        <v/>
      </c>
      <c r="Q87" t="str">
        <f t="shared" si="34"/>
        <v/>
      </c>
      <c r="R87" t="str">
        <f t="shared" si="35"/>
        <v/>
      </c>
      <c r="S87" t="str">
        <f t="shared" si="36"/>
        <v/>
      </c>
      <c r="T87" t="str">
        <f t="shared" si="37"/>
        <v/>
      </c>
      <c r="U87" t="str">
        <f t="shared" si="38"/>
        <v/>
      </c>
      <c r="V87" t="str">
        <f t="shared" si="39"/>
        <v/>
      </c>
      <c r="W87" t="str">
        <f>IF($A87="","",Allocation2!Y87)</f>
        <v/>
      </c>
      <c r="X87" t="str">
        <f>IF($A87="","",Allocation2!Z87)</f>
        <v/>
      </c>
      <c r="Y87" t="str">
        <f>IF($A87="","",Allocation2!AA87)</f>
        <v/>
      </c>
      <c r="Z87" t="str">
        <f>IF($A87="","",Allocation2!AB87)</f>
        <v/>
      </c>
      <c r="AA87" t="str">
        <f>IF($A87="","",Allocation2!AC87)</f>
        <v/>
      </c>
      <c r="AB87" t="str">
        <f>IF($A87="","",Allocation2!AD87)</f>
        <v/>
      </c>
      <c r="AC87" t="str">
        <f>IF($A87="","",IF(ALLOC!$N$4="VOL_EFF",$G87,IF(ALLOC!$N$4="VOL_CLASS",$H87,$I87)))</f>
        <v/>
      </c>
      <c r="AD87" t="str">
        <f>IF($A87="","",IF(ALLOC!$N$4="VOL_EFF",$L87,IF(ALLOC!$N$4="VOL_CLASS",$M87,$N87)))</f>
        <v/>
      </c>
      <c r="AE87" t="str">
        <f>IF($A87="","",IF(ALLOC!$N$3="VOL_EFF",$L87,IF(ALLOC!$N$3="VOL_CLASS",$M87,$N87)))</f>
        <v/>
      </c>
      <c r="AF87" t="str">
        <f>IF($A87="","",IF(ALLOC!$N$3="VOL_EFF",$Q87,IF(ALLOC!$N$3="VOL_CLASS",$R87,$S87)))</f>
        <v/>
      </c>
      <c r="AG87" t="str">
        <f>IF($A87="","",IF(ALLOC!$N$1="VOL_EFF",$Q87,IF(ALLOC!$N$1="VOL_CLASS",$R87,$S87)))</f>
        <v/>
      </c>
      <c r="AH87" t="str">
        <f>IF($A87="","",IF(ALLOC!$N$1="VOL_EFF",$T87,IF(ALLOC!$N$1="VOL_CLASS",$U87,$V87)))</f>
        <v/>
      </c>
      <c r="AI87" t="str">
        <f t="shared" si="40"/>
        <v/>
      </c>
      <c r="AJ87" t="str">
        <f t="shared" si="41"/>
        <v/>
      </c>
      <c r="AK87" t="str">
        <f t="shared" si="42"/>
        <v/>
      </c>
      <c r="AL87" t="str">
        <f t="shared" si="43"/>
        <v/>
      </c>
      <c r="AM87" t="str">
        <f t="shared" si="44"/>
        <v/>
      </c>
      <c r="AN87" t="str">
        <f t="shared" si="45"/>
        <v/>
      </c>
      <c r="AO87" t="str">
        <f>IF($A87="","",Allocation2!AE87)</f>
        <v/>
      </c>
      <c r="AP87" t="str">
        <f>IF($A87="","",IF(ALLOC!$N$2="VOL_EFF",$Q87,IF(ALLOC!$N$2="VOL_CLASS",$R87,$S87)))</f>
        <v/>
      </c>
      <c r="AQ87" t="str">
        <f>IF($A87="","",IF(ALLOC!$N$2="VOL_EFF",$T87,IF(ALLOC!$N$2="VOL_CLASS",$U87,$V87)))</f>
        <v/>
      </c>
      <c r="AR87" t="str">
        <f t="shared" si="46"/>
        <v/>
      </c>
    </row>
    <row r="88" spans="1:44" x14ac:dyDescent="0.45">
      <c r="A88" t="str">
        <f>IF(Allocation2!D88="","",Allocation2!D88)</f>
        <v/>
      </c>
      <c r="B88" t="str">
        <f>IF(Allocation2!E88="","",Allocation2!E88)</f>
        <v/>
      </c>
      <c r="C88" t="str">
        <f>IF(Allocation2!F88="","",Allocation2!F88)</f>
        <v/>
      </c>
      <c r="D88" t="str">
        <f>IF(Allocation2!G88="","",Allocation2!G88)</f>
        <v/>
      </c>
      <c r="E88" t="str">
        <f>IF(Allocation2!H88="","",Allocation2!H88)</f>
        <v/>
      </c>
      <c r="F88" t="str">
        <f>IF(Allocation2!I88="","",Allocation2!I88)</f>
        <v/>
      </c>
      <c r="G88" t="str">
        <f>IF(Allocation2!E88="","",Allocation2!J88)</f>
        <v/>
      </c>
      <c r="H88" t="str">
        <f>IF(Allocation2!E88="","",Allocation2!K88)</f>
        <v/>
      </c>
      <c r="I88" t="str">
        <f>IF(Allocation2!E88="","",Allocation2!L88)</f>
        <v/>
      </c>
      <c r="J88" t="str">
        <f>IF($A88="","",Allocation2!X88)</f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N88" t="str">
        <f t="shared" si="31"/>
        <v/>
      </c>
      <c r="O88" t="str">
        <f t="shared" si="32"/>
        <v/>
      </c>
      <c r="P88" t="str">
        <f t="shared" si="33"/>
        <v/>
      </c>
      <c r="Q88" t="str">
        <f t="shared" si="34"/>
        <v/>
      </c>
      <c r="R88" t="str">
        <f t="shared" si="35"/>
        <v/>
      </c>
      <c r="S88" t="str">
        <f t="shared" si="36"/>
        <v/>
      </c>
      <c r="T88" t="str">
        <f t="shared" si="37"/>
        <v/>
      </c>
      <c r="U88" t="str">
        <f t="shared" si="38"/>
        <v/>
      </c>
      <c r="V88" t="str">
        <f t="shared" si="39"/>
        <v/>
      </c>
      <c r="W88" t="str">
        <f>IF($A88="","",Allocation2!Y88)</f>
        <v/>
      </c>
      <c r="X88" t="str">
        <f>IF($A88="","",Allocation2!Z88)</f>
        <v/>
      </c>
      <c r="Y88" t="str">
        <f>IF($A88="","",Allocation2!AA88)</f>
        <v/>
      </c>
      <c r="Z88" t="str">
        <f>IF($A88="","",Allocation2!AB88)</f>
        <v/>
      </c>
      <c r="AA88" t="str">
        <f>IF($A88="","",Allocation2!AC88)</f>
        <v/>
      </c>
      <c r="AB88" t="str">
        <f>IF($A88="","",Allocation2!AD88)</f>
        <v/>
      </c>
      <c r="AC88" t="str">
        <f>IF($A88="","",IF(ALLOC!$N$4="VOL_EFF",$G88,IF(ALLOC!$N$4="VOL_CLASS",$H88,$I88)))</f>
        <v/>
      </c>
      <c r="AD88" t="str">
        <f>IF($A88="","",IF(ALLOC!$N$4="VOL_EFF",$L88,IF(ALLOC!$N$4="VOL_CLASS",$M88,$N88)))</f>
        <v/>
      </c>
      <c r="AE88" t="str">
        <f>IF($A88="","",IF(ALLOC!$N$3="VOL_EFF",$L88,IF(ALLOC!$N$3="VOL_CLASS",$M88,$N88)))</f>
        <v/>
      </c>
      <c r="AF88" t="str">
        <f>IF($A88="","",IF(ALLOC!$N$3="VOL_EFF",$Q88,IF(ALLOC!$N$3="VOL_CLASS",$R88,$S88)))</f>
        <v/>
      </c>
      <c r="AG88" t="str">
        <f>IF($A88="","",IF(ALLOC!$N$1="VOL_EFF",$Q88,IF(ALLOC!$N$1="VOL_CLASS",$R88,$S88)))</f>
        <v/>
      </c>
      <c r="AH88" t="str">
        <f>IF($A88="","",IF(ALLOC!$N$1="VOL_EFF",$T88,IF(ALLOC!$N$1="VOL_CLASS",$U88,$V88)))</f>
        <v/>
      </c>
      <c r="AI88" t="str">
        <f t="shared" si="40"/>
        <v/>
      </c>
      <c r="AJ88" t="str">
        <f t="shared" si="41"/>
        <v/>
      </c>
      <c r="AK88" t="str">
        <f t="shared" si="42"/>
        <v/>
      </c>
      <c r="AL88" t="str">
        <f t="shared" si="43"/>
        <v/>
      </c>
      <c r="AM88" t="str">
        <f t="shared" si="44"/>
        <v/>
      </c>
      <c r="AN88" t="str">
        <f t="shared" si="45"/>
        <v/>
      </c>
      <c r="AO88" t="str">
        <f>IF($A88="","",Allocation2!AE88)</f>
        <v/>
      </c>
      <c r="AP88" t="str">
        <f>IF($A88="","",IF(ALLOC!$N$2="VOL_EFF",$Q88,IF(ALLOC!$N$2="VOL_CLASS",$R88,$S88)))</f>
        <v/>
      </c>
      <c r="AQ88" t="str">
        <f>IF($A88="","",IF(ALLOC!$N$2="VOL_EFF",$T88,IF(ALLOC!$N$2="VOL_CLASS",$U88,$V88)))</f>
        <v/>
      </c>
      <c r="AR88" t="str">
        <f t="shared" si="46"/>
        <v/>
      </c>
    </row>
    <row r="89" spans="1:44" x14ac:dyDescent="0.45">
      <c r="A89" t="str">
        <f>IF(Allocation2!D89="","",Allocation2!D89)</f>
        <v/>
      </c>
      <c r="B89" t="str">
        <f>IF(Allocation2!E89="","",Allocation2!E89)</f>
        <v/>
      </c>
      <c r="C89" t="str">
        <f>IF(Allocation2!F89="","",Allocation2!F89)</f>
        <v/>
      </c>
      <c r="D89" t="str">
        <f>IF(Allocation2!G89="","",Allocation2!G89)</f>
        <v/>
      </c>
      <c r="E89" t="str">
        <f>IF(Allocation2!H89="","",Allocation2!H89)</f>
        <v/>
      </c>
      <c r="F89" t="str">
        <f>IF(Allocation2!I89="","",Allocation2!I89)</f>
        <v/>
      </c>
      <c r="G89" t="str">
        <f>IF(Allocation2!E89="","",Allocation2!J89)</f>
        <v/>
      </c>
      <c r="H89" t="str">
        <f>IF(Allocation2!E89="","",Allocation2!K89)</f>
        <v/>
      </c>
      <c r="I89" t="str">
        <f>IF(Allocation2!E89="","",Allocation2!L89)</f>
        <v/>
      </c>
      <c r="J89" t="str">
        <f>IF($A89="","",Allocation2!X89)</f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N89" t="str">
        <f t="shared" si="31"/>
        <v/>
      </c>
      <c r="O89" t="str">
        <f t="shared" si="32"/>
        <v/>
      </c>
      <c r="P89" t="str">
        <f t="shared" si="33"/>
        <v/>
      </c>
      <c r="Q89" t="str">
        <f t="shared" si="34"/>
        <v/>
      </c>
      <c r="R89" t="str">
        <f t="shared" si="35"/>
        <v/>
      </c>
      <c r="S89" t="str">
        <f t="shared" si="36"/>
        <v/>
      </c>
      <c r="T89" t="str">
        <f t="shared" si="37"/>
        <v/>
      </c>
      <c r="U89" t="str">
        <f t="shared" si="38"/>
        <v/>
      </c>
      <c r="V89" t="str">
        <f t="shared" si="39"/>
        <v/>
      </c>
      <c r="W89" t="str">
        <f>IF($A89="","",Allocation2!Y89)</f>
        <v/>
      </c>
      <c r="X89" t="str">
        <f>IF($A89="","",Allocation2!Z89)</f>
        <v/>
      </c>
      <c r="Y89" t="str">
        <f>IF($A89="","",Allocation2!AA89)</f>
        <v/>
      </c>
      <c r="Z89" t="str">
        <f>IF($A89="","",Allocation2!AB89)</f>
        <v/>
      </c>
      <c r="AA89" t="str">
        <f>IF($A89="","",Allocation2!AC89)</f>
        <v/>
      </c>
      <c r="AB89" t="str">
        <f>IF($A89="","",Allocation2!AD89)</f>
        <v/>
      </c>
      <c r="AC89" t="str">
        <f>IF($A89="","",IF(ALLOC!$N$4="VOL_EFF",$G89,IF(ALLOC!$N$4="VOL_CLASS",$H89,$I89)))</f>
        <v/>
      </c>
      <c r="AD89" t="str">
        <f>IF($A89="","",IF(ALLOC!$N$4="VOL_EFF",$L89,IF(ALLOC!$N$4="VOL_CLASS",$M89,$N89)))</f>
        <v/>
      </c>
      <c r="AE89" t="str">
        <f>IF($A89="","",IF(ALLOC!$N$3="VOL_EFF",$L89,IF(ALLOC!$N$3="VOL_CLASS",$M89,$N89)))</f>
        <v/>
      </c>
      <c r="AF89" t="str">
        <f>IF($A89="","",IF(ALLOC!$N$3="VOL_EFF",$Q89,IF(ALLOC!$N$3="VOL_CLASS",$R89,$S89)))</f>
        <v/>
      </c>
      <c r="AG89" t="str">
        <f>IF($A89="","",IF(ALLOC!$N$1="VOL_EFF",$Q89,IF(ALLOC!$N$1="VOL_CLASS",$R89,$S89)))</f>
        <v/>
      </c>
      <c r="AH89" t="str">
        <f>IF($A89="","",IF(ALLOC!$N$1="VOL_EFF",$T89,IF(ALLOC!$N$1="VOL_CLASS",$U89,$V89)))</f>
        <v/>
      </c>
      <c r="AI89" t="str">
        <f t="shared" si="40"/>
        <v/>
      </c>
      <c r="AJ89" t="str">
        <f t="shared" si="41"/>
        <v/>
      </c>
      <c r="AK89" t="str">
        <f t="shared" si="42"/>
        <v/>
      </c>
      <c r="AL89" t="str">
        <f t="shared" si="43"/>
        <v/>
      </c>
      <c r="AM89" t="str">
        <f t="shared" si="44"/>
        <v/>
      </c>
      <c r="AN89" t="str">
        <f t="shared" si="45"/>
        <v/>
      </c>
      <c r="AO89" t="str">
        <f>IF($A89="","",Allocation2!AE89)</f>
        <v/>
      </c>
      <c r="AP89" t="str">
        <f>IF($A89="","",IF(ALLOC!$N$2="VOL_EFF",$Q89,IF(ALLOC!$N$2="VOL_CLASS",$R89,$S89)))</f>
        <v/>
      </c>
      <c r="AQ89" t="str">
        <f>IF($A89="","",IF(ALLOC!$N$2="VOL_EFF",$T89,IF(ALLOC!$N$2="VOL_CLASS",$U89,$V89)))</f>
        <v/>
      </c>
      <c r="AR89" t="str">
        <f t="shared" si="46"/>
        <v/>
      </c>
    </row>
    <row r="90" spans="1:44" x14ac:dyDescent="0.45">
      <c r="A90" t="str">
        <f>IF(Allocation2!D90="","",Allocation2!D90)</f>
        <v/>
      </c>
      <c r="B90" t="str">
        <f>IF(Allocation2!E90="","",Allocation2!E90)</f>
        <v/>
      </c>
      <c r="C90" t="str">
        <f>IF(Allocation2!F90="","",Allocation2!F90)</f>
        <v/>
      </c>
      <c r="D90" t="str">
        <f>IF(Allocation2!G90="","",Allocation2!G90)</f>
        <v/>
      </c>
      <c r="E90" t="str">
        <f>IF(Allocation2!H90="","",Allocation2!H90)</f>
        <v/>
      </c>
      <c r="F90" t="str">
        <f>IF(Allocation2!I90="","",Allocation2!I90)</f>
        <v/>
      </c>
      <c r="G90" t="str">
        <f>IF(Allocation2!E90="","",Allocation2!J90)</f>
        <v/>
      </c>
      <c r="H90" t="str">
        <f>IF(Allocation2!E90="","",Allocation2!K90)</f>
        <v/>
      </c>
      <c r="I90" t="str">
        <f>IF(Allocation2!E90="","",Allocation2!L90)</f>
        <v/>
      </c>
      <c r="J90" t="str">
        <f>IF($A90="","",Allocation2!X90)</f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N90" t="str">
        <f t="shared" si="31"/>
        <v/>
      </c>
      <c r="O90" t="str">
        <f t="shared" si="32"/>
        <v/>
      </c>
      <c r="P90" t="str">
        <f t="shared" si="33"/>
        <v/>
      </c>
      <c r="Q90" t="str">
        <f t="shared" si="34"/>
        <v/>
      </c>
      <c r="R90" t="str">
        <f t="shared" si="35"/>
        <v/>
      </c>
      <c r="S90" t="str">
        <f t="shared" si="36"/>
        <v/>
      </c>
      <c r="T90" t="str">
        <f t="shared" si="37"/>
        <v/>
      </c>
      <c r="U90" t="str">
        <f t="shared" si="38"/>
        <v/>
      </c>
      <c r="V90" t="str">
        <f t="shared" si="39"/>
        <v/>
      </c>
      <c r="W90" t="str">
        <f>IF($A90="","",Allocation2!Y90)</f>
        <v/>
      </c>
      <c r="X90" t="str">
        <f>IF($A90="","",Allocation2!Z90)</f>
        <v/>
      </c>
      <c r="Y90" t="str">
        <f>IF($A90="","",Allocation2!AA90)</f>
        <v/>
      </c>
      <c r="Z90" t="str">
        <f>IF($A90="","",Allocation2!AB90)</f>
        <v/>
      </c>
      <c r="AA90" t="str">
        <f>IF($A90="","",Allocation2!AC90)</f>
        <v/>
      </c>
      <c r="AB90" t="str">
        <f>IF($A90="","",Allocation2!AD90)</f>
        <v/>
      </c>
      <c r="AC90" t="str">
        <f>IF($A90="","",IF(ALLOC!$N$4="VOL_EFF",$G90,IF(ALLOC!$N$4="VOL_CLASS",$H90,$I90)))</f>
        <v/>
      </c>
      <c r="AD90" t="str">
        <f>IF($A90="","",IF(ALLOC!$N$4="VOL_EFF",$L90,IF(ALLOC!$N$4="VOL_CLASS",$M90,$N90)))</f>
        <v/>
      </c>
      <c r="AE90" t="str">
        <f>IF($A90="","",IF(ALLOC!$N$3="VOL_EFF",$L90,IF(ALLOC!$N$3="VOL_CLASS",$M90,$N90)))</f>
        <v/>
      </c>
      <c r="AF90" t="str">
        <f>IF($A90="","",IF(ALLOC!$N$3="VOL_EFF",$Q90,IF(ALLOC!$N$3="VOL_CLASS",$R90,$S90)))</f>
        <v/>
      </c>
      <c r="AG90" t="str">
        <f>IF($A90="","",IF(ALLOC!$N$1="VOL_EFF",$Q90,IF(ALLOC!$N$1="VOL_CLASS",$R90,$S90)))</f>
        <v/>
      </c>
      <c r="AH90" t="str">
        <f>IF($A90="","",IF(ALLOC!$N$1="VOL_EFF",$T90,IF(ALLOC!$N$1="VOL_CLASS",$U90,$V90)))</f>
        <v/>
      </c>
      <c r="AI90" t="str">
        <f t="shared" si="40"/>
        <v/>
      </c>
      <c r="AJ90" t="str">
        <f t="shared" si="41"/>
        <v/>
      </c>
      <c r="AK90" t="str">
        <f t="shared" si="42"/>
        <v/>
      </c>
      <c r="AL90" t="str">
        <f t="shared" si="43"/>
        <v/>
      </c>
      <c r="AM90" t="str">
        <f t="shared" si="44"/>
        <v/>
      </c>
      <c r="AN90" t="str">
        <f t="shared" si="45"/>
        <v/>
      </c>
      <c r="AO90" t="str">
        <f>IF($A90="","",Allocation2!AE90)</f>
        <v/>
      </c>
      <c r="AP90" t="str">
        <f>IF($A90="","",IF(ALLOC!$N$2="VOL_EFF",$Q90,IF(ALLOC!$N$2="VOL_CLASS",$R90,$S90)))</f>
        <v/>
      </c>
      <c r="AQ90" t="str">
        <f>IF($A90="","",IF(ALLOC!$N$2="VOL_EFF",$T90,IF(ALLOC!$N$2="VOL_CLASS",$U90,$V90)))</f>
        <v/>
      </c>
      <c r="AR90" t="str">
        <f t="shared" si="46"/>
        <v/>
      </c>
    </row>
    <row r="91" spans="1:44" x14ac:dyDescent="0.45">
      <c r="A91" t="str">
        <f>IF(Allocation2!D91="","",Allocation2!D91)</f>
        <v/>
      </c>
      <c r="B91" t="str">
        <f>IF(Allocation2!E91="","",Allocation2!E91)</f>
        <v/>
      </c>
      <c r="C91" t="str">
        <f>IF(Allocation2!F91="","",Allocation2!F91)</f>
        <v/>
      </c>
      <c r="D91" t="str">
        <f>IF(Allocation2!G91="","",Allocation2!G91)</f>
        <v/>
      </c>
      <c r="E91" t="str">
        <f>IF(Allocation2!H91="","",Allocation2!H91)</f>
        <v/>
      </c>
      <c r="F91" t="str">
        <f>IF(Allocation2!I91="","",Allocation2!I91)</f>
        <v/>
      </c>
      <c r="G91" t="str">
        <f>IF(Allocation2!E91="","",Allocation2!J91)</f>
        <v/>
      </c>
      <c r="H91" t="str">
        <f>IF(Allocation2!E91="","",Allocation2!K91)</f>
        <v/>
      </c>
      <c r="I91" t="str">
        <f>IF(Allocation2!E91="","",Allocation2!L91)</f>
        <v/>
      </c>
      <c r="J91" t="str">
        <f>IF($A91="","",Allocation2!X91)</f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N91" t="str">
        <f t="shared" si="31"/>
        <v/>
      </c>
      <c r="O91" t="str">
        <f t="shared" si="32"/>
        <v/>
      </c>
      <c r="P91" t="str">
        <f t="shared" si="33"/>
        <v/>
      </c>
      <c r="Q91" t="str">
        <f t="shared" si="34"/>
        <v/>
      </c>
      <c r="R91" t="str">
        <f t="shared" si="35"/>
        <v/>
      </c>
      <c r="S91" t="str">
        <f t="shared" si="36"/>
        <v/>
      </c>
      <c r="T91" t="str">
        <f t="shared" si="37"/>
        <v/>
      </c>
      <c r="U91" t="str">
        <f t="shared" si="38"/>
        <v/>
      </c>
      <c r="V91" t="str">
        <f t="shared" si="39"/>
        <v/>
      </c>
      <c r="W91" t="str">
        <f>IF($A91="","",Allocation2!Y91)</f>
        <v/>
      </c>
      <c r="X91" t="str">
        <f>IF($A91="","",Allocation2!Z91)</f>
        <v/>
      </c>
      <c r="Y91" t="str">
        <f>IF($A91="","",Allocation2!AA91)</f>
        <v/>
      </c>
      <c r="Z91" t="str">
        <f>IF($A91="","",Allocation2!AB91)</f>
        <v/>
      </c>
      <c r="AA91" t="str">
        <f>IF($A91="","",Allocation2!AC91)</f>
        <v/>
      </c>
      <c r="AB91" t="str">
        <f>IF($A91="","",Allocation2!AD91)</f>
        <v/>
      </c>
      <c r="AC91" t="str">
        <f>IF($A91="","",IF(ALLOC!$N$4="VOL_EFF",$G91,IF(ALLOC!$N$4="VOL_CLASS",$H91,$I91)))</f>
        <v/>
      </c>
      <c r="AD91" t="str">
        <f>IF($A91="","",IF(ALLOC!$N$4="VOL_EFF",$L91,IF(ALLOC!$N$4="VOL_CLASS",$M91,$N91)))</f>
        <v/>
      </c>
      <c r="AE91" t="str">
        <f>IF($A91="","",IF(ALLOC!$N$3="VOL_EFF",$L91,IF(ALLOC!$N$3="VOL_CLASS",$M91,$N91)))</f>
        <v/>
      </c>
      <c r="AF91" t="str">
        <f>IF($A91="","",IF(ALLOC!$N$3="VOL_EFF",$Q91,IF(ALLOC!$N$3="VOL_CLASS",$R91,$S91)))</f>
        <v/>
      </c>
      <c r="AG91" t="str">
        <f>IF($A91="","",IF(ALLOC!$N$1="VOL_EFF",$Q91,IF(ALLOC!$N$1="VOL_CLASS",$R91,$S91)))</f>
        <v/>
      </c>
      <c r="AH91" t="str">
        <f>IF($A91="","",IF(ALLOC!$N$1="VOL_EFF",$T91,IF(ALLOC!$N$1="VOL_CLASS",$U91,$V91)))</f>
        <v/>
      </c>
      <c r="AI91" t="str">
        <f t="shared" si="40"/>
        <v/>
      </c>
      <c r="AJ91" t="str">
        <f t="shared" si="41"/>
        <v/>
      </c>
      <c r="AK91" t="str">
        <f t="shared" si="42"/>
        <v/>
      </c>
      <c r="AL91" t="str">
        <f t="shared" si="43"/>
        <v/>
      </c>
      <c r="AM91" t="str">
        <f t="shared" si="44"/>
        <v/>
      </c>
      <c r="AN91" t="str">
        <f t="shared" si="45"/>
        <v/>
      </c>
      <c r="AO91" t="str">
        <f>IF($A91="","",Allocation2!AE91)</f>
        <v/>
      </c>
      <c r="AP91" t="str">
        <f>IF($A91="","",IF(ALLOC!$N$2="VOL_EFF",$Q91,IF(ALLOC!$N$2="VOL_CLASS",$R91,$S91)))</f>
        <v/>
      </c>
      <c r="AQ91" t="str">
        <f>IF($A91="","",IF(ALLOC!$N$2="VOL_EFF",$T91,IF(ALLOC!$N$2="VOL_CLASS",$U91,$V91)))</f>
        <v/>
      </c>
      <c r="AR91" t="str">
        <f t="shared" si="46"/>
        <v/>
      </c>
    </row>
    <row r="92" spans="1:44" x14ac:dyDescent="0.45">
      <c r="A92" t="str">
        <f>IF(Allocation2!D92="","",Allocation2!D92)</f>
        <v/>
      </c>
      <c r="B92" t="str">
        <f>IF(Allocation2!E92="","",Allocation2!E92)</f>
        <v/>
      </c>
      <c r="C92" t="str">
        <f>IF(Allocation2!F92="","",Allocation2!F92)</f>
        <v/>
      </c>
      <c r="D92" t="str">
        <f>IF(Allocation2!G92="","",Allocation2!G92)</f>
        <v/>
      </c>
      <c r="E92" t="str">
        <f>IF(Allocation2!H92="","",Allocation2!H92)</f>
        <v/>
      </c>
      <c r="F92" t="str">
        <f>IF(Allocation2!I92="","",Allocation2!I92)</f>
        <v/>
      </c>
      <c r="G92" t="str">
        <f>IF(Allocation2!E92="","",Allocation2!J92)</f>
        <v/>
      </c>
      <c r="H92" t="str">
        <f>IF(Allocation2!E92="","",Allocation2!K92)</f>
        <v/>
      </c>
      <c r="I92" t="str">
        <f>IF(Allocation2!E92="","",Allocation2!L92)</f>
        <v/>
      </c>
      <c r="J92" t="str">
        <f>IF($A92="","",Allocation2!X92)</f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N92" t="str">
        <f t="shared" si="31"/>
        <v/>
      </c>
      <c r="O92" t="str">
        <f t="shared" si="32"/>
        <v/>
      </c>
      <c r="P92" t="str">
        <f t="shared" si="33"/>
        <v/>
      </c>
      <c r="Q92" t="str">
        <f t="shared" si="34"/>
        <v/>
      </c>
      <c r="R92" t="str">
        <f t="shared" si="35"/>
        <v/>
      </c>
      <c r="S92" t="str">
        <f t="shared" si="36"/>
        <v/>
      </c>
      <c r="T92" t="str">
        <f t="shared" si="37"/>
        <v/>
      </c>
      <c r="U92" t="str">
        <f t="shared" si="38"/>
        <v/>
      </c>
      <c r="V92" t="str">
        <f t="shared" si="39"/>
        <v/>
      </c>
      <c r="W92" t="str">
        <f>IF($A92="","",Allocation2!Y92)</f>
        <v/>
      </c>
      <c r="X92" t="str">
        <f>IF($A92="","",Allocation2!Z92)</f>
        <v/>
      </c>
      <c r="Y92" t="str">
        <f>IF($A92="","",Allocation2!AA92)</f>
        <v/>
      </c>
      <c r="Z92" t="str">
        <f>IF($A92="","",Allocation2!AB92)</f>
        <v/>
      </c>
      <c r="AA92" t="str">
        <f>IF($A92="","",Allocation2!AC92)</f>
        <v/>
      </c>
      <c r="AB92" t="str">
        <f>IF($A92="","",Allocation2!AD92)</f>
        <v/>
      </c>
      <c r="AC92" t="str">
        <f>IF($A92="","",IF(ALLOC!$N$4="VOL_EFF",$G92,IF(ALLOC!$N$4="VOL_CLASS",$H92,$I92)))</f>
        <v/>
      </c>
      <c r="AD92" t="str">
        <f>IF($A92="","",IF(ALLOC!$N$4="VOL_EFF",$L92,IF(ALLOC!$N$4="VOL_CLASS",$M92,$N92)))</f>
        <v/>
      </c>
      <c r="AE92" t="str">
        <f>IF($A92="","",IF(ALLOC!$N$3="VOL_EFF",$L92,IF(ALLOC!$N$3="VOL_CLASS",$M92,$N92)))</f>
        <v/>
      </c>
      <c r="AF92" t="str">
        <f>IF($A92="","",IF(ALLOC!$N$3="VOL_EFF",$Q92,IF(ALLOC!$N$3="VOL_CLASS",$R92,$S92)))</f>
        <v/>
      </c>
      <c r="AG92" t="str">
        <f>IF($A92="","",IF(ALLOC!$N$1="VOL_EFF",$Q92,IF(ALLOC!$N$1="VOL_CLASS",$R92,$S92)))</f>
        <v/>
      </c>
      <c r="AH92" t="str">
        <f>IF($A92="","",IF(ALLOC!$N$1="VOL_EFF",$T92,IF(ALLOC!$N$1="VOL_CLASS",$U92,$V92)))</f>
        <v/>
      </c>
      <c r="AI92" t="str">
        <f t="shared" si="40"/>
        <v/>
      </c>
      <c r="AJ92" t="str">
        <f t="shared" si="41"/>
        <v/>
      </c>
      <c r="AK92" t="str">
        <f t="shared" si="42"/>
        <v/>
      </c>
      <c r="AL92" t="str">
        <f t="shared" si="43"/>
        <v/>
      </c>
      <c r="AM92" t="str">
        <f t="shared" si="44"/>
        <v/>
      </c>
      <c r="AN92" t="str">
        <f t="shared" si="45"/>
        <v/>
      </c>
      <c r="AO92" t="str">
        <f>IF($A92="","",Allocation2!AE92)</f>
        <v/>
      </c>
      <c r="AP92" t="str">
        <f>IF($A92="","",IF(ALLOC!$N$2="VOL_EFF",$Q92,IF(ALLOC!$N$2="VOL_CLASS",$R92,$S92)))</f>
        <v/>
      </c>
      <c r="AQ92" t="str">
        <f>IF($A92="","",IF(ALLOC!$N$2="VOL_EFF",$T92,IF(ALLOC!$N$2="VOL_CLASS",$U92,$V92)))</f>
        <v/>
      </c>
      <c r="AR92" t="str">
        <f t="shared" si="46"/>
        <v/>
      </c>
    </row>
    <row r="93" spans="1:44" x14ac:dyDescent="0.45">
      <c r="A93" t="str">
        <f>IF(Allocation2!D93="","",Allocation2!D93)</f>
        <v/>
      </c>
      <c r="B93" t="str">
        <f>IF(Allocation2!E93="","",Allocation2!E93)</f>
        <v/>
      </c>
      <c r="C93" t="str">
        <f>IF(Allocation2!F93="","",Allocation2!F93)</f>
        <v/>
      </c>
      <c r="D93" t="str">
        <f>IF(Allocation2!G93="","",Allocation2!G93)</f>
        <v/>
      </c>
      <c r="E93" t="str">
        <f>IF(Allocation2!H93="","",Allocation2!H93)</f>
        <v/>
      </c>
      <c r="F93" t="str">
        <f>IF(Allocation2!I93="","",Allocation2!I93)</f>
        <v/>
      </c>
      <c r="G93" t="str">
        <f>IF(Allocation2!E93="","",Allocation2!J93)</f>
        <v/>
      </c>
      <c r="H93" t="str">
        <f>IF(Allocation2!E93="","",Allocation2!K93)</f>
        <v/>
      </c>
      <c r="I93" t="str">
        <f>IF(Allocation2!E93="","",Allocation2!L93)</f>
        <v/>
      </c>
      <c r="J93" t="str">
        <f>IF($A93="","",Allocation2!X93)</f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N93" t="str">
        <f t="shared" si="31"/>
        <v/>
      </c>
      <c r="O93" t="str">
        <f t="shared" si="32"/>
        <v/>
      </c>
      <c r="P93" t="str">
        <f t="shared" si="33"/>
        <v/>
      </c>
      <c r="Q93" t="str">
        <f t="shared" si="34"/>
        <v/>
      </c>
      <c r="R93" t="str">
        <f t="shared" si="35"/>
        <v/>
      </c>
      <c r="S93" t="str">
        <f t="shared" si="36"/>
        <v/>
      </c>
      <c r="T93" t="str">
        <f t="shared" si="37"/>
        <v/>
      </c>
      <c r="U93" t="str">
        <f t="shared" si="38"/>
        <v/>
      </c>
      <c r="V93" t="str">
        <f t="shared" si="39"/>
        <v/>
      </c>
      <c r="W93" t="str">
        <f>IF($A93="","",Allocation2!Y93)</f>
        <v/>
      </c>
      <c r="X93" t="str">
        <f>IF($A93="","",Allocation2!Z93)</f>
        <v/>
      </c>
      <c r="Y93" t="str">
        <f>IF($A93="","",Allocation2!AA93)</f>
        <v/>
      </c>
      <c r="Z93" t="str">
        <f>IF($A93="","",Allocation2!AB93)</f>
        <v/>
      </c>
      <c r="AA93" t="str">
        <f>IF($A93="","",Allocation2!AC93)</f>
        <v/>
      </c>
      <c r="AB93" t="str">
        <f>IF($A93="","",Allocation2!AD93)</f>
        <v/>
      </c>
      <c r="AC93" t="str">
        <f>IF($A93="","",IF(ALLOC!$N$4="VOL_EFF",$G93,IF(ALLOC!$N$4="VOL_CLASS",$H93,$I93)))</f>
        <v/>
      </c>
      <c r="AD93" t="str">
        <f>IF($A93="","",IF(ALLOC!$N$4="VOL_EFF",$L93,IF(ALLOC!$N$4="VOL_CLASS",$M93,$N93)))</f>
        <v/>
      </c>
      <c r="AE93" t="str">
        <f>IF($A93="","",IF(ALLOC!$N$3="VOL_EFF",$L93,IF(ALLOC!$N$3="VOL_CLASS",$M93,$N93)))</f>
        <v/>
      </c>
      <c r="AF93" t="str">
        <f>IF($A93="","",IF(ALLOC!$N$3="VOL_EFF",$Q93,IF(ALLOC!$N$3="VOL_CLASS",$R93,$S93)))</f>
        <v/>
      </c>
      <c r="AG93" t="str">
        <f>IF($A93="","",IF(ALLOC!$N$1="VOL_EFF",$Q93,IF(ALLOC!$N$1="VOL_CLASS",$R93,$S93)))</f>
        <v/>
      </c>
      <c r="AH93" t="str">
        <f>IF($A93="","",IF(ALLOC!$N$1="VOL_EFF",$T93,IF(ALLOC!$N$1="VOL_CLASS",$U93,$V93)))</f>
        <v/>
      </c>
      <c r="AI93" t="str">
        <f t="shared" si="40"/>
        <v/>
      </c>
      <c r="AJ93" t="str">
        <f t="shared" si="41"/>
        <v/>
      </c>
      <c r="AK93" t="str">
        <f t="shared" si="42"/>
        <v/>
      </c>
      <c r="AL93" t="str">
        <f t="shared" si="43"/>
        <v/>
      </c>
      <c r="AM93" t="str">
        <f t="shared" si="44"/>
        <v/>
      </c>
      <c r="AN93" t="str">
        <f t="shared" si="45"/>
        <v/>
      </c>
      <c r="AO93" t="str">
        <f>IF($A93="","",Allocation2!AE93)</f>
        <v/>
      </c>
      <c r="AP93" t="str">
        <f>IF($A93="","",IF(ALLOC!$N$2="VOL_EFF",$Q93,IF(ALLOC!$N$2="VOL_CLASS",$R93,$S93)))</f>
        <v/>
      </c>
      <c r="AQ93" t="str">
        <f>IF($A93="","",IF(ALLOC!$N$2="VOL_EFF",$T93,IF(ALLOC!$N$2="VOL_CLASS",$U93,$V93)))</f>
        <v/>
      </c>
      <c r="AR93" t="str">
        <f t="shared" si="46"/>
        <v/>
      </c>
    </row>
    <row r="94" spans="1:44" x14ac:dyDescent="0.45">
      <c r="A94" t="str">
        <f>IF(Allocation2!D94="","",Allocation2!D94)</f>
        <v/>
      </c>
      <c r="B94" t="str">
        <f>IF(Allocation2!E94="","",Allocation2!E94)</f>
        <v/>
      </c>
      <c r="C94" t="str">
        <f>IF(Allocation2!F94="","",Allocation2!F94)</f>
        <v/>
      </c>
      <c r="D94" t="str">
        <f>IF(Allocation2!G94="","",Allocation2!G94)</f>
        <v/>
      </c>
      <c r="E94" t="str">
        <f>IF(Allocation2!H94="","",Allocation2!H94)</f>
        <v/>
      </c>
      <c r="F94" t="str">
        <f>IF(Allocation2!I94="","",Allocation2!I94)</f>
        <v/>
      </c>
      <c r="G94" t="str">
        <f>IF(Allocation2!E94="","",Allocation2!J94)</f>
        <v/>
      </c>
      <c r="H94" t="str">
        <f>IF(Allocation2!E94="","",Allocation2!K94)</f>
        <v/>
      </c>
      <c r="I94" t="str">
        <f>IF(Allocation2!E94="","",Allocation2!L94)</f>
        <v/>
      </c>
      <c r="J94" t="str">
        <f>IF($A94="","",Allocation2!X94)</f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N94" t="str">
        <f t="shared" si="31"/>
        <v/>
      </c>
      <c r="O94" t="str">
        <f t="shared" si="32"/>
        <v/>
      </c>
      <c r="P94" t="str">
        <f t="shared" si="33"/>
        <v/>
      </c>
      <c r="Q94" t="str">
        <f t="shared" si="34"/>
        <v/>
      </c>
      <c r="R94" t="str">
        <f t="shared" si="35"/>
        <v/>
      </c>
      <c r="S94" t="str">
        <f t="shared" si="36"/>
        <v/>
      </c>
      <c r="T94" t="str">
        <f t="shared" si="37"/>
        <v/>
      </c>
      <c r="U94" t="str">
        <f t="shared" si="38"/>
        <v/>
      </c>
      <c r="V94" t="str">
        <f t="shared" si="39"/>
        <v/>
      </c>
      <c r="W94" t="str">
        <f>IF($A94="","",Allocation2!Y94)</f>
        <v/>
      </c>
      <c r="X94" t="str">
        <f>IF($A94="","",Allocation2!Z94)</f>
        <v/>
      </c>
      <c r="Y94" t="str">
        <f>IF($A94="","",Allocation2!AA94)</f>
        <v/>
      </c>
      <c r="Z94" t="str">
        <f>IF($A94="","",Allocation2!AB94)</f>
        <v/>
      </c>
      <c r="AA94" t="str">
        <f>IF($A94="","",Allocation2!AC94)</f>
        <v/>
      </c>
      <c r="AB94" t="str">
        <f>IF($A94="","",Allocation2!AD94)</f>
        <v/>
      </c>
      <c r="AC94" t="str">
        <f>IF($A94="","",IF(ALLOC!$N$4="VOL_EFF",$G94,IF(ALLOC!$N$4="VOL_CLASS",$H94,$I94)))</f>
        <v/>
      </c>
      <c r="AD94" t="str">
        <f>IF($A94="","",IF(ALLOC!$N$4="VOL_EFF",$L94,IF(ALLOC!$N$4="VOL_CLASS",$M94,$N94)))</f>
        <v/>
      </c>
      <c r="AE94" t="str">
        <f>IF($A94="","",IF(ALLOC!$N$3="VOL_EFF",$L94,IF(ALLOC!$N$3="VOL_CLASS",$M94,$N94)))</f>
        <v/>
      </c>
      <c r="AF94" t="str">
        <f>IF($A94="","",IF(ALLOC!$N$3="VOL_EFF",$Q94,IF(ALLOC!$N$3="VOL_CLASS",$R94,$S94)))</f>
        <v/>
      </c>
      <c r="AG94" t="str">
        <f>IF($A94="","",IF(ALLOC!$N$1="VOL_EFF",$Q94,IF(ALLOC!$N$1="VOL_CLASS",$R94,$S94)))</f>
        <v/>
      </c>
      <c r="AH94" t="str">
        <f>IF($A94="","",IF(ALLOC!$N$1="VOL_EFF",$T94,IF(ALLOC!$N$1="VOL_CLASS",$U94,$V94)))</f>
        <v/>
      </c>
      <c r="AI94" t="str">
        <f t="shared" si="40"/>
        <v/>
      </c>
      <c r="AJ94" t="str">
        <f t="shared" si="41"/>
        <v/>
      </c>
      <c r="AK94" t="str">
        <f t="shared" si="42"/>
        <v/>
      </c>
      <c r="AL94" t="str">
        <f t="shared" si="43"/>
        <v/>
      </c>
      <c r="AM94" t="str">
        <f t="shared" si="44"/>
        <v/>
      </c>
      <c r="AN94" t="str">
        <f t="shared" si="45"/>
        <v/>
      </c>
      <c r="AO94" t="str">
        <f>IF($A94="","",Allocation2!AE94)</f>
        <v/>
      </c>
      <c r="AP94" t="str">
        <f>IF($A94="","",IF(ALLOC!$N$2="VOL_EFF",$Q94,IF(ALLOC!$N$2="VOL_CLASS",$R94,$S94)))</f>
        <v/>
      </c>
      <c r="AQ94" t="str">
        <f>IF($A94="","",IF(ALLOC!$N$2="VOL_EFF",$T94,IF(ALLOC!$N$2="VOL_CLASS",$U94,$V94)))</f>
        <v/>
      </c>
      <c r="AR94" t="str">
        <f t="shared" si="46"/>
        <v/>
      </c>
    </row>
    <row r="95" spans="1:44" x14ac:dyDescent="0.45">
      <c r="A95" t="str">
        <f>IF(Allocation2!D95="","",Allocation2!D95)</f>
        <v/>
      </c>
      <c r="B95" t="str">
        <f>IF(Allocation2!E95="","",Allocation2!E95)</f>
        <v/>
      </c>
      <c r="C95" t="str">
        <f>IF(Allocation2!F95="","",Allocation2!F95)</f>
        <v/>
      </c>
      <c r="D95" t="str">
        <f>IF(Allocation2!G95="","",Allocation2!G95)</f>
        <v/>
      </c>
      <c r="E95" t="str">
        <f>IF(Allocation2!H95="","",Allocation2!H95)</f>
        <v/>
      </c>
      <c r="F95" t="str">
        <f>IF(Allocation2!I95="","",Allocation2!I95)</f>
        <v/>
      </c>
      <c r="G95" t="str">
        <f>IF(Allocation2!E95="","",Allocation2!J95)</f>
        <v/>
      </c>
      <c r="H95" t="str">
        <f>IF(Allocation2!E95="","",Allocation2!K95)</f>
        <v/>
      </c>
      <c r="I95" t="str">
        <f>IF(Allocation2!E95="","",Allocation2!L95)</f>
        <v/>
      </c>
      <c r="J95" t="str">
        <f>IF($A95="","",Allocation2!X95)</f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N95" t="str">
        <f t="shared" si="31"/>
        <v/>
      </c>
      <c r="O95" t="str">
        <f t="shared" si="32"/>
        <v/>
      </c>
      <c r="P95" t="str">
        <f t="shared" si="33"/>
        <v/>
      </c>
      <c r="Q95" t="str">
        <f t="shared" si="34"/>
        <v/>
      </c>
      <c r="R95" t="str">
        <f t="shared" si="35"/>
        <v/>
      </c>
      <c r="S95" t="str">
        <f t="shared" si="36"/>
        <v/>
      </c>
      <c r="T95" t="str">
        <f t="shared" si="37"/>
        <v/>
      </c>
      <c r="U95" t="str">
        <f t="shared" si="38"/>
        <v/>
      </c>
      <c r="V95" t="str">
        <f t="shared" si="39"/>
        <v/>
      </c>
      <c r="W95" t="str">
        <f>IF($A95="","",Allocation2!Y95)</f>
        <v/>
      </c>
      <c r="X95" t="str">
        <f>IF($A95="","",Allocation2!Z95)</f>
        <v/>
      </c>
      <c r="Y95" t="str">
        <f>IF($A95="","",Allocation2!AA95)</f>
        <v/>
      </c>
      <c r="Z95" t="str">
        <f>IF($A95="","",Allocation2!AB95)</f>
        <v/>
      </c>
      <c r="AA95" t="str">
        <f>IF($A95="","",Allocation2!AC95)</f>
        <v/>
      </c>
      <c r="AB95" t="str">
        <f>IF($A95="","",Allocation2!AD95)</f>
        <v/>
      </c>
      <c r="AC95" t="str">
        <f>IF($A95="","",IF(ALLOC!$N$4="VOL_EFF",$G95,IF(ALLOC!$N$4="VOL_CLASS",$H95,$I95)))</f>
        <v/>
      </c>
      <c r="AD95" t="str">
        <f>IF($A95="","",IF(ALLOC!$N$4="VOL_EFF",$L95,IF(ALLOC!$N$4="VOL_CLASS",$M95,$N95)))</f>
        <v/>
      </c>
      <c r="AE95" t="str">
        <f>IF($A95="","",IF(ALLOC!$N$3="VOL_EFF",$L95,IF(ALLOC!$N$3="VOL_CLASS",$M95,$N95)))</f>
        <v/>
      </c>
      <c r="AF95" t="str">
        <f>IF($A95="","",IF(ALLOC!$N$3="VOL_EFF",$Q95,IF(ALLOC!$N$3="VOL_CLASS",$R95,$S95)))</f>
        <v/>
      </c>
      <c r="AG95" t="str">
        <f>IF($A95="","",IF(ALLOC!$N$1="VOL_EFF",$Q95,IF(ALLOC!$N$1="VOL_CLASS",$R95,$S95)))</f>
        <v/>
      </c>
      <c r="AH95" t="str">
        <f>IF($A95="","",IF(ALLOC!$N$1="VOL_EFF",$T95,IF(ALLOC!$N$1="VOL_CLASS",$U95,$V95)))</f>
        <v/>
      </c>
      <c r="AI95" t="str">
        <f t="shared" si="40"/>
        <v/>
      </c>
      <c r="AJ95" t="str">
        <f t="shared" si="41"/>
        <v/>
      </c>
      <c r="AK95" t="str">
        <f t="shared" si="42"/>
        <v/>
      </c>
      <c r="AL95" t="str">
        <f t="shared" si="43"/>
        <v/>
      </c>
      <c r="AM95" t="str">
        <f t="shared" si="44"/>
        <v/>
      </c>
      <c r="AN95" t="str">
        <f t="shared" si="45"/>
        <v/>
      </c>
      <c r="AO95" t="str">
        <f>IF($A95="","",Allocation2!AE95)</f>
        <v/>
      </c>
      <c r="AP95" t="str">
        <f>IF($A95="","",IF(ALLOC!$N$2="VOL_EFF",$Q95,IF(ALLOC!$N$2="VOL_CLASS",$R95,$S95)))</f>
        <v/>
      </c>
      <c r="AQ95" t="str">
        <f>IF($A95="","",IF(ALLOC!$N$2="VOL_EFF",$T95,IF(ALLOC!$N$2="VOL_CLASS",$U95,$V95)))</f>
        <v/>
      </c>
      <c r="AR95" t="str">
        <f t="shared" si="46"/>
        <v/>
      </c>
    </row>
    <row r="96" spans="1:44" x14ac:dyDescent="0.45">
      <c r="A96" t="str">
        <f>IF(Allocation2!D96="","",Allocation2!D96)</f>
        <v/>
      </c>
      <c r="B96" t="str">
        <f>IF(Allocation2!E96="","",Allocation2!E96)</f>
        <v/>
      </c>
      <c r="C96" t="str">
        <f>IF(Allocation2!F96="","",Allocation2!F96)</f>
        <v/>
      </c>
      <c r="D96" t="str">
        <f>IF(Allocation2!G96="","",Allocation2!G96)</f>
        <v/>
      </c>
      <c r="E96" t="str">
        <f>IF(Allocation2!H96="","",Allocation2!H96)</f>
        <v/>
      </c>
      <c r="F96" t="str">
        <f>IF(Allocation2!I96="","",Allocation2!I96)</f>
        <v/>
      </c>
      <c r="G96" t="str">
        <f>IF(Allocation2!E96="","",Allocation2!J96)</f>
        <v/>
      </c>
      <c r="H96" t="str">
        <f>IF(Allocation2!E96="","",Allocation2!K96)</f>
        <v/>
      </c>
      <c r="I96" t="str">
        <f>IF(Allocation2!E96="","",Allocation2!L96)</f>
        <v/>
      </c>
      <c r="J96" t="str">
        <f>IF($A96="","",Allocation2!X96)</f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N96" t="str">
        <f t="shared" si="31"/>
        <v/>
      </c>
      <c r="O96" t="str">
        <f t="shared" si="32"/>
        <v/>
      </c>
      <c r="P96" t="str">
        <f t="shared" si="33"/>
        <v/>
      </c>
      <c r="Q96" t="str">
        <f t="shared" si="34"/>
        <v/>
      </c>
      <c r="R96" t="str">
        <f t="shared" si="35"/>
        <v/>
      </c>
      <c r="S96" t="str">
        <f t="shared" si="36"/>
        <v/>
      </c>
      <c r="T96" t="str">
        <f t="shared" si="37"/>
        <v/>
      </c>
      <c r="U96" t="str">
        <f t="shared" si="38"/>
        <v/>
      </c>
      <c r="V96" t="str">
        <f t="shared" si="39"/>
        <v/>
      </c>
      <c r="W96" t="str">
        <f>IF($A96="","",Allocation2!Y96)</f>
        <v/>
      </c>
      <c r="X96" t="str">
        <f>IF($A96="","",Allocation2!Z96)</f>
        <v/>
      </c>
      <c r="Y96" t="str">
        <f>IF($A96="","",Allocation2!AA96)</f>
        <v/>
      </c>
      <c r="Z96" t="str">
        <f>IF($A96="","",Allocation2!AB96)</f>
        <v/>
      </c>
      <c r="AA96" t="str">
        <f>IF($A96="","",Allocation2!AC96)</f>
        <v/>
      </c>
      <c r="AB96" t="str">
        <f>IF($A96="","",Allocation2!AD96)</f>
        <v/>
      </c>
      <c r="AC96" t="str">
        <f>IF($A96="","",IF(ALLOC!$N$4="VOL_EFF",$G96,IF(ALLOC!$N$4="VOL_CLASS",$H96,$I96)))</f>
        <v/>
      </c>
      <c r="AD96" t="str">
        <f>IF($A96="","",IF(ALLOC!$N$4="VOL_EFF",$L96,IF(ALLOC!$N$4="VOL_CLASS",$M96,$N96)))</f>
        <v/>
      </c>
      <c r="AE96" t="str">
        <f>IF($A96="","",IF(ALLOC!$N$3="VOL_EFF",$L96,IF(ALLOC!$N$3="VOL_CLASS",$M96,$N96)))</f>
        <v/>
      </c>
      <c r="AF96" t="str">
        <f>IF($A96="","",IF(ALLOC!$N$3="VOL_EFF",$Q96,IF(ALLOC!$N$3="VOL_CLASS",$R96,$S96)))</f>
        <v/>
      </c>
      <c r="AG96" t="str">
        <f>IF($A96="","",IF(ALLOC!$N$1="VOL_EFF",$Q96,IF(ALLOC!$N$1="VOL_CLASS",$R96,$S96)))</f>
        <v/>
      </c>
      <c r="AH96" t="str">
        <f>IF($A96="","",IF(ALLOC!$N$1="VOL_EFF",$T96,IF(ALLOC!$N$1="VOL_CLASS",$U96,$V96)))</f>
        <v/>
      </c>
      <c r="AI96" t="str">
        <f t="shared" si="40"/>
        <v/>
      </c>
      <c r="AJ96" t="str">
        <f t="shared" si="41"/>
        <v/>
      </c>
      <c r="AK96" t="str">
        <f t="shared" si="42"/>
        <v/>
      </c>
      <c r="AL96" t="str">
        <f t="shared" si="43"/>
        <v/>
      </c>
      <c r="AM96" t="str">
        <f t="shared" si="44"/>
        <v/>
      </c>
      <c r="AN96" t="str">
        <f t="shared" si="45"/>
        <v/>
      </c>
      <c r="AO96" t="str">
        <f>IF($A96="","",Allocation2!AE96)</f>
        <v/>
      </c>
      <c r="AP96" t="str">
        <f>IF($A96="","",IF(ALLOC!$N$2="VOL_EFF",$Q96,IF(ALLOC!$N$2="VOL_CLASS",$R96,$S96)))</f>
        <v/>
      </c>
      <c r="AQ96" t="str">
        <f>IF($A96="","",IF(ALLOC!$N$2="VOL_EFF",$T96,IF(ALLOC!$N$2="VOL_CLASS",$U96,$V96)))</f>
        <v/>
      </c>
      <c r="AR96" t="str">
        <f t="shared" si="46"/>
        <v/>
      </c>
    </row>
    <row r="97" spans="1:44" x14ac:dyDescent="0.45">
      <c r="A97" t="str">
        <f>IF(Allocation2!D97="","",Allocation2!D97)</f>
        <v/>
      </c>
      <c r="B97" t="str">
        <f>IF(Allocation2!E97="","",Allocation2!E97)</f>
        <v/>
      </c>
      <c r="C97" t="str">
        <f>IF(Allocation2!F97="","",Allocation2!F97)</f>
        <v/>
      </c>
      <c r="D97" t="str">
        <f>IF(Allocation2!G97="","",Allocation2!G97)</f>
        <v/>
      </c>
      <c r="E97" t="str">
        <f>IF(Allocation2!H97="","",Allocation2!H97)</f>
        <v/>
      </c>
      <c r="F97" t="str">
        <f>IF(Allocation2!I97="","",Allocation2!I97)</f>
        <v/>
      </c>
      <c r="G97" t="str">
        <f>IF(Allocation2!E97="","",Allocation2!J97)</f>
        <v/>
      </c>
      <c r="H97" t="str">
        <f>IF(Allocation2!E97="","",Allocation2!K97)</f>
        <v/>
      </c>
      <c r="I97" t="str">
        <f>IF(Allocation2!E97="","",Allocation2!L97)</f>
        <v/>
      </c>
      <c r="J97" t="str">
        <f>IF($A97="","",Allocation2!X97)</f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N97" t="str">
        <f t="shared" si="31"/>
        <v/>
      </c>
      <c r="O97" t="str">
        <f t="shared" si="32"/>
        <v/>
      </c>
      <c r="P97" t="str">
        <f t="shared" si="33"/>
        <v/>
      </c>
      <c r="Q97" t="str">
        <f t="shared" si="34"/>
        <v/>
      </c>
      <c r="R97" t="str">
        <f t="shared" si="35"/>
        <v/>
      </c>
      <c r="S97" t="str">
        <f t="shared" si="36"/>
        <v/>
      </c>
      <c r="T97" t="str">
        <f t="shared" si="37"/>
        <v/>
      </c>
      <c r="U97" t="str">
        <f t="shared" si="38"/>
        <v/>
      </c>
      <c r="V97" t="str">
        <f t="shared" si="39"/>
        <v/>
      </c>
      <c r="W97" t="str">
        <f>IF($A97="","",Allocation2!Y97)</f>
        <v/>
      </c>
      <c r="X97" t="str">
        <f>IF($A97="","",Allocation2!Z97)</f>
        <v/>
      </c>
      <c r="Y97" t="str">
        <f>IF($A97="","",Allocation2!AA97)</f>
        <v/>
      </c>
      <c r="Z97" t="str">
        <f>IF($A97="","",Allocation2!AB97)</f>
        <v/>
      </c>
      <c r="AA97" t="str">
        <f>IF($A97="","",Allocation2!AC97)</f>
        <v/>
      </c>
      <c r="AB97" t="str">
        <f>IF($A97="","",Allocation2!AD97)</f>
        <v/>
      </c>
      <c r="AC97" t="str">
        <f>IF($A97="","",IF(ALLOC!$N$4="VOL_EFF",$G97,IF(ALLOC!$N$4="VOL_CLASS",$H97,$I97)))</f>
        <v/>
      </c>
      <c r="AD97" t="str">
        <f>IF($A97="","",IF(ALLOC!$N$4="VOL_EFF",$L97,IF(ALLOC!$N$4="VOL_CLASS",$M97,$N97)))</f>
        <v/>
      </c>
      <c r="AE97" t="str">
        <f>IF($A97="","",IF(ALLOC!$N$3="VOL_EFF",$L97,IF(ALLOC!$N$3="VOL_CLASS",$M97,$N97)))</f>
        <v/>
      </c>
      <c r="AF97" t="str">
        <f>IF($A97="","",IF(ALLOC!$N$3="VOL_EFF",$Q97,IF(ALLOC!$N$3="VOL_CLASS",$R97,$S97)))</f>
        <v/>
      </c>
      <c r="AG97" t="str">
        <f>IF($A97="","",IF(ALLOC!$N$1="VOL_EFF",$Q97,IF(ALLOC!$N$1="VOL_CLASS",$R97,$S97)))</f>
        <v/>
      </c>
      <c r="AH97" t="str">
        <f>IF($A97="","",IF(ALLOC!$N$1="VOL_EFF",$T97,IF(ALLOC!$N$1="VOL_CLASS",$U97,$V97)))</f>
        <v/>
      </c>
      <c r="AI97" t="str">
        <f t="shared" si="40"/>
        <v/>
      </c>
      <c r="AJ97" t="str">
        <f t="shared" si="41"/>
        <v/>
      </c>
      <c r="AK97" t="str">
        <f t="shared" si="42"/>
        <v/>
      </c>
      <c r="AL97" t="str">
        <f t="shared" si="43"/>
        <v/>
      </c>
      <c r="AM97" t="str">
        <f t="shared" si="44"/>
        <v/>
      </c>
      <c r="AN97" t="str">
        <f t="shared" si="45"/>
        <v/>
      </c>
      <c r="AO97" t="str">
        <f>IF($A97="","",Allocation2!AE97)</f>
        <v/>
      </c>
      <c r="AP97" t="str">
        <f>IF($A97="","",IF(ALLOC!$N$2="VOL_EFF",$Q97,IF(ALLOC!$N$2="VOL_CLASS",$R97,$S97)))</f>
        <v/>
      </c>
      <c r="AQ97" t="str">
        <f>IF($A97="","",IF(ALLOC!$N$2="VOL_EFF",$T97,IF(ALLOC!$N$2="VOL_CLASS",$U97,$V97)))</f>
        <v/>
      </c>
      <c r="AR97" t="str">
        <f t="shared" si="46"/>
        <v/>
      </c>
    </row>
    <row r="98" spans="1:44" x14ac:dyDescent="0.45">
      <c r="A98" t="str">
        <f>IF(Allocation2!D98="","",Allocation2!D98)</f>
        <v/>
      </c>
      <c r="B98" t="str">
        <f>IF(Allocation2!E98="","",Allocation2!E98)</f>
        <v/>
      </c>
      <c r="C98" t="str">
        <f>IF(Allocation2!F98="","",Allocation2!F98)</f>
        <v/>
      </c>
      <c r="D98" t="str">
        <f>IF(Allocation2!G98="","",Allocation2!G98)</f>
        <v/>
      </c>
      <c r="E98" t="str">
        <f>IF(Allocation2!H98="","",Allocation2!H98)</f>
        <v/>
      </c>
      <c r="F98" t="str">
        <f>IF(Allocation2!I98="","",Allocation2!I98)</f>
        <v/>
      </c>
      <c r="G98" t="str">
        <f>IF(Allocation2!E98="","",Allocation2!J98)</f>
        <v/>
      </c>
      <c r="H98" t="str">
        <f>IF(Allocation2!E98="","",Allocation2!K98)</f>
        <v/>
      </c>
      <c r="I98" t="str">
        <f>IF(Allocation2!E98="","",Allocation2!L98)</f>
        <v/>
      </c>
      <c r="J98" t="str">
        <f>IF($A98="","",Allocation2!X98)</f>
        <v/>
      </c>
      <c r="K98" t="str">
        <f t="shared" si="28"/>
        <v/>
      </c>
      <c r="L98" t="str">
        <f t="shared" ref="L98:L129" si="47">IF($A98="","",SUMIFS($G$1:$G$349,$A$1:$A$349,$A98,$B$1:$B$349,$B98))</f>
        <v/>
      </c>
      <c r="M98" t="str">
        <f t="shared" ref="M98:M129" si="48">IF($A98="","",SUMIFS($H$1:$H$349,$A$1:$A$349,$A98,$B$1:$B$349,$B98))</f>
        <v/>
      </c>
      <c r="N98" t="str">
        <f t="shared" ref="N98:N129" si="49">IF($A98="","",SUMIFS($I$1:$I$349,$A$1:$A$349,$A98,$B$1:$B$349,$B98))</f>
        <v/>
      </c>
      <c r="O98" t="str">
        <f t="shared" si="32"/>
        <v/>
      </c>
      <c r="P98" t="str">
        <f t="shared" si="33"/>
        <v/>
      </c>
      <c r="Q98" t="str">
        <f t="shared" ref="Q98:Q129" si="50">IF($A98="","",SUMIFS($G$1:$G$349,$A$1:$A$349,$A98,$C$1:$C$349,$C98))</f>
        <v/>
      </c>
      <c r="R98" t="str">
        <f t="shared" ref="R98:R129" si="51">IF($A98="","",SUMIFS($H$1:$H$349,$A$1:$A$349,$A98,$C$1:$C$349,$C98))</f>
        <v/>
      </c>
      <c r="S98" t="str">
        <f t="shared" ref="S98:S129" si="52">IF($A98="","",SUMIFS($I$1:$I$349,$A$1:$A$349,$A98,$C$1:$C$349,$C98))</f>
        <v/>
      </c>
      <c r="T98" t="str">
        <f t="shared" ref="T98:T129" si="53">IF($A98="","",SUMIFS($G$1:$G$349,$A$1:$A$349,$A98))</f>
        <v/>
      </c>
      <c r="U98" t="str">
        <f t="shared" ref="U98:U129" si="54">IF($A98="","",SUMIFS($H$1:$H$349,$A$1:$A$349,$A98))</f>
        <v/>
      </c>
      <c r="V98" t="str">
        <f t="shared" ref="V98:V129" si="55">IF($A98="","",SUMIFS($I$1:$I$349,$A$1:$A$349,$A98))</f>
        <v/>
      </c>
      <c r="W98" t="str">
        <f>IF($A98="","",Allocation2!Y98)</f>
        <v/>
      </c>
      <c r="X98" t="str">
        <f>IF($A98="","",Allocation2!Z98)</f>
        <v/>
      </c>
      <c r="Y98" t="str">
        <f>IF($A98="","",Allocation2!AA98)</f>
        <v/>
      </c>
      <c r="Z98" t="str">
        <f>IF($A98="","",Allocation2!AB98)</f>
        <v/>
      </c>
      <c r="AA98" t="str">
        <f>IF($A98="","",Allocation2!AC98)</f>
        <v/>
      </c>
      <c r="AB98" t="str">
        <f>IF($A98="","",Allocation2!AD98)</f>
        <v/>
      </c>
      <c r="AC98" t="str">
        <f>IF($A98="","",IF(ALLOC!$N$4="VOL_EFF",$G98,IF(ALLOC!$N$4="VOL_CLASS",$H98,$I98)))</f>
        <v/>
      </c>
      <c r="AD98" t="str">
        <f>IF($A98="","",IF(ALLOC!$N$4="VOL_EFF",$L98,IF(ALLOC!$N$4="VOL_CLASS",$M98,$N98)))</f>
        <v/>
      </c>
      <c r="AE98" t="str">
        <f>IF($A98="","",IF(ALLOC!$N$3="VOL_EFF",$L98,IF(ALLOC!$N$3="VOL_CLASS",$M98,$N98)))</f>
        <v/>
      </c>
      <c r="AF98" t="str">
        <f>IF($A98="","",IF(ALLOC!$N$3="VOL_EFF",$Q98,IF(ALLOC!$N$3="VOL_CLASS",$R98,$S98)))</f>
        <v/>
      </c>
      <c r="AG98" t="str">
        <f>IF($A98="","",IF(ALLOC!$N$1="VOL_EFF",$Q98,IF(ALLOC!$N$1="VOL_CLASS",$R98,$S98)))</f>
        <v/>
      </c>
      <c r="AH98" t="str">
        <f>IF($A98="","",IF(ALLOC!$N$1="VOL_EFF",$T98,IF(ALLOC!$N$1="VOL_CLASS",$U98,$V98)))</f>
        <v/>
      </c>
      <c r="AI98" t="str">
        <f t="shared" si="40"/>
        <v/>
      </c>
      <c r="AJ98" t="str">
        <f t="shared" si="41"/>
        <v/>
      </c>
      <c r="AK98" t="str">
        <f t="shared" si="42"/>
        <v/>
      </c>
      <c r="AL98" t="str">
        <f t="shared" si="43"/>
        <v/>
      </c>
      <c r="AM98" t="str">
        <f t="shared" si="44"/>
        <v/>
      </c>
      <c r="AN98" t="str">
        <f t="shared" si="45"/>
        <v/>
      </c>
      <c r="AO98" t="str">
        <f>IF($A98="","",Allocation2!AE98)</f>
        <v/>
      </c>
      <c r="AP98" t="str">
        <f>IF($A98="","",IF(ALLOC!$N$2="VOL_EFF",$Q98,IF(ALLOC!$N$2="VOL_CLASS",$R98,$S98)))</f>
        <v/>
      </c>
      <c r="AQ98" t="str">
        <f>IF($A98="","",IF(ALLOC!$N$2="VOL_EFF",$T98,IF(ALLOC!$N$2="VOL_CLASS",$U98,$V98)))</f>
        <v/>
      </c>
      <c r="AR98" t="str">
        <f t="shared" si="46"/>
        <v/>
      </c>
    </row>
    <row r="99" spans="1:44" x14ac:dyDescent="0.45">
      <c r="A99" t="str">
        <f>IF(Allocation2!D99="","",Allocation2!D99)</f>
        <v/>
      </c>
      <c r="B99" t="str">
        <f>IF(Allocation2!E99="","",Allocation2!E99)</f>
        <v/>
      </c>
      <c r="C99" t="str">
        <f>IF(Allocation2!F99="","",Allocation2!F99)</f>
        <v/>
      </c>
      <c r="D99" t="str">
        <f>IF(Allocation2!G99="","",Allocation2!G99)</f>
        <v/>
      </c>
      <c r="E99" t="str">
        <f>IF(Allocation2!H99="","",Allocation2!H99)</f>
        <v/>
      </c>
      <c r="F99" t="str">
        <f>IF(Allocation2!I99="","",Allocation2!I99)</f>
        <v/>
      </c>
      <c r="G99" t="str">
        <f>IF(Allocation2!E99="","",Allocation2!J99)</f>
        <v/>
      </c>
      <c r="H99" t="str">
        <f>IF(Allocation2!E99="","",Allocation2!K99)</f>
        <v/>
      </c>
      <c r="I99" t="str">
        <f>IF(Allocation2!E99="","",Allocation2!L99)</f>
        <v/>
      </c>
      <c r="J99" t="str">
        <f>IF($A99="","",Allocation2!X99)</f>
        <v/>
      </c>
      <c r="K99" t="str">
        <f t="shared" si="28"/>
        <v/>
      </c>
      <c r="L99" t="str">
        <f t="shared" si="47"/>
        <v/>
      </c>
      <c r="M99" t="str">
        <f t="shared" si="48"/>
        <v/>
      </c>
      <c r="N99" t="str">
        <f t="shared" si="49"/>
        <v/>
      </c>
      <c r="O99" t="str">
        <f t="shared" si="32"/>
        <v/>
      </c>
      <c r="P99" t="str">
        <f t="shared" si="33"/>
        <v/>
      </c>
      <c r="Q99" t="str">
        <f t="shared" si="50"/>
        <v/>
      </c>
      <c r="R99" t="str">
        <f t="shared" si="51"/>
        <v/>
      </c>
      <c r="S99" t="str">
        <f t="shared" si="52"/>
        <v/>
      </c>
      <c r="T99" t="str">
        <f t="shared" si="53"/>
        <v/>
      </c>
      <c r="U99" t="str">
        <f t="shared" si="54"/>
        <v/>
      </c>
      <c r="V99" t="str">
        <f t="shared" si="55"/>
        <v/>
      </c>
      <c r="W99" t="str">
        <f>IF($A99="","",Allocation2!Y99)</f>
        <v/>
      </c>
      <c r="X99" t="str">
        <f>IF($A99="","",Allocation2!Z99)</f>
        <v/>
      </c>
      <c r="Y99" t="str">
        <f>IF($A99="","",Allocation2!AA99)</f>
        <v/>
      </c>
      <c r="Z99" t="str">
        <f>IF($A99="","",Allocation2!AB99)</f>
        <v/>
      </c>
      <c r="AA99" t="str">
        <f>IF($A99="","",Allocation2!AC99)</f>
        <v/>
      </c>
      <c r="AB99" t="str">
        <f>IF($A99="","",Allocation2!AD99)</f>
        <v/>
      </c>
      <c r="AC99" t="str">
        <f>IF($A99="","",IF(ALLOC!$N$4="VOL_EFF",$G99,IF(ALLOC!$N$4="VOL_CLASS",$H99,$I99)))</f>
        <v/>
      </c>
      <c r="AD99" t="str">
        <f>IF($A99="","",IF(ALLOC!$N$4="VOL_EFF",$L99,IF(ALLOC!$N$4="VOL_CLASS",$M99,$N99)))</f>
        <v/>
      </c>
      <c r="AE99" t="str">
        <f>IF($A99="","",IF(ALLOC!$N$3="VOL_EFF",$L99,IF(ALLOC!$N$3="VOL_CLASS",$M99,$N99)))</f>
        <v/>
      </c>
      <c r="AF99" t="str">
        <f>IF($A99="","",IF(ALLOC!$N$3="VOL_EFF",$Q99,IF(ALLOC!$N$3="VOL_CLASS",$R99,$S99)))</f>
        <v/>
      </c>
      <c r="AG99" t="str">
        <f>IF($A99="","",IF(ALLOC!$N$1="VOL_EFF",$Q99,IF(ALLOC!$N$1="VOL_CLASS",$R99,$S99)))</f>
        <v/>
      </c>
      <c r="AH99" t="str">
        <f>IF($A99="","",IF(ALLOC!$N$1="VOL_EFF",$T99,IF(ALLOC!$N$1="VOL_CLASS",$U99,$V99)))</f>
        <v/>
      </c>
      <c r="AI99" t="str">
        <f t="shared" si="40"/>
        <v/>
      </c>
      <c r="AJ99" t="str">
        <f t="shared" si="41"/>
        <v/>
      </c>
      <c r="AK99" t="str">
        <f t="shared" si="42"/>
        <v/>
      </c>
      <c r="AL99" t="str">
        <f t="shared" si="43"/>
        <v/>
      </c>
      <c r="AM99" t="str">
        <f t="shared" si="44"/>
        <v/>
      </c>
      <c r="AN99" t="str">
        <f t="shared" si="45"/>
        <v/>
      </c>
      <c r="AO99" t="str">
        <f>IF($A99="","",Allocation2!AE99)</f>
        <v/>
      </c>
      <c r="AP99" t="str">
        <f>IF($A99="","",IF(ALLOC!$N$2="VOL_EFF",$Q99,IF(ALLOC!$N$2="VOL_CLASS",$R99,$S99)))</f>
        <v/>
      </c>
      <c r="AQ99" t="str">
        <f>IF($A99="","",IF(ALLOC!$N$2="VOL_EFF",$T99,IF(ALLOC!$N$2="VOL_CLASS",$U99,$V99)))</f>
        <v/>
      </c>
      <c r="AR99" t="str">
        <f t="shared" si="46"/>
        <v/>
      </c>
    </row>
    <row r="100" spans="1:44" x14ac:dyDescent="0.45">
      <c r="A100" t="str">
        <f>IF(Allocation2!D100="","",Allocation2!D100)</f>
        <v/>
      </c>
      <c r="B100" t="str">
        <f>IF(Allocation2!E100="","",Allocation2!E100)</f>
        <v/>
      </c>
      <c r="C100" t="str">
        <f>IF(Allocation2!F100="","",Allocation2!F100)</f>
        <v/>
      </c>
      <c r="D100" t="str">
        <f>IF(Allocation2!G100="","",Allocation2!G100)</f>
        <v/>
      </c>
      <c r="E100" t="str">
        <f>IF(Allocation2!H100="","",Allocation2!H100)</f>
        <v/>
      </c>
      <c r="F100" t="str">
        <f>IF(Allocation2!I100="","",Allocation2!I100)</f>
        <v/>
      </c>
      <c r="G100" t="str">
        <f>IF(Allocation2!E100="","",Allocation2!J100)</f>
        <v/>
      </c>
      <c r="H100" t="str">
        <f>IF(Allocation2!E100="","",Allocation2!K100)</f>
        <v/>
      </c>
      <c r="I100" t="str">
        <f>IF(Allocation2!E100="","",Allocation2!L100)</f>
        <v/>
      </c>
      <c r="J100" t="str">
        <f>IF($A100="","",Allocation2!X100)</f>
        <v/>
      </c>
      <c r="K100" t="str">
        <f t="shared" si="28"/>
        <v/>
      </c>
      <c r="L100" t="str">
        <f t="shared" si="47"/>
        <v/>
      </c>
      <c r="M100" t="str">
        <f t="shared" si="48"/>
        <v/>
      </c>
      <c r="N100" t="str">
        <f t="shared" si="49"/>
        <v/>
      </c>
      <c r="O100" t="str">
        <f t="shared" si="32"/>
        <v/>
      </c>
      <c r="P100" t="str">
        <f t="shared" si="33"/>
        <v/>
      </c>
      <c r="Q100" t="str">
        <f t="shared" si="50"/>
        <v/>
      </c>
      <c r="R100" t="str">
        <f t="shared" si="51"/>
        <v/>
      </c>
      <c r="S100" t="str">
        <f t="shared" si="52"/>
        <v/>
      </c>
      <c r="T100" t="str">
        <f t="shared" si="53"/>
        <v/>
      </c>
      <c r="U100" t="str">
        <f t="shared" si="54"/>
        <v/>
      </c>
      <c r="V100" t="str">
        <f t="shared" si="55"/>
        <v/>
      </c>
      <c r="W100" t="str">
        <f>IF($A100="","",Allocation2!Y100)</f>
        <v/>
      </c>
      <c r="X100" t="str">
        <f>IF($A100="","",Allocation2!Z100)</f>
        <v/>
      </c>
      <c r="Y100" t="str">
        <f>IF($A100="","",Allocation2!AA100)</f>
        <v/>
      </c>
      <c r="Z100" t="str">
        <f>IF($A100="","",Allocation2!AB100)</f>
        <v/>
      </c>
      <c r="AA100" t="str">
        <f>IF($A100="","",Allocation2!AC100)</f>
        <v/>
      </c>
      <c r="AB100" t="str">
        <f>IF($A100="","",Allocation2!AD100)</f>
        <v/>
      </c>
      <c r="AC100" t="str">
        <f>IF($A100="","",IF(ALLOC!$N$4="VOL_EFF",$G100,IF(ALLOC!$N$4="VOL_CLASS",$H100,$I100)))</f>
        <v/>
      </c>
      <c r="AD100" t="str">
        <f>IF($A100="","",IF(ALLOC!$N$4="VOL_EFF",$L100,IF(ALLOC!$N$4="VOL_CLASS",$M100,$N100)))</f>
        <v/>
      </c>
      <c r="AE100" t="str">
        <f>IF($A100="","",IF(ALLOC!$N$3="VOL_EFF",$L100,IF(ALLOC!$N$3="VOL_CLASS",$M100,$N100)))</f>
        <v/>
      </c>
      <c r="AF100" t="str">
        <f>IF($A100="","",IF(ALLOC!$N$3="VOL_EFF",$Q100,IF(ALLOC!$N$3="VOL_CLASS",$R100,$S100)))</f>
        <v/>
      </c>
      <c r="AG100" t="str">
        <f>IF($A100="","",IF(ALLOC!$N$1="VOL_EFF",$Q100,IF(ALLOC!$N$1="VOL_CLASS",$R100,$S100)))</f>
        <v/>
      </c>
      <c r="AH100" t="str">
        <f>IF($A100="","",IF(ALLOC!$N$1="VOL_EFF",$T100,IF(ALLOC!$N$1="VOL_CLASS",$U100,$V100)))</f>
        <v/>
      </c>
      <c r="AI100" t="str">
        <f t="shared" si="40"/>
        <v/>
      </c>
      <c r="AJ100" t="str">
        <f t="shared" si="41"/>
        <v/>
      </c>
      <c r="AK100" t="str">
        <f t="shared" si="42"/>
        <v/>
      </c>
      <c r="AL100" t="str">
        <f t="shared" si="43"/>
        <v/>
      </c>
      <c r="AM100" t="str">
        <f t="shared" si="44"/>
        <v/>
      </c>
      <c r="AN100" t="str">
        <f t="shared" si="45"/>
        <v/>
      </c>
      <c r="AO100" t="str">
        <f>IF($A100="","",Allocation2!AE100)</f>
        <v/>
      </c>
      <c r="AP100" t="str">
        <f>IF($A100="","",IF(ALLOC!$N$2="VOL_EFF",$Q100,IF(ALLOC!$N$2="VOL_CLASS",$R100,$S100)))</f>
        <v/>
      </c>
      <c r="AQ100" t="str">
        <f>IF($A100="","",IF(ALLOC!$N$2="VOL_EFF",$T100,IF(ALLOC!$N$2="VOL_CLASS",$U100,$V100)))</f>
        <v/>
      </c>
      <c r="AR100" t="str">
        <f t="shared" si="46"/>
        <v/>
      </c>
    </row>
    <row r="101" spans="1:44" x14ac:dyDescent="0.45">
      <c r="A101" t="str">
        <f>IF(Allocation2!D101="","",Allocation2!D101)</f>
        <v/>
      </c>
      <c r="B101" t="str">
        <f>IF(Allocation2!E101="","",Allocation2!E101)</f>
        <v/>
      </c>
      <c r="C101" t="str">
        <f>IF(Allocation2!F101="","",Allocation2!F101)</f>
        <v/>
      </c>
      <c r="D101" t="str">
        <f>IF(Allocation2!G101="","",Allocation2!G101)</f>
        <v/>
      </c>
      <c r="E101" t="str">
        <f>IF(Allocation2!H101="","",Allocation2!H101)</f>
        <v/>
      </c>
      <c r="F101" t="str">
        <f>IF(Allocation2!I101="","",Allocation2!I101)</f>
        <v/>
      </c>
      <c r="G101" t="str">
        <f>IF(Allocation2!E101="","",Allocation2!J101)</f>
        <v/>
      </c>
      <c r="H101" t="str">
        <f>IF(Allocation2!E101="","",Allocation2!K101)</f>
        <v/>
      </c>
      <c r="I101" t="str">
        <f>IF(Allocation2!E101="","",Allocation2!L101)</f>
        <v/>
      </c>
      <c r="J101" t="str">
        <f>IF($A101="","",Allocation2!X101)</f>
        <v/>
      </c>
      <c r="K101" t="str">
        <f t="shared" si="28"/>
        <v/>
      </c>
      <c r="L101" t="str">
        <f t="shared" si="47"/>
        <v/>
      </c>
      <c r="M101" t="str">
        <f t="shared" si="48"/>
        <v/>
      </c>
      <c r="N101" t="str">
        <f t="shared" si="49"/>
        <v/>
      </c>
      <c r="O101" t="str">
        <f t="shared" si="32"/>
        <v/>
      </c>
      <c r="P101" t="str">
        <f t="shared" si="33"/>
        <v/>
      </c>
      <c r="Q101" t="str">
        <f t="shared" si="50"/>
        <v/>
      </c>
      <c r="R101" t="str">
        <f t="shared" si="51"/>
        <v/>
      </c>
      <c r="S101" t="str">
        <f t="shared" si="52"/>
        <v/>
      </c>
      <c r="T101" t="str">
        <f t="shared" si="53"/>
        <v/>
      </c>
      <c r="U101" t="str">
        <f t="shared" si="54"/>
        <v/>
      </c>
      <c r="V101" t="str">
        <f t="shared" si="55"/>
        <v/>
      </c>
      <c r="W101" t="str">
        <f>IF($A101="","",Allocation2!Y101)</f>
        <v/>
      </c>
      <c r="X101" t="str">
        <f>IF($A101="","",Allocation2!Z101)</f>
        <v/>
      </c>
      <c r="Y101" t="str">
        <f>IF($A101="","",Allocation2!AA101)</f>
        <v/>
      </c>
      <c r="Z101" t="str">
        <f>IF($A101="","",Allocation2!AB101)</f>
        <v/>
      </c>
      <c r="AA101" t="str">
        <f>IF($A101="","",Allocation2!AC101)</f>
        <v/>
      </c>
      <c r="AB101" t="str">
        <f>IF($A101="","",Allocation2!AD101)</f>
        <v/>
      </c>
      <c r="AC101" t="str">
        <f>IF($A101="","",IF(ALLOC!$N$4="VOL_EFF",$G101,IF(ALLOC!$N$4="VOL_CLASS",$H101,$I101)))</f>
        <v/>
      </c>
      <c r="AD101" t="str">
        <f>IF($A101="","",IF(ALLOC!$N$4="VOL_EFF",$L101,IF(ALLOC!$N$4="VOL_CLASS",$M101,$N101)))</f>
        <v/>
      </c>
      <c r="AE101" t="str">
        <f>IF($A101="","",IF(ALLOC!$N$3="VOL_EFF",$L101,IF(ALLOC!$N$3="VOL_CLASS",$M101,$N101)))</f>
        <v/>
      </c>
      <c r="AF101" t="str">
        <f>IF($A101="","",IF(ALLOC!$N$3="VOL_EFF",$Q101,IF(ALLOC!$N$3="VOL_CLASS",$R101,$S101)))</f>
        <v/>
      </c>
      <c r="AG101" t="str">
        <f>IF($A101="","",IF(ALLOC!$N$1="VOL_EFF",$Q101,IF(ALLOC!$N$1="VOL_CLASS",$R101,$S101)))</f>
        <v/>
      </c>
      <c r="AH101" t="str">
        <f>IF($A101="","",IF(ALLOC!$N$1="VOL_EFF",$T101,IF(ALLOC!$N$1="VOL_CLASS",$U101,$V101)))</f>
        <v/>
      </c>
      <c r="AI101" t="str">
        <f t="shared" si="40"/>
        <v/>
      </c>
      <c r="AJ101" t="str">
        <f t="shared" si="41"/>
        <v/>
      </c>
      <c r="AK101" t="str">
        <f t="shared" si="42"/>
        <v/>
      </c>
      <c r="AL101" t="str">
        <f t="shared" si="43"/>
        <v/>
      </c>
      <c r="AM101" t="str">
        <f t="shared" si="44"/>
        <v/>
      </c>
      <c r="AN101" t="str">
        <f t="shared" si="45"/>
        <v/>
      </c>
      <c r="AO101" t="str">
        <f>IF($A101="","",Allocation2!AE101)</f>
        <v/>
      </c>
      <c r="AP101" t="str">
        <f>IF($A101="","",IF(ALLOC!$N$2="VOL_EFF",$Q101,IF(ALLOC!$N$2="VOL_CLASS",$R101,$S101)))</f>
        <v/>
      </c>
      <c r="AQ101" t="str">
        <f>IF($A101="","",IF(ALLOC!$N$2="VOL_EFF",$T101,IF(ALLOC!$N$2="VOL_CLASS",$U101,$V101)))</f>
        <v/>
      </c>
      <c r="AR101" t="str">
        <f t="shared" si="46"/>
        <v/>
      </c>
    </row>
    <row r="102" spans="1:44" x14ac:dyDescent="0.45">
      <c r="A102" t="str">
        <f>IF(Allocation2!D102="","",Allocation2!D102)</f>
        <v/>
      </c>
      <c r="B102" t="str">
        <f>IF(Allocation2!E102="","",Allocation2!E102)</f>
        <v/>
      </c>
      <c r="C102" t="str">
        <f>IF(Allocation2!F102="","",Allocation2!F102)</f>
        <v/>
      </c>
      <c r="D102" t="str">
        <f>IF(Allocation2!G102="","",Allocation2!G102)</f>
        <v/>
      </c>
      <c r="E102" t="str">
        <f>IF(Allocation2!H102="","",Allocation2!H102)</f>
        <v/>
      </c>
      <c r="F102" t="str">
        <f>IF(Allocation2!I102="","",Allocation2!I102)</f>
        <v/>
      </c>
      <c r="G102" t="str">
        <f>IF(Allocation2!E102="","",Allocation2!J102)</f>
        <v/>
      </c>
      <c r="H102" t="str">
        <f>IF(Allocation2!E102="","",Allocation2!K102)</f>
        <v/>
      </c>
      <c r="I102" t="str">
        <f>IF(Allocation2!E102="","",Allocation2!L102)</f>
        <v/>
      </c>
      <c r="J102" t="str">
        <f>IF($A102="","",Allocation2!X102)</f>
        <v/>
      </c>
      <c r="K102" t="str">
        <f t="shared" si="28"/>
        <v/>
      </c>
      <c r="L102" t="str">
        <f t="shared" si="47"/>
        <v/>
      </c>
      <c r="M102" t="str">
        <f t="shared" si="48"/>
        <v/>
      </c>
      <c r="N102" t="str">
        <f t="shared" si="49"/>
        <v/>
      </c>
      <c r="O102" t="str">
        <f t="shared" si="32"/>
        <v/>
      </c>
      <c r="P102" t="str">
        <f t="shared" si="33"/>
        <v/>
      </c>
      <c r="Q102" t="str">
        <f t="shared" si="50"/>
        <v/>
      </c>
      <c r="R102" t="str">
        <f t="shared" si="51"/>
        <v/>
      </c>
      <c r="S102" t="str">
        <f t="shared" si="52"/>
        <v/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>IF($A102="","",Allocation2!Y102)</f>
        <v/>
      </c>
      <c r="X102" t="str">
        <f>IF($A102="","",Allocation2!Z102)</f>
        <v/>
      </c>
      <c r="Y102" t="str">
        <f>IF($A102="","",Allocation2!AA102)</f>
        <v/>
      </c>
      <c r="Z102" t="str">
        <f>IF($A102="","",Allocation2!AB102)</f>
        <v/>
      </c>
      <c r="AA102" t="str">
        <f>IF($A102="","",Allocation2!AC102)</f>
        <v/>
      </c>
      <c r="AB102" t="str">
        <f>IF($A102="","",Allocation2!AD102)</f>
        <v/>
      </c>
      <c r="AC102" t="str">
        <f>IF($A102="","",IF(ALLOC!$N$4="VOL_EFF",$G102,IF(ALLOC!$N$4="VOL_CLASS",$H102,$I102)))</f>
        <v/>
      </c>
      <c r="AD102" t="str">
        <f>IF($A102="","",IF(ALLOC!$N$4="VOL_EFF",$L102,IF(ALLOC!$N$4="VOL_CLASS",$M102,$N102)))</f>
        <v/>
      </c>
      <c r="AE102" t="str">
        <f>IF($A102="","",IF(ALLOC!$N$3="VOL_EFF",$L102,IF(ALLOC!$N$3="VOL_CLASS",$M102,$N102)))</f>
        <v/>
      </c>
      <c r="AF102" t="str">
        <f>IF($A102="","",IF(ALLOC!$N$3="VOL_EFF",$Q102,IF(ALLOC!$N$3="VOL_CLASS",$R102,$S102)))</f>
        <v/>
      </c>
      <c r="AG102" t="str">
        <f>IF($A102="","",IF(ALLOC!$N$1="VOL_EFF",$Q102,IF(ALLOC!$N$1="VOL_CLASS",$R102,$S102)))</f>
        <v/>
      </c>
      <c r="AH102" t="str">
        <f>IF($A102="","",IF(ALLOC!$N$1="VOL_EFF",$T102,IF(ALLOC!$N$1="VOL_CLASS",$U102,$V102)))</f>
        <v/>
      </c>
      <c r="AI102" t="str">
        <f t="shared" si="40"/>
        <v/>
      </c>
      <c r="AJ102" t="str">
        <f t="shared" si="41"/>
        <v/>
      </c>
      <c r="AK102" t="str">
        <f t="shared" si="42"/>
        <v/>
      </c>
      <c r="AL102" t="str">
        <f t="shared" si="43"/>
        <v/>
      </c>
      <c r="AM102" t="str">
        <f t="shared" si="44"/>
        <v/>
      </c>
      <c r="AN102" t="str">
        <f t="shared" si="45"/>
        <v/>
      </c>
      <c r="AO102" t="str">
        <f>IF($A102="","",Allocation2!AE102)</f>
        <v/>
      </c>
      <c r="AP102" t="str">
        <f>IF($A102="","",IF(ALLOC!$N$2="VOL_EFF",$Q102,IF(ALLOC!$N$2="VOL_CLASS",$R102,$S102)))</f>
        <v/>
      </c>
      <c r="AQ102" t="str">
        <f>IF($A102="","",IF(ALLOC!$N$2="VOL_EFF",$T102,IF(ALLOC!$N$2="VOL_CLASS",$U102,$V102)))</f>
        <v/>
      </c>
      <c r="AR102" t="str">
        <f t="shared" si="46"/>
        <v/>
      </c>
    </row>
    <row r="103" spans="1:44" x14ac:dyDescent="0.45">
      <c r="A103" t="str">
        <f>IF(Allocation2!D103="","",Allocation2!D103)</f>
        <v/>
      </c>
      <c r="B103" t="str">
        <f>IF(Allocation2!E103="","",Allocation2!E103)</f>
        <v/>
      </c>
      <c r="C103" t="str">
        <f>IF(Allocation2!F103="","",Allocation2!F103)</f>
        <v/>
      </c>
      <c r="D103" t="str">
        <f>IF(Allocation2!G103="","",Allocation2!G103)</f>
        <v/>
      </c>
      <c r="E103" t="str">
        <f>IF(Allocation2!H103="","",Allocation2!H103)</f>
        <v/>
      </c>
      <c r="F103" t="str">
        <f>IF(Allocation2!I103="","",Allocation2!I103)</f>
        <v/>
      </c>
      <c r="G103" t="str">
        <f>IF(Allocation2!E103="","",Allocation2!J103)</f>
        <v/>
      </c>
      <c r="H103" t="str">
        <f>IF(Allocation2!E103="","",Allocation2!K103)</f>
        <v/>
      </c>
      <c r="I103" t="str">
        <f>IF(Allocation2!E103="","",Allocation2!L103)</f>
        <v/>
      </c>
      <c r="J103" t="str">
        <f>IF($A103="","",Allocation2!X103)</f>
        <v/>
      </c>
      <c r="K103" t="str">
        <f t="shared" si="28"/>
        <v/>
      </c>
      <c r="L103" t="str">
        <f t="shared" si="47"/>
        <v/>
      </c>
      <c r="M103" t="str">
        <f t="shared" si="48"/>
        <v/>
      </c>
      <c r="N103" t="str">
        <f t="shared" si="49"/>
        <v/>
      </c>
      <c r="O103" t="str">
        <f t="shared" si="32"/>
        <v/>
      </c>
      <c r="P103" t="str">
        <f t="shared" si="33"/>
        <v/>
      </c>
      <c r="Q103" t="str">
        <f t="shared" si="50"/>
        <v/>
      </c>
      <c r="R103" t="str">
        <f t="shared" si="51"/>
        <v/>
      </c>
      <c r="S103" t="str">
        <f t="shared" si="52"/>
        <v/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>IF($A103="","",Allocation2!Y103)</f>
        <v/>
      </c>
      <c r="X103" t="str">
        <f>IF($A103="","",Allocation2!Z103)</f>
        <v/>
      </c>
      <c r="Y103" t="str">
        <f>IF($A103="","",Allocation2!AA103)</f>
        <v/>
      </c>
      <c r="Z103" t="str">
        <f>IF($A103="","",Allocation2!AB103)</f>
        <v/>
      </c>
      <c r="AA103" t="str">
        <f>IF($A103="","",Allocation2!AC103)</f>
        <v/>
      </c>
      <c r="AB103" t="str">
        <f>IF($A103="","",Allocation2!AD103)</f>
        <v/>
      </c>
      <c r="AC103" t="str">
        <f>IF($A103="","",IF(ALLOC!$N$4="VOL_EFF",$G103,IF(ALLOC!$N$4="VOL_CLASS",$H103,$I103)))</f>
        <v/>
      </c>
      <c r="AD103" t="str">
        <f>IF($A103="","",IF(ALLOC!$N$4="VOL_EFF",$L103,IF(ALLOC!$N$4="VOL_CLASS",$M103,$N103)))</f>
        <v/>
      </c>
      <c r="AE103" t="str">
        <f>IF($A103="","",IF(ALLOC!$N$3="VOL_EFF",$L103,IF(ALLOC!$N$3="VOL_CLASS",$M103,$N103)))</f>
        <v/>
      </c>
      <c r="AF103" t="str">
        <f>IF($A103="","",IF(ALLOC!$N$3="VOL_EFF",$Q103,IF(ALLOC!$N$3="VOL_CLASS",$R103,$S103)))</f>
        <v/>
      </c>
      <c r="AG103" t="str">
        <f>IF($A103="","",IF(ALLOC!$N$1="VOL_EFF",$Q103,IF(ALLOC!$N$1="VOL_CLASS",$R103,$S103)))</f>
        <v/>
      </c>
      <c r="AH103" t="str">
        <f>IF($A103="","",IF(ALLOC!$N$1="VOL_EFF",$T103,IF(ALLOC!$N$1="VOL_CLASS",$U103,$V103)))</f>
        <v/>
      </c>
      <c r="AI103" t="str">
        <f t="shared" si="40"/>
        <v/>
      </c>
      <c r="AJ103" t="str">
        <f t="shared" si="41"/>
        <v/>
      </c>
      <c r="AK103" t="str">
        <f t="shared" si="42"/>
        <v/>
      </c>
      <c r="AL103" t="str">
        <f t="shared" si="43"/>
        <v/>
      </c>
      <c r="AM103" t="str">
        <f t="shared" si="44"/>
        <v/>
      </c>
      <c r="AN103" t="str">
        <f t="shared" si="45"/>
        <v/>
      </c>
      <c r="AO103" t="str">
        <f>IF($A103="","",Allocation2!AE103)</f>
        <v/>
      </c>
      <c r="AP103" t="str">
        <f>IF($A103="","",IF(ALLOC!$N$2="VOL_EFF",$Q103,IF(ALLOC!$N$2="VOL_CLASS",$R103,$S103)))</f>
        <v/>
      </c>
      <c r="AQ103" t="str">
        <f>IF($A103="","",IF(ALLOC!$N$2="VOL_EFF",$T103,IF(ALLOC!$N$2="VOL_CLASS",$U103,$V103)))</f>
        <v/>
      </c>
      <c r="AR103" t="str">
        <f t="shared" si="46"/>
        <v/>
      </c>
    </row>
    <row r="104" spans="1:44" x14ac:dyDescent="0.45">
      <c r="A104" t="str">
        <f>IF(Allocation2!D104="","",Allocation2!D104)</f>
        <v/>
      </c>
      <c r="B104" t="str">
        <f>IF(Allocation2!E104="","",Allocation2!E104)</f>
        <v/>
      </c>
      <c r="C104" t="str">
        <f>IF(Allocation2!F104="","",Allocation2!F104)</f>
        <v/>
      </c>
      <c r="D104" t="str">
        <f>IF(Allocation2!G104="","",Allocation2!G104)</f>
        <v/>
      </c>
      <c r="E104" t="str">
        <f>IF(Allocation2!H104="","",Allocation2!H104)</f>
        <v/>
      </c>
      <c r="F104" t="str">
        <f>IF(Allocation2!I104="","",Allocation2!I104)</f>
        <v/>
      </c>
      <c r="G104" t="str">
        <f>IF(Allocation2!E104="","",Allocation2!J104)</f>
        <v/>
      </c>
      <c r="H104" t="str">
        <f>IF(Allocation2!E104="","",Allocation2!K104)</f>
        <v/>
      </c>
      <c r="I104" t="str">
        <f>IF(Allocation2!E104="","",Allocation2!L104)</f>
        <v/>
      </c>
      <c r="J104" t="str">
        <f>IF($A104="","",Allocation2!X104)</f>
        <v/>
      </c>
      <c r="K104" t="str">
        <f t="shared" si="28"/>
        <v/>
      </c>
      <c r="L104" t="str">
        <f t="shared" si="47"/>
        <v/>
      </c>
      <c r="M104" t="str">
        <f t="shared" si="48"/>
        <v/>
      </c>
      <c r="N104" t="str">
        <f t="shared" si="49"/>
        <v/>
      </c>
      <c r="O104" t="str">
        <f t="shared" si="32"/>
        <v/>
      </c>
      <c r="P104" t="str">
        <f t="shared" si="33"/>
        <v/>
      </c>
      <c r="Q104" t="str">
        <f t="shared" si="50"/>
        <v/>
      </c>
      <c r="R104" t="str">
        <f t="shared" si="51"/>
        <v/>
      </c>
      <c r="S104" t="str">
        <f t="shared" si="52"/>
        <v/>
      </c>
      <c r="T104" t="str">
        <f t="shared" si="53"/>
        <v/>
      </c>
      <c r="U104" t="str">
        <f t="shared" si="54"/>
        <v/>
      </c>
      <c r="V104" t="str">
        <f t="shared" si="55"/>
        <v/>
      </c>
      <c r="W104" t="str">
        <f>IF($A104="","",Allocation2!Y104)</f>
        <v/>
      </c>
      <c r="X104" t="str">
        <f>IF($A104="","",Allocation2!Z104)</f>
        <v/>
      </c>
      <c r="Y104" t="str">
        <f>IF($A104="","",Allocation2!AA104)</f>
        <v/>
      </c>
      <c r="Z104" t="str">
        <f>IF($A104="","",Allocation2!AB104)</f>
        <v/>
      </c>
      <c r="AA104" t="str">
        <f>IF($A104="","",Allocation2!AC104)</f>
        <v/>
      </c>
      <c r="AB104" t="str">
        <f>IF($A104="","",Allocation2!AD104)</f>
        <v/>
      </c>
      <c r="AC104" t="str">
        <f>IF($A104="","",IF(ALLOC!$N$4="VOL_EFF",$G104,IF(ALLOC!$N$4="VOL_CLASS",$H104,$I104)))</f>
        <v/>
      </c>
      <c r="AD104" t="str">
        <f>IF($A104="","",IF(ALLOC!$N$4="VOL_EFF",$L104,IF(ALLOC!$N$4="VOL_CLASS",$M104,$N104)))</f>
        <v/>
      </c>
      <c r="AE104" t="str">
        <f>IF($A104="","",IF(ALLOC!$N$3="VOL_EFF",$L104,IF(ALLOC!$N$3="VOL_CLASS",$M104,$N104)))</f>
        <v/>
      </c>
      <c r="AF104" t="str">
        <f>IF($A104="","",IF(ALLOC!$N$3="VOL_EFF",$Q104,IF(ALLOC!$N$3="VOL_CLASS",$R104,$S104)))</f>
        <v/>
      </c>
      <c r="AG104" t="str">
        <f>IF($A104="","",IF(ALLOC!$N$1="VOL_EFF",$Q104,IF(ALLOC!$N$1="VOL_CLASS",$R104,$S104)))</f>
        <v/>
      </c>
      <c r="AH104" t="str">
        <f>IF($A104="","",IF(ALLOC!$N$1="VOL_EFF",$T104,IF(ALLOC!$N$1="VOL_CLASS",$U104,$V104)))</f>
        <v/>
      </c>
      <c r="AI104" t="str">
        <f t="shared" si="40"/>
        <v/>
      </c>
      <c r="AJ104" t="str">
        <f t="shared" si="41"/>
        <v/>
      </c>
      <c r="AK104" t="str">
        <f t="shared" si="42"/>
        <v/>
      </c>
      <c r="AL104" t="str">
        <f t="shared" si="43"/>
        <v/>
      </c>
      <c r="AM104" t="str">
        <f t="shared" si="44"/>
        <v/>
      </c>
      <c r="AN104" t="str">
        <f t="shared" si="45"/>
        <v/>
      </c>
      <c r="AO104" t="str">
        <f>IF($A104="","",Allocation2!AE104)</f>
        <v/>
      </c>
      <c r="AP104" t="str">
        <f>IF($A104="","",IF(ALLOC!$N$2="VOL_EFF",$Q104,IF(ALLOC!$N$2="VOL_CLASS",$R104,$S104)))</f>
        <v/>
      </c>
      <c r="AQ104" t="str">
        <f>IF($A104="","",IF(ALLOC!$N$2="VOL_EFF",$T104,IF(ALLOC!$N$2="VOL_CLASS",$U104,$V104)))</f>
        <v/>
      </c>
      <c r="AR104" t="str">
        <f t="shared" si="46"/>
        <v/>
      </c>
    </row>
    <row r="105" spans="1:44" x14ac:dyDescent="0.45">
      <c r="A105" t="str">
        <f>IF(Allocation2!D105="","",Allocation2!D105)</f>
        <v/>
      </c>
      <c r="B105" t="str">
        <f>IF(Allocation2!E105="","",Allocation2!E105)</f>
        <v/>
      </c>
      <c r="C105" t="str">
        <f>IF(Allocation2!F105="","",Allocation2!F105)</f>
        <v/>
      </c>
      <c r="D105" t="str">
        <f>IF(Allocation2!G105="","",Allocation2!G105)</f>
        <v/>
      </c>
      <c r="E105" t="str">
        <f>IF(Allocation2!H105="","",Allocation2!H105)</f>
        <v/>
      </c>
      <c r="F105" t="str">
        <f>IF(Allocation2!I105="","",Allocation2!I105)</f>
        <v/>
      </c>
      <c r="G105" t="str">
        <f>IF(Allocation2!E105="","",Allocation2!J105)</f>
        <v/>
      </c>
      <c r="H105" t="str">
        <f>IF(Allocation2!E105="","",Allocation2!K105)</f>
        <v/>
      </c>
      <c r="I105" t="str">
        <f>IF(Allocation2!E105="","",Allocation2!L105)</f>
        <v/>
      </c>
      <c r="J105" t="str">
        <f>IF($A105="","",Allocation2!X105)</f>
        <v/>
      </c>
      <c r="K105" t="str">
        <f t="shared" si="28"/>
        <v/>
      </c>
      <c r="L105" t="str">
        <f t="shared" si="47"/>
        <v/>
      </c>
      <c r="M105" t="str">
        <f t="shared" si="48"/>
        <v/>
      </c>
      <c r="N105" t="str">
        <f t="shared" si="49"/>
        <v/>
      </c>
      <c r="O105" t="str">
        <f t="shared" si="32"/>
        <v/>
      </c>
      <c r="P105" t="str">
        <f t="shared" si="33"/>
        <v/>
      </c>
      <c r="Q105" t="str">
        <f t="shared" si="50"/>
        <v/>
      </c>
      <c r="R105" t="str">
        <f t="shared" si="51"/>
        <v/>
      </c>
      <c r="S105" t="str">
        <f t="shared" si="52"/>
        <v/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>IF($A105="","",Allocation2!Y105)</f>
        <v/>
      </c>
      <c r="X105" t="str">
        <f>IF($A105="","",Allocation2!Z105)</f>
        <v/>
      </c>
      <c r="Y105" t="str">
        <f>IF($A105="","",Allocation2!AA105)</f>
        <v/>
      </c>
      <c r="Z105" t="str">
        <f>IF($A105="","",Allocation2!AB105)</f>
        <v/>
      </c>
      <c r="AA105" t="str">
        <f>IF($A105="","",Allocation2!AC105)</f>
        <v/>
      </c>
      <c r="AB105" t="str">
        <f>IF($A105="","",Allocation2!AD105)</f>
        <v/>
      </c>
      <c r="AC105" t="str">
        <f>IF($A105="","",IF(ALLOC!$N$4="VOL_EFF",$G105,IF(ALLOC!$N$4="VOL_CLASS",$H105,$I105)))</f>
        <v/>
      </c>
      <c r="AD105" t="str">
        <f>IF($A105="","",IF(ALLOC!$N$4="VOL_EFF",$L105,IF(ALLOC!$N$4="VOL_CLASS",$M105,$N105)))</f>
        <v/>
      </c>
      <c r="AE105" t="str">
        <f>IF($A105="","",IF(ALLOC!$N$3="VOL_EFF",$L105,IF(ALLOC!$N$3="VOL_CLASS",$M105,$N105)))</f>
        <v/>
      </c>
      <c r="AF105" t="str">
        <f>IF($A105="","",IF(ALLOC!$N$3="VOL_EFF",$Q105,IF(ALLOC!$N$3="VOL_CLASS",$R105,$S105)))</f>
        <v/>
      </c>
      <c r="AG105" t="str">
        <f>IF($A105="","",IF(ALLOC!$N$1="VOL_EFF",$Q105,IF(ALLOC!$N$1="VOL_CLASS",$R105,$S105)))</f>
        <v/>
      </c>
      <c r="AH105" t="str">
        <f>IF($A105="","",IF(ALLOC!$N$1="VOL_EFF",$T105,IF(ALLOC!$N$1="VOL_CLASS",$U105,$V105)))</f>
        <v/>
      </c>
      <c r="AI105" t="str">
        <f t="shared" si="40"/>
        <v/>
      </c>
      <c r="AJ105" t="str">
        <f t="shared" si="41"/>
        <v/>
      </c>
      <c r="AK105" t="str">
        <f t="shared" si="42"/>
        <v/>
      </c>
      <c r="AL105" t="str">
        <f t="shared" si="43"/>
        <v/>
      </c>
      <c r="AM105" t="str">
        <f t="shared" si="44"/>
        <v/>
      </c>
      <c r="AN105" t="str">
        <f t="shared" si="45"/>
        <v/>
      </c>
      <c r="AO105" t="str">
        <f>IF($A105="","",Allocation2!AE105)</f>
        <v/>
      </c>
      <c r="AP105" t="str">
        <f>IF($A105="","",IF(ALLOC!$N$2="VOL_EFF",$Q105,IF(ALLOC!$N$2="VOL_CLASS",$R105,$S105)))</f>
        <v/>
      </c>
      <c r="AQ105" t="str">
        <f>IF($A105="","",IF(ALLOC!$N$2="VOL_EFF",$T105,IF(ALLOC!$N$2="VOL_CLASS",$U105,$V105)))</f>
        <v/>
      </c>
      <c r="AR105" t="str">
        <f t="shared" si="46"/>
        <v/>
      </c>
    </row>
    <row r="106" spans="1:44" x14ac:dyDescent="0.45">
      <c r="A106" t="str">
        <f>IF(Allocation2!D106="","",Allocation2!D106)</f>
        <v/>
      </c>
      <c r="B106" t="str">
        <f>IF(Allocation2!E106="","",Allocation2!E106)</f>
        <v/>
      </c>
      <c r="C106" t="str">
        <f>IF(Allocation2!F106="","",Allocation2!F106)</f>
        <v/>
      </c>
      <c r="D106" t="str">
        <f>IF(Allocation2!G106="","",Allocation2!G106)</f>
        <v/>
      </c>
      <c r="E106" t="str">
        <f>IF(Allocation2!H106="","",Allocation2!H106)</f>
        <v/>
      </c>
      <c r="F106" t="str">
        <f>IF(Allocation2!I106="","",Allocation2!I106)</f>
        <v/>
      </c>
      <c r="G106" t="str">
        <f>IF(Allocation2!E106="","",Allocation2!J106)</f>
        <v/>
      </c>
      <c r="H106" t="str">
        <f>IF(Allocation2!E106="","",Allocation2!K106)</f>
        <v/>
      </c>
      <c r="I106" t="str">
        <f>IF(Allocation2!E106="","",Allocation2!L106)</f>
        <v/>
      </c>
      <c r="J106" t="str">
        <f>IF($A106="","",Allocation2!X106)</f>
        <v/>
      </c>
      <c r="K106" t="str">
        <f t="shared" si="28"/>
        <v/>
      </c>
      <c r="L106" t="str">
        <f t="shared" si="47"/>
        <v/>
      </c>
      <c r="M106" t="str">
        <f t="shared" si="48"/>
        <v/>
      </c>
      <c r="N106" t="str">
        <f t="shared" si="49"/>
        <v/>
      </c>
      <c r="O106" t="str">
        <f t="shared" si="32"/>
        <v/>
      </c>
      <c r="P106" t="str">
        <f t="shared" si="33"/>
        <v/>
      </c>
      <c r="Q106" t="str">
        <f t="shared" si="50"/>
        <v/>
      </c>
      <c r="R106" t="str">
        <f t="shared" si="51"/>
        <v/>
      </c>
      <c r="S106" t="str">
        <f t="shared" si="52"/>
        <v/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>IF($A106="","",Allocation2!Y106)</f>
        <v/>
      </c>
      <c r="X106" t="str">
        <f>IF($A106="","",Allocation2!Z106)</f>
        <v/>
      </c>
      <c r="Y106" t="str">
        <f>IF($A106="","",Allocation2!AA106)</f>
        <v/>
      </c>
      <c r="Z106" t="str">
        <f>IF($A106="","",Allocation2!AB106)</f>
        <v/>
      </c>
      <c r="AA106" t="str">
        <f>IF($A106="","",Allocation2!AC106)</f>
        <v/>
      </c>
      <c r="AB106" t="str">
        <f>IF($A106="","",Allocation2!AD106)</f>
        <v/>
      </c>
      <c r="AC106" t="str">
        <f>IF($A106="","",IF(ALLOC!$N$4="VOL_EFF",$G106,IF(ALLOC!$N$4="VOL_CLASS",$H106,$I106)))</f>
        <v/>
      </c>
      <c r="AD106" t="str">
        <f>IF($A106="","",IF(ALLOC!$N$4="VOL_EFF",$L106,IF(ALLOC!$N$4="VOL_CLASS",$M106,$N106)))</f>
        <v/>
      </c>
      <c r="AE106" t="str">
        <f>IF($A106="","",IF(ALLOC!$N$3="VOL_EFF",$L106,IF(ALLOC!$N$3="VOL_CLASS",$M106,$N106)))</f>
        <v/>
      </c>
      <c r="AF106" t="str">
        <f>IF($A106="","",IF(ALLOC!$N$3="VOL_EFF",$Q106,IF(ALLOC!$N$3="VOL_CLASS",$R106,$S106)))</f>
        <v/>
      </c>
      <c r="AG106" t="str">
        <f>IF($A106="","",IF(ALLOC!$N$1="VOL_EFF",$Q106,IF(ALLOC!$N$1="VOL_CLASS",$R106,$S106)))</f>
        <v/>
      </c>
      <c r="AH106" t="str">
        <f>IF($A106="","",IF(ALLOC!$N$1="VOL_EFF",$T106,IF(ALLOC!$N$1="VOL_CLASS",$U106,$V106)))</f>
        <v/>
      </c>
      <c r="AI106" t="str">
        <f t="shared" si="40"/>
        <v/>
      </c>
      <c r="AJ106" t="str">
        <f t="shared" si="41"/>
        <v/>
      </c>
      <c r="AK106" t="str">
        <f t="shared" si="42"/>
        <v/>
      </c>
      <c r="AL106" t="str">
        <f t="shared" si="43"/>
        <v/>
      </c>
      <c r="AM106" t="str">
        <f t="shared" si="44"/>
        <v/>
      </c>
      <c r="AN106" t="str">
        <f t="shared" si="45"/>
        <v/>
      </c>
      <c r="AO106" t="str">
        <f>IF($A106="","",Allocation2!AE106)</f>
        <v/>
      </c>
      <c r="AP106" t="str">
        <f>IF($A106="","",IF(ALLOC!$N$2="VOL_EFF",$Q106,IF(ALLOC!$N$2="VOL_CLASS",$R106,$S106)))</f>
        <v/>
      </c>
      <c r="AQ106" t="str">
        <f>IF($A106="","",IF(ALLOC!$N$2="VOL_EFF",$T106,IF(ALLOC!$N$2="VOL_CLASS",$U106,$V106)))</f>
        <v/>
      </c>
      <c r="AR106" t="str">
        <f t="shared" si="46"/>
        <v/>
      </c>
    </row>
    <row r="107" spans="1:44" x14ac:dyDescent="0.45">
      <c r="A107" t="str">
        <f>IF(Allocation2!D107="","",Allocation2!D107)</f>
        <v/>
      </c>
      <c r="B107" t="str">
        <f>IF(Allocation2!E107="","",Allocation2!E107)</f>
        <v/>
      </c>
      <c r="C107" t="str">
        <f>IF(Allocation2!F107="","",Allocation2!F107)</f>
        <v/>
      </c>
      <c r="D107" t="str">
        <f>IF(Allocation2!G107="","",Allocation2!G107)</f>
        <v/>
      </c>
      <c r="E107" t="str">
        <f>IF(Allocation2!H107="","",Allocation2!H107)</f>
        <v/>
      </c>
      <c r="F107" t="str">
        <f>IF(Allocation2!I107="","",Allocation2!I107)</f>
        <v/>
      </c>
      <c r="G107" t="str">
        <f>IF(Allocation2!E107="","",Allocation2!J107)</f>
        <v/>
      </c>
      <c r="H107" t="str">
        <f>IF(Allocation2!E107="","",Allocation2!K107)</f>
        <v/>
      </c>
      <c r="I107" t="str">
        <f>IF(Allocation2!E107="","",Allocation2!L107)</f>
        <v/>
      </c>
      <c r="J107" t="str">
        <f>IF($A107="","",Allocation2!X107)</f>
        <v/>
      </c>
      <c r="K107" t="str">
        <f t="shared" si="28"/>
        <v/>
      </c>
      <c r="L107" t="str">
        <f t="shared" si="47"/>
        <v/>
      </c>
      <c r="M107" t="str">
        <f t="shared" si="48"/>
        <v/>
      </c>
      <c r="N107" t="str">
        <f t="shared" si="49"/>
        <v/>
      </c>
      <c r="O107" t="str">
        <f t="shared" si="32"/>
        <v/>
      </c>
      <c r="P107" t="str">
        <f t="shared" si="33"/>
        <v/>
      </c>
      <c r="Q107" t="str">
        <f t="shared" si="50"/>
        <v/>
      </c>
      <c r="R107" t="str">
        <f t="shared" si="51"/>
        <v/>
      </c>
      <c r="S107" t="str">
        <f t="shared" si="52"/>
        <v/>
      </c>
      <c r="T107" t="str">
        <f t="shared" si="53"/>
        <v/>
      </c>
      <c r="U107" t="str">
        <f t="shared" si="54"/>
        <v/>
      </c>
      <c r="V107" t="str">
        <f t="shared" si="55"/>
        <v/>
      </c>
      <c r="W107" t="str">
        <f>IF($A107="","",Allocation2!Y107)</f>
        <v/>
      </c>
      <c r="X107" t="str">
        <f>IF($A107="","",Allocation2!Z107)</f>
        <v/>
      </c>
      <c r="Y107" t="str">
        <f>IF($A107="","",Allocation2!AA107)</f>
        <v/>
      </c>
      <c r="Z107" t="str">
        <f>IF($A107="","",Allocation2!AB107)</f>
        <v/>
      </c>
      <c r="AA107" t="str">
        <f>IF($A107="","",Allocation2!AC107)</f>
        <v/>
      </c>
      <c r="AB107" t="str">
        <f>IF($A107="","",Allocation2!AD107)</f>
        <v/>
      </c>
      <c r="AC107" t="str">
        <f>IF($A107="","",IF(ALLOC!$N$4="VOL_EFF",$G107,IF(ALLOC!$N$4="VOL_CLASS",$H107,$I107)))</f>
        <v/>
      </c>
      <c r="AD107" t="str">
        <f>IF($A107="","",IF(ALLOC!$N$4="VOL_EFF",$L107,IF(ALLOC!$N$4="VOL_CLASS",$M107,$N107)))</f>
        <v/>
      </c>
      <c r="AE107" t="str">
        <f>IF($A107="","",IF(ALLOC!$N$3="VOL_EFF",$L107,IF(ALLOC!$N$3="VOL_CLASS",$M107,$N107)))</f>
        <v/>
      </c>
      <c r="AF107" t="str">
        <f>IF($A107="","",IF(ALLOC!$N$3="VOL_EFF",$Q107,IF(ALLOC!$N$3="VOL_CLASS",$R107,$S107)))</f>
        <v/>
      </c>
      <c r="AG107" t="str">
        <f>IF($A107="","",IF(ALLOC!$N$1="VOL_EFF",$Q107,IF(ALLOC!$N$1="VOL_CLASS",$R107,$S107)))</f>
        <v/>
      </c>
      <c r="AH107" t="str">
        <f>IF($A107="","",IF(ALLOC!$N$1="VOL_EFF",$T107,IF(ALLOC!$N$1="VOL_CLASS",$U107,$V107)))</f>
        <v/>
      </c>
      <c r="AI107" t="str">
        <f t="shared" si="40"/>
        <v/>
      </c>
      <c r="AJ107" t="str">
        <f t="shared" si="41"/>
        <v/>
      </c>
      <c r="AK107" t="str">
        <f t="shared" si="42"/>
        <v/>
      </c>
      <c r="AL107" t="str">
        <f t="shared" si="43"/>
        <v/>
      </c>
      <c r="AM107" t="str">
        <f t="shared" si="44"/>
        <v/>
      </c>
      <c r="AN107" t="str">
        <f t="shared" si="45"/>
        <v/>
      </c>
      <c r="AO107" t="str">
        <f>IF($A107="","",Allocation2!AE107)</f>
        <v/>
      </c>
      <c r="AP107" t="str">
        <f>IF($A107="","",IF(ALLOC!$N$2="VOL_EFF",$Q107,IF(ALLOC!$N$2="VOL_CLASS",$R107,$S107)))</f>
        <v/>
      </c>
      <c r="AQ107" t="str">
        <f>IF($A107="","",IF(ALLOC!$N$2="VOL_EFF",$T107,IF(ALLOC!$N$2="VOL_CLASS",$U107,$V107)))</f>
        <v/>
      </c>
      <c r="AR107" t="str">
        <f t="shared" si="46"/>
        <v/>
      </c>
    </row>
    <row r="108" spans="1:44" x14ac:dyDescent="0.45">
      <c r="A108" t="str">
        <f>IF(Allocation2!D108="","",Allocation2!D108)</f>
        <v/>
      </c>
      <c r="B108" t="str">
        <f>IF(Allocation2!E108="","",Allocation2!E108)</f>
        <v/>
      </c>
      <c r="C108" t="str">
        <f>IF(Allocation2!F108="","",Allocation2!F108)</f>
        <v/>
      </c>
      <c r="D108" t="str">
        <f>IF(Allocation2!G108="","",Allocation2!G108)</f>
        <v/>
      </c>
      <c r="E108" t="str">
        <f>IF(Allocation2!H108="","",Allocation2!H108)</f>
        <v/>
      </c>
      <c r="F108" t="str">
        <f>IF(Allocation2!I108="","",Allocation2!I108)</f>
        <v/>
      </c>
      <c r="G108" t="str">
        <f>IF(Allocation2!E108="","",Allocation2!J108)</f>
        <v/>
      </c>
      <c r="H108" t="str">
        <f>IF(Allocation2!E108="","",Allocation2!K108)</f>
        <v/>
      </c>
      <c r="I108" t="str">
        <f>IF(Allocation2!E108="","",Allocation2!L108)</f>
        <v/>
      </c>
      <c r="J108" t="str">
        <f>IF($A108="","",Allocation2!X108)</f>
        <v/>
      </c>
      <c r="K108" t="str">
        <f t="shared" si="28"/>
        <v/>
      </c>
      <c r="L108" t="str">
        <f t="shared" si="47"/>
        <v/>
      </c>
      <c r="M108" t="str">
        <f t="shared" si="48"/>
        <v/>
      </c>
      <c r="N108" t="str">
        <f t="shared" si="49"/>
        <v/>
      </c>
      <c r="O108" t="str">
        <f t="shared" si="32"/>
        <v/>
      </c>
      <c r="P108" t="str">
        <f t="shared" si="33"/>
        <v/>
      </c>
      <c r="Q108" t="str">
        <f t="shared" si="50"/>
        <v/>
      </c>
      <c r="R108" t="str">
        <f t="shared" si="51"/>
        <v/>
      </c>
      <c r="S108" t="str">
        <f t="shared" si="52"/>
        <v/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>IF($A108="","",Allocation2!Y108)</f>
        <v/>
      </c>
      <c r="X108" t="str">
        <f>IF($A108="","",Allocation2!Z108)</f>
        <v/>
      </c>
      <c r="Y108" t="str">
        <f>IF($A108="","",Allocation2!AA108)</f>
        <v/>
      </c>
      <c r="Z108" t="str">
        <f>IF($A108="","",Allocation2!AB108)</f>
        <v/>
      </c>
      <c r="AA108" t="str">
        <f>IF($A108="","",Allocation2!AC108)</f>
        <v/>
      </c>
      <c r="AB108" t="str">
        <f>IF($A108="","",Allocation2!AD108)</f>
        <v/>
      </c>
      <c r="AC108" t="str">
        <f>IF($A108="","",IF(ALLOC!$N$4="VOL_EFF",$G108,IF(ALLOC!$N$4="VOL_CLASS",$H108,$I108)))</f>
        <v/>
      </c>
      <c r="AD108" t="str">
        <f>IF($A108="","",IF(ALLOC!$N$4="VOL_EFF",$L108,IF(ALLOC!$N$4="VOL_CLASS",$M108,$N108)))</f>
        <v/>
      </c>
      <c r="AE108" t="str">
        <f>IF($A108="","",IF(ALLOC!$N$3="VOL_EFF",$L108,IF(ALLOC!$N$3="VOL_CLASS",$M108,$N108)))</f>
        <v/>
      </c>
      <c r="AF108" t="str">
        <f>IF($A108="","",IF(ALLOC!$N$3="VOL_EFF",$Q108,IF(ALLOC!$N$3="VOL_CLASS",$R108,$S108)))</f>
        <v/>
      </c>
      <c r="AG108" t="str">
        <f>IF($A108="","",IF(ALLOC!$N$1="VOL_EFF",$Q108,IF(ALLOC!$N$1="VOL_CLASS",$R108,$S108)))</f>
        <v/>
      </c>
      <c r="AH108" t="str">
        <f>IF($A108="","",IF(ALLOC!$N$1="VOL_EFF",$T108,IF(ALLOC!$N$1="VOL_CLASS",$U108,$V108)))</f>
        <v/>
      </c>
      <c r="AI108" t="str">
        <f t="shared" si="40"/>
        <v/>
      </c>
      <c r="AJ108" t="str">
        <f t="shared" si="41"/>
        <v/>
      </c>
      <c r="AK108" t="str">
        <f t="shared" si="42"/>
        <v/>
      </c>
      <c r="AL108" t="str">
        <f t="shared" si="43"/>
        <v/>
      </c>
      <c r="AM108" t="str">
        <f t="shared" si="44"/>
        <v/>
      </c>
      <c r="AN108" t="str">
        <f t="shared" si="45"/>
        <v/>
      </c>
      <c r="AO108" t="str">
        <f>IF($A108="","",Allocation2!AE108)</f>
        <v/>
      </c>
      <c r="AP108" t="str">
        <f>IF($A108="","",IF(ALLOC!$N$2="VOL_EFF",$Q108,IF(ALLOC!$N$2="VOL_CLASS",$R108,$S108)))</f>
        <v/>
      </c>
      <c r="AQ108" t="str">
        <f>IF($A108="","",IF(ALLOC!$N$2="VOL_EFF",$T108,IF(ALLOC!$N$2="VOL_CLASS",$U108,$V108)))</f>
        <v/>
      </c>
      <c r="AR108" t="str">
        <f t="shared" si="46"/>
        <v/>
      </c>
    </row>
    <row r="109" spans="1:44" x14ac:dyDescent="0.45">
      <c r="A109" t="str">
        <f>IF(Allocation2!D109="","",Allocation2!D109)</f>
        <v/>
      </c>
      <c r="B109" t="str">
        <f>IF(Allocation2!E109="","",Allocation2!E109)</f>
        <v/>
      </c>
      <c r="C109" t="str">
        <f>IF(Allocation2!F109="","",Allocation2!F109)</f>
        <v/>
      </c>
      <c r="D109" t="str">
        <f>IF(Allocation2!G109="","",Allocation2!G109)</f>
        <v/>
      </c>
      <c r="E109" t="str">
        <f>IF(Allocation2!H109="","",Allocation2!H109)</f>
        <v/>
      </c>
      <c r="F109" t="str">
        <f>IF(Allocation2!I109="","",Allocation2!I109)</f>
        <v/>
      </c>
      <c r="G109" t="str">
        <f>IF(Allocation2!E109="","",Allocation2!J109)</f>
        <v/>
      </c>
      <c r="H109" t="str">
        <f>IF(Allocation2!E109="","",Allocation2!K109)</f>
        <v/>
      </c>
      <c r="I109" t="str">
        <f>IF(Allocation2!E109="","",Allocation2!L109)</f>
        <v/>
      </c>
      <c r="J109" t="str">
        <f>IF($A109="","",Allocation2!X109)</f>
        <v/>
      </c>
      <c r="K109" t="str">
        <f t="shared" si="28"/>
        <v/>
      </c>
      <c r="L109" t="str">
        <f t="shared" si="47"/>
        <v/>
      </c>
      <c r="M109" t="str">
        <f t="shared" si="48"/>
        <v/>
      </c>
      <c r="N109" t="str">
        <f t="shared" si="49"/>
        <v/>
      </c>
      <c r="O109" t="str">
        <f t="shared" si="32"/>
        <v/>
      </c>
      <c r="P109" t="str">
        <f t="shared" si="33"/>
        <v/>
      </c>
      <c r="Q109" t="str">
        <f t="shared" si="50"/>
        <v/>
      </c>
      <c r="R109" t="str">
        <f t="shared" si="51"/>
        <v/>
      </c>
      <c r="S109" t="str">
        <f t="shared" si="52"/>
        <v/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>IF($A109="","",Allocation2!Y109)</f>
        <v/>
      </c>
      <c r="X109" t="str">
        <f>IF($A109="","",Allocation2!Z109)</f>
        <v/>
      </c>
      <c r="Y109" t="str">
        <f>IF($A109="","",Allocation2!AA109)</f>
        <v/>
      </c>
      <c r="Z109" t="str">
        <f>IF($A109="","",Allocation2!AB109)</f>
        <v/>
      </c>
      <c r="AA109" t="str">
        <f>IF($A109="","",Allocation2!AC109)</f>
        <v/>
      </c>
      <c r="AB109" t="str">
        <f>IF($A109="","",Allocation2!AD109)</f>
        <v/>
      </c>
      <c r="AC109" t="str">
        <f>IF($A109="","",IF(ALLOC!$N$4="VOL_EFF",$G109,IF(ALLOC!$N$4="VOL_CLASS",$H109,$I109)))</f>
        <v/>
      </c>
      <c r="AD109" t="str">
        <f>IF($A109="","",IF(ALLOC!$N$4="VOL_EFF",$L109,IF(ALLOC!$N$4="VOL_CLASS",$M109,$N109)))</f>
        <v/>
      </c>
      <c r="AE109" t="str">
        <f>IF($A109="","",IF(ALLOC!$N$3="VOL_EFF",$L109,IF(ALLOC!$N$3="VOL_CLASS",$M109,$N109)))</f>
        <v/>
      </c>
      <c r="AF109" t="str">
        <f>IF($A109="","",IF(ALLOC!$N$3="VOL_EFF",$Q109,IF(ALLOC!$N$3="VOL_CLASS",$R109,$S109)))</f>
        <v/>
      </c>
      <c r="AG109" t="str">
        <f>IF($A109="","",IF(ALLOC!$N$1="VOL_EFF",$Q109,IF(ALLOC!$N$1="VOL_CLASS",$R109,$S109)))</f>
        <v/>
      </c>
      <c r="AH109" t="str">
        <f>IF($A109="","",IF(ALLOC!$N$1="VOL_EFF",$T109,IF(ALLOC!$N$1="VOL_CLASS",$U109,$V109)))</f>
        <v/>
      </c>
      <c r="AI109" t="str">
        <f t="shared" si="40"/>
        <v/>
      </c>
      <c r="AJ109" t="str">
        <f t="shared" si="41"/>
        <v/>
      </c>
      <c r="AK109" t="str">
        <f t="shared" si="42"/>
        <v/>
      </c>
      <c r="AL109" t="str">
        <f t="shared" si="43"/>
        <v/>
      </c>
      <c r="AM109" t="str">
        <f t="shared" si="44"/>
        <v/>
      </c>
      <c r="AN109" t="str">
        <f t="shared" si="45"/>
        <v/>
      </c>
      <c r="AO109" t="str">
        <f>IF($A109="","",Allocation2!AE109)</f>
        <v/>
      </c>
      <c r="AP109" t="str">
        <f>IF($A109="","",IF(ALLOC!$N$2="VOL_EFF",$Q109,IF(ALLOC!$N$2="VOL_CLASS",$R109,$S109)))</f>
        <v/>
      </c>
      <c r="AQ109" t="str">
        <f>IF($A109="","",IF(ALLOC!$N$2="VOL_EFF",$T109,IF(ALLOC!$N$2="VOL_CLASS",$U109,$V109)))</f>
        <v/>
      </c>
      <c r="AR109" t="str">
        <f t="shared" si="46"/>
        <v/>
      </c>
    </row>
    <row r="110" spans="1:44" x14ac:dyDescent="0.45">
      <c r="A110" t="str">
        <f>IF(Allocation2!D110="","",Allocation2!D110)</f>
        <v/>
      </c>
      <c r="B110" t="str">
        <f>IF(Allocation2!E110="","",Allocation2!E110)</f>
        <v/>
      </c>
      <c r="C110" t="str">
        <f>IF(Allocation2!F110="","",Allocation2!F110)</f>
        <v/>
      </c>
      <c r="D110" t="str">
        <f>IF(Allocation2!G110="","",Allocation2!G110)</f>
        <v/>
      </c>
      <c r="E110" t="str">
        <f>IF(Allocation2!H110="","",Allocation2!H110)</f>
        <v/>
      </c>
      <c r="F110" t="str">
        <f>IF(Allocation2!I110="","",Allocation2!I110)</f>
        <v/>
      </c>
      <c r="G110" t="str">
        <f>IF(Allocation2!E110="","",Allocation2!J110)</f>
        <v/>
      </c>
      <c r="H110" t="str">
        <f>IF(Allocation2!E110="","",Allocation2!K110)</f>
        <v/>
      </c>
      <c r="I110" t="str">
        <f>IF(Allocation2!E110="","",Allocation2!L110)</f>
        <v/>
      </c>
      <c r="J110" t="str">
        <f>IF($A110="","",Allocation2!X110)</f>
        <v/>
      </c>
      <c r="K110" t="str">
        <f t="shared" si="28"/>
        <v/>
      </c>
      <c r="L110" t="str">
        <f t="shared" si="47"/>
        <v/>
      </c>
      <c r="M110" t="str">
        <f t="shared" si="48"/>
        <v/>
      </c>
      <c r="N110" t="str">
        <f t="shared" si="49"/>
        <v/>
      </c>
      <c r="O110" t="str">
        <f t="shared" si="32"/>
        <v/>
      </c>
      <c r="P110" t="str">
        <f t="shared" si="33"/>
        <v/>
      </c>
      <c r="Q110" t="str">
        <f t="shared" si="50"/>
        <v/>
      </c>
      <c r="R110" t="str">
        <f t="shared" si="51"/>
        <v/>
      </c>
      <c r="S110" t="str">
        <f t="shared" si="52"/>
        <v/>
      </c>
      <c r="T110" t="str">
        <f t="shared" si="53"/>
        <v/>
      </c>
      <c r="U110" t="str">
        <f t="shared" si="54"/>
        <v/>
      </c>
      <c r="V110" t="str">
        <f t="shared" si="55"/>
        <v/>
      </c>
      <c r="W110" t="str">
        <f>IF($A110="","",Allocation2!Y110)</f>
        <v/>
      </c>
      <c r="X110" t="str">
        <f>IF($A110="","",Allocation2!Z110)</f>
        <v/>
      </c>
      <c r="Y110" t="str">
        <f>IF($A110="","",Allocation2!AA110)</f>
        <v/>
      </c>
      <c r="Z110" t="str">
        <f>IF($A110="","",Allocation2!AB110)</f>
        <v/>
      </c>
      <c r="AA110" t="str">
        <f>IF($A110="","",Allocation2!AC110)</f>
        <v/>
      </c>
      <c r="AB110" t="str">
        <f>IF($A110="","",Allocation2!AD110)</f>
        <v/>
      </c>
      <c r="AC110" t="str">
        <f>IF($A110="","",IF(ALLOC!$N$4="VOL_EFF",$G110,IF(ALLOC!$N$4="VOL_CLASS",$H110,$I110)))</f>
        <v/>
      </c>
      <c r="AD110" t="str">
        <f>IF($A110="","",IF(ALLOC!$N$4="VOL_EFF",$L110,IF(ALLOC!$N$4="VOL_CLASS",$M110,$N110)))</f>
        <v/>
      </c>
      <c r="AE110" t="str">
        <f>IF($A110="","",IF(ALLOC!$N$3="VOL_EFF",$L110,IF(ALLOC!$N$3="VOL_CLASS",$M110,$N110)))</f>
        <v/>
      </c>
      <c r="AF110" t="str">
        <f>IF($A110="","",IF(ALLOC!$N$3="VOL_EFF",$Q110,IF(ALLOC!$N$3="VOL_CLASS",$R110,$S110)))</f>
        <v/>
      </c>
      <c r="AG110" t="str">
        <f>IF($A110="","",IF(ALLOC!$N$1="VOL_EFF",$Q110,IF(ALLOC!$N$1="VOL_CLASS",$R110,$S110)))</f>
        <v/>
      </c>
      <c r="AH110" t="str">
        <f>IF($A110="","",IF(ALLOC!$N$1="VOL_EFF",$T110,IF(ALLOC!$N$1="VOL_CLASS",$U110,$V110)))</f>
        <v/>
      </c>
      <c r="AI110" t="str">
        <f t="shared" si="40"/>
        <v/>
      </c>
      <c r="AJ110" t="str">
        <f t="shared" si="41"/>
        <v/>
      </c>
      <c r="AK110" t="str">
        <f t="shared" si="42"/>
        <v/>
      </c>
      <c r="AL110" t="str">
        <f t="shared" si="43"/>
        <v/>
      </c>
      <c r="AM110" t="str">
        <f t="shared" si="44"/>
        <v/>
      </c>
      <c r="AN110" t="str">
        <f t="shared" si="45"/>
        <v/>
      </c>
      <c r="AO110" t="str">
        <f>IF($A110="","",Allocation2!AE110)</f>
        <v/>
      </c>
      <c r="AP110" t="str">
        <f>IF($A110="","",IF(ALLOC!$N$2="VOL_EFF",$Q110,IF(ALLOC!$N$2="VOL_CLASS",$R110,$S110)))</f>
        <v/>
      </c>
      <c r="AQ110" t="str">
        <f>IF($A110="","",IF(ALLOC!$N$2="VOL_EFF",$T110,IF(ALLOC!$N$2="VOL_CLASS",$U110,$V110)))</f>
        <v/>
      </c>
      <c r="AR110" t="str">
        <f t="shared" si="46"/>
        <v/>
      </c>
    </row>
    <row r="111" spans="1:44" x14ac:dyDescent="0.45">
      <c r="A111" t="str">
        <f>IF(Allocation2!D111="","",Allocation2!D111)</f>
        <v/>
      </c>
      <c r="B111" t="str">
        <f>IF(Allocation2!E111="","",Allocation2!E111)</f>
        <v/>
      </c>
      <c r="C111" t="str">
        <f>IF(Allocation2!F111="","",Allocation2!F111)</f>
        <v/>
      </c>
      <c r="D111" t="str">
        <f>IF(Allocation2!G111="","",Allocation2!G111)</f>
        <v/>
      </c>
      <c r="E111" t="str">
        <f>IF(Allocation2!H111="","",Allocation2!H111)</f>
        <v/>
      </c>
      <c r="F111" t="str">
        <f>IF(Allocation2!I111="","",Allocation2!I111)</f>
        <v/>
      </c>
      <c r="G111" t="str">
        <f>IF(Allocation2!E111="","",Allocation2!J111)</f>
        <v/>
      </c>
      <c r="H111" t="str">
        <f>IF(Allocation2!E111="","",Allocation2!K111)</f>
        <v/>
      </c>
      <c r="I111" t="str">
        <f>IF(Allocation2!E111="","",Allocation2!L111)</f>
        <v/>
      </c>
      <c r="J111" t="str">
        <f>IF($A111="","",Allocation2!X111)</f>
        <v/>
      </c>
      <c r="K111" t="str">
        <f t="shared" si="28"/>
        <v/>
      </c>
      <c r="L111" t="str">
        <f t="shared" si="47"/>
        <v/>
      </c>
      <c r="M111" t="str">
        <f t="shared" si="48"/>
        <v/>
      </c>
      <c r="N111" t="str">
        <f t="shared" si="49"/>
        <v/>
      </c>
      <c r="O111" t="str">
        <f t="shared" si="32"/>
        <v/>
      </c>
      <c r="P111" t="str">
        <f t="shared" si="33"/>
        <v/>
      </c>
      <c r="Q111" t="str">
        <f t="shared" si="50"/>
        <v/>
      </c>
      <c r="R111" t="str">
        <f t="shared" si="51"/>
        <v/>
      </c>
      <c r="S111" t="str">
        <f t="shared" si="52"/>
        <v/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>IF($A111="","",Allocation2!Y111)</f>
        <v/>
      </c>
      <c r="X111" t="str">
        <f>IF($A111="","",Allocation2!Z111)</f>
        <v/>
      </c>
      <c r="Y111" t="str">
        <f>IF($A111="","",Allocation2!AA111)</f>
        <v/>
      </c>
      <c r="Z111" t="str">
        <f>IF($A111="","",Allocation2!AB111)</f>
        <v/>
      </c>
      <c r="AA111" t="str">
        <f>IF($A111="","",Allocation2!AC111)</f>
        <v/>
      </c>
      <c r="AB111" t="str">
        <f>IF($A111="","",Allocation2!AD111)</f>
        <v/>
      </c>
      <c r="AC111" t="str">
        <f>IF($A111="","",IF(ALLOC!$N$4="VOL_EFF",$G111,IF(ALLOC!$N$4="VOL_CLASS",$H111,$I111)))</f>
        <v/>
      </c>
      <c r="AD111" t="str">
        <f>IF($A111="","",IF(ALLOC!$N$4="VOL_EFF",$L111,IF(ALLOC!$N$4="VOL_CLASS",$M111,$N111)))</f>
        <v/>
      </c>
      <c r="AE111" t="str">
        <f>IF($A111="","",IF(ALLOC!$N$3="VOL_EFF",$L111,IF(ALLOC!$N$3="VOL_CLASS",$M111,$N111)))</f>
        <v/>
      </c>
      <c r="AF111" t="str">
        <f>IF($A111="","",IF(ALLOC!$N$3="VOL_EFF",$Q111,IF(ALLOC!$N$3="VOL_CLASS",$R111,$S111)))</f>
        <v/>
      </c>
      <c r="AG111" t="str">
        <f>IF($A111="","",IF(ALLOC!$N$1="VOL_EFF",$Q111,IF(ALLOC!$N$1="VOL_CLASS",$R111,$S111)))</f>
        <v/>
      </c>
      <c r="AH111" t="str">
        <f>IF($A111="","",IF(ALLOC!$N$1="VOL_EFF",$T111,IF(ALLOC!$N$1="VOL_CLASS",$U111,$V111)))</f>
        <v/>
      </c>
      <c r="AI111" t="str">
        <f t="shared" si="40"/>
        <v/>
      </c>
      <c r="AJ111" t="str">
        <f t="shared" si="41"/>
        <v/>
      </c>
      <c r="AK111" t="str">
        <f t="shared" si="42"/>
        <v/>
      </c>
      <c r="AL111" t="str">
        <f t="shared" si="43"/>
        <v/>
      </c>
      <c r="AM111" t="str">
        <f t="shared" si="44"/>
        <v/>
      </c>
      <c r="AN111" t="str">
        <f t="shared" si="45"/>
        <v/>
      </c>
      <c r="AO111" t="str">
        <f>IF($A111="","",Allocation2!AE111)</f>
        <v/>
      </c>
      <c r="AP111" t="str">
        <f>IF($A111="","",IF(ALLOC!$N$2="VOL_EFF",$Q111,IF(ALLOC!$N$2="VOL_CLASS",$R111,$S111)))</f>
        <v/>
      </c>
      <c r="AQ111" t="str">
        <f>IF($A111="","",IF(ALLOC!$N$2="VOL_EFF",$T111,IF(ALLOC!$N$2="VOL_CLASS",$U111,$V111)))</f>
        <v/>
      </c>
      <c r="AR111" t="str">
        <f t="shared" si="46"/>
        <v/>
      </c>
    </row>
    <row r="112" spans="1:44" x14ac:dyDescent="0.45">
      <c r="A112" t="str">
        <f>IF(Allocation2!D112="","",Allocation2!D112)</f>
        <v/>
      </c>
      <c r="B112" t="str">
        <f>IF(Allocation2!E112="","",Allocation2!E112)</f>
        <v/>
      </c>
      <c r="C112" t="str">
        <f>IF(Allocation2!F112="","",Allocation2!F112)</f>
        <v/>
      </c>
      <c r="D112" t="str">
        <f>IF(Allocation2!G112="","",Allocation2!G112)</f>
        <v/>
      </c>
      <c r="E112" t="str">
        <f>IF(Allocation2!H112="","",Allocation2!H112)</f>
        <v/>
      </c>
      <c r="F112" t="str">
        <f>IF(Allocation2!I112="","",Allocation2!I112)</f>
        <v/>
      </c>
      <c r="G112" t="str">
        <f>IF(Allocation2!E112="","",Allocation2!J112)</f>
        <v/>
      </c>
      <c r="H112" t="str">
        <f>IF(Allocation2!E112="","",Allocation2!K112)</f>
        <v/>
      </c>
      <c r="I112" t="str">
        <f>IF(Allocation2!E112="","",Allocation2!L112)</f>
        <v/>
      </c>
      <c r="J112" t="str">
        <f>IF($A112="","",Allocation2!X112)</f>
        <v/>
      </c>
      <c r="K112" t="str">
        <f t="shared" si="28"/>
        <v/>
      </c>
      <c r="L112" t="str">
        <f t="shared" si="47"/>
        <v/>
      </c>
      <c r="M112" t="str">
        <f t="shared" si="48"/>
        <v/>
      </c>
      <c r="N112" t="str">
        <f t="shared" si="49"/>
        <v/>
      </c>
      <c r="O112" t="str">
        <f t="shared" si="32"/>
        <v/>
      </c>
      <c r="P112" t="str">
        <f t="shared" si="33"/>
        <v/>
      </c>
      <c r="Q112" t="str">
        <f t="shared" si="50"/>
        <v/>
      </c>
      <c r="R112" t="str">
        <f t="shared" si="51"/>
        <v/>
      </c>
      <c r="S112" t="str">
        <f t="shared" si="52"/>
        <v/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>IF($A112="","",Allocation2!Y112)</f>
        <v/>
      </c>
      <c r="X112" t="str">
        <f>IF($A112="","",Allocation2!Z112)</f>
        <v/>
      </c>
      <c r="Y112" t="str">
        <f>IF($A112="","",Allocation2!AA112)</f>
        <v/>
      </c>
      <c r="Z112" t="str">
        <f>IF($A112="","",Allocation2!AB112)</f>
        <v/>
      </c>
      <c r="AA112" t="str">
        <f>IF($A112="","",Allocation2!AC112)</f>
        <v/>
      </c>
      <c r="AB112" t="str">
        <f>IF($A112="","",Allocation2!AD112)</f>
        <v/>
      </c>
      <c r="AC112" t="str">
        <f>IF($A112="","",IF(ALLOC!$N$4="VOL_EFF",$G112,IF(ALLOC!$N$4="VOL_CLASS",$H112,$I112)))</f>
        <v/>
      </c>
      <c r="AD112" t="str">
        <f>IF($A112="","",IF(ALLOC!$N$4="VOL_EFF",$L112,IF(ALLOC!$N$4="VOL_CLASS",$M112,$N112)))</f>
        <v/>
      </c>
      <c r="AE112" t="str">
        <f>IF($A112="","",IF(ALLOC!$N$3="VOL_EFF",$L112,IF(ALLOC!$N$3="VOL_CLASS",$M112,$N112)))</f>
        <v/>
      </c>
      <c r="AF112" t="str">
        <f>IF($A112="","",IF(ALLOC!$N$3="VOL_EFF",$Q112,IF(ALLOC!$N$3="VOL_CLASS",$R112,$S112)))</f>
        <v/>
      </c>
      <c r="AG112" t="str">
        <f>IF($A112="","",IF(ALLOC!$N$1="VOL_EFF",$Q112,IF(ALLOC!$N$1="VOL_CLASS",$R112,$S112)))</f>
        <v/>
      </c>
      <c r="AH112" t="str">
        <f>IF($A112="","",IF(ALLOC!$N$1="VOL_EFF",$T112,IF(ALLOC!$N$1="VOL_CLASS",$U112,$V112)))</f>
        <v/>
      </c>
      <c r="AI112" t="str">
        <f t="shared" si="40"/>
        <v/>
      </c>
      <c r="AJ112" t="str">
        <f t="shared" si="41"/>
        <v/>
      </c>
      <c r="AK112" t="str">
        <f t="shared" si="42"/>
        <v/>
      </c>
      <c r="AL112" t="str">
        <f t="shared" si="43"/>
        <v/>
      </c>
      <c r="AM112" t="str">
        <f t="shared" si="44"/>
        <v/>
      </c>
      <c r="AN112" t="str">
        <f t="shared" si="45"/>
        <v/>
      </c>
      <c r="AO112" t="str">
        <f>IF($A112="","",Allocation2!AE112)</f>
        <v/>
      </c>
      <c r="AP112" t="str">
        <f>IF($A112="","",IF(ALLOC!$N$2="VOL_EFF",$Q112,IF(ALLOC!$N$2="VOL_CLASS",$R112,$S112)))</f>
        <v/>
      </c>
      <c r="AQ112" t="str">
        <f>IF($A112="","",IF(ALLOC!$N$2="VOL_EFF",$T112,IF(ALLOC!$N$2="VOL_CLASS",$U112,$V112)))</f>
        <v/>
      </c>
      <c r="AR112" t="str">
        <f t="shared" si="46"/>
        <v/>
      </c>
    </row>
    <row r="113" spans="1:44" x14ac:dyDescent="0.45">
      <c r="A113" t="str">
        <f>IF(Allocation2!D113="","",Allocation2!D113)</f>
        <v/>
      </c>
      <c r="B113" t="str">
        <f>IF(Allocation2!E113="","",Allocation2!E113)</f>
        <v/>
      </c>
      <c r="C113" t="str">
        <f>IF(Allocation2!F113="","",Allocation2!F113)</f>
        <v/>
      </c>
      <c r="D113" t="str">
        <f>IF(Allocation2!G113="","",Allocation2!G113)</f>
        <v/>
      </c>
      <c r="E113" t="str">
        <f>IF(Allocation2!H113="","",Allocation2!H113)</f>
        <v/>
      </c>
      <c r="F113" t="str">
        <f>IF(Allocation2!I113="","",Allocation2!I113)</f>
        <v/>
      </c>
      <c r="G113" t="str">
        <f>IF(Allocation2!E113="","",Allocation2!J113)</f>
        <v/>
      </c>
      <c r="H113" t="str">
        <f>IF(Allocation2!E113="","",Allocation2!K113)</f>
        <v/>
      </c>
      <c r="I113" t="str">
        <f>IF(Allocation2!E113="","",Allocation2!L113)</f>
        <v/>
      </c>
      <c r="J113" t="str">
        <f>IF($A113="","",Allocation2!X113)</f>
        <v/>
      </c>
      <c r="K113" t="str">
        <f t="shared" si="28"/>
        <v/>
      </c>
      <c r="L113" t="str">
        <f t="shared" si="47"/>
        <v/>
      </c>
      <c r="M113" t="str">
        <f t="shared" si="48"/>
        <v/>
      </c>
      <c r="N113" t="str">
        <f t="shared" si="49"/>
        <v/>
      </c>
      <c r="O113" t="str">
        <f t="shared" si="32"/>
        <v/>
      </c>
      <c r="P113" t="str">
        <f t="shared" si="33"/>
        <v/>
      </c>
      <c r="Q113" t="str">
        <f t="shared" si="50"/>
        <v/>
      </c>
      <c r="R113" t="str">
        <f t="shared" si="51"/>
        <v/>
      </c>
      <c r="S113" t="str">
        <f t="shared" si="52"/>
        <v/>
      </c>
      <c r="T113" t="str">
        <f t="shared" si="53"/>
        <v/>
      </c>
      <c r="U113" t="str">
        <f t="shared" si="54"/>
        <v/>
      </c>
      <c r="V113" t="str">
        <f t="shared" si="55"/>
        <v/>
      </c>
      <c r="W113" t="str">
        <f>IF($A113="","",Allocation2!Y113)</f>
        <v/>
      </c>
      <c r="X113" t="str">
        <f>IF($A113="","",Allocation2!Z113)</f>
        <v/>
      </c>
      <c r="Y113" t="str">
        <f>IF($A113="","",Allocation2!AA113)</f>
        <v/>
      </c>
      <c r="Z113" t="str">
        <f>IF($A113="","",Allocation2!AB113)</f>
        <v/>
      </c>
      <c r="AA113" t="str">
        <f>IF($A113="","",Allocation2!AC113)</f>
        <v/>
      </c>
      <c r="AB113" t="str">
        <f>IF($A113="","",Allocation2!AD113)</f>
        <v/>
      </c>
      <c r="AC113" t="str">
        <f>IF($A113="","",IF(ALLOC!$N$4="VOL_EFF",$G113,IF(ALLOC!$N$4="VOL_CLASS",$H113,$I113)))</f>
        <v/>
      </c>
      <c r="AD113" t="str">
        <f>IF($A113="","",IF(ALLOC!$N$4="VOL_EFF",$L113,IF(ALLOC!$N$4="VOL_CLASS",$M113,$N113)))</f>
        <v/>
      </c>
      <c r="AE113" t="str">
        <f>IF($A113="","",IF(ALLOC!$N$3="VOL_EFF",$L113,IF(ALLOC!$N$3="VOL_CLASS",$M113,$N113)))</f>
        <v/>
      </c>
      <c r="AF113" t="str">
        <f>IF($A113="","",IF(ALLOC!$N$3="VOL_EFF",$Q113,IF(ALLOC!$N$3="VOL_CLASS",$R113,$S113)))</f>
        <v/>
      </c>
      <c r="AG113" t="str">
        <f>IF($A113="","",IF(ALLOC!$N$1="VOL_EFF",$Q113,IF(ALLOC!$N$1="VOL_CLASS",$R113,$S113)))</f>
        <v/>
      </c>
      <c r="AH113" t="str">
        <f>IF($A113="","",IF(ALLOC!$N$1="VOL_EFF",$T113,IF(ALLOC!$N$1="VOL_CLASS",$U113,$V113)))</f>
        <v/>
      </c>
      <c r="AI113" t="str">
        <f t="shared" si="40"/>
        <v/>
      </c>
      <c r="AJ113" t="str">
        <f t="shared" si="41"/>
        <v/>
      </c>
      <c r="AK113" t="str">
        <f t="shared" si="42"/>
        <v/>
      </c>
      <c r="AL113" t="str">
        <f t="shared" si="43"/>
        <v/>
      </c>
      <c r="AM113" t="str">
        <f t="shared" si="44"/>
        <v/>
      </c>
      <c r="AN113" t="str">
        <f t="shared" si="45"/>
        <v/>
      </c>
      <c r="AO113" t="str">
        <f>IF($A113="","",Allocation2!AE113)</f>
        <v/>
      </c>
      <c r="AP113" t="str">
        <f>IF($A113="","",IF(ALLOC!$N$2="VOL_EFF",$Q113,IF(ALLOC!$N$2="VOL_CLASS",$R113,$S113)))</f>
        <v/>
      </c>
      <c r="AQ113" t="str">
        <f>IF($A113="","",IF(ALLOC!$N$2="VOL_EFF",$T113,IF(ALLOC!$N$2="VOL_CLASS",$U113,$V113)))</f>
        <v/>
      </c>
      <c r="AR113" t="str">
        <f t="shared" si="46"/>
        <v/>
      </c>
    </row>
    <row r="114" spans="1:44" x14ac:dyDescent="0.45">
      <c r="A114" t="str">
        <f>IF(Allocation2!D114="","",Allocation2!D114)</f>
        <v/>
      </c>
      <c r="B114" t="str">
        <f>IF(Allocation2!E114="","",Allocation2!E114)</f>
        <v/>
      </c>
      <c r="C114" t="str">
        <f>IF(Allocation2!F114="","",Allocation2!F114)</f>
        <v/>
      </c>
      <c r="D114" t="str">
        <f>IF(Allocation2!G114="","",Allocation2!G114)</f>
        <v/>
      </c>
      <c r="E114" t="str">
        <f>IF(Allocation2!H114="","",Allocation2!H114)</f>
        <v/>
      </c>
      <c r="F114" t="str">
        <f>IF(Allocation2!I114="","",Allocation2!I114)</f>
        <v/>
      </c>
      <c r="G114" t="str">
        <f>IF(Allocation2!E114="","",Allocation2!J114)</f>
        <v/>
      </c>
      <c r="H114" t="str">
        <f>IF(Allocation2!E114="","",Allocation2!K114)</f>
        <v/>
      </c>
      <c r="I114" t="str">
        <f>IF(Allocation2!E114="","",Allocation2!L114)</f>
        <v/>
      </c>
      <c r="J114" t="str">
        <f>IF($A114="","",Allocation2!X114)</f>
        <v/>
      </c>
      <c r="K114" t="str">
        <f t="shared" si="28"/>
        <v/>
      </c>
      <c r="L114" t="str">
        <f t="shared" si="47"/>
        <v/>
      </c>
      <c r="M114" t="str">
        <f t="shared" si="48"/>
        <v/>
      </c>
      <c r="N114" t="str">
        <f t="shared" si="49"/>
        <v/>
      </c>
      <c r="O114" t="str">
        <f t="shared" si="32"/>
        <v/>
      </c>
      <c r="P114" t="str">
        <f t="shared" si="33"/>
        <v/>
      </c>
      <c r="Q114" t="str">
        <f t="shared" si="50"/>
        <v/>
      </c>
      <c r="R114" t="str">
        <f t="shared" si="51"/>
        <v/>
      </c>
      <c r="S114" t="str">
        <f t="shared" si="52"/>
        <v/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>IF($A114="","",Allocation2!Y114)</f>
        <v/>
      </c>
      <c r="X114" t="str">
        <f>IF($A114="","",Allocation2!Z114)</f>
        <v/>
      </c>
      <c r="Y114" t="str">
        <f>IF($A114="","",Allocation2!AA114)</f>
        <v/>
      </c>
      <c r="Z114" t="str">
        <f>IF($A114="","",Allocation2!AB114)</f>
        <v/>
      </c>
      <c r="AA114" t="str">
        <f>IF($A114="","",Allocation2!AC114)</f>
        <v/>
      </c>
      <c r="AB114" t="str">
        <f>IF($A114="","",Allocation2!AD114)</f>
        <v/>
      </c>
      <c r="AC114" t="str">
        <f>IF($A114="","",IF(ALLOC!$N$4="VOL_EFF",$G114,IF(ALLOC!$N$4="VOL_CLASS",$H114,$I114)))</f>
        <v/>
      </c>
      <c r="AD114" t="str">
        <f>IF($A114="","",IF(ALLOC!$N$4="VOL_EFF",$L114,IF(ALLOC!$N$4="VOL_CLASS",$M114,$N114)))</f>
        <v/>
      </c>
      <c r="AE114" t="str">
        <f>IF($A114="","",IF(ALLOC!$N$3="VOL_EFF",$L114,IF(ALLOC!$N$3="VOL_CLASS",$M114,$N114)))</f>
        <v/>
      </c>
      <c r="AF114" t="str">
        <f>IF($A114="","",IF(ALLOC!$N$3="VOL_EFF",$Q114,IF(ALLOC!$N$3="VOL_CLASS",$R114,$S114)))</f>
        <v/>
      </c>
      <c r="AG114" t="str">
        <f>IF($A114="","",IF(ALLOC!$N$1="VOL_EFF",$Q114,IF(ALLOC!$N$1="VOL_CLASS",$R114,$S114)))</f>
        <v/>
      </c>
      <c r="AH114" t="str">
        <f>IF($A114="","",IF(ALLOC!$N$1="VOL_EFF",$T114,IF(ALLOC!$N$1="VOL_CLASS",$U114,$V114)))</f>
        <v/>
      </c>
      <c r="AI114" t="str">
        <f t="shared" si="40"/>
        <v/>
      </c>
      <c r="AJ114" t="str">
        <f t="shared" si="41"/>
        <v/>
      </c>
      <c r="AK114" t="str">
        <f t="shared" si="42"/>
        <v/>
      </c>
      <c r="AL114" t="str">
        <f t="shared" si="43"/>
        <v/>
      </c>
      <c r="AM114" t="str">
        <f t="shared" si="44"/>
        <v/>
      </c>
      <c r="AN114" t="str">
        <f t="shared" si="45"/>
        <v/>
      </c>
      <c r="AO114" t="str">
        <f>IF($A114="","",Allocation2!AE114)</f>
        <v/>
      </c>
      <c r="AP114" t="str">
        <f>IF($A114="","",IF(ALLOC!$N$2="VOL_EFF",$Q114,IF(ALLOC!$N$2="VOL_CLASS",$R114,$S114)))</f>
        <v/>
      </c>
      <c r="AQ114" t="str">
        <f>IF($A114="","",IF(ALLOC!$N$2="VOL_EFF",$T114,IF(ALLOC!$N$2="VOL_CLASS",$U114,$V114)))</f>
        <v/>
      </c>
      <c r="AR114" t="str">
        <f t="shared" si="46"/>
        <v/>
      </c>
    </row>
    <row r="115" spans="1:44" x14ac:dyDescent="0.45">
      <c r="A115" t="str">
        <f>IF(Allocation2!D115="","",Allocation2!D115)</f>
        <v/>
      </c>
      <c r="B115" t="str">
        <f>IF(Allocation2!E115="","",Allocation2!E115)</f>
        <v/>
      </c>
      <c r="C115" t="str">
        <f>IF(Allocation2!F115="","",Allocation2!F115)</f>
        <v/>
      </c>
      <c r="D115" t="str">
        <f>IF(Allocation2!G115="","",Allocation2!G115)</f>
        <v/>
      </c>
      <c r="E115" t="str">
        <f>IF(Allocation2!H115="","",Allocation2!H115)</f>
        <v/>
      </c>
      <c r="F115" t="str">
        <f>IF(Allocation2!I115="","",Allocation2!I115)</f>
        <v/>
      </c>
      <c r="G115" t="str">
        <f>IF(Allocation2!E115="","",Allocation2!J115)</f>
        <v/>
      </c>
      <c r="H115" t="str">
        <f>IF(Allocation2!E115="","",Allocation2!K115)</f>
        <v/>
      </c>
      <c r="I115" t="str">
        <f>IF(Allocation2!E115="","",Allocation2!L115)</f>
        <v/>
      </c>
      <c r="J115" t="str">
        <f>IF($A115="","",Allocation2!X115)</f>
        <v/>
      </c>
      <c r="K115" t="str">
        <f t="shared" si="28"/>
        <v/>
      </c>
      <c r="L115" t="str">
        <f t="shared" si="47"/>
        <v/>
      </c>
      <c r="M115" t="str">
        <f t="shared" si="48"/>
        <v/>
      </c>
      <c r="N115" t="str">
        <f t="shared" si="49"/>
        <v/>
      </c>
      <c r="O115" t="str">
        <f t="shared" si="32"/>
        <v/>
      </c>
      <c r="P115" t="str">
        <f t="shared" si="33"/>
        <v/>
      </c>
      <c r="Q115" t="str">
        <f t="shared" si="50"/>
        <v/>
      </c>
      <c r="R115" t="str">
        <f t="shared" si="51"/>
        <v/>
      </c>
      <c r="S115" t="str">
        <f t="shared" si="52"/>
        <v/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>IF($A115="","",Allocation2!Y115)</f>
        <v/>
      </c>
      <c r="X115" t="str">
        <f>IF($A115="","",Allocation2!Z115)</f>
        <v/>
      </c>
      <c r="Y115" t="str">
        <f>IF($A115="","",Allocation2!AA115)</f>
        <v/>
      </c>
      <c r="Z115" t="str">
        <f>IF($A115="","",Allocation2!AB115)</f>
        <v/>
      </c>
      <c r="AA115" t="str">
        <f>IF($A115="","",Allocation2!AC115)</f>
        <v/>
      </c>
      <c r="AB115" t="str">
        <f>IF($A115="","",Allocation2!AD115)</f>
        <v/>
      </c>
      <c r="AC115" t="str">
        <f>IF($A115="","",IF(ALLOC!$N$4="VOL_EFF",$G115,IF(ALLOC!$N$4="VOL_CLASS",$H115,$I115)))</f>
        <v/>
      </c>
      <c r="AD115" t="str">
        <f>IF($A115="","",IF(ALLOC!$N$4="VOL_EFF",$L115,IF(ALLOC!$N$4="VOL_CLASS",$M115,$N115)))</f>
        <v/>
      </c>
      <c r="AE115" t="str">
        <f>IF($A115="","",IF(ALLOC!$N$3="VOL_EFF",$L115,IF(ALLOC!$N$3="VOL_CLASS",$M115,$N115)))</f>
        <v/>
      </c>
      <c r="AF115" t="str">
        <f>IF($A115="","",IF(ALLOC!$N$3="VOL_EFF",$Q115,IF(ALLOC!$N$3="VOL_CLASS",$R115,$S115)))</f>
        <v/>
      </c>
      <c r="AG115" t="str">
        <f>IF($A115="","",IF(ALLOC!$N$1="VOL_EFF",$Q115,IF(ALLOC!$N$1="VOL_CLASS",$R115,$S115)))</f>
        <v/>
      </c>
      <c r="AH115" t="str">
        <f>IF($A115="","",IF(ALLOC!$N$1="VOL_EFF",$T115,IF(ALLOC!$N$1="VOL_CLASS",$U115,$V115)))</f>
        <v/>
      </c>
      <c r="AI115" t="str">
        <f t="shared" si="40"/>
        <v/>
      </c>
      <c r="AJ115" t="str">
        <f t="shared" si="41"/>
        <v/>
      </c>
      <c r="AK115" t="str">
        <f t="shared" si="42"/>
        <v/>
      </c>
      <c r="AL115" t="str">
        <f t="shared" si="43"/>
        <v/>
      </c>
      <c r="AM115" t="str">
        <f t="shared" si="44"/>
        <v/>
      </c>
      <c r="AN115" t="str">
        <f t="shared" si="45"/>
        <v/>
      </c>
      <c r="AO115" t="str">
        <f>IF($A115="","",Allocation2!AE115)</f>
        <v/>
      </c>
      <c r="AP115" t="str">
        <f>IF($A115="","",IF(ALLOC!$N$2="VOL_EFF",$Q115,IF(ALLOC!$N$2="VOL_CLASS",$R115,$S115)))</f>
        <v/>
      </c>
      <c r="AQ115" t="str">
        <f>IF($A115="","",IF(ALLOC!$N$2="VOL_EFF",$T115,IF(ALLOC!$N$2="VOL_CLASS",$U115,$V115)))</f>
        <v/>
      </c>
      <c r="AR115" t="str">
        <f t="shared" si="46"/>
        <v/>
      </c>
    </row>
    <row r="116" spans="1:44" x14ac:dyDescent="0.45">
      <c r="A116" t="str">
        <f>IF(Allocation2!D116="","",Allocation2!D116)</f>
        <v/>
      </c>
      <c r="B116" t="str">
        <f>IF(Allocation2!E116="","",Allocation2!E116)</f>
        <v/>
      </c>
      <c r="C116" t="str">
        <f>IF(Allocation2!F116="","",Allocation2!F116)</f>
        <v/>
      </c>
      <c r="D116" t="str">
        <f>IF(Allocation2!G116="","",Allocation2!G116)</f>
        <v/>
      </c>
      <c r="E116" t="str">
        <f>IF(Allocation2!H116="","",Allocation2!H116)</f>
        <v/>
      </c>
      <c r="F116" t="str">
        <f>IF(Allocation2!I116="","",Allocation2!I116)</f>
        <v/>
      </c>
      <c r="G116" t="str">
        <f>IF(Allocation2!E116="","",Allocation2!J116)</f>
        <v/>
      </c>
      <c r="H116" t="str">
        <f>IF(Allocation2!E116="","",Allocation2!K116)</f>
        <v/>
      </c>
      <c r="I116" t="str">
        <f>IF(Allocation2!E116="","",Allocation2!L116)</f>
        <v/>
      </c>
      <c r="J116" t="str">
        <f>IF($A116="","",Allocation2!X116)</f>
        <v/>
      </c>
      <c r="K116" t="str">
        <f t="shared" si="28"/>
        <v/>
      </c>
      <c r="L116" t="str">
        <f t="shared" si="47"/>
        <v/>
      </c>
      <c r="M116" t="str">
        <f t="shared" si="48"/>
        <v/>
      </c>
      <c r="N116" t="str">
        <f t="shared" si="49"/>
        <v/>
      </c>
      <c r="O116" t="str">
        <f t="shared" si="32"/>
        <v/>
      </c>
      <c r="P116" t="str">
        <f t="shared" si="33"/>
        <v/>
      </c>
      <c r="Q116" t="str">
        <f t="shared" si="50"/>
        <v/>
      </c>
      <c r="R116" t="str">
        <f t="shared" si="51"/>
        <v/>
      </c>
      <c r="S116" t="str">
        <f t="shared" si="52"/>
        <v/>
      </c>
      <c r="T116" t="str">
        <f t="shared" si="53"/>
        <v/>
      </c>
      <c r="U116" t="str">
        <f t="shared" si="54"/>
        <v/>
      </c>
      <c r="V116" t="str">
        <f t="shared" si="55"/>
        <v/>
      </c>
      <c r="W116" t="str">
        <f>IF($A116="","",Allocation2!Y116)</f>
        <v/>
      </c>
      <c r="X116" t="str">
        <f>IF($A116="","",Allocation2!Z116)</f>
        <v/>
      </c>
      <c r="Y116" t="str">
        <f>IF($A116="","",Allocation2!AA116)</f>
        <v/>
      </c>
      <c r="Z116" t="str">
        <f>IF($A116="","",Allocation2!AB116)</f>
        <v/>
      </c>
      <c r="AA116" t="str">
        <f>IF($A116="","",Allocation2!AC116)</f>
        <v/>
      </c>
      <c r="AB116" t="str">
        <f>IF($A116="","",Allocation2!AD116)</f>
        <v/>
      </c>
      <c r="AC116" t="str">
        <f>IF($A116="","",IF(ALLOC!$N$4="VOL_EFF",$G116,IF(ALLOC!$N$4="VOL_CLASS",$H116,$I116)))</f>
        <v/>
      </c>
      <c r="AD116" t="str">
        <f>IF($A116="","",IF(ALLOC!$N$4="VOL_EFF",$L116,IF(ALLOC!$N$4="VOL_CLASS",$M116,$N116)))</f>
        <v/>
      </c>
      <c r="AE116" t="str">
        <f>IF($A116="","",IF(ALLOC!$N$3="VOL_EFF",$L116,IF(ALLOC!$N$3="VOL_CLASS",$M116,$N116)))</f>
        <v/>
      </c>
      <c r="AF116" t="str">
        <f>IF($A116="","",IF(ALLOC!$N$3="VOL_EFF",$Q116,IF(ALLOC!$N$3="VOL_CLASS",$R116,$S116)))</f>
        <v/>
      </c>
      <c r="AG116" t="str">
        <f>IF($A116="","",IF(ALLOC!$N$1="VOL_EFF",$Q116,IF(ALLOC!$N$1="VOL_CLASS",$R116,$S116)))</f>
        <v/>
      </c>
      <c r="AH116" t="str">
        <f>IF($A116="","",IF(ALLOC!$N$1="VOL_EFF",$T116,IF(ALLOC!$N$1="VOL_CLASS",$U116,$V116)))</f>
        <v/>
      </c>
      <c r="AI116" t="str">
        <f t="shared" si="40"/>
        <v/>
      </c>
      <c r="AJ116" t="str">
        <f t="shared" si="41"/>
        <v/>
      </c>
      <c r="AK116" t="str">
        <f t="shared" si="42"/>
        <v/>
      </c>
      <c r="AL116" t="str">
        <f t="shared" si="43"/>
        <v/>
      </c>
      <c r="AM116" t="str">
        <f t="shared" si="44"/>
        <v/>
      </c>
      <c r="AN116" t="str">
        <f t="shared" si="45"/>
        <v/>
      </c>
      <c r="AO116" t="str">
        <f>IF($A116="","",Allocation2!AE116)</f>
        <v/>
      </c>
      <c r="AP116" t="str">
        <f>IF($A116="","",IF(ALLOC!$N$2="VOL_EFF",$Q116,IF(ALLOC!$N$2="VOL_CLASS",$R116,$S116)))</f>
        <v/>
      </c>
      <c r="AQ116" t="str">
        <f>IF($A116="","",IF(ALLOC!$N$2="VOL_EFF",$T116,IF(ALLOC!$N$2="VOL_CLASS",$U116,$V116)))</f>
        <v/>
      </c>
      <c r="AR116" t="str">
        <f t="shared" si="46"/>
        <v/>
      </c>
    </row>
    <row r="117" spans="1:44" x14ac:dyDescent="0.45">
      <c r="A117" t="str">
        <f>IF(Allocation2!D117="","",Allocation2!D117)</f>
        <v/>
      </c>
      <c r="B117" t="str">
        <f>IF(Allocation2!E117="","",Allocation2!E117)</f>
        <v/>
      </c>
      <c r="C117" t="str">
        <f>IF(Allocation2!F117="","",Allocation2!F117)</f>
        <v/>
      </c>
      <c r="D117" t="str">
        <f>IF(Allocation2!G117="","",Allocation2!G117)</f>
        <v/>
      </c>
      <c r="E117" t="str">
        <f>IF(Allocation2!H117="","",Allocation2!H117)</f>
        <v/>
      </c>
      <c r="F117" t="str">
        <f>IF(Allocation2!I117="","",Allocation2!I117)</f>
        <v/>
      </c>
      <c r="G117" t="str">
        <f>IF(Allocation2!E117="","",Allocation2!J117)</f>
        <v/>
      </c>
      <c r="H117" t="str">
        <f>IF(Allocation2!E117="","",Allocation2!K117)</f>
        <v/>
      </c>
      <c r="I117" t="str">
        <f>IF(Allocation2!E117="","",Allocation2!L117)</f>
        <v/>
      </c>
      <c r="J117" t="str">
        <f>IF($A117="","",Allocation2!X117)</f>
        <v/>
      </c>
      <c r="K117" t="str">
        <f t="shared" si="28"/>
        <v/>
      </c>
      <c r="L117" t="str">
        <f t="shared" si="47"/>
        <v/>
      </c>
      <c r="M117" t="str">
        <f t="shared" si="48"/>
        <v/>
      </c>
      <c r="N117" t="str">
        <f t="shared" si="49"/>
        <v/>
      </c>
      <c r="O117" t="str">
        <f t="shared" si="32"/>
        <v/>
      </c>
      <c r="P117" t="str">
        <f t="shared" si="33"/>
        <v/>
      </c>
      <c r="Q117" t="str">
        <f t="shared" si="50"/>
        <v/>
      </c>
      <c r="R117" t="str">
        <f t="shared" si="51"/>
        <v/>
      </c>
      <c r="S117" t="str">
        <f t="shared" si="52"/>
        <v/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>IF($A117="","",Allocation2!Y117)</f>
        <v/>
      </c>
      <c r="X117" t="str">
        <f>IF($A117="","",Allocation2!Z117)</f>
        <v/>
      </c>
      <c r="Y117" t="str">
        <f>IF($A117="","",Allocation2!AA117)</f>
        <v/>
      </c>
      <c r="Z117" t="str">
        <f>IF($A117="","",Allocation2!AB117)</f>
        <v/>
      </c>
      <c r="AA117" t="str">
        <f>IF($A117="","",Allocation2!AC117)</f>
        <v/>
      </c>
      <c r="AB117" t="str">
        <f>IF($A117="","",Allocation2!AD117)</f>
        <v/>
      </c>
      <c r="AC117" t="str">
        <f>IF($A117="","",IF(ALLOC!$N$4="VOL_EFF",$G117,IF(ALLOC!$N$4="VOL_CLASS",$H117,$I117)))</f>
        <v/>
      </c>
      <c r="AD117" t="str">
        <f>IF($A117="","",IF(ALLOC!$N$4="VOL_EFF",$L117,IF(ALLOC!$N$4="VOL_CLASS",$M117,$N117)))</f>
        <v/>
      </c>
      <c r="AE117" t="str">
        <f>IF($A117="","",IF(ALLOC!$N$3="VOL_EFF",$L117,IF(ALLOC!$N$3="VOL_CLASS",$M117,$N117)))</f>
        <v/>
      </c>
      <c r="AF117" t="str">
        <f>IF($A117="","",IF(ALLOC!$N$3="VOL_EFF",$Q117,IF(ALLOC!$N$3="VOL_CLASS",$R117,$S117)))</f>
        <v/>
      </c>
      <c r="AG117" t="str">
        <f>IF($A117="","",IF(ALLOC!$N$1="VOL_EFF",$Q117,IF(ALLOC!$N$1="VOL_CLASS",$R117,$S117)))</f>
        <v/>
      </c>
      <c r="AH117" t="str">
        <f>IF($A117="","",IF(ALLOC!$N$1="VOL_EFF",$T117,IF(ALLOC!$N$1="VOL_CLASS",$U117,$V117)))</f>
        <v/>
      </c>
      <c r="AI117" t="str">
        <f t="shared" si="40"/>
        <v/>
      </c>
      <c r="AJ117" t="str">
        <f t="shared" si="41"/>
        <v/>
      </c>
      <c r="AK117" t="str">
        <f t="shared" si="42"/>
        <v/>
      </c>
      <c r="AL117" t="str">
        <f t="shared" si="43"/>
        <v/>
      </c>
      <c r="AM117" t="str">
        <f t="shared" si="44"/>
        <v/>
      </c>
      <c r="AN117" t="str">
        <f t="shared" si="45"/>
        <v/>
      </c>
      <c r="AO117" t="str">
        <f>IF($A117="","",Allocation2!AE117)</f>
        <v/>
      </c>
      <c r="AP117" t="str">
        <f>IF($A117="","",IF(ALLOC!$N$2="VOL_EFF",$Q117,IF(ALLOC!$N$2="VOL_CLASS",$R117,$S117)))</f>
        <v/>
      </c>
      <c r="AQ117" t="str">
        <f>IF($A117="","",IF(ALLOC!$N$2="VOL_EFF",$T117,IF(ALLOC!$N$2="VOL_CLASS",$U117,$V117)))</f>
        <v/>
      </c>
      <c r="AR117" t="str">
        <f t="shared" si="46"/>
        <v/>
      </c>
    </row>
    <row r="118" spans="1:44" x14ac:dyDescent="0.45">
      <c r="A118" t="str">
        <f>IF(Allocation2!D118="","",Allocation2!D118)</f>
        <v/>
      </c>
      <c r="B118" t="str">
        <f>IF(Allocation2!E118="","",Allocation2!E118)</f>
        <v/>
      </c>
      <c r="C118" t="str">
        <f>IF(Allocation2!F118="","",Allocation2!F118)</f>
        <v/>
      </c>
      <c r="D118" t="str">
        <f>IF(Allocation2!G118="","",Allocation2!G118)</f>
        <v/>
      </c>
      <c r="E118" t="str">
        <f>IF(Allocation2!H118="","",Allocation2!H118)</f>
        <v/>
      </c>
      <c r="F118" t="str">
        <f>IF(Allocation2!I118="","",Allocation2!I118)</f>
        <v/>
      </c>
      <c r="G118" t="str">
        <f>IF(Allocation2!E118="","",Allocation2!J118)</f>
        <v/>
      </c>
      <c r="H118" t="str">
        <f>IF(Allocation2!E118="","",Allocation2!K118)</f>
        <v/>
      </c>
      <c r="I118" t="str">
        <f>IF(Allocation2!E118="","",Allocation2!L118)</f>
        <v/>
      </c>
      <c r="J118" t="str">
        <f>IF($A118="","",Allocation2!X118)</f>
        <v/>
      </c>
      <c r="K118" t="str">
        <f t="shared" si="28"/>
        <v/>
      </c>
      <c r="L118" t="str">
        <f t="shared" si="47"/>
        <v/>
      </c>
      <c r="M118" t="str">
        <f t="shared" si="48"/>
        <v/>
      </c>
      <c r="N118" t="str">
        <f t="shared" si="49"/>
        <v/>
      </c>
      <c r="O118" t="str">
        <f t="shared" si="32"/>
        <v/>
      </c>
      <c r="P118" t="str">
        <f t="shared" si="33"/>
        <v/>
      </c>
      <c r="Q118" t="str">
        <f t="shared" si="50"/>
        <v/>
      </c>
      <c r="R118" t="str">
        <f t="shared" si="51"/>
        <v/>
      </c>
      <c r="S118" t="str">
        <f t="shared" si="52"/>
        <v/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>IF($A118="","",Allocation2!Y118)</f>
        <v/>
      </c>
      <c r="X118" t="str">
        <f>IF($A118="","",Allocation2!Z118)</f>
        <v/>
      </c>
      <c r="Y118" t="str">
        <f>IF($A118="","",Allocation2!AA118)</f>
        <v/>
      </c>
      <c r="Z118" t="str">
        <f>IF($A118="","",Allocation2!AB118)</f>
        <v/>
      </c>
      <c r="AA118" t="str">
        <f>IF($A118="","",Allocation2!AC118)</f>
        <v/>
      </c>
      <c r="AB118" t="str">
        <f>IF($A118="","",Allocation2!AD118)</f>
        <v/>
      </c>
      <c r="AC118" t="str">
        <f>IF($A118="","",IF(ALLOC!$N$4="VOL_EFF",$G118,IF(ALLOC!$N$4="VOL_CLASS",$H118,$I118)))</f>
        <v/>
      </c>
      <c r="AD118" t="str">
        <f>IF($A118="","",IF(ALLOC!$N$4="VOL_EFF",$L118,IF(ALLOC!$N$4="VOL_CLASS",$M118,$N118)))</f>
        <v/>
      </c>
      <c r="AE118" t="str">
        <f>IF($A118="","",IF(ALLOC!$N$3="VOL_EFF",$L118,IF(ALLOC!$N$3="VOL_CLASS",$M118,$N118)))</f>
        <v/>
      </c>
      <c r="AF118" t="str">
        <f>IF($A118="","",IF(ALLOC!$N$3="VOL_EFF",$Q118,IF(ALLOC!$N$3="VOL_CLASS",$R118,$S118)))</f>
        <v/>
      </c>
      <c r="AG118" t="str">
        <f>IF($A118="","",IF(ALLOC!$N$1="VOL_EFF",$Q118,IF(ALLOC!$N$1="VOL_CLASS",$R118,$S118)))</f>
        <v/>
      </c>
      <c r="AH118" t="str">
        <f>IF($A118="","",IF(ALLOC!$N$1="VOL_EFF",$T118,IF(ALLOC!$N$1="VOL_CLASS",$U118,$V118)))</f>
        <v/>
      </c>
      <c r="AI118" t="str">
        <f t="shared" si="40"/>
        <v/>
      </c>
      <c r="AJ118" t="str">
        <f t="shared" si="41"/>
        <v/>
      </c>
      <c r="AK118" t="str">
        <f t="shared" si="42"/>
        <v/>
      </c>
      <c r="AL118" t="str">
        <f t="shared" si="43"/>
        <v/>
      </c>
      <c r="AM118" t="str">
        <f t="shared" si="44"/>
        <v/>
      </c>
      <c r="AN118" t="str">
        <f t="shared" si="45"/>
        <v/>
      </c>
      <c r="AO118" t="str">
        <f>IF($A118="","",Allocation2!AE118)</f>
        <v/>
      </c>
      <c r="AP118" t="str">
        <f>IF($A118="","",IF(ALLOC!$N$2="VOL_EFF",$Q118,IF(ALLOC!$N$2="VOL_CLASS",$R118,$S118)))</f>
        <v/>
      </c>
      <c r="AQ118" t="str">
        <f>IF($A118="","",IF(ALLOC!$N$2="VOL_EFF",$T118,IF(ALLOC!$N$2="VOL_CLASS",$U118,$V118)))</f>
        <v/>
      </c>
      <c r="AR118" t="str">
        <f t="shared" si="46"/>
        <v/>
      </c>
    </row>
    <row r="119" spans="1:44" x14ac:dyDescent="0.45">
      <c r="A119" t="str">
        <f>IF(Allocation2!D119="","",Allocation2!D119)</f>
        <v/>
      </c>
      <c r="B119" t="str">
        <f>IF(Allocation2!E119="","",Allocation2!E119)</f>
        <v/>
      </c>
      <c r="C119" t="str">
        <f>IF(Allocation2!F119="","",Allocation2!F119)</f>
        <v/>
      </c>
      <c r="D119" t="str">
        <f>IF(Allocation2!G119="","",Allocation2!G119)</f>
        <v/>
      </c>
      <c r="E119" t="str">
        <f>IF(Allocation2!H119="","",Allocation2!H119)</f>
        <v/>
      </c>
      <c r="F119" t="str">
        <f>IF(Allocation2!I119="","",Allocation2!I119)</f>
        <v/>
      </c>
      <c r="G119" t="str">
        <f>IF(Allocation2!E119="","",Allocation2!J119)</f>
        <v/>
      </c>
      <c r="H119" t="str">
        <f>IF(Allocation2!E119="","",Allocation2!K119)</f>
        <v/>
      </c>
      <c r="I119" t="str">
        <f>IF(Allocation2!E119="","",Allocation2!L119)</f>
        <v/>
      </c>
      <c r="J119" t="str">
        <f>IF($A119="","",Allocation2!X119)</f>
        <v/>
      </c>
      <c r="K119" t="str">
        <f t="shared" si="28"/>
        <v/>
      </c>
      <c r="L119" t="str">
        <f t="shared" si="47"/>
        <v/>
      </c>
      <c r="M119" t="str">
        <f t="shared" si="48"/>
        <v/>
      </c>
      <c r="N119" t="str">
        <f t="shared" si="49"/>
        <v/>
      </c>
      <c r="O119" t="str">
        <f t="shared" si="32"/>
        <v/>
      </c>
      <c r="P119" t="str">
        <f t="shared" si="33"/>
        <v/>
      </c>
      <c r="Q119" t="str">
        <f t="shared" si="50"/>
        <v/>
      </c>
      <c r="R119" t="str">
        <f t="shared" si="51"/>
        <v/>
      </c>
      <c r="S119" t="str">
        <f t="shared" si="52"/>
        <v/>
      </c>
      <c r="T119" t="str">
        <f t="shared" si="53"/>
        <v/>
      </c>
      <c r="U119" t="str">
        <f t="shared" si="54"/>
        <v/>
      </c>
      <c r="V119" t="str">
        <f t="shared" si="55"/>
        <v/>
      </c>
      <c r="W119" t="str">
        <f>IF($A119="","",Allocation2!Y119)</f>
        <v/>
      </c>
      <c r="X119" t="str">
        <f>IF($A119="","",Allocation2!Z119)</f>
        <v/>
      </c>
      <c r="Y119" t="str">
        <f>IF($A119="","",Allocation2!AA119)</f>
        <v/>
      </c>
      <c r="Z119" t="str">
        <f>IF($A119="","",Allocation2!AB119)</f>
        <v/>
      </c>
      <c r="AA119" t="str">
        <f>IF($A119="","",Allocation2!AC119)</f>
        <v/>
      </c>
      <c r="AB119" t="str">
        <f>IF($A119="","",Allocation2!AD119)</f>
        <v/>
      </c>
      <c r="AC119" t="str">
        <f>IF($A119="","",IF(ALLOC!$N$4="VOL_EFF",$G119,IF(ALLOC!$N$4="VOL_CLASS",$H119,$I119)))</f>
        <v/>
      </c>
      <c r="AD119" t="str">
        <f>IF($A119="","",IF(ALLOC!$N$4="VOL_EFF",$L119,IF(ALLOC!$N$4="VOL_CLASS",$M119,$N119)))</f>
        <v/>
      </c>
      <c r="AE119" t="str">
        <f>IF($A119="","",IF(ALLOC!$N$3="VOL_EFF",$L119,IF(ALLOC!$N$3="VOL_CLASS",$M119,$N119)))</f>
        <v/>
      </c>
      <c r="AF119" t="str">
        <f>IF($A119="","",IF(ALLOC!$N$3="VOL_EFF",$Q119,IF(ALLOC!$N$3="VOL_CLASS",$R119,$S119)))</f>
        <v/>
      </c>
      <c r="AG119" t="str">
        <f>IF($A119="","",IF(ALLOC!$N$1="VOL_EFF",$Q119,IF(ALLOC!$N$1="VOL_CLASS",$R119,$S119)))</f>
        <v/>
      </c>
      <c r="AH119" t="str">
        <f>IF($A119="","",IF(ALLOC!$N$1="VOL_EFF",$T119,IF(ALLOC!$N$1="VOL_CLASS",$U119,$V119)))</f>
        <v/>
      </c>
      <c r="AI119" t="str">
        <f t="shared" si="40"/>
        <v/>
      </c>
      <c r="AJ119" t="str">
        <f t="shared" si="41"/>
        <v/>
      </c>
      <c r="AK119" t="str">
        <f t="shared" si="42"/>
        <v/>
      </c>
      <c r="AL119" t="str">
        <f t="shared" si="43"/>
        <v/>
      </c>
      <c r="AM119" t="str">
        <f t="shared" si="44"/>
        <v/>
      </c>
      <c r="AN119" t="str">
        <f t="shared" si="45"/>
        <v/>
      </c>
      <c r="AO119" t="str">
        <f>IF($A119="","",Allocation2!AE119)</f>
        <v/>
      </c>
      <c r="AP119" t="str">
        <f>IF($A119="","",IF(ALLOC!$N$2="VOL_EFF",$Q119,IF(ALLOC!$N$2="VOL_CLASS",$R119,$S119)))</f>
        <v/>
      </c>
      <c r="AQ119" t="str">
        <f>IF($A119="","",IF(ALLOC!$N$2="VOL_EFF",$T119,IF(ALLOC!$N$2="VOL_CLASS",$U119,$V119)))</f>
        <v/>
      </c>
      <c r="AR119" t="str">
        <f t="shared" si="46"/>
        <v/>
      </c>
    </row>
    <row r="120" spans="1:44" x14ac:dyDescent="0.45">
      <c r="A120" t="str">
        <f>IF(Allocation2!D120="","",Allocation2!D120)</f>
        <v/>
      </c>
      <c r="B120" t="str">
        <f>IF(Allocation2!E120="","",Allocation2!E120)</f>
        <v/>
      </c>
      <c r="C120" t="str">
        <f>IF(Allocation2!F120="","",Allocation2!F120)</f>
        <v/>
      </c>
      <c r="D120" t="str">
        <f>IF(Allocation2!G120="","",Allocation2!G120)</f>
        <v/>
      </c>
      <c r="E120" t="str">
        <f>IF(Allocation2!H120="","",Allocation2!H120)</f>
        <v/>
      </c>
      <c r="F120" t="str">
        <f>IF(Allocation2!I120="","",Allocation2!I120)</f>
        <v/>
      </c>
      <c r="G120" t="str">
        <f>IF(Allocation2!E120="","",Allocation2!J120)</f>
        <v/>
      </c>
      <c r="H120" t="str">
        <f>IF(Allocation2!E120="","",Allocation2!K120)</f>
        <v/>
      </c>
      <c r="I120" t="str">
        <f>IF(Allocation2!E120="","",Allocation2!L120)</f>
        <v/>
      </c>
      <c r="J120" t="str">
        <f>IF($A120="","",Allocation2!X120)</f>
        <v/>
      </c>
      <c r="K120" t="str">
        <f t="shared" si="28"/>
        <v/>
      </c>
      <c r="L120" t="str">
        <f t="shared" si="47"/>
        <v/>
      </c>
      <c r="M120" t="str">
        <f t="shared" si="48"/>
        <v/>
      </c>
      <c r="N120" t="str">
        <f t="shared" si="49"/>
        <v/>
      </c>
      <c r="O120" t="str">
        <f t="shared" si="32"/>
        <v/>
      </c>
      <c r="P120" t="str">
        <f t="shared" si="33"/>
        <v/>
      </c>
      <c r="Q120" t="str">
        <f t="shared" si="50"/>
        <v/>
      </c>
      <c r="R120" t="str">
        <f t="shared" si="51"/>
        <v/>
      </c>
      <c r="S120" t="str">
        <f t="shared" si="52"/>
        <v/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>IF($A120="","",Allocation2!Y120)</f>
        <v/>
      </c>
      <c r="X120" t="str">
        <f>IF($A120="","",Allocation2!Z120)</f>
        <v/>
      </c>
      <c r="Y120" t="str">
        <f>IF($A120="","",Allocation2!AA120)</f>
        <v/>
      </c>
      <c r="Z120" t="str">
        <f>IF($A120="","",Allocation2!AB120)</f>
        <v/>
      </c>
      <c r="AA120" t="str">
        <f>IF($A120="","",Allocation2!AC120)</f>
        <v/>
      </c>
      <c r="AB120" t="str">
        <f>IF($A120="","",Allocation2!AD120)</f>
        <v/>
      </c>
      <c r="AC120" t="str">
        <f>IF($A120="","",IF(ALLOC!$N$4="VOL_EFF",$G120,IF(ALLOC!$N$4="VOL_CLASS",$H120,$I120)))</f>
        <v/>
      </c>
      <c r="AD120" t="str">
        <f>IF($A120="","",IF(ALLOC!$N$4="VOL_EFF",$L120,IF(ALLOC!$N$4="VOL_CLASS",$M120,$N120)))</f>
        <v/>
      </c>
      <c r="AE120" t="str">
        <f>IF($A120="","",IF(ALLOC!$N$3="VOL_EFF",$L120,IF(ALLOC!$N$3="VOL_CLASS",$M120,$N120)))</f>
        <v/>
      </c>
      <c r="AF120" t="str">
        <f>IF($A120="","",IF(ALLOC!$N$3="VOL_EFF",$Q120,IF(ALLOC!$N$3="VOL_CLASS",$R120,$S120)))</f>
        <v/>
      </c>
      <c r="AG120" t="str">
        <f>IF($A120="","",IF(ALLOC!$N$1="VOL_EFF",$Q120,IF(ALLOC!$N$1="VOL_CLASS",$R120,$S120)))</f>
        <v/>
      </c>
      <c r="AH120" t="str">
        <f>IF($A120="","",IF(ALLOC!$N$1="VOL_EFF",$T120,IF(ALLOC!$N$1="VOL_CLASS",$U120,$V120)))</f>
        <v/>
      </c>
      <c r="AI120" t="str">
        <f t="shared" si="40"/>
        <v/>
      </c>
      <c r="AJ120" t="str">
        <f t="shared" si="41"/>
        <v/>
      </c>
      <c r="AK120" t="str">
        <f t="shared" si="42"/>
        <v/>
      </c>
      <c r="AL120" t="str">
        <f t="shared" si="43"/>
        <v/>
      </c>
      <c r="AM120" t="str">
        <f t="shared" si="44"/>
        <v/>
      </c>
      <c r="AN120" t="str">
        <f t="shared" si="45"/>
        <v/>
      </c>
      <c r="AO120" t="str">
        <f>IF($A120="","",Allocation2!AE120)</f>
        <v/>
      </c>
      <c r="AP120" t="str">
        <f>IF($A120="","",IF(ALLOC!$N$2="VOL_EFF",$Q120,IF(ALLOC!$N$2="VOL_CLASS",$R120,$S120)))</f>
        <v/>
      </c>
      <c r="AQ120" t="str">
        <f>IF($A120="","",IF(ALLOC!$N$2="VOL_EFF",$T120,IF(ALLOC!$N$2="VOL_CLASS",$U120,$V120)))</f>
        <v/>
      </c>
      <c r="AR120" t="str">
        <f t="shared" si="46"/>
        <v/>
      </c>
    </row>
    <row r="121" spans="1:44" x14ac:dyDescent="0.45">
      <c r="A121" t="str">
        <f>IF(Allocation2!D121="","",Allocation2!D121)</f>
        <v/>
      </c>
      <c r="B121" t="str">
        <f>IF(Allocation2!E121="","",Allocation2!E121)</f>
        <v/>
      </c>
      <c r="C121" t="str">
        <f>IF(Allocation2!F121="","",Allocation2!F121)</f>
        <v/>
      </c>
      <c r="D121" t="str">
        <f>IF(Allocation2!G121="","",Allocation2!G121)</f>
        <v/>
      </c>
      <c r="E121" t="str">
        <f>IF(Allocation2!H121="","",Allocation2!H121)</f>
        <v/>
      </c>
      <c r="F121" t="str">
        <f>IF(Allocation2!I121="","",Allocation2!I121)</f>
        <v/>
      </c>
      <c r="G121" t="str">
        <f>IF(Allocation2!E121="","",Allocation2!J121)</f>
        <v/>
      </c>
      <c r="H121" t="str">
        <f>IF(Allocation2!E121="","",Allocation2!K121)</f>
        <v/>
      </c>
      <c r="I121" t="str">
        <f>IF(Allocation2!E121="","",Allocation2!L121)</f>
        <v/>
      </c>
      <c r="J121" t="str">
        <f>IF($A121="","",Allocation2!X121)</f>
        <v/>
      </c>
      <c r="K121" t="str">
        <f t="shared" si="28"/>
        <v/>
      </c>
      <c r="L121" t="str">
        <f t="shared" si="47"/>
        <v/>
      </c>
      <c r="M121" t="str">
        <f t="shared" si="48"/>
        <v/>
      </c>
      <c r="N121" t="str">
        <f t="shared" si="49"/>
        <v/>
      </c>
      <c r="O121" t="str">
        <f t="shared" si="32"/>
        <v/>
      </c>
      <c r="P121" t="str">
        <f t="shared" si="33"/>
        <v/>
      </c>
      <c r="Q121" t="str">
        <f t="shared" si="50"/>
        <v/>
      </c>
      <c r="R121" t="str">
        <f t="shared" si="51"/>
        <v/>
      </c>
      <c r="S121" t="str">
        <f t="shared" si="52"/>
        <v/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>IF($A121="","",Allocation2!Y121)</f>
        <v/>
      </c>
      <c r="X121" t="str">
        <f>IF($A121="","",Allocation2!Z121)</f>
        <v/>
      </c>
      <c r="Y121" t="str">
        <f>IF($A121="","",Allocation2!AA121)</f>
        <v/>
      </c>
      <c r="Z121" t="str">
        <f>IF($A121="","",Allocation2!AB121)</f>
        <v/>
      </c>
      <c r="AA121" t="str">
        <f>IF($A121="","",Allocation2!AC121)</f>
        <v/>
      </c>
      <c r="AB121" t="str">
        <f>IF($A121="","",Allocation2!AD121)</f>
        <v/>
      </c>
      <c r="AC121" t="str">
        <f>IF($A121="","",IF(ALLOC!$N$4="VOL_EFF",$G121,IF(ALLOC!$N$4="VOL_CLASS",$H121,$I121)))</f>
        <v/>
      </c>
      <c r="AD121" t="str">
        <f>IF($A121="","",IF(ALLOC!$N$4="VOL_EFF",$L121,IF(ALLOC!$N$4="VOL_CLASS",$M121,$N121)))</f>
        <v/>
      </c>
      <c r="AE121" t="str">
        <f>IF($A121="","",IF(ALLOC!$N$3="VOL_EFF",$L121,IF(ALLOC!$N$3="VOL_CLASS",$M121,$N121)))</f>
        <v/>
      </c>
      <c r="AF121" t="str">
        <f>IF($A121="","",IF(ALLOC!$N$3="VOL_EFF",$Q121,IF(ALLOC!$N$3="VOL_CLASS",$R121,$S121)))</f>
        <v/>
      </c>
      <c r="AG121" t="str">
        <f>IF($A121="","",IF(ALLOC!$N$1="VOL_EFF",$Q121,IF(ALLOC!$N$1="VOL_CLASS",$R121,$S121)))</f>
        <v/>
      </c>
      <c r="AH121" t="str">
        <f>IF($A121="","",IF(ALLOC!$N$1="VOL_EFF",$T121,IF(ALLOC!$N$1="VOL_CLASS",$U121,$V121)))</f>
        <v/>
      </c>
      <c r="AI121" t="str">
        <f t="shared" si="40"/>
        <v/>
      </c>
      <c r="AJ121" t="str">
        <f t="shared" si="41"/>
        <v/>
      </c>
      <c r="AK121" t="str">
        <f t="shared" si="42"/>
        <v/>
      </c>
      <c r="AL121" t="str">
        <f t="shared" si="43"/>
        <v/>
      </c>
      <c r="AM121" t="str">
        <f t="shared" si="44"/>
        <v/>
      </c>
      <c r="AN121" t="str">
        <f t="shared" si="45"/>
        <v/>
      </c>
      <c r="AO121" t="str">
        <f>IF($A121="","",Allocation2!AE121)</f>
        <v/>
      </c>
      <c r="AP121" t="str">
        <f>IF($A121="","",IF(ALLOC!$N$2="VOL_EFF",$Q121,IF(ALLOC!$N$2="VOL_CLASS",$R121,$S121)))</f>
        <v/>
      </c>
      <c r="AQ121" t="str">
        <f>IF($A121="","",IF(ALLOC!$N$2="VOL_EFF",$T121,IF(ALLOC!$N$2="VOL_CLASS",$U121,$V121)))</f>
        <v/>
      </c>
      <c r="AR121" t="str">
        <f t="shared" si="46"/>
        <v/>
      </c>
    </row>
    <row r="122" spans="1:44" x14ac:dyDescent="0.45">
      <c r="A122" t="str">
        <f>IF(Allocation2!D122="","",Allocation2!D122)</f>
        <v/>
      </c>
      <c r="B122" t="str">
        <f>IF(Allocation2!E122="","",Allocation2!E122)</f>
        <v/>
      </c>
      <c r="C122" t="str">
        <f>IF(Allocation2!F122="","",Allocation2!F122)</f>
        <v/>
      </c>
      <c r="D122" t="str">
        <f>IF(Allocation2!G122="","",Allocation2!G122)</f>
        <v/>
      </c>
      <c r="E122" t="str">
        <f>IF(Allocation2!H122="","",Allocation2!H122)</f>
        <v/>
      </c>
      <c r="F122" t="str">
        <f>IF(Allocation2!I122="","",Allocation2!I122)</f>
        <v/>
      </c>
      <c r="G122" t="str">
        <f>IF(Allocation2!E122="","",Allocation2!J122)</f>
        <v/>
      </c>
      <c r="H122" t="str">
        <f>IF(Allocation2!E122="","",Allocation2!K122)</f>
        <v/>
      </c>
      <c r="I122" t="str">
        <f>IF(Allocation2!E122="","",Allocation2!L122)</f>
        <v/>
      </c>
      <c r="J122" t="str">
        <f>IF($A122="","",Allocation2!X122)</f>
        <v/>
      </c>
      <c r="K122" t="str">
        <f t="shared" si="28"/>
        <v/>
      </c>
      <c r="L122" t="str">
        <f t="shared" si="47"/>
        <v/>
      </c>
      <c r="M122" t="str">
        <f t="shared" si="48"/>
        <v/>
      </c>
      <c r="N122" t="str">
        <f t="shared" si="49"/>
        <v/>
      </c>
      <c r="O122" t="str">
        <f t="shared" si="32"/>
        <v/>
      </c>
      <c r="P122" t="str">
        <f t="shared" si="33"/>
        <v/>
      </c>
      <c r="Q122" t="str">
        <f t="shared" si="50"/>
        <v/>
      </c>
      <c r="R122" t="str">
        <f t="shared" si="51"/>
        <v/>
      </c>
      <c r="S122" t="str">
        <f t="shared" si="52"/>
        <v/>
      </c>
      <c r="T122" t="str">
        <f t="shared" si="53"/>
        <v/>
      </c>
      <c r="U122" t="str">
        <f t="shared" si="54"/>
        <v/>
      </c>
      <c r="V122" t="str">
        <f t="shared" si="55"/>
        <v/>
      </c>
      <c r="W122" t="str">
        <f>IF($A122="","",Allocation2!Y122)</f>
        <v/>
      </c>
      <c r="X122" t="str">
        <f>IF($A122="","",Allocation2!Z122)</f>
        <v/>
      </c>
      <c r="Y122" t="str">
        <f>IF($A122="","",Allocation2!AA122)</f>
        <v/>
      </c>
      <c r="Z122" t="str">
        <f>IF($A122="","",Allocation2!AB122)</f>
        <v/>
      </c>
      <c r="AA122" t="str">
        <f>IF($A122="","",Allocation2!AC122)</f>
        <v/>
      </c>
      <c r="AB122" t="str">
        <f>IF($A122="","",Allocation2!AD122)</f>
        <v/>
      </c>
      <c r="AC122" t="str">
        <f>IF($A122="","",IF(ALLOC!$N$4="VOL_EFF",$G122,IF(ALLOC!$N$4="VOL_CLASS",$H122,$I122)))</f>
        <v/>
      </c>
      <c r="AD122" t="str">
        <f>IF($A122="","",IF(ALLOC!$N$4="VOL_EFF",$L122,IF(ALLOC!$N$4="VOL_CLASS",$M122,$N122)))</f>
        <v/>
      </c>
      <c r="AE122" t="str">
        <f>IF($A122="","",IF(ALLOC!$N$3="VOL_EFF",$L122,IF(ALLOC!$N$3="VOL_CLASS",$M122,$N122)))</f>
        <v/>
      </c>
      <c r="AF122" t="str">
        <f>IF($A122="","",IF(ALLOC!$N$3="VOL_EFF",$Q122,IF(ALLOC!$N$3="VOL_CLASS",$R122,$S122)))</f>
        <v/>
      </c>
      <c r="AG122" t="str">
        <f>IF($A122="","",IF(ALLOC!$N$1="VOL_EFF",$Q122,IF(ALLOC!$N$1="VOL_CLASS",$R122,$S122)))</f>
        <v/>
      </c>
      <c r="AH122" t="str">
        <f>IF($A122="","",IF(ALLOC!$N$1="VOL_EFF",$T122,IF(ALLOC!$N$1="VOL_CLASS",$U122,$V122)))</f>
        <v/>
      </c>
      <c r="AI122" t="str">
        <f t="shared" si="40"/>
        <v/>
      </c>
      <c r="AJ122" t="str">
        <f t="shared" si="41"/>
        <v/>
      </c>
      <c r="AK122" t="str">
        <f t="shared" si="42"/>
        <v/>
      </c>
      <c r="AL122" t="str">
        <f t="shared" si="43"/>
        <v/>
      </c>
      <c r="AM122" t="str">
        <f t="shared" si="44"/>
        <v/>
      </c>
      <c r="AN122" t="str">
        <f t="shared" si="45"/>
        <v/>
      </c>
      <c r="AO122" t="str">
        <f>IF($A122="","",Allocation2!AE122)</f>
        <v/>
      </c>
      <c r="AP122" t="str">
        <f>IF($A122="","",IF(ALLOC!$N$2="VOL_EFF",$Q122,IF(ALLOC!$N$2="VOL_CLASS",$R122,$S122)))</f>
        <v/>
      </c>
      <c r="AQ122" t="str">
        <f>IF($A122="","",IF(ALLOC!$N$2="VOL_EFF",$T122,IF(ALLOC!$N$2="VOL_CLASS",$U122,$V122)))</f>
        <v/>
      </c>
      <c r="AR122" t="str">
        <f t="shared" si="46"/>
        <v/>
      </c>
    </row>
    <row r="123" spans="1:44" x14ac:dyDescent="0.45">
      <c r="A123" t="str">
        <f>IF(Allocation2!D123="","",Allocation2!D123)</f>
        <v/>
      </c>
      <c r="B123" t="str">
        <f>IF(Allocation2!E123="","",Allocation2!E123)</f>
        <v/>
      </c>
      <c r="C123" t="str">
        <f>IF(Allocation2!F123="","",Allocation2!F123)</f>
        <v/>
      </c>
      <c r="D123" t="str">
        <f>IF(Allocation2!G123="","",Allocation2!G123)</f>
        <v/>
      </c>
      <c r="E123" t="str">
        <f>IF(Allocation2!H123="","",Allocation2!H123)</f>
        <v/>
      </c>
      <c r="F123" t="str">
        <f>IF(Allocation2!I123="","",Allocation2!I123)</f>
        <v/>
      </c>
      <c r="G123" t="str">
        <f>IF(Allocation2!E123="","",Allocation2!J123)</f>
        <v/>
      </c>
      <c r="H123" t="str">
        <f>IF(Allocation2!E123="","",Allocation2!K123)</f>
        <v/>
      </c>
      <c r="I123" t="str">
        <f>IF(Allocation2!E123="","",Allocation2!L123)</f>
        <v/>
      </c>
      <c r="J123" t="str">
        <f>IF($A123="","",Allocation2!X123)</f>
        <v/>
      </c>
      <c r="K123" t="str">
        <f t="shared" si="28"/>
        <v/>
      </c>
      <c r="L123" t="str">
        <f t="shared" si="47"/>
        <v/>
      </c>
      <c r="M123" t="str">
        <f t="shared" si="48"/>
        <v/>
      </c>
      <c r="N123" t="str">
        <f t="shared" si="49"/>
        <v/>
      </c>
      <c r="O123" t="str">
        <f t="shared" si="32"/>
        <v/>
      </c>
      <c r="P123" t="str">
        <f t="shared" si="33"/>
        <v/>
      </c>
      <c r="Q123" t="str">
        <f t="shared" si="50"/>
        <v/>
      </c>
      <c r="R123" t="str">
        <f t="shared" si="51"/>
        <v/>
      </c>
      <c r="S123" t="str">
        <f t="shared" si="52"/>
        <v/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>IF($A123="","",Allocation2!Y123)</f>
        <v/>
      </c>
      <c r="X123" t="str">
        <f>IF($A123="","",Allocation2!Z123)</f>
        <v/>
      </c>
      <c r="Y123" t="str">
        <f>IF($A123="","",Allocation2!AA123)</f>
        <v/>
      </c>
      <c r="Z123" t="str">
        <f>IF($A123="","",Allocation2!AB123)</f>
        <v/>
      </c>
      <c r="AA123" t="str">
        <f>IF($A123="","",Allocation2!AC123)</f>
        <v/>
      </c>
      <c r="AB123" t="str">
        <f>IF($A123="","",Allocation2!AD123)</f>
        <v/>
      </c>
      <c r="AC123" t="str">
        <f>IF($A123="","",IF(ALLOC!$N$4="VOL_EFF",$G123,IF(ALLOC!$N$4="VOL_CLASS",$H123,$I123)))</f>
        <v/>
      </c>
      <c r="AD123" t="str">
        <f>IF($A123="","",IF(ALLOC!$N$4="VOL_EFF",$L123,IF(ALLOC!$N$4="VOL_CLASS",$M123,$N123)))</f>
        <v/>
      </c>
      <c r="AE123" t="str">
        <f>IF($A123="","",IF(ALLOC!$N$3="VOL_EFF",$L123,IF(ALLOC!$N$3="VOL_CLASS",$M123,$N123)))</f>
        <v/>
      </c>
      <c r="AF123" t="str">
        <f>IF($A123="","",IF(ALLOC!$N$3="VOL_EFF",$Q123,IF(ALLOC!$N$3="VOL_CLASS",$R123,$S123)))</f>
        <v/>
      </c>
      <c r="AG123" t="str">
        <f>IF($A123="","",IF(ALLOC!$N$1="VOL_EFF",$Q123,IF(ALLOC!$N$1="VOL_CLASS",$R123,$S123)))</f>
        <v/>
      </c>
      <c r="AH123" t="str">
        <f>IF($A123="","",IF(ALLOC!$N$1="VOL_EFF",$T123,IF(ALLOC!$N$1="VOL_CLASS",$U123,$V123)))</f>
        <v/>
      </c>
      <c r="AI123" t="str">
        <f t="shared" si="40"/>
        <v/>
      </c>
      <c r="AJ123" t="str">
        <f t="shared" si="41"/>
        <v/>
      </c>
      <c r="AK123" t="str">
        <f t="shared" si="42"/>
        <v/>
      </c>
      <c r="AL123" t="str">
        <f t="shared" si="43"/>
        <v/>
      </c>
      <c r="AM123" t="str">
        <f t="shared" si="44"/>
        <v/>
      </c>
      <c r="AN123" t="str">
        <f t="shared" si="45"/>
        <v/>
      </c>
      <c r="AO123" t="str">
        <f>IF($A123="","",Allocation2!AE123)</f>
        <v/>
      </c>
      <c r="AP123" t="str">
        <f>IF($A123="","",IF(ALLOC!$N$2="VOL_EFF",$Q123,IF(ALLOC!$N$2="VOL_CLASS",$R123,$S123)))</f>
        <v/>
      </c>
      <c r="AQ123" t="str">
        <f>IF($A123="","",IF(ALLOC!$N$2="VOL_EFF",$T123,IF(ALLOC!$N$2="VOL_CLASS",$U123,$V123)))</f>
        <v/>
      </c>
      <c r="AR123" t="str">
        <f t="shared" si="46"/>
        <v/>
      </c>
    </row>
    <row r="124" spans="1:44" x14ac:dyDescent="0.45">
      <c r="A124" t="str">
        <f>IF(Allocation2!D124="","",Allocation2!D124)</f>
        <v/>
      </c>
      <c r="B124" t="str">
        <f>IF(Allocation2!E124="","",Allocation2!E124)</f>
        <v/>
      </c>
      <c r="C124" t="str">
        <f>IF(Allocation2!F124="","",Allocation2!F124)</f>
        <v/>
      </c>
      <c r="D124" t="str">
        <f>IF(Allocation2!G124="","",Allocation2!G124)</f>
        <v/>
      </c>
      <c r="E124" t="str">
        <f>IF(Allocation2!H124="","",Allocation2!H124)</f>
        <v/>
      </c>
      <c r="F124" t="str">
        <f>IF(Allocation2!I124="","",Allocation2!I124)</f>
        <v/>
      </c>
      <c r="G124" t="str">
        <f>IF(Allocation2!E124="","",Allocation2!J124)</f>
        <v/>
      </c>
      <c r="H124" t="str">
        <f>IF(Allocation2!E124="","",Allocation2!K124)</f>
        <v/>
      </c>
      <c r="I124" t="str">
        <f>IF(Allocation2!E124="","",Allocation2!L124)</f>
        <v/>
      </c>
      <c r="J124" t="str">
        <f>IF($A124="","",Allocation2!X124)</f>
        <v/>
      </c>
      <c r="K124" t="str">
        <f t="shared" si="28"/>
        <v/>
      </c>
      <c r="L124" t="str">
        <f t="shared" si="47"/>
        <v/>
      </c>
      <c r="M124" t="str">
        <f t="shared" si="48"/>
        <v/>
      </c>
      <c r="N124" t="str">
        <f t="shared" si="49"/>
        <v/>
      </c>
      <c r="O124" t="str">
        <f t="shared" si="32"/>
        <v/>
      </c>
      <c r="P124" t="str">
        <f t="shared" si="33"/>
        <v/>
      </c>
      <c r="Q124" t="str">
        <f t="shared" si="50"/>
        <v/>
      </c>
      <c r="R124" t="str">
        <f t="shared" si="51"/>
        <v/>
      </c>
      <c r="S124" t="str">
        <f t="shared" si="52"/>
        <v/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>IF($A124="","",Allocation2!Y124)</f>
        <v/>
      </c>
      <c r="X124" t="str">
        <f>IF($A124="","",Allocation2!Z124)</f>
        <v/>
      </c>
      <c r="Y124" t="str">
        <f>IF($A124="","",Allocation2!AA124)</f>
        <v/>
      </c>
      <c r="Z124" t="str">
        <f>IF($A124="","",Allocation2!AB124)</f>
        <v/>
      </c>
      <c r="AA124" t="str">
        <f>IF($A124="","",Allocation2!AC124)</f>
        <v/>
      </c>
      <c r="AB124" t="str">
        <f>IF($A124="","",Allocation2!AD124)</f>
        <v/>
      </c>
      <c r="AC124" t="str">
        <f>IF($A124="","",IF(ALLOC!$N$4="VOL_EFF",$G124,IF(ALLOC!$N$4="VOL_CLASS",$H124,$I124)))</f>
        <v/>
      </c>
      <c r="AD124" t="str">
        <f>IF($A124="","",IF(ALLOC!$N$4="VOL_EFF",$L124,IF(ALLOC!$N$4="VOL_CLASS",$M124,$N124)))</f>
        <v/>
      </c>
      <c r="AE124" t="str">
        <f>IF($A124="","",IF(ALLOC!$N$3="VOL_EFF",$L124,IF(ALLOC!$N$3="VOL_CLASS",$M124,$N124)))</f>
        <v/>
      </c>
      <c r="AF124" t="str">
        <f>IF($A124="","",IF(ALLOC!$N$3="VOL_EFF",$Q124,IF(ALLOC!$N$3="VOL_CLASS",$R124,$S124)))</f>
        <v/>
      </c>
      <c r="AG124" t="str">
        <f>IF($A124="","",IF(ALLOC!$N$1="VOL_EFF",$Q124,IF(ALLOC!$N$1="VOL_CLASS",$R124,$S124)))</f>
        <v/>
      </c>
      <c r="AH124" t="str">
        <f>IF($A124="","",IF(ALLOC!$N$1="VOL_EFF",$T124,IF(ALLOC!$N$1="VOL_CLASS",$U124,$V124)))</f>
        <v/>
      </c>
      <c r="AI124" t="str">
        <f t="shared" si="40"/>
        <v/>
      </c>
      <c r="AJ124" t="str">
        <f t="shared" si="41"/>
        <v/>
      </c>
      <c r="AK124" t="str">
        <f t="shared" si="42"/>
        <v/>
      </c>
      <c r="AL124" t="str">
        <f t="shared" si="43"/>
        <v/>
      </c>
      <c r="AM124" t="str">
        <f t="shared" si="44"/>
        <v/>
      </c>
      <c r="AN124" t="str">
        <f t="shared" si="45"/>
        <v/>
      </c>
      <c r="AO124" t="str">
        <f>IF($A124="","",Allocation2!AE124)</f>
        <v/>
      </c>
      <c r="AP124" t="str">
        <f>IF($A124="","",IF(ALLOC!$N$2="VOL_EFF",$Q124,IF(ALLOC!$N$2="VOL_CLASS",$R124,$S124)))</f>
        <v/>
      </c>
      <c r="AQ124" t="str">
        <f>IF($A124="","",IF(ALLOC!$N$2="VOL_EFF",$T124,IF(ALLOC!$N$2="VOL_CLASS",$U124,$V124)))</f>
        <v/>
      </c>
      <c r="AR124" t="str">
        <f t="shared" si="46"/>
        <v/>
      </c>
    </row>
    <row r="125" spans="1:44" x14ac:dyDescent="0.45">
      <c r="A125" t="str">
        <f>IF(Allocation2!D125="","",Allocation2!D125)</f>
        <v/>
      </c>
      <c r="B125" t="str">
        <f>IF(Allocation2!E125="","",Allocation2!E125)</f>
        <v/>
      </c>
      <c r="C125" t="str">
        <f>IF(Allocation2!F125="","",Allocation2!F125)</f>
        <v/>
      </c>
      <c r="D125" t="str">
        <f>IF(Allocation2!G125="","",Allocation2!G125)</f>
        <v/>
      </c>
      <c r="E125" t="str">
        <f>IF(Allocation2!H125="","",Allocation2!H125)</f>
        <v/>
      </c>
      <c r="F125" t="str">
        <f>IF(Allocation2!I125="","",Allocation2!I125)</f>
        <v/>
      </c>
      <c r="G125" t="str">
        <f>IF(Allocation2!E125="","",Allocation2!J125)</f>
        <v/>
      </c>
      <c r="H125" t="str">
        <f>IF(Allocation2!E125="","",Allocation2!K125)</f>
        <v/>
      </c>
      <c r="I125" t="str">
        <f>IF(Allocation2!E125="","",Allocation2!L125)</f>
        <v/>
      </c>
      <c r="J125" t="str">
        <f>IF($A125="","",Allocation2!X125)</f>
        <v/>
      </c>
      <c r="K125" t="str">
        <f t="shared" si="28"/>
        <v/>
      </c>
      <c r="L125" t="str">
        <f t="shared" si="47"/>
        <v/>
      </c>
      <c r="M125" t="str">
        <f t="shared" si="48"/>
        <v/>
      </c>
      <c r="N125" t="str">
        <f t="shared" si="49"/>
        <v/>
      </c>
      <c r="O125" t="str">
        <f t="shared" si="32"/>
        <v/>
      </c>
      <c r="P125" t="str">
        <f t="shared" si="33"/>
        <v/>
      </c>
      <c r="Q125" t="str">
        <f t="shared" si="50"/>
        <v/>
      </c>
      <c r="R125" t="str">
        <f t="shared" si="51"/>
        <v/>
      </c>
      <c r="S125" t="str">
        <f t="shared" si="52"/>
        <v/>
      </c>
      <c r="T125" t="str">
        <f t="shared" si="53"/>
        <v/>
      </c>
      <c r="U125" t="str">
        <f t="shared" si="54"/>
        <v/>
      </c>
      <c r="V125" t="str">
        <f t="shared" si="55"/>
        <v/>
      </c>
      <c r="W125" t="str">
        <f>IF($A125="","",Allocation2!Y125)</f>
        <v/>
      </c>
      <c r="X125" t="str">
        <f>IF($A125="","",Allocation2!Z125)</f>
        <v/>
      </c>
      <c r="Y125" t="str">
        <f>IF($A125="","",Allocation2!AA125)</f>
        <v/>
      </c>
      <c r="Z125" t="str">
        <f>IF($A125="","",Allocation2!AB125)</f>
        <v/>
      </c>
      <c r="AA125" t="str">
        <f>IF($A125="","",Allocation2!AC125)</f>
        <v/>
      </c>
      <c r="AB125" t="str">
        <f>IF($A125="","",Allocation2!AD125)</f>
        <v/>
      </c>
      <c r="AC125" t="str">
        <f>IF($A125="","",IF(ALLOC!$N$4="VOL_EFF",$G125,IF(ALLOC!$N$4="VOL_CLASS",$H125,$I125)))</f>
        <v/>
      </c>
      <c r="AD125" t="str">
        <f>IF($A125="","",IF(ALLOC!$N$4="VOL_EFF",$L125,IF(ALLOC!$N$4="VOL_CLASS",$M125,$N125)))</f>
        <v/>
      </c>
      <c r="AE125" t="str">
        <f>IF($A125="","",IF(ALLOC!$N$3="VOL_EFF",$L125,IF(ALLOC!$N$3="VOL_CLASS",$M125,$N125)))</f>
        <v/>
      </c>
      <c r="AF125" t="str">
        <f>IF($A125="","",IF(ALLOC!$N$3="VOL_EFF",$Q125,IF(ALLOC!$N$3="VOL_CLASS",$R125,$S125)))</f>
        <v/>
      </c>
      <c r="AG125" t="str">
        <f>IF($A125="","",IF(ALLOC!$N$1="VOL_EFF",$Q125,IF(ALLOC!$N$1="VOL_CLASS",$R125,$S125)))</f>
        <v/>
      </c>
      <c r="AH125" t="str">
        <f>IF($A125="","",IF(ALLOC!$N$1="VOL_EFF",$T125,IF(ALLOC!$N$1="VOL_CLASS",$U125,$V125)))</f>
        <v/>
      </c>
      <c r="AI125" t="str">
        <f t="shared" si="40"/>
        <v/>
      </c>
      <c r="AJ125" t="str">
        <f t="shared" si="41"/>
        <v/>
      </c>
      <c r="AK125" t="str">
        <f t="shared" si="42"/>
        <v/>
      </c>
      <c r="AL125" t="str">
        <f t="shared" si="43"/>
        <v/>
      </c>
      <c r="AM125" t="str">
        <f t="shared" si="44"/>
        <v/>
      </c>
      <c r="AN125" t="str">
        <f t="shared" si="45"/>
        <v/>
      </c>
      <c r="AO125" t="str">
        <f>IF($A125="","",Allocation2!AE125)</f>
        <v/>
      </c>
      <c r="AP125" t="str">
        <f>IF($A125="","",IF(ALLOC!$N$2="VOL_EFF",$Q125,IF(ALLOC!$N$2="VOL_CLASS",$R125,$S125)))</f>
        <v/>
      </c>
      <c r="AQ125" t="str">
        <f>IF($A125="","",IF(ALLOC!$N$2="VOL_EFF",$T125,IF(ALLOC!$N$2="VOL_CLASS",$U125,$V125)))</f>
        <v/>
      </c>
      <c r="AR125" t="str">
        <f t="shared" si="46"/>
        <v/>
      </c>
    </row>
    <row r="126" spans="1:44" x14ac:dyDescent="0.45">
      <c r="A126" t="str">
        <f>IF(Allocation2!D126="","",Allocation2!D126)</f>
        <v/>
      </c>
      <c r="B126" t="str">
        <f>IF(Allocation2!E126="","",Allocation2!E126)</f>
        <v/>
      </c>
      <c r="C126" t="str">
        <f>IF(Allocation2!F126="","",Allocation2!F126)</f>
        <v/>
      </c>
      <c r="D126" t="str">
        <f>IF(Allocation2!G126="","",Allocation2!G126)</f>
        <v/>
      </c>
      <c r="E126" t="str">
        <f>IF(Allocation2!H126="","",Allocation2!H126)</f>
        <v/>
      </c>
      <c r="F126" t="str">
        <f>IF(Allocation2!I126="","",Allocation2!I126)</f>
        <v/>
      </c>
      <c r="G126" t="str">
        <f>IF(Allocation2!E126="","",Allocation2!J126)</f>
        <v/>
      </c>
      <c r="H126" t="str">
        <f>IF(Allocation2!E126="","",Allocation2!K126)</f>
        <v/>
      </c>
      <c r="I126" t="str">
        <f>IF(Allocation2!E126="","",Allocation2!L126)</f>
        <v/>
      </c>
      <c r="J126" t="str">
        <f>IF($A126="","",Allocation2!X126)</f>
        <v/>
      </c>
      <c r="K126" t="str">
        <f t="shared" si="28"/>
        <v/>
      </c>
      <c r="L126" t="str">
        <f t="shared" si="47"/>
        <v/>
      </c>
      <c r="M126" t="str">
        <f t="shared" si="48"/>
        <v/>
      </c>
      <c r="N126" t="str">
        <f t="shared" si="49"/>
        <v/>
      </c>
      <c r="O126" t="str">
        <f t="shared" si="32"/>
        <v/>
      </c>
      <c r="P126" t="str">
        <f t="shared" si="33"/>
        <v/>
      </c>
      <c r="Q126" t="str">
        <f t="shared" si="50"/>
        <v/>
      </c>
      <c r="R126" t="str">
        <f t="shared" si="51"/>
        <v/>
      </c>
      <c r="S126" t="str">
        <f t="shared" si="52"/>
        <v/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>IF($A126="","",Allocation2!Y126)</f>
        <v/>
      </c>
      <c r="X126" t="str">
        <f>IF($A126="","",Allocation2!Z126)</f>
        <v/>
      </c>
      <c r="Y126" t="str">
        <f>IF($A126="","",Allocation2!AA126)</f>
        <v/>
      </c>
      <c r="Z126" t="str">
        <f>IF($A126="","",Allocation2!AB126)</f>
        <v/>
      </c>
      <c r="AA126" t="str">
        <f>IF($A126="","",Allocation2!AC126)</f>
        <v/>
      </c>
      <c r="AB126" t="str">
        <f>IF($A126="","",Allocation2!AD126)</f>
        <v/>
      </c>
      <c r="AC126" t="str">
        <f>IF($A126="","",IF(ALLOC!$N$4="VOL_EFF",$G126,IF(ALLOC!$N$4="VOL_CLASS",$H126,$I126)))</f>
        <v/>
      </c>
      <c r="AD126" t="str">
        <f>IF($A126="","",IF(ALLOC!$N$4="VOL_EFF",$L126,IF(ALLOC!$N$4="VOL_CLASS",$M126,$N126)))</f>
        <v/>
      </c>
      <c r="AE126" t="str">
        <f>IF($A126="","",IF(ALLOC!$N$3="VOL_EFF",$L126,IF(ALLOC!$N$3="VOL_CLASS",$M126,$N126)))</f>
        <v/>
      </c>
      <c r="AF126" t="str">
        <f>IF($A126="","",IF(ALLOC!$N$3="VOL_EFF",$Q126,IF(ALLOC!$N$3="VOL_CLASS",$R126,$S126)))</f>
        <v/>
      </c>
      <c r="AG126" t="str">
        <f>IF($A126="","",IF(ALLOC!$N$1="VOL_EFF",$Q126,IF(ALLOC!$N$1="VOL_CLASS",$R126,$S126)))</f>
        <v/>
      </c>
      <c r="AH126" t="str">
        <f>IF($A126="","",IF(ALLOC!$N$1="VOL_EFF",$T126,IF(ALLOC!$N$1="VOL_CLASS",$U126,$V126)))</f>
        <v/>
      </c>
      <c r="AI126" t="str">
        <f t="shared" si="40"/>
        <v/>
      </c>
      <c r="AJ126" t="str">
        <f t="shared" si="41"/>
        <v/>
      </c>
      <c r="AK126" t="str">
        <f t="shared" si="42"/>
        <v/>
      </c>
      <c r="AL126" t="str">
        <f t="shared" si="43"/>
        <v/>
      </c>
      <c r="AM126" t="str">
        <f t="shared" si="44"/>
        <v/>
      </c>
      <c r="AN126" t="str">
        <f t="shared" si="45"/>
        <v/>
      </c>
      <c r="AO126" t="str">
        <f>IF($A126="","",Allocation2!AE126)</f>
        <v/>
      </c>
      <c r="AP126" t="str">
        <f>IF($A126="","",IF(ALLOC!$N$2="VOL_EFF",$Q126,IF(ALLOC!$N$2="VOL_CLASS",$R126,$S126)))</f>
        <v/>
      </c>
      <c r="AQ126" t="str">
        <f>IF($A126="","",IF(ALLOC!$N$2="VOL_EFF",$T126,IF(ALLOC!$N$2="VOL_CLASS",$U126,$V126)))</f>
        <v/>
      </c>
      <c r="AR126" t="str">
        <f t="shared" si="46"/>
        <v/>
      </c>
    </row>
    <row r="127" spans="1:44" x14ac:dyDescent="0.45">
      <c r="A127" t="str">
        <f>IF(Allocation2!D127="","",Allocation2!D127)</f>
        <v/>
      </c>
      <c r="B127" t="str">
        <f>IF(Allocation2!E127="","",Allocation2!E127)</f>
        <v/>
      </c>
      <c r="C127" t="str">
        <f>IF(Allocation2!F127="","",Allocation2!F127)</f>
        <v/>
      </c>
      <c r="D127" t="str">
        <f>IF(Allocation2!G127="","",Allocation2!G127)</f>
        <v/>
      </c>
      <c r="E127" t="str">
        <f>IF(Allocation2!H127="","",Allocation2!H127)</f>
        <v/>
      </c>
      <c r="F127" t="str">
        <f>IF(Allocation2!I127="","",Allocation2!I127)</f>
        <v/>
      </c>
      <c r="G127" t="str">
        <f>IF(Allocation2!E127="","",Allocation2!J127)</f>
        <v/>
      </c>
      <c r="H127" t="str">
        <f>IF(Allocation2!E127="","",Allocation2!K127)</f>
        <v/>
      </c>
      <c r="I127" t="str">
        <f>IF(Allocation2!E127="","",Allocation2!L127)</f>
        <v/>
      </c>
      <c r="J127" t="str">
        <f>IF($A127="","",Allocation2!X127)</f>
        <v/>
      </c>
      <c r="K127" t="str">
        <f t="shared" si="28"/>
        <v/>
      </c>
      <c r="L127" t="str">
        <f t="shared" si="47"/>
        <v/>
      </c>
      <c r="M127" t="str">
        <f t="shared" si="48"/>
        <v/>
      </c>
      <c r="N127" t="str">
        <f t="shared" si="49"/>
        <v/>
      </c>
      <c r="O127" t="str">
        <f t="shared" si="32"/>
        <v/>
      </c>
      <c r="P127" t="str">
        <f t="shared" si="33"/>
        <v/>
      </c>
      <c r="Q127" t="str">
        <f t="shared" si="50"/>
        <v/>
      </c>
      <c r="R127" t="str">
        <f t="shared" si="51"/>
        <v/>
      </c>
      <c r="S127" t="str">
        <f t="shared" si="52"/>
        <v/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>IF($A127="","",Allocation2!Y127)</f>
        <v/>
      </c>
      <c r="X127" t="str">
        <f>IF($A127="","",Allocation2!Z127)</f>
        <v/>
      </c>
      <c r="Y127" t="str">
        <f>IF($A127="","",Allocation2!AA127)</f>
        <v/>
      </c>
      <c r="Z127" t="str">
        <f>IF($A127="","",Allocation2!AB127)</f>
        <v/>
      </c>
      <c r="AA127" t="str">
        <f>IF($A127="","",Allocation2!AC127)</f>
        <v/>
      </c>
      <c r="AB127" t="str">
        <f>IF($A127="","",Allocation2!AD127)</f>
        <v/>
      </c>
      <c r="AC127" t="str">
        <f>IF($A127="","",IF(ALLOC!$N$4="VOL_EFF",$G127,IF(ALLOC!$N$4="VOL_CLASS",$H127,$I127)))</f>
        <v/>
      </c>
      <c r="AD127" t="str">
        <f>IF($A127="","",IF(ALLOC!$N$4="VOL_EFF",$L127,IF(ALLOC!$N$4="VOL_CLASS",$M127,$N127)))</f>
        <v/>
      </c>
      <c r="AE127" t="str">
        <f>IF($A127="","",IF(ALLOC!$N$3="VOL_EFF",$L127,IF(ALLOC!$N$3="VOL_CLASS",$M127,$N127)))</f>
        <v/>
      </c>
      <c r="AF127" t="str">
        <f>IF($A127="","",IF(ALLOC!$N$3="VOL_EFF",$Q127,IF(ALLOC!$N$3="VOL_CLASS",$R127,$S127)))</f>
        <v/>
      </c>
      <c r="AG127" t="str">
        <f>IF($A127="","",IF(ALLOC!$N$1="VOL_EFF",$Q127,IF(ALLOC!$N$1="VOL_CLASS",$R127,$S127)))</f>
        <v/>
      </c>
      <c r="AH127" t="str">
        <f>IF($A127="","",IF(ALLOC!$N$1="VOL_EFF",$T127,IF(ALLOC!$N$1="VOL_CLASS",$U127,$V127)))</f>
        <v/>
      </c>
      <c r="AI127" t="str">
        <f t="shared" si="40"/>
        <v/>
      </c>
      <c r="AJ127" t="str">
        <f t="shared" si="41"/>
        <v/>
      </c>
      <c r="AK127" t="str">
        <f t="shared" si="42"/>
        <v/>
      </c>
      <c r="AL127" t="str">
        <f t="shared" si="43"/>
        <v/>
      </c>
      <c r="AM127" t="str">
        <f t="shared" si="44"/>
        <v/>
      </c>
      <c r="AN127" t="str">
        <f t="shared" si="45"/>
        <v/>
      </c>
      <c r="AO127" t="str">
        <f>IF($A127="","",Allocation2!AE127)</f>
        <v/>
      </c>
      <c r="AP127" t="str">
        <f>IF($A127="","",IF(ALLOC!$N$2="VOL_EFF",$Q127,IF(ALLOC!$N$2="VOL_CLASS",$R127,$S127)))</f>
        <v/>
      </c>
      <c r="AQ127" t="str">
        <f>IF($A127="","",IF(ALLOC!$N$2="VOL_EFF",$T127,IF(ALLOC!$N$2="VOL_CLASS",$U127,$V127)))</f>
        <v/>
      </c>
      <c r="AR127" t="str">
        <f t="shared" si="46"/>
        <v/>
      </c>
    </row>
    <row r="128" spans="1:44" x14ac:dyDescent="0.45">
      <c r="A128" t="str">
        <f>IF(Allocation2!D128="","",Allocation2!D128)</f>
        <v/>
      </c>
      <c r="B128" t="str">
        <f>IF(Allocation2!E128="","",Allocation2!E128)</f>
        <v/>
      </c>
      <c r="C128" t="str">
        <f>IF(Allocation2!F128="","",Allocation2!F128)</f>
        <v/>
      </c>
      <c r="D128" t="str">
        <f>IF(Allocation2!G128="","",Allocation2!G128)</f>
        <v/>
      </c>
      <c r="E128" t="str">
        <f>IF(Allocation2!H128="","",Allocation2!H128)</f>
        <v/>
      </c>
      <c r="F128" t="str">
        <f>IF(Allocation2!I128="","",Allocation2!I128)</f>
        <v/>
      </c>
      <c r="G128" t="str">
        <f>IF(Allocation2!E128="","",Allocation2!J128)</f>
        <v/>
      </c>
      <c r="H128" t="str">
        <f>IF(Allocation2!E128="","",Allocation2!K128)</f>
        <v/>
      </c>
      <c r="I128" t="str">
        <f>IF(Allocation2!E128="","",Allocation2!L128)</f>
        <v/>
      </c>
      <c r="J128" t="str">
        <f>IF($A128="","",Allocation2!X128)</f>
        <v/>
      </c>
      <c r="K128" t="str">
        <f t="shared" si="28"/>
        <v/>
      </c>
      <c r="L128" t="str">
        <f t="shared" si="47"/>
        <v/>
      </c>
      <c r="M128" t="str">
        <f t="shared" si="48"/>
        <v/>
      </c>
      <c r="N128" t="str">
        <f t="shared" si="49"/>
        <v/>
      </c>
      <c r="O128" t="str">
        <f t="shared" si="32"/>
        <v/>
      </c>
      <c r="P128" t="str">
        <f t="shared" si="33"/>
        <v/>
      </c>
      <c r="Q128" t="str">
        <f t="shared" si="50"/>
        <v/>
      </c>
      <c r="R128" t="str">
        <f t="shared" si="51"/>
        <v/>
      </c>
      <c r="S128" t="str">
        <f t="shared" si="52"/>
        <v/>
      </c>
      <c r="T128" t="str">
        <f t="shared" si="53"/>
        <v/>
      </c>
      <c r="U128" t="str">
        <f t="shared" si="54"/>
        <v/>
      </c>
      <c r="V128" t="str">
        <f t="shared" si="55"/>
        <v/>
      </c>
      <c r="W128" t="str">
        <f>IF($A128="","",Allocation2!Y128)</f>
        <v/>
      </c>
      <c r="X128" t="str">
        <f>IF($A128="","",Allocation2!Z128)</f>
        <v/>
      </c>
      <c r="Y128" t="str">
        <f>IF($A128="","",Allocation2!AA128)</f>
        <v/>
      </c>
      <c r="Z128" t="str">
        <f>IF($A128="","",Allocation2!AB128)</f>
        <v/>
      </c>
      <c r="AA128" t="str">
        <f>IF($A128="","",Allocation2!AC128)</f>
        <v/>
      </c>
      <c r="AB128" t="str">
        <f>IF($A128="","",Allocation2!AD128)</f>
        <v/>
      </c>
      <c r="AC128" t="str">
        <f>IF($A128="","",IF(ALLOC!$N$4="VOL_EFF",$G128,IF(ALLOC!$N$4="VOL_CLASS",$H128,$I128)))</f>
        <v/>
      </c>
      <c r="AD128" t="str">
        <f>IF($A128="","",IF(ALLOC!$N$4="VOL_EFF",$L128,IF(ALLOC!$N$4="VOL_CLASS",$M128,$N128)))</f>
        <v/>
      </c>
      <c r="AE128" t="str">
        <f>IF($A128="","",IF(ALLOC!$N$3="VOL_EFF",$L128,IF(ALLOC!$N$3="VOL_CLASS",$M128,$N128)))</f>
        <v/>
      </c>
      <c r="AF128" t="str">
        <f>IF($A128="","",IF(ALLOC!$N$3="VOL_EFF",$Q128,IF(ALLOC!$N$3="VOL_CLASS",$R128,$S128)))</f>
        <v/>
      </c>
      <c r="AG128" t="str">
        <f>IF($A128="","",IF(ALLOC!$N$1="VOL_EFF",$Q128,IF(ALLOC!$N$1="VOL_CLASS",$R128,$S128)))</f>
        <v/>
      </c>
      <c r="AH128" t="str">
        <f>IF($A128="","",IF(ALLOC!$N$1="VOL_EFF",$T128,IF(ALLOC!$N$1="VOL_CLASS",$U128,$V128)))</f>
        <v/>
      </c>
      <c r="AI128" t="str">
        <f t="shared" si="40"/>
        <v/>
      </c>
      <c r="AJ128" t="str">
        <f t="shared" si="41"/>
        <v/>
      </c>
      <c r="AK128" t="str">
        <f t="shared" si="42"/>
        <v/>
      </c>
      <c r="AL128" t="str">
        <f t="shared" si="43"/>
        <v/>
      </c>
      <c r="AM128" t="str">
        <f t="shared" si="44"/>
        <v/>
      </c>
      <c r="AN128" t="str">
        <f t="shared" si="45"/>
        <v/>
      </c>
      <c r="AO128" t="str">
        <f>IF($A128="","",Allocation2!AE128)</f>
        <v/>
      </c>
      <c r="AP128" t="str">
        <f>IF($A128="","",IF(ALLOC!$N$2="VOL_EFF",$Q128,IF(ALLOC!$N$2="VOL_CLASS",$R128,$S128)))</f>
        <v/>
      </c>
      <c r="AQ128" t="str">
        <f>IF($A128="","",IF(ALLOC!$N$2="VOL_EFF",$T128,IF(ALLOC!$N$2="VOL_CLASS",$U128,$V128)))</f>
        <v/>
      </c>
      <c r="AR128" t="str">
        <f t="shared" si="46"/>
        <v/>
      </c>
    </row>
    <row r="129" spans="1:44" x14ac:dyDescent="0.45">
      <c r="A129" t="str">
        <f>IF(Allocation2!D129="","",Allocation2!D129)</f>
        <v/>
      </c>
      <c r="B129" t="str">
        <f>IF(Allocation2!E129="","",Allocation2!E129)</f>
        <v/>
      </c>
      <c r="C129" t="str">
        <f>IF(Allocation2!F129="","",Allocation2!F129)</f>
        <v/>
      </c>
      <c r="D129" t="str">
        <f>IF(Allocation2!G129="","",Allocation2!G129)</f>
        <v/>
      </c>
      <c r="E129" t="str">
        <f>IF(Allocation2!H129="","",Allocation2!H129)</f>
        <v/>
      </c>
      <c r="F129" t="str">
        <f>IF(Allocation2!I129="","",Allocation2!I129)</f>
        <v/>
      </c>
      <c r="G129" t="str">
        <f>IF(Allocation2!E129="","",Allocation2!J129)</f>
        <v/>
      </c>
      <c r="H129" t="str">
        <f>IF(Allocation2!E129="","",Allocation2!K129)</f>
        <v/>
      </c>
      <c r="I129" t="str">
        <f>IF(Allocation2!E129="","",Allocation2!L129)</f>
        <v/>
      </c>
      <c r="J129" t="str">
        <f>IF($A129="","",Allocation2!X129)</f>
        <v/>
      </c>
      <c r="K129" t="str">
        <f t="shared" si="28"/>
        <v/>
      </c>
      <c r="L129" t="str">
        <f t="shared" si="47"/>
        <v/>
      </c>
      <c r="M129" t="str">
        <f t="shared" si="48"/>
        <v/>
      </c>
      <c r="N129" t="str">
        <f t="shared" si="49"/>
        <v/>
      </c>
      <c r="O129" t="str">
        <f t="shared" si="32"/>
        <v/>
      </c>
      <c r="P129" t="str">
        <f t="shared" si="33"/>
        <v/>
      </c>
      <c r="Q129" t="str">
        <f t="shared" si="50"/>
        <v/>
      </c>
      <c r="R129" t="str">
        <f t="shared" si="51"/>
        <v/>
      </c>
      <c r="S129" t="str">
        <f t="shared" si="52"/>
        <v/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>IF($A129="","",Allocation2!Y129)</f>
        <v/>
      </c>
      <c r="X129" t="str">
        <f>IF($A129="","",Allocation2!Z129)</f>
        <v/>
      </c>
      <c r="Y129" t="str">
        <f>IF($A129="","",Allocation2!AA129)</f>
        <v/>
      </c>
      <c r="Z129" t="str">
        <f>IF($A129="","",Allocation2!AB129)</f>
        <v/>
      </c>
      <c r="AA129" t="str">
        <f>IF($A129="","",Allocation2!AC129)</f>
        <v/>
      </c>
      <c r="AB129" t="str">
        <f>IF($A129="","",Allocation2!AD129)</f>
        <v/>
      </c>
      <c r="AC129" t="str">
        <f>IF($A129="","",IF(ALLOC!$N$4="VOL_EFF",$G129,IF(ALLOC!$N$4="VOL_CLASS",$H129,$I129)))</f>
        <v/>
      </c>
      <c r="AD129" t="str">
        <f>IF($A129="","",IF(ALLOC!$N$4="VOL_EFF",$L129,IF(ALLOC!$N$4="VOL_CLASS",$M129,$N129)))</f>
        <v/>
      </c>
      <c r="AE129" t="str">
        <f>IF($A129="","",IF(ALLOC!$N$3="VOL_EFF",$L129,IF(ALLOC!$N$3="VOL_CLASS",$M129,$N129)))</f>
        <v/>
      </c>
      <c r="AF129" t="str">
        <f>IF($A129="","",IF(ALLOC!$N$3="VOL_EFF",$Q129,IF(ALLOC!$N$3="VOL_CLASS",$R129,$S129)))</f>
        <v/>
      </c>
      <c r="AG129" t="str">
        <f>IF($A129="","",IF(ALLOC!$N$1="VOL_EFF",$Q129,IF(ALLOC!$N$1="VOL_CLASS",$R129,$S129)))</f>
        <v/>
      </c>
      <c r="AH129" t="str">
        <f>IF($A129="","",IF(ALLOC!$N$1="VOL_EFF",$T129,IF(ALLOC!$N$1="VOL_CLASS",$U129,$V129)))</f>
        <v/>
      </c>
      <c r="AI129" t="str">
        <f t="shared" si="40"/>
        <v/>
      </c>
      <c r="AJ129" t="str">
        <f t="shared" si="41"/>
        <v/>
      </c>
      <c r="AK129" t="str">
        <f t="shared" si="42"/>
        <v/>
      </c>
      <c r="AL129" t="str">
        <f t="shared" si="43"/>
        <v/>
      </c>
      <c r="AM129" t="str">
        <f t="shared" si="44"/>
        <v/>
      </c>
      <c r="AN129" t="str">
        <f t="shared" si="45"/>
        <v/>
      </c>
      <c r="AO129" t="str">
        <f>IF($A129="","",Allocation2!AE129)</f>
        <v/>
      </c>
      <c r="AP129" t="str">
        <f>IF($A129="","",IF(ALLOC!$N$2="VOL_EFF",$Q129,IF(ALLOC!$N$2="VOL_CLASS",$R129,$S129)))</f>
        <v/>
      </c>
      <c r="AQ129" t="str">
        <f>IF($A129="","",IF(ALLOC!$N$2="VOL_EFF",$T129,IF(ALLOC!$N$2="VOL_CLASS",$U129,$V129)))</f>
        <v/>
      </c>
      <c r="AR129" t="str">
        <f t="shared" si="46"/>
        <v/>
      </c>
    </row>
    <row r="130" spans="1:44" x14ac:dyDescent="0.45">
      <c r="A130" t="str">
        <f>IF(Allocation2!D130="","",Allocation2!D130)</f>
        <v/>
      </c>
      <c r="B130" t="str">
        <f>IF(Allocation2!E130="","",Allocation2!E130)</f>
        <v/>
      </c>
      <c r="C130" t="str">
        <f>IF(Allocation2!F130="","",Allocation2!F130)</f>
        <v/>
      </c>
      <c r="D130" t="str">
        <f>IF(Allocation2!G130="","",Allocation2!G130)</f>
        <v/>
      </c>
      <c r="E130" t="str">
        <f>IF(Allocation2!H130="","",Allocation2!H130)</f>
        <v/>
      </c>
      <c r="F130" t="str">
        <f>IF(Allocation2!I130="","",Allocation2!I130)</f>
        <v/>
      </c>
      <c r="G130" t="str">
        <f>IF(Allocation2!E130="","",Allocation2!J130)</f>
        <v/>
      </c>
      <c r="H130" t="str">
        <f>IF(Allocation2!E130="","",Allocation2!K130)</f>
        <v/>
      </c>
      <c r="I130" t="str">
        <f>IF(Allocation2!E130="","",Allocation2!L130)</f>
        <v/>
      </c>
      <c r="J130" t="str">
        <f>IF($A130="","",Allocation2!X130)</f>
        <v/>
      </c>
      <c r="K130" t="str">
        <f t="shared" ref="K130:K175" si="56">IF($A130="","",$H130*IF(AND(LEFT($D130,3)="BAC",$F130="INIT"),600,IF(LEFT($D130,3)="BAC",480,IF(AND(LEFT($D130,3)="MAS",$F130="INIT"),520,IF(LEFT($D130,3)="MAS",420,IF($F130="INIT",1000,700))))))</f>
        <v/>
      </c>
      <c r="L130" t="str">
        <f t="shared" ref="L130:L161" si="57">IF($A130="","",SUMIFS($G$1:$G$349,$A$1:$A$349,$A130,$B$1:$B$349,$B130))</f>
        <v/>
      </c>
      <c r="M130" t="str">
        <f t="shared" ref="M130:M161" si="58">IF($A130="","",SUMIFS($H$1:$H$349,$A$1:$A$349,$A130,$B$1:$B$349,$B130))</f>
        <v/>
      </c>
      <c r="N130" t="str">
        <f t="shared" ref="N130:N161" si="59">IF($A130="","",SUMIFS($I$1:$I$349,$A$1:$A$349,$A130,$B$1:$B$349,$B130))</f>
        <v/>
      </c>
      <c r="O130" t="str">
        <f t="shared" ref="O130:O175" si="60">IF($A130="","",SUMIFS($K$1:$K$349,$A$1:$A$349,$A130,$B$1:$B$349,$B130))</f>
        <v/>
      </c>
      <c r="P130" t="str">
        <f t="shared" ref="P130:P175" si="61">IF($A130="","",SUMIFS($J$1:$J$349,$A$1:$A$349,$A130,$B$1:$B$349,$B130))</f>
        <v/>
      </c>
      <c r="Q130" t="str">
        <f t="shared" ref="Q130:Q161" si="62">IF($A130="","",SUMIFS($G$1:$G$349,$A$1:$A$349,$A130,$C$1:$C$349,$C130))</f>
        <v/>
      </c>
      <c r="R130" t="str">
        <f t="shared" ref="R130:R161" si="63">IF($A130="","",SUMIFS($H$1:$H$349,$A$1:$A$349,$A130,$C$1:$C$349,$C130))</f>
        <v/>
      </c>
      <c r="S130" t="str">
        <f t="shared" ref="S130:S161" si="64">IF($A130="","",SUMIFS($I$1:$I$349,$A$1:$A$349,$A130,$C$1:$C$349,$C130))</f>
        <v/>
      </c>
      <c r="T130" t="str">
        <f t="shared" ref="T130:T161" si="65">IF($A130="","",SUMIFS($G$1:$G$349,$A$1:$A$349,$A130))</f>
        <v/>
      </c>
      <c r="U130" t="str">
        <f t="shared" ref="U130:U161" si="66">IF($A130="","",SUMIFS($H$1:$H$349,$A$1:$A$349,$A130))</f>
        <v/>
      </c>
      <c r="V130" t="str">
        <f t="shared" ref="V130:V161" si="67">IF($A130="","",SUMIFS($I$1:$I$349,$A$1:$A$349,$A130))</f>
        <v/>
      </c>
      <c r="W130" t="str">
        <f>IF($A130="","",Allocation2!Y130)</f>
        <v/>
      </c>
      <c r="X130" t="str">
        <f>IF($A130="","",Allocation2!Z130)</f>
        <v/>
      </c>
      <c r="Y130" t="str">
        <f>IF($A130="","",Allocation2!AA130)</f>
        <v/>
      </c>
      <c r="Z130" t="str">
        <f>IF($A130="","",Allocation2!AB130)</f>
        <v/>
      </c>
      <c r="AA130" t="str">
        <f>IF($A130="","",Allocation2!AC130)</f>
        <v/>
      </c>
      <c r="AB130" t="str">
        <f>IF($A130="","",Allocation2!AD130)</f>
        <v/>
      </c>
      <c r="AC130" t="str">
        <f>IF($A130="","",IF(ALLOC!$N$4="VOL_EFF",$G130,IF(ALLOC!$N$4="VOL_CLASS",$H130,$I130)))</f>
        <v/>
      </c>
      <c r="AD130" t="str">
        <f>IF($A130="","",IF(ALLOC!$N$4="VOL_EFF",$L130,IF(ALLOC!$N$4="VOL_CLASS",$M130,$N130)))</f>
        <v/>
      </c>
      <c r="AE130" t="str">
        <f>IF($A130="","",IF(ALLOC!$N$3="VOL_EFF",$L130,IF(ALLOC!$N$3="VOL_CLASS",$M130,$N130)))</f>
        <v/>
      </c>
      <c r="AF130" t="str">
        <f>IF($A130="","",IF(ALLOC!$N$3="VOL_EFF",$Q130,IF(ALLOC!$N$3="VOL_CLASS",$R130,$S130)))</f>
        <v/>
      </c>
      <c r="AG130" t="str">
        <f>IF($A130="","",IF(ALLOC!$N$1="VOL_EFF",$Q130,IF(ALLOC!$N$1="VOL_CLASS",$R130,$S130)))</f>
        <v/>
      </c>
      <c r="AH130" t="str">
        <f>IF($A130="","",IF(ALLOC!$N$1="VOL_EFF",$T130,IF(ALLOC!$N$1="VOL_CLASS",$U130,$V130)))</f>
        <v/>
      </c>
      <c r="AI130" t="str">
        <f t="shared" ref="AI130:AI175" si="68">IF($A130="","",$W130*IFERROR($K130/$O130,0))</f>
        <v/>
      </c>
      <c r="AJ130" t="str">
        <f t="shared" ref="AJ130:AJ175" si="69">IF($A130="","",$X130*IFERROR($K130/$O130,0))</f>
        <v/>
      </c>
      <c r="AK130" t="str">
        <f t="shared" ref="AK130:AK175" si="70">IF($A130="","",$Y130*IFERROR($G130/$L130,0)+$Z130*IFERROR($J130/$P130,0))</f>
        <v/>
      </c>
      <c r="AL130" t="str">
        <f t="shared" ref="AL130:AL175" si="71">IF($A130="","",$AA130*IFERROR($AC130/$AD130,0))</f>
        <v/>
      </c>
      <c r="AM130" t="str">
        <f t="shared" ref="AM130:AM175" si="72">IF($A130="","",$AB130*IFERROR($AG130/$AH130,0)*IFERROR($AE130/$AF130,0)*IFERROR($AC130/$AD130,0))</f>
        <v/>
      </c>
      <c r="AN130" t="str">
        <f t="shared" ref="AN130:AN175" si="73">IF($A130="","",$I130-($AI130+$AJ130+$AK130+$AL130+$AM130+$AR130))</f>
        <v/>
      </c>
      <c r="AO130" t="str">
        <f>IF($A130="","",Allocation2!AE130)</f>
        <v/>
      </c>
      <c r="AP130" t="str">
        <f>IF($A130="","",IF(ALLOC!$N$2="VOL_EFF",$Q130,IF(ALLOC!$N$2="VOL_CLASS",$R130,$S130)))</f>
        <v/>
      </c>
      <c r="AQ130" t="str">
        <f>IF($A130="","",IF(ALLOC!$N$2="VOL_EFF",$T130,IF(ALLOC!$N$2="VOL_CLASS",$U130,$V130)))</f>
        <v/>
      </c>
      <c r="AR130" t="str">
        <f t="shared" ref="AR130:AR175" si="74">IF($A130="","",$AO130*IFERROR($AP130/$AQ130,0)*IFERROR($AE130/$AF130,0)*IFERROR($AC130/$AD130,0))</f>
        <v/>
      </c>
    </row>
    <row r="131" spans="1:44" x14ac:dyDescent="0.45">
      <c r="A131" t="str">
        <f>IF(Allocation2!D131="","",Allocation2!D131)</f>
        <v/>
      </c>
      <c r="B131" t="str">
        <f>IF(Allocation2!E131="","",Allocation2!E131)</f>
        <v/>
      </c>
      <c r="C131" t="str">
        <f>IF(Allocation2!F131="","",Allocation2!F131)</f>
        <v/>
      </c>
      <c r="D131" t="str">
        <f>IF(Allocation2!G131="","",Allocation2!G131)</f>
        <v/>
      </c>
      <c r="E131" t="str">
        <f>IF(Allocation2!H131="","",Allocation2!H131)</f>
        <v/>
      </c>
      <c r="F131" t="str">
        <f>IF(Allocation2!I131="","",Allocation2!I131)</f>
        <v/>
      </c>
      <c r="G131" t="str">
        <f>IF(Allocation2!E131="","",Allocation2!J131)</f>
        <v/>
      </c>
      <c r="H131" t="str">
        <f>IF(Allocation2!E131="","",Allocation2!K131)</f>
        <v/>
      </c>
      <c r="I131" t="str">
        <f>IF(Allocation2!E131="","",Allocation2!L131)</f>
        <v/>
      </c>
      <c r="J131" t="str">
        <f>IF($A131="","",Allocation2!X131)</f>
        <v/>
      </c>
      <c r="K131" t="str">
        <f t="shared" si="56"/>
        <v/>
      </c>
      <c r="L131" t="str">
        <f t="shared" si="57"/>
        <v/>
      </c>
      <c r="M131" t="str">
        <f t="shared" si="58"/>
        <v/>
      </c>
      <c r="N131" t="str">
        <f t="shared" si="59"/>
        <v/>
      </c>
      <c r="O131" t="str">
        <f t="shared" si="60"/>
        <v/>
      </c>
      <c r="P131" t="str">
        <f t="shared" si="61"/>
        <v/>
      </c>
      <c r="Q131" t="str">
        <f t="shared" si="62"/>
        <v/>
      </c>
      <c r="R131" t="str">
        <f t="shared" si="63"/>
        <v/>
      </c>
      <c r="S131" t="str">
        <f t="shared" si="64"/>
        <v/>
      </c>
      <c r="T131" t="str">
        <f t="shared" si="65"/>
        <v/>
      </c>
      <c r="U131" t="str">
        <f t="shared" si="66"/>
        <v/>
      </c>
      <c r="V131" t="str">
        <f t="shared" si="67"/>
        <v/>
      </c>
      <c r="W131" t="str">
        <f>IF($A131="","",Allocation2!Y131)</f>
        <v/>
      </c>
      <c r="X131" t="str">
        <f>IF($A131="","",Allocation2!Z131)</f>
        <v/>
      </c>
      <c r="Y131" t="str">
        <f>IF($A131="","",Allocation2!AA131)</f>
        <v/>
      </c>
      <c r="Z131" t="str">
        <f>IF($A131="","",Allocation2!AB131)</f>
        <v/>
      </c>
      <c r="AA131" t="str">
        <f>IF($A131="","",Allocation2!AC131)</f>
        <v/>
      </c>
      <c r="AB131" t="str">
        <f>IF($A131="","",Allocation2!AD131)</f>
        <v/>
      </c>
      <c r="AC131" t="str">
        <f>IF($A131="","",IF(ALLOC!$N$4="VOL_EFF",$G131,IF(ALLOC!$N$4="VOL_CLASS",$H131,$I131)))</f>
        <v/>
      </c>
      <c r="AD131" t="str">
        <f>IF($A131="","",IF(ALLOC!$N$4="VOL_EFF",$L131,IF(ALLOC!$N$4="VOL_CLASS",$M131,$N131)))</f>
        <v/>
      </c>
      <c r="AE131" t="str">
        <f>IF($A131="","",IF(ALLOC!$N$3="VOL_EFF",$L131,IF(ALLOC!$N$3="VOL_CLASS",$M131,$N131)))</f>
        <v/>
      </c>
      <c r="AF131" t="str">
        <f>IF($A131="","",IF(ALLOC!$N$3="VOL_EFF",$Q131,IF(ALLOC!$N$3="VOL_CLASS",$R131,$S131)))</f>
        <v/>
      </c>
      <c r="AG131" t="str">
        <f>IF($A131="","",IF(ALLOC!$N$1="VOL_EFF",$Q131,IF(ALLOC!$N$1="VOL_CLASS",$R131,$S131)))</f>
        <v/>
      </c>
      <c r="AH131" t="str">
        <f>IF($A131="","",IF(ALLOC!$N$1="VOL_EFF",$T131,IF(ALLOC!$N$1="VOL_CLASS",$U131,$V131)))</f>
        <v/>
      </c>
      <c r="AI131" t="str">
        <f t="shared" si="68"/>
        <v/>
      </c>
      <c r="AJ131" t="str">
        <f t="shared" si="69"/>
        <v/>
      </c>
      <c r="AK131" t="str">
        <f t="shared" si="70"/>
        <v/>
      </c>
      <c r="AL131" t="str">
        <f t="shared" si="71"/>
        <v/>
      </c>
      <c r="AM131" t="str">
        <f t="shared" si="72"/>
        <v/>
      </c>
      <c r="AN131" t="str">
        <f t="shared" si="73"/>
        <v/>
      </c>
      <c r="AO131" t="str">
        <f>IF($A131="","",Allocation2!AE131)</f>
        <v/>
      </c>
      <c r="AP131" t="str">
        <f>IF($A131="","",IF(ALLOC!$N$2="VOL_EFF",$Q131,IF(ALLOC!$N$2="VOL_CLASS",$R131,$S131)))</f>
        <v/>
      </c>
      <c r="AQ131" t="str">
        <f>IF($A131="","",IF(ALLOC!$N$2="VOL_EFF",$T131,IF(ALLOC!$N$2="VOL_CLASS",$U131,$V131)))</f>
        <v/>
      </c>
      <c r="AR131" t="str">
        <f t="shared" si="74"/>
        <v/>
      </c>
    </row>
    <row r="132" spans="1:44" x14ac:dyDescent="0.45">
      <c r="A132" t="str">
        <f>IF(Allocation2!D132="","",Allocation2!D132)</f>
        <v/>
      </c>
      <c r="B132" t="str">
        <f>IF(Allocation2!E132="","",Allocation2!E132)</f>
        <v/>
      </c>
      <c r="C132" t="str">
        <f>IF(Allocation2!F132="","",Allocation2!F132)</f>
        <v/>
      </c>
      <c r="D132" t="str">
        <f>IF(Allocation2!G132="","",Allocation2!G132)</f>
        <v/>
      </c>
      <c r="E132" t="str">
        <f>IF(Allocation2!H132="","",Allocation2!H132)</f>
        <v/>
      </c>
      <c r="F132" t="str">
        <f>IF(Allocation2!I132="","",Allocation2!I132)</f>
        <v/>
      </c>
      <c r="G132" t="str">
        <f>IF(Allocation2!E132="","",Allocation2!J132)</f>
        <v/>
      </c>
      <c r="H132" t="str">
        <f>IF(Allocation2!E132="","",Allocation2!K132)</f>
        <v/>
      </c>
      <c r="I132" t="str">
        <f>IF(Allocation2!E132="","",Allocation2!L132)</f>
        <v/>
      </c>
      <c r="J132" t="str">
        <f>IF($A132="","",Allocation2!X132)</f>
        <v/>
      </c>
      <c r="K132" t="str">
        <f t="shared" si="56"/>
        <v/>
      </c>
      <c r="L132" t="str">
        <f t="shared" si="57"/>
        <v/>
      </c>
      <c r="M132" t="str">
        <f t="shared" si="58"/>
        <v/>
      </c>
      <c r="N132" t="str">
        <f t="shared" si="59"/>
        <v/>
      </c>
      <c r="O132" t="str">
        <f t="shared" si="60"/>
        <v/>
      </c>
      <c r="P132" t="str">
        <f t="shared" si="61"/>
        <v/>
      </c>
      <c r="Q132" t="str">
        <f t="shared" si="62"/>
        <v/>
      </c>
      <c r="R132" t="str">
        <f t="shared" si="63"/>
        <v/>
      </c>
      <c r="S132" t="str">
        <f t="shared" si="64"/>
        <v/>
      </c>
      <c r="T132" t="str">
        <f t="shared" si="65"/>
        <v/>
      </c>
      <c r="U132" t="str">
        <f t="shared" si="66"/>
        <v/>
      </c>
      <c r="V132" t="str">
        <f t="shared" si="67"/>
        <v/>
      </c>
      <c r="W132" t="str">
        <f>IF($A132="","",Allocation2!Y132)</f>
        <v/>
      </c>
      <c r="X132" t="str">
        <f>IF($A132="","",Allocation2!Z132)</f>
        <v/>
      </c>
      <c r="Y132" t="str">
        <f>IF($A132="","",Allocation2!AA132)</f>
        <v/>
      </c>
      <c r="Z132" t="str">
        <f>IF($A132="","",Allocation2!AB132)</f>
        <v/>
      </c>
      <c r="AA132" t="str">
        <f>IF($A132="","",Allocation2!AC132)</f>
        <v/>
      </c>
      <c r="AB132" t="str">
        <f>IF($A132="","",Allocation2!AD132)</f>
        <v/>
      </c>
      <c r="AC132" t="str">
        <f>IF($A132="","",IF(ALLOC!$N$4="VOL_EFF",$G132,IF(ALLOC!$N$4="VOL_CLASS",$H132,$I132)))</f>
        <v/>
      </c>
      <c r="AD132" t="str">
        <f>IF($A132="","",IF(ALLOC!$N$4="VOL_EFF",$L132,IF(ALLOC!$N$4="VOL_CLASS",$M132,$N132)))</f>
        <v/>
      </c>
      <c r="AE132" t="str">
        <f>IF($A132="","",IF(ALLOC!$N$3="VOL_EFF",$L132,IF(ALLOC!$N$3="VOL_CLASS",$M132,$N132)))</f>
        <v/>
      </c>
      <c r="AF132" t="str">
        <f>IF($A132="","",IF(ALLOC!$N$3="VOL_EFF",$Q132,IF(ALLOC!$N$3="VOL_CLASS",$R132,$S132)))</f>
        <v/>
      </c>
      <c r="AG132" t="str">
        <f>IF($A132="","",IF(ALLOC!$N$1="VOL_EFF",$Q132,IF(ALLOC!$N$1="VOL_CLASS",$R132,$S132)))</f>
        <v/>
      </c>
      <c r="AH132" t="str">
        <f>IF($A132="","",IF(ALLOC!$N$1="VOL_EFF",$T132,IF(ALLOC!$N$1="VOL_CLASS",$U132,$V132)))</f>
        <v/>
      </c>
      <c r="AI132" t="str">
        <f t="shared" si="68"/>
        <v/>
      </c>
      <c r="AJ132" t="str">
        <f t="shared" si="69"/>
        <v/>
      </c>
      <c r="AK132" t="str">
        <f t="shared" si="70"/>
        <v/>
      </c>
      <c r="AL132" t="str">
        <f t="shared" si="71"/>
        <v/>
      </c>
      <c r="AM132" t="str">
        <f t="shared" si="72"/>
        <v/>
      </c>
      <c r="AN132" t="str">
        <f t="shared" si="73"/>
        <v/>
      </c>
      <c r="AO132" t="str">
        <f>IF($A132="","",Allocation2!AE132)</f>
        <v/>
      </c>
      <c r="AP132" t="str">
        <f>IF($A132="","",IF(ALLOC!$N$2="VOL_EFF",$Q132,IF(ALLOC!$N$2="VOL_CLASS",$R132,$S132)))</f>
        <v/>
      </c>
      <c r="AQ132" t="str">
        <f>IF($A132="","",IF(ALLOC!$N$2="VOL_EFF",$T132,IF(ALLOC!$N$2="VOL_CLASS",$U132,$V132)))</f>
        <v/>
      </c>
      <c r="AR132" t="str">
        <f t="shared" si="74"/>
        <v/>
      </c>
    </row>
    <row r="133" spans="1:44" x14ac:dyDescent="0.45">
      <c r="A133" t="str">
        <f>IF(Allocation2!D133="","",Allocation2!D133)</f>
        <v/>
      </c>
      <c r="B133" t="str">
        <f>IF(Allocation2!E133="","",Allocation2!E133)</f>
        <v/>
      </c>
      <c r="C133" t="str">
        <f>IF(Allocation2!F133="","",Allocation2!F133)</f>
        <v/>
      </c>
      <c r="D133" t="str">
        <f>IF(Allocation2!G133="","",Allocation2!G133)</f>
        <v/>
      </c>
      <c r="E133" t="str">
        <f>IF(Allocation2!H133="","",Allocation2!H133)</f>
        <v/>
      </c>
      <c r="F133" t="str">
        <f>IF(Allocation2!I133="","",Allocation2!I133)</f>
        <v/>
      </c>
      <c r="G133" t="str">
        <f>IF(Allocation2!E133="","",Allocation2!J133)</f>
        <v/>
      </c>
      <c r="H133" t="str">
        <f>IF(Allocation2!E133="","",Allocation2!K133)</f>
        <v/>
      </c>
      <c r="I133" t="str">
        <f>IF(Allocation2!E133="","",Allocation2!L133)</f>
        <v/>
      </c>
      <c r="J133" t="str">
        <f>IF($A133="","",Allocation2!X133)</f>
        <v/>
      </c>
      <c r="K133" t="str">
        <f t="shared" si="56"/>
        <v/>
      </c>
      <c r="L133" t="str">
        <f t="shared" si="57"/>
        <v/>
      </c>
      <c r="M133" t="str">
        <f t="shared" si="58"/>
        <v/>
      </c>
      <c r="N133" t="str">
        <f t="shared" si="59"/>
        <v/>
      </c>
      <c r="O133" t="str">
        <f t="shared" si="60"/>
        <v/>
      </c>
      <c r="P133" t="str">
        <f t="shared" si="61"/>
        <v/>
      </c>
      <c r="Q133" t="str">
        <f t="shared" si="62"/>
        <v/>
      </c>
      <c r="R133" t="str">
        <f t="shared" si="63"/>
        <v/>
      </c>
      <c r="S133" t="str">
        <f t="shared" si="64"/>
        <v/>
      </c>
      <c r="T133" t="str">
        <f t="shared" si="65"/>
        <v/>
      </c>
      <c r="U133" t="str">
        <f t="shared" si="66"/>
        <v/>
      </c>
      <c r="V133" t="str">
        <f t="shared" si="67"/>
        <v/>
      </c>
      <c r="W133" t="str">
        <f>IF($A133="","",Allocation2!Y133)</f>
        <v/>
      </c>
      <c r="X133" t="str">
        <f>IF($A133="","",Allocation2!Z133)</f>
        <v/>
      </c>
      <c r="Y133" t="str">
        <f>IF($A133="","",Allocation2!AA133)</f>
        <v/>
      </c>
      <c r="Z133" t="str">
        <f>IF($A133="","",Allocation2!AB133)</f>
        <v/>
      </c>
      <c r="AA133" t="str">
        <f>IF($A133="","",Allocation2!AC133)</f>
        <v/>
      </c>
      <c r="AB133" t="str">
        <f>IF($A133="","",Allocation2!AD133)</f>
        <v/>
      </c>
      <c r="AC133" t="str">
        <f>IF($A133="","",IF(ALLOC!$N$4="VOL_EFF",$G133,IF(ALLOC!$N$4="VOL_CLASS",$H133,$I133)))</f>
        <v/>
      </c>
      <c r="AD133" t="str">
        <f>IF($A133="","",IF(ALLOC!$N$4="VOL_EFF",$L133,IF(ALLOC!$N$4="VOL_CLASS",$M133,$N133)))</f>
        <v/>
      </c>
      <c r="AE133" t="str">
        <f>IF($A133="","",IF(ALLOC!$N$3="VOL_EFF",$L133,IF(ALLOC!$N$3="VOL_CLASS",$M133,$N133)))</f>
        <v/>
      </c>
      <c r="AF133" t="str">
        <f>IF($A133="","",IF(ALLOC!$N$3="VOL_EFF",$Q133,IF(ALLOC!$N$3="VOL_CLASS",$R133,$S133)))</f>
        <v/>
      </c>
      <c r="AG133" t="str">
        <f>IF($A133="","",IF(ALLOC!$N$1="VOL_EFF",$Q133,IF(ALLOC!$N$1="VOL_CLASS",$R133,$S133)))</f>
        <v/>
      </c>
      <c r="AH133" t="str">
        <f>IF($A133="","",IF(ALLOC!$N$1="VOL_EFF",$T133,IF(ALLOC!$N$1="VOL_CLASS",$U133,$V133)))</f>
        <v/>
      </c>
      <c r="AI133" t="str">
        <f t="shared" si="68"/>
        <v/>
      </c>
      <c r="AJ133" t="str">
        <f t="shared" si="69"/>
        <v/>
      </c>
      <c r="AK133" t="str">
        <f t="shared" si="70"/>
        <v/>
      </c>
      <c r="AL133" t="str">
        <f t="shared" si="71"/>
        <v/>
      </c>
      <c r="AM133" t="str">
        <f t="shared" si="72"/>
        <v/>
      </c>
      <c r="AN133" t="str">
        <f t="shared" si="73"/>
        <v/>
      </c>
      <c r="AO133" t="str">
        <f>IF($A133="","",Allocation2!AE133)</f>
        <v/>
      </c>
      <c r="AP133" t="str">
        <f>IF($A133="","",IF(ALLOC!$N$2="VOL_EFF",$Q133,IF(ALLOC!$N$2="VOL_CLASS",$R133,$S133)))</f>
        <v/>
      </c>
      <c r="AQ133" t="str">
        <f>IF($A133="","",IF(ALLOC!$N$2="VOL_EFF",$T133,IF(ALLOC!$N$2="VOL_CLASS",$U133,$V133)))</f>
        <v/>
      </c>
      <c r="AR133" t="str">
        <f t="shared" si="74"/>
        <v/>
      </c>
    </row>
    <row r="134" spans="1:44" x14ac:dyDescent="0.45">
      <c r="A134" t="str">
        <f>IF(Allocation2!D134="","",Allocation2!D134)</f>
        <v/>
      </c>
      <c r="B134" t="str">
        <f>IF(Allocation2!E134="","",Allocation2!E134)</f>
        <v/>
      </c>
      <c r="C134" t="str">
        <f>IF(Allocation2!F134="","",Allocation2!F134)</f>
        <v/>
      </c>
      <c r="D134" t="str">
        <f>IF(Allocation2!G134="","",Allocation2!G134)</f>
        <v/>
      </c>
      <c r="E134" t="str">
        <f>IF(Allocation2!H134="","",Allocation2!H134)</f>
        <v/>
      </c>
      <c r="F134" t="str">
        <f>IF(Allocation2!I134="","",Allocation2!I134)</f>
        <v/>
      </c>
      <c r="G134" t="str">
        <f>IF(Allocation2!E134="","",Allocation2!J134)</f>
        <v/>
      </c>
      <c r="H134" t="str">
        <f>IF(Allocation2!E134="","",Allocation2!K134)</f>
        <v/>
      </c>
      <c r="I134" t="str">
        <f>IF(Allocation2!E134="","",Allocation2!L134)</f>
        <v/>
      </c>
      <c r="J134" t="str">
        <f>IF($A134="","",Allocation2!X134)</f>
        <v/>
      </c>
      <c r="K134" t="str">
        <f t="shared" si="56"/>
        <v/>
      </c>
      <c r="L134" t="str">
        <f t="shared" si="57"/>
        <v/>
      </c>
      <c r="M134" t="str">
        <f t="shared" si="58"/>
        <v/>
      </c>
      <c r="N134" t="str">
        <f t="shared" si="59"/>
        <v/>
      </c>
      <c r="O134" t="str">
        <f t="shared" si="60"/>
        <v/>
      </c>
      <c r="P134" t="str">
        <f t="shared" si="61"/>
        <v/>
      </c>
      <c r="Q134" t="str">
        <f t="shared" si="62"/>
        <v/>
      </c>
      <c r="R134" t="str">
        <f t="shared" si="63"/>
        <v/>
      </c>
      <c r="S134" t="str">
        <f t="shared" si="64"/>
        <v/>
      </c>
      <c r="T134" t="str">
        <f t="shared" si="65"/>
        <v/>
      </c>
      <c r="U134" t="str">
        <f t="shared" si="66"/>
        <v/>
      </c>
      <c r="V134" t="str">
        <f t="shared" si="67"/>
        <v/>
      </c>
      <c r="W134" t="str">
        <f>IF($A134="","",Allocation2!Y134)</f>
        <v/>
      </c>
      <c r="X134" t="str">
        <f>IF($A134="","",Allocation2!Z134)</f>
        <v/>
      </c>
      <c r="Y134" t="str">
        <f>IF($A134="","",Allocation2!AA134)</f>
        <v/>
      </c>
      <c r="Z134" t="str">
        <f>IF($A134="","",Allocation2!AB134)</f>
        <v/>
      </c>
      <c r="AA134" t="str">
        <f>IF($A134="","",Allocation2!AC134)</f>
        <v/>
      </c>
      <c r="AB134" t="str">
        <f>IF($A134="","",Allocation2!AD134)</f>
        <v/>
      </c>
      <c r="AC134" t="str">
        <f>IF($A134="","",IF(ALLOC!$N$4="VOL_EFF",$G134,IF(ALLOC!$N$4="VOL_CLASS",$H134,$I134)))</f>
        <v/>
      </c>
      <c r="AD134" t="str">
        <f>IF($A134="","",IF(ALLOC!$N$4="VOL_EFF",$L134,IF(ALLOC!$N$4="VOL_CLASS",$M134,$N134)))</f>
        <v/>
      </c>
      <c r="AE134" t="str">
        <f>IF($A134="","",IF(ALLOC!$N$3="VOL_EFF",$L134,IF(ALLOC!$N$3="VOL_CLASS",$M134,$N134)))</f>
        <v/>
      </c>
      <c r="AF134" t="str">
        <f>IF($A134="","",IF(ALLOC!$N$3="VOL_EFF",$Q134,IF(ALLOC!$N$3="VOL_CLASS",$R134,$S134)))</f>
        <v/>
      </c>
      <c r="AG134" t="str">
        <f>IF($A134="","",IF(ALLOC!$N$1="VOL_EFF",$Q134,IF(ALLOC!$N$1="VOL_CLASS",$R134,$S134)))</f>
        <v/>
      </c>
      <c r="AH134" t="str">
        <f>IF($A134="","",IF(ALLOC!$N$1="VOL_EFF",$T134,IF(ALLOC!$N$1="VOL_CLASS",$U134,$V134)))</f>
        <v/>
      </c>
      <c r="AI134" t="str">
        <f t="shared" si="68"/>
        <v/>
      </c>
      <c r="AJ134" t="str">
        <f t="shared" si="69"/>
        <v/>
      </c>
      <c r="AK134" t="str">
        <f t="shared" si="70"/>
        <v/>
      </c>
      <c r="AL134" t="str">
        <f t="shared" si="71"/>
        <v/>
      </c>
      <c r="AM134" t="str">
        <f t="shared" si="72"/>
        <v/>
      </c>
      <c r="AN134" t="str">
        <f t="shared" si="73"/>
        <v/>
      </c>
      <c r="AO134" t="str">
        <f>IF($A134="","",Allocation2!AE134)</f>
        <v/>
      </c>
      <c r="AP134" t="str">
        <f>IF($A134="","",IF(ALLOC!$N$2="VOL_EFF",$Q134,IF(ALLOC!$N$2="VOL_CLASS",$R134,$S134)))</f>
        <v/>
      </c>
      <c r="AQ134" t="str">
        <f>IF($A134="","",IF(ALLOC!$N$2="VOL_EFF",$T134,IF(ALLOC!$N$2="VOL_CLASS",$U134,$V134)))</f>
        <v/>
      </c>
      <c r="AR134" t="str">
        <f t="shared" si="74"/>
        <v/>
      </c>
    </row>
    <row r="135" spans="1:44" x14ac:dyDescent="0.45">
      <c r="A135" t="str">
        <f>IF(Allocation2!D135="","",Allocation2!D135)</f>
        <v/>
      </c>
      <c r="B135" t="str">
        <f>IF(Allocation2!E135="","",Allocation2!E135)</f>
        <v/>
      </c>
      <c r="C135" t="str">
        <f>IF(Allocation2!F135="","",Allocation2!F135)</f>
        <v/>
      </c>
      <c r="D135" t="str">
        <f>IF(Allocation2!G135="","",Allocation2!G135)</f>
        <v/>
      </c>
      <c r="E135" t="str">
        <f>IF(Allocation2!H135="","",Allocation2!H135)</f>
        <v/>
      </c>
      <c r="F135" t="str">
        <f>IF(Allocation2!I135="","",Allocation2!I135)</f>
        <v/>
      </c>
      <c r="G135" t="str">
        <f>IF(Allocation2!E135="","",Allocation2!J135)</f>
        <v/>
      </c>
      <c r="H135" t="str">
        <f>IF(Allocation2!E135="","",Allocation2!K135)</f>
        <v/>
      </c>
      <c r="I135" t="str">
        <f>IF(Allocation2!E135="","",Allocation2!L135)</f>
        <v/>
      </c>
      <c r="J135" t="str">
        <f>IF($A135="","",Allocation2!X135)</f>
        <v/>
      </c>
      <c r="K135" t="str">
        <f t="shared" si="56"/>
        <v/>
      </c>
      <c r="L135" t="str">
        <f t="shared" si="57"/>
        <v/>
      </c>
      <c r="M135" t="str">
        <f t="shared" si="58"/>
        <v/>
      </c>
      <c r="N135" t="str">
        <f t="shared" si="59"/>
        <v/>
      </c>
      <c r="O135" t="str">
        <f t="shared" si="60"/>
        <v/>
      </c>
      <c r="P135" t="str">
        <f t="shared" si="61"/>
        <v/>
      </c>
      <c r="Q135" t="str">
        <f t="shared" si="62"/>
        <v/>
      </c>
      <c r="R135" t="str">
        <f t="shared" si="63"/>
        <v/>
      </c>
      <c r="S135" t="str">
        <f t="shared" si="64"/>
        <v/>
      </c>
      <c r="T135" t="str">
        <f t="shared" si="65"/>
        <v/>
      </c>
      <c r="U135" t="str">
        <f t="shared" si="66"/>
        <v/>
      </c>
      <c r="V135" t="str">
        <f t="shared" si="67"/>
        <v/>
      </c>
      <c r="W135" t="str">
        <f>IF($A135="","",Allocation2!Y135)</f>
        <v/>
      </c>
      <c r="X135" t="str">
        <f>IF($A135="","",Allocation2!Z135)</f>
        <v/>
      </c>
      <c r="Y135" t="str">
        <f>IF($A135="","",Allocation2!AA135)</f>
        <v/>
      </c>
      <c r="Z135" t="str">
        <f>IF($A135="","",Allocation2!AB135)</f>
        <v/>
      </c>
      <c r="AA135" t="str">
        <f>IF($A135="","",Allocation2!AC135)</f>
        <v/>
      </c>
      <c r="AB135" t="str">
        <f>IF($A135="","",Allocation2!AD135)</f>
        <v/>
      </c>
      <c r="AC135" t="str">
        <f>IF($A135="","",IF(ALLOC!$N$4="VOL_EFF",$G135,IF(ALLOC!$N$4="VOL_CLASS",$H135,$I135)))</f>
        <v/>
      </c>
      <c r="AD135" t="str">
        <f>IF($A135="","",IF(ALLOC!$N$4="VOL_EFF",$L135,IF(ALLOC!$N$4="VOL_CLASS",$M135,$N135)))</f>
        <v/>
      </c>
      <c r="AE135" t="str">
        <f>IF($A135="","",IF(ALLOC!$N$3="VOL_EFF",$L135,IF(ALLOC!$N$3="VOL_CLASS",$M135,$N135)))</f>
        <v/>
      </c>
      <c r="AF135" t="str">
        <f>IF($A135="","",IF(ALLOC!$N$3="VOL_EFF",$Q135,IF(ALLOC!$N$3="VOL_CLASS",$R135,$S135)))</f>
        <v/>
      </c>
      <c r="AG135" t="str">
        <f>IF($A135="","",IF(ALLOC!$N$1="VOL_EFF",$Q135,IF(ALLOC!$N$1="VOL_CLASS",$R135,$S135)))</f>
        <v/>
      </c>
      <c r="AH135" t="str">
        <f>IF($A135="","",IF(ALLOC!$N$1="VOL_EFF",$T135,IF(ALLOC!$N$1="VOL_CLASS",$U135,$V135)))</f>
        <v/>
      </c>
      <c r="AI135" t="str">
        <f t="shared" si="68"/>
        <v/>
      </c>
      <c r="AJ135" t="str">
        <f t="shared" si="69"/>
        <v/>
      </c>
      <c r="AK135" t="str">
        <f t="shared" si="70"/>
        <v/>
      </c>
      <c r="AL135" t="str">
        <f t="shared" si="71"/>
        <v/>
      </c>
      <c r="AM135" t="str">
        <f t="shared" si="72"/>
        <v/>
      </c>
      <c r="AN135" t="str">
        <f t="shared" si="73"/>
        <v/>
      </c>
      <c r="AO135" t="str">
        <f>IF($A135="","",Allocation2!AE135)</f>
        <v/>
      </c>
      <c r="AP135" t="str">
        <f>IF($A135="","",IF(ALLOC!$N$2="VOL_EFF",$Q135,IF(ALLOC!$N$2="VOL_CLASS",$R135,$S135)))</f>
        <v/>
      </c>
      <c r="AQ135" t="str">
        <f>IF($A135="","",IF(ALLOC!$N$2="VOL_EFF",$T135,IF(ALLOC!$N$2="VOL_CLASS",$U135,$V135)))</f>
        <v/>
      </c>
      <c r="AR135" t="str">
        <f t="shared" si="74"/>
        <v/>
      </c>
    </row>
    <row r="136" spans="1:44" x14ac:dyDescent="0.45">
      <c r="A136" t="str">
        <f>IF(Allocation2!D136="","",Allocation2!D136)</f>
        <v/>
      </c>
      <c r="B136" t="str">
        <f>IF(Allocation2!E136="","",Allocation2!E136)</f>
        <v/>
      </c>
      <c r="C136" t="str">
        <f>IF(Allocation2!F136="","",Allocation2!F136)</f>
        <v/>
      </c>
      <c r="D136" t="str">
        <f>IF(Allocation2!G136="","",Allocation2!G136)</f>
        <v/>
      </c>
      <c r="E136" t="str">
        <f>IF(Allocation2!H136="","",Allocation2!H136)</f>
        <v/>
      </c>
      <c r="F136" t="str">
        <f>IF(Allocation2!I136="","",Allocation2!I136)</f>
        <v/>
      </c>
      <c r="G136" t="str">
        <f>IF(Allocation2!E136="","",Allocation2!J136)</f>
        <v/>
      </c>
      <c r="H136" t="str">
        <f>IF(Allocation2!E136="","",Allocation2!K136)</f>
        <v/>
      </c>
      <c r="I136" t="str">
        <f>IF(Allocation2!E136="","",Allocation2!L136)</f>
        <v/>
      </c>
      <c r="J136" t="str">
        <f>IF($A136="","",Allocation2!X136)</f>
        <v/>
      </c>
      <c r="K136" t="str">
        <f t="shared" si="56"/>
        <v/>
      </c>
      <c r="L136" t="str">
        <f t="shared" si="57"/>
        <v/>
      </c>
      <c r="M136" t="str">
        <f t="shared" si="58"/>
        <v/>
      </c>
      <c r="N136" t="str">
        <f t="shared" si="59"/>
        <v/>
      </c>
      <c r="O136" t="str">
        <f t="shared" si="60"/>
        <v/>
      </c>
      <c r="P136" t="str">
        <f t="shared" si="61"/>
        <v/>
      </c>
      <c r="Q136" t="str">
        <f t="shared" si="62"/>
        <v/>
      </c>
      <c r="R136" t="str">
        <f t="shared" si="63"/>
        <v/>
      </c>
      <c r="S136" t="str">
        <f t="shared" si="64"/>
        <v/>
      </c>
      <c r="T136" t="str">
        <f t="shared" si="65"/>
        <v/>
      </c>
      <c r="U136" t="str">
        <f t="shared" si="66"/>
        <v/>
      </c>
      <c r="V136" t="str">
        <f t="shared" si="67"/>
        <v/>
      </c>
      <c r="W136" t="str">
        <f>IF($A136="","",Allocation2!Y136)</f>
        <v/>
      </c>
      <c r="X136" t="str">
        <f>IF($A136="","",Allocation2!Z136)</f>
        <v/>
      </c>
      <c r="Y136" t="str">
        <f>IF($A136="","",Allocation2!AA136)</f>
        <v/>
      </c>
      <c r="Z136" t="str">
        <f>IF($A136="","",Allocation2!AB136)</f>
        <v/>
      </c>
      <c r="AA136" t="str">
        <f>IF($A136="","",Allocation2!AC136)</f>
        <v/>
      </c>
      <c r="AB136" t="str">
        <f>IF($A136="","",Allocation2!AD136)</f>
        <v/>
      </c>
      <c r="AC136" t="str">
        <f>IF($A136="","",IF(ALLOC!$N$4="VOL_EFF",$G136,IF(ALLOC!$N$4="VOL_CLASS",$H136,$I136)))</f>
        <v/>
      </c>
      <c r="AD136" t="str">
        <f>IF($A136="","",IF(ALLOC!$N$4="VOL_EFF",$L136,IF(ALLOC!$N$4="VOL_CLASS",$M136,$N136)))</f>
        <v/>
      </c>
      <c r="AE136" t="str">
        <f>IF($A136="","",IF(ALLOC!$N$3="VOL_EFF",$L136,IF(ALLOC!$N$3="VOL_CLASS",$M136,$N136)))</f>
        <v/>
      </c>
      <c r="AF136" t="str">
        <f>IF($A136="","",IF(ALLOC!$N$3="VOL_EFF",$Q136,IF(ALLOC!$N$3="VOL_CLASS",$R136,$S136)))</f>
        <v/>
      </c>
      <c r="AG136" t="str">
        <f>IF($A136="","",IF(ALLOC!$N$1="VOL_EFF",$Q136,IF(ALLOC!$N$1="VOL_CLASS",$R136,$S136)))</f>
        <v/>
      </c>
      <c r="AH136" t="str">
        <f>IF($A136="","",IF(ALLOC!$N$1="VOL_EFF",$T136,IF(ALLOC!$N$1="VOL_CLASS",$U136,$V136)))</f>
        <v/>
      </c>
      <c r="AI136" t="str">
        <f t="shared" si="68"/>
        <v/>
      </c>
      <c r="AJ136" t="str">
        <f t="shared" si="69"/>
        <v/>
      </c>
      <c r="AK136" t="str">
        <f t="shared" si="70"/>
        <v/>
      </c>
      <c r="AL136" t="str">
        <f t="shared" si="71"/>
        <v/>
      </c>
      <c r="AM136" t="str">
        <f t="shared" si="72"/>
        <v/>
      </c>
      <c r="AN136" t="str">
        <f t="shared" si="73"/>
        <v/>
      </c>
      <c r="AO136" t="str">
        <f>IF($A136="","",Allocation2!AE136)</f>
        <v/>
      </c>
      <c r="AP136" t="str">
        <f>IF($A136="","",IF(ALLOC!$N$2="VOL_EFF",$Q136,IF(ALLOC!$N$2="VOL_CLASS",$R136,$S136)))</f>
        <v/>
      </c>
      <c r="AQ136" t="str">
        <f>IF($A136="","",IF(ALLOC!$N$2="VOL_EFF",$T136,IF(ALLOC!$N$2="VOL_CLASS",$U136,$V136)))</f>
        <v/>
      </c>
      <c r="AR136" t="str">
        <f t="shared" si="74"/>
        <v/>
      </c>
    </row>
    <row r="137" spans="1:44" x14ac:dyDescent="0.45">
      <c r="A137" t="str">
        <f>IF(Allocation2!D137="","",Allocation2!D137)</f>
        <v/>
      </c>
      <c r="B137" t="str">
        <f>IF(Allocation2!E137="","",Allocation2!E137)</f>
        <v/>
      </c>
      <c r="C137" t="str">
        <f>IF(Allocation2!F137="","",Allocation2!F137)</f>
        <v/>
      </c>
      <c r="D137" t="str">
        <f>IF(Allocation2!G137="","",Allocation2!G137)</f>
        <v/>
      </c>
      <c r="E137" t="str">
        <f>IF(Allocation2!H137="","",Allocation2!H137)</f>
        <v/>
      </c>
      <c r="F137" t="str">
        <f>IF(Allocation2!I137="","",Allocation2!I137)</f>
        <v/>
      </c>
      <c r="G137" t="str">
        <f>IF(Allocation2!E137="","",Allocation2!J137)</f>
        <v/>
      </c>
      <c r="H137" t="str">
        <f>IF(Allocation2!E137="","",Allocation2!K137)</f>
        <v/>
      </c>
      <c r="I137" t="str">
        <f>IF(Allocation2!E137="","",Allocation2!L137)</f>
        <v/>
      </c>
      <c r="J137" t="str">
        <f>IF($A137="","",Allocation2!X137)</f>
        <v/>
      </c>
      <c r="K137" t="str">
        <f t="shared" si="56"/>
        <v/>
      </c>
      <c r="L137" t="str">
        <f t="shared" si="57"/>
        <v/>
      </c>
      <c r="M137" t="str">
        <f t="shared" si="58"/>
        <v/>
      </c>
      <c r="N137" t="str">
        <f t="shared" si="59"/>
        <v/>
      </c>
      <c r="O137" t="str">
        <f t="shared" si="60"/>
        <v/>
      </c>
      <c r="P137" t="str">
        <f t="shared" si="61"/>
        <v/>
      </c>
      <c r="Q137" t="str">
        <f t="shared" si="62"/>
        <v/>
      </c>
      <c r="R137" t="str">
        <f t="shared" si="63"/>
        <v/>
      </c>
      <c r="S137" t="str">
        <f t="shared" si="64"/>
        <v/>
      </c>
      <c r="T137" t="str">
        <f t="shared" si="65"/>
        <v/>
      </c>
      <c r="U137" t="str">
        <f t="shared" si="66"/>
        <v/>
      </c>
      <c r="V137" t="str">
        <f t="shared" si="67"/>
        <v/>
      </c>
      <c r="W137" t="str">
        <f>IF($A137="","",Allocation2!Y137)</f>
        <v/>
      </c>
      <c r="X137" t="str">
        <f>IF($A137="","",Allocation2!Z137)</f>
        <v/>
      </c>
      <c r="Y137" t="str">
        <f>IF($A137="","",Allocation2!AA137)</f>
        <v/>
      </c>
      <c r="Z137" t="str">
        <f>IF($A137="","",Allocation2!AB137)</f>
        <v/>
      </c>
      <c r="AA137" t="str">
        <f>IF($A137="","",Allocation2!AC137)</f>
        <v/>
      </c>
      <c r="AB137" t="str">
        <f>IF($A137="","",Allocation2!AD137)</f>
        <v/>
      </c>
      <c r="AC137" t="str">
        <f>IF($A137="","",IF(ALLOC!$N$4="VOL_EFF",$G137,IF(ALLOC!$N$4="VOL_CLASS",$H137,$I137)))</f>
        <v/>
      </c>
      <c r="AD137" t="str">
        <f>IF($A137="","",IF(ALLOC!$N$4="VOL_EFF",$L137,IF(ALLOC!$N$4="VOL_CLASS",$M137,$N137)))</f>
        <v/>
      </c>
      <c r="AE137" t="str">
        <f>IF($A137="","",IF(ALLOC!$N$3="VOL_EFF",$L137,IF(ALLOC!$N$3="VOL_CLASS",$M137,$N137)))</f>
        <v/>
      </c>
      <c r="AF137" t="str">
        <f>IF($A137="","",IF(ALLOC!$N$3="VOL_EFF",$Q137,IF(ALLOC!$N$3="VOL_CLASS",$R137,$S137)))</f>
        <v/>
      </c>
      <c r="AG137" t="str">
        <f>IF($A137="","",IF(ALLOC!$N$1="VOL_EFF",$Q137,IF(ALLOC!$N$1="VOL_CLASS",$R137,$S137)))</f>
        <v/>
      </c>
      <c r="AH137" t="str">
        <f>IF($A137="","",IF(ALLOC!$N$1="VOL_EFF",$T137,IF(ALLOC!$N$1="VOL_CLASS",$U137,$V137)))</f>
        <v/>
      </c>
      <c r="AI137" t="str">
        <f t="shared" si="68"/>
        <v/>
      </c>
      <c r="AJ137" t="str">
        <f t="shared" si="69"/>
        <v/>
      </c>
      <c r="AK137" t="str">
        <f t="shared" si="70"/>
        <v/>
      </c>
      <c r="AL137" t="str">
        <f t="shared" si="71"/>
        <v/>
      </c>
      <c r="AM137" t="str">
        <f t="shared" si="72"/>
        <v/>
      </c>
      <c r="AN137" t="str">
        <f t="shared" si="73"/>
        <v/>
      </c>
      <c r="AO137" t="str">
        <f>IF($A137="","",Allocation2!AE137)</f>
        <v/>
      </c>
      <c r="AP137" t="str">
        <f>IF($A137="","",IF(ALLOC!$N$2="VOL_EFF",$Q137,IF(ALLOC!$N$2="VOL_CLASS",$R137,$S137)))</f>
        <v/>
      </c>
      <c r="AQ137" t="str">
        <f>IF($A137="","",IF(ALLOC!$N$2="VOL_EFF",$T137,IF(ALLOC!$N$2="VOL_CLASS",$U137,$V137)))</f>
        <v/>
      </c>
      <c r="AR137" t="str">
        <f t="shared" si="74"/>
        <v/>
      </c>
    </row>
    <row r="138" spans="1:44" x14ac:dyDescent="0.45">
      <c r="A138" t="str">
        <f>IF(Allocation2!D138="","",Allocation2!D138)</f>
        <v/>
      </c>
      <c r="B138" t="str">
        <f>IF(Allocation2!E138="","",Allocation2!E138)</f>
        <v/>
      </c>
      <c r="C138" t="str">
        <f>IF(Allocation2!F138="","",Allocation2!F138)</f>
        <v/>
      </c>
      <c r="D138" t="str">
        <f>IF(Allocation2!G138="","",Allocation2!G138)</f>
        <v/>
      </c>
      <c r="E138" t="str">
        <f>IF(Allocation2!H138="","",Allocation2!H138)</f>
        <v/>
      </c>
      <c r="F138" t="str">
        <f>IF(Allocation2!I138="","",Allocation2!I138)</f>
        <v/>
      </c>
      <c r="G138" t="str">
        <f>IF(Allocation2!E138="","",Allocation2!J138)</f>
        <v/>
      </c>
      <c r="H138" t="str">
        <f>IF(Allocation2!E138="","",Allocation2!K138)</f>
        <v/>
      </c>
      <c r="I138" t="str">
        <f>IF(Allocation2!E138="","",Allocation2!L138)</f>
        <v/>
      </c>
      <c r="J138" t="str">
        <f>IF($A138="","",Allocation2!X138)</f>
        <v/>
      </c>
      <c r="K138" t="str">
        <f t="shared" si="56"/>
        <v/>
      </c>
      <c r="L138" t="str">
        <f t="shared" si="57"/>
        <v/>
      </c>
      <c r="M138" t="str">
        <f t="shared" si="58"/>
        <v/>
      </c>
      <c r="N138" t="str">
        <f t="shared" si="59"/>
        <v/>
      </c>
      <c r="O138" t="str">
        <f t="shared" si="60"/>
        <v/>
      </c>
      <c r="P138" t="str">
        <f t="shared" si="61"/>
        <v/>
      </c>
      <c r="Q138" t="str">
        <f t="shared" si="62"/>
        <v/>
      </c>
      <c r="R138" t="str">
        <f t="shared" si="63"/>
        <v/>
      </c>
      <c r="S138" t="str">
        <f t="shared" si="64"/>
        <v/>
      </c>
      <c r="T138" t="str">
        <f t="shared" si="65"/>
        <v/>
      </c>
      <c r="U138" t="str">
        <f t="shared" si="66"/>
        <v/>
      </c>
      <c r="V138" t="str">
        <f t="shared" si="67"/>
        <v/>
      </c>
      <c r="W138" t="str">
        <f>IF($A138="","",Allocation2!Y138)</f>
        <v/>
      </c>
      <c r="X138" t="str">
        <f>IF($A138="","",Allocation2!Z138)</f>
        <v/>
      </c>
      <c r="Y138" t="str">
        <f>IF($A138="","",Allocation2!AA138)</f>
        <v/>
      </c>
      <c r="Z138" t="str">
        <f>IF($A138="","",Allocation2!AB138)</f>
        <v/>
      </c>
      <c r="AA138" t="str">
        <f>IF($A138="","",Allocation2!AC138)</f>
        <v/>
      </c>
      <c r="AB138" t="str">
        <f>IF($A138="","",Allocation2!AD138)</f>
        <v/>
      </c>
      <c r="AC138" t="str">
        <f>IF($A138="","",IF(ALLOC!$N$4="VOL_EFF",$G138,IF(ALLOC!$N$4="VOL_CLASS",$H138,$I138)))</f>
        <v/>
      </c>
      <c r="AD138" t="str">
        <f>IF($A138="","",IF(ALLOC!$N$4="VOL_EFF",$L138,IF(ALLOC!$N$4="VOL_CLASS",$M138,$N138)))</f>
        <v/>
      </c>
      <c r="AE138" t="str">
        <f>IF($A138="","",IF(ALLOC!$N$3="VOL_EFF",$L138,IF(ALLOC!$N$3="VOL_CLASS",$M138,$N138)))</f>
        <v/>
      </c>
      <c r="AF138" t="str">
        <f>IF($A138="","",IF(ALLOC!$N$3="VOL_EFF",$Q138,IF(ALLOC!$N$3="VOL_CLASS",$R138,$S138)))</f>
        <v/>
      </c>
      <c r="AG138" t="str">
        <f>IF($A138="","",IF(ALLOC!$N$1="VOL_EFF",$Q138,IF(ALLOC!$N$1="VOL_CLASS",$R138,$S138)))</f>
        <v/>
      </c>
      <c r="AH138" t="str">
        <f>IF($A138="","",IF(ALLOC!$N$1="VOL_EFF",$T138,IF(ALLOC!$N$1="VOL_CLASS",$U138,$V138)))</f>
        <v/>
      </c>
      <c r="AI138" t="str">
        <f t="shared" si="68"/>
        <v/>
      </c>
      <c r="AJ138" t="str">
        <f t="shared" si="69"/>
        <v/>
      </c>
      <c r="AK138" t="str">
        <f t="shared" si="70"/>
        <v/>
      </c>
      <c r="AL138" t="str">
        <f t="shared" si="71"/>
        <v/>
      </c>
      <c r="AM138" t="str">
        <f t="shared" si="72"/>
        <v/>
      </c>
      <c r="AN138" t="str">
        <f t="shared" si="73"/>
        <v/>
      </c>
      <c r="AO138" t="str">
        <f>IF($A138="","",Allocation2!AE138)</f>
        <v/>
      </c>
      <c r="AP138" t="str">
        <f>IF($A138="","",IF(ALLOC!$N$2="VOL_EFF",$Q138,IF(ALLOC!$N$2="VOL_CLASS",$R138,$S138)))</f>
        <v/>
      </c>
      <c r="AQ138" t="str">
        <f>IF($A138="","",IF(ALLOC!$N$2="VOL_EFF",$T138,IF(ALLOC!$N$2="VOL_CLASS",$U138,$V138)))</f>
        <v/>
      </c>
      <c r="AR138" t="str">
        <f t="shared" si="74"/>
        <v/>
      </c>
    </row>
    <row r="139" spans="1:44" x14ac:dyDescent="0.45">
      <c r="A139" t="str">
        <f>IF(Allocation2!D139="","",Allocation2!D139)</f>
        <v/>
      </c>
      <c r="B139" t="str">
        <f>IF(Allocation2!E139="","",Allocation2!E139)</f>
        <v/>
      </c>
      <c r="C139" t="str">
        <f>IF(Allocation2!F139="","",Allocation2!F139)</f>
        <v/>
      </c>
      <c r="D139" t="str">
        <f>IF(Allocation2!G139="","",Allocation2!G139)</f>
        <v/>
      </c>
      <c r="E139" t="str">
        <f>IF(Allocation2!H139="","",Allocation2!H139)</f>
        <v/>
      </c>
      <c r="F139" t="str">
        <f>IF(Allocation2!I139="","",Allocation2!I139)</f>
        <v/>
      </c>
      <c r="G139" t="str">
        <f>IF(Allocation2!E139="","",Allocation2!J139)</f>
        <v/>
      </c>
      <c r="H139" t="str">
        <f>IF(Allocation2!E139="","",Allocation2!K139)</f>
        <v/>
      </c>
      <c r="I139" t="str">
        <f>IF(Allocation2!E139="","",Allocation2!L139)</f>
        <v/>
      </c>
      <c r="J139" t="str">
        <f>IF($A139="","",Allocation2!X139)</f>
        <v/>
      </c>
      <c r="K139" t="str">
        <f t="shared" si="56"/>
        <v/>
      </c>
      <c r="L139" t="str">
        <f t="shared" si="57"/>
        <v/>
      </c>
      <c r="M139" t="str">
        <f t="shared" si="58"/>
        <v/>
      </c>
      <c r="N139" t="str">
        <f t="shared" si="59"/>
        <v/>
      </c>
      <c r="O139" t="str">
        <f t="shared" si="60"/>
        <v/>
      </c>
      <c r="P139" t="str">
        <f t="shared" si="61"/>
        <v/>
      </c>
      <c r="Q139" t="str">
        <f t="shared" si="62"/>
        <v/>
      </c>
      <c r="R139" t="str">
        <f t="shared" si="63"/>
        <v/>
      </c>
      <c r="S139" t="str">
        <f t="shared" si="64"/>
        <v/>
      </c>
      <c r="T139" t="str">
        <f t="shared" si="65"/>
        <v/>
      </c>
      <c r="U139" t="str">
        <f t="shared" si="66"/>
        <v/>
      </c>
      <c r="V139" t="str">
        <f t="shared" si="67"/>
        <v/>
      </c>
      <c r="W139" t="str">
        <f>IF($A139="","",Allocation2!Y139)</f>
        <v/>
      </c>
      <c r="X139" t="str">
        <f>IF($A139="","",Allocation2!Z139)</f>
        <v/>
      </c>
      <c r="Y139" t="str">
        <f>IF($A139="","",Allocation2!AA139)</f>
        <v/>
      </c>
      <c r="Z139" t="str">
        <f>IF($A139="","",Allocation2!AB139)</f>
        <v/>
      </c>
      <c r="AA139" t="str">
        <f>IF($A139="","",Allocation2!AC139)</f>
        <v/>
      </c>
      <c r="AB139" t="str">
        <f>IF($A139="","",Allocation2!AD139)</f>
        <v/>
      </c>
      <c r="AC139" t="str">
        <f>IF($A139="","",IF(ALLOC!$N$4="VOL_EFF",$G139,IF(ALLOC!$N$4="VOL_CLASS",$H139,$I139)))</f>
        <v/>
      </c>
      <c r="AD139" t="str">
        <f>IF($A139="","",IF(ALLOC!$N$4="VOL_EFF",$L139,IF(ALLOC!$N$4="VOL_CLASS",$M139,$N139)))</f>
        <v/>
      </c>
      <c r="AE139" t="str">
        <f>IF($A139="","",IF(ALLOC!$N$3="VOL_EFF",$L139,IF(ALLOC!$N$3="VOL_CLASS",$M139,$N139)))</f>
        <v/>
      </c>
      <c r="AF139" t="str">
        <f>IF($A139="","",IF(ALLOC!$N$3="VOL_EFF",$Q139,IF(ALLOC!$N$3="VOL_CLASS",$R139,$S139)))</f>
        <v/>
      </c>
      <c r="AG139" t="str">
        <f>IF($A139="","",IF(ALLOC!$N$1="VOL_EFF",$Q139,IF(ALLOC!$N$1="VOL_CLASS",$R139,$S139)))</f>
        <v/>
      </c>
      <c r="AH139" t="str">
        <f>IF($A139="","",IF(ALLOC!$N$1="VOL_EFF",$T139,IF(ALLOC!$N$1="VOL_CLASS",$U139,$V139)))</f>
        <v/>
      </c>
      <c r="AI139" t="str">
        <f t="shared" si="68"/>
        <v/>
      </c>
      <c r="AJ139" t="str">
        <f t="shared" si="69"/>
        <v/>
      </c>
      <c r="AK139" t="str">
        <f t="shared" si="70"/>
        <v/>
      </c>
      <c r="AL139" t="str">
        <f t="shared" si="71"/>
        <v/>
      </c>
      <c r="AM139" t="str">
        <f t="shared" si="72"/>
        <v/>
      </c>
      <c r="AN139" t="str">
        <f t="shared" si="73"/>
        <v/>
      </c>
      <c r="AO139" t="str">
        <f>IF($A139="","",Allocation2!AE139)</f>
        <v/>
      </c>
      <c r="AP139" t="str">
        <f>IF($A139="","",IF(ALLOC!$N$2="VOL_EFF",$Q139,IF(ALLOC!$N$2="VOL_CLASS",$R139,$S139)))</f>
        <v/>
      </c>
      <c r="AQ139" t="str">
        <f>IF($A139="","",IF(ALLOC!$N$2="VOL_EFF",$T139,IF(ALLOC!$N$2="VOL_CLASS",$U139,$V139)))</f>
        <v/>
      </c>
      <c r="AR139" t="str">
        <f t="shared" si="74"/>
        <v/>
      </c>
    </row>
    <row r="140" spans="1:44" x14ac:dyDescent="0.45">
      <c r="A140" t="str">
        <f>IF(Allocation2!D140="","",Allocation2!D140)</f>
        <v/>
      </c>
      <c r="B140" t="str">
        <f>IF(Allocation2!E140="","",Allocation2!E140)</f>
        <v/>
      </c>
      <c r="C140" t="str">
        <f>IF(Allocation2!F140="","",Allocation2!F140)</f>
        <v/>
      </c>
      <c r="D140" t="str">
        <f>IF(Allocation2!G140="","",Allocation2!G140)</f>
        <v/>
      </c>
      <c r="E140" t="str">
        <f>IF(Allocation2!H140="","",Allocation2!H140)</f>
        <v/>
      </c>
      <c r="F140" t="str">
        <f>IF(Allocation2!I140="","",Allocation2!I140)</f>
        <v/>
      </c>
      <c r="G140" t="str">
        <f>IF(Allocation2!E140="","",Allocation2!J140)</f>
        <v/>
      </c>
      <c r="H140" t="str">
        <f>IF(Allocation2!E140="","",Allocation2!K140)</f>
        <v/>
      </c>
      <c r="I140" t="str">
        <f>IF(Allocation2!E140="","",Allocation2!L140)</f>
        <v/>
      </c>
      <c r="J140" t="str">
        <f>IF($A140="","",Allocation2!X140)</f>
        <v/>
      </c>
      <c r="K140" t="str">
        <f t="shared" si="56"/>
        <v/>
      </c>
      <c r="L140" t="str">
        <f t="shared" si="57"/>
        <v/>
      </c>
      <c r="M140" t="str">
        <f t="shared" si="58"/>
        <v/>
      </c>
      <c r="N140" t="str">
        <f t="shared" si="59"/>
        <v/>
      </c>
      <c r="O140" t="str">
        <f t="shared" si="60"/>
        <v/>
      </c>
      <c r="P140" t="str">
        <f t="shared" si="61"/>
        <v/>
      </c>
      <c r="Q140" t="str">
        <f t="shared" si="62"/>
        <v/>
      </c>
      <c r="R140" t="str">
        <f t="shared" si="63"/>
        <v/>
      </c>
      <c r="S140" t="str">
        <f t="shared" si="64"/>
        <v/>
      </c>
      <c r="T140" t="str">
        <f t="shared" si="65"/>
        <v/>
      </c>
      <c r="U140" t="str">
        <f t="shared" si="66"/>
        <v/>
      </c>
      <c r="V140" t="str">
        <f t="shared" si="67"/>
        <v/>
      </c>
      <c r="W140" t="str">
        <f>IF($A140="","",Allocation2!Y140)</f>
        <v/>
      </c>
      <c r="X140" t="str">
        <f>IF($A140="","",Allocation2!Z140)</f>
        <v/>
      </c>
      <c r="Y140" t="str">
        <f>IF($A140="","",Allocation2!AA140)</f>
        <v/>
      </c>
      <c r="Z140" t="str">
        <f>IF($A140="","",Allocation2!AB140)</f>
        <v/>
      </c>
      <c r="AA140" t="str">
        <f>IF($A140="","",Allocation2!AC140)</f>
        <v/>
      </c>
      <c r="AB140" t="str">
        <f>IF($A140="","",Allocation2!AD140)</f>
        <v/>
      </c>
      <c r="AC140" t="str">
        <f>IF($A140="","",IF(ALLOC!$N$4="VOL_EFF",$G140,IF(ALLOC!$N$4="VOL_CLASS",$H140,$I140)))</f>
        <v/>
      </c>
      <c r="AD140" t="str">
        <f>IF($A140="","",IF(ALLOC!$N$4="VOL_EFF",$L140,IF(ALLOC!$N$4="VOL_CLASS",$M140,$N140)))</f>
        <v/>
      </c>
      <c r="AE140" t="str">
        <f>IF($A140="","",IF(ALLOC!$N$3="VOL_EFF",$L140,IF(ALLOC!$N$3="VOL_CLASS",$M140,$N140)))</f>
        <v/>
      </c>
      <c r="AF140" t="str">
        <f>IF($A140="","",IF(ALLOC!$N$3="VOL_EFF",$Q140,IF(ALLOC!$N$3="VOL_CLASS",$R140,$S140)))</f>
        <v/>
      </c>
      <c r="AG140" t="str">
        <f>IF($A140="","",IF(ALLOC!$N$1="VOL_EFF",$Q140,IF(ALLOC!$N$1="VOL_CLASS",$R140,$S140)))</f>
        <v/>
      </c>
      <c r="AH140" t="str">
        <f>IF($A140="","",IF(ALLOC!$N$1="VOL_EFF",$T140,IF(ALLOC!$N$1="VOL_CLASS",$U140,$V140)))</f>
        <v/>
      </c>
      <c r="AI140" t="str">
        <f t="shared" si="68"/>
        <v/>
      </c>
      <c r="AJ140" t="str">
        <f t="shared" si="69"/>
        <v/>
      </c>
      <c r="AK140" t="str">
        <f t="shared" si="70"/>
        <v/>
      </c>
      <c r="AL140" t="str">
        <f t="shared" si="71"/>
        <v/>
      </c>
      <c r="AM140" t="str">
        <f t="shared" si="72"/>
        <v/>
      </c>
      <c r="AN140" t="str">
        <f t="shared" si="73"/>
        <v/>
      </c>
      <c r="AO140" t="str">
        <f>IF($A140="","",Allocation2!AE140)</f>
        <v/>
      </c>
      <c r="AP140" t="str">
        <f>IF($A140="","",IF(ALLOC!$N$2="VOL_EFF",$Q140,IF(ALLOC!$N$2="VOL_CLASS",$R140,$S140)))</f>
        <v/>
      </c>
      <c r="AQ140" t="str">
        <f>IF($A140="","",IF(ALLOC!$N$2="VOL_EFF",$T140,IF(ALLOC!$N$2="VOL_CLASS",$U140,$V140)))</f>
        <v/>
      </c>
      <c r="AR140" t="str">
        <f t="shared" si="74"/>
        <v/>
      </c>
    </row>
    <row r="141" spans="1:44" x14ac:dyDescent="0.45">
      <c r="A141" t="str">
        <f>IF(Allocation2!D141="","",Allocation2!D141)</f>
        <v/>
      </c>
      <c r="B141" t="str">
        <f>IF(Allocation2!E141="","",Allocation2!E141)</f>
        <v/>
      </c>
      <c r="C141" t="str">
        <f>IF(Allocation2!F141="","",Allocation2!F141)</f>
        <v/>
      </c>
      <c r="D141" t="str">
        <f>IF(Allocation2!G141="","",Allocation2!G141)</f>
        <v/>
      </c>
      <c r="E141" t="str">
        <f>IF(Allocation2!H141="","",Allocation2!H141)</f>
        <v/>
      </c>
      <c r="F141" t="str">
        <f>IF(Allocation2!I141="","",Allocation2!I141)</f>
        <v/>
      </c>
      <c r="G141" t="str">
        <f>IF(Allocation2!E141="","",Allocation2!J141)</f>
        <v/>
      </c>
      <c r="H141" t="str">
        <f>IF(Allocation2!E141="","",Allocation2!K141)</f>
        <v/>
      </c>
      <c r="I141" t="str">
        <f>IF(Allocation2!E141="","",Allocation2!L141)</f>
        <v/>
      </c>
      <c r="J141" t="str">
        <f>IF($A141="","",Allocation2!X141)</f>
        <v/>
      </c>
      <c r="K141" t="str">
        <f t="shared" si="56"/>
        <v/>
      </c>
      <c r="L141" t="str">
        <f t="shared" si="57"/>
        <v/>
      </c>
      <c r="M141" t="str">
        <f t="shared" si="58"/>
        <v/>
      </c>
      <c r="N141" t="str">
        <f t="shared" si="59"/>
        <v/>
      </c>
      <c r="O141" t="str">
        <f t="shared" si="60"/>
        <v/>
      </c>
      <c r="P141" t="str">
        <f t="shared" si="61"/>
        <v/>
      </c>
      <c r="Q141" t="str">
        <f t="shared" si="62"/>
        <v/>
      </c>
      <c r="R141" t="str">
        <f t="shared" si="63"/>
        <v/>
      </c>
      <c r="S141" t="str">
        <f t="shared" si="64"/>
        <v/>
      </c>
      <c r="T141" t="str">
        <f t="shared" si="65"/>
        <v/>
      </c>
      <c r="U141" t="str">
        <f t="shared" si="66"/>
        <v/>
      </c>
      <c r="V141" t="str">
        <f t="shared" si="67"/>
        <v/>
      </c>
      <c r="W141" t="str">
        <f>IF($A141="","",Allocation2!Y141)</f>
        <v/>
      </c>
      <c r="X141" t="str">
        <f>IF($A141="","",Allocation2!Z141)</f>
        <v/>
      </c>
      <c r="Y141" t="str">
        <f>IF($A141="","",Allocation2!AA141)</f>
        <v/>
      </c>
      <c r="Z141" t="str">
        <f>IF($A141="","",Allocation2!AB141)</f>
        <v/>
      </c>
      <c r="AA141" t="str">
        <f>IF($A141="","",Allocation2!AC141)</f>
        <v/>
      </c>
      <c r="AB141" t="str">
        <f>IF($A141="","",Allocation2!AD141)</f>
        <v/>
      </c>
      <c r="AC141" t="str">
        <f>IF($A141="","",IF(ALLOC!$N$4="VOL_EFF",$G141,IF(ALLOC!$N$4="VOL_CLASS",$H141,$I141)))</f>
        <v/>
      </c>
      <c r="AD141" t="str">
        <f>IF($A141="","",IF(ALLOC!$N$4="VOL_EFF",$L141,IF(ALLOC!$N$4="VOL_CLASS",$M141,$N141)))</f>
        <v/>
      </c>
      <c r="AE141" t="str">
        <f>IF($A141="","",IF(ALLOC!$N$3="VOL_EFF",$L141,IF(ALLOC!$N$3="VOL_CLASS",$M141,$N141)))</f>
        <v/>
      </c>
      <c r="AF141" t="str">
        <f>IF($A141="","",IF(ALLOC!$N$3="VOL_EFF",$Q141,IF(ALLOC!$N$3="VOL_CLASS",$R141,$S141)))</f>
        <v/>
      </c>
      <c r="AG141" t="str">
        <f>IF($A141="","",IF(ALLOC!$N$1="VOL_EFF",$Q141,IF(ALLOC!$N$1="VOL_CLASS",$R141,$S141)))</f>
        <v/>
      </c>
      <c r="AH141" t="str">
        <f>IF($A141="","",IF(ALLOC!$N$1="VOL_EFF",$T141,IF(ALLOC!$N$1="VOL_CLASS",$U141,$V141)))</f>
        <v/>
      </c>
      <c r="AI141" t="str">
        <f t="shared" si="68"/>
        <v/>
      </c>
      <c r="AJ141" t="str">
        <f t="shared" si="69"/>
        <v/>
      </c>
      <c r="AK141" t="str">
        <f t="shared" si="70"/>
        <v/>
      </c>
      <c r="AL141" t="str">
        <f t="shared" si="71"/>
        <v/>
      </c>
      <c r="AM141" t="str">
        <f t="shared" si="72"/>
        <v/>
      </c>
      <c r="AN141" t="str">
        <f t="shared" si="73"/>
        <v/>
      </c>
      <c r="AO141" t="str">
        <f>IF($A141="","",Allocation2!AE141)</f>
        <v/>
      </c>
      <c r="AP141" t="str">
        <f>IF($A141="","",IF(ALLOC!$N$2="VOL_EFF",$Q141,IF(ALLOC!$N$2="VOL_CLASS",$R141,$S141)))</f>
        <v/>
      </c>
      <c r="AQ141" t="str">
        <f>IF($A141="","",IF(ALLOC!$N$2="VOL_EFF",$T141,IF(ALLOC!$N$2="VOL_CLASS",$U141,$V141)))</f>
        <v/>
      </c>
      <c r="AR141" t="str">
        <f t="shared" si="74"/>
        <v/>
      </c>
    </row>
    <row r="142" spans="1:44" x14ac:dyDescent="0.45">
      <c r="A142" t="str">
        <f>IF(Allocation2!D142="","",Allocation2!D142)</f>
        <v/>
      </c>
      <c r="B142" t="str">
        <f>IF(Allocation2!E142="","",Allocation2!E142)</f>
        <v/>
      </c>
      <c r="C142" t="str">
        <f>IF(Allocation2!F142="","",Allocation2!F142)</f>
        <v/>
      </c>
      <c r="D142" t="str">
        <f>IF(Allocation2!G142="","",Allocation2!G142)</f>
        <v/>
      </c>
      <c r="E142" t="str">
        <f>IF(Allocation2!H142="","",Allocation2!H142)</f>
        <v/>
      </c>
      <c r="F142" t="str">
        <f>IF(Allocation2!I142="","",Allocation2!I142)</f>
        <v/>
      </c>
      <c r="G142" t="str">
        <f>IF(Allocation2!E142="","",Allocation2!J142)</f>
        <v/>
      </c>
      <c r="H142" t="str">
        <f>IF(Allocation2!E142="","",Allocation2!K142)</f>
        <v/>
      </c>
      <c r="I142" t="str">
        <f>IF(Allocation2!E142="","",Allocation2!L142)</f>
        <v/>
      </c>
      <c r="J142" t="str">
        <f>IF($A142="","",Allocation2!X142)</f>
        <v/>
      </c>
      <c r="K142" t="str">
        <f t="shared" si="56"/>
        <v/>
      </c>
      <c r="L142" t="str">
        <f t="shared" si="57"/>
        <v/>
      </c>
      <c r="M142" t="str">
        <f t="shared" si="58"/>
        <v/>
      </c>
      <c r="N142" t="str">
        <f t="shared" si="59"/>
        <v/>
      </c>
      <c r="O142" t="str">
        <f t="shared" si="60"/>
        <v/>
      </c>
      <c r="P142" t="str">
        <f t="shared" si="61"/>
        <v/>
      </c>
      <c r="Q142" t="str">
        <f t="shared" si="62"/>
        <v/>
      </c>
      <c r="R142" t="str">
        <f t="shared" si="63"/>
        <v/>
      </c>
      <c r="S142" t="str">
        <f t="shared" si="64"/>
        <v/>
      </c>
      <c r="T142" t="str">
        <f t="shared" si="65"/>
        <v/>
      </c>
      <c r="U142" t="str">
        <f t="shared" si="66"/>
        <v/>
      </c>
      <c r="V142" t="str">
        <f t="shared" si="67"/>
        <v/>
      </c>
      <c r="W142" t="str">
        <f>IF($A142="","",Allocation2!Y142)</f>
        <v/>
      </c>
      <c r="X142" t="str">
        <f>IF($A142="","",Allocation2!Z142)</f>
        <v/>
      </c>
      <c r="Y142" t="str">
        <f>IF($A142="","",Allocation2!AA142)</f>
        <v/>
      </c>
      <c r="Z142" t="str">
        <f>IF($A142="","",Allocation2!AB142)</f>
        <v/>
      </c>
      <c r="AA142" t="str">
        <f>IF($A142="","",Allocation2!AC142)</f>
        <v/>
      </c>
      <c r="AB142" t="str">
        <f>IF($A142="","",Allocation2!AD142)</f>
        <v/>
      </c>
      <c r="AC142" t="str">
        <f>IF($A142="","",IF(ALLOC!$N$4="VOL_EFF",$G142,IF(ALLOC!$N$4="VOL_CLASS",$H142,$I142)))</f>
        <v/>
      </c>
      <c r="AD142" t="str">
        <f>IF($A142="","",IF(ALLOC!$N$4="VOL_EFF",$L142,IF(ALLOC!$N$4="VOL_CLASS",$M142,$N142)))</f>
        <v/>
      </c>
      <c r="AE142" t="str">
        <f>IF($A142="","",IF(ALLOC!$N$3="VOL_EFF",$L142,IF(ALLOC!$N$3="VOL_CLASS",$M142,$N142)))</f>
        <v/>
      </c>
      <c r="AF142" t="str">
        <f>IF($A142="","",IF(ALLOC!$N$3="VOL_EFF",$Q142,IF(ALLOC!$N$3="VOL_CLASS",$R142,$S142)))</f>
        <v/>
      </c>
      <c r="AG142" t="str">
        <f>IF($A142="","",IF(ALLOC!$N$1="VOL_EFF",$Q142,IF(ALLOC!$N$1="VOL_CLASS",$R142,$S142)))</f>
        <v/>
      </c>
      <c r="AH142" t="str">
        <f>IF($A142="","",IF(ALLOC!$N$1="VOL_EFF",$T142,IF(ALLOC!$N$1="VOL_CLASS",$U142,$V142)))</f>
        <v/>
      </c>
      <c r="AI142" t="str">
        <f t="shared" si="68"/>
        <v/>
      </c>
      <c r="AJ142" t="str">
        <f t="shared" si="69"/>
        <v/>
      </c>
      <c r="AK142" t="str">
        <f t="shared" si="70"/>
        <v/>
      </c>
      <c r="AL142" t="str">
        <f t="shared" si="71"/>
        <v/>
      </c>
      <c r="AM142" t="str">
        <f t="shared" si="72"/>
        <v/>
      </c>
      <c r="AN142" t="str">
        <f t="shared" si="73"/>
        <v/>
      </c>
      <c r="AO142" t="str">
        <f>IF($A142="","",Allocation2!AE142)</f>
        <v/>
      </c>
      <c r="AP142" t="str">
        <f>IF($A142="","",IF(ALLOC!$N$2="VOL_EFF",$Q142,IF(ALLOC!$N$2="VOL_CLASS",$R142,$S142)))</f>
        <v/>
      </c>
      <c r="AQ142" t="str">
        <f>IF($A142="","",IF(ALLOC!$N$2="VOL_EFF",$T142,IF(ALLOC!$N$2="VOL_CLASS",$U142,$V142)))</f>
        <v/>
      </c>
      <c r="AR142" t="str">
        <f t="shared" si="74"/>
        <v/>
      </c>
    </row>
    <row r="143" spans="1:44" x14ac:dyDescent="0.45">
      <c r="A143" t="str">
        <f>IF(Allocation2!D143="","",Allocation2!D143)</f>
        <v/>
      </c>
      <c r="B143" t="str">
        <f>IF(Allocation2!E143="","",Allocation2!E143)</f>
        <v/>
      </c>
      <c r="C143" t="str">
        <f>IF(Allocation2!F143="","",Allocation2!F143)</f>
        <v/>
      </c>
      <c r="D143" t="str">
        <f>IF(Allocation2!G143="","",Allocation2!G143)</f>
        <v/>
      </c>
      <c r="E143" t="str">
        <f>IF(Allocation2!H143="","",Allocation2!H143)</f>
        <v/>
      </c>
      <c r="F143" t="str">
        <f>IF(Allocation2!I143="","",Allocation2!I143)</f>
        <v/>
      </c>
      <c r="G143" t="str">
        <f>IF(Allocation2!E143="","",Allocation2!J143)</f>
        <v/>
      </c>
      <c r="H143" t="str">
        <f>IF(Allocation2!E143="","",Allocation2!K143)</f>
        <v/>
      </c>
      <c r="I143" t="str">
        <f>IF(Allocation2!E143="","",Allocation2!L143)</f>
        <v/>
      </c>
      <c r="J143" t="str">
        <f>IF($A143="","",Allocation2!X143)</f>
        <v/>
      </c>
      <c r="K143" t="str">
        <f t="shared" si="56"/>
        <v/>
      </c>
      <c r="L143" t="str">
        <f t="shared" si="57"/>
        <v/>
      </c>
      <c r="M143" t="str">
        <f t="shared" si="58"/>
        <v/>
      </c>
      <c r="N143" t="str">
        <f t="shared" si="59"/>
        <v/>
      </c>
      <c r="O143" t="str">
        <f t="shared" si="60"/>
        <v/>
      </c>
      <c r="P143" t="str">
        <f t="shared" si="61"/>
        <v/>
      </c>
      <c r="Q143" t="str">
        <f t="shared" si="62"/>
        <v/>
      </c>
      <c r="R143" t="str">
        <f t="shared" si="63"/>
        <v/>
      </c>
      <c r="S143" t="str">
        <f t="shared" si="64"/>
        <v/>
      </c>
      <c r="T143" t="str">
        <f t="shared" si="65"/>
        <v/>
      </c>
      <c r="U143" t="str">
        <f t="shared" si="66"/>
        <v/>
      </c>
      <c r="V143" t="str">
        <f t="shared" si="67"/>
        <v/>
      </c>
      <c r="W143" t="str">
        <f>IF($A143="","",Allocation2!Y143)</f>
        <v/>
      </c>
      <c r="X143" t="str">
        <f>IF($A143="","",Allocation2!Z143)</f>
        <v/>
      </c>
      <c r="Y143" t="str">
        <f>IF($A143="","",Allocation2!AA143)</f>
        <v/>
      </c>
      <c r="Z143" t="str">
        <f>IF($A143="","",Allocation2!AB143)</f>
        <v/>
      </c>
      <c r="AA143" t="str">
        <f>IF($A143="","",Allocation2!AC143)</f>
        <v/>
      </c>
      <c r="AB143" t="str">
        <f>IF($A143="","",Allocation2!AD143)</f>
        <v/>
      </c>
      <c r="AC143" t="str">
        <f>IF($A143="","",IF(ALLOC!$N$4="VOL_EFF",$G143,IF(ALLOC!$N$4="VOL_CLASS",$H143,$I143)))</f>
        <v/>
      </c>
      <c r="AD143" t="str">
        <f>IF($A143="","",IF(ALLOC!$N$4="VOL_EFF",$L143,IF(ALLOC!$N$4="VOL_CLASS",$M143,$N143)))</f>
        <v/>
      </c>
      <c r="AE143" t="str">
        <f>IF($A143="","",IF(ALLOC!$N$3="VOL_EFF",$L143,IF(ALLOC!$N$3="VOL_CLASS",$M143,$N143)))</f>
        <v/>
      </c>
      <c r="AF143" t="str">
        <f>IF($A143="","",IF(ALLOC!$N$3="VOL_EFF",$Q143,IF(ALLOC!$N$3="VOL_CLASS",$R143,$S143)))</f>
        <v/>
      </c>
      <c r="AG143" t="str">
        <f>IF($A143="","",IF(ALLOC!$N$1="VOL_EFF",$Q143,IF(ALLOC!$N$1="VOL_CLASS",$R143,$S143)))</f>
        <v/>
      </c>
      <c r="AH143" t="str">
        <f>IF($A143="","",IF(ALLOC!$N$1="VOL_EFF",$T143,IF(ALLOC!$N$1="VOL_CLASS",$U143,$V143)))</f>
        <v/>
      </c>
      <c r="AI143" t="str">
        <f t="shared" si="68"/>
        <v/>
      </c>
      <c r="AJ143" t="str">
        <f t="shared" si="69"/>
        <v/>
      </c>
      <c r="AK143" t="str">
        <f t="shared" si="70"/>
        <v/>
      </c>
      <c r="AL143" t="str">
        <f t="shared" si="71"/>
        <v/>
      </c>
      <c r="AM143" t="str">
        <f t="shared" si="72"/>
        <v/>
      </c>
      <c r="AN143" t="str">
        <f t="shared" si="73"/>
        <v/>
      </c>
      <c r="AO143" t="str">
        <f>IF($A143="","",Allocation2!AE143)</f>
        <v/>
      </c>
      <c r="AP143" t="str">
        <f>IF($A143="","",IF(ALLOC!$N$2="VOL_EFF",$Q143,IF(ALLOC!$N$2="VOL_CLASS",$R143,$S143)))</f>
        <v/>
      </c>
      <c r="AQ143" t="str">
        <f>IF($A143="","",IF(ALLOC!$N$2="VOL_EFF",$T143,IF(ALLOC!$N$2="VOL_CLASS",$U143,$V143)))</f>
        <v/>
      </c>
      <c r="AR143" t="str">
        <f t="shared" si="74"/>
        <v/>
      </c>
    </row>
    <row r="144" spans="1:44" x14ac:dyDescent="0.45">
      <c r="A144" t="str">
        <f>IF(Allocation2!D144="","",Allocation2!D144)</f>
        <v/>
      </c>
      <c r="B144" t="str">
        <f>IF(Allocation2!E144="","",Allocation2!E144)</f>
        <v/>
      </c>
      <c r="C144" t="str">
        <f>IF(Allocation2!F144="","",Allocation2!F144)</f>
        <v/>
      </c>
      <c r="D144" t="str">
        <f>IF(Allocation2!G144="","",Allocation2!G144)</f>
        <v/>
      </c>
      <c r="E144" t="str">
        <f>IF(Allocation2!H144="","",Allocation2!H144)</f>
        <v/>
      </c>
      <c r="F144" t="str">
        <f>IF(Allocation2!I144="","",Allocation2!I144)</f>
        <v/>
      </c>
      <c r="G144" t="str">
        <f>IF(Allocation2!E144="","",Allocation2!J144)</f>
        <v/>
      </c>
      <c r="H144" t="str">
        <f>IF(Allocation2!E144="","",Allocation2!K144)</f>
        <v/>
      </c>
      <c r="I144" t="str">
        <f>IF(Allocation2!E144="","",Allocation2!L144)</f>
        <v/>
      </c>
      <c r="J144" t="str">
        <f>IF($A144="","",Allocation2!X144)</f>
        <v/>
      </c>
      <c r="K144" t="str">
        <f t="shared" si="56"/>
        <v/>
      </c>
      <c r="L144" t="str">
        <f t="shared" si="57"/>
        <v/>
      </c>
      <c r="M144" t="str">
        <f t="shared" si="58"/>
        <v/>
      </c>
      <c r="N144" t="str">
        <f t="shared" si="59"/>
        <v/>
      </c>
      <c r="O144" t="str">
        <f t="shared" si="60"/>
        <v/>
      </c>
      <c r="P144" t="str">
        <f t="shared" si="61"/>
        <v/>
      </c>
      <c r="Q144" t="str">
        <f t="shared" si="62"/>
        <v/>
      </c>
      <c r="R144" t="str">
        <f t="shared" si="63"/>
        <v/>
      </c>
      <c r="S144" t="str">
        <f t="shared" si="64"/>
        <v/>
      </c>
      <c r="T144" t="str">
        <f t="shared" si="65"/>
        <v/>
      </c>
      <c r="U144" t="str">
        <f t="shared" si="66"/>
        <v/>
      </c>
      <c r="V144" t="str">
        <f t="shared" si="67"/>
        <v/>
      </c>
      <c r="W144" t="str">
        <f>IF($A144="","",Allocation2!Y144)</f>
        <v/>
      </c>
      <c r="X144" t="str">
        <f>IF($A144="","",Allocation2!Z144)</f>
        <v/>
      </c>
      <c r="Y144" t="str">
        <f>IF($A144="","",Allocation2!AA144)</f>
        <v/>
      </c>
      <c r="Z144" t="str">
        <f>IF($A144="","",Allocation2!AB144)</f>
        <v/>
      </c>
      <c r="AA144" t="str">
        <f>IF($A144="","",Allocation2!AC144)</f>
        <v/>
      </c>
      <c r="AB144" t="str">
        <f>IF($A144="","",Allocation2!AD144)</f>
        <v/>
      </c>
      <c r="AC144" t="str">
        <f>IF($A144="","",IF(ALLOC!$N$4="VOL_EFF",$G144,IF(ALLOC!$N$4="VOL_CLASS",$H144,$I144)))</f>
        <v/>
      </c>
      <c r="AD144" t="str">
        <f>IF($A144="","",IF(ALLOC!$N$4="VOL_EFF",$L144,IF(ALLOC!$N$4="VOL_CLASS",$M144,$N144)))</f>
        <v/>
      </c>
      <c r="AE144" t="str">
        <f>IF($A144="","",IF(ALLOC!$N$3="VOL_EFF",$L144,IF(ALLOC!$N$3="VOL_CLASS",$M144,$N144)))</f>
        <v/>
      </c>
      <c r="AF144" t="str">
        <f>IF($A144="","",IF(ALLOC!$N$3="VOL_EFF",$Q144,IF(ALLOC!$N$3="VOL_CLASS",$R144,$S144)))</f>
        <v/>
      </c>
      <c r="AG144" t="str">
        <f>IF($A144="","",IF(ALLOC!$N$1="VOL_EFF",$Q144,IF(ALLOC!$N$1="VOL_CLASS",$R144,$S144)))</f>
        <v/>
      </c>
      <c r="AH144" t="str">
        <f>IF($A144="","",IF(ALLOC!$N$1="VOL_EFF",$T144,IF(ALLOC!$N$1="VOL_CLASS",$U144,$V144)))</f>
        <v/>
      </c>
      <c r="AI144" t="str">
        <f t="shared" si="68"/>
        <v/>
      </c>
      <c r="AJ144" t="str">
        <f t="shared" si="69"/>
        <v/>
      </c>
      <c r="AK144" t="str">
        <f t="shared" si="70"/>
        <v/>
      </c>
      <c r="AL144" t="str">
        <f t="shared" si="71"/>
        <v/>
      </c>
      <c r="AM144" t="str">
        <f t="shared" si="72"/>
        <v/>
      </c>
      <c r="AN144" t="str">
        <f t="shared" si="73"/>
        <v/>
      </c>
      <c r="AO144" t="str">
        <f>IF($A144="","",Allocation2!AE144)</f>
        <v/>
      </c>
      <c r="AP144" t="str">
        <f>IF($A144="","",IF(ALLOC!$N$2="VOL_EFF",$Q144,IF(ALLOC!$N$2="VOL_CLASS",$R144,$S144)))</f>
        <v/>
      </c>
      <c r="AQ144" t="str">
        <f>IF($A144="","",IF(ALLOC!$N$2="VOL_EFF",$T144,IF(ALLOC!$N$2="VOL_CLASS",$U144,$V144)))</f>
        <v/>
      </c>
      <c r="AR144" t="str">
        <f t="shared" si="74"/>
        <v/>
      </c>
    </row>
    <row r="145" spans="1:44" x14ac:dyDescent="0.45">
      <c r="A145" t="str">
        <f>IF(Allocation2!D145="","",Allocation2!D145)</f>
        <v/>
      </c>
      <c r="B145" t="str">
        <f>IF(Allocation2!E145="","",Allocation2!E145)</f>
        <v/>
      </c>
      <c r="C145" t="str">
        <f>IF(Allocation2!F145="","",Allocation2!F145)</f>
        <v/>
      </c>
      <c r="D145" t="str">
        <f>IF(Allocation2!G145="","",Allocation2!G145)</f>
        <v/>
      </c>
      <c r="E145" t="str">
        <f>IF(Allocation2!H145="","",Allocation2!H145)</f>
        <v/>
      </c>
      <c r="F145" t="str">
        <f>IF(Allocation2!I145="","",Allocation2!I145)</f>
        <v/>
      </c>
      <c r="G145" t="str">
        <f>IF(Allocation2!E145="","",Allocation2!J145)</f>
        <v/>
      </c>
      <c r="H145" t="str">
        <f>IF(Allocation2!E145="","",Allocation2!K145)</f>
        <v/>
      </c>
      <c r="I145" t="str">
        <f>IF(Allocation2!E145="","",Allocation2!L145)</f>
        <v/>
      </c>
      <c r="J145" t="str">
        <f>IF($A145="","",Allocation2!X145)</f>
        <v/>
      </c>
      <c r="K145" t="str">
        <f t="shared" si="56"/>
        <v/>
      </c>
      <c r="L145" t="str">
        <f t="shared" si="57"/>
        <v/>
      </c>
      <c r="M145" t="str">
        <f t="shared" si="58"/>
        <v/>
      </c>
      <c r="N145" t="str">
        <f t="shared" si="59"/>
        <v/>
      </c>
      <c r="O145" t="str">
        <f t="shared" si="60"/>
        <v/>
      </c>
      <c r="P145" t="str">
        <f t="shared" si="61"/>
        <v/>
      </c>
      <c r="Q145" t="str">
        <f t="shared" si="62"/>
        <v/>
      </c>
      <c r="R145" t="str">
        <f t="shared" si="63"/>
        <v/>
      </c>
      <c r="S145" t="str">
        <f t="shared" si="64"/>
        <v/>
      </c>
      <c r="T145" t="str">
        <f t="shared" si="65"/>
        <v/>
      </c>
      <c r="U145" t="str">
        <f t="shared" si="66"/>
        <v/>
      </c>
      <c r="V145" t="str">
        <f t="shared" si="67"/>
        <v/>
      </c>
      <c r="W145" t="str">
        <f>IF($A145="","",Allocation2!Y145)</f>
        <v/>
      </c>
      <c r="X145" t="str">
        <f>IF($A145="","",Allocation2!Z145)</f>
        <v/>
      </c>
      <c r="Y145" t="str">
        <f>IF($A145="","",Allocation2!AA145)</f>
        <v/>
      </c>
      <c r="Z145" t="str">
        <f>IF($A145="","",Allocation2!AB145)</f>
        <v/>
      </c>
      <c r="AA145" t="str">
        <f>IF($A145="","",Allocation2!AC145)</f>
        <v/>
      </c>
      <c r="AB145" t="str">
        <f>IF($A145="","",Allocation2!AD145)</f>
        <v/>
      </c>
      <c r="AC145" t="str">
        <f>IF($A145="","",IF(ALLOC!$N$4="VOL_EFF",$G145,IF(ALLOC!$N$4="VOL_CLASS",$H145,$I145)))</f>
        <v/>
      </c>
      <c r="AD145" t="str">
        <f>IF($A145="","",IF(ALLOC!$N$4="VOL_EFF",$L145,IF(ALLOC!$N$4="VOL_CLASS",$M145,$N145)))</f>
        <v/>
      </c>
      <c r="AE145" t="str">
        <f>IF($A145="","",IF(ALLOC!$N$3="VOL_EFF",$L145,IF(ALLOC!$N$3="VOL_CLASS",$M145,$N145)))</f>
        <v/>
      </c>
      <c r="AF145" t="str">
        <f>IF($A145="","",IF(ALLOC!$N$3="VOL_EFF",$Q145,IF(ALLOC!$N$3="VOL_CLASS",$R145,$S145)))</f>
        <v/>
      </c>
      <c r="AG145" t="str">
        <f>IF($A145="","",IF(ALLOC!$N$1="VOL_EFF",$Q145,IF(ALLOC!$N$1="VOL_CLASS",$R145,$S145)))</f>
        <v/>
      </c>
      <c r="AH145" t="str">
        <f>IF($A145="","",IF(ALLOC!$N$1="VOL_EFF",$T145,IF(ALLOC!$N$1="VOL_CLASS",$U145,$V145)))</f>
        <v/>
      </c>
      <c r="AI145" t="str">
        <f t="shared" si="68"/>
        <v/>
      </c>
      <c r="AJ145" t="str">
        <f t="shared" si="69"/>
        <v/>
      </c>
      <c r="AK145" t="str">
        <f t="shared" si="70"/>
        <v/>
      </c>
      <c r="AL145" t="str">
        <f t="shared" si="71"/>
        <v/>
      </c>
      <c r="AM145" t="str">
        <f t="shared" si="72"/>
        <v/>
      </c>
      <c r="AN145" t="str">
        <f t="shared" si="73"/>
        <v/>
      </c>
      <c r="AO145" t="str">
        <f>IF($A145="","",Allocation2!AE145)</f>
        <v/>
      </c>
      <c r="AP145" t="str">
        <f>IF($A145="","",IF(ALLOC!$N$2="VOL_EFF",$Q145,IF(ALLOC!$N$2="VOL_CLASS",$R145,$S145)))</f>
        <v/>
      </c>
      <c r="AQ145" t="str">
        <f>IF($A145="","",IF(ALLOC!$N$2="VOL_EFF",$T145,IF(ALLOC!$N$2="VOL_CLASS",$U145,$V145)))</f>
        <v/>
      </c>
      <c r="AR145" t="str">
        <f t="shared" si="74"/>
        <v/>
      </c>
    </row>
    <row r="146" spans="1:44" x14ac:dyDescent="0.45">
      <c r="A146" t="str">
        <f>IF(Allocation2!D146="","",Allocation2!D146)</f>
        <v/>
      </c>
      <c r="B146" t="str">
        <f>IF(Allocation2!E146="","",Allocation2!E146)</f>
        <v/>
      </c>
      <c r="C146" t="str">
        <f>IF(Allocation2!F146="","",Allocation2!F146)</f>
        <v/>
      </c>
      <c r="D146" t="str">
        <f>IF(Allocation2!G146="","",Allocation2!G146)</f>
        <v/>
      </c>
      <c r="E146" t="str">
        <f>IF(Allocation2!H146="","",Allocation2!H146)</f>
        <v/>
      </c>
      <c r="F146" t="str">
        <f>IF(Allocation2!I146="","",Allocation2!I146)</f>
        <v/>
      </c>
      <c r="G146" t="str">
        <f>IF(Allocation2!E146="","",Allocation2!J146)</f>
        <v/>
      </c>
      <c r="H146" t="str">
        <f>IF(Allocation2!E146="","",Allocation2!K146)</f>
        <v/>
      </c>
      <c r="I146" t="str">
        <f>IF(Allocation2!E146="","",Allocation2!L146)</f>
        <v/>
      </c>
      <c r="J146" t="str">
        <f>IF($A146="","",Allocation2!X146)</f>
        <v/>
      </c>
      <c r="K146" t="str">
        <f t="shared" si="56"/>
        <v/>
      </c>
      <c r="L146" t="str">
        <f t="shared" si="57"/>
        <v/>
      </c>
      <c r="M146" t="str">
        <f t="shared" si="58"/>
        <v/>
      </c>
      <c r="N146" t="str">
        <f t="shared" si="59"/>
        <v/>
      </c>
      <c r="O146" t="str">
        <f t="shared" si="60"/>
        <v/>
      </c>
      <c r="P146" t="str">
        <f t="shared" si="61"/>
        <v/>
      </c>
      <c r="Q146" t="str">
        <f t="shared" si="62"/>
        <v/>
      </c>
      <c r="R146" t="str">
        <f t="shared" si="63"/>
        <v/>
      </c>
      <c r="S146" t="str">
        <f t="shared" si="64"/>
        <v/>
      </c>
      <c r="T146" t="str">
        <f t="shared" si="65"/>
        <v/>
      </c>
      <c r="U146" t="str">
        <f t="shared" si="66"/>
        <v/>
      </c>
      <c r="V146" t="str">
        <f t="shared" si="67"/>
        <v/>
      </c>
      <c r="W146" t="str">
        <f>IF($A146="","",Allocation2!Y146)</f>
        <v/>
      </c>
      <c r="X146" t="str">
        <f>IF($A146="","",Allocation2!Z146)</f>
        <v/>
      </c>
      <c r="Y146" t="str">
        <f>IF($A146="","",Allocation2!AA146)</f>
        <v/>
      </c>
      <c r="Z146" t="str">
        <f>IF($A146="","",Allocation2!AB146)</f>
        <v/>
      </c>
      <c r="AA146" t="str">
        <f>IF($A146="","",Allocation2!AC146)</f>
        <v/>
      </c>
      <c r="AB146" t="str">
        <f>IF($A146="","",Allocation2!AD146)</f>
        <v/>
      </c>
      <c r="AC146" t="str">
        <f>IF($A146="","",IF(ALLOC!$N$4="VOL_EFF",$G146,IF(ALLOC!$N$4="VOL_CLASS",$H146,$I146)))</f>
        <v/>
      </c>
      <c r="AD146" t="str">
        <f>IF($A146="","",IF(ALLOC!$N$4="VOL_EFF",$L146,IF(ALLOC!$N$4="VOL_CLASS",$M146,$N146)))</f>
        <v/>
      </c>
      <c r="AE146" t="str">
        <f>IF($A146="","",IF(ALLOC!$N$3="VOL_EFF",$L146,IF(ALLOC!$N$3="VOL_CLASS",$M146,$N146)))</f>
        <v/>
      </c>
      <c r="AF146" t="str">
        <f>IF($A146="","",IF(ALLOC!$N$3="VOL_EFF",$Q146,IF(ALLOC!$N$3="VOL_CLASS",$R146,$S146)))</f>
        <v/>
      </c>
      <c r="AG146" t="str">
        <f>IF($A146="","",IF(ALLOC!$N$1="VOL_EFF",$Q146,IF(ALLOC!$N$1="VOL_CLASS",$R146,$S146)))</f>
        <v/>
      </c>
      <c r="AH146" t="str">
        <f>IF($A146="","",IF(ALLOC!$N$1="VOL_EFF",$T146,IF(ALLOC!$N$1="VOL_CLASS",$U146,$V146)))</f>
        <v/>
      </c>
      <c r="AI146" t="str">
        <f t="shared" si="68"/>
        <v/>
      </c>
      <c r="AJ146" t="str">
        <f t="shared" si="69"/>
        <v/>
      </c>
      <c r="AK146" t="str">
        <f t="shared" si="70"/>
        <v/>
      </c>
      <c r="AL146" t="str">
        <f t="shared" si="71"/>
        <v/>
      </c>
      <c r="AM146" t="str">
        <f t="shared" si="72"/>
        <v/>
      </c>
      <c r="AN146" t="str">
        <f t="shared" si="73"/>
        <v/>
      </c>
      <c r="AO146" t="str">
        <f>IF($A146="","",Allocation2!AE146)</f>
        <v/>
      </c>
      <c r="AP146" t="str">
        <f>IF($A146="","",IF(ALLOC!$N$2="VOL_EFF",$Q146,IF(ALLOC!$N$2="VOL_CLASS",$R146,$S146)))</f>
        <v/>
      </c>
      <c r="AQ146" t="str">
        <f>IF($A146="","",IF(ALLOC!$N$2="VOL_EFF",$T146,IF(ALLOC!$N$2="VOL_CLASS",$U146,$V146)))</f>
        <v/>
      </c>
      <c r="AR146" t="str">
        <f t="shared" si="74"/>
        <v/>
      </c>
    </row>
    <row r="147" spans="1:44" x14ac:dyDescent="0.45">
      <c r="A147" t="str">
        <f>IF(Allocation2!D147="","",Allocation2!D147)</f>
        <v/>
      </c>
      <c r="B147" t="str">
        <f>IF(Allocation2!E147="","",Allocation2!E147)</f>
        <v/>
      </c>
      <c r="C147" t="str">
        <f>IF(Allocation2!F147="","",Allocation2!F147)</f>
        <v/>
      </c>
      <c r="D147" t="str">
        <f>IF(Allocation2!G147="","",Allocation2!G147)</f>
        <v/>
      </c>
      <c r="E147" t="str">
        <f>IF(Allocation2!H147="","",Allocation2!H147)</f>
        <v/>
      </c>
      <c r="F147" t="str">
        <f>IF(Allocation2!I147="","",Allocation2!I147)</f>
        <v/>
      </c>
      <c r="G147" t="str">
        <f>IF(Allocation2!E147="","",Allocation2!J147)</f>
        <v/>
      </c>
      <c r="H147" t="str">
        <f>IF(Allocation2!E147="","",Allocation2!K147)</f>
        <v/>
      </c>
      <c r="I147" t="str">
        <f>IF(Allocation2!E147="","",Allocation2!L147)</f>
        <v/>
      </c>
      <c r="J147" t="str">
        <f>IF($A147="","",Allocation2!X147)</f>
        <v/>
      </c>
      <c r="K147" t="str">
        <f t="shared" si="56"/>
        <v/>
      </c>
      <c r="L147" t="str">
        <f t="shared" si="57"/>
        <v/>
      </c>
      <c r="M147" t="str">
        <f t="shared" si="58"/>
        <v/>
      </c>
      <c r="N147" t="str">
        <f t="shared" si="59"/>
        <v/>
      </c>
      <c r="O147" t="str">
        <f t="shared" si="60"/>
        <v/>
      </c>
      <c r="P147" t="str">
        <f t="shared" si="61"/>
        <v/>
      </c>
      <c r="Q147" t="str">
        <f t="shared" si="62"/>
        <v/>
      </c>
      <c r="R147" t="str">
        <f t="shared" si="63"/>
        <v/>
      </c>
      <c r="S147" t="str">
        <f t="shared" si="64"/>
        <v/>
      </c>
      <c r="T147" t="str">
        <f t="shared" si="65"/>
        <v/>
      </c>
      <c r="U147" t="str">
        <f t="shared" si="66"/>
        <v/>
      </c>
      <c r="V147" t="str">
        <f t="shared" si="67"/>
        <v/>
      </c>
      <c r="W147" t="str">
        <f>IF($A147="","",Allocation2!Y147)</f>
        <v/>
      </c>
      <c r="X147" t="str">
        <f>IF($A147="","",Allocation2!Z147)</f>
        <v/>
      </c>
      <c r="Y147" t="str">
        <f>IF($A147="","",Allocation2!AA147)</f>
        <v/>
      </c>
      <c r="Z147" t="str">
        <f>IF($A147="","",Allocation2!AB147)</f>
        <v/>
      </c>
      <c r="AA147" t="str">
        <f>IF($A147="","",Allocation2!AC147)</f>
        <v/>
      </c>
      <c r="AB147" t="str">
        <f>IF($A147="","",Allocation2!AD147)</f>
        <v/>
      </c>
      <c r="AC147" t="str">
        <f>IF($A147="","",IF(ALLOC!$N$4="VOL_EFF",$G147,IF(ALLOC!$N$4="VOL_CLASS",$H147,$I147)))</f>
        <v/>
      </c>
      <c r="AD147" t="str">
        <f>IF($A147="","",IF(ALLOC!$N$4="VOL_EFF",$L147,IF(ALLOC!$N$4="VOL_CLASS",$M147,$N147)))</f>
        <v/>
      </c>
      <c r="AE147" t="str">
        <f>IF($A147="","",IF(ALLOC!$N$3="VOL_EFF",$L147,IF(ALLOC!$N$3="VOL_CLASS",$M147,$N147)))</f>
        <v/>
      </c>
      <c r="AF147" t="str">
        <f>IF($A147="","",IF(ALLOC!$N$3="VOL_EFF",$Q147,IF(ALLOC!$N$3="VOL_CLASS",$R147,$S147)))</f>
        <v/>
      </c>
      <c r="AG147" t="str">
        <f>IF($A147="","",IF(ALLOC!$N$1="VOL_EFF",$Q147,IF(ALLOC!$N$1="VOL_CLASS",$R147,$S147)))</f>
        <v/>
      </c>
      <c r="AH147" t="str">
        <f>IF($A147="","",IF(ALLOC!$N$1="VOL_EFF",$T147,IF(ALLOC!$N$1="VOL_CLASS",$U147,$V147)))</f>
        <v/>
      </c>
      <c r="AI147" t="str">
        <f t="shared" si="68"/>
        <v/>
      </c>
      <c r="AJ147" t="str">
        <f t="shared" si="69"/>
        <v/>
      </c>
      <c r="AK147" t="str">
        <f t="shared" si="70"/>
        <v/>
      </c>
      <c r="AL147" t="str">
        <f t="shared" si="71"/>
        <v/>
      </c>
      <c r="AM147" t="str">
        <f t="shared" si="72"/>
        <v/>
      </c>
      <c r="AN147" t="str">
        <f t="shared" si="73"/>
        <v/>
      </c>
      <c r="AO147" t="str">
        <f>IF($A147="","",Allocation2!AE147)</f>
        <v/>
      </c>
      <c r="AP147" t="str">
        <f>IF($A147="","",IF(ALLOC!$N$2="VOL_EFF",$Q147,IF(ALLOC!$N$2="VOL_CLASS",$R147,$S147)))</f>
        <v/>
      </c>
      <c r="AQ147" t="str">
        <f>IF($A147="","",IF(ALLOC!$N$2="VOL_EFF",$T147,IF(ALLOC!$N$2="VOL_CLASS",$U147,$V147)))</f>
        <v/>
      </c>
      <c r="AR147" t="str">
        <f t="shared" si="74"/>
        <v/>
      </c>
    </row>
    <row r="148" spans="1:44" x14ac:dyDescent="0.45">
      <c r="A148" t="str">
        <f>IF(Allocation2!D148="","",Allocation2!D148)</f>
        <v/>
      </c>
      <c r="B148" t="str">
        <f>IF(Allocation2!E148="","",Allocation2!E148)</f>
        <v/>
      </c>
      <c r="C148" t="str">
        <f>IF(Allocation2!F148="","",Allocation2!F148)</f>
        <v/>
      </c>
      <c r="D148" t="str">
        <f>IF(Allocation2!G148="","",Allocation2!G148)</f>
        <v/>
      </c>
      <c r="E148" t="str">
        <f>IF(Allocation2!H148="","",Allocation2!H148)</f>
        <v/>
      </c>
      <c r="F148" t="str">
        <f>IF(Allocation2!I148="","",Allocation2!I148)</f>
        <v/>
      </c>
      <c r="G148" t="str">
        <f>IF(Allocation2!E148="","",Allocation2!J148)</f>
        <v/>
      </c>
      <c r="H148" t="str">
        <f>IF(Allocation2!E148="","",Allocation2!K148)</f>
        <v/>
      </c>
      <c r="I148" t="str">
        <f>IF(Allocation2!E148="","",Allocation2!L148)</f>
        <v/>
      </c>
      <c r="J148" t="str">
        <f>IF($A148="","",Allocation2!X148)</f>
        <v/>
      </c>
      <c r="K148" t="str">
        <f t="shared" si="56"/>
        <v/>
      </c>
      <c r="L148" t="str">
        <f t="shared" si="57"/>
        <v/>
      </c>
      <c r="M148" t="str">
        <f t="shared" si="58"/>
        <v/>
      </c>
      <c r="N148" t="str">
        <f t="shared" si="59"/>
        <v/>
      </c>
      <c r="O148" t="str">
        <f t="shared" si="60"/>
        <v/>
      </c>
      <c r="P148" t="str">
        <f t="shared" si="61"/>
        <v/>
      </c>
      <c r="Q148" t="str">
        <f t="shared" si="62"/>
        <v/>
      </c>
      <c r="R148" t="str">
        <f t="shared" si="63"/>
        <v/>
      </c>
      <c r="S148" t="str">
        <f t="shared" si="64"/>
        <v/>
      </c>
      <c r="T148" t="str">
        <f t="shared" si="65"/>
        <v/>
      </c>
      <c r="U148" t="str">
        <f t="shared" si="66"/>
        <v/>
      </c>
      <c r="V148" t="str">
        <f t="shared" si="67"/>
        <v/>
      </c>
      <c r="W148" t="str">
        <f>IF($A148="","",Allocation2!Y148)</f>
        <v/>
      </c>
      <c r="X148" t="str">
        <f>IF($A148="","",Allocation2!Z148)</f>
        <v/>
      </c>
      <c r="Y148" t="str">
        <f>IF($A148="","",Allocation2!AA148)</f>
        <v/>
      </c>
      <c r="Z148" t="str">
        <f>IF($A148="","",Allocation2!AB148)</f>
        <v/>
      </c>
      <c r="AA148" t="str">
        <f>IF($A148="","",Allocation2!AC148)</f>
        <v/>
      </c>
      <c r="AB148" t="str">
        <f>IF($A148="","",Allocation2!AD148)</f>
        <v/>
      </c>
      <c r="AC148" t="str">
        <f>IF($A148="","",IF(ALLOC!$N$4="VOL_EFF",$G148,IF(ALLOC!$N$4="VOL_CLASS",$H148,$I148)))</f>
        <v/>
      </c>
      <c r="AD148" t="str">
        <f>IF($A148="","",IF(ALLOC!$N$4="VOL_EFF",$L148,IF(ALLOC!$N$4="VOL_CLASS",$M148,$N148)))</f>
        <v/>
      </c>
      <c r="AE148" t="str">
        <f>IF($A148="","",IF(ALLOC!$N$3="VOL_EFF",$L148,IF(ALLOC!$N$3="VOL_CLASS",$M148,$N148)))</f>
        <v/>
      </c>
      <c r="AF148" t="str">
        <f>IF($A148="","",IF(ALLOC!$N$3="VOL_EFF",$Q148,IF(ALLOC!$N$3="VOL_CLASS",$R148,$S148)))</f>
        <v/>
      </c>
      <c r="AG148" t="str">
        <f>IF($A148="","",IF(ALLOC!$N$1="VOL_EFF",$Q148,IF(ALLOC!$N$1="VOL_CLASS",$R148,$S148)))</f>
        <v/>
      </c>
      <c r="AH148" t="str">
        <f>IF($A148="","",IF(ALLOC!$N$1="VOL_EFF",$T148,IF(ALLOC!$N$1="VOL_CLASS",$U148,$V148)))</f>
        <v/>
      </c>
      <c r="AI148" t="str">
        <f t="shared" si="68"/>
        <v/>
      </c>
      <c r="AJ148" t="str">
        <f t="shared" si="69"/>
        <v/>
      </c>
      <c r="AK148" t="str">
        <f t="shared" si="70"/>
        <v/>
      </c>
      <c r="AL148" t="str">
        <f t="shared" si="71"/>
        <v/>
      </c>
      <c r="AM148" t="str">
        <f t="shared" si="72"/>
        <v/>
      </c>
      <c r="AN148" t="str">
        <f t="shared" si="73"/>
        <v/>
      </c>
      <c r="AO148" t="str">
        <f>IF($A148="","",Allocation2!AE148)</f>
        <v/>
      </c>
      <c r="AP148" t="str">
        <f>IF($A148="","",IF(ALLOC!$N$2="VOL_EFF",$Q148,IF(ALLOC!$N$2="VOL_CLASS",$R148,$S148)))</f>
        <v/>
      </c>
      <c r="AQ148" t="str">
        <f>IF($A148="","",IF(ALLOC!$N$2="VOL_EFF",$T148,IF(ALLOC!$N$2="VOL_CLASS",$U148,$V148)))</f>
        <v/>
      </c>
      <c r="AR148" t="str">
        <f t="shared" si="74"/>
        <v/>
      </c>
    </row>
    <row r="149" spans="1:44" x14ac:dyDescent="0.45">
      <c r="A149" t="str">
        <f>IF(Allocation2!D149="","",Allocation2!D149)</f>
        <v/>
      </c>
      <c r="B149" t="str">
        <f>IF(Allocation2!E149="","",Allocation2!E149)</f>
        <v/>
      </c>
      <c r="C149" t="str">
        <f>IF(Allocation2!F149="","",Allocation2!F149)</f>
        <v/>
      </c>
      <c r="D149" t="str">
        <f>IF(Allocation2!G149="","",Allocation2!G149)</f>
        <v/>
      </c>
      <c r="E149" t="str">
        <f>IF(Allocation2!H149="","",Allocation2!H149)</f>
        <v/>
      </c>
      <c r="F149" t="str">
        <f>IF(Allocation2!I149="","",Allocation2!I149)</f>
        <v/>
      </c>
      <c r="G149" t="str">
        <f>IF(Allocation2!E149="","",Allocation2!J149)</f>
        <v/>
      </c>
      <c r="H149" t="str">
        <f>IF(Allocation2!E149="","",Allocation2!K149)</f>
        <v/>
      </c>
      <c r="I149" t="str">
        <f>IF(Allocation2!E149="","",Allocation2!L149)</f>
        <v/>
      </c>
      <c r="J149" t="str">
        <f>IF($A149="","",Allocation2!X149)</f>
        <v/>
      </c>
      <c r="K149" t="str">
        <f t="shared" si="56"/>
        <v/>
      </c>
      <c r="L149" t="str">
        <f t="shared" si="57"/>
        <v/>
      </c>
      <c r="M149" t="str">
        <f t="shared" si="58"/>
        <v/>
      </c>
      <c r="N149" t="str">
        <f t="shared" si="59"/>
        <v/>
      </c>
      <c r="O149" t="str">
        <f t="shared" si="60"/>
        <v/>
      </c>
      <c r="P149" t="str">
        <f t="shared" si="61"/>
        <v/>
      </c>
      <c r="Q149" t="str">
        <f t="shared" si="62"/>
        <v/>
      </c>
      <c r="R149" t="str">
        <f t="shared" si="63"/>
        <v/>
      </c>
      <c r="S149" t="str">
        <f t="shared" si="64"/>
        <v/>
      </c>
      <c r="T149" t="str">
        <f t="shared" si="65"/>
        <v/>
      </c>
      <c r="U149" t="str">
        <f t="shared" si="66"/>
        <v/>
      </c>
      <c r="V149" t="str">
        <f t="shared" si="67"/>
        <v/>
      </c>
      <c r="W149" t="str">
        <f>IF($A149="","",Allocation2!Y149)</f>
        <v/>
      </c>
      <c r="X149" t="str">
        <f>IF($A149="","",Allocation2!Z149)</f>
        <v/>
      </c>
      <c r="Y149" t="str">
        <f>IF($A149="","",Allocation2!AA149)</f>
        <v/>
      </c>
      <c r="Z149" t="str">
        <f>IF($A149="","",Allocation2!AB149)</f>
        <v/>
      </c>
      <c r="AA149" t="str">
        <f>IF($A149="","",Allocation2!AC149)</f>
        <v/>
      </c>
      <c r="AB149" t="str">
        <f>IF($A149="","",Allocation2!AD149)</f>
        <v/>
      </c>
      <c r="AC149" t="str">
        <f>IF($A149="","",IF(ALLOC!$N$4="VOL_EFF",$G149,IF(ALLOC!$N$4="VOL_CLASS",$H149,$I149)))</f>
        <v/>
      </c>
      <c r="AD149" t="str">
        <f>IF($A149="","",IF(ALLOC!$N$4="VOL_EFF",$L149,IF(ALLOC!$N$4="VOL_CLASS",$M149,$N149)))</f>
        <v/>
      </c>
      <c r="AE149" t="str">
        <f>IF($A149="","",IF(ALLOC!$N$3="VOL_EFF",$L149,IF(ALLOC!$N$3="VOL_CLASS",$M149,$N149)))</f>
        <v/>
      </c>
      <c r="AF149" t="str">
        <f>IF($A149="","",IF(ALLOC!$N$3="VOL_EFF",$Q149,IF(ALLOC!$N$3="VOL_CLASS",$R149,$S149)))</f>
        <v/>
      </c>
      <c r="AG149" t="str">
        <f>IF($A149="","",IF(ALLOC!$N$1="VOL_EFF",$Q149,IF(ALLOC!$N$1="VOL_CLASS",$R149,$S149)))</f>
        <v/>
      </c>
      <c r="AH149" t="str">
        <f>IF($A149="","",IF(ALLOC!$N$1="VOL_EFF",$T149,IF(ALLOC!$N$1="VOL_CLASS",$U149,$V149)))</f>
        <v/>
      </c>
      <c r="AI149" t="str">
        <f t="shared" si="68"/>
        <v/>
      </c>
      <c r="AJ149" t="str">
        <f t="shared" si="69"/>
        <v/>
      </c>
      <c r="AK149" t="str">
        <f t="shared" si="70"/>
        <v/>
      </c>
      <c r="AL149" t="str">
        <f t="shared" si="71"/>
        <v/>
      </c>
      <c r="AM149" t="str">
        <f t="shared" si="72"/>
        <v/>
      </c>
      <c r="AN149" t="str">
        <f t="shared" si="73"/>
        <v/>
      </c>
      <c r="AO149" t="str">
        <f>IF($A149="","",Allocation2!AE149)</f>
        <v/>
      </c>
      <c r="AP149" t="str">
        <f>IF($A149="","",IF(ALLOC!$N$2="VOL_EFF",$Q149,IF(ALLOC!$N$2="VOL_CLASS",$R149,$S149)))</f>
        <v/>
      </c>
      <c r="AQ149" t="str">
        <f>IF($A149="","",IF(ALLOC!$N$2="VOL_EFF",$T149,IF(ALLOC!$N$2="VOL_CLASS",$U149,$V149)))</f>
        <v/>
      </c>
      <c r="AR149" t="str">
        <f t="shared" si="74"/>
        <v/>
      </c>
    </row>
    <row r="150" spans="1:44" x14ac:dyDescent="0.45">
      <c r="A150" t="str">
        <f>IF(Allocation2!D150="","",Allocation2!D150)</f>
        <v/>
      </c>
      <c r="B150" t="str">
        <f>IF(Allocation2!E150="","",Allocation2!E150)</f>
        <v/>
      </c>
      <c r="C150" t="str">
        <f>IF(Allocation2!F150="","",Allocation2!F150)</f>
        <v/>
      </c>
      <c r="D150" t="str">
        <f>IF(Allocation2!G150="","",Allocation2!G150)</f>
        <v/>
      </c>
      <c r="E150" t="str">
        <f>IF(Allocation2!H150="","",Allocation2!H150)</f>
        <v/>
      </c>
      <c r="F150" t="str">
        <f>IF(Allocation2!I150="","",Allocation2!I150)</f>
        <v/>
      </c>
      <c r="G150" t="str">
        <f>IF(Allocation2!E150="","",Allocation2!J150)</f>
        <v/>
      </c>
      <c r="H150" t="str">
        <f>IF(Allocation2!E150="","",Allocation2!K150)</f>
        <v/>
      </c>
      <c r="I150" t="str">
        <f>IF(Allocation2!E150="","",Allocation2!L150)</f>
        <v/>
      </c>
      <c r="J150" t="str">
        <f>IF($A150="","",Allocation2!X150)</f>
        <v/>
      </c>
      <c r="K150" t="str">
        <f t="shared" si="56"/>
        <v/>
      </c>
      <c r="L150" t="str">
        <f t="shared" si="57"/>
        <v/>
      </c>
      <c r="M150" t="str">
        <f t="shared" si="58"/>
        <v/>
      </c>
      <c r="N150" t="str">
        <f t="shared" si="59"/>
        <v/>
      </c>
      <c r="O150" t="str">
        <f t="shared" si="60"/>
        <v/>
      </c>
      <c r="P150" t="str">
        <f t="shared" si="61"/>
        <v/>
      </c>
      <c r="Q150" t="str">
        <f t="shared" si="62"/>
        <v/>
      </c>
      <c r="R150" t="str">
        <f t="shared" si="63"/>
        <v/>
      </c>
      <c r="S150" t="str">
        <f t="shared" si="64"/>
        <v/>
      </c>
      <c r="T150" t="str">
        <f t="shared" si="65"/>
        <v/>
      </c>
      <c r="U150" t="str">
        <f t="shared" si="66"/>
        <v/>
      </c>
      <c r="V150" t="str">
        <f t="shared" si="67"/>
        <v/>
      </c>
      <c r="W150" t="str">
        <f>IF($A150="","",Allocation2!Y150)</f>
        <v/>
      </c>
      <c r="X150" t="str">
        <f>IF($A150="","",Allocation2!Z150)</f>
        <v/>
      </c>
      <c r="Y150" t="str">
        <f>IF($A150="","",Allocation2!AA150)</f>
        <v/>
      </c>
      <c r="Z150" t="str">
        <f>IF($A150="","",Allocation2!AB150)</f>
        <v/>
      </c>
      <c r="AA150" t="str">
        <f>IF($A150="","",Allocation2!AC150)</f>
        <v/>
      </c>
      <c r="AB150" t="str">
        <f>IF($A150="","",Allocation2!AD150)</f>
        <v/>
      </c>
      <c r="AC150" t="str">
        <f>IF($A150="","",IF(ALLOC!$N$4="VOL_EFF",$G150,IF(ALLOC!$N$4="VOL_CLASS",$H150,$I150)))</f>
        <v/>
      </c>
      <c r="AD150" t="str">
        <f>IF($A150="","",IF(ALLOC!$N$4="VOL_EFF",$L150,IF(ALLOC!$N$4="VOL_CLASS",$M150,$N150)))</f>
        <v/>
      </c>
      <c r="AE150" t="str">
        <f>IF($A150="","",IF(ALLOC!$N$3="VOL_EFF",$L150,IF(ALLOC!$N$3="VOL_CLASS",$M150,$N150)))</f>
        <v/>
      </c>
      <c r="AF150" t="str">
        <f>IF($A150="","",IF(ALLOC!$N$3="VOL_EFF",$Q150,IF(ALLOC!$N$3="VOL_CLASS",$R150,$S150)))</f>
        <v/>
      </c>
      <c r="AG150" t="str">
        <f>IF($A150="","",IF(ALLOC!$N$1="VOL_EFF",$Q150,IF(ALLOC!$N$1="VOL_CLASS",$R150,$S150)))</f>
        <v/>
      </c>
      <c r="AH150" t="str">
        <f>IF($A150="","",IF(ALLOC!$N$1="VOL_EFF",$T150,IF(ALLOC!$N$1="VOL_CLASS",$U150,$V150)))</f>
        <v/>
      </c>
      <c r="AI150" t="str">
        <f t="shared" si="68"/>
        <v/>
      </c>
      <c r="AJ150" t="str">
        <f t="shared" si="69"/>
        <v/>
      </c>
      <c r="AK150" t="str">
        <f t="shared" si="70"/>
        <v/>
      </c>
      <c r="AL150" t="str">
        <f t="shared" si="71"/>
        <v/>
      </c>
      <c r="AM150" t="str">
        <f t="shared" si="72"/>
        <v/>
      </c>
      <c r="AN150" t="str">
        <f t="shared" si="73"/>
        <v/>
      </c>
      <c r="AO150" t="str">
        <f>IF($A150="","",Allocation2!AE150)</f>
        <v/>
      </c>
      <c r="AP150" t="str">
        <f>IF($A150="","",IF(ALLOC!$N$2="VOL_EFF",$Q150,IF(ALLOC!$N$2="VOL_CLASS",$R150,$S150)))</f>
        <v/>
      </c>
      <c r="AQ150" t="str">
        <f>IF($A150="","",IF(ALLOC!$N$2="VOL_EFF",$T150,IF(ALLOC!$N$2="VOL_CLASS",$U150,$V150)))</f>
        <v/>
      </c>
      <c r="AR150" t="str">
        <f t="shared" si="74"/>
        <v/>
      </c>
    </row>
    <row r="151" spans="1:44" x14ac:dyDescent="0.45">
      <c r="A151" t="str">
        <f>IF(Allocation2!D151="","",Allocation2!D151)</f>
        <v/>
      </c>
      <c r="B151" t="str">
        <f>IF(Allocation2!E151="","",Allocation2!E151)</f>
        <v/>
      </c>
      <c r="C151" t="str">
        <f>IF(Allocation2!F151="","",Allocation2!F151)</f>
        <v/>
      </c>
      <c r="D151" t="str">
        <f>IF(Allocation2!G151="","",Allocation2!G151)</f>
        <v/>
      </c>
      <c r="E151" t="str">
        <f>IF(Allocation2!H151="","",Allocation2!H151)</f>
        <v/>
      </c>
      <c r="F151" t="str">
        <f>IF(Allocation2!I151="","",Allocation2!I151)</f>
        <v/>
      </c>
      <c r="G151" t="str">
        <f>IF(Allocation2!E151="","",Allocation2!J151)</f>
        <v/>
      </c>
      <c r="H151" t="str">
        <f>IF(Allocation2!E151="","",Allocation2!K151)</f>
        <v/>
      </c>
      <c r="I151" t="str">
        <f>IF(Allocation2!E151="","",Allocation2!L151)</f>
        <v/>
      </c>
      <c r="J151" t="str">
        <f>IF($A151="","",Allocation2!X151)</f>
        <v/>
      </c>
      <c r="K151" t="str">
        <f t="shared" si="56"/>
        <v/>
      </c>
      <c r="L151" t="str">
        <f t="shared" si="57"/>
        <v/>
      </c>
      <c r="M151" t="str">
        <f t="shared" si="58"/>
        <v/>
      </c>
      <c r="N151" t="str">
        <f t="shared" si="59"/>
        <v/>
      </c>
      <c r="O151" t="str">
        <f t="shared" si="60"/>
        <v/>
      </c>
      <c r="P151" t="str">
        <f t="shared" si="61"/>
        <v/>
      </c>
      <c r="Q151" t="str">
        <f t="shared" si="62"/>
        <v/>
      </c>
      <c r="R151" t="str">
        <f t="shared" si="63"/>
        <v/>
      </c>
      <c r="S151" t="str">
        <f t="shared" si="64"/>
        <v/>
      </c>
      <c r="T151" t="str">
        <f t="shared" si="65"/>
        <v/>
      </c>
      <c r="U151" t="str">
        <f t="shared" si="66"/>
        <v/>
      </c>
      <c r="V151" t="str">
        <f t="shared" si="67"/>
        <v/>
      </c>
      <c r="W151" t="str">
        <f>IF($A151="","",Allocation2!Y151)</f>
        <v/>
      </c>
      <c r="X151" t="str">
        <f>IF($A151="","",Allocation2!Z151)</f>
        <v/>
      </c>
      <c r="Y151" t="str">
        <f>IF($A151="","",Allocation2!AA151)</f>
        <v/>
      </c>
      <c r="Z151" t="str">
        <f>IF($A151="","",Allocation2!AB151)</f>
        <v/>
      </c>
      <c r="AA151" t="str">
        <f>IF($A151="","",Allocation2!AC151)</f>
        <v/>
      </c>
      <c r="AB151" t="str">
        <f>IF($A151="","",Allocation2!AD151)</f>
        <v/>
      </c>
      <c r="AC151" t="str">
        <f>IF($A151="","",IF(ALLOC!$N$4="VOL_EFF",$G151,IF(ALLOC!$N$4="VOL_CLASS",$H151,$I151)))</f>
        <v/>
      </c>
      <c r="AD151" t="str">
        <f>IF($A151="","",IF(ALLOC!$N$4="VOL_EFF",$L151,IF(ALLOC!$N$4="VOL_CLASS",$M151,$N151)))</f>
        <v/>
      </c>
      <c r="AE151" t="str">
        <f>IF($A151="","",IF(ALLOC!$N$3="VOL_EFF",$L151,IF(ALLOC!$N$3="VOL_CLASS",$M151,$N151)))</f>
        <v/>
      </c>
      <c r="AF151" t="str">
        <f>IF($A151="","",IF(ALLOC!$N$3="VOL_EFF",$Q151,IF(ALLOC!$N$3="VOL_CLASS",$R151,$S151)))</f>
        <v/>
      </c>
      <c r="AG151" t="str">
        <f>IF($A151="","",IF(ALLOC!$N$1="VOL_EFF",$Q151,IF(ALLOC!$N$1="VOL_CLASS",$R151,$S151)))</f>
        <v/>
      </c>
      <c r="AH151" t="str">
        <f>IF($A151="","",IF(ALLOC!$N$1="VOL_EFF",$T151,IF(ALLOC!$N$1="VOL_CLASS",$U151,$V151)))</f>
        <v/>
      </c>
      <c r="AI151" t="str">
        <f t="shared" si="68"/>
        <v/>
      </c>
      <c r="AJ151" t="str">
        <f t="shared" si="69"/>
        <v/>
      </c>
      <c r="AK151" t="str">
        <f t="shared" si="70"/>
        <v/>
      </c>
      <c r="AL151" t="str">
        <f t="shared" si="71"/>
        <v/>
      </c>
      <c r="AM151" t="str">
        <f t="shared" si="72"/>
        <v/>
      </c>
      <c r="AN151" t="str">
        <f t="shared" si="73"/>
        <v/>
      </c>
      <c r="AO151" t="str">
        <f>IF($A151="","",Allocation2!AE151)</f>
        <v/>
      </c>
      <c r="AP151" t="str">
        <f>IF($A151="","",IF(ALLOC!$N$2="VOL_EFF",$Q151,IF(ALLOC!$N$2="VOL_CLASS",$R151,$S151)))</f>
        <v/>
      </c>
      <c r="AQ151" t="str">
        <f>IF($A151="","",IF(ALLOC!$N$2="VOL_EFF",$T151,IF(ALLOC!$N$2="VOL_CLASS",$U151,$V151)))</f>
        <v/>
      </c>
      <c r="AR151" t="str">
        <f t="shared" si="74"/>
        <v/>
      </c>
    </row>
    <row r="152" spans="1:44" x14ac:dyDescent="0.45">
      <c r="A152" t="str">
        <f>IF(Allocation2!D152="","",Allocation2!D152)</f>
        <v/>
      </c>
      <c r="B152" t="str">
        <f>IF(Allocation2!E152="","",Allocation2!E152)</f>
        <v/>
      </c>
      <c r="C152" t="str">
        <f>IF(Allocation2!F152="","",Allocation2!F152)</f>
        <v/>
      </c>
      <c r="D152" t="str">
        <f>IF(Allocation2!G152="","",Allocation2!G152)</f>
        <v/>
      </c>
      <c r="E152" t="str">
        <f>IF(Allocation2!H152="","",Allocation2!H152)</f>
        <v/>
      </c>
      <c r="F152" t="str">
        <f>IF(Allocation2!I152="","",Allocation2!I152)</f>
        <v/>
      </c>
      <c r="G152" t="str">
        <f>IF(Allocation2!E152="","",Allocation2!J152)</f>
        <v/>
      </c>
      <c r="H152" t="str">
        <f>IF(Allocation2!E152="","",Allocation2!K152)</f>
        <v/>
      </c>
      <c r="I152" t="str">
        <f>IF(Allocation2!E152="","",Allocation2!L152)</f>
        <v/>
      </c>
      <c r="J152" t="str">
        <f>IF($A152="","",Allocation2!X152)</f>
        <v/>
      </c>
      <c r="K152" t="str">
        <f t="shared" si="56"/>
        <v/>
      </c>
      <c r="L152" t="str">
        <f t="shared" si="57"/>
        <v/>
      </c>
      <c r="M152" t="str">
        <f t="shared" si="58"/>
        <v/>
      </c>
      <c r="N152" t="str">
        <f t="shared" si="59"/>
        <v/>
      </c>
      <c r="O152" t="str">
        <f t="shared" si="60"/>
        <v/>
      </c>
      <c r="P152" t="str">
        <f t="shared" si="61"/>
        <v/>
      </c>
      <c r="Q152" t="str">
        <f t="shared" si="62"/>
        <v/>
      </c>
      <c r="R152" t="str">
        <f t="shared" si="63"/>
        <v/>
      </c>
      <c r="S152" t="str">
        <f t="shared" si="64"/>
        <v/>
      </c>
      <c r="T152" t="str">
        <f t="shared" si="65"/>
        <v/>
      </c>
      <c r="U152" t="str">
        <f t="shared" si="66"/>
        <v/>
      </c>
      <c r="V152" t="str">
        <f t="shared" si="67"/>
        <v/>
      </c>
      <c r="W152" t="str">
        <f>IF($A152="","",Allocation2!Y152)</f>
        <v/>
      </c>
      <c r="X152" t="str">
        <f>IF($A152="","",Allocation2!Z152)</f>
        <v/>
      </c>
      <c r="Y152" t="str">
        <f>IF($A152="","",Allocation2!AA152)</f>
        <v/>
      </c>
      <c r="Z152" t="str">
        <f>IF($A152="","",Allocation2!AB152)</f>
        <v/>
      </c>
      <c r="AA152" t="str">
        <f>IF($A152="","",Allocation2!AC152)</f>
        <v/>
      </c>
      <c r="AB152" t="str">
        <f>IF($A152="","",Allocation2!AD152)</f>
        <v/>
      </c>
      <c r="AC152" t="str">
        <f>IF($A152="","",IF(ALLOC!$N$4="VOL_EFF",$G152,IF(ALLOC!$N$4="VOL_CLASS",$H152,$I152)))</f>
        <v/>
      </c>
      <c r="AD152" t="str">
        <f>IF($A152="","",IF(ALLOC!$N$4="VOL_EFF",$L152,IF(ALLOC!$N$4="VOL_CLASS",$M152,$N152)))</f>
        <v/>
      </c>
      <c r="AE152" t="str">
        <f>IF($A152="","",IF(ALLOC!$N$3="VOL_EFF",$L152,IF(ALLOC!$N$3="VOL_CLASS",$M152,$N152)))</f>
        <v/>
      </c>
      <c r="AF152" t="str">
        <f>IF($A152="","",IF(ALLOC!$N$3="VOL_EFF",$Q152,IF(ALLOC!$N$3="VOL_CLASS",$R152,$S152)))</f>
        <v/>
      </c>
      <c r="AG152" t="str">
        <f>IF($A152="","",IF(ALLOC!$N$1="VOL_EFF",$Q152,IF(ALLOC!$N$1="VOL_CLASS",$R152,$S152)))</f>
        <v/>
      </c>
      <c r="AH152" t="str">
        <f>IF($A152="","",IF(ALLOC!$N$1="VOL_EFF",$T152,IF(ALLOC!$N$1="VOL_CLASS",$U152,$V152)))</f>
        <v/>
      </c>
      <c r="AI152" t="str">
        <f t="shared" si="68"/>
        <v/>
      </c>
      <c r="AJ152" t="str">
        <f t="shared" si="69"/>
        <v/>
      </c>
      <c r="AK152" t="str">
        <f t="shared" si="70"/>
        <v/>
      </c>
      <c r="AL152" t="str">
        <f t="shared" si="71"/>
        <v/>
      </c>
      <c r="AM152" t="str">
        <f t="shared" si="72"/>
        <v/>
      </c>
      <c r="AN152" t="str">
        <f t="shared" si="73"/>
        <v/>
      </c>
      <c r="AO152" t="str">
        <f>IF($A152="","",Allocation2!AE152)</f>
        <v/>
      </c>
      <c r="AP152" t="str">
        <f>IF($A152="","",IF(ALLOC!$N$2="VOL_EFF",$Q152,IF(ALLOC!$N$2="VOL_CLASS",$R152,$S152)))</f>
        <v/>
      </c>
      <c r="AQ152" t="str">
        <f>IF($A152="","",IF(ALLOC!$N$2="VOL_EFF",$T152,IF(ALLOC!$N$2="VOL_CLASS",$U152,$V152)))</f>
        <v/>
      </c>
      <c r="AR152" t="str">
        <f t="shared" si="74"/>
        <v/>
      </c>
    </row>
    <row r="153" spans="1:44" x14ac:dyDescent="0.45">
      <c r="A153" t="str">
        <f>IF(Allocation2!D153="","",Allocation2!D153)</f>
        <v/>
      </c>
      <c r="B153" t="str">
        <f>IF(Allocation2!E153="","",Allocation2!E153)</f>
        <v/>
      </c>
      <c r="C153" t="str">
        <f>IF(Allocation2!F153="","",Allocation2!F153)</f>
        <v/>
      </c>
      <c r="D153" t="str">
        <f>IF(Allocation2!G153="","",Allocation2!G153)</f>
        <v/>
      </c>
      <c r="E153" t="str">
        <f>IF(Allocation2!H153="","",Allocation2!H153)</f>
        <v/>
      </c>
      <c r="F153" t="str">
        <f>IF(Allocation2!I153="","",Allocation2!I153)</f>
        <v/>
      </c>
      <c r="G153" t="str">
        <f>IF(Allocation2!E153="","",Allocation2!J153)</f>
        <v/>
      </c>
      <c r="H153" t="str">
        <f>IF(Allocation2!E153="","",Allocation2!K153)</f>
        <v/>
      </c>
      <c r="I153" t="str">
        <f>IF(Allocation2!E153="","",Allocation2!L153)</f>
        <v/>
      </c>
      <c r="J153" t="str">
        <f>IF($A153="","",Allocation2!X153)</f>
        <v/>
      </c>
      <c r="K153" t="str">
        <f t="shared" si="56"/>
        <v/>
      </c>
      <c r="L153" t="str">
        <f t="shared" si="57"/>
        <v/>
      </c>
      <c r="M153" t="str">
        <f t="shared" si="58"/>
        <v/>
      </c>
      <c r="N153" t="str">
        <f t="shared" si="59"/>
        <v/>
      </c>
      <c r="O153" t="str">
        <f t="shared" si="60"/>
        <v/>
      </c>
      <c r="P153" t="str">
        <f t="shared" si="61"/>
        <v/>
      </c>
      <c r="Q153" t="str">
        <f t="shared" si="62"/>
        <v/>
      </c>
      <c r="R153" t="str">
        <f t="shared" si="63"/>
        <v/>
      </c>
      <c r="S153" t="str">
        <f t="shared" si="64"/>
        <v/>
      </c>
      <c r="T153" t="str">
        <f t="shared" si="65"/>
        <v/>
      </c>
      <c r="U153" t="str">
        <f t="shared" si="66"/>
        <v/>
      </c>
      <c r="V153" t="str">
        <f t="shared" si="67"/>
        <v/>
      </c>
      <c r="W153" t="str">
        <f>IF($A153="","",Allocation2!Y153)</f>
        <v/>
      </c>
      <c r="X153" t="str">
        <f>IF($A153="","",Allocation2!Z153)</f>
        <v/>
      </c>
      <c r="Y153" t="str">
        <f>IF($A153="","",Allocation2!AA153)</f>
        <v/>
      </c>
      <c r="Z153" t="str">
        <f>IF($A153="","",Allocation2!AB153)</f>
        <v/>
      </c>
      <c r="AA153" t="str">
        <f>IF($A153="","",Allocation2!AC153)</f>
        <v/>
      </c>
      <c r="AB153" t="str">
        <f>IF($A153="","",Allocation2!AD153)</f>
        <v/>
      </c>
      <c r="AC153" t="str">
        <f>IF($A153="","",IF(ALLOC!$N$4="VOL_EFF",$G153,IF(ALLOC!$N$4="VOL_CLASS",$H153,$I153)))</f>
        <v/>
      </c>
      <c r="AD153" t="str">
        <f>IF($A153="","",IF(ALLOC!$N$4="VOL_EFF",$L153,IF(ALLOC!$N$4="VOL_CLASS",$M153,$N153)))</f>
        <v/>
      </c>
      <c r="AE153" t="str">
        <f>IF($A153="","",IF(ALLOC!$N$3="VOL_EFF",$L153,IF(ALLOC!$N$3="VOL_CLASS",$M153,$N153)))</f>
        <v/>
      </c>
      <c r="AF153" t="str">
        <f>IF($A153="","",IF(ALLOC!$N$3="VOL_EFF",$Q153,IF(ALLOC!$N$3="VOL_CLASS",$R153,$S153)))</f>
        <v/>
      </c>
      <c r="AG153" t="str">
        <f>IF($A153="","",IF(ALLOC!$N$1="VOL_EFF",$Q153,IF(ALLOC!$N$1="VOL_CLASS",$R153,$S153)))</f>
        <v/>
      </c>
      <c r="AH153" t="str">
        <f>IF($A153="","",IF(ALLOC!$N$1="VOL_EFF",$T153,IF(ALLOC!$N$1="VOL_CLASS",$U153,$V153)))</f>
        <v/>
      </c>
      <c r="AI153" t="str">
        <f t="shared" si="68"/>
        <v/>
      </c>
      <c r="AJ153" t="str">
        <f t="shared" si="69"/>
        <v/>
      </c>
      <c r="AK153" t="str">
        <f t="shared" si="70"/>
        <v/>
      </c>
      <c r="AL153" t="str">
        <f t="shared" si="71"/>
        <v/>
      </c>
      <c r="AM153" t="str">
        <f t="shared" si="72"/>
        <v/>
      </c>
      <c r="AN153" t="str">
        <f t="shared" si="73"/>
        <v/>
      </c>
      <c r="AO153" t="str">
        <f>IF($A153="","",Allocation2!AE153)</f>
        <v/>
      </c>
      <c r="AP153" t="str">
        <f>IF($A153="","",IF(ALLOC!$N$2="VOL_EFF",$Q153,IF(ALLOC!$N$2="VOL_CLASS",$R153,$S153)))</f>
        <v/>
      </c>
      <c r="AQ153" t="str">
        <f>IF($A153="","",IF(ALLOC!$N$2="VOL_EFF",$T153,IF(ALLOC!$N$2="VOL_CLASS",$U153,$V153)))</f>
        <v/>
      </c>
      <c r="AR153" t="str">
        <f t="shared" si="74"/>
        <v/>
      </c>
    </row>
    <row r="154" spans="1:44" x14ac:dyDescent="0.45">
      <c r="A154" t="str">
        <f>IF(Allocation2!D154="","",Allocation2!D154)</f>
        <v/>
      </c>
      <c r="B154" t="str">
        <f>IF(Allocation2!E154="","",Allocation2!E154)</f>
        <v/>
      </c>
      <c r="C154" t="str">
        <f>IF(Allocation2!F154="","",Allocation2!F154)</f>
        <v/>
      </c>
      <c r="D154" t="str">
        <f>IF(Allocation2!G154="","",Allocation2!G154)</f>
        <v/>
      </c>
      <c r="E154" t="str">
        <f>IF(Allocation2!H154="","",Allocation2!H154)</f>
        <v/>
      </c>
      <c r="F154" t="str">
        <f>IF(Allocation2!I154="","",Allocation2!I154)</f>
        <v/>
      </c>
      <c r="G154" t="str">
        <f>IF(Allocation2!E154="","",Allocation2!J154)</f>
        <v/>
      </c>
      <c r="H154" t="str">
        <f>IF(Allocation2!E154="","",Allocation2!K154)</f>
        <v/>
      </c>
      <c r="I154" t="str">
        <f>IF(Allocation2!E154="","",Allocation2!L154)</f>
        <v/>
      </c>
      <c r="J154" t="str">
        <f>IF($A154="","",Allocation2!X154)</f>
        <v/>
      </c>
      <c r="K154" t="str">
        <f t="shared" si="56"/>
        <v/>
      </c>
      <c r="L154" t="str">
        <f t="shared" si="57"/>
        <v/>
      </c>
      <c r="M154" t="str">
        <f t="shared" si="58"/>
        <v/>
      </c>
      <c r="N154" t="str">
        <f t="shared" si="59"/>
        <v/>
      </c>
      <c r="O154" t="str">
        <f t="shared" si="60"/>
        <v/>
      </c>
      <c r="P154" t="str">
        <f t="shared" si="61"/>
        <v/>
      </c>
      <c r="Q154" t="str">
        <f t="shared" si="62"/>
        <v/>
      </c>
      <c r="R154" t="str">
        <f t="shared" si="63"/>
        <v/>
      </c>
      <c r="S154" t="str">
        <f t="shared" si="64"/>
        <v/>
      </c>
      <c r="T154" t="str">
        <f t="shared" si="65"/>
        <v/>
      </c>
      <c r="U154" t="str">
        <f t="shared" si="66"/>
        <v/>
      </c>
      <c r="V154" t="str">
        <f t="shared" si="67"/>
        <v/>
      </c>
      <c r="W154" t="str">
        <f>IF($A154="","",Allocation2!Y154)</f>
        <v/>
      </c>
      <c r="X154" t="str">
        <f>IF($A154="","",Allocation2!Z154)</f>
        <v/>
      </c>
      <c r="Y154" t="str">
        <f>IF($A154="","",Allocation2!AA154)</f>
        <v/>
      </c>
      <c r="Z154" t="str">
        <f>IF($A154="","",Allocation2!AB154)</f>
        <v/>
      </c>
      <c r="AA154" t="str">
        <f>IF($A154="","",Allocation2!AC154)</f>
        <v/>
      </c>
      <c r="AB154" t="str">
        <f>IF($A154="","",Allocation2!AD154)</f>
        <v/>
      </c>
      <c r="AC154" t="str">
        <f>IF($A154="","",IF(ALLOC!$N$4="VOL_EFF",$G154,IF(ALLOC!$N$4="VOL_CLASS",$H154,$I154)))</f>
        <v/>
      </c>
      <c r="AD154" t="str">
        <f>IF($A154="","",IF(ALLOC!$N$4="VOL_EFF",$L154,IF(ALLOC!$N$4="VOL_CLASS",$M154,$N154)))</f>
        <v/>
      </c>
      <c r="AE154" t="str">
        <f>IF($A154="","",IF(ALLOC!$N$3="VOL_EFF",$L154,IF(ALLOC!$N$3="VOL_CLASS",$M154,$N154)))</f>
        <v/>
      </c>
      <c r="AF154" t="str">
        <f>IF($A154="","",IF(ALLOC!$N$3="VOL_EFF",$Q154,IF(ALLOC!$N$3="VOL_CLASS",$R154,$S154)))</f>
        <v/>
      </c>
      <c r="AG154" t="str">
        <f>IF($A154="","",IF(ALLOC!$N$1="VOL_EFF",$Q154,IF(ALLOC!$N$1="VOL_CLASS",$R154,$S154)))</f>
        <v/>
      </c>
      <c r="AH154" t="str">
        <f>IF($A154="","",IF(ALLOC!$N$1="VOL_EFF",$T154,IF(ALLOC!$N$1="VOL_CLASS",$U154,$V154)))</f>
        <v/>
      </c>
      <c r="AI154" t="str">
        <f t="shared" si="68"/>
        <v/>
      </c>
      <c r="AJ154" t="str">
        <f t="shared" si="69"/>
        <v/>
      </c>
      <c r="AK154" t="str">
        <f t="shared" si="70"/>
        <v/>
      </c>
      <c r="AL154" t="str">
        <f t="shared" si="71"/>
        <v/>
      </c>
      <c r="AM154" t="str">
        <f t="shared" si="72"/>
        <v/>
      </c>
      <c r="AN154" t="str">
        <f t="shared" si="73"/>
        <v/>
      </c>
      <c r="AO154" t="str">
        <f>IF($A154="","",Allocation2!AE154)</f>
        <v/>
      </c>
      <c r="AP154" t="str">
        <f>IF($A154="","",IF(ALLOC!$N$2="VOL_EFF",$Q154,IF(ALLOC!$N$2="VOL_CLASS",$R154,$S154)))</f>
        <v/>
      </c>
      <c r="AQ154" t="str">
        <f>IF($A154="","",IF(ALLOC!$N$2="VOL_EFF",$T154,IF(ALLOC!$N$2="VOL_CLASS",$U154,$V154)))</f>
        <v/>
      </c>
      <c r="AR154" t="str">
        <f t="shared" si="74"/>
        <v/>
      </c>
    </row>
    <row r="155" spans="1:44" x14ac:dyDescent="0.45">
      <c r="A155" t="str">
        <f>IF(Allocation2!D155="","",Allocation2!D155)</f>
        <v/>
      </c>
      <c r="B155" t="str">
        <f>IF(Allocation2!E155="","",Allocation2!E155)</f>
        <v/>
      </c>
      <c r="C155" t="str">
        <f>IF(Allocation2!F155="","",Allocation2!F155)</f>
        <v/>
      </c>
      <c r="D155" t="str">
        <f>IF(Allocation2!G155="","",Allocation2!G155)</f>
        <v/>
      </c>
      <c r="E155" t="str">
        <f>IF(Allocation2!H155="","",Allocation2!H155)</f>
        <v/>
      </c>
      <c r="F155" t="str">
        <f>IF(Allocation2!I155="","",Allocation2!I155)</f>
        <v/>
      </c>
      <c r="G155" t="str">
        <f>IF(Allocation2!E155="","",Allocation2!J155)</f>
        <v/>
      </c>
      <c r="H155" t="str">
        <f>IF(Allocation2!E155="","",Allocation2!K155)</f>
        <v/>
      </c>
      <c r="I155" t="str">
        <f>IF(Allocation2!E155="","",Allocation2!L155)</f>
        <v/>
      </c>
      <c r="J155" t="str">
        <f>IF($A155="","",Allocation2!X155)</f>
        <v/>
      </c>
      <c r="K155" t="str">
        <f t="shared" si="56"/>
        <v/>
      </c>
      <c r="L155" t="str">
        <f t="shared" si="57"/>
        <v/>
      </c>
      <c r="M155" t="str">
        <f t="shared" si="58"/>
        <v/>
      </c>
      <c r="N155" t="str">
        <f t="shared" si="59"/>
        <v/>
      </c>
      <c r="O155" t="str">
        <f t="shared" si="60"/>
        <v/>
      </c>
      <c r="P155" t="str">
        <f t="shared" si="61"/>
        <v/>
      </c>
      <c r="Q155" t="str">
        <f t="shared" si="62"/>
        <v/>
      </c>
      <c r="R155" t="str">
        <f t="shared" si="63"/>
        <v/>
      </c>
      <c r="S155" t="str">
        <f t="shared" si="64"/>
        <v/>
      </c>
      <c r="T155" t="str">
        <f t="shared" si="65"/>
        <v/>
      </c>
      <c r="U155" t="str">
        <f t="shared" si="66"/>
        <v/>
      </c>
      <c r="V155" t="str">
        <f t="shared" si="67"/>
        <v/>
      </c>
      <c r="W155" t="str">
        <f>IF($A155="","",Allocation2!Y155)</f>
        <v/>
      </c>
      <c r="X155" t="str">
        <f>IF($A155="","",Allocation2!Z155)</f>
        <v/>
      </c>
      <c r="Y155" t="str">
        <f>IF($A155="","",Allocation2!AA155)</f>
        <v/>
      </c>
      <c r="Z155" t="str">
        <f>IF($A155="","",Allocation2!AB155)</f>
        <v/>
      </c>
      <c r="AA155" t="str">
        <f>IF($A155="","",Allocation2!AC155)</f>
        <v/>
      </c>
      <c r="AB155" t="str">
        <f>IF($A155="","",Allocation2!AD155)</f>
        <v/>
      </c>
      <c r="AC155" t="str">
        <f>IF($A155="","",IF(ALLOC!$N$4="VOL_EFF",$G155,IF(ALLOC!$N$4="VOL_CLASS",$H155,$I155)))</f>
        <v/>
      </c>
      <c r="AD155" t="str">
        <f>IF($A155="","",IF(ALLOC!$N$4="VOL_EFF",$L155,IF(ALLOC!$N$4="VOL_CLASS",$M155,$N155)))</f>
        <v/>
      </c>
      <c r="AE155" t="str">
        <f>IF($A155="","",IF(ALLOC!$N$3="VOL_EFF",$L155,IF(ALLOC!$N$3="VOL_CLASS",$M155,$N155)))</f>
        <v/>
      </c>
      <c r="AF155" t="str">
        <f>IF($A155="","",IF(ALLOC!$N$3="VOL_EFF",$Q155,IF(ALLOC!$N$3="VOL_CLASS",$R155,$S155)))</f>
        <v/>
      </c>
      <c r="AG155" t="str">
        <f>IF($A155="","",IF(ALLOC!$N$1="VOL_EFF",$Q155,IF(ALLOC!$N$1="VOL_CLASS",$R155,$S155)))</f>
        <v/>
      </c>
      <c r="AH155" t="str">
        <f>IF($A155="","",IF(ALLOC!$N$1="VOL_EFF",$T155,IF(ALLOC!$N$1="VOL_CLASS",$U155,$V155)))</f>
        <v/>
      </c>
      <c r="AI155" t="str">
        <f t="shared" si="68"/>
        <v/>
      </c>
      <c r="AJ155" t="str">
        <f t="shared" si="69"/>
        <v/>
      </c>
      <c r="AK155" t="str">
        <f t="shared" si="70"/>
        <v/>
      </c>
      <c r="AL155" t="str">
        <f t="shared" si="71"/>
        <v/>
      </c>
      <c r="AM155" t="str">
        <f t="shared" si="72"/>
        <v/>
      </c>
      <c r="AN155" t="str">
        <f t="shared" si="73"/>
        <v/>
      </c>
      <c r="AO155" t="str">
        <f>IF($A155="","",Allocation2!AE155)</f>
        <v/>
      </c>
      <c r="AP155" t="str">
        <f>IF($A155="","",IF(ALLOC!$N$2="VOL_EFF",$Q155,IF(ALLOC!$N$2="VOL_CLASS",$R155,$S155)))</f>
        <v/>
      </c>
      <c r="AQ155" t="str">
        <f>IF($A155="","",IF(ALLOC!$N$2="VOL_EFF",$T155,IF(ALLOC!$N$2="VOL_CLASS",$U155,$V155)))</f>
        <v/>
      </c>
      <c r="AR155" t="str">
        <f t="shared" si="74"/>
        <v/>
      </c>
    </row>
    <row r="156" spans="1:44" x14ac:dyDescent="0.45">
      <c r="A156" t="str">
        <f>IF(Allocation2!D156="","",Allocation2!D156)</f>
        <v/>
      </c>
      <c r="B156" t="str">
        <f>IF(Allocation2!E156="","",Allocation2!E156)</f>
        <v/>
      </c>
      <c r="C156" t="str">
        <f>IF(Allocation2!F156="","",Allocation2!F156)</f>
        <v/>
      </c>
      <c r="D156" t="str">
        <f>IF(Allocation2!G156="","",Allocation2!G156)</f>
        <v/>
      </c>
      <c r="E156" t="str">
        <f>IF(Allocation2!H156="","",Allocation2!H156)</f>
        <v/>
      </c>
      <c r="F156" t="str">
        <f>IF(Allocation2!I156="","",Allocation2!I156)</f>
        <v/>
      </c>
      <c r="G156" t="str">
        <f>IF(Allocation2!E156="","",Allocation2!J156)</f>
        <v/>
      </c>
      <c r="H156" t="str">
        <f>IF(Allocation2!E156="","",Allocation2!K156)</f>
        <v/>
      </c>
      <c r="I156" t="str">
        <f>IF(Allocation2!E156="","",Allocation2!L156)</f>
        <v/>
      </c>
      <c r="J156" t="str">
        <f>IF($A156="","",Allocation2!X156)</f>
        <v/>
      </c>
      <c r="K156" t="str">
        <f t="shared" si="56"/>
        <v/>
      </c>
      <c r="L156" t="str">
        <f t="shared" si="57"/>
        <v/>
      </c>
      <c r="M156" t="str">
        <f t="shared" si="58"/>
        <v/>
      </c>
      <c r="N156" t="str">
        <f t="shared" si="59"/>
        <v/>
      </c>
      <c r="O156" t="str">
        <f t="shared" si="60"/>
        <v/>
      </c>
      <c r="P156" t="str">
        <f t="shared" si="61"/>
        <v/>
      </c>
      <c r="Q156" t="str">
        <f t="shared" si="62"/>
        <v/>
      </c>
      <c r="R156" t="str">
        <f t="shared" si="63"/>
        <v/>
      </c>
      <c r="S156" t="str">
        <f t="shared" si="64"/>
        <v/>
      </c>
      <c r="T156" t="str">
        <f t="shared" si="65"/>
        <v/>
      </c>
      <c r="U156" t="str">
        <f t="shared" si="66"/>
        <v/>
      </c>
      <c r="V156" t="str">
        <f t="shared" si="67"/>
        <v/>
      </c>
      <c r="W156" t="str">
        <f>IF($A156="","",Allocation2!Y156)</f>
        <v/>
      </c>
      <c r="X156" t="str">
        <f>IF($A156="","",Allocation2!Z156)</f>
        <v/>
      </c>
      <c r="Y156" t="str">
        <f>IF($A156="","",Allocation2!AA156)</f>
        <v/>
      </c>
      <c r="Z156" t="str">
        <f>IF($A156="","",Allocation2!AB156)</f>
        <v/>
      </c>
      <c r="AA156" t="str">
        <f>IF($A156="","",Allocation2!AC156)</f>
        <v/>
      </c>
      <c r="AB156" t="str">
        <f>IF($A156="","",Allocation2!AD156)</f>
        <v/>
      </c>
      <c r="AC156" t="str">
        <f>IF($A156="","",IF(ALLOC!$N$4="VOL_EFF",$G156,IF(ALLOC!$N$4="VOL_CLASS",$H156,$I156)))</f>
        <v/>
      </c>
      <c r="AD156" t="str">
        <f>IF($A156="","",IF(ALLOC!$N$4="VOL_EFF",$L156,IF(ALLOC!$N$4="VOL_CLASS",$M156,$N156)))</f>
        <v/>
      </c>
      <c r="AE156" t="str">
        <f>IF($A156="","",IF(ALLOC!$N$3="VOL_EFF",$L156,IF(ALLOC!$N$3="VOL_CLASS",$M156,$N156)))</f>
        <v/>
      </c>
      <c r="AF156" t="str">
        <f>IF($A156="","",IF(ALLOC!$N$3="VOL_EFF",$Q156,IF(ALLOC!$N$3="VOL_CLASS",$R156,$S156)))</f>
        <v/>
      </c>
      <c r="AG156" t="str">
        <f>IF($A156="","",IF(ALLOC!$N$1="VOL_EFF",$Q156,IF(ALLOC!$N$1="VOL_CLASS",$R156,$S156)))</f>
        <v/>
      </c>
      <c r="AH156" t="str">
        <f>IF($A156="","",IF(ALLOC!$N$1="VOL_EFF",$T156,IF(ALLOC!$N$1="VOL_CLASS",$U156,$V156)))</f>
        <v/>
      </c>
      <c r="AI156" t="str">
        <f t="shared" si="68"/>
        <v/>
      </c>
      <c r="AJ156" t="str">
        <f t="shared" si="69"/>
        <v/>
      </c>
      <c r="AK156" t="str">
        <f t="shared" si="70"/>
        <v/>
      </c>
      <c r="AL156" t="str">
        <f t="shared" si="71"/>
        <v/>
      </c>
      <c r="AM156" t="str">
        <f t="shared" si="72"/>
        <v/>
      </c>
      <c r="AN156" t="str">
        <f t="shared" si="73"/>
        <v/>
      </c>
      <c r="AO156" t="str">
        <f>IF($A156="","",Allocation2!AE156)</f>
        <v/>
      </c>
      <c r="AP156" t="str">
        <f>IF($A156="","",IF(ALLOC!$N$2="VOL_EFF",$Q156,IF(ALLOC!$N$2="VOL_CLASS",$R156,$S156)))</f>
        <v/>
      </c>
      <c r="AQ156" t="str">
        <f>IF($A156="","",IF(ALLOC!$N$2="VOL_EFF",$T156,IF(ALLOC!$N$2="VOL_CLASS",$U156,$V156)))</f>
        <v/>
      </c>
      <c r="AR156" t="str">
        <f t="shared" si="74"/>
        <v/>
      </c>
    </row>
    <row r="157" spans="1:44" x14ac:dyDescent="0.45">
      <c r="A157" t="str">
        <f>IF(Allocation2!D157="","",Allocation2!D157)</f>
        <v/>
      </c>
      <c r="B157" t="str">
        <f>IF(Allocation2!E157="","",Allocation2!E157)</f>
        <v/>
      </c>
      <c r="C157" t="str">
        <f>IF(Allocation2!F157="","",Allocation2!F157)</f>
        <v/>
      </c>
      <c r="D157" t="str">
        <f>IF(Allocation2!G157="","",Allocation2!G157)</f>
        <v/>
      </c>
      <c r="E157" t="str">
        <f>IF(Allocation2!H157="","",Allocation2!H157)</f>
        <v/>
      </c>
      <c r="F157" t="str">
        <f>IF(Allocation2!I157="","",Allocation2!I157)</f>
        <v/>
      </c>
      <c r="G157" t="str">
        <f>IF(Allocation2!E157="","",Allocation2!J157)</f>
        <v/>
      </c>
      <c r="H157" t="str">
        <f>IF(Allocation2!E157="","",Allocation2!K157)</f>
        <v/>
      </c>
      <c r="I157" t="str">
        <f>IF(Allocation2!E157="","",Allocation2!L157)</f>
        <v/>
      </c>
      <c r="J157" t="str">
        <f>IF($A157="","",Allocation2!X157)</f>
        <v/>
      </c>
      <c r="K157" t="str">
        <f t="shared" si="56"/>
        <v/>
      </c>
      <c r="L157" t="str">
        <f t="shared" si="57"/>
        <v/>
      </c>
      <c r="M157" t="str">
        <f t="shared" si="58"/>
        <v/>
      </c>
      <c r="N157" t="str">
        <f t="shared" si="59"/>
        <v/>
      </c>
      <c r="O157" t="str">
        <f t="shared" si="60"/>
        <v/>
      </c>
      <c r="P157" t="str">
        <f t="shared" si="61"/>
        <v/>
      </c>
      <c r="Q157" t="str">
        <f t="shared" si="62"/>
        <v/>
      </c>
      <c r="R157" t="str">
        <f t="shared" si="63"/>
        <v/>
      </c>
      <c r="S157" t="str">
        <f t="shared" si="64"/>
        <v/>
      </c>
      <c r="T157" t="str">
        <f t="shared" si="65"/>
        <v/>
      </c>
      <c r="U157" t="str">
        <f t="shared" si="66"/>
        <v/>
      </c>
      <c r="V157" t="str">
        <f t="shared" si="67"/>
        <v/>
      </c>
      <c r="W157" t="str">
        <f>IF($A157="","",Allocation2!Y157)</f>
        <v/>
      </c>
      <c r="X157" t="str">
        <f>IF($A157="","",Allocation2!Z157)</f>
        <v/>
      </c>
      <c r="Y157" t="str">
        <f>IF($A157="","",Allocation2!AA157)</f>
        <v/>
      </c>
      <c r="Z157" t="str">
        <f>IF($A157="","",Allocation2!AB157)</f>
        <v/>
      </c>
      <c r="AA157" t="str">
        <f>IF($A157="","",Allocation2!AC157)</f>
        <v/>
      </c>
      <c r="AB157" t="str">
        <f>IF($A157="","",Allocation2!AD157)</f>
        <v/>
      </c>
      <c r="AC157" t="str">
        <f>IF($A157="","",IF(ALLOC!$N$4="VOL_EFF",$G157,IF(ALLOC!$N$4="VOL_CLASS",$H157,$I157)))</f>
        <v/>
      </c>
      <c r="AD157" t="str">
        <f>IF($A157="","",IF(ALLOC!$N$4="VOL_EFF",$L157,IF(ALLOC!$N$4="VOL_CLASS",$M157,$N157)))</f>
        <v/>
      </c>
      <c r="AE157" t="str">
        <f>IF($A157="","",IF(ALLOC!$N$3="VOL_EFF",$L157,IF(ALLOC!$N$3="VOL_CLASS",$M157,$N157)))</f>
        <v/>
      </c>
      <c r="AF157" t="str">
        <f>IF($A157="","",IF(ALLOC!$N$3="VOL_EFF",$Q157,IF(ALLOC!$N$3="VOL_CLASS",$R157,$S157)))</f>
        <v/>
      </c>
      <c r="AG157" t="str">
        <f>IF($A157="","",IF(ALLOC!$N$1="VOL_EFF",$Q157,IF(ALLOC!$N$1="VOL_CLASS",$R157,$S157)))</f>
        <v/>
      </c>
      <c r="AH157" t="str">
        <f>IF($A157="","",IF(ALLOC!$N$1="VOL_EFF",$T157,IF(ALLOC!$N$1="VOL_CLASS",$U157,$V157)))</f>
        <v/>
      </c>
      <c r="AI157" t="str">
        <f t="shared" si="68"/>
        <v/>
      </c>
      <c r="AJ157" t="str">
        <f t="shared" si="69"/>
        <v/>
      </c>
      <c r="AK157" t="str">
        <f t="shared" si="70"/>
        <v/>
      </c>
      <c r="AL157" t="str">
        <f t="shared" si="71"/>
        <v/>
      </c>
      <c r="AM157" t="str">
        <f t="shared" si="72"/>
        <v/>
      </c>
      <c r="AN157" t="str">
        <f t="shared" si="73"/>
        <v/>
      </c>
      <c r="AO157" t="str">
        <f>IF($A157="","",Allocation2!AE157)</f>
        <v/>
      </c>
      <c r="AP157" t="str">
        <f>IF($A157="","",IF(ALLOC!$N$2="VOL_EFF",$Q157,IF(ALLOC!$N$2="VOL_CLASS",$R157,$S157)))</f>
        <v/>
      </c>
      <c r="AQ157" t="str">
        <f>IF($A157="","",IF(ALLOC!$N$2="VOL_EFF",$T157,IF(ALLOC!$N$2="VOL_CLASS",$U157,$V157)))</f>
        <v/>
      </c>
      <c r="AR157" t="str">
        <f t="shared" si="74"/>
        <v/>
      </c>
    </row>
    <row r="158" spans="1:44" x14ac:dyDescent="0.45">
      <c r="A158" t="str">
        <f>IF(Allocation2!D158="","",Allocation2!D158)</f>
        <v/>
      </c>
      <c r="B158" t="str">
        <f>IF(Allocation2!E158="","",Allocation2!E158)</f>
        <v/>
      </c>
      <c r="C158" t="str">
        <f>IF(Allocation2!F158="","",Allocation2!F158)</f>
        <v/>
      </c>
      <c r="D158" t="str">
        <f>IF(Allocation2!G158="","",Allocation2!G158)</f>
        <v/>
      </c>
      <c r="E158" t="str">
        <f>IF(Allocation2!H158="","",Allocation2!H158)</f>
        <v/>
      </c>
      <c r="F158" t="str">
        <f>IF(Allocation2!I158="","",Allocation2!I158)</f>
        <v/>
      </c>
      <c r="G158" t="str">
        <f>IF(Allocation2!E158="","",Allocation2!J158)</f>
        <v/>
      </c>
      <c r="H158" t="str">
        <f>IF(Allocation2!E158="","",Allocation2!K158)</f>
        <v/>
      </c>
      <c r="I158" t="str">
        <f>IF(Allocation2!E158="","",Allocation2!L158)</f>
        <v/>
      </c>
      <c r="J158" t="str">
        <f>IF($A158="","",Allocation2!X158)</f>
        <v/>
      </c>
      <c r="K158" t="str">
        <f t="shared" si="56"/>
        <v/>
      </c>
      <c r="L158" t="str">
        <f t="shared" si="57"/>
        <v/>
      </c>
      <c r="M158" t="str">
        <f t="shared" si="58"/>
        <v/>
      </c>
      <c r="N158" t="str">
        <f t="shared" si="59"/>
        <v/>
      </c>
      <c r="O158" t="str">
        <f t="shared" si="60"/>
        <v/>
      </c>
      <c r="P158" t="str">
        <f t="shared" si="61"/>
        <v/>
      </c>
      <c r="Q158" t="str">
        <f t="shared" si="62"/>
        <v/>
      </c>
      <c r="R158" t="str">
        <f t="shared" si="63"/>
        <v/>
      </c>
      <c r="S158" t="str">
        <f t="shared" si="64"/>
        <v/>
      </c>
      <c r="T158" t="str">
        <f t="shared" si="65"/>
        <v/>
      </c>
      <c r="U158" t="str">
        <f t="shared" si="66"/>
        <v/>
      </c>
      <c r="V158" t="str">
        <f t="shared" si="67"/>
        <v/>
      </c>
      <c r="W158" t="str">
        <f>IF($A158="","",Allocation2!Y158)</f>
        <v/>
      </c>
      <c r="X158" t="str">
        <f>IF($A158="","",Allocation2!Z158)</f>
        <v/>
      </c>
      <c r="Y158" t="str">
        <f>IF($A158="","",Allocation2!AA158)</f>
        <v/>
      </c>
      <c r="Z158" t="str">
        <f>IF($A158="","",Allocation2!AB158)</f>
        <v/>
      </c>
      <c r="AA158" t="str">
        <f>IF($A158="","",Allocation2!AC158)</f>
        <v/>
      </c>
      <c r="AB158" t="str">
        <f>IF($A158="","",Allocation2!AD158)</f>
        <v/>
      </c>
      <c r="AC158" t="str">
        <f>IF($A158="","",IF(ALLOC!$N$4="VOL_EFF",$G158,IF(ALLOC!$N$4="VOL_CLASS",$H158,$I158)))</f>
        <v/>
      </c>
      <c r="AD158" t="str">
        <f>IF($A158="","",IF(ALLOC!$N$4="VOL_EFF",$L158,IF(ALLOC!$N$4="VOL_CLASS",$M158,$N158)))</f>
        <v/>
      </c>
      <c r="AE158" t="str">
        <f>IF($A158="","",IF(ALLOC!$N$3="VOL_EFF",$L158,IF(ALLOC!$N$3="VOL_CLASS",$M158,$N158)))</f>
        <v/>
      </c>
      <c r="AF158" t="str">
        <f>IF($A158="","",IF(ALLOC!$N$3="VOL_EFF",$Q158,IF(ALLOC!$N$3="VOL_CLASS",$R158,$S158)))</f>
        <v/>
      </c>
      <c r="AG158" t="str">
        <f>IF($A158="","",IF(ALLOC!$N$1="VOL_EFF",$Q158,IF(ALLOC!$N$1="VOL_CLASS",$R158,$S158)))</f>
        <v/>
      </c>
      <c r="AH158" t="str">
        <f>IF($A158="","",IF(ALLOC!$N$1="VOL_EFF",$T158,IF(ALLOC!$N$1="VOL_CLASS",$U158,$V158)))</f>
        <v/>
      </c>
      <c r="AI158" t="str">
        <f t="shared" si="68"/>
        <v/>
      </c>
      <c r="AJ158" t="str">
        <f t="shared" si="69"/>
        <v/>
      </c>
      <c r="AK158" t="str">
        <f t="shared" si="70"/>
        <v/>
      </c>
      <c r="AL158" t="str">
        <f t="shared" si="71"/>
        <v/>
      </c>
      <c r="AM158" t="str">
        <f t="shared" si="72"/>
        <v/>
      </c>
      <c r="AN158" t="str">
        <f t="shared" si="73"/>
        <v/>
      </c>
      <c r="AO158" t="str">
        <f>IF($A158="","",Allocation2!AE158)</f>
        <v/>
      </c>
      <c r="AP158" t="str">
        <f>IF($A158="","",IF(ALLOC!$N$2="VOL_EFF",$Q158,IF(ALLOC!$N$2="VOL_CLASS",$R158,$S158)))</f>
        <v/>
      </c>
      <c r="AQ158" t="str">
        <f>IF($A158="","",IF(ALLOC!$N$2="VOL_EFF",$T158,IF(ALLOC!$N$2="VOL_CLASS",$U158,$V158)))</f>
        <v/>
      </c>
      <c r="AR158" t="str">
        <f t="shared" si="74"/>
        <v/>
      </c>
    </row>
    <row r="159" spans="1:44" x14ac:dyDescent="0.45">
      <c r="A159" t="str">
        <f>IF(Allocation2!D159="","",Allocation2!D159)</f>
        <v/>
      </c>
      <c r="B159" t="str">
        <f>IF(Allocation2!E159="","",Allocation2!E159)</f>
        <v/>
      </c>
      <c r="C159" t="str">
        <f>IF(Allocation2!F159="","",Allocation2!F159)</f>
        <v/>
      </c>
      <c r="D159" t="str">
        <f>IF(Allocation2!G159="","",Allocation2!G159)</f>
        <v/>
      </c>
      <c r="E159" t="str">
        <f>IF(Allocation2!H159="","",Allocation2!H159)</f>
        <v/>
      </c>
      <c r="F159" t="str">
        <f>IF(Allocation2!I159="","",Allocation2!I159)</f>
        <v/>
      </c>
      <c r="G159" t="str">
        <f>IF(Allocation2!E159="","",Allocation2!J159)</f>
        <v/>
      </c>
      <c r="H159" t="str">
        <f>IF(Allocation2!E159="","",Allocation2!K159)</f>
        <v/>
      </c>
      <c r="I159" t="str">
        <f>IF(Allocation2!E159="","",Allocation2!L159)</f>
        <v/>
      </c>
      <c r="J159" t="str">
        <f>IF($A159="","",Allocation2!X159)</f>
        <v/>
      </c>
      <c r="K159" t="str">
        <f t="shared" si="56"/>
        <v/>
      </c>
      <c r="L159" t="str">
        <f t="shared" si="57"/>
        <v/>
      </c>
      <c r="M159" t="str">
        <f t="shared" si="58"/>
        <v/>
      </c>
      <c r="N159" t="str">
        <f t="shared" si="59"/>
        <v/>
      </c>
      <c r="O159" t="str">
        <f t="shared" si="60"/>
        <v/>
      </c>
      <c r="P159" t="str">
        <f t="shared" si="61"/>
        <v/>
      </c>
      <c r="Q159" t="str">
        <f t="shared" si="62"/>
        <v/>
      </c>
      <c r="R159" t="str">
        <f t="shared" si="63"/>
        <v/>
      </c>
      <c r="S159" t="str">
        <f t="shared" si="64"/>
        <v/>
      </c>
      <c r="T159" t="str">
        <f t="shared" si="65"/>
        <v/>
      </c>
      <c r="U159" t="str">
        <f t="shared" si="66"/>
        <v/>
      </c>
      <c r="V159" t="str">
        <f t="shared" si="67"/>
        <v/>
      </c>
      <c r="W159" t="str">
        <f>IF($A159="","",Allocation2!Y159)</f>
        <v/>
      </c>
      <c r="X159" t="str">
        <f>IF($A159="","",Allocation2!Z159)</f>
        <v/>
      </c>
      <c r="Y159" t="str">
        <f>IF($A159="","",Allocation2!AA159)</f>
        <v/>
      </c>
      <c r="Z159" t="str">
        <f>IF($A159="","",Allocation2!AB159)</f>
        <v/>
      </c>
      <c r="AA159" t="str">
        <f>IF($A159="","",Allocation2!AC159)</f>
        <v/>
      </c>
      <c r="AB159" t="str">
        <f>IF($A159="","",Allocation2!AD159)</f>
        <v/>
      </c>
      <c r="AC159" t="str">
        <f>IF($A159="","",IF(ALLOC!$N$4="VOL_EFF",$G159,IF(ALLOC!$N$4="VOL_CLASS",$H159,$I159)))</f>
        <v/>
      </c>
      <c r="AD159" t="str">
        <f>IF($A159="","",IF(ALLOC!$N$4="VOL_EFF",$L159,IF(ALLOC!$N$4="VOL_CLASS",$M159,$N159)))</f>
        <v/>
      </c>
      <c r="AE159" t="str">
        <f>IF($A159="","",IF(ALLOC!$N$3="VOL_EFF",$L159,IF(ALLOC!$N$3="VOL_CLASS",$M159,$N159)))</f>
        <v/>
      </c>
      <c r="AF159" t="str">
        <f>IF($A159="","",IF(ALLOC!$N$3="VOL_EFF",$Q159,IF(ALLOC!$N$3="VOL_CLASS",$R159,$S159)))</f>
        <v/>
      </c>
      <c r="AG159" t="str">
        <f>IF($A159="","",IF(ALLOC!$N$1="VOL_EFF",$Q159,IF(ALLOC!$N$1="VOL_CLASS",$R159,$S159)))</f>
        <v/>
      </c>
      <c r="AH159" t="str">
        <f>IF($A159="","",IF(ALLOC!$N$1="VOL_EFF",$T159,IF(ALLOC!$N$1="VOL_CLASS",$U159,$V159)))</f>
        <v/>
      </c>
      <c r="AI159" t="str">
        <f t="shared" si="68"/>
        <v/>
      </c>
      <c r="AJ159" t="str">
        <f t="shared" si="69"/>
        <v/>
      </c>
      <c r="AK159" t="str">
        <f t="shared" si="70"/>
        <v/>
      </c>
      <c r="AL159" t="str">
        <f t="shared" si="71"/>
        <v/>
      </c>
      <c r="AM159" t="str">
        <f t="shared" si="72"/>
        <v/>
      </c>
      <c r="AN159" t="str">
        <f t="shared" si="73"/>
        <v/>
      </c>
      <c r="AO159" t="str">
        <f>IF($A159="","",Allocation2!AE159)</f>
        <v/>
      </c>
      <c r="AP159" t="str">
        <f>IF($A159="","",IF(ALLOC!$N$2="VOL_EFF",$Q159,IF(ALLOC!$N$2="VOL_CLASS",$R159,$S159)))</f>
        <v/>
      </c>
      <c r="AQ159" t="str">
        <f>IF($A159="","",IF(ALLOC!$N$2="VOL_EFF",$T159,IF(ALLOC!$N$2="VOL_CLASS",$U159,$V159)))</f>
        <v/>
      </c>
      <c r="AR159" t="str">
        <f t="shared" si="74"/>
        <v/>
      </c>
    </row>
    <row r="160" spans="1:44" x14ac:dyDescent="0.45">
      <c r="A160" t="str">
        <f>IF(Allocation2!D160="","",Allocation2!D160)</f>
        <v/>
      </c>
      <c r="B160" t="str">
        <f>IF(Allocation2!E160="","",Allocation2!E160)</f>
        <v/>
      </c>
      <c r="C160" t="str">
        <f>IF(Allocation2!F160="","",Allocation2!F160)</f>
        <v/>
      </c>
      <c r="D160" t="str">
        <f>IF(Allocation2!G160="","",Allocation2!G160)</f>
        <v/>
      </c>
      <c r="E160" t="str">
        <f>IF(Allocation2!H160="","",Allocation2!H160)</f>
        <v/>
      </c>
      <c r="F160" t="str">
        <f>IF(Allocation2!I160="","",Allocation2!I160)</f>
        <v/>
      </c>
      <c r="G160" t="str">
        <f>IF(Allocation2!E160="","",Allocation2!J160)</f>
        <v/>
      </c>
      <c r="H160" t="str">
        <f>IF(Allocation2!E160="","",Allocation2!K160)</f>
        <v/>
      </c>
      <c r="I160" t="str">
        <f>IF(Allocation2!E160="","",Allocation2!L160)</f>
        <v/>
      </c>
      <c r="J160" t="str">
        <f>IF($A160="","",Allocation2!X160)</f>
        <v/>
      </c>
      <c r="K160" t="str">
        <f t="shared" si="56"/>
        <v/>
      </c>
      <c r="L160" t="str">
        <f t="shared" si="57"/>
        <v/>
      </c>
      <c r="M160" t="str">
        <f t="shared" si="58"/>
        <v/>
      </c>
      <c r="N160" t="str">
        <f t="shared" si="59"/>
        <v/>
      </c>
      <c r="O160" t="str">
        <f t="shared" si="60"/>
        <v/>
      </c>
      <c r="P160" t="str">
        <f t="shared" si="61"/>
        <v/>
      </c>
      <c r="Q160" t="str">
        <f t="shared" si="62"/>
        <v/>
      </c>
      <c r="R160" t="str">
        <f t="shared" si="63"/>
        <v/>
      </c>
      <c r="S160" t="str">
        <f t="shared" si="64"/>
        <v/>
      </c>
      <c r="T160" t="str">
        <f t="shared" si="65"/>
        <v/>
      </c>
      <c r="U160" t="str">
        <f t="shared" si="66"/>
        <v/>
      </c>
      <c r="V160" t="str">
        <f t="shared" si="67"/>
        <v/>
      </c>
      <c r="W160" t="str">
        <f>IF($A160="","",Allocation2!Y160)</f>
        <v/>
      </c>
      <c r="X160" t="str">
        <f>IF($A160="","",Allocation2!Z160)</f>
        <v/>
      </c>
      <c r="Y160" t="str">
        <f>IF($A160="","",Allocation2!AA160)</f>
        <v/>
      </c>
      <c r="Z160" t="str">
        <f>IF($A160="","",Allocation2!AB160)</f>
        <v/>
      </c>
      <c r="AA160" t="str">
        <f>IF($A160="","",Allocation2!AC160)</f>
        <v/>
      </c>
      <c r="AB160" t="str">
        <f>IF($A160="","",Allocation2!AD160)</f>
        <v/>
      </c>
      <c r="AC160" t="str">
        <f>IF($A160="","",IF(ALLOC!$N$4="VOL_EFF",$G160,IF(ALLOC!$N$4="VOL_CLASS",$H160,$I160)))</f>
        <v/>
      </c>
      <c r="AD160" t="str">
        <f>IF($A160="","",IF(ALLOC!$N$4="VOL_EFF",$L160,IF(ALLOC!$N$4="VOL_CLASS",$M160,$N160)))</f>
        <v/>
      </c>
      <c r="AE160" t="str">
        <f>IF($A160="","",IF(ALLOC!$N$3="VOL_EFF",$L160,IF(ALLOC!$N$3="VOL_CLASS",$M160,$N160)))</f>
        <v/>
      </c>
      <c r="AF160" t="str">
        <f>IF($A160="","",IF(ALLOC!$N$3="VOL_EFF",$Q160,IF(ALLOC!$N$3="VOL_CLASS",$R160,$S160)))</f>
        <v/>
      </c>
      <c r="AG160" t="str">
        <f>IF($A160="","",IF(ALLOC!$N$1="VOL_EFF",$Q160,IF(ALLOC!$N$1="VOL_CLASS",$R160,$S160)))</f>
        <v/>
      </c>
      <c r="AH160" t="str">
        <f>IF($A160="","",IF(ALLOC!$N$1="VOL_EFF",$T160,IF(ALLOC!$N$1="VOL_CLASS",$U160,$V160)))</f>
        <v/>
      </c>
      <c r="AI160" t="str">
        <f t="shared" si="68"/>
        <v/>
      </c>
      <c r="AJ160" t="str">
        <f t="shared" si="69"/>
        <v/>
      </c>
      <c r="AK160" t="str">
        <f t="shared" si="70"/>
        <v/>
      </c>
      <c r="AL160" t="str">
        <f t="shared" si="71"/>
        <v/>
      </c>
      <c r="AM160" t="str">
        <f t="shared" si="72"/>
        <v/>
      </c>
      <c r="AN160" t="str">
        <f t="shared" si="73"/>
        <v/>
      </c>
      <c r="AO160" t="str">
        <f>IF($A160="","",Allocation2!AE160)</f>
        <v/>
      </c>
      <c r="AP160" t="str">
        <f>IF($A160="","",IF(ALLOC!$N$2="VOL_EFF",$Q160,IF(ALLOC!$N$2="VOL_CLASS",$R160,$S160)))</f>
        <v/>
      </c>
      <c r="AQ160" t="str">
        <f>IF($A160="","",IF(ALLOC!$N$2="VOL_EFF",$T160,IF(ALLOC!$N$2="VOL_CLASS",$U160,$V160)))</f>
        <v/>
      </c>
      <c r="AR160" t="str">
        <f t="shared" si="74"/>
        <v/>
      </c>
    </row>
    <row r="161" spans="1:44" x14ac:dyDescent="0.45">
      <c r="A161" t="str">
        <f>IF(Allocation2!D161="","",Allocation2!D161)</f>
        <v/>
      </c>
      <c r="B161" t="str">
        <f>IF(Allocation2!E161="","",Allocation2!E161)</f>
        <v/>
      </c>
      <c r="C161" t="str">
        <f>IF(Allocation2!F161="","",Allocation2!F161)</f>
        <v/>
      </c>
      <c r="D161" t="str">
        <f>IF(Allocation2!G161="","",Allocation2!G161)</f>
        <v/>
      </c>
      <c r="E161" t="str">
        <f>IF(Allocation2!H161="","",Allocation2!H161)</f>
        <v/>
      </c>
      <c r="F161" t="str">
        <f>IF(Allocation2!I161="","",Allocation2!I161)</f>
        <v/>
      </c>
      <c r="G161" t="str">
        <f>IF(Allocation2!E161="","",Allocation2!J161)</f>
        <v/>
      </c>
      <c r="H161" t="str">
        <f>IF(Allocation2!E161="","",Allocation2!K161)</f>
        <v/>
      </c>
      <c r="I161" t="str">
        <f>IF(Allocation2!E161="","",Allocation2!L161)</f>
        <v/>
      </c>
      <c r="J161" t="str">
        <f>IF($A161="","",Allocation2!X161)</f>
        <v/>
      </c>
      <c r="K161" t="str">
        <f t="shared" si="56"/>
        <v/>
      </c>
      <c r="L161" t="str">
        <f t="shared" si="57"/>
        <v/>
      </c>
      <c r="M161" t="str">
        <f t="shared" si="58"/>
        <v/>
      </c>
      <c r="N161" t="str">
        <f t="shared" si="59"/>
        <v/>
      </c>
      <c r="O161" t="str">
        <f t="shared" si="60"/>
        <v/>
      </c>
      <c r="P161" t="str">
        <f t="shared" si="61"/>
        <v/>
      </c>
      <c r="Q161" t="str">
        <f t="shared" si="62"/>
        <v/>
      </c>
      <c r="R161" t="str">
        <f t="shared" si="63"/>
        <v/>
      </c>
      <c r="S161" t="str">
        <f t="shared" si="64"/>
        <v/>
      </c>
      <c r="T161" t="str">
        <f t="shared" si="65"/>
        <v/>
      </c>
      <c r="U161" t="str">
        <f t="shared" si="66"/>
        <v/>
      </c>
      <c r="V161" t="str">
        <f t="shared" si="67"/>
        <v/>
      </c>
      <c r="W161" t="str">
        <f>IF($A161="","",Allocation2!Y161)</f>
        <v/>
      </c>
      <c r="X161" t="str">
        <f>IF($A161="","",Allocation2!Z161)</f>
        <v/>
      </c>
      <c r="Y161" t="str">
        <f>IF($A161="","",Allocation2!AA161)</f>
        <v/>
      </c>
      <c r="Z161" t="str">
        <f>IF($A161="","",Allocation2!AB161)</f>
        <v/>
      </c>
      <c r="AA161" t="str">
        <f>IF($A161="","",Allocation2!AC161)</f>
        <v/>
      </c>
      <c r="AB161" t="str">
        <f>IF($A161="","",Allocation2!AD161)</f>
        <v/>
      </c>
      <c r="AC161" t="str">
        <f>IF($A161="","",IF(ALLOC!$N$4="VOL_EFF",$G161,IF(ALLOC!$N$4="VOL_CLASS",$H161,$I161)))</f>
        <v/>
      </c>
      <c r="AD161" t="str">
        <f>IF($A161="","",IF(ALLOC!$N$4="VOL_EFF",$L161,IF(ALLOC!$N$4="VOL_CLASS",$M161,$N161)))</f>
        <v/>
      </c>
      <c r="AE161" t="str">
        <f>IF($A161="","",IF(ALLOC!$N$3="VOL_EFF",$L161,IF(ALLOC!$N$3="VOL_CLASS",$M161,$N161)))</f>
        <v/>
      </c>
      <c r="AF161" t="str">
        <f>IF($A161="","",IF(ALLOC!$N$3="VOL_EFF",$Q161,IF(ALLOC!$N$3="VOL_CLASS",$R161,$S161)))</f>
        <v/>
      </c>
      <c r="AG161" t="str">
        <f>IF($A161="","",IF(ALLOC!$N$1="VOL_EFF",$Q161,IF(ALLOC!$N$1="VOL_CLASS",$R161,$S161)))</f>
        <v/>
      </c>
      <c r="AH161" t="str">
        <f>IF($A161="","",IF(ALLOC!$N$1="VOL_EFF",$T161,IF(ALLOC!$N$1="VOL_CLASS",$U161,$V161)))</f>
        <v/>
      </c>
      <c r="AI161" t="str">
        <f t="shared" si="68"/>
        <v/>
      </c>
      <c r="AJ161" t="str">
        <f t="shared" si="69"/>
        <v/>
      </c>
      <c r="AK161" t="str">
        <f t="shared" si="70"/>
        <v/>
      </c>
      <c r="AL161" t="str">
        <f t="shared" si="71"/>
        <v/>
      </c>
      <c r="AM161" t="str">
        <f t="shared" si="72"/>
        <v/>
      </c>
      <c r="AN161" t="str">
        <f t="shared" si="73"/>
        <v/>
      </c>
      <c r="AO161" t="str">
        <f>IF($A161="","",Allocation2!AE161)</f>
        <v/>
      </c>
      <c r="AP161" t="str">
        <f>IF($A161="","",IF(ALLOC!$N$2="VOL_EFF",$Q161,IF(ALLOC!$N$2="VOL_CLASS",$R161,$S161)))</f>
        <v/>
      </c>
      <c r="AQ161" t="str">
        <f>IF($A161="","",IF(ALLOC!$N$2="VOL_EFF",$T161,IF(ALLOC!$N$2="VOL_CLASS",$U161,$V161)))</f>
        <v/>
      </c>
      <c r="AR161" t="str">
        <f t="shared" si="74"/>
        <v/>
      </c>
    </row>
    <row r="162" spans="1:44" x14ac:dyDescent="0.45">
      <c r="A162" t="str">
        <f>IF(Allocation2!D162="","",Allocation2!D162)</f>
        <v/>
      </c>
      <c r="B162" t="str">
        <f>IF(Allocation2!E162="","",Allocation2!E162)</f>
        <v/>
      </c>
      <c r="C162" t="str">
        <f>IF(Allocation2!F162="","",Allocation2!F162)</f>
        <v/>
      </c>
      <c r="D162" t="str">
        <f>IF(Allocation2!G162="","",Allocation2!G162)</f>
        <v/>
      </c>
      <c r="E162" t="str">
        <f>IF(Allocation2!H162="","",Allocation2!H162)</f>
        <v/>
      </c>
      <c r="F162" t="str">
        <f>IF(Allocation2!I162="","",Allocation2!I162)</f>
        <v/>
      </c>
      <c r="G162" t="str">
        <f>IF(Allocation2!E162="","",Allocation2!J162)</f>
        <v/>
      </c>
      <c r="H162" t="str">
        <f>IF(Allocation2!E162="","",Allocation2!K162)</f>
        <v/>
      </c>
      <c r="I162" t="str">
        <f>IF(Allocation2!E162="","",Allocation2!L162)</f>
        <v/>
      </c>
      <c r="J162" t="str">
        <f>IF($A162="","",Allocation2!X162)</f>
        <v/>
      </c>
      <c r="K162" t="str">
        <f t="shared" si="56"/>
        <v/>
      </c>
      <c r="L162" t="str">
        <f t="shared" ref="L162:L175" si="75">IF($A162="","",SUMIFS($G$1:$G$349,$A$1:$A$349,$A162,$B$1:$B$349,$B162))</f>
        <v/>
      </c>
      <c r="M162" t="str">
        <f t="shared" ref="M162:M175" si="76">IF($A162="","",SUMIFS($H$1:$H$349,$A$1:$A$349,$A162,$B$1:$B$349,$B162))</f>
        <v/>
      </c>
      <c r="N162" t="str">
        <f t="shared" ref="N162:N175" si="77">IF($A162="","",SUMIFS($I$1:$I$349,$A$1:$A$349,$A162,$B$1:$B$349,$B162))</f>
        <v/>
      </c>
      <c r="O162" t="str">
        <f t="shared" si="60"/>
        <v/>
      </c>
      <c r="P162" t="str">
        <f t="shared" si="61"/>
        <v/>
      </c>
      <c r="Q162" t="str">
        <f t="shared" ref="Q162:Q175" si="78">IF($A162="","",SUMIFS($G$1:$G$349,$A$1:$A$349,$A162,$C$1:$C$349,$C162))</f>
        <v/>
      </c>
      <c r="R162" t="str">
        <f t="shared" ref="R162:R175" si="79">IF($A162="","",SUMIFS($H$1:$H$349,$A$1:$A$349,$A162,$C$1:$C$349,$C162))</f>
        <v/>
      </c>
      <c r="S162" t="str">
        <f t="shared" ref="S162:S175" si="80">IF($A162="","",SUMIFS($I$1:$I$349,$A$1:$A$349,$A162,$C$1:$C$349,$C162))</f>
        <v/>
      </c>
      <c r="T162" t="str">
        <f t="shared" ref="T162:T175" si="81">IF($A162="","",SUMIFS($G$1:$G$349,$A$1:$A$349,$A162))</f>
        <v/>
      </c>
      <c r="U162" t="str">
        <f t="shared" ref="U162:U175" si="82">IF($A162="","",SUMIFS($H$1:$H$349,$A$1:$A$349,$A162))</f>
        <v/>
      </c>
      <c r="V162" t="str">
        <f t="shared" ref="V162:V175" si="83">IF($A162="","",SUMIFS($I$1:$I$349,$A$1:$A$349,$A162))</f>
        <v/>
      </c>
      <c r="W162" t="str">
        <f>IF($A162="","",Allocation2!Y162)</f>
        <v/>
      </c>
      <c r="X162" t="str">
        <f>IF($A162="","",Allocation2!Z162)</f>
        <v/>
      </c>
      <c r="Y162" t="str">
        <f>IF($A162="","",Allocation2!AA162)</f>
        <v/>
      </c>
      <c r="Z162" t="str">
        <f>IF($A162="","",Allocation2!AB162)</f>
        <v/>
      </c>
      <c r="AA162" t="str">
        <f>IF($A162="","",Allocation2!AC162)</f>
        <v/>
      </c>
      <c r="AB162" t="str">
        <f>IF($A162="","",Allocation2!AD162)</f>
        <v/>
      </c>
      <c r="AC162" t="str">
        <f>IF($A162="","",IF(ALLOC!$N$4="VOL_EFF",$G162,IF(ALLOC!$N$4="VOL_CLASS",$H162,$I162)))</f>
        <v/>
      </c>
      <c r="AD162" t="str">
        <f>IF($A162="","",IF(ALLOC!$N$4="VOL_EFF",$L162,IF(ALLOC!$N$4="VOL_CLASS",$M162,$N162)))</f>
        <v/>
      </c>
      <c r="AE162" t="str">
        <f>IF($A162="","",IF(ALLOC!$N$3="VOL_EFF",$L162,IF(ALLOC!$N$3="VOL_CLASS",$M162,$N162)))</f>
        <v/>
      </c>
      <c r="AF162" t="str">
        <f>IF($A162="","",IF(ALLOC!$N$3="VOL_EFF",$Q162,IF(ALLOC!$N$3="VOL_CLASS",$R162,$S162)))</f>
        <v/>
      </c>
      <c r="AG162" t="str">
        <f>IF($A162="","",IF(ALLOC!$N$1="VOL_EFF",$Q162,IF(ALLOC!$N$1="VOL_CLASS",$R162,$S162)))</f>
        <v/>
      </c>
      <c r="AH162" t="str">
        <f>IF($A162="","",IF(ALLOC!$N$1="VOL_EFF",$T162,IF(ALLOC!$N$1="VOL_CLASS",$U162,$V162)))</f>
        <v/>
      </c>
      <c r="AI162" t="str">
        <f t="shared" si="68"/>
        <v/>
      </c>
      <c r="AJ162" t="str">
        <f t="shared" si="69"/>
        <v/>
      </c>
      <c r="AK162" t="str">
        <f t="shared" si="70"/>
        <v/>
      </c>
      <c r="AL162" t="str">
        <f t="shared" si="71"/>
        <v/>
      </c>
      <c r="AM162" t="str">
        <f t="shared" si="72"/>
        <v/>
      </c>
      <c r="AN162" t="str">
        <f t="shared" si="73"/>
        <v/>
      </c>
      <c r="AO162" t="str">
        <f>IF($A162="","",Allocation2!AE162)</f>
        <v/>
      </c>
      <c r="AP162" t="str">
        <f>IF($A162="","",IF(ALLOC!$N$2="VOL_EFF",$Q162,IF(ALLOC!$N$2="VOL_CLASS",$R162,$S162)))</f>
        <v/>
      </c>
      <c r="AQ162" t="str">
        <f>IF($A162="","",IF(ALLOC!$N$2="VOL_EFF",$T162,IF(ALLOC!$N$2="VOL_CLASS",$U162,$V162)))</f>
        <v/>
      </c>
      <c r="AR162" t="str">
        <f t="shared" si="74"/>
        <v/>
      </c>
    </row>
    <row r="163" spans="1:44" x14ac:dyDescent="0.45">
      <c r="A163" t="str">
        <f>IF(Allocation2!D163="","",Allocation2!D163)</f>
        <v/>
      </c>
      <c r="B163" t="str">
        <f>IF(Allocation2!E163="","",Allocation2!E163)</f>
        <v/>
      </c>
      <c r="C163" t="str">
        <f>IF(Allocation2!F163="","",Allocation2!F163)</f>
        <v/>
      </c>
      <c r="D163" t="str">
        <f>IF(Allocation2!G163="","",Allocation2!G163)</f>
        <v/>
      </c>
      <c r="E163" t="str">
        <f>IF(Allocation2!H163="","",Allocation2!H163)</f>
        <v/>
      </c>
      <c r="F163" t="str">
        <f>IF(Allocation2!I163="","",Allocation2!I163)</f>
        <v/>
      </c>
      <c r="G163" t="str">
        <f>IF(Allocation2!E163="","",Allocation2!J163)</f>
        <v/>
      </c>
      <c r="H163" t="str">
        <f>IF(Allocation2!E163="","",Allocation2!K163)</f>
        <v/>
      </c>
      <c r="I163" t="str">
        <f>IF(Allocation2!E163="","",Allocation2!L163)</f>
        <v/>
      </c>
      <c r="J163" t="str">
        <f>IF($A163="","",Allocation2!X163)</f>
        <v/>
      </c>
      <c r="K163" t="str">
        <f t="shared" si="56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60"/>
        <v/>
      </c>
      <c r="P163" t="str">
        <f t="shared" si="61"/>
        <v/>
      </c>
      <c r="Q163" t="str">
        <f t="shared" si="78"/>
        <v/>
      </c>
      <c r="R163" t="str">
        <f t="shared" si="79"/>
        <v/>
      </c>
      <c r="S163" t="str">
        <f t="shared" si="80"/>
        <v/>
      </c>
      <c r="T163" t="str">
        <f t="shared" si="81"/>
        <v/>
      </c>
      <c r="U163" t="str">
        <f t="shared" si="82"/>
        <v/>
      </c>
      <c r="V163" t="str">
        <f t="shared" si="83"/>
        <v/>
      </c>
      <c r="W163" t="str">
        <f>IF($A163="","",Allocation2!Y163)</f>
        <v/>
      </c>
      <c r="X163" t="str">
        <f>IF($A163="","",Allocation2!Z163)</f>
        <v/>
      </c>
      <c r="Y163" t="str">
        <f>IF($A163="","",Allocation2!AA163)</f>
        <v/>
      </c>
      <c r="Z163" t="str">
        <f>IF($A163="","",Allocation2!AB163)</f>
        <v/>
      </c>
      <c r="AA163" t="str">
        <f>IF($A163="","",Allocation2!AC163)</f>
        <v/>
      </c>
      <c r="AB163" t="str">
        <f>IF($A163="","",Allocation2!AD163)</f>
        <v/>
      </c>
      <c r="AC163" t="str">
        <f>IF($A163="","",IF(ALLOC!$N$4="VOL_EFF",$G163,IF(ALLOC!$N$4="VOL_CLASS",$H163,$I163)))</f>
        <v/>
      </c>
      <c r="AD163" t="str">
        <f>IF($A163="","",IF(ALLOC!$N$4="VOL_EFF",$L163,IF(ALLOC!$N$4="VOL_CLASS",$M163,$N163)))</f>
        <v/>
      </c>
      <c r="AE163" t="str">
        <f>IF($A163="","",IF(ALLOC!$N$3="VOL_EFF",$L163,IF(ALLOC!$N$3="VOL_CLASS",$M163,$N163)))</f>
        <v/>
      </c>
      <c r="AF163" t="str">
        <f>IF($A163="","",IF(ALLOC!$N$3="VOL_EFF",$Q163,IF(ALLOC!$N$3="VOL_CLASS",$R163,$S163)))</f>
        <v/>
      </c>
      <c r="AG163" t="str">
        <f>IF($A163="","",IF(ALLOC!$N$1="VOL_EFF",$Q163,IF(ALLOC!$N$1="VOL_CLASS",$R163,$S163)))</f>
        <v/>
      </c>
      <c r="AH163" t="str">
        <f>IF($A163="","",IF(ALLOC!$N$1="VOL_EFF",$T163,IF(ALLOC!$N$1="VOL_CLASS",$U163,$V163)))</f>
        <v/>
      </c>
      <c r="AI163" t="str">
        <f t="shared" si="68"/>
        <v/>
      </c>
      <c r="AJ163" t="str">
        <f t="shared" si="69"/>
        <v/>
      </c>
      <c r="AK163" t="str">
        <f t="shared" si="70"/>
        <v/>
      </c>
      <c r="AL163" t="str">
        <f t="shared" si="71"/>
        <v/>
      </c>
      <c r="AM163" t="str">
        <f t="shared" si="72"/>
        <v/>
      </c>
      <c r="AN163" t="str">
        <f t="shared" si="73"/>
        <v/>
      </c>
      <c r="AO163" t="str">
        <f>IF($A163="","",Allocation2!AE163)</f>
        <v/>
      </c>
      <c r="AP163" t="str">
        <f>IF($A163="","",IF(ALLOC!$N$2="VOL_EFF",$Q163,IF(ALLOC!$N$2="VOL_CLASS",$R163,$S163)))</f>
        <v/>
      </c>
      <c r="AQ163" t="str">
        <f>IF($A163="","",IF(ALLOC!$N$2="VOL_EFF",$T163,IF(ALLOC!$N$2="VOL_CLASS",$U163,$V163)))</f>
        <v/>
      </c>
      <c r="AR163" t="str">
        <f t="shared" si="74"/>
        <v/>
      </c>
    </row>
    <row r="164" spans="1:44" x14ac:dyDescent="0.45">
      <c r="A164" t="str">
        <f>IF(Allocation2!D164="","",Allocation2!D164)</f>
        <v/>
      </c>
      <c r="B164" t="str">
        <f>IF(Allocation2!E164="","",Allocation2!E164)</f>
        <v/>
      </c>
      <c r="C164" t="str">
        <f>IF(Allocation2!F164="","",Allocation2!F164)</f>
        <v/>
      </c>
      <c r="D164" t="str">
        <f>IF(Allocation2!G164="","",Allocation2!G164)</f>
        <v/>
      </c>
      <c r="E164" t="str">
        <f>IF(Allocation2!H164="","",Allocation2!H164)</f>
        <v/>
      </c>
      <c r="F164" t="str">
        <f>IF(Allocation2!I164="","",Allocation2!I164)</f>
        <v/>
      </c>
      <c r="G164" t="str">
        <f>IF(Allocation2!E164="","",Allocation2!J164)</f>
        <v/>
      </c>
      <c r="H164" t="str">
        <f>IF(Allocation2!E164="","",Allocation2!K164)</f>
        <v/>
      </c>
      <c r="I164" t="str">
        <f>IF(Allocation2!E164="","",Allocation2!L164)</f>
        <v/>
      </c>
      <c r="J164" t="str">
        <f>IF($A164="","",Allocation2!X164)</f>
        <v/>
      </c>
      <c r="K164" t="str">
        <f t="shared" si="56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60"/>
        <v/>
      </c>
      <c r="P164" t="str">
        <f t="shared" si="61"/>
        <v/>
      </c>
      <c r="Q164" t="str">
        <f t="shared" si="78"/>
        <v/>
      </c>
      <c r="R164" t="str">
        <f t="shared" si="79"/>
        <v/>
      </c>
      <c r="S164" t="str">
        <f t="shared" si="80"/>
        <v/>
      </c>
      <c r="T164" t="str">
        <f t="shared" si="81"/>
        <v/>
      </c>
      <c r="U164" t="str">
        <f t="shared" si="82"/>
        <v/>
      </c>
      <c r="V164" t="str">
        <f t="shared" si="83"/>
        <v/>
      </c>
      <c r="W164" t="str">
        <f>IF($A164="","",Allocation2!Y164)</f>
        <v/>
      </c>
      <c r="X164" t="str">
        <f>IF($A164="","",Allocation2!Z164)</f>
        <v/>
      </c>
      <c r="Y164" t="str">
        <f>IF($A164="","",Allocation2!AA164)</f>
        <v/>
      </c>
      <c r="Z164" t="str">
        <f>IF($A164="","",Allocation2!AB164)</f>
        <v/>
      </c>
      <c r="AA164" t="str">
        <f>IF($A164="","",Allocation2!AC164)</f>
        <v/>
      </c>
      <c r="AB164" t="str">
        <f>IF($A164="","",Allocation2!AD164)</f>
        <v/>
      </c>
      <c r="AC164" t="str">
        <f>IF($A164="","",IF(ALLOC!$N$4="VOL_EFF",$G164,IF(ALLOC!$N$4="VOL_CLASS",$H164,$I164)))</f>
        <v/>
      </c>
      <c r="AD164" t="str">
        <f>IF($A164="","",IF(ALLOC!$N$4="VOL_EFF",$L164,IF(ALLOC!$N$4="VOL_CLASS",$M164,$N164)))</f>
        <v/>
      </c>
      <c r="AE164" t="str">
        <f>IF($A164="","",IF(ALLOC!$N$3="VOL_EFF",$L164,IF(ALLOC!$N$3="VOL_CLASS",$M164,$N164)))</f>
        <v/>
      </c>
      <c r="AF164" t="str">
        <f>IF($A164="","",IF(ALLOC!$N$3="VOL_EFF",$Q164,IF(ALLOC!$N$3="VOL_CLASS",$R164,$S164)))</f>
        <v/>
      </c>
      <c r="AG164" t="str">
        <f>IF($A164="","",IF(ALLOC!$N$1="VOL_EFF",$Q164,IF(ALLOC!$N$1="VOL_CLASS",$R164,$S164)))</f>
        <v/>
      </c>
      <c r="AH164" t="str">
        <f>IF($A164="","",IF(ALLOC!$N$1="VOL_EFF",$T164,IF(ALLOC!$N$1="VOL_CLASS",$U164,$V164)))</f>
        <v/>
      </c>
      <c r="AI164" t="str">
        <f t="shared" si="68"/>
        <v/>
      </c>
      <c r="AJ164" t="str">
        <f t="shared" si="69"/>
        <v/>
      </c>
      <c r="AK164" t="str">
        <f t="shared" si="70"/>
        <v/>
      </c>
      <c r="AL164" t="str">
        <f t="shared" si="71"/>
        <v/>
      </c>
      <c r="AM164" t="str">
        <f t="shared" si="72"/>
        <v/>
      </c>
      <c r="AN164" t="str">
        <f t="shared" si="73"/>
        <v/>
      </c>
      <c r="AO164" t="str">
        <f>IF($A164="","",Allocation2!AE164)</f>
        <v/>
      </c>
      <c r="AP164" t="str">
        <f>IF($A164="","",IF(ALLOC!$N$2="VOL_EFF",$Q164,IF(ALLOC!$N$2="VOL_CLASS",$R164,$S164)))</f>
        <v/>
      </c>
      <c r="AQ164" t="str">
        <f>IF($A164="","",IF(ALLOC!$N$2="VOL_EFF",$T164,IF(ALLOC!$N$2="VOL_CLASS",$U164,$V164)))</f>
        <v/>
      </c>
      <c r="AR164" t="str">
        <f t="shared" si="74"/>
        <v/>
      </c>
    </row>
    <row r="165" spans="1:44" x14ac:dyDescent="0.45">
      <c r="A165" t="str">
        <f>IF(Allocation2!D165="","",Allocation2!D165)</f>
        <v/>
      </c>
      <c r="B165" t="str">
        <f>IF(Allocation2!E165="","",Allocation2!E165)</f>
        <v/>
      </c>
      <c r="C165" t="str">
        <f>IF(Allocation2!F165="","",Allocation2!F165)</f>
        <v/>
      </c>
      <c r="D165" t="str">
        <f>IF(Allocation2!G165="","",Allocation2!G165)</f>
        <v/>
      </c>
      <c r="E165" t="str">
        <f>IF(Allocation2!H165="","",Allocation2!H165)</f>
        <v/>
      </c>
      <c r="F165" t="str">
        <f>IF(Allocation2!I165="","",Allocation2!I165)</f>
        <v/>
      </c>
      <c r="G165" t="str">
        <f>IF(Allocation2!E165="","",Allocation2!J165)</f>
        <v/>
      </c>
      <c r="H165" t="str">
        <f>IF(Allocation2!E165="","",Allocation2!K165)</f>
        <v/>
      </c>
      <c r="I165" t="str">
        <f>IF(Allocation2!E165="","",Allocation2!L165)</f>
        <v/>
      </c>
      <c r="J165" t="str">
        <f>IF($A165="","",Allocation2!X165)</f>
        <v/>
      </c>
      <c r="K165" t="str">
        <f t="shared" si="56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60"/>
        <v/>
      </c>
      <c r="P165" t="str">
        <f t="shared" si="61"/>
        <v/>
      </c>
      <c r="Q165" t="str">
        <f t="shared" si="78"/>
        <v/>
      </c>
      <c r="R165" t="str">
        <f t="shared" si="79"/>
        <v/>
      </c>
      <c r="S165" t="str">
        <f t="shared" si="80"/>
        <v/>
      </c>
      <c r="T165" t="str">
        <f t="shared" si="81"/>
        <v/>
      </c>
      <c r="U165" t="str">
        <f t="shared" si="82"/>
        <v/>
      </c>
      <c r="V165" t="str">
        <f t="shared" si="83"/>
        <v/>
      </c>
      <c r="W165" t="str">
        <f>IF($A165="","",Allocation2!Y165)</f>
        <v/>
      </c>
      <c r="X165" t="str">
        <f>IF($A165="","",Allocation2!Z165)</f>
        <v/>
      </c>
      <c r="Y165" t="str">
        <f>IF($A165="","",Allocation2!AA165)</f>
        <v/>
      </c>
      <c r="Z165" t="str">
        <f>IF($A165="","",Allocation2!AB165)</f>
        <v/>
      </c>
      <c r="AA165" t="str">
        <f>IF($A165="","",Allocation2!AC165)</f>
        <v/>
      </c>
      <c r="AB165" t="str">
        <f>IF($A165="","",Allocation2!AD165)</f>
        <v/>
      </c>
      <c r="AC165" t="str">
        <f>IF($A165="","",IF(ALLOC!$N$4="VOL_EFF",$G165,IF(ALLOC!$N$4="VOL_CLASS",$H165,$I165)))</f>
        <v/>
      </c>
      <c r="AD165" t="str">
        <f>IF($A165="","",IF(ALLOC!$N$4="VOL_EFF",$L165,IF(ALLOC!$N$4="VOL_CLASS",$M165,$N165)))</f>
        <v/>
      </c>
      <c r="AE165" t="str">
        <f>IF($A165="","",IF(ALLOC!$N$3="VOL_EFF",$L165,IF(ALLOC!$N$3="VOL_CLASS",$M165,$N165)))</f>
        <v/>
      </c>
      <c r="AF165" t="str">
        <f>IF($A165="","",IF(ALLOC!$N$3="VOL_EFF",$Q165,IF(ALLOC!$N$3="VOL_CLASS",$R165,$S165)))</f>
        <v/>
      </c>
      <c r="AG165" t="str">
        <f>IF($A165="","",IF(ALLOC!$N$1="VOL_EFF",$Q165,IF(ALLOC!$N$1="VOL_CLASS",$R165,$S165)))</f>
        <v/>
      </c>
      <c r="AH165" t="str">
        <f>IF($A165="","",IF(ALLOC!$N$1="VOL_EFF",$T165,IF(ALLOC!$N$1="VOL_CLASS",$U165,$V165)))</f>
        <v/>
      </c>
      <c r="AI165" t="str">
        <f t="shared" si="68"/>
        <v/>
      </c>
      <c r="AJ165" t="str">
        <f t="shared" si="69"/>
        <v/>
      </c>
      <c r="AK165" t="str">
        <f t="shared" si="70"/>
        <v/>
      </c>
      <c r="AL165" t="str">
        <f t="shared" si="71"/>
        <v/>
      </c>
      <c r="AM165" t="str">
        <f t="shared" si="72"/>
        <v/>
      </c>
      <c r="AN165" t="str">
        <f t="shared" si="73"/>
        <v/>
      </c>
      <c r="AO165" t="str">
        <f>IF($A165="","",Allocation2!AE165)</f>
        <v/>
      </c>
      <c r="AP165" t="str">
        <f>IF($A165="","",IF(ALLOC!$N$2="VOL_EFF",$Q165,IF(ALLOC!$N$2="VOL_CLASS",$R165,$S165)))</f>
        <v/>
      </c>
      <c r="AQ165" t="str">
        <f>IF($A165="","",IF(ALLOC!$N$2="VOL_EFF",$T165,IF(ALLOC!$N$2="VOL_CLASS",$U165,$V165)))</f>
        <v/>
      </c>
      <c r="AR165" t="str">
        <f t="shared" si="74"/>
        <v/>
      </c>
    </row>
    <row r="166" spans="1:44" x14ac:dyDescent="0.45">
      <c r="A166" t="str">
        <f>IF(Allocation2!D166="","",Allocation2!D166)</f>
        <v/>
      </c>
      <c r="B166" t="str">
        <f>IF(Allocation2!E166="","",Allocation2!E166)</f>
        <v/>
      </c>
      <c r="C166" t="str">
        <f>IF(Allocation2!F166="","",Allocation2!F166)</f>
        <v/>
      </c>
      <c r="D166" t="str">
        <f>IF(Allocation2!G166="","",Allocation2!G166)</f>
        <v/>
      </c>
      <c r="E166" t="str">
        <f>IF(Allocation2!H166="","",Allocation2!H166)</f>
        <v/>
      </c>
      <c r="F166" t="str">
        <f>IF(Allocation2!I166="","",Allocation2!I166)</f>
        <v/>
      </c>
      <c r="G166" t="str">
        <f>IF(Allocation2!E166="","",Allocation2!J166)</f>
        <v/>
      </c>
      <c r="H166" t="str">
        <f>IF(Allocation2!E166="","",Allocation2!K166)</f>
        <v/>
      </c>
      <c r="I166" t="str">
        <f>IF(Allocation2!E166="","",Allocation2!L166)</f>
        <v/>
      </c>
      <c r="J166" t="str">
        <f>IF($A166="","",Allocation2!X166)</f>
        <v/>
      </c>
      <c r="K166" t="str">
        <f t="shared" si="56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60"/>
        <v/>
      </c>
      <c r="P166" t="str">
        <f t="shared" si="61"/>
        <v/>
      </c>
      <c r="Q166" t="str">
        <f t="shared" si="78"/>
        <v/>
      </c>
      <c r="R166" t="str">
        <f t="shared" si="79"/>
        <v/>
      </c>
      <c r="S166" t="str">
        <f t="shared" si="80"/>
        <v/>
      </c>
      <c r="T166" t="str">
        <f t="shared" si="81"/>
        <v/>
      </c>
      <c r="U166" t="str">
        <f t="shared" si="82"/>
        <v/>
      </c>
      <c r="V166" t="str">
        <f t="shared" si="83"/>
        <v/>
      </c>
      <c r="W166" t="str">
        <f>IF($A166="","",Allocation2!Y166)</f>
        <v/>
      </c>
      <c r="X166" t="str">
        <f>IF($A166="","",Allocation2!Z166)</f>
        <v/>
      </c>
      <c r="Y166" t="str">
        <f>IF($A166="","",Allocation2!AA166)</f>
        <v/>
      </c>
      <c r="Z166" t="str">
        <f>IF($A166="","",Allocation2!AB166)</f>
        <v/>
      </c>
      <c r="AA166" t="str">
        <f>IF($A166="","",Allocation2!AC166)</f>
        <v/>
      </c>
      <c r="AB166" t="str">
        <f>IF($A166="","",Allocation2!AD166)</f>
        <v/>
      </c>
      <c r="AC166" t="str">
        <f>IF($A166="","",IF(ALLOC!$N$4="VOL_EFF",$G166,IF(ALLOC!$N$4="VOL_CLASS",$H166,$I166)))</f>
        <v/>
      </c>
      <c r="AD166" t="str">
        <f>IF($A166="","",IF(ALLOC!$N$4="VOL_EFF",$L166,IF(ALLOC!$N$4="VOL_CLASS",$M166,$N166)))</f>
        <v/>
      </c>
      <c r="AE166" t="str">
        <f>IF($A166="","",IF(ALLOC!$N$3="VOL_EFF",$L166,IF(ALLOC!$N$3="VOL_CLASS",$M166,$N166)))</f>
        <v/>
      </c>
      <c r="AF166" t="str">
        <f>IF($A166="","",IF(ALLOC!$N$3="VOL_EFF",$Q166,IF(ALLOC!$N$3="VOL_CLASS",$R166,$S166)))</f>
        <v/>
      </c>
      <c r="AG166" t="str">
        <f>IF($A166="","",IF(ALLOC!$N$1="VOL_EFF",$Q166,IF(ALLOC!$N$1="VOL_CLASS",$R166,$S166)))</f>
        <v/>
      </c>
      <c r="AH166" t="str">
        <f>IF($A166="","",IF(ALLOC!$N$1="VOL_EFF",$T166,IF(ALLOC!$N$1="VOL_CLASS",$U166,$V166)))</f>
        <v/>
      </c>
      <c r="AI166" t="str">
        <f t="shared" si="68"/>
        <v/>
      </c>
      <c r="AJ166" t="str">
        <f t="shared" si="69"/>
        <v/>
      </c>
      <c r="AK166" t="str">
        <f t="shared" si="70"/>
        <v/>
      </c>
      <c r="AL166" t="str">
        <f t="shared" si="71"/>
        <v/>
      </c>
      <c r="AM166" t="str">
        <f t="shared" si="72"/>
        <v/>
      </c>
      <c r="AN166" t="str">
        <f t="shared" si="73"/>
        <v/>
      </c>
      <c r="AO166" t="str">
        <f>IF($A166="","",Allocation2!AE166)</f>
        <v/>
      </c>
      <c r="AP166" t="str">
        <f>IF($A166="","",IF(ALLOC!$N$2="VOL_EFF",$Q166,IF(ALLOC!$N$2="VOL_CLASS",$R166,$S166)))</f>
        <v/>
      </c>
      <c r="AQ166" t="str">
        <f>IF($A166="","",IF(ALLOC!$N$2="VOL_EFF",$T166,IF(ALLOC!$N$2="VOL_CLASS",$U166,$V166)))</f>
        <v/>
      </c>
      <c r="AR166" t="str">
        <f t="shared" si="74"/>
        <v/>
      </c>
    </row>
    <row r="167" spans="1:44" x14ac:dyDescent="0.45">
      <c r="A167" t="str">
        <f>IF(Allocation2!D167="","",Allocation2!D167)</f>
        <v/>
      </c>
      <c r="B167" t="str">
        <f>IF(Allocation2!E167="","",Allocation2!E167)</f>
        <v/>
      </c>
      <c r="C167" t="str">
        <f>IF(Allocation2!F167="","",Allocation2!F167)</f>
        <v/>
      </c>
      <c r="D167" t="str">
        <f>IF(Allocation2!G167="","",Allocation2!G167)</f>
        <v/>
      </c>
      <c r="E167" t="str">
        <f>IF(Allocation2!H167="","",Allocation2!H167)</f>
        <v/>
      </c>
      <c r="F167" t="str">
        <f>IF(Allocation2!I167="","",Allocation2!I167)</f>
        <v/>
      </c>
      <c r="G167" t="str">
        <f>IF(Allocation2!E167="","",Allocation2!J167)</f>
        <v/>
      </c>
      <c r="H167" t="str">
        <f>IF(Allocation2!E167="","",Allocation2!K167)</f>
        <v/>
      </c>
      <c r="I167" t="str">
        <f>IF(Allocation2!E167="","",Allocation2!L167)</f>
        <v/>
      </c>
      <c r="J167" t="str">
        <f>IF($A167="","",Allocation2!X167)</f>
        <v/>
      </c>
      <c r="K167" t="str">
        <f t="shared" si="56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60"/>
        <v/>
      </c>
      <c r="P167" t="str">
        <f t="shared" si="61"/>
        <v/>
      </c>
      <c r="Q167" t="str">
        <f t="shared" si="78"/>
        <v/>
      </c>
      <c r="R167" t="str">
        <f t="shared" si="79"/>
        <v/>
      </c>
      <c r="S167" t="str">
        <f t="shared" si="80"/>
        <v/>
      </c>
      <c r="T167" t="str">
        <f t="shared" si="81"/>
        <v/>
      </c>
      <c r="U167" t="str">
        <f t="shared" si="82"/>
        <v/>
      </c>
      <c r="V167" t="str">
        <f t="shared" si="83"/>
        <v/>
      </c>
      <c r="W167" t="str">
        <f>IF($A167="","",Allocation2!Y167)</f>
        <v/>
      </c>
      <c r="X167" t="str">
        <f>IF($A167="","",Allocation2!Z167)</f>
        <v/>
      </c>
      <c r="Y167" t="str">
        <f>IF($A167="","",Allocation2!AA167)</f>
        <v/>
      </c>
      <c r="Z167" t="str">
        <f>IF($A167="","",Allocation2!AB167)</f>
        <v/>
      </c>
      <c r="AA167" t="str">
        <f>IF($A167="","",Allocation2!AC167)</f>
        <v/>
      </c>
      <c r="AB167" t="str">
        <f>IF($A167="","",Allocation2!AD167)</f>
        <v/>
      </c>
      <c r="AC167" t="str">
        <f>IF($A167="","",IF(ALLOC!$N$4="VOL_EFF",$G167,IF(ALLOC!$N$4="VOL_CLASS",$H167,$I167)))</f>
        <v/>
      </c>
      <c r="AD167" t="str">
        <f>IF($A167="","",IF(ALLOC!$N$4="VOL_EFF",$L167,IF(ALLOC!$N$4="VOL_CLASS",$M167,$N167)))</f>
        <v/>
      </c>
      <c r="AE167" t="str">
        <f>IF($A167="","",IF(ALLOC!$N$3="VOL_EFF",$L167,IF(ALLOC!$N$3="VOL_CLASS",$M167,$N167)))</f>
        <v/>
      </c>
      <c r="AF167" t="str">
        <f>IF($A167="","",IF(ALLOC!$N$3="VOL_EFF",$Q167,IF(ALLOC!$N$3="VOL_CLASS",$R167,$S167)))</f>
        <v/>
      </c>
      <c r="AG167" t="str">
        <f>IF($A167="","",IF(ALLOC!$N$1="VOL_EFF",$Q167,IF(ALLOC!$N$1="VOL_CLASS",$R167,$S167)))</f>
        <v/>
      </c>
      <c r="AH167" t="str">
        <f>IF($A167="","",IF(ALLOC!$N$1="VOL_EFF",$T167,IF(ALLOC!$N$1="VOL_CLASS",$U167,$V167)))</f>
        <v/>
      </c>
      <c r="AI167" t="str">
        <f t="shared" si="68"/>
        <v/>
      </c>
      <c r="AJ167" t="str">
        <f t="shared" si="69"/>
        <v/>
      </c>
      <c r="AK167" t="str">
        <f t="shared" si="70"/>
        <v/>
      </c>
      <c r="AL167" t="str">
        <f t="shared" si="71"/>
        <v/>
      </c>
      <c r="AM167" t="str">
        <f t="shared" si="72"/>
        <v/>
      </c>
      <c r="AN167" t="str">
        <f t="shared" si="73"/>
        <v/>
      </c>
      <c r="AO167" t="str">
        <f>IF($A167="","",Allocation2!AE167)</f>
        <v/>
      </c>
      <c r="AP167" t="str">
        <f>IF($A167="","",IF(ALLOC!$N$2="VOL_EFF",$Q167,IF(ALLOC!$N$2="VOL_CLASS",$R167,$S167)))</f>
        <v/>
      </c>
      <c r="AQ167" t="str">
        <f>IF($A167="","",IF(ALLOC!$N$2="VOL_EFF",$T167,IF(ALLOC!$N$2="VOL_CLASS",$U167,$V167)))</f>
        <v/>
      </c>
      <c r="AR167" t="str">
        <f t="shared" si="74"/>
        <v/>
      </c>
    </row>
    <row r="168" spans="1:44" x14ac:dyDescent="0.45">
      <c r="A168" t="str">
        <f>IF(Allocation2!D168="","",Allocation2!D168)</f>
        <v/>
      </c>
      <c r="B168" t="str">
        <f>IF(Allocation2!E168="","",Allocation2!E168)</f>
        <v/>
      </c>
      <c r="C168" t="str">
        <f>IF(Allocation2!F168="","",Allocation2!F168)</f>
        <v/>
      </c>
      <c r="D168" t="str">
        <f>IF(Allocation2!G168="","",Allocation2!G168)</f>
        <v/>
      </c>
      <c r="E168" t="str">
        <f>IF(Allocation2!H168="","",Allocation2!H168)</f>
        <v/>
      </c>
      <c r="F168" t="str">
        <f>IF(Allocation2!I168="","",Allocation2!I168)</f>
        <v/>
      </c>
      <c r="G168" t="str">
        <f>IF(Allocation2!E168="","",Allocation2!J168)</f>
        <v/>
      </c>
      <c r="H168" t="str">
        <f>IF(Allocation2!E168="","",Allocation2!K168)</f>
        <v/>
      </c>
      <c r="I168" t="str">
        <f>IF(Allocation2!E168="","",Allocation2!L168)</f>
        <v/>
      </c>
      <c r="J168" t="str">
        <f>IF($A168="","",Allocation2!X168)</f>
        <v/>
      </c>
      <c r="K168" t="str">
        <f t="shared" si="56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60"/>
        <v/>
      </c>
      <c r="P168" t="str">
        <f t="shared" si="61"/>
        <v/>
      </c>
      <c r="Q168" t="str">
        <f t="shared" si="78"/>
        <v/>
      </c>
      <c r="R168" t="str">
        <f t="shared" si="79"/>
        <v/>
      </c>
      <c r="S168" t="str">
        <f t="shared" si="80"/>
        <v/>
      </c>
      <c r="T168" t="str">
        <f t="shared" si="81"/>
        <v/>
      </c>
      <c r="U168" t="str">
        <f t="shared" si="82"/>
        <v/>
      </c>
      <c r="V168" t="str">
        <f t="shared" si="83"/>
        <v/>
      </c>
      <c r="W168" t="str">
        <f>IF($A168="","",Allocation2!Y168)</f>
        <v/>
      </c>
      <c r="X168" t="str">
        <f>IF($A168="","",Allocation2!Z168)</f>
        <v/>
      </c>
      <c r="Y168" t="str">
        <f>IF($A168="","",Allocation2!AA168)</f>
        <v/>
      </c>
      <c r="Z168" t="str">
        <f>IF($A168="","",Allocation2!AB168)</f>
        <v/>
      </c>
      <c r="AA168" t="str">
        <f>IF($A168="","",Allocation2!AC168)</f>
        <v/>
      </c>
      <c r="AB168" t="str">
        <f>IF($A168="","",Allocation2!AD168)</f>
        <v/>
      </c>
      <c r="AC168" t="str">
        <f>IF($A168="","",IF(ALLOC!$N$4="VOL_EFF",$G168,IF(ALLOC!$N$4="VOL_CLASS",$H168,$I168)))</f>
        <v/>
      </c>
      <c r="AD168" t="str">
        <f>IF($A168="","",IF(ALLOC!$N$4="VOL_EFF",$L168,IF(ALLOC!$N$4="VOL_CLASS",$M168,$N168)))</f>
        <v/>
      </c>
      <c r="AE168" t="str">
        <f>IF($A168="","",IF(ALLOC!$N$3="VOL_EFF",$L168,IF(ALLOC!$N$3="VOL_CLASS",$M168,$N168)))</f>
        <v/>
      </c>
      <c r="AF168" t="str">
        <f>IF($A168="","",IF(ALLOC!$N$3="VOL_EFF",$Q168,IF(ALLOC!$N$3="VOL_CLASS",$R168,$S168)))</f>
        <v/>
      </c>
      <c r="AG168" t="str">
        <f>IF($A168="","",IF(ALLOC!$N$1="VOL_EFF",$Q168,IF(ALLOC!$N$1="VOL_CLASS",$R168,$S168)))</f>
        <v/>
      </c>
      <c r="AH168" t="str">
        <f>IF($A168="","",IF(ALLOC!$N$1="VOL_EFF",$T168,IF(ALLOC!$N$1="VOL_CLASS",$U168,$V168)))</f>
        <v/>
      </c>
      <c r="AI168" t="str">
        <f t="shared" si="68"/>
        <v/>
      </c>
      <c r="AJ168" t="str">
        <f t="shared" si="69"/>
        <v/>
      </c>
      <c r="AK168" t="str">
        <f t="shared" si="70"/>
        <v/>
      </c>
      <c r="AL168" t="str">
        <f t="shared" si="71"/>
        <v/>
      </c>
      <c r="AM168" t="str">
        <f t="shared" si="72"/>
        <v/>
      </c>
      <c r="AN168" t="str">
        <f t="shared" si="73"/>
        <v/>
      </c>
      <c r="AO168" t="str">
        <f>IF($A168="","",Allocation2!AE168)</f>
        <v/>
      </c>
      <c r="AP168" t="str">
        <f>IF($A168="","",IF(ALLOC!$N$2="VOL_EFF",$Q168,IF(ALLOC!$N$2="VOL_CLASS",$R168,$S168)))</f>
        <v/>
      </c>
      <c r="AQ168" t="str">
        <f>IF($A168="","",IF(ALLOC!$N$2="VOL_EFF",$T168,IF(ALLOC!$N$2="VOL_CLASS",$U168,$V168)))</f>
        <v/>
      </c>
      <c r="AR168" t="str">
        <f t="shared" si="74"/>
        <v/>
      </c>
    </row>
    <row r="169" spans="1:44" x14ac:dyDescent="0.45">
      <c r="A169" t="str">
        <f>IF(Allocation2!D169="","",Allocation2!D169)</f>
        <v/>
      </c>
      <c r="B169" t="str">
        <f>IF(Allocation2!E169="","",Allocation2!E169)</f>
        <v/>
      </c>
      <c r="C169" t="str">
        <f>IF(Allocation2!F169="","",Allocation2!F169)</f>
        <v/>
      </c>
      <c r="D169" t="str">
        <f>IF(Allocation2!G169="","",Allocation2!G169)</f>
        <v/>
      </c>
      <c r="E169" t="str">
        <f>IF(Allocation2!H169="","",Allocation2!H169)</f>
        <v/>
      </c>
      <c r="F169" t="str">
        <f>IF(Allocation2!I169="","",Allocation2!I169)</f>
        <v/>
      </c>
      <c r="G169" t="str">
        <f>IF(Allocation2!E169="","",Allocation2!J169)</f>
        <v/>
      </c>
      <c r="H169" t="str">
        <f>IF(Allocation2!E169="","",Allocation2!K169)</f>
        <v/>
      </c>
      <c r="I169" t="str">
        <f>IF(Allocation2!E169="","",Allocation2!L169)</f>
        <v/>
      </c>
      <c r="J169" t="str">
        <f>IF($A169="","",Allocation2!X169)</f>
        <v/>
      </c>
      <c r="K169" t="str">
        <f t="shared" si="56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60"/>
        <v/>
      </c>
      <c r="P169" t="str">
        <f t="shared" si="61"/>
        <v/>
      </c>
      <c r="Q169" t="str">
        <f t="shared" si="78"/>
        <v/>
      </c>
      <c r="R169" t="str">
        <f t="shared" si="79"/>
        <v/>
      </c>
      <c r="S169" t="str">
        <f t="shared" si="80"/>
        <v/>
      </c>
      <c r="T169" t="str">
        <f t="shared" si="81"/>
        <v/>
      </c>
      <c r="U169" t="str">
        <f t="shared" si="82"/>
        <v/>
      </c>
      <c r="V169" t="str">
        <f t="shared" si="83"/>
        <v/>
      </c>
      <c r="W169" t="str">
        <f>IF($A169="","",Allocation2!Y169)</f>
        <v/>
      </c>
      <c r="X169" t="str">
        <f>IF($A169="","",Allocation2!Z169)</f>
        <v/>
      </c>
      <c r="Y169" t="str">
        <f>IF($A169="","",Allocation2!AA169)</f>
        <v/>
      </c>
      <c r="Z169" t="str">
        <f>IF($A169="","",Allocation2!AB169)</f>
        <v/>
      </c>
      <c r="AA169" t="str">
        <f>IF($A169="","",Allocation2!AC169)</f>
        <v/>
      </c>
      <c r="AB169" t="str">
        <f>IF($A169="","",Allocation2!AD169)</f>
        <v/>
      </c>
      <c r="AC169" t="str">
        <f>IF($A169="","",IF(ALLOC!$N$4="VOL_EFF",$G169,IF(ALLOC!$N$4="VOL_CLASS",$H169,$I169)))</f>
        <v/>
      </c>
      <c r="AD169" t="str">
        <f>IF($A169="","",IF(ALLOC!$N$4="VOL_EFF",$L169,IF(ALLOC!$N$4="VOL_CLASS",$M169,$N169)))</f>
        <v/>
      </c>
      <c r="AE169" t="str">
        <f>IF($A169="","",IF(ALLOC!$N$3="VOL_EFF",$L169,IF(ALLOC!$N$3="VOL_CLASS",$M169,$N169)))</f>
        <v/>
      </c>
      <c r="AF169" t="str">
        <f>IF($A169="","",IF(ALLOC!$N$3="VOL_EFF",$Q169,IF(ALLOC!$N$3="VOL_CLASS",$R169,$S169)))</f>
        <v/>
      </c>
      <c r="AG169" t="str">
        <f>IF($A169="","",IF(ALLOC!$N$1="VOL_EFF",$Q169,IF(ALLOC!$N$1="VOL_CLASS",$R169,$S169)))</f>
        <v/>
      </c>
      <c r="AH169" t="str">
        <f>IF($A169="","",IF(ALLOC!$N$1="VOL_EFF",$T169,IF(ALLOC!$N$1="VOL_CLASS",$U169,$V169)))</f>
        <v/>
      </c>
      <c r="AI169" t="str">
        <f t="shared" si="68"/>
        <v/>
      </c>
      <c r="AJ169" t="str">
        <f t="shared" si="69"/>
        <v/>
      </c>
      <c r="AK169" t="str">
        <f t="shared" si="70"/>
        <v/>
      </c>
      <c r="AL169" t="str">
        <f t="shared" si="71"/>
        <v/>
      </c>
      <c r="AM169" t="str">
        <f t="shared" si="72"/>
        <v/>
      </c>
      <c r="AN169" t="str">
        <f t="shared" si="73"/>
        <v/>
      </c>
      <c r="AO169" t="str">
        <f>IF($A169="","",Allocation2!AE169)</f>
        <v/>
      </c>
      <c r="AP169" t="str">
        <f>IF($A169="","",IF(ALLOC!$N$2="VOL_EFF",$Q169,IF(ALLOC!$N$2="VOL_CLASS",$R169,$S169)))</f>
        <v/>
      </c>
      <c r="AQ169" t="str">
        <f>IF($A169="","",IF(ALLOC!$N$2="VOL_EFF",$T169,IF(ALLOC!$N$2="VOL_CLASS",$U169,$V169)))</f>
        <v/>
      </c>
      <c r="AR169" t="str">
        <f t="shared" si="74"/>
        <v/>
      </c>
    </row>
    <row r="170" spans="1:44" x14ac:dyDescent="0.45">
      <c r="A170" t="str">
        <f>IF(Allocation2!D170="","",Allocation2!D170)</f>
        <v/>
      </c>
      <c r="B170" t="str">
        <f>IF(Allocation2!E170="","",Allocation2!E170)</f>
        <v/>
      </c>
      <c r="C170" t="str">
        <f>IF(Allocation2!F170="","",Allocation2!F170)</f>
        <v/>
      </c>
      <c r="D170" t="str">
        <f>IF(Allocation2!G170="","",Allocation2!G170)</f>
        <v/>
      </c>
      <c r="E170" t="str">
        <f>IF(Allocation2!H170="","",Allocation2!H170)</f>
        <v/>
      </c>
      <c r="F170" t="str">
        <f>IF(Allocation2!I170="","",Allocation2!I170)</f>
        <v/>
      </c>
      <c r="G170" t="str">
        <f>IF(Allocation2!E170="","",Allocation2!J170)</f>
        <v/>
      </c>
      <c r="H170" t="str">
        <f>IF(Allocation2!E170="","",Allocation2!K170)</f>
        <v/>
      </c>
      <c r="I170" t="str">
        <f>IF(Allocation2!E170="","",Allocation2!L170)</f>
        <v/>
      </c>
      <c r="J170" t="str">
        <f>IF($A170="","",Allocation2!X170)</f>
        <v/>
      </c>
      <c r="K170" t="str">
        <f t="shared" si="56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60"/>
        <v/>
      </c>
      <c r="P170" t="str">
        <f t="shared" si="61"/>
        <v/>
      </c>
      <c r="Q170" t="str">
        <f t="shared" si="78"/>
        <v/>
      </c>
      <c r="R170" t="str">
        <f t="shared" si="79"/>
        <v/>
      </c>
      <c r="S170" t="str">
        <f t="shared" si="80"/>
        <v/>
      </c>
      <c r="T170" t="str">
        <f t="shared" si="81"/>
        <v/>
      </c>
      <c r="U170" t="str">
        <f t="shared" si="82"/>
        <v/>
      </c>
      <c r="V170" t="str">
        <f t="shared" si="83"/>
        <v/>
      </c>
      <c r="W170" t="str">
        <f>IF($A170="","",Allocation2!Y170)</f>
        <v/>
      </c>
      <c r="X170" t="str">
        <f>IF($A170="","",Allocation2!Z170)</f>
        <v/>
      </c>
      <c r="Y170" t="str">
        <f>IF($A170="","",Allocation2!AA170)</f>
        <v/>
      </c>
      <c r="Z170" t="str">
        <f>IF($A170="","",Allocation2!AB170)</f>
        <v/>
      </c>
      <c r="AA170" t="str">
        <f>IF($A170="","",Allocation2!AC170)</f>
        <v/>
      </c>
      <c r="AB170" t="str">
        <f>IF($A170="","",Allocation2!AD170)</f>
        <v/>
      </c>
      <c r="AC170" t="str">
        <f>IF($A170="","",IF(ALLOC!$N$4="VOL_EFF",$G170,IF(ALLOC!$N$4="VOL_CLASS",$H170,$I170)))</f>
        <v/>
      </c>
      <c r="AD170" t="str">
        <f>IF($A170="","",IF(ALLOC!$N$4="VOL_EFF",$L170,IF(ALLOC!$N$4="VOL_CLASS",$M170,$N170)))</f>
        <v/>
      </c>
      <c r="AE170" t="str">
        <f>IF($A170="","",IF(ALLOC!$N$3="VOL_EFF",$L170,IF(ALLOC!$N$3="VOL_CLASS",$M170,$N170)))</f>
        <v/>
      </c>
      <c r="AF170" t="str">
        <f>IF($A170="","",IF(ALLOC!$N$3="VOL_EFF",$Q170,IF(ALLOC!$N$3="VOL_CLASS",$R170,$S170)))</f>
        <v/>
      </c>
      <c r="AG170" t="str">
        <f>IF($A170="","",IF(ALLOC!$N$1="VOL_EFF",$Q170,IF(ALLOC!$N$1="VOL_CLASS",$R170,$S170)))</f>
        <v/>
      </c>
      <c r="AH170" t="str">
        <f>IF($A170="","",IF(ALLOC!$N$1="VOL_EFF",$T170,IF(ALLOC!$N$1="VOL_CLASS",$U170,$V170)))</f>
        <v/>
      </c>
      <c r="AI170" t="str">
        <f t="shared" si="68"/>
        <v/>
      </c>
      <c r="AJ170" t="str">
        <f t="shared" si="69"/>
        <v/>
      </c>
      <c r="AK170" t="str">
        <f t="shared" si="70"/>
        <v/>
      </c>
      <c r="AL170" t="str">
        <f t="shared" si="71"/>
        <v/>
      </c>
      <c r="AM170" t="str">
        <f t="shared" si="72"/>
        <v/>
      </c>
      <c r="AN170" t="str">
        <f t="shared" si="73"/>
        <v/>
      </c>
      <c r="AO170" t="str">
        <f>IF($A170="","",Allocation2!AE170)</f>
        <v/>
      </c>
      <c r="AP170" t="str">
        <f>IF($A170="","",IF(ALLOC!$N$2="VOL_EFF",$Q170,IF(ALLOC!$N$2="VOL_CLASS",$R170,$S170)))</f>
        <v/>
      </c>
      <c r="AQ170" t="str">
        <f>IF($A170="","",IF(ALLOC!$N$2="VOL_EFF",$T170,IF(ALLOC!$N$2="VOL_CLASS",$U170,$V170)))</f>
        <v/>
      </c>
      <c r="AR170" t="str">
        <f t="shared" si="74"/>
        <v/>
      </c>
    </row>
    <row r="171" spans="1:44" x14ac:dyDescent="0.45">
      <c r="A171" t="str">
        <f>IF(Allocation2!D171="","",Allocation2!D171)</f>
        <v/>
      </c>
      <c r="B171" t="str">
        <f>IF(Allocation2!E171="","",Allocation2!E171)</f>
        <v/>
      </c>
      <c r="C171" t="str">
        <f>IF(Allocation2!F171="","",Allocation2!F171)</f>
        <v/>
      </c>
      <c r="D171" t="str">
        <f>IF(Allocation2!G171="","",Allocation2!G171)</f>
        <v/>
      </c>
      <c r="E171" t="str">
        <f>IF(Allocation2!H171="","",Allocation2!H171)</f>
        <v/>
      </c>
      <c r="F171" t="str">
        <f>IF(Allocation2!I171="","",Allocation2!I171)</f>
        <v/>
      </c>
      <c r="G171" t="str">
        <f>IF(Allocation2!E171="","",Allocation2!J171)</f>
        <v/>
      </c>
      <c r="H171" t="str">
        <f>IF(Allocation2!E171="","",Allocation2!K171)</f>
        <v/>
      </c>
      <c r="I171" t="str">
        <f>IF(Allocation2!E171="","",Allocation2!L171)</f>
        <v/>
      </c>
      <c r="J171" t="str">
        <f>IF($A171="","",Allocation2!X171)</f>
        <v/>
      </c>
      <c r="K171" t="str">
        <f t="shared" si="56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60"/>
        <v/>
      </c>
      <c r="P171" t="str">
        <f t="shared" si="61"/>
        <v/>
      </c>
      <c r="Q171" t="str">
        <f t="shared" si="78"/>
        <v/>
      </c>
      <c r="R171" t="str">
        <f t="shared" si="79"/>
        <v/>
      </c>
      <c r="S171" t="str">
        <f t="shared" si="80"/>
        <v/>
      </c>
      <c r="T171" t="str">
        <f t="shared" si="81"/>
        <v/>
      </c>
      <c r="U171" t="str">
        <f t="shared" si="82"/>
        <v/>
      </c>
      <c r="V171" t="str">
        <f t="shared" si="83"/>
        <v/>
      </c>
      <c r="W171" t="str">
        <f>IF($A171="","",Allocation2!Y171)</f>
        <v/>
      </c>
      <c r="X171" t="str">
        <f>IF($A171="","",Allocation2!Z171)</f>
        <v/>
      </c>
      <c r="Y171" t="str">
        <f>IF($A171="","",Allocation2!AA171)</f>
        <v/>
      </c>
      <c r="Z171" t="str">
        <f>IF($A171="","",Allocation2!AB171)</f>
        <v/>
      </c>
      <c r="AA171" t="str">
        <f>IF($A171="","",Allocation2!AC171)</f>
        <v/>
      </c>
      <c r="AB171" t="str">
        <f>IF($A171="","",Allocation2!AD171)</f>
        <v/>
      </c>
      <c r="AC171" t="str">
        <f>IF($A171="","",IF(ALLOC!$N$4="VOL_EFF",$G171,IF(ALLOC!$N$4="VOL_CLASS",$H171,$I171)))</f>
        <v/>
      </c>
      <c r="AD171" t="str">
        <f>IF($A171="","",IF(ALLOC!$N$4="VOL_EFF",$L171,IF(ALLOC!$N$4="VOL_CLASS",$M171,$N171)))</f>
        <v/>
      </c>
      <c r="AE171" t="str">
        <f>IF($A171="","",IF(ALLOC!$N$3="VOL_EFF",$L171,IF(ALLOC!$N$3="VOL_CLASS",$M171,$N171)))</f>
        <v/>
      </c>
      <c r="AF171" t="str">
        <f>IF($A171="","",IF(ALLOC!$N$3="VOL_EFF",$Q171,IF(ALLOC!$N$3="VOL_CLASS",$R171,$S171)))</f>
        <v/>
      </c>
      <c r="AG171" t="str">
        <f>IF($A171="","",IF(ALLOC!$N$1="VOL_EFF",$Q171,IF(ALLOC!$N$1="VOL_CLASS",$R171,$S171)))</f>
        <v/>
      </c>
      <c r="AH171" t="str">
        <f>IF($A171="","",IF(ALLOC!$N$1="VOL_EFF",$T171,IF(ALLOC!$N$1="VOL_CLASS",$U171,$V171)))</f>
        <v/>
      </c>
      <c r="AI171" t="str">
        <f t="shared" si="68"/>
        <v/>
      </c>
      <c r="AJ171" t="str">
        <f t="shared" si="69"/>
        <v/>
      </c>
      <c r="AK171" t="str">
        <f t="shared" si="70"/>
        <v/>
      </c>
      <c r="AL171" t="str">
        <f t="shared" si="71"/>
        <v/>
      </c>
      <c r="AM171" t="str">
        <f t="shared" si="72"/>
        <v/>
      </c>
      <c r="AN171" t="str">
        <f t="shared" si="73"/>
        <v/>
      </c>
      <c r="AO171" t="str">
        <f>IF($A171="","",Allocation2!AE171)</f>
        <v/>
      </c>
      <c r="AP171" t="str">
        <f>IF($A171="","",IF(ALLOC!$N$2="VOL_EFF",$Q171,IF(ALLOC!$N$2="VOL_CLASS",$R171,$S171)))</f>
        <v/>
      </c>
      <c r="AQ171" t="str">
        <f>IF($A171="","",IF(ALLOC!$N$2="VOL_EFF",$T171,IF(ALLOC!$N$2="VOL_CLASS",$U171,$V171)))</f>
        <v/>
      </c>
      <c r="AR171" t="str">
        <f t="shared" si="74"/>
        <v/>
      </c>
    </row>
    <row r="172" spans="1:44" x14ac:dyDescent="0.45">
      <c r="A172" t="str">
        <f>IF(Allocation2!D172="","",Allocation2!D172)</f>
        <v/>
      </c>
      <c r="B172" t="str">
        <f>IF(Allocation2!E172="","",Allocation2!E172)</f>
        <v/>
      </c>
      <c r="C172" t="str">
        <f>IF(Allocation2!F172="","",Allocation2!F172)</f>
        <v/>
      </c>
      <c r="D172" t="str">
        <f>IF(Allocation2!G172="","",Allocation2!G172)</f>
        <v/>
      </c>
      <c r="E172" t="str">
        <f>IF(Allocation2!H172="","",Allocation2!H172)</f>
        <v/>
      </c>
      <c r="F172" t="str">
        <f>IF(Allocation2!I172="","",Allocation2!I172)</f>
        <v/>
      </c>
      <c r="G172" t="str">
        <f>IF(Allocation2!E172="","",Allocation2!J172)</f>
        <v/>
      </c>
      <c r="H172" t="str">
        <f>IF(Allocation2!E172="","",Allocation2!K172)</f>
        <v/>
      </c>
      <c r="I172" t="str">
        <f>IF(Allocation2!E172="","",Allocation2!L172)</f>
        <v/>
      </c>
      <c r="J172" t="str">
        <f>IF($A172="","",Allocation2!X172)</f>
        <v/>
      </c>
      <c r="K172" t="str">
        <f t="shared" si="56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60"/>
        <v/>
      </c>
      <c r="P172" t="str">
        <f t="shared" si="61"/>
        <v/>
      </c>
      <c r="Q172" t="str">
        <f t="shared" si="78"/>
        <v/>
      </c>
      <c r="R172" t="str">
        <f t="shared" si="79"/>
        <v/>
      </c>
      <c r="S172" t="str">
        <f t="shared" si="80"/>
        <v/>
      </c>
      <c r="T172" t="str">
        <f t="shared" si="81"/>
        <v/>
      </c>
      <c r="U172" t="str">
        <f t="shared" si="82"/>
        <v/>
      </c>
      <c r="V172" t="str">
        <f t="shared" si="83"/>
        <v/>
      </c>
      <c r="W172" t="str">
        <f>IF($A172="","",Allocation2!Y172)</f>
        <v/>
      </c>
      <c r="X172" t="str">
        <f>IF($A172="","",Allocation2!Z172)</f>
        <v/>
      </c>
      <c r="Y172" t="str">
        <f>IF($A172="","",Allocation2!AA172)</f>
        <v/>
      </c>
      <c r="Z172" t="str">
        <f>IF($A172="","",Allocation2!AB172)</f>
        <v/>
      </c>
      <c r="AA172" t="str">
        <f>IF($A172="","",Allocation2!AC172)</f>
        <v/>
      </c>
      <c r="AB172" t="str">
        <f>IF($A172="","",Allocation2!AD172)</f>
        <v/>
      </c>
      <c r="AC172" t="str">
        <f>IF($A172="","",IF(ALLOC!$N$4="VOL_EFF",$G172,IF(ALLOC!$N$4="VOL_CLASS",$H172,$I172)))</f>
        <v/>
      </c>
      <c r="AD172" t="str">
        <f>IF($A172="","",IF(ALLOC!$N$4="VOL_EFF",$L172,IF(ALLOC!$N$4="VOL_CLASS",$M172,$N172)))</f>
        <v/>
      </c>
      <c r="AE172" t="str">
        <f>IF($A172="","",IF(ALLOC!$N$3="VOL_EFF",$L172,IF(ALLOC!$N$3="VOL_CLASS",$M172,$N172)))</f>
        <v/>
      </c>
      <c r="AF172" t="str">
        <f>IF($A172="","",IF(ALLOC!$N$3="VOL_EFF",$Q172,IF(ALLOC!$N$3="VOL_CLASS",$R172,$S172)))</f>
        <v/>
      </c>
      <c r="AG172" t="str">
        <f>IF($A172="","",IF(ALLOC!$N$1="VOL_EFF",$Q172,IF(ALLOC!$N$1="VOL_CLASS",$R172,$S172)))</f>
        <v/>
      </c>
      <c r="AH172" t="str">
        <f>IF($A172="","",IF(ALLOC!$N$1="VOL_EFF",$T172,IF(ALLOC!$N$1="VOL_CLASS",$U172,$V172)))</f>
        <v/>
      </c>
      <c r="AI172" t="str">
        <f t="shared" si="68"/>
        <v/>
      </c>
      <c r="AJ172" t="str">
        <f t="shared" si="69"/>
        <v/>
      </c>
      <c r="AK172" t="str">
        <f t="shared" si="70"/>
        <v/>
      </c>
      <c r="AL172" t="str">
        <f t="shared" si="71"/>
        <v/>
      </c>
      <c r="AM172" t="str">
        <f t="shared" si="72"/>
        <v/>
      </c>
      <c r="AN172" t="str">
        <f t="shared" si="73"/>
        <v/>
      </c>
      <c r="AO172" t="str">
        <f>IF($A172="","",Allocation2!AE172)</f>
        <v/>
      </c>
      <c r="AP172" t="str">
        <f>IF($A172="","",IF(ALLOC!$N$2="VOL_EFF",$Q172,IF(ALLOC!$N$2="VOL_CLASS",$R172,$S172)))</f>
        <v/>
      </c>
      <c r="AQ172" t="str">
        <f>IF($A172="","",IF(ALLOC!$N$2="VOL_EFF",$T172,IF(ALLOC!$N$2="VOL_CLASS",$U172,$V172)))</f>
        <v/>
      </c>
      <c r="AR172" t="str">
        <f t="shared" si="74"/>
        <v/>
      </c>
    </row>
    <row r="173" spans="1:44" x14ac:dyDescent="0.45">
      <c r="A173" t="str">
        <f>IF(Allocation2!D173="","",Allocation2!D173)</f>
        <v/>
      </c>
      <c r="B173" t="str">
        <f>IF(Allocation2!E173="","",Allocation2!E173)</f>
        <v/>
      </c>
      <c r="C173" t="str">
        <f>IF(Allocation2!F173="","",Allocation2!F173)</f>
        <v/>
      </c>
      <c r="D173" t="str">
        <f>IF(Allocation2!G173="","",Allocation2!G173)</f>
        <v/>
      </c>
      <c r="E173" t="str">
        <f>IF(Allocation2!H173="","",Allocation2!H173)</f>
        <v/>
      </c>
      <c r="F173" t="str">
        <f>IF(Allocation2!I173="","",Allocation2!I173)</f>
        <v/>
      </c>
      <c r="G173" t="str">
        <f>IF(Allocation2!E173="","",Allocation2!J173)</f>
        <v/>
      </c>
      <c r="H173" t="str">
        <f>IF(Allocation2!E173="","",Allocation2!K173)</f>
        <v/>
      </c>
      <c r="I173" t="str">
        <f>IF(Allocation2!E173="","",Allocation2!L173)</f>
        <v/>
      </c>
      <c r="J173" t="str">
        <f>IF($A173="","",Allocation2!X173)</f>
        <v/>
      </c>
      <c r="K173" t="str">
        <f t="shared" si="56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60"/>
        <v/>
      </c>
      <c r="P173" t="str">
        <f t="shared" si="61"/>
        <v/>
      </c>
      <c r="Q173" t="str">
        <f t="shared" si="78"/>
        <v/>
      </c>
      <c r="R173" t="str">
        <f t="shared" si="79"/>
        <v/>
      </c>
      <c r="S173" t="str">
        <f t="shared" si="80"/>
        <v/>
      </c>
      <c r="T173" t="str">
        <f t="shared" si="81"/>
        <v/>
      </c>
      <c r="U173" t="str">
        <f t="shared" si="82"/>
        <v/>
      </c>
      <c r="V173" t="str">
        <f t="shared" si="83"/>
        <v/>
      </c>
      <c r="W173" t="str">
        <f>IF($A173="","",Allocation2!Y173)</f>
        <v/>
      </c>
      <c r="X173" t="str">
        <f>IF($A173="","",Allocation2!Z173)</f>
        <v/>
      </c>
      <c r="Y173" t="str">
        <f>IF($A173="","",Allocation2!AA173)</f>
        <v/>
      </c>
      <c r="Z173" t="str">
        <f>IF($A173="","",Allocation2!AB173)</f>
        <v/>
      </c>
      <c r="AA173" t="str">
        <f>IF($A173="","",Allocation2!AC173)</f>
        <v/>
      </c>
      <c r="AB173" t="str">
        <f>IF($A173="","",Allocation2!AD173)</f>
        <v/>
      </c>
      <c r="AC173" t="str">
        <f>IF($A173="","",IF(ALLOC!$N$4="VOL_EFF",$G173,IF(ALLOC!$N$4="VOL_CLASS",$H173,$I173)))</f>
        <v/>
      </c>
      <c r="AD173" t="str">
        <f>IF($A173="","",IF(ALLOC!$N$4="VOL_EFF",$L173,IF(ALLOC!$N$4="VOL_CLASS",$M173,$N173)))</f>
        <v/>
      </c>
      <c r="AE173" t="str">
        <f>IF($A173="","",IF(ALLOC!$N$3="VOL_EFF",$L173,IF(ALLOC!$N$3="VOL_CLASS",$M173,$N173)))</f>
        <v/>
      </c>
      <c r="AF173" t="str">
        <f>IF($A173="","",IF(ALLOC!$N$3="VOL_EFF",$Q173,IF(ALLOC!$N$3="VOL_CLASS",$R173,$S173)))</f>
        <v/>
      </c>
      <c r="AG173" t="str">
        <f>IF($A173="","",IF(ALLOC!$N$1="VOL_EFF",$Q173,IF(ALLOC!$N$1="VOL_CLASS",$R173,$S173)))</f>
        <v/>
      </c>
      <c r="AH173" t="str">
        <f>IF($A173="","",IF(ALLOC!$N$1="VOL_EFF",$T173,IF(ALLOC!$N$1="VOL_CLASS",$U173,$V173)))</f>
        <v/>
      </c>
      <c r="AI173" t="str">
        <f t="shared" si="68"/>
        <v/>
      </c>
      <c r="AJ173" t="str">
        <f t="shared" si="69"/>
        <v/>
      </c>
      <c r="AK173" t="str">
        <f t="shared" si="70"/>
        <v/>
      </c>
      <c r="AL173" t="str">
        <f t="shared" si="71"/>
        <v/>
      </c>
      <c r="AM173" t="str">
        <f t="shared" si="72"/>
        <v/>
      </c>
      <c r="AN173" t="str">
        <f t="shared" si="73"/>
        <v/>
      </c>
      <c r="AO173" t="str">
        <f>IF($A173="","",Allocation2!AE173)</f>
        <v/>
      </c>
      <c r="AP173" t="str">
        <f>IF($A173="","",IF(ALLOC!$N$2="VOL_EFF",$Q173,IF(ALLOC!$N$2="VOL_CLASS",$R173,$S173)))</f>
        <v/>
      </c>
      <c r="AQ173" t="str">
        <f>IF($A173="","",IF(ALLOC!$N$2="VOL_EFF",$T173,IF(ALLOC!$N$2="VOL_CLASS",$U173,$V173)))</f>
        <v/>
      </c>
      <c r="AR173" t="str">
        <f t="shared" si="74"/>
        <v/>
      </c>
    </row>
    <row r="174" spans="1:44" x14ac:dyDescent="0.45">
      <c r="A174" t="str">
        <f>IF(Allocation2!D174="","",Allocation2!D174)</f>
        <v/>
      </c>
      <c r="B174" t="str">
        <f>IF(Allocation2!E174="","",Allocation2!E174)</f>
        <v/>
      </c>
      <c r="C174" t="str">
        <f>IF(Allocation2!F174="","",Allocation2!F174)</f>
        <v/>
      </c>
      <c r="D174" t="str">
        <f>IF(Allocation2!G174="","",Allocation2!G174)</f>
        <v/>
      </c>
      <c r="E174" t="str">
        <f>IF(Allocation2!H174="","",Allocation2!H174)</f>
        <v/>
      </c>
      <c r="F174" t="str">
        <f>IF(Allocation2!I174="","",Allocation2!I174)</f>
        <v/>
      </c>
      <c r="G174" t="str">
        <f>IF(Allocation2!E174="","",Allocation2!J174)</f>
        <v/>
      </c>
      <c r="H174" t="str">
        <f>IF(Allocation2!E174="","",Allocation2!K174)</f>
        <v/>
      </c>
      <c r="I174" t="str">
        <f>IF(Allocation2!E174="","",Allocation2!L174)</f>
        <v/>
      </c>
      <c r="J174" t="str">
        <f>IF($A174="","",Allocation2!X174)</f>
        <v/>
      </c>
      <c r="K174" t="str">
        <f t="shared" si="56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60"/>
        <v/>
      </c>
      <c r="P174" t="str">
        <f t="shared" si="61"/>
        <v/>
      </c>
      <c r="Q174" t="str">
        <f t="shared" si="78"/>
        <v/>
      </c>
      <c r="R174" t="str">
        <f t="shared" si="79"/>
        <v/>
      </c>
      <c r="S174" t="str">
        <f t="shared" si="80"/>
        <v/>
      </c>
      <c r="T174" t="str">
        <f t="shared" si="81"/>
        <v/>
      </c>
      <c r="U174" t="str">
        <f t="shared" si="82"/>
        <v/>
      </c>
      <c r="V174" t="str">
        <f t="shared" si="83"/>
        <v/>
      </c>
      <c r="W174" t="str">
        <f>IF($A174="","",Allocation2!Y174)</f>
        <v/>
      </c>
      <c r="X174" t="str">
        <f>IF($A174="","",Allocation2!Z174)</f>
        <v/>
      </c>
      <c r="Y174" t="str">
        <f>IF($A174="","",Allocation2!AA174)</f>
        <v/>
      </c>
      <c r="Z174" t="str">
        <f>IF($A174="","",Allocation2!AB174)</f>
        <v/>
      </c>
      <c r="AA174" t="str">
        <f>IF($A174="","",Allocation2!AC174)</f>
        <v/>
      </c>
      <c r="AB174" t="str">
        <f>IF($A174="","",Allocation2!AD174)</f>
        <v/>
      </c>
      <c r="AC174" t="str">
        <f>IF($A174="","",IF(ALLOC!$N$4="VOL_EFF",$G174,IF(ALLOC!$N$4="VOL_CLASS",$H174,$I174)))</f>
        <v/>
      </c>
      <c r="AD174" t="str">
        <f>IF($A174="","",IF(ALLOC!$N$4="VOL_EFF",$L174,IF(ALLOC!$N$4="VOL_CLASS",$M174,$N174)))</f>
        <v/>
      </c>
      <c r="AE174" t="str">
        <f>IF($A174="","",IF(ALLOC!$N$3="VOL_EFF",$L174,IF(ALLOC!$N$3="VOL_CLASS",$M174,$N174)))</f>
        <v/>
      </c>
      <c r="AF174" t="str">
        <f>IF($A174="","",IF(ALLOC!$N$3="VOL_EFF",$Q174,IF(ALLOC!$N$3="VOL_CLASS",$R174,$S174)))</f>
        <v/>
      </c>
      <c r="AG174" t="str">
        <f>IF($A174="","",IF(ALLOC!$N$1="VOL_EFF",$Q174,IF(ALLOC!$N$1="VOL_CLASS",$R174,$S174)))</f>
        <v/>
      </c>
      <c r="AH174" t="str">
        <f>IF($A174="","",IF(ALLOC!$N$1="VOL_EFF",$T174,IF(ALLOC!$N$1="VOL_CLASS",$U174,$V174)))</f>
        <v/>
      </c>
      <c r="AI174" t="str">
        <f t="shared" si="68"/>
        <v/>
      </c>
      <c r="AJ174" t="str">
        <f t="shared" si="69"/>
        <v/>
      </c>
      <c r="AK174" t="str">
        <f t="shared" si="70"/>
        <v/>
      </c>
      <c r="AL174" t="str">
        <f t="shared" si="71"/>
        <v/>
      </c>
      <c r="AM174" t="str">
        <f t="shared" si="72"/>
        <v/>
      </c>
      <c r="AN174" t="str">
        <f t="shared" si="73"/>
        <v/>
      </c>
      <c r="AO174" t="str">
        <f>IF($A174="","",Allocation2!AE174)</f>
        <v/>
      </c>
      <c r="AP174" t="str">
        <f>IF($A174="","",IF(ALLOC!$N$2="VOL_EFF",$Q174,IF(ALLOC!$N$2="VOL_CLASS",$R174,$S174)))</f>
        <v/>
      </c>
      <c r="AQ174" t="str">
        <f>IF($A174="","",IF(ALLOC!$N$2="VOL_EFF",$T174,IF(ALLOC!$N$2="VOL_CLASS",$U174,$V174)))</f>
        <v/>
      </c>
      <c r="AR174" t="str">
        <f t="shared" si="74"/>
        <v/>
      </c>
    </row>
    <row r="175" spans="1:44" x14ac:dyDescent="0.45">
      <c r="A175" t="str">
        <f>IF(Allocation2!D175="","",Allocation2!D175)</f>
        <v/>
      </c>
      <c r="B175" t="str">
        <f>IF(Allocation2!E175="","",Allocation2!E175)</f>
        <v/>
      </c>
      <c r="C175" t="str">
        <f>IF(Allocation2!F175="","",Allocation2!F175)</f>
        <v/>
      </c>
      <c r="D175" t="str">
        <f>IF(Allocation2!G175="","",Allocation2!G175)</f>
        <v/>
      </c>
      <c r="E175" t="str">
        <f>IF(Allocation2!H175="","",Allocation2!H175)</f>
        <v/>
      </c>
      <c r="F175" t="str">
        <f>IF(Allocation2!I175="","",Allocation2!I175)</f>
        <v/>
      </c>
      <c r="G175" t="str">
        <f>IF(Allocation2!E175="","",Allocation2!J175)</f>
        <v/>
      </c>
      <c r="H175" t="str">
        <f>IF(Allocation2!E175="","",Allocation2!K175)</f>
        <v/>
      </c>
      <c r="I175" t="str">
        <f>IF(Allocation2!E175="","",Allocation2!L175)</f>
        <v/>
      </c>
      <c r="J175" t="str">
        <f>IF($A175="","",Allocation2!X175)</f>
        <v/>
      </c>
      <c r="K175" t="str">
        <f t="shared" si="56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60"/>
        <v/>
      </c>
      <c r="P175" t="str">
        <f t="shared" si="61"/>
        <v/>
      </c>
      <c r="Q175" t="str">
        <f t="shared" si="78"/>
        <v/>
      </c>
      <c r="R175" t="str">
        <f t="shared" si="79"/>
        <v/>
      </c>
      <c r="S175" t="str">
        <f t="shared" si="80"/>
        <v/>
      </c>
      <c r="T175" t="str">
        <f t="shared" si="81"/>
        <v/>
      </c>
      <c r="U175" t="str">
        <f t="shared" si="82"/>
        <v/>
      </c>
      <c r="V175" t="str">
        <f t="shared" si="83"/>
        <v/>
      </c>
      <c r="W175" t="str">
        <f>IF($A175="","",Allocation2!Y175)</f>
        <v/>
      </c>
      <c r="X175" t="str">
        <f>IF($A175="","",Allocation2!Z175)</f>
        <v/>
      </c>
      <c r="Y175" t="str">
        <f>IF($A175="","",Allocation2!AA175)</f>
        <v/>
      </c>
      <c r="Z175" t="str">
        <f>IF($A175="","",Allocation2!AB175)</f>
        <v/>
      </c>
      <c r="AA175" t="str">
        <f>IF($A175="","",Allocation2!AC175)</f>
        <v/>
      </c>
      <c r="AB175" t="str">
        <f>IF($A175="","",Allocation2!AD175)</f>
        <v/>
      </c>
      <c r="AC175" t="str">
        <f>IF($A175="","",IF(ALLOC!$N$4="VOL_EFF",$G175,IF(ALLOC!$N$4="VOL_CLASS",$H175,$I175)))</f>
        <v/>
      </c>
      <c r="AD175" t="str">
        <f>IF($A175="","",IF(ALLOC!$N$4="VOL_EFF",$L175,IF(ALLOC!$N$4="VOL_CLASS",$M175,$N175)))</f>
        <v/>
      </c>
      <c r="AE175" t="str">
        <f>IF($A175="","",IF(ALLOC!$N$3="VOL_EFF",$L175,IF(ALLOC!$N$3="VOL_CLASS",$M175,$N175)))</f>
        <v/>
      </c>
      <c r="AF175" t="str">
        <f>IF($A175="","",IF(ALLOC!$N$3="VOL_EFF",$Q175,IF(ALLOC!$N$3="VOL_CLASS",$R175,$S175)))</f>
        <v/>
      </c>
      <c r="AG175" t="str">
        <f>IF($A175="","",IF(ALLOC!$N$1="VOL_EFF",$Q175,IF(ALLOC!$N$1="VOL_CLASS",$R175,$S175)))</f>
        <v/>
      </c>
      <c r="AH175" t="str">
        <f>IF($A175="","",IF(ALLOC!$N$1="VOL_EFF",$T175,IF(ALLOC!$N$1="VOL_CLASS",$U175,$V175)))</f>
        <v/>
      </c>
      <c r="AI175" t="str">
        <f t="shared" si="68"/>
        <v/>
      </c>
      <c r="AJ175" t="str">
        <f t="shared" si="69"/>
        <v/>
      </c>
      <c r="AK175" t="str">
        <f t="shared" si="70"/>
        <v/>
      </c>
      <c r="AL175" t="str">
        <f t="shared" si="71"/>
        <v/>
      </c>
      <c r="AM175" t="str">
        <f t="shared" si="72"/>
        <v/>
      </c>
      <c r="AN175" t="str">
        <f t="shared" si="73"/>
        <v/>
      </c>
      <c r="AO175" t="str">
        <f>IF($A175="","",Allocation2!AE175)</f>
        <v/>
      </c>
      <c r="AP175" t="str">
        <f>IF($A175="","",IF(ALLOC!$N$2="VOL_EFF",$Q175,IF(ALLOC!$N$2="VOL_CLASS",$R175,$S175)))</f>
        <v/>
      </c>
      <c r="AQ175" t="str">
        <f>IF($A175="","",IF(ALLOC!$N$2="VOL_EFF",$T175,IF(ALLOC!$N$2="VOL_CLASS",$U175,$V175)))</f>
        <v/>
      </c>
      <c r="AR175" t="str">
        <f t="shared" si="74"/>
        <v/>
      </c>
    </row>
    <row r="176" spans="1:46" x14ac:dyDescent="0.45">
      <c r="A176" t="str">
        <f>IF(Allocation2!D176="","",Allocation2!D176)</f>
        <v/>
      </c>
      <c r="B176" t="str">
        <f>IF(Allocation2!E176="","",Allocation2!E176)</f>
        <v/>
      </c>
      <c r="C176" t="str">
        <f>IF(Allocation2!F176="","",Allocation2!F176)</f>
        <v/>
      </c>
      <c r="D176" t="str">
        <f>IF(Allocation2!G176="","",Allocation2!G176)</f>
        <v/>
      </c>
      <c r="E176" t="str">
        <f>IF(Allocation2!H176="","",Allocation2!H176)</f>
        <v/>
      </c>
      <c r="F176" t="str">
        <f>IF(Allocation2!I176="","",Allocation2!I176)</f>
        <v/>
      </c>
      <c r="G176" t="str">
        <f>IF(Allocation2!E176="","",Allocation2!J176)</f>
        <v/>
      </c>
      <c r="H176" t="str">
        <f>IF(Allocation2!E176="","",Allocation2!K176)</f>
        <v/>
      </c>
      <c r="I176" t="str">
        <f>IF(Allocation2!E176="","",Allocation2!L176)</f>
        <v/>
      </c>
      <c r="J176" t="str">
        <f>IF($A176="","",Allocation2!X176)</f>
        <v/>
      </c>
      <c r="K176" t="str">
        <f>IF($A176="","",$H176*IF(AND(LEFT($D176,3)="BAC",$F176="INIT"),600,IF(LEFT($D176,3)="BAC",480,IF(AND(LEFT($D176,3)="MAS",$F176="INIT"),520,IF(LEFT($D176,3)="MAS",420,IF($F176="INIT",1000,700))))))</f>
        <v/>
      </c>
      <c r="L176" t="str">
        <f>IF($A176="","",SUMIFS($G$1:$G$349,$A$1:$A$349,$A176,$B$1:$B$349,$B176))</f>
        <v/>
      </c>
      <c r="M176" t="str">
        <f>IF($A176="","",SUMIFS($H$1:$H$349,$A$1:$A$349,$A176,$B$1:$B$349,$B176))</f>
        <v/>
      </c>
      <c r="N176" t="str">
        <f>IF($A176="","",SUMIFS($I$1:$I$349,$A$1:$A$349,$A176,$B$1:$B$349,$B176))</f>
        <v/>
      </c>
      <c r="O176" t="str">
        <f>IF($A176="","",SUMIFS($K$1:$K$349,$A$1:$A$349,$A176,$B$1:$B$349,$B176))</f>
        <v/>
      </c>
      <c r="P176" t="str">
        <f>IF($A176="","",SUMIFS($J$1:$J$349,$A$1:$A$349,$A176,$B$1:$B$349,$B176))</f>
        <v/>
      </c>
      <c r="Q176" t="str">
        <f>IF($A176="","",SUMIFS($G$1:$G$349,$A$1:$A$349,$A176,$C$1:$C$349,$C176))</f>
        <v/>
      </c>
      <c r="R176" t="str">
        <f>IF($A176="","",SUMIFS($H$1:$H$349,$A$1:$A$349,$A176,$C$1:$C$349,$C176))</f>
        <v/>
      </c>
      <c r="S176" t="str">
        <f>IF($A176="","",SUMIFS($I$1:$I$349,$A$1:$A$349,$A176,$C$1:$C$349,$C176))</f>
        <v/>
      </c>
      <c r="T176" t="str">
        <f>IF($A176="","",SUMIFS($G$1:$G$349,$A$1:$A$349,$A176))</f>
        <v/>
      </c>
      <c r="U176" t="str">
        <f>IF($A176="","",SUMIFS($H$1:$H$349,$A$1:$A$349,$A176))</f>
        <v/>
      </c>
      <c r="V176" t="str">
        <f>IF($A176="","",SUMIFS($I$1:$I$349,$A$1:$A$349,$A176))</f>
        <v/>
      </c>
      <c r="W176" t="str">
        <f>IF($A176="","",Allocation2!Y176)</f>
        <v/>
      </c>
      <c r="X176" t="str">
        <f>IF($A176="","",Allocation2!Z176)</f>
        <v/>
      </c>
      <c r="Y176" t="str">
        <f>IF($A176="","",Allocation2!AA176)</f>
        <v/>
      </c>
      <c r="Z176" t="str">
        <f>IF($A176="","",Allocation2!AB176)</f>
        <v/>
      </c>
      <c r="AA176" t="str">
        <f>IF($A176="","",Allocation2!AC176)</f>
        <v/>
      </c>
      <c r="AB176" t="str">
        <f>IF($A176="","",Allocation2!AD176)</f>
        <v/>
      </c>
      <c r="AC176" t="str">
        <f>IF($A176="","",IF(ALLOC!$N$4="VOL_EFF",$G176,IF(ALLOC!$N$4="VOL_CLASS",$H176,$I176)))</f>
        <v/>
      </c>
      <c r="AD176" t="str">
        <f>IF($A176="","",IF(ALLOC!$N$4="VOL_EFF",$L176,IF(ALLOC!$N$4="VOL_CLASS",$M176,$N176)))</f>
        <v/>
      </c>
      <c r="AE176" t="str">
        <f>IF($A176="","",IF(ALLOC!$N$3="VOL_EFF",$L176,IF(ALLOC!$N$3="VOL_CLASS",$M176,$N176)))</f>
        <v/>
      </c>
      <c r="AF176" t="str">
        <f>IF($A176="","",IF(ALLOC!$N$3="VOL_EFF",$Q176,IF(ALLOC!$N$3="VOL_CLASS",$R176,$S176)))</f>
        <v/>
      </c>
      <c r="AG176" t="str">
        <f>IF($A176="","",IF(ALLOC!$N$1="VOL_EFF",$Q176,IF(ALLOC!$N$1="VOL_CLASS",$R176,$S176)))</f>
        <v/>
      </c>
      <c r="AH176" t="str">
        <f>IF($A176="","",IF(ALLOC!$N$1="VOL_EFF",$T176,IF(ALLOC!$N$1="VOL_CLASS",$U176,$V176)))</f>
        <v/>
      </c>
      <c r="AI176" t="str">
        <f>IF($A176="","",$W176*IFERROR($K176/$O176,0))</f>
        <v/>
      </c>
      <c r="AJ176" t="str">
        <f>IF($A176="","",$X176*IFERROR($K176/$O176,0))</f>
        <v/>
      </c>
      <c r="AK176" t="str">
        <f>IF($A176="","",$Y176*IFERROR($G176/$L176,0)+$Z176*IFERROR($J176/$P176,0))</f>
        <v/>
      </c>
      <c r="AL176" t="str">
        <f>IF($A176="","",$AA176*IFERROR($AC176/$AD176,0))</f>
        <v/>
      </c>
      <c r="AM176" t="str">
        <f>IF($A176="","",$AB176*IFERROR($AG176/$AH176,0)*IFERROR($AE176/$AF176,0)*IFERROR($AC176/$AD176,0))</f>
        <v/>
      </c>
      <c r="AN176" t="str">
        <f>IF($A176="","",$I176-($AI176+$AJ176+$AK176+$AL176+$AM176+$AR176))</f>
        <v/>
      </c>
      <c r="AO176" t="str">
        <f>IF($A176="","",Allocation2!AE176)</f>
        <v/>
      </c>
      <c r="AP176" t="str">
        <f>IF($A176="","",IF(ALLOC!$N$2="VOL_EFF",$Q176,IF(ALLOC!$N$2="VOL_CLASS",$R176,$S176)))</f>
        <v/>
      </c>
      <c r="AQ176" t="str">
        <f>IF($A176="","",IF(ALLOC!$N$2="VOL_EFF",$T176,IF(ALLOC!$N$2="VOL_CLASS",$U176,$V176)))</f>
        <v/>
      </c>
      <c r="AR176" t="str">
        <f>IF($A176="","",$AO176*IFERROR($AP176/$AQ176,0)*IFERROR($AE176/$AF176,0)*IFERROR($AC176/$AD176,0))</f>
        <v/>
      </c>
    </row>
    <row r="177" spans="1:46" x14ac:dyDescent="0.45">
      <c r="A177" t="str">
        <f>IF(Allocation2!D177="","",Allocation2!D177)</f>
        <v/>
      </c>
      <c r="B177" t="str">
        <f>IF(Allocation2!E177="","",Allocation2!E177)</f>
        <v/>
      </c>
      <c r="C177" t="str">
        <f>IF(Allocation2!F177="","",Allocation2!F177)</f>
        <v/>
      </c>
      <c r="D177" t="str">
        <f>IF(Allocation2!G177="","",Allocation2!G177)</f>
        <v/>
      </c>
      <c r="E177" t="str">
        <f>IF(Allocation2!H177="","",Allocation2!H177)</f>
        <v/>
      </c>
      <c r="F177" t="str">
        <f>IF(Allocation2!I177="","",Allocation2!I177)</f>
        <v/>
      </c>
      <c r="G177" t="str">
        <f>IF(Allocation2!E177="","",Allocation2!J177)</f>
        <v/>
      </c>
      <c r="H177" t="str">
        <f>IF(Allocation2!E177="","",Allocation2!K177)</f>
        <v/>
      </c>
      <c r="I177" t="str">
        <f>IF(Allocation2!E177="","",Allocation2!L177)</f>
        <v/>
      </c>
      <c r="J177" t="str">
        <f>IF($A177="","",Allocation2!X177)</f>
        <v/>
      </c>
      <c r="K177" t="str">
        <f>IF($A177="","",$H177*IF(AND(LEFT($D177,3)="BAC",$F177="INIT"),600,IF(LEFT($D177,3)="BAC",480,IF(AND(LEFT($D177,3)="MAS",$F177="INIT"),520,IF(LEFT($D177,3)="MAS",420,IF($F177="INIT",1000,700))))))</f>
        <v/>
      </c>
      <c r="L177" t="str">
        <f>IF($A177="","",SUMIFS($G$1:$G$349,$A$1:$A$349,$A177,$B$1:$B$349,$B177))</f>
        <v/>
      </c>
      <c r="M177" t="str">
        <f>IF($A177="","",SUMIFS($H$1:$H$349,$A$1:$A$349,$A177,$B$1:$B$349,$B177))</f>
        <v/>
      </c>
      <c r="N177" t="str">
        <f>IF($A177="","",SUMIFS($I$1:$I$349,$A$1:$A$349,$A177,$B$1:$B$349,$B177))</f>
        <v/>
      </c>
      <c r="O177" t="str">
        <f>IF($A177="","",SUMIFS($K$1:$K$349,$A$1:$A$349,$A177,$B$1:$B$349,$B177))</f>
        <v/>
      </c>
      <c r="P177" t="str">
        <f>IF($A177="","",SUMIFS($J$1:$J$349,$A$1:$A$349,$A177,$B$1:$B$349,$B177))</f>
        <v/>
      </c>
      <c r="Q177" t="str">
        <f>IF($A177="","",SUMIFS($G$1:$G$349,$A$1:$A$349,$A177,$C$1:$C$349,$C177))</f>
        <v/>
      </c>
      <c r="R177" t="str">
        <f>IF($A177="","",SUMIFS($H$1:$H$349,$A$1:$A$349,$A177,$C$1:$C$349,$C177))</f>
        <v/>
      </c>
      <c r="S177" t="str">
        <f>IF($A177="","",SUMIFS($I$1:$I$349,$A$1:$A$349,$A177,$C$1:$C$349,$C177))</f>
        <v/>
      </c>
      <c r="T177" t="str">
        <f>IF($A177="","",SUMIFS($G$1:$G$349,$A$1:$A$349,$A177))</f>
        <v/>
      </c>
      <c r="U177" t="str">
        <f>IF($A177="","",SUMIFS($H$1:$H$349,$A$1:$A$349,$A177))</f>
        <v/>
      </c>
      <c r="V177" t="str">
        <f>IF($A177="","",SUMIFS($I$1:$I$349,$A$1:$A$349,$A177))</f>
        <v/>
      </c>
      <c r="W177" t="str">
        <f>IF($A177="","",Allocation2!Y177)</f>
        <v/>
      </c>
      <c r="X177" t="str">
        <f>IF($A177="","",Allocation2!Z177)</f>
        <v/>
      </c>
      <c r="Y177" t="str">
        <f>IF($A177="","",Allocation2!AA177)</f>
        <v/>
      </c>
      <c r="Z177" t="str">
        <f>IF($A177="","",Allocation2!AB177)</f>
        <v/>
      </c>
      <c r="AA177" t="str">
        <f>IF($A177="","",Allocation2!AC177)</f>
        <v/>
      </c>
      <c r="AB177" t="str">
        <f>IF($A177="","",Allocation2!AD177)</f>
        <v/>
      </c>
      <c r="AC177" t="str">
        <f>IF($A177="","",IF(ALLOC!$N$4="VOL_EFF",$G177,IF(ALLOC!$N$4="VOL_CLASS",$H177,$I177)))</f>
        <v/>
      </c>
      <c r="AD177" t="str">
        <f>IF($A177="","",IF(ALLOC!$N$4="VOL_EFF",$L177,IF(ALLOC!$N$4="VOL_CLASS",$M177,$N177)))</f>
        <v/>
      </c>
      <c r="AE177" t="str">
        <f>IF($A177="","",IF(ALLOC!$N$3="VOL_EFF",$L177,IF(ALLOC!$N$3="VOL_CLASS",$M177,$N177)))</f>
        <v/>
      </c>
      <c r="AF177" t="str">
        <f>IF($A177="","",IF(ALLOC!$N$3="VOL_EFF",$Q177,IF(ALLOC!$N$3="VOL_CLASS",$R177,$S177)))</f>
        <v/>
      </c>
      <c r="AG177" t="str">
        <f>IF($A177="","",IF(ALLOC!$N$1="VOL_EFF",$Q177,IF(ALLOC!$N$1="VOL_CLASS",$R177,$S177)))</f>
        <v/>
      </c>
      <c r="AH177" t="str">
        <f>IF($A177="","",IF(ALLOC!$N$1="VOL_EFF",$T177,IF(ALLOC!$N$1="VOL_CLASS",$U177,$V177)))</f>
        <v/>
      </c>
      <c r="AI177" t="str">
        <f>IF($A177="","",$W177*IFERROR($K177/$O177,0))</f>
        <v/>
      </c>
      <c r="AJ177" t="str">
        <f>IF($A177="","",$X177*IFERROR($K177/$O177,0))</f>
        <v/>
      </c>
      <c r="AK177" t="str">
        <f>IF($A177="","",$Y177*IFERROR($G177/$L177,0)+$Z177*IFERROR($J177/$P177,0))</f>
        <v/>
      </c>
      <c r="AL177" t="str">
        <f>IF($A177="","",$AA177*IFERROR($AC177/$AD177,0))</f>
        <v/>
      </c>
      <c r="AM177" t="str">
        <f>IF($A177="","",$AB177*IFERROR($AG177/$AH177,0)*IFERROR($AE177/$AF177,0)*IFERROR($AC177/$AD177,0))</f>
        <v/>
      </c>
      <c r="AN177" t="str">
        <f>IF($A177="","",$I177-($AI177+$AJ177+$AK177+$AL177+$AM177+$AR177))</f>
        <v/>
      </c>
      <c r="AO177" t="str">
        <f>IF($A177="","",Allocation2!AE177)</f>
        <v/>
      </c>
      <c r="AP177" t="str">
        <f>IF($A177="","",IF(ALLOC!$N$2="VOL_EFF",$Q177,IF(ALLOC!$N$2="VOL_CLASS",$R177,$S177)))</f>
        <v/>
      </c>
      <c r="AQ177" t="str">
        <f>IF($A177="","",IF(ALLOC!$N$2="VOL_EFF",$T177,IF(ALLOC!$N$2="VOL_CLASS",$U177,$V177)))</f>
        <v/>
      </c>
      <c r="AR177" t="str">
        <f>IF($A177="","",$AO177*IFERROR($AP177/$AQ177,0)*IFERROR($AE177/$AF177,0)*IFERROR($AC177/$AD177,0))</f>
        <v/>
      </c>
    </row>
    <row r="178" spans="1:46" x14ac:dyDescent="0.45">
      <c r="A178" t="str">
        <f>IF(Allocation2!D178="","",Allocation2!D178)</f>
        <v/>
      </c>
      <c r="B178" t="str">
        <f>IF(Allocation2!E178="","",Allocation2!E178)</f>
        <v/>
      </c>
      <c r="C178" t="str">
        <f>IF(Allocation2!F178="","",Allocation2!F178)</f>
        <v/>
      </c>
      <c r="D178" t="str">
        <f>IF(Allocation2!G178="","",Allocation2!G178)</f>
        <v/>
      </c>
      <c r="E178" t="str">
        <f>IF(Allocation2!H178="","",Allocation2!H178)</f>
        <v/>
      </c>
      <c r="F178" t="str">
        <f>IF(Allocation2!I178="","",Allocation2!I178)</f>
        <v/>
      </c>
      <c r="G178" t="str">
        <f>IF(Allocation2!E178="","",Allocation2!J178)</f>
        <v/>
      </c>
      <c r="H178" t="str">
        <f>IF(Allocation2!E178="","",Allocation2!K178)</f>
        <v/>
      </c>
      <c r="I178" t="str">
        <f>IF(Allocation2!E178="","",Allocation2!L178)</f>
        <v/>
      </c>
      <c r="J178" t="str">
        <f>IF($A178="","",Allocation2!X178)</f>
        <v/>
      </c>
      <c r="K178" t="str">
        <f>IF($A178="","",$H178*IF(AND(LEFT($D178,3)="BAC",$F178="INIT"),600,IF(LEFT($D178,3)="BAC",480,IF(AND(LEFT($D178,3)="MAS",$F178="INIT"),520,IF(LEFT($D178,3)="MAS",420,IF($F178="INIT",1000,700))))))</f>
        <v/>
      </c>
      <c r="L178" t="str">
        <f>IF($A178="","",SUMIFS($G$1:$G$349,$A$1:$A$349,$A178,$B$1:$B$349,$B178))</f>
        <v/>
      </c>
      <c r="M178" t="str">
        <f>IF($A178="","",SUMIFS($H$1:$H$349,$A$1:$A$349,$A178,$B$1:$B$349,$B178))</f>
        <v/>
      </c>
      <c r="N178" t="str">
        <f>IF($A178="","",SUMIFS($I$1:$I$349,$A$1:$A$349,$A178,$B$1:$B$349,$B178))</f>
        <v/>
      </c>
      <c r="O178" t="str">
        <f>IF($A178="","",SUMIFS($K$1:$K$349,$A$1:$A$349,$A178,$B$1:$B$349,$B178))</f>
        <v/>
      </c>
      <c r="P178" t="str">
        <f>IF($A178="","",SUMIFS($J$1:$J$349,$A$1:$A$349,$A178,$B$1:$B$349,$B178))</f>
        <v/>
      </c>
      <c r="Q178" t="str">
        <f>IF($A178="","",SUMIFS($G$1:$G$349,$A$1:$A$349,$A178,$C$1:$C$349,$C178))</f>
        <v/>
      </c>
      <c r="R178" t="str">
        <f>IF($A178="","",SUMIFS($H$1:$H$349,$A$1:$A$349,$A178,$C$1:$C$349,$C178))</f>
        <v/>
      </c>
      <c r="S178" t="str">
        <f>IF($A178="","",SUMIFS($I$1:$I$349,$A$1:$A$349,$A178,$C$1:$C$349,$C178))</f>
        <v/>
      </c>
      <c r="T178" t="str">
        <f>IF($A178="","",SUMIFS($G$1:$G$349,$A$1:$A$349,$A178))</f>
        <v/>
      </c>
      <c r="U178" t="str">
        <f>IF($A178="","",SUMIFS($H$1:$H$349,$A$1:$A$349,$A178))</f>
        <v/>
      </c>
      <c r="V178" t="str">
        <f>IF($A178="","",SUMIFS($I$1:$I$349,$A$1:$A$349,$A178))</f>
        <v/>
      </c>
      <c r="W178" t="str">
        <f>IF($A178="","",Allocation2!Y178)</f>
        <v/>
      </c>
      <c r="X178" t="str">
        <f>IF($A178="","",Allocation2!Z178)</f>
        <v/>
      </c>
      <c r="Y178" t="str">
        <f>IF($A178="","",Allocation2!AA178)</f>
        <v/>
      </c>
      <c r="Z178" t="str">
        <f>IF($A178="","",Allocation2!AB178)</f>
        <v/>
      </c>
      <c r="AA178" t="str">
        <f>IF($A178="","",Allocation2!AC178)</f>
        <v/>
      </c>
      <c r="AB178" t="str">
        <f>IF($A178="","",Allocation2!AD178)</f>
        <v/>
      </c>
      <c r="AC178" t="str">
        <f>IF($A178="","",IF(ALLOC!$N$4="VOL_EFF",$G178,IF(ALLOC!$N$4="VOL_CLASS",$H178,$I178)))</f>
        <v/>
      </c>
      <c r="AD178" t="str">
        <f>IF($A178="","",IF(ALLOC!$N$4="VOL_EFF",$L178,IF(ALLOC!$N$4="VOL_CLASS",$M178,$N178)))</f>
        <v/>
      </c>
      <c r="AE178" t="str">
        <f>IF($A178="","",IF(ALLOC!$N$3="VOL_EFF",$L178,IF(ALLOC!$N$3="VOL_CLASS",$M178,$N178)))</f>
        <v/>
      </c>
      <c r="AF178" t="str">
        <f>IF($A178="","",IF(ALLOC!$N$3="VOL_EFF",$Q178,IF(ALLOC!$N$3="VOL_CLASS",$R178,$S178)))</f>
        <v/>
      </c>
      <c r="AG178" t="str">
        <f>IF($A178="","",IF(ALLOC!$N$1="VOL_EFF",$Q178,IF(ALLOC!$N$1="VOL_CLASS",$R178,$S178)))</f>
        <v/>
      </c>
      <c r="AH178" t="str">
        <f>IF($A178="","",IF(ALLOC!$N$1="VOL_EFF",$T178,IF(ALLOC!$N$1="VOL_CLASS",$U178,$V178)))</f>
        <v/>
      </c>
      <c r="AI178" t="str">
        <f>IF($A178="","",$W178*IFERROR($K178/$O178,0))</f>
        <v/>
      </c>
      <c r="AJ178" t="str">
        <f>IF($A178="","",$X178*IFERROR($K178/$O178,0))</f>
        <v/>
      </c>
      <c r="AK178" t="str">
        <f>IF($A178="","",$Y178*IFERROR($G178/$L178,0)+$Z178*IFERROR($J178/$P178,0))</f>
        <v/>
      </c>
      <c r="AL178" t="str">
        <f>IF($A178="","",$AA178*IFERROR($AC178/$AD178,0))</f>
        <v/>
      </c>
      <c r="AM178" t="str">
        <f>IF($A178="","",$AB178*IFERROR($AG178/$AH178,0)*IFERROR($AE178/$AF178,0)*IFERROR($AC178/$AD178,0))</f>
        <v/>
      </c>
      <c r="AN178" t="str">
        <f>IF($A178="","",$I178-($AI178+$AJ178+$AK178+$AL178+$AM178+$AR178))</f>
        <v/>
      </c>
      <c r="AO178" t="str">
        <f>IF($A178="","",Allocation2!AE178)</f>
        <v/>
      </c>
      <c r="AP178" t="str">
        <f>IF($A178="","",IF(ALLOC!$N$2="VOL_EFF",$Q178,IF(ALLOC!$N$2="VOL_CLASS",$R178,$S178)))</f>
        <v/>
      </c>
      <c r="AQ178" t="str">
        <f>IF($A178="","",IF(ALLOC!$N$2="VOL_EFF",$T178,IF(ALLOC!$N$2="VOL_CLASS",$U178,$V178)))</f>
        <v/>
      </c>
      <c r="AR178" t="str">
        <f>IF($A178="","",$AO178*IFERROR($AP178/$AQ178,0)*IFERROR($AE178/$AF178,0)*IFERROR($AC178/$AD178,0))</f>
        <v/>
      </c>
    </row>
    <row r="179" spans="1:46" x14ac:dyDescent="0.45">
      <c r="A179" t="str">
        <f>IF(Allocation2!D179="","",Allocation2!D179)</f>
        <v/>
      </c>
      <c r="B179" t="str">
        <f>IF(Allocation2!E179="","",Allocation2!E179)</f>
        <v/>
      </c>
      <c r="C179" t="str">
        <f>IF(Allocation2!F179="","",Allocation2!F179)</f>
        <v/>
      </c>
      <c r="D179" t="str">
        <f>IF(Allocation2!G179="","",Allocation2!G179)</f>
        <v/>
      </c>
      <c r="E179" t="str">
        <f>IF(Allocation2!H179="","",Allocation2!H179)</f>
        <v/>
      </c>
      <c r="F179" t="str">
        <f>IF(Allocation2!I179="","",Allocation2!I179)</f>
        <v/>
      </c>
      <c r="G179" t="str">
        <f>IF(Allocation2!E179="","",Allocation2!J179)</f>
        <v/>
      </c>
      <c r="H179" t="str">
        <f>IF(Allocation2!E179="","",Allocation2!K179)</f>
        <v/>
      </c>
      <c r="I179" t="str">
        <f>IF(Allocation2!E179="","",Allocation2!L179)</f>
        <v/>
      </c>
      <c r="J179" t="str">
        <f>IF($A179="","",Allocation2!X179)</f>
        <v/>
      </c>
      <c r="K179" t="str">
        <f>IF($A179="","",$H179*IF(AND(LEFT($D179,3)="BAC",$F179="INIT"),600,IF(LEFT($D179,3)="BAC",480,IF(AND(LEFT($D179,3)="MAS",$F179="INIT"),520,IF(LEFT($D179,3)="MAS",420,IF($F179="INIT",1000,700))))))</f>
        <v/>
      </c>
      <c r="L179" t="str">
        <f>IF($A179="","",SUMIFS($G$1:$G$349,$A$1:$A$349,$A179,$B$1:$B$349,$B179))</f>
        <v/>
      </c>
      <c r="M179" t="str">
        <f>IF($A179="","",SUMIFS($H$1:$H$349,$A$1:$A$349,$A179,$B$1:$B$349,$B179))</f>
        <v/>
      </c>
      <c r="N179" t="str">
        <f>IF($A179="","",SUMIFS($I$1:$I$349,$A$1:$A$349,$A179,$B$1:$B$349,$B179))</f>
        <v/>
      </c>
      <c r="O179" t="str">
        <f>IF($A179="","",SUMIFS($K$1:$K$349,$A$1:$A$349,$A179,$B$1:$B$349,$B179))</f>
        <v/>
      </c>
      <c r="P179" t="str">
        <f>IF($A179="","",SUMIFS($J$1:$J$349,$A$1:$A$349,$A179,$B$1:$B$349,$B179))</f>
        <v/>
      </c>
      <c r="Q179" t="str">
        <f>IF($A179="","",SUMIFS($G$1:$G$349,$A$1:$A$349,$A179,$C$1:$C$349,$C179))</f>
        <v/>
      </c>
      <c r="R179" t="str">
        <f>IF($A179="","",SUMIFS($H$1:$H$349,$A$1:$A$349,$A179,$C$1:$C$349,$C179))</f>
        <v/>
      </c>
      <c r="S179" t="str">
        <f>IF($A179="","",SUMIFS($I$1:$I$349,$A$1:$A$349,$A179,$C$1:$C$349,$C179))</f>
        <v/>
      </c>
      <c r="T179" t="str">
        <f>IF($A179="","",SUMIFS($G$1:$G$349,$A$1:$A$349,$A179))</f>
        <v/>
      </c>
      <c r="U179" t="str">
        <f>IF($A179="","",SUMIFS($H$1:$H$349,$A$1:$A$349,$A179))</f>
        <v/>
      </c>
      <c r="V179" t="str">
        <f>IF($A179="","",SUMIFS($I$1:$I$349,$A$1:$A$349,$A179))</f>
        <v/>
      </c>
      <c r="W179" t="str">
        <f>IF($A179="","",Allocation2!Y179)</f>
        <v/>
      </c>
      <c r="X179" t="str">
        <f>IF($A179="","",Allocation2!Z179)</f>
        <v/>
      </c>
      <c r="Y179" t="str">
        <f>IF($A179="","",Allocation2!AA179)</f>
        <v/>
      </c>
      <c r="Z179" t="str">
        <f>IF($A179="","",Allocation2!AB179)</f>
        <v/>
      </c>
      <c r="AA179" t="str">
        <f>IF($A179="","",Allocation2!AC179)</f>
        <v/>
      </c>
      <c r="AB179" t="str">
        <f>IF($A179="","",Allocation2!AD179)</f>
        <v/>
      </c>
      <c r="AC179" t="str">
        <f>IF($A179="","",IF(ALLOC!$N$4="VOL_EFF",$G179,IF(ALLOC!$N$4="VOL_CLASS",$H179,$I179)))</f>
        <v/>
      </c>
      <c r="AD179" t="str">
        <f>IF($A179="","",IF(ALLOC!$N$4="VOL_EFF",$L179,IF(ALLOC!$N$4="VOL_CLASS",$M179,$N179)))</f>
        <v/>
      </c>
      <c r="AE179" t="str">
        <f>IF($A179="","",IF(ALLOC!$N$3="VOL_EFF",$L179,IF(ALLOC!$N$3="VOL_CLASS",$M179,$N179)))</f>
        <v/>
      </c>
      <c r="AF179" t="str">
        <f>IF($A179="","",IF(ALLOC!$N$3="VOL_EFF",$Q179,IF(ALLOC!$N$3="VOL_CLASS",$R179,$S179)))</f>
        <v/>
      </c>
      <c r="AG179" t="str">
        <f>IF($A179="","",IF(ALLOC!$N$1="VOL_EFF",$Q179,IF(ALLOC!$N$1="VOL_CLASS",$R179,$S179)))</f>
        <v/>
      </c>
      <c r="AH179" t="str">
        <f>IF($A179="","",IF(ALLOC!$N$1="VOL_EFF",$T179,IF(ALLOC!$N$1="VOL_CLASS",$U179,$V179)))</f>
        <v/>
      </c>
      <c r="AI179" t="str">
        <f>IF($A179="","",$W179*IFERROR($K179/$O179,0))</f>
        <v/>
      </c>
      <c r="AJ179" t="str">
        <f>IF($A179="","",$X179*IFERROR($K179/$O179,0))</f>
        <v/>
      </c>
      <c r="AK179" t="str">
        <f>IF($A179="","",$Y179*IFERROR($G179/$L179,0)+$Z179*IFERROR($J179/$P179,0))</f>
        <v/>
      </c>
      <c r="AL179" t="str">
        <f>IF($A179="","",$AA179*IFERROR($AC179/$AD179,0))</f>
        <v/>
      </c>
      <c r="AM179" t="str">
        <f>IF($A179="","",$AB179*IFERROR($AG179/$AH179,0)*IFERROR($AE179/$AF179,0)*IFERROR($AC179/$AD179,0))</f>
        <v/>
      </c>
      <c r="AN179" t="str">
        <f>IF($A179="","",$I179-($AI179+$AJ179+$AK179+$AL179+$AM179+$AR179))</f>
        <v/>
      </c>
      <c r="AO179" t="str">
        <f>IF($A179="","",Allocation2!AE179)</f>
        <v/>
      </c>
      <c r="AP179" t="str">
        <f>IF($A179="","",IF(ALLOC!$N$2="VOL_EFF",$Q179,IF(ALLOC!$N$2="VOL_CLASS",$R179,$S179)))</f>
        <v/>
      </c>
      <c r="AQ179" t="str">
        <f>IF($A179="","",IF(ALLOC!$N$2="VOL_EFF",$T179,IF(ALLOC!$N$2="VOL_CLASS",$U179,$V179)))</f>
        <v/>
      </c>
      <c r="AR179" t="str">
        <f>IF($A179="","",$AO179*IFERROR($AP179/$AQ179,0)*IFERROR($AE179/$AF179,0)*IFERROR($AC179/$AD179,0))</f>
        <v/>
      </c>
    </row>
    <row r="180" spans="1:46" x14ac:dyDescent="0.45">
      <c r="A180" t="str">
        <f>IF(Allocation2!D180="","",Allocation2!D180)</f>
        <v/>
      </c>
      <c r="B180" t="str">
        <f>IF(Allocation2!E180="","",Allocation2!E180)</f>
        <v/>
      </c>
      <c r="C180" t="str">
        <f>IF(Allocation2!F180="","",Allocation2!F180)</f>
        <v/>
      </c>
      <c r="D180" t="str">
        <f>IF(Allocation2!G180="","",Allocation2!G180)</f>
        <v/>
      </c>
      <c r="E180" t="str">
        <f>IF(Allocation2!H180="","",Allocation2!H180)</f>
        <v/>
      </c>
      <c r="F180" t="str">
        <f>IF(Allocation2!I180="","",Allocation2!I180)</f>
        <v/>
      </c>
      <c r="G180" t="str">
        <f>IF(Allocation2!E180="","",Allocation2!J180)</f>
        <v/>
      </c>
      <c r="H180" t="str">
        <f>IF(Allocation2!E180="","",Allocation2!K180)</f>
        <v/>
      </c>
      <c r="I180" t="str">
        <f>IF(Allocation2!E180="","",Allocation2!L180)</f>
        <v/>
      </c>
      <c r="J180" t="str">
        <f>IF($A180="","",Allocation2!X180)</f>
        <v/>
      </c>
      <c r="K180" t="str">
        <f>IF($A180="","",$H180*IF(AND(LEFT($D180,3)="BAC",$F180="INIT"),600,IF(LEFT($D180,3)="BAC",480,IF(AND(LEFT($D180,3)="MAS",$F180="INIT"),520,IF(LEFT($D180,3)="MAS",420,IF($F180="INIT",1000,700))))))</f>
        <v/>
      </c>
      <c r="L180" t="str">
        <f>IF($A180="","",SUMIFS($G$1:$G$349,$A$1:$A$349,$A180,$B$1:$B$349,$B180))</f>
        <v/>
      </c>
      <c r="M180" t="str">
        <f>IF($A180="","",SUMIFS($H$1:$H$349,$A$1:$A$349,$A180,$B$1:$B$349,$B180))</f>
        <v/>
      </c>
      <c r="N180" t="str">
        <f>IF($A180="","",SUMIFS($I$1:$I$349,$A$1:$A$349,$A180,$B$1:$B$349,$B180))</f>
        <v/>
      </c>
      <c r="O180" t="str">
        <f>IF($A180="","",SUMIFS($K$1:$K$349,$A$1:$A$349,$A180,$B$1:$B$349,$B180))</f>
        <v/>
      </c>
      <c r="P180" t="str">
        <f>IF($A180="","",SUMIFS($J$1:$J$349,$A$1:$A$349,$A180,$B$1:$B$349,$B180))</f>
        <v/>
      </c>
      <c r="Q180" t="str">
        <f>IF($A180="","",SUMIFS($G$1:$G$349,$A$1:$A$349,$A180,$C$1:$C$349,$C180))</f>
        <v/>
      </c>
      <c r="R180" t="str">
        <f>IF($A180="","",SUMIFS($H$1:$H$349,$A$1:$A$349,$A180,$C$1:$C$349,$C180))</f>
        <v/>
      </c>
      <c r="S180" t="str">
        <f>IF($A180="","",SUMIFS($I$1:$I$349,$A$1:$A$349,$A180,$C$1:$C$349,$C180))</f>
        <v/>
      </c>
      <c r="T180" t="str">
        <f>IF($A180="","",SUMIFS($G$1:$G$349,$A$1:$A$349,$A180))</f>
        <v/>
      </c>
      <c r="U180" t="str">
        <f>IF($A180="","",SUMIFS($H$1:$H$349,$A$1:$A$349,$A180))</f>
        <v/>
      </c>
      <c r="V180" t="str">
        <f>IF($A180="","",SUMIFS($I$1:$I$349,$A$1:$A$349,$A180))</f>
        <v/>
      </c>
      <c r="W180" t="str">
        <f>IF($A180="","",Allocation2!Y180)</f>
        <v/>
      </c>
      <c r="X180" t="str">
        <f>IF($A180="","",Allocation2!Z180)</f>
        <v/>
      </c>
      <c r="Y180" t="str">
        <f>IF($A180="","",Allocation2!AA180)</f>
        <v/>
      </c>
      <c r="Z180" t="str">
        <f>IF($A180="","",Allocation2!AB180)</f>
        <v/>
      </c>
      <c r="AA180" t="str">
        <f>IF($A180="","",Allocation2!AC180)</f>
        <v/>
      </c>
      <c r="AB180" t="str">
        <f>IF($A180="","",Allocation2!AD180)</f>
        <v/>
      </c>
      <c r="AC180" t="str">
        <f>IF($A180="","",IF(ALLOC!$N$4="VOL_EFF",$G180,IF(ALLOC!$N$4="VOL_CLASS",$H180,$I180)))</f>
        <v/>
      </c>
      <c r="AD180" t="str">
        <f>IF($A180="","",IF(ALLOC!$N$4="VOL_EFF",$L180,IF(ALLOC!$N$4="VOL_CLASS",$M180,$N180)))</f>
        <v/>
      </c>
      <c r="AE180" t="str">
        <f>IF($A180="","",IF(ALLOC!$N$3="VOL_EFF",$L180,IF(ALLOC!$N$3="VOL_CLASS",$M180,$N180)))</f>
        <v/>
      </c>
      <c r="AF180" t="str">
        <f>IF($A180="","",IF(ALLOC!$N$3="VOL_EFF",$Q180,IF(ALLOC!$N$3="VOL_CLASS",$R180,$S180)))</f>
        <v/>
      </c>
      <c r="AG180" t="str">
        <f>IF($A180="","",IF(ALLOC!$N$1="VOL_EFF",$Q180,IF(ALLOC!$N$1="VOL_CLASS",$R180,$S180)))</f>
        <v/>
      </c>
      <c r="AH180" t="str">
        <f>IF($A180="","",IF(ALLOC!$N$1="VOL_EFF",$T180,IF(ALLOC!$N$1="VOL_CLASS",$U180,$V180)))</f>
        <v/>
      </c>
      <c r="AI180" t="str">
        <f>IF($A180="","",$W180*IFERROR($K180/$O180,0))</f>
        <v/>
      </c>
      <c r="AJ180" t="str">
        <f>IF($A180="","",$X180*IFERROR($K180/$O180,0))</f>
        <v/>
      </c>
      <c r="AK180" t="str">
        <f>IF($A180="","",$Y180*IFERROR($G180/$L180,0)+$Z180*IFERROR($J180/$P180,0))</f>
        <v/>
      </c>
      <c r="AL180" t="str">
        <f>IF($A180="","",$AA180*IFERROR($AC180/$AD180,0))</f>
        <v/>
      </c>
      <c r="AM180" t="str">
        <f>IF($A180="","",$AB180*IFERROR($AG180/$AH180,0)*IFERROR($AE180/$AF180,0)*IFERROR($AC180/$AD180,0))</f>
        <v/>
      </c>
      <c r="AN180" t="str">
        <f>IF($A180="","",$I180-($AI180+$AJ180+$AK180+$AL180+$AM180+$AR180))</f>
        <v/>
      </c>
      <c r="AO180" t="str">
        <f>IF($A180="","",Allocation2!AE180)</f>
        <v/>
      </c>
      <c r="AP180" t="str">
        <f>IF($A180="","",IF(ALLOC!$N$2="VOL_EFF",$Q180,IF(ALLOC!$N$2="VOL_CLASS",$R180,$S180)))</f>
        <v/>
      </c>
      <c r="AQ180" t="str">
        <f>IF($A180="","",IF(ALLOC!$N$2="VOL_EFF",$T180,IF(ALLOC!$N$2="VOL_CLASS",$U180,$V180)))</f>
        <v/>
      </c>
      <c r="AR180" t="str">
        <f>IF($A180="","",$AO180*IFERROR($AP180/$AQ180,0)*IFERROR($AE180/$AF180,0)*IFERROR($AC180/$AD180,0))</f>
        <v/>
      </c>
    </row>
    <row r="181" spans="1:46" x14ac:dyDescent="0.45">
      <c r="A181" t="str">
        <f>IF(Allocation2!D181="","",Allocation2!D181)</f>
        <v/>
      </c>
      <c r="B181" t="str">
        <f>IF(Allocation2!E181="","",Allocation2!E181)</f>
        <v/>
      </c>
      <c r="C181" t="str">
        <f>IF(Allocation2!F181="","",Allocation2!F181)</f>
        <v/>
      </c>
      <c r="D181" t="str">
        <f>IF(Allocation2!G181="","",Allocation2!G181)</f>
        <v/>
      </c>
      <c r="E181" t="str">
        <f>IF(Allocation2!H181="","",Allocation2!H181)</f>
        <v/>
      </c>
      <c r="F181" t="str">
        <f>IF(Allocation2!I181="","",Allocation2!I181)</f>
        <v/>
      </c>
      <c r="G181" t="str">
        <f>IF(Allocation2!E181="","",Allocation2!J181)</f>
        <v/>
      </c>
      <c r="H181" t="str">
        <f>IF(Allocation2!E181="","",Allocation2!K181)</f>
        <v/>
      </c>
      <c r="I181" t="str">
        <f>IF(Allocation2!E181="","",Allocation2!L181)</f>
        <v/>
      </c>
      <c r="J181" t="str">
        <f>IF($A181="","",Allocation2!X181)</f>
        <v/>
      </c>
      <c r="K181" t="str">
        <f>IF($A181="","",$H181*IF(AND(LEFT($D181,3)="BAC",$F181="INIT"),600,IF(LEFT($D181,3)="BAC",480,IF(AND(LEFT($D181,3)="MAS",$F181="INIT"),520,IF(LEFT($D181,3)="MAS",420,IF($F181="INIT",1000,700))))))</f>
        <v/>
      </c>
      <c r="L181" t="str">
        <f>IF($A181="","",SUMIFS($G$1:$G$349,$A$1:$A$349,$A181,$B$1:$B$349,$B181))</f>
        <v/>
      </c>
      <c r="M181" t="str">
        <f>IF($A181="","",SUMIFS($H$1:$H$349,$A$1:$A$349,$A181,$B$1:$B$349,$B181))</f>
        <v/>
      </c>
      <c r="N181" t="str">
        <f>IF($A181="","",SUMIFS($I$1:$I$349,$A$1:$A$349,$A181,$B$1:$B$349,$B181))</f>
        <v/>
      </c>
      <c r="O181" t="str">
        <f>IF($A181="","",SUMIFS($K$1:$K$349,$A$1:$A$349,$A181,$B$1:$B$349,$B181))</f>
        <v/>
      </c>
      <c r="P181" t="str">
        <f>IF($A181="","",SUMIFS($J$1:$J$349,$A$1:$A$349,$A181,$B$1:$B$349,$B181))</f>
        <v/>
      </c>
      <c r="Q181" t="str">
        <f>IF($A181="","",SUMIFS($G$1:$G$349,$A$1:$A$349,$A181,$C$1:$C$349,$C181))</f>
        <v/>
      </c>
      <c r="R181" t="str">
        <f>IF($A181="","",SUMIFS($H$1:$H$349,$A$1:$A$349,$A181,$C$1:$C$349,$C181))</f>
        <v/>
      </c>
      <c r="S181" t="str">
        <f>IF($A181="","",SUMIFS($I$1:$I$349,$A$1:$A$349,$A181,$C$1:$C$349,$C181))</f>
        <v/>
      </c>
      <c r="T181" t="str">
        <f>IF($A181="","",SUMIFS($G$1:$G$349,$A$1:$A$349,$A181))</f>
        <v/>
      </c>
      <c r="U181" t="str">
        <f>IF($A181="","",SUMIFS($H$1:$H$349,$A$1:$A$349,$A181))</f>
        <v/>
      </c>
      <c r="V181" t="str">
        <f>IF($A181="","",SUMIFS($I$1:$I$349,$A$1:$A$349,$A181))</f>
        <v/>
      </c>
      <c r="W181" t="str">
        <f>IF($A181="","",Allocation2!Y181)</f>
        <v/>
      </c>
      <c r="X181" t="str">
        <f>IF($A181="","",Allocation2!Z181)</f>
        <v/>
      </c>
      <c r="Y181" t="str">
        <f>IF($A181="","",Allocation2!AA181)</f>
        <v/>
      </c>
      <c r="Z181" t="str">
        <f>IF($A181="","",Allocation2!AB181)</f>
        <v/>
      </c>
      <c r="AA181" t="str">
        <f>IF($A181="","",Allocation2!AC181)</f>
        <v/>
      </c>
      <c r="AB181" t="str">
        <f>IF($A181="","",Allocation2!AD181)</f>
        <v/>
      </c>
      <c r="AC181" t="str">
        <f>IF($A181="","",IF(ALLOC!$N$4="VOL_EFF",$G181,IF(ALLOC!$N$4="VOL_CLASS",$H181,$I181)))</f>
        <v/>
      </c>
      <c r="AD181" t="str">
        <f>IF($A181="","",IF(ALLOC!$N$4="VOL_EFF",$L181,IF(ALLOC!$N$4="VOL_CLASS",$M181,$N181)))</f>
        <v/>
      </c>
      <c r="AE181" t="str">
        <f>IF($A181="","",IF(ALLOC!$N$3="VOL_EFF",$L181,IF(ALLOC!$N$3="VOL_CLASS",$M181,$N181)))</f>
        <v/>
      </c>
      <c r="AF181" t="str">
        <f>IF($A181="","",IF(ALLOC!$N$3="VOL_EFF",$Q181,IF(ALLOC!$N$3="VOL_CLASS",$R181,$S181)))</f>
        <v/>
      </c>
      <c r="AG181" t="str">
        <f>IF($A181="","",IF(ALLOC!$N$1="VOL_EFF",$Q181,IF(ALLOC!$N$1="VOL_CLASS",$R181,$S181)))</f>
        <v/>
      </c>
      <c r="AH181" t="str">
        <f>IF($A181="","",IF(ALLOC!$N$1="VOL_EFF",$T181,IF(ALLOC!$N$1="VOL_CLASS",$U181,$V181)))</f>
        <v/>
      </c>
      <c r="AI181" t="str">
        <f>IF($A181="","",$W181*IFERROR($K181/$O181,0))</f>
        <v/>
      </c>
      <c r="AJ181" t="str">
        <f>IF($A181="","",$X181*IFERROR($K181/$O181,0))</f>
        <v/>
      </c>
      <c r="AK181" t="str">
        <f>IF($A181="","",$Y181*IFERROR($G181/$L181,0)+$Z181*IFERROR($J181/$P181,0))</f>
        <v/>
      </c>
      <c r="AL181" t="str">
        <f>IF($A181="","",$AA181*IFERROR($AC181/$AD181,0))</f>
        <v/>
      </c>
      <c r="AM181" t="str">
        <f>IF($A181="","",$AB181*IFERROR($AG181/$AH181,0)*IFERROR($AE181/$AF181,0)*IFERROR($AC181/$AD181,0))</f>
        <v/>
      </c>
      <c r="AN181" t="str">
        <f>IF($A181="","",$I181-($AI181+$AJ181+$AK181+$AL181+$AM181+$AR181))</f>
        <v/>
      </c>
      <c r="AO181" t="str">
        <f>IF($A181="","",Allocation2!AE181)</f>
        <v/>
      </c>
      <c r="AP181" t="str">
        <f>IF($A181="","",IF(ALLOC!$N$2="VOL_EFF",$Q181,IF(ALLOC!$N$2="VOL_CLASS",$R181,$S181)))</f>
        <v/>
      </c>
      <c r="AQ181" t="str">
        <f>IF($A181="","",IF(ALLOC!$N$2="VOL_EFF",$T181,IF(ALLOC!$N$2="VOL_CLASS",$U181,$V181)))</f>
        <v/>
      </c>
      <c r="AR181" t="str">
        <f>IF($A181="","",$AO181*IFERROR($AP181/$AQ181,0)*IFERROR($AE181/$AF181,0)*IFERROR($AC181/$AD181,0))</f>
        <v/>
      </c>
    </row>
    <row r="182" spans="1:46" x14ac:dyDescent="0.45">
      <c r="A182" t="str">
        <f>IF(Allocation2!D182="","",Allocation2!D182)</f>
        <v/>
      </c>
      <c r="B182" t="str">
        <f>IF(Allocation2!E182="","",Allocation2!E182)</f>
        <v/>
      </c>
      <c r="C182" t="str">
        <f>IF(Allocation2!F182="","",Allocation2!F182)</f>
        <v/>
      </c>
      <c r="D182" t="str">
        <f>IF(Allocation2!G182="","",Allocation2!G182)</f>
        <v/>
      </c>
      <c r="E182" t="str">
        <f>IF(Allocation2!H182="","",Allocation2!H182)</f>
        <v/>
      </c>
      <c r="F182" t="str">
        <f>IF(Allocation2!I182="","",Allocation2!I182)</f>
        <v/>
      </c>
      <c r="G182" t="str">
        <f>IF(Allocation2!E182="","",Allocation2!J182)</f>
        <v/>
      </c>
      <c r="H182" t="str">
        <f>IF(Allocation2!E182="","",Allocation2!K182)</f>
        <v/>
      </c>
      <c r="I182" t="str">
        <f>IF(Allocation2!E182="","",Allocation2!L182)</f>
        <v/>
      </c>
      <c r="J182" t="str">
        <f>IF($A182="","",Allocation2!X182)</f>
        <v/>
      </c>
      <c r="K182" t="str">
        <f>IF($A182="","",$H182*IF(AND(LEFT($D182,3)="BAC",$F182="INIT"),600,IF(LEFT($D182,3)="BAC",480,IF(AND(LEFT($D182,3)="MAS",$F182="INIT"),520,IF(LEFT($D182,3)="MAS",420,IF($F182="INIT",1000,700))))))</f>
        <v/>
      </c>
      <c r="L182" t="str">
        <f>IF($A182="","",SUMIFS($G$1:$G$349,$A$1:$A$349,$A182,$B$1:$B$349,$B182))</f>
        <v/>
      </c>
      <c r="M182" t="str">
        <f>IF($A182="","",SUMIFS($H$1:$H$349,$A$1:$A$349,$A182,$B$1:$B$349,$B182))</f>
        <v/>
      </c>
      <c r="N182" t="str">
        <f>IF($A182="","",SUMIFS($I$1:$I$349,$A$1:$A$349,$A182,$B$1:$B$349,$B182))</f>
        <v/>
      </c>
      <c r="O182" t="str">
        <f>IF($A182="","",SUMIFS($K$1:$K$349,$A$1:$A$349,$A182,$B$1:$B$349,$B182))</f>
        <v/>
      </c>
      <c r="P182" t="str">
        <f>IF($A182="","",SUMIFS($J$1:$J$349,$A$1:$A$349,$A182,$B$1:$B$349,$B182))</f>
        <v/>
      </c>
      <c r="Q182" t="str">
        <f>IF($A182="","",SUMIFS($G$1:$G$349,$A$1:$A$349,$A182,$C$1:$C$349,$C182))</f>
        <v/>
      </c>
      <c r="R182" t="str">
        <f>IF($A182="","",SUMIFS($H$1:$H$349,$A$1:$A$349,$A182,$C$1:$C$349,$C182))</f>
        <v/>
      </c>
      <c r="S182" t="str">
        <f>IF($A182="","",SUMIFS($I$1:$I$349,$A$1:$A$349,$A182,$C$1:$C$349,$C182))</f>
        <v/>
      </c>
      <c r="T182" t="str">
        <f>IF($A182="","",SUMIFS($G$1:$G$349,$A$1:$A$349,$A182))</f>
        <v/>
      </c>
      <c r="U182" t="str">
        <f>IF($A182="","",SUMIFS($H$1:$H$349,$A$1:$A$349,$A182))</f>
        <v/>
      </c>
      <c r="V182" t="str">
        <f>IF($A182="","",SUMIFS($I$1:$I$349,$A$1:$A$349,$A182))</f>
        <v/>
      </c>
      <c r="W182" t="str">
        <f>IF($A182="","",Allocation2!Y182)</f>
        <v/>
      </c>
      <c r="X182" t="str">
        <f>IF($A182="","",Allocation2!Z182)</f>
        <v/>
      </c>
      <c r="Y182" t="str">
        <f>IF($A182="","",Allocation2!AA182)</f>
        <v/>
      </c>
      <c r="Z182" t="str">
        <f>IF($A182="","",Allocation2!AB182)</f>
        <v/>
      </c>
      <c r="AA182" t="str">
        <f>IF($A182="","",Allocation2!AC182)</f>
        <v/>
      </c>
      <c r="AB182" t="str">
        <f>IF($A182="","",Allocation2!AD182)</f>
        <v/>
      </c>
      <c r="AC182" t="str">
        <f>IF($A182="","",IF(ALLOC!$N$4="VOL_EFF",$G182,IF(ALLOC!$N$4="VOL_CLASS",$H182,$I182)))</f>
        <v/>
      </c>
      <c r="AD182" t="str">
        <f>IF($A182="","",IF(ALLOC!$N$4="VOL_EFF",$L182,IF(ALLOC!$N$4="VOL_CLASS",$M182,$N182)))</f>
        <v/>
      </c>
      <c r="AE182" t="str">
        <f>IF($A182="","",IF(ALLOC!$N$3="VOL_EFF",$L182,IF(ALLOC!$N$3="VOL_CLASS",$M182,$N182)))</f>
        <v/>
      </c>
      <c r="AF182" t="str">
        <f>IF($A182="","",IF(ALLOC!$N$3="VOL_EFF",$Q182,IF(ALLOC!$N$3="VOL_CLASS",$R182,$S182)))</f>
        <v/>
      </c>
      <c r="AG182" t="str">
        <f>IF($A182="","",IF(ALLOC!$N$1="VOL_EFF",$Q182,IF(ALLOC!$N$1="VOL_CLASS",$R182,$S182)))</f>
        <v/>
      </c>
      <c r="AH182" t="str">
        <f>IF($A182="","",IF(ALLOC!$N$1="VOL_EFF",$T182,IF(ALLOC!$N$1="VOL_CLASS",$U182,$V182)))</f>
        <v/>
      </c>
      <c r="AI182" t="str">
        <f>IF($A182="","",$W182*IFERROR($K182/$O182,0))</f>
        <v/>
      </c>
      <c r="AJ182" t="str">
        <f>IF($A182="","",$X182*IFERROR($K182/$O182,0))</f>
        <v/>
      </c>
      <c r="AK182" t="str">
        <f>IF($A182="","",$Y182*IFERROR($G182/$L182,0)+$Z182*IFERROR($J182/$P182,0))</f>
        <v/>
      </c>
      <c r="AL182" t="str">
        <f>IF($A182="","",$AA182*IFERROR($AC182/$AD182,0))</f>
        <v/>
      </c>
      <c r="AM182" t="str">
        <f>IF($A182="","",$AB182*IFERROR($AG182/$AH182,0)*IFERROR($AE182/$AF182,0)*IFERROR($AC182/$AD182,0))</f>
        <v/>
      </c>
      <c r="AN182" t="str">
        <f>IF($A182="","",$I182-($AI182+$AJ182+$AK182+$AL182+$AM182+$AR182))</f>
        <v/>
      </c>
      <c r="AO182" t="str">
        <f>IF($A182="","",Allocation2!AE182)</f>
        <v/>
      </c>
      <c r="AP182" t="str">
        <f>IF($A182="","",IF(ALLOC!$N$2="VOL_EFF",$Q182,IF(ALLOC!$N$2="VOL_CLASS",$R182,$S182)))</f>
        <v/>
      </c>
      <c r="AQ182" t="str">
        <f>IF($A182="","",IF(ALLOC!$N$2="VOL_EFF",$T182,IF(ALLOC!$N$2="VOL_CLASS",$U182,$V182)))</f>
        <v/>
      </c>
      <c r="AR182" t="str">
        <f>IF($A182="","",$AO182*IFERROR($AP182/$AQ182,0)*IFERROR($AE182/$AF182,0)*IFERROR($AC182/$AD182,0))</f>
        <v/>
      </c>
    </row>
    <row r="183" spans="1:46" x14ac:dyDescent="0.45">
      <c r="A183" t="str">
        <f>IF(Allocation2!D183="","",Allocation2!D183)</f>
        <v/>
      </c>
      <c r="B183" t="str">
        <f>IF(Allocation2!E183="","",Allocation2!E183)</f>
        <v/>
      </c>
      <c r="C183" t="str">
        <f>IF(Allocation2!F183="","",Allocation2!F183)</f>
        <v/>
      </c>
      <c r="D183" t="str">
        <f>IF(Allocation2!G183="","",Allocation2!G183)</f>
        <v/>
      </c>
      <c r="E183" t="str">
        <f>IF(Allocation2!H183="","",Allocation2!H183)</f>
        <v/>
      </c>
      <c r="F183" t="str">
        <f>IF(Allocation2!I183="","",Allocation2!I183)</f>
        <v/>
      </c>
      <c r="G183" t="str">
        <f>IF(Allocation2!E183="","",Allocation2!J183)</f>
        <v/>
      </c>
      <c r="H183" t="str">
        <f>IF(Allocation2!E183="","",Allocation2!K183)</f>
        <v/>
      </c>
      <c r="I183" t="str">
        <f>IF(Allocation2!E183="","",Allocation2!L183)</f>
        <v/>
      </c>
      <c r="J183" t="str">
        <f>IF($A183="","",Allocation2!X183)</f>
        <v/>
      </c>
      <c r="K183" t="str">
        <f>IF($A183="","",$H183*IF(AND(LEFT($D183,3)="BAC",$F183="INIT"),600,IF(LEFT($D183,3)="BAC",480,IF(AND(LEFT($D183,3)="MAS",$F183="INIT"),520,IF(LEFT($D183,3)="MAS",420,IF($F183="INIT",1000,700))))))</f>
        <v/>
      </c>
      <c r="L183" t="str">
        <f>IF($A183="","",SUMIFS($G$1:$G$349,$A$1:$A$349,$A183,$B$1:$B$349,$B183))</f>
        <v/>
      </c>
      <c r="M183" t="str">
        <f>IF($A183="","",SUMIFS($H$1:$H$349,$A$1:$A$349,$A183,$B$1:$B$349,$B183))</f>
        <v/>
      </c>
      <c r="N183" t="str">
        <f>IF($A183="","",SUMIFS($I$1:$I$349,$A$1:$A$349,$A183,$B$1:$B$349,$B183))</f>
        <v/>
      </c>
      <c r="O183" t="str">
        <f>IF($A183="","",SUMIFS($K$1:$K$349,$A$1:$A$349,$A183,$B$1:$B$349,$B183))</f>
        <v/>
      </c>
      <c r="P183" t="str">
        <f>IF($A183="","",SUMIFS($J$1:$J$349,$A$1:$A$349,$A183,$B$1:$B$349,$B183))</f>
        <v/>
      </c>
      <c r="Q183" t="str">
        <f>IF($A183="","",SUMIFS($G$1:$G$349,$A$1:$A$349,$A183,$C$1:$C$349,$C183))</f>
        <v/>
      </c>
      <c r="R183" t="str">
        <f>IF($A183="","",SUMIFS($H$1:$H$349,$A$1:$A$349,$A183,$C$1:$C$349,$C183))</f>
        <v/>
      </c>
      <c r="S183" t="str">
        <f>IF($A183="","",SUMIFS($I$1:$I$349,$A$1:$A$349,$A183,$C$1:$C$349,$C183))</f>
        <v/>
      </c>
      <c r="T183" t="str">
        <f>IF($A183="","",SUMIFS($G$1:$G$349,$A$1:$A$349,$A183))</f>
        <v/>
      </c>
      <c r="U183" t="str">
        <f>IF($A183="","",SUMIFS($H$1:$H$349,$A$1:$A$349,$A183))</f>
        <v/>
      </c>
      <c r="V183" t="str">
        <f>IF($A183="","",SUMIFS($I$1:$I$349,$A$1:$A$349,$A183))</f>
        <v/>
      </c>
      <c r="W183" t="str">
        <f>IF($A183="","",Allocation2!Y183)</f>
        <v/>
      </c>
      <c r="X183" t="str">
        <f>IF($A183="","",Allocation2!Z183)</f>
        <v/>
      </c>
      <c r="Y183" t="str">
        <f>IF($A183="","",Allocation2!AA183)</f>
        <v/>
      </c>
      <c r="Z183" t="str">
        <f>IF($A183="","",Allocation2!AB183)</f>
        <v/>
      </c>
      <c r="AA183" t="str">
        <f>IF($A183="","",Allocation2!AC183)</f>
        <v/>
      </c>
      <c r="AB183" t="str">
        <f>IF($A183="","",Allocation2!AD183)</f>
        <v/>
      </c>
      <c r="AC183" t="str">
        <f>IF($A183="","",IF(ALLOC!$N$4="VOL_EFF",$G183,IF(ALLOC!$N$4="VOL_CLASS",$H183,$I183)))</f>
        <v/>
      </c>
      <c r="AD183" t="str">
        <f>IF($A183="","",IF(ALLOC!$N$4="VOL_EFF",$L183,IF(ALLOC!$N$4="VOL_CLASS",$M183,$N183)))</f>
        <v/>
      </c>
      <c r="AE183" t="str">
        <f>IF($A183="","",IF(ALLOC!$N$3="VOL_EFF",$L183,IF(ALLOC!$N$3="VOL_CLASS",$M183,$N183)))</f>
        <v/>
      </c>
      <c r="AF183" t="str">
        <f>IF($A183="","",IF(ALLOC!$N$3="VOL_EFF",$Q183,IF(ALLOC!$N$3="VOL_CLASS",$R183,$S183)))</f>
        <v/>
      </c>
      <c r="AG183" t="str">
        <f>IF($A183="","",IF(ALLOC!$N$1="VOL_EFF",$Q183,IF(ALLOC!$N$1="VOL_CLASS",$R183,$S183)))</f>
        <v/>
      </c>
      <c r="AH183" t="str">
        <f>IF($A183="","",IF(ALLOC!$N$1="VOL_EFF",$T183,IF(ALLOC!$N$1="VOL_CLASS",$U183,$V183)))</f>
        <v/>
      </c>
      <c r="AI183" t="str">
        <f>IF($A183="","",$W183*IFERROR($K183/$O183,0))</f>
        <v/>
      </c>
      <c r="AJ183" t="str">
        <f>IF($A183="","",$X183*IFERROR($K183/$O183,0))</f>
        <v/>
      </c>
      <c r="AK183" t="str">
        <f>IF($A183="","",$Y183*IFERROR($G183/$L183,0)+$Z183*IFERROR($J183/$P183,0))</f>
        <v/>
      </c>
      <c r="AL183" t="str">
        <f>IF($A183="","",$AA183*IFERROR($AC183/$AD183,0))</f>
        <v/>
      </c>
      <c r="AM183" t="str">
        <f>IF($A183="","",$AB183*IFERROR($AG183/$AH183,0)*IFERROR($AE183/$AF183,0)*IFERROR($AC183/$AD183,0))</f>
        <v/>
      </c>
      <c r="AN183" t="str">
        <f>IF($A183="","",$I183-($AI183+$AJ183+$AK183+$AL183+$AM183+$AR183))</f>
        <v/>
      </c>
      <c r="AO183" t="str">
        <f>IF($A183="","",Allocation2!AE183)</f>
        <v/>
      </c>
      <c r="AP183" t="str">
        <f>IF($A183="","",IF(ALLOC!$N$2="VOL_EFF",$Q183,IF(ALLOC!$N$2="VOL_CLASS",$R183,$S183)))</f>
        <v/>
      </c>
      <c r="AQ183" t="str">
        <f>IF($A183="","",IF(ALLOC!$N$2="VOL_EFF",$T183,IF(ALLOC!$N$2="VOL_CLASS",$U183,$V183)))</f>
        <v/>
      </c>
      <c r="AR183" t="str">
        <f>IF($A183="","",$AO183*IFERROR($AP183/$AQ183,0)*IFERROR($AE183/$AF183,0)*IFERROR($AC183/$AD183,0))</f>
        <v/>
      </c>
    </row>
    <row r="184" spans="1:46" x14ac:dyDescent="0.45">
      <c r="A184" t="str">
        <f>IF(Allocation2!D184="","",Allocation2!D184)</f>
        <v/>
      </c>
      <c r="B184" t="str">
        <f>IF(Allocation2!E184="","",Allocation2!E184)</f>
        <v/>
      </c>
      <c r="C184" t="str">
        <f>IF(Allocation2!F184="","",Allocation2!F184)</f>
        <v/>
      </c>
      <c r="D184" t="str">
        <f>IF(Allocation2!G184="","",Allocation2!G184)</f>
        <v/>
      </c>
      <c r="E184" t="str">
        <f>IF(Allocation2!H184="","",Allocation2!H184)</f>
        <v/>
      </c>
      <c r="F184" t="str">
        <f>IF(Allocation2!I184="","",Allocation2!I184)</f>
        <v/>
      </c>
      <c r="G184" t="str">
        <f>IF(Allocation2!E184="","",Allocation2!J184)</f>
        <v/>
      </c>
      <c r="H184" t="str">
        <f>IF(Allocation2!E184="","",Allocation2!K184)</f>
        <v/>
      </c>
      <c r="I184" t="str">
        <f>IF(Allocation2!E184="","",Allocation2!L184)</f>
        <v/>
      </c>
      <c r="J184" t="str">
        <f>IF($A184="","",Allocation2!X184)</f>
        <v/>
      </c>
      <c r="K184" t="str">
        <f>IF($A184="","",$H184*IF(AND(LEFT($D184,3)="BAC",$F184="INIT"),600,IF(LEFT($D184,3)="BAC",480,IF(AND(LEFT($D184,3)="MAS",$F184="INIT"),520,IF(LEFT($D184,3)="MAS",420,IF($F184="INIT",1000,700))))))</f>
        <v/>
      </c>
      <c r="L184" t="str">
        <f>IF($A184="","",SUMIFS($G$1:$G$349,$A$1:$A$349,$A184,$B$1:$B$349,$B184))</f>
        <v/>
      </c>
      <c r="M184" t="str">
        <f>IF($A184="","",SUMIFS($H$1:$H$349,$A$1:$A$349,$A184,$B$1:$B$349,$B184))</f>
        <v/>
      </c>
      <c r="N184" t="str">
        <f>IF($A184="","",SUMIFS($I$1:$I$349,$A$1:$A$349,$A184,$B$1:$B$349,$B184))</f>
        <v/>
      </c>
      <c r="O184" t="str">
        <f>IF($A184="","",SUMIFS($K$1:$K$349,$A$1:$A$349,$A184,$B$1:$B$349,$B184))</f>
        <v/>
      </c>
      <c r="P184" t="str">
        <f>IF($A184="","",SUMIFS($J$1:$J$349,$A$1:$A$349,$A184,$B$1:$B$349,$B184))</f>
        <v/>
      </c>
      <c r="Q184" t="str">
        <f>IF($A184="","",SUMIFS($G$1:$G$349,$A$1:$A$349,$A184,$C$1:$C$349,$C184))</f>
        <v/>
      </c>
      <c r="R184" t="str">
        <f>IF($A184="","",SUMIFS($H$1:$H$349,$A$1:$A$349,$A184,$C$1:$C$349,$C184))</f>
        <v/>
      </c>
      <c r="S184" t="str">
        <f>IF($A184="","",SUMIFS($I$1:$I$349,$A$1:$A$349,$A184,$C$1:$C$349,$C184))</f>
        <v/>
      </c>
      <c r="T184" t="str">
        <f>IF($A184="","",SUMIFS($G$1:$G$349,$A$1:$A$349,$A184))</f>
        <v/>
      </c>
      <c r="U184" t="str">
        <f>IF($A184="","",SUMIFS($H$1:$H$349,$A$1:$A$349,$A184))</f>
        <v/>
      </c>
      <c r="V184" t="str">
        <f>IF($A184="","",SUMIFS($I$1:$I$349,$A$1:$A$349,$A184))</f>
        <v/>
      </c>
      <c r="W184" t="str">
        <f>IF($A184="","",Allocation2!Y184)</f>
        <v/>
      </c>
      <c r="X184" t="str">
        <f>IF($A184="","",Allocation2!Z184)</f>
        <v/>
      </c>
      <c r="Y184" t="str">
        <f>IF($A184="","",Allocation2!AA184)</f>
        <v/>
      </c>
      <c r="Z184" t="str">
        <f>IF($A184="","",Allocation2!AB184)</f>
        <v/>
      </c>
      <c r="AA184" t="str">
        <f>IF($A184="","",Allocation2!AC184)</f>
        <v/>
      </c>
      <c r="AB184" t="str">
        <f>IF($A184="","",Allocation2!AD184)</f>
        <v/>
      </c>
      <c r="AC184" t="str">
        <f>IF($A184="","",IF(ALLOC!$N$4="VOL_EFF",$G184,IF(ALLOC!$N$4="VOL_CLASS",$H184,$I184)))</f>
        <v/>
      </c>
      <c r="AD184" t="str">
        <f>IF($A184="","",IF(ALLOC!$N$4="VOL_EFF",$L184,IF(ALLOC!$N$4="VOL_CLASS",$M184,$N184)))</f>
        <v/>
      </c>
      <c r="AE184" t="str">
        <f>IF($A184="","",IF(ALLOC!$N$3="VOL_EFF",$L184,IF(ALLOC!$N$3="VOL_CLASS",$M184,$N184)))</f>
        <v/>
      </c>
      <c r="AF184" t="str">
        <f>IF($A184="","",IF(ALLOC!$N$3="VOL_EFF",$Q184,IF(ALLOC!$N$3="VOL_CLASS",$R184,$S184)))</f>
        <v/>
      </c>
      <c r="AG184" t="str">
        <f>IF($A184="","",IF(ALLOC!$N$1="VOL_EFF",$Q184,IF(ALLOC!$N$1="VOL_CLASS",$R184,$S184)))</f>
        <v/>
      </c>
      <c r="AH184" t="str">
        <f>IF($A184="","",IF(ALLOC!$N$1="VOL_EFF",$T184,IF(ALLOC!$N$1="VOL_CLASS",$U184,$V184)))</f>
        <v/>
      </c>
      <c r="AI184" t="str">
        <f>IF($A184="","",$W184*IFERROR($K184/$O184,0))</f>
        <v/>
      </c>
      <c r="AJ184" t="str">
        <f>IF($A184="","",$X184*IFERROR($K184/$O184,0))</f>
        <v/>
      </c>
      <c r="AK184" t="str">
        <f>IF($A184="","",$Y184*IFERROR($G184/$L184,0)+$Z184*IFERROR($J184/$P184,0))</f>
        <v/>
      </c>
      <c r="AL184" t="str">
        <f>IF($A184="","",$AA184*IFERROR($AC184/$AD184,0))</f>
        <v/>
      </c>
      <c r="AM184" t="str">
        <f>IF($A184="","",$AB184*IFERROR($AG184/$AH184,0)*IFERROR($AE184/$AF184,0)*IFERROR($AC184/$AD184,0))</f>
        <v/>
      </c>
      <c r="AN184" t="str">
        <f>IF($A184="","",$I184-($AI184+$AJ184+$AK184+$AL184+$AM184+$AR184))</f>
        <v/>
      </c>
      <c r="AO184" t="str">
        <f>IF($A184="","",Allocation2!AE184)</f>
        <v/>
      </c>
      <c r="AP184" t="str">
        <f>IF($A184="","",IF(ALLOC!$N$2="VOL_EFF",$Q184,IF(ALLOC!$N$2="VOL_CLASS",$R184,$S184)))</f>
        <v/>
      </c>
      <c r="AQ184" t="str">
        <f>IF($A184="","",IF(ALLOC!$N$2="VOL_EFF",$T184,IF(ALLOC!$N$2="VOL_CLASS",$U184,$V184)))</f>
        <v/>
      </c>
      <c r="AR184" t="str">
        <f>IF($A184="","",$AO184*IFERROR($AP184/$AQ184,0)*IFERROR($AE184/$AF184,0)*IFERROR($AC184/$AD184,0))</f>
        <v/>
      </c>
    </row>
    <row r="185" spans="1:46" x14ac:dyDescent="0.45">
      <c r="A185" t="str">
        <f>IF(Allocation2!D185="","",Allocation2!D185)</f>
        <v/>
      </c>
      <c r="B185" t="str">
        <f>IF(Allocation2!E185="","",Allocation2!E185)</f>
        <v/>
      </c>
      <c r="C185" t="str">
        <f>IF(Allocation2!F185="","",Allocation2!F185)</f>
        <v/>
      </c>
      <c r="D185" t="str">
        <f>IF(Allocation2!G185="","",Allocation2!G185)</f>
        <v/>
      </c>
      <c r="E185" t="str">
        <f>IF(Allocation2!H185="","",Allocation2!H185)</f>
        <v/>
      </c>
      <c r="F185" t="str">
        <f>IF(Allocation2!I185="","",Allocation2!I185)</f>
        <v/>
      </c>
      <c r="G185" t="str">
        <f>IF(Allocation2!E185="","",Allocation2!J185)</f>
        <v/>
      </c>
      <c r="H185" t="str">
        <f>IF(Allocation2!E185="","",Allocation2!K185)</f>
        <v/>
      </c>
      <c r="I185" t="str">
        <f>IF(Allocation2!E185="","",Allocation2!L185)</f>
        <v/>
      </c>
      <c r="J185" t="str">
        <f>IF($A185="","",Allocation2!X185)</f>
        <v/>
      </c>
      <c r="K185" t="str">
        <f>IF($A185="","",$H185*IF(AND(LEFT($D185,3)="BAC",$F185="INIT"),600,IF(LEFT($D185,3)="BAC",480,IF(AND(LEFT($D185,3)="MAS",$F185="INIT"),520,IF(LEFT($D185,3)="MAS",420,IF($F185="INIT",1000,700))))))</f>
        <v/>
      </c>
      <c r="L185" t="str">
        <f>IF($A185="","",SUMIFS($G$1:$G$349,$A$1:$A$349,$A185,$B$1:$B$349,$B185))</f>
        <v/>
      </c>
      <c r="M185" t="str">
        <f>IF($A185="","",SUMIFS($H$1:$H$349,$A$1:$A$349,$A185,$B$1:$B$349,$B185))</f>
        <v/>
      </c>
      <c r="N185" t="str">
        <f>IF($A185="","",SUMIFS($I$1:$I$349,$A$1:$A$349,$A185,$B$1:$B$349,$B185))</f>
        <v/>
      </c>
      <c r="O185" t="str">
        <f>IF($A185="","",SUMIFS($K$1:$K$349,$A$1:$A$349,$A185,$B$1:$B$349,$B185))</f>
        <v/>
      </c>
      <c r="P185" t="str">
        <f>IF($A185="","",SUMIFS($J$1:$J$349,$A$1:$A$349,$A185,$B$1:$B$349,$B185))</f>
        <v/>
      </c>
      <c r="Q185" t="str">
        <f>IF($A185="","",SUMIFS($G$1:$G$349,$A$1:$A$349,$A185,$C$1:$C$349,$C185))</f>
        <v/>
      </c>
      <c r="R185" t="str">
        <f>IF($A185="","",SUMIFS($H$1:$H$349,$A$1:$A$349,$A185,$C$1:$C$349,$C185))</f>
        <v/>
      </c>
      <c r="S185" t="str">
        <f>IF($A185="","",SUMIFS($I$1:$I$349,$A$1:$A$349,$A185,$C$1:$C$349,$C185))</f>
        <v/>
      </c>
      <c r="T185" t="str">
        <f>IF($A185="","",SUMIFS($G$1:$G$349,$A$1:$A$349,$A185))</f>
        <v/>
      </c>
      <c r="U185" t="str">
        <f>IF($A185="","",SUMIFS($H$1:$H$349,$A$1:$A$349,$A185))</f>
        <v/>
      </c>
      <c r="V185" t="str">
        <f>IF($A185="","",SUMIFS($I$1:$I$349,$A$1:$A$349,$A185))</f>
        <v/>
      </c>
      <c r="W185" t="str">
        <f>IF($A185="","",Allocation2!Y185)</f>
        <v/>
      </c>
      <c r="X185" t="str">
        <f>IF($A185="","",Allocation2!Z185)</f>
        <v/>
      </c>
      <c r="Y185" t="str">
        <f>IF($A185="","",Allocation2!AA185)</f>
        <v/>
      </c>
      <c r="Z185" t="str">
        <f>IF($A185="","",Allocation2!AB185)</f>
        <v/>
      </c>
      <c r="AA185" t="str">
        <f>IF($A185="","",Allocation2!AC185)</f>
        <v/>
      </c>
      <c r="AB185" t="str">
        <f>IF($A185="","",Allocation2!AD185)</f>
        <v/>
      </c>
      <c r="AC185" t="str">
        <f>IF($A185="","",IF(ALLOC!$N$4="VOL_EFF",$G185,IF(ALLOC!$N$4="VOL_CLASS",$H185,$I185)))</f>
        <v/>
      </c>
      <c r="AD185" t="str">
        <f>IF($A185="","",IF(ALLOC!$N$4="VOL_EFF",$L185,IF(ALLOC!$N$4="VOL_CLASS",$M185,$N185)))</f>
        <v/>
      </c>
      <c r="AE185" t="str">
        <f>IF($A185="","",IF(ALLOC!$N$3="VOL_EFF",$L185,IF(ALLOC!$N$3="VOL_CLASS",$M185,$N185)))</f>
        <v/>
      </c>
      <c r="AF185" t="str">
        <f>IF($A185="","",IF(ALLOC!$N$3="VOL_EFF",$Q185,IF(ALLOC!$N$3="VOL_CLASS",$R185,$S185)))</f>
        <v/>
      </c>
      <c r="AG185" t="str">
        <f>IF($A185="","",IF(ALLOC!$N$1="VOL_EFF",$Q185,IF(ALLOC!$N$1="VOL_CLASS",$R185,$S185)))</f>
        <v/>
      </c>
      <c r="AH185" t="str">
        <f>IF($A185="","",IF(ALLOC!$N$1="VOL_EFF",$T185,IF(ALLOC!$N$1="VOL_CLASS",$U185,$V185)))</f>
        <v/>
      </c>
      <c r="AI185" t="str">
        <f>IF($A185="","",$W185*IFERROR($K185/$O185,0))</f>
        <v/>
      </c>
      <c r="AJ185" t="str">
        <f>IF($A185="","",$X185*IFERROR($K185/$O185,0))</f>
        <v/>
      </c>
      <c r="AK185" t="str">
        <f>IF($A185="","",$Y185*IFERROR($G185/$L185,0)+$Z185*IFERROR($J185/$P185,0))</f>
        <v/>
      </c>
      <c r="AL185" t="str">
        <f>IF($A185="","",$AA185*IFERROR($AC185/$AD185,0))</f>
        <v/>
      </c>
      <c r="AM185" t="str">
        <f>IF($A185="","",$AB185*IFERROR($AG185/$AH185,0)*IFERROR($AE185/$AF185,0)*IFERROR($AC185/$AD185,0))</f>
        <v/>
      </c>
      <c r="AN185" t="str">
        <f>IF($A185="","",$I185-($AI185+$AJ185+$AK185+$AL185+$AM185+$AR185))</f>
        <v/>
      </c>
      <c r="AO185" t="str">
        <f>IF($A185="","",Allocation2!AE185)</f>
        <v/>
      </c>
      <c r="AP185" t="str">
        <f>IF($A185="","",IF(ALLOC!$N$2="VOL_EFF",$Q185,IF(ALLOC!$N$2="VOL_CLASS",$R185,$S185)))</f>
        <v/>
      </c>
      <c r="AQ185" t="str">
        <f>IF($A185="","",IF(ALLOC!$N$2="VOL_EFF",$T185,IF(ALLOC!$N$2="VOL_CLASS",$U185,$V185)))</f>
        <v/>
      </c>
      <c r="AR185" t="str">
        <f>IF($A185="","",$AO185*IFERROR($AP185/$AQ185,0)*IFERROR($AE185/$AF185,0)*IFERROR($AC185/$AD185,0))</f>
        <v/>
      </c>
    </row>
    <row r="186" spans="1:46" x14ac:dyDescent="0.45">
      <c r="A186" t="str">
        <f>IF(Allocation2!D186="","",Allocation2!D186)</f>
        <v/>
      </c>
      <c r="B186" t="str">
        <f>IF(Allocation2!E186="","",Allocation2!E186)</f>
        <v/>
      </c>
      <c r="C186" t="str">
        <f>IF(Allocation2!F186="","",Allocation2!F186)</f>
        <v/>
      </c>
      <c r="D186" t="str">
        <f>IF(Allocation2!G186="","",Allocation2!G186)</f>
        <v/>
      </c>
      <c r="E186" t="str">
        <f>IF(Allocation2!H186="","",Allocation2!H186)</f>
        <v/>
      </c>
      <c r="F186" t="str">
        <f>IF(Allocation2!I186="","",Allocation2!I186)</f>
        <v/>
      </c>
      <c r="G186" t="str">
        <f>IF(Allocation2!E186="","",Allocation2!J186)</f>
        <v/>
      </c>
      <c r="H186" t="str">
        <f>IF(Allocation2!E186="","",Allocation2!K186)</f>
        <v/>
      </c>
      <c r="I186" t="str">
        <f>IF(Allocation2!E186="","",Allocation2!L186)</f>
        <v/>
      </c>
      <c r="J186" t="str">
        <f>IF($A186="","",Allocation2!X186)</f>
        <v/>
      </c>
      <c r="K186" t="str">
        <f>IF($A186="","",$H186*IF(AND(LEFT($D186,3)="BAC",$F186="INIT"),600,IF(LEFT($D186,3)="BAC",480,IF(AND(LEFT($D186,3)="MAS",$F186="INIT"),520,IF(LEFT($D186,3)="MAS",420,IF($F186="INIT",1000,700))))))</f>
        <v/>
      </c>
      <c r="L186" t="str">
        <f>IF($A186="","",SUMIFS($G$1:$G$349,$A$1:$A$349,$A186,$B$1:$B$349,$B186))</f>
        <v/>
      </c>
      <c r="M186" t="str">
        <f>IF($A186="","",SUMIFS($H$1:$H$349,$A$1:$A$349,$A186,$B$1:$B$349,$B186))</f>
        <v/>
      </c>
      <c r="N186" t="str">
        <f>IF($A186="","",SUMIFS($I$1:$I$349,$A$1:$A$349,$A186,$B$1:$B$349,$B186))</f>
        <v/>
      </c>
      <c r="O186" t="str">
        <f>IF($A186="","",SUMIFS($K$1:$K$349,$A$1:$A$349,$A186,$B$1:$B$349,$B186))</f>
        <v/>
      </c>
      <c r="P186" t="str">
        <f>IF($A186="","",SUMIFS($J$1:$J$349,$A$1:$A$349,$A186,$B$1:$B$349,$B186))</f>
        <v/>
      </c>
      <c r="Q186" t="str">
        <f>IF($A186="","",SUMIFS($G$1:$G$349,$A$1:$A$349,$A186,$C$1:$C$349,$C186))</f>
        <v/>
      </c>
      <c r="R186" t="str">
        <f>IF($A186="","",SUMIFS($H$1:$H$349,$A$1:$A$349,$A186,$C$1:$C$349,$C186))</f>
        <v/>
      </c>
      <c r="S186" t="str">
        <f>IF($A186="","",SUMIFS($I$1:$I$349,$A$1:$A$349,$A186,$C$1:$C$349,$C186))</f>
        <v/>
      </c>
      <c r="T186" t="str">
        <f>IF($A186="","",SUMIFS($G$1:$G$349,$A$1:$A$349,$A186))</f>
        <v/>
      </c>
      <c r="U186" t="str">
        <f>IF($A186="","",SUMIFS($H$1:$H$349,$A$1:$A$349,$A186))</f>
        <v/>
      </c>
      <c r="V186" t="str">
        <f>IF($A186="","",SUMIFS($I$1:$I$349,$A$1:$A$349,$A186))</f>
        <v/>
      </c>
      <c r="W186" t="str">
        <f>IF($A186="","",Allocation2!Y186)</f>
        <v/>
      </c>
      <c r="X186" t="str">
        <f>IF($A186="","",Allocation2!Z186)</f>
        <v/>
      </c>
      <c r="Y186" t="str">
        <f>IF($A186="","",Allocation2!AA186)</f>
        <v/>
      </c>
      <c r="Z186" t="str">
        <f>IF($A186="","",Allocation2!AB186)</f>
        <v/>
      </c>
      <c r="AA186" t="str">
        <f>IF($A186="","",Allocation2!AC186)</f>
        <v/>
      </c>
      <c r="AB186" t="str">
        <f>IF($A186="","",Allocation2!AD186)</f>
        <v/>
      </c>
      <c r="AC186" t="str">
        <f>IF($A186="","",IF(ALLOC!$N$4="VOL_EFF",$G186,IF(ALLOC!$N$4="VOL_CLASS",$H186,$I186)))</f>
        <v/>
      </c>
      <c r="AD186" t="str">
        <f>IF($A186="","",IF(ALLOC!$N$4="VOL_EFF",$L186,IF(ALLOC!$N$4="VOL_CLASS",$M186,$N186)))</f>
        <v/>
      </c>
      <c r="AE186" t="str">
        <f>IF($A186="","",IF(ALLOC!$N$3="VOL_EFF",$L186,IF(ALLOC!$N$3="VOL_CLASS",$M186,$N186)))</f>
        <v/>
      </c>
      <c r="AF186" t="str">
        <f>IF($A186="","",IF(ALLOC!$N$3="VOL_EFF",$Q186,IF(ALLOC!$N$3="VOL_CLASS",$R186,$S186)))</f>
        <v/>
      </c>
      <c r="AG186" t="str">
        <f>IF($A186="","",IF(ALLOC!$N$1="VOL_EFF",$Q186,IF(ALLOC!$N$1="VOL_CLASS",$R186,$S186)))</f>
        <v/>
      </c>
      <c r="AH186" t="str">
        <f>IF($A186="","",IF(ALLOC!$N$1="VOL_EFF",$T186,IF(ALLOC!$N$1="VOL_CLASS",$U186,$V186)))</f>
        <v/>
      </c>
      <c r="AI186" t="str">
        <f>IF($A186="","",$W186*IFERROR($K186/$O186,0))</f>
        <v/>
      </c>
      <c r="AJ186" t="str">
        <f>IF($A186="","",$X186*IFERROR($K186/$O186,0))</f>
        <v/>
      </c>
      <c r="AK186" t="str">
        <f>IF($A186="","",$Y186*IFERROR($G186/$L186,0)+$Z186*IFERROR($J186/$P186,0))</f>
        <v/>
      </c>
      <c r="AL186" t="str">
        <f>IF($A186="","",$AA186*IFERROR($AC186/$AD186,0))</f>
        <v/>
      </c>
      <c r="AM186" t="str">
        <f>IF($A186="","",$AB186*IFERROR($AG186/$AH186,0)*IFERROR($AE186/$AF186,0)*IFERROR($AC186/$AD186,0))</f>
        <v/>
      </c>
      <c r="AN186" t="str">
        <f>IF($A186="","",$I186-($AI186+$AJ186+$AK186+$AL186+$AM186+$AR186))</f>
        <v/>
      </c>
      <c r="AO186" t="str">
        <f>IF($A186="","",Allocation2!AE186)</f>
        <v/>
      </c>
      <c r="AP186" t="str">
        <f>IF($A186="","",IF(ALLOC!$N$2="VOL_EFF",$Q186,IF(ALLOC!$N$2="VOL_CLASS",$R186,$S186)))</f>
        <v/>
      </c>
      <c r="AQ186" t="str">
        <f>IF($A186="","",IF(ALLOC!$N$2="VOL_EFF",$T186,IF(ALLOC!$N$2="VOL_CLASS",$U186,$V186)))</f>
        <v/>
      </c>
      <c r="AR186" t="str">
        <f>IF($A186="","",$AO186*IFERROR($AP186/$AQ186,0)*IFERROR($AE186/$AF186,0)*IFERROR($AC186/$AD186,0))</f>
        <v/>
      </c>
    </row>
    <row r="187" spans="1:46" x14ac:dyDescent="0.45">
      <c r="A187" t="str">
        <f>IF(Allocation2!D187="","",Allocation2!D187)</f>
        <v/>
      </c>
      <c r="B187" t="str">
        <f>IF(Allocation2!E187="","",Allocation2!E187)</f>
        <v/>
      </c>
      <c r="C187" t="str">
        <f>IF(Allocation2!F187="","",Allocation2!F187)</f>
        <v/>
      </c>
      <c r="D187" t="str">
        <f>IF(Allocation2!G187="","",Allocation2!G187)</f>
        <v/>
      </c>
      <c r="E187" t="str">
        <f>IF(Allocation2!H187="","",Allocation2!H187)</f>
        <v/>
      </c>
      <c r="F187" t="str">
        <f>IF(Allocation2!I187="","",Allocation2!I187)</f>
        <v/>
      </c>
      <c r="G187" t="str">
        <f>IF(Allocation2!E187="","",Allocation2!J187)</f>
        <v/>
      </c>
      <c r="H187" t="str">
        <f>IF(Allocation2!E187="","",Allocation2!K187)</f>
        <v/>
      </c>
      <c r="I187" t="str">
        <f>IF(Allocation2!E187="","",Allocation2!L187)</f>
        <v/>
      </c>
      <c r="J187" t="str">
        <f>IF($A187="","",Allocation2!X187)</f>
        <v/>
      </c>
      <c r="K187" t="str">
        <f>IF($A187="","",$H187*IF(AND(LEFT($D187,3)="BAC",$F187="INIT"),600,IF(LEFT($D187,3)="BAC",480,IF(AND(LEFT($D187,3)="MAS",$F187="INIT"),520,IF(LEFT($D187,3)="MAS",420,IF($F187="INIT",1000,700))))))</f>
        <v/>
      </c>
      <c r="L187" t="str">
        <f>IF($A187="","",SUMIFS($G$1:$G$349,$A$1:$A$349,$A187,$B$1:$B$349,$B187))</f>
        <v/>
      </c>
      <c r="M187" t="str">
        <f>IF($A187="","",SUMIFS($H$1:$H$349,$A$1:$A$349,$A187,$B$1:$B$349,$B187))</f>
        <v/>
      </c>
      <c r="N187" t="str">
        <f>IF($A187="","",SUMIFS($I$1:$I$349,$A$1:$A$349,$A187,$B$1:$B$349,$B187))</f>
        <v/>
      </c>
      <c r="O187" t="str">
        <f>IF($A187="","",SUMIFS($K$1:$K$349,$A$1:$A$349,$A187,$B$1:$B$349,$B187))</f>
        <v/>
      </c>
      <c r="P187" t="str">
        <f>IF($A187="","",SUMIFS($J$1:$J$349,$A$1:$A$349,$A187,$B$1:$B$349,$B187))</f>
        <v/>
      </c>
      <c r="Q187" t="str">
        <f>IF($A187="","",SUMIFS($G$1:$G$349,$A$1:$A$349,$A187,$C$1:$C$349,$C187))</f>
        <v/>
      </c>
      <c r="R187" t="str">
        <f>IF($A187="","",SUMIFS($H$1:$H$349,$A$1:$A$349,$A187,$C$1:$C$349,$C187))</f>
        <v/>
      </c>
      <c r="S187" t="str">
        <f>IF($A187="","",SUMIFS($I$1:$I$349,$A$1:$A$349,$A187,$C$1:$C$349,$C187))</f>
        <v/>
      </c>
      <c r="T187" t="str">
        <f>IF($A187="","",SUMIFS($G$1:$G$349,$A$1:$A$349,$A187))</f>
        <v/>
      </c>
      <c r="U187" t="str">
        <f>IF($A187="","",SUMIFS($H$1:$H$349,$A$1:$A$349,$A187))</f>
        <v/>
      </c>
      <c r="V187" t="str">
        <f>IF($A187="","",SUMIFS($I$1:$I$349,$A$1:$A$349,$A187))</f>
        <v/>
      </c>
      <c r="W187" t="str">
        <f>IF($A187="","",Allocation2!Y187)</f>
        <v/>
      </c>
      <c r="X187" t="str">
        <f>IF($A187="","",Allocation2!Z187)</f>
        <v/>
      </c>
      <c r="Y187" t="str">
        <f>IF($A187="","",Allocation2!AA187)</f>
        <v/>
      </c>
      <c r="Z187" t="str">
        <f>IF($A187="","",Allocation2!AB187)</f>
        <v/>
      </c>
      <c r="AA187" t="str">
        <f>IF($A187="","",Allocation2!AC187)</f>
        <v/>
      </c>
      <c r="AB187" t="str">
        <f>IF($A187="","",Allocation2!AD187)</f>
        <v/>
      </c>
      <c r="AC187" t="str">
        <f>IF($A187="","",IF(ALLOC!$N$4="VOL_EFF",$G187,IF(ALLOC!$N$4="VOL_CLASS",$H187,$I187)))</f>
        <v/>
      </c>
      <c r="AD187" t="str">
        <f>IF($A187="","",IF(ALLOC!$N$4="VOL_EFF",$L187,IF(ALLOC!$N$4="VOL_CLASS",$M187,$N187)))</f>
        <v/>
      </c>
      <c r="AE187" t="str">
        <f>IF($A187="","",IF(ALLOC!$N$3="VOL_EFF",$L187,IF(ALLOC!$N$3="VOL_CLASS",$M187,$N187)))</f>
        <v/>
      </c>
      <c r="AF187" t="str">
        <f>IF($A187="","",IF(ALLOC!$N$3="VOL_EFF",$Q187,IF(ALLOC!$N$3="VOL_CLASS",$R187,$S187)))</f>
        <v/>
      </c>
      <c r="AG187" t="str">
        <f>IF($A187="","",IF(ALLOC!$N$1="VOL_EFF",$Q187,IF(ALLOC!$N$1="VOL_CLASS",$R187,$S187)))</f>
        <v/>
      </c>
      <c r="AH187" t="str">
        <f>IF($A187="","",IF(ALLOC!$N$1="VOL_EFF",$T187,IF(ALLOC!$N$1="VOL_CLASS",$U187,$V187)))</f>
        <v/>
      </c>
      <c r="AI187" t="str">
        <f>IF($A187="","",$W187*IFERROR($K187/$O187,0))</f>
        <v/>
      </c>
      <c r="AJ187" t="str">
        <f>IF($A187="","",$X187*IFERROR($K187/$O187,0))</f>
        <v/>
      </c>
      <c r="AK187" t="str">
        <f>IF($A187="","",$Y187*IFERROR($G187/$L187,0)+$Z187*IFERROR($J187/$P187,0))</f>
        <v/>
      </c>
      <c r="AL187" t="str">
        <f>IF($A187="","",$AA187*IFERROR($AC187/$AD187,0))</f>
        <v/>
      </c>
      <c r="AM187" t="str">
        <f>IF($A187="","",$AB187*IFERROR($AG187/$AH187,0)*IFERROR($AE187/$AF187,0)*IFERROR($AC187/$AD187,0))</f>
        <v/>
      </c>
      <c r="AN187" t="str">
        <f>IF($A187="","",$I187-($AI187+$AJ187+$AK187+$AL187+$AM187+$AR187))</f>
        <v/>
      </c>
      <c r="AO187" t="str">
        <f>IF($A187="","",Allocation2!AE187)</f>
        <v/>
      </c>
      <c r="AP187" t="str">
        <f>IF($A187="","",IF(ALLOC!$N$2="VOL_EFF",$Q187,IF(ALLOC!$N$2="VOL_CLASS",$R187,$S187)))</f>
        <v/>
      </c>
      <c r="AQ187" t="str">
        <f>IF($A187="","",IF(ALLOC!$N$2="VOL_EFF",$T187,IF(ALLOC!$N$2="VOL_CLASS",$U187,$V187)))</f>
        <v/>
      </c>
      <c r="AR187" t="str">
        <f>IF($A187="","",$AO187*IFERROR($AP187/$AQ187,0)*IFERROR($AE187/$AF187,0)*IFERROR($AC187/$AD187,0))</f>
        <v/>
      </c>
    </row>
    <row r="188" spans="1:46" x14ac:dyDescent="0.45">
      <c r="A188" t="str">
        <f>IF(Allocation2!D188="","",Allocation2!D188)</f>
        <v/>
      </c>
      <c r="B188" t="str">
        <f>IF(Allocation2!E188="","",Allocation2!E188)</f>
        <v/>
      </c>
      <c r="C188" t="str">
        <f>IF(Allocation2!F188="","",Allocation2!F188)</f>
        <v/>
      </c>
      <c r="D188" t="str">
        <f>IF(Allocation2!G188="","",Allocation2!G188)</f>
        <v/>
      </c>
      <c r="E188" t="str">
        <f>IF(Allocation2!H188="","",Allocation2!H188)</f>
        <v/>
      </c>
      <c r="F188" t="str">
        <f>IF(Allocation2!I188="","",Allocation2!I188)</f>
        <v/>
      </c>
      <c r="G188" t="str">
        <f>IF(Allocation2!E188="","",Allocation2!J188)</f>
        <v/>
      </c>
      <c r="H188" t="str">
        <f>IF(Allocation2!E188="","",Allocation2!K188)</f>
        <v/>
      </c>
      <c r="I188" t="str">
        <f>IF(Allocation2!E188="","",Allocation2!L188)</f>
        <v/>
      </c>
      <c r="J188" t="str">
        <f>IF($A188="","",Allocation2!X188)</f>
        <v/>
      </c>
      <c r="K188" t="str">
        <f>IF($A188="","",$H188*IF(AND(LEFT($D188,3)="BAC",$F188="INIT"),600,IF(LEFT($D188,3)="BAC",480,IF(AND(LEFT($D188,3)="MAS",$F188="INIT"),520,IF(LEFT($D188,3)="MAS",420,IF($F188="INIT",1000,700))))))</f>
        <v/>
      </c>
      <c r="L188" t="str">
        <f>IF($A188="","",SUMIFS($G$1:$G$349,$A$1:$A$349,$A188,$B$1:$B$349,$B188))</f>
        <v/>
      </c>
      <c r="M188" t="str">
        <f>IF($A188="","",SUMIFS($H$1:$H$349,$A$1:$A$349,$A188,$B$1:$B$349,$B188))</f>
        <v/>
      </c>
      <c r="N188" t="str">
        <f>IF($A188="","",SUMIFS($I$1:$I$349,$A$1:$A$349,$A188,$B$1:$B$349,$B188))</f>
        <v/>
      </c>
      <c r="O188" t="str">
        <f>IF($A188="","",SUMIFS($K$1:$K$349,$A$1:$A$349,$A188,$B$1:$B$349,$B188))</f>
        <v/>
      </c>
      <c r="P188" t="str">
        <f>IF($A188="","",SUMIFS($J$1:$J$349,$A$1:$A$349,$A188,$B$1:$B$349,$B188))</f>
        <v/>
      </c>
      <c r="Q188" t="str">
        <f>IF($A188="","",SUMIFS($G$1:$G$349,$A$1:$A$349,$A188,$C$1:$C$349,$C188))</f>
        <v/>
      </c>
      <c r="R188" t="str">
        <f>IF($A188="","",SUMIFS($H$1:$H$349,$A$1:$A$349,$A188,$C$1:$C$349,$C188))</f>
        <v/>
      </c>
      <c r="S188" t="str">
        <f>IF($A188="","",SUMIFS($I$1:$I$349,$A$1:$A$349,$A188,$C$1:$C$349,$C188))</f>
        <v/>
      </c>
      <c r="T188" t="str">
        <f>IF($A188="","",SUMIFS($G$1:$G$349,$A$1:$A$349,$A188))</f>
        <v/>
      </c>
      <c r="U188" t="str">
        <f>IF($A188="","",SUMIFS($H$1:$H$349,$A$1:$A$349,$A188))</f>
        <v/>
      </c>
      <c r="V188" t="str">
        <f>IF($A188="","",SUMIFS($I$1:$I$349,$A$1:$A$349,$A188))</f>
        <v/>
      </c>
      <c r="W188" t="str">
        <f>IF($A188="","",Allocation2!Y188)</f>
        <v/>
      </c>
      <c r="X188" t="str">
        <f>IF($A188="","",Allocation2!Z188)</f>
        <v/>
      </c>
      <c r="Y188" t="str">
        <f>IF($A188="","",Allocation2!AA188)</f>
        <v/>
      </c>
      <c r="Z188" t="str">
        <f>IF($A188="","",Allocation2!AB188)</f>
        <v/>
      </c>
      <c r="AA188" t="str">
        <f>IF($A188="","",Allocation2!AC188)</f>
        <v/>
      </c>
      <c r="AB188" t="str">
        <f>IF($A188="","",Allocation2!AD188)</f>
        <v/>
      </c>
      <c r="AC188" t="str">
        <f>IF($A188="","",IF(ALLOC!$N$4="VOL_EFF",$G188,IF(ALLOC!$N$4="VOL_CLASS",$H188,$I188)))</f>
        <v/>
      </c>
      <c r="AD188" t="str">
        <f>IF($A188="","",IF(ALLOC!$N$4="VOL_EFF",$L188,IF(ALLOC!$N$4="VOL_CLASS",$M188,$N188)))</f>
        <v/>
      </c>
      <c r="AE188" t="str">
        <f>IF($A188="","",IF(ALLOC!$N$3="VOL_EFF",$L188,IF(ALLOC!$N$3="VOL_CLASS",$M188,$N188)))</f>
        <v/>
      </c>
      <c r="AF188" t="str">
        <f>IF($A188="","",IF(ALLOC!$N$3="VOL_EFF",$Q188,IF(ALLOC!$N$3="VOL_CLASS",$R188,$S188)))</f>
        <v/>
      </c>
      <c r="AG188" t="str">
        <f>IF($A188="","",IF(ALLOC!$N$1="VOL_EFF",$Q188,IF(ALLOC!$N$1="VOL_CLASS",$R188,$S188)))</f>
        <v/>
      </c>
      <c r="AH188" t="str">
        <f>IF($A188="","",IF(ALLOC!$N$1="VOL_EFF",$T188,IF(ALLOC!$N$1="VOL_CLASS",$U188,$V188)))</f>
        <v/>
      </c>
      <c r="AI188" t="str">
        <f>IF($A188="","",$W188*IFERROR($K188/$O188,0))</f>
        <v/>
      </c>
      <c r="AJ188" t="str">
        <f>IF($A188="","",$X188*IFERROR($K188/$O188,0))</f>
        <v/>
      </c>
      <c r="AK188" t="str">
        <f>IF($A188="","",$Y188*IFERROR($G188/$L188,0)+$Z188*IFERROR($J188/$P188,0))</f>
        <v/>
      </c>
      <c r="AL188" t="str">
        <f>IF($A188="","",$AA188*IFERROR($AC188/$AD188,0))</f>
        <v/>
      </c>
      <c r="AM188" t="str">
        <f>IF($A188="","",$AB188*IFERROR($AG188/$AH188,0)*IFERROR($AE188/$AF188,0)*IFERROR($AC188/$AD188,0))</f>
        <v/>
      </c>
      <c r="AN188" t="str">
        <f>IF($A188="","",$I188-($AI188+$AJ188+$AK188+$AL188+$AM188+$AR188))</f>
        <v/>
      </c>
      <c r="AO188" t="str">
        <f>IF($A188="","",Allocation2!AE188)</f>
        <v/>
      </c>
      <c r="AP188" t="str">
        <f>IF($A188="","",IF(ALLOC!$N$2="VOL_EFF",$Q188,IF(ALLOC!$N$2="VOL_CLASS",$R188,$S188)))</f>
        <v/>
      </c>
      <c r="AQ188" t="str">
        <f>IF($A188="","",IF(ALLOC!$N$2="VOL_EFF",$T188,IF(ALLOC!$N$2="VOL_CLASS",$U188,$V188)))</f>
        <v/>
      </c>
      <c r="AR188" t="str">
        <f>IF($A188="","",$AO188*IFERROR($AP188/$AQ188,0)*IFERROR($AE188/$AF188,0)*IFERROR($AC188/$AD188,0))</f>
        <v/>
      </c>
    </row>
    <row r="189" spans="1:46" x14ac:dyDescent="0.45">
      <c r="A189" t="str">
        <f>IF(Allocation2!D189="","",Allocation2!D189)</f>
        <v/>
      </c>
      <c r="B189" t="str">
        <f>IF(Allocation2!E189="","",Allocation2!E189)</f>
        <v/>
      </c>
      <c r="C189" t="str">
        <f>IF(Allocation2!F189="","",Allocation2!F189)</f>
        <v/>
      </c>
      <c r="D189" t="str">
        <f>IF(Allocation2!G189="","",Allocation2!G189)</f>
        <v/>
      </c>
      <c r="E189" t="str">
        <f>IF(Allocation2!H189="","",Allocation2!H189)</f>
        <v/>
      </c>
      <c r="F189" t="str">
        <f>IF(Allocation2!I189="","",Allocation2!I189)</f>
        <v/>
      </c>
      <c r="G189" t="str">
        <f>IF(Allocation2!E189="","",Allocation2!J189)</f>
        <v/>
      </c>
      <c r="H189" t="str">
        <f>IF(Allocation2!E189="","",Allocation2!K189)</f>
        <v/>
      </c>
      <c r="I189" t="str">
        <f>IF(Allocation2!E189="","",Allocation2!L189)</f>
        <v/>
      </c>
      <c r="J189" t="str">
        <f>IF($A189="","",Allocation2!X189)</f>
        <v/>
      </c>
      <c r="K189" t="str">
        <f>IF($A189="","",$H189*IF(AND(LEFT($D189,3)="BAC",$F189="INIT"),600,IF(LEFT($D189,3)="BAC",480,IF(AND(LEFT($D189,3)="MAS",$F189="INIT"),520,IF(LEFT($D189,3)="MAS",420,IF($F189="INIT",1000,700))))))</f>
        <v/>
      </c>
      <c r="L189" t="str">
        <f>IF($A189="","",SUMIFS($G$1:$G$349,$A$1:$A$349,$A189,$B$1:$B$349,$B189))</f>
        <v/>
      </c>
      <c r="M189" t="str">
        <f>IF($A189="","",SUMIFS($H$1:$H$349,$A$1:$A$349,$A189,$B$1:$B$349,$B189))</f>
        <v/>
      </c>
      <c r="N189" t="str">
        <f>IF($A189="","",SUMIFS($I$1:$I$349,$A$1:$A$349,$A189,$B$1:$B$349,$B189))</f>
        <v/>
      </c>
      <c r="O189" t="str">
        <f>IF($A189="","",SUMIFS($K$1:$K$349,$A$1:$A$349,$A189,$B$1:$B$349,$B189))</f>
        <v/>
      </c>
      <c r="P189" t="str">
        <f>IF($A189="","",SUMIFS($J$1:$J$349,$A$1:$A$349,$A189,$B$1:$B$349,$B189))</f>
        <v/>
      </c>
      <c r="Q189" t="str">
        <f>IF($A189="","",SUMIFS($G$1:$G$349,$A$1:$A$349,$A189,$C$1:$C$349,$C189))</f>
        <v/>
      </c>
      <c r="R189" t="str">
        <f>IF($A189="","",SUMIFS($H$1:$H$349,$A$1:$A$349,$A189,$C$1:$C$349,$C189))</f>
        <v/>
      </c>
      <c r="S189" t="str">
        <f>IF($A189="","",SUMIFS($I$1:$I$349,$A$1:$A$349,$A189,$C$1:$C$349,$C189))</f>
        <v/>
      </c>
      <c r="T189" t="str">
        <f>IF($A189="","",SUMIFS($G$1:$G$349,$A$1:$A$349,$A189))</f>
        <v/>
      </c>
      <c r="U189" t="str">
        <f>IF($A189="","",SUMIFS($H$1:$H$349,$A$1:$A$349,$A189))</f>
        <v/>
      </c>
      <c r="V189" t="str">
        <f>IF($A189="","",SUMIFS($I$1:$I$349,$A$1:$A$349,$A189))</f>
        <v/>
      </c>
      <c r="W189" t="str">
        <f>IF($A189="","",Allocation2!Y189)</f>
        <v/>
      </c>
      <c r="X189" t="str">
        <f>IF($A189="","",Allocation2!Z189)</f>
        <v/>
      </c>
      <c r="Y189" t="str">
        <f>IF($A189="","",Allocation2!AA189)</f>
        <v/>
      </c>
      <c r="Z189" t="str">
        <f>IF($A189="","",Allocation2!AB189)</f>
        <v/>
      </c>
      <c r="AA189" t="str">
        <f>IF($A189="","",Allocation2!AC189)</f>
        <v/>
      </c>
      <c r="AB189" t="str">
        <f>IF($A189="","",Allocation2!AD189)</f>
        <v/>
      </c>
      <c r="AC189" t="str">
        <f>IF($A189="","",IF(ALLOC!$N$4="VOL_EFF",$G189,IF(ALLOC!$N$4="VOL_CLASS",$H189,$I189)))</f>
        <v/>
      </c>
      <c r="AD189" t="str">
        <f>IF($A189="","",IF(ALLOC!$N$4="VOL_EFF",$L189,IF(ALLOC!$N$4="VOL_CLASS",$M189,$N189)))</f>
        <v/>
      </c>
      <c r="AE189" t="str">
        <f>IF($A189="","",IF(ALLOC!$N$3="VOL_EFF",$L189,IF(ALLOC!$N$3="VOL_CLASS",$M189,$N189)))</f>
        <v/>
      </c>
      <c r="AF189" t="str">
        <f>IF($A189="","",IF(ALLOC!$N$3="VOL_EFF",$Q189,IF(ALLOC!$N$3="VOL_CLASS",$R189,$S189)))</f>
        <v/>
      </c>
      <c r="AG189" t="str">
        <f>IF($A189="","",IF(ALLOC!$N$1="VOL_EFF",$Q189,IF(ALLOC!$N$1="VOL_CLASS",$R189,$S189)))</f>
        <v/>
      </c>
      <c r="AH189" t="str">
        <f>IF($A189="","",IF(ALLOC!$N$1="VOL_EFF",$T189,IF(ALLOC!$N$1="VOL_CLASS",$U189,$V189)))</f>
        <v/>
      </c>
      <c r="AI189" t="str">
        <f>IF($A189="","",$W189*IFERROR($K189/$O189,0))</f>
        <v/>
      </c>
      <c r="AJ189" t="str">
        <f>IF($A189="","",$X189*IFERROR($K189/$O189,0))</f>
        <v/>
      </c>
      <c r="AK189" t="str">
        <f>IF($A189="","",$Y189*IFERROR($G189/$L189,0)+$Z189*IFERROR($J189/$P189,0))</f>
        <v/>
      </c>
      <c r="AL189" t="str">
        <f>IF($A189="","",$AA189*IFERROR($AC189/$AD189,0))</f>
        <v/>
      </c>
      <c r="AM189" t="str">
        <f>IF($A189="","",$AB189*IFERROR($AG189/$AH189,0)*IFERROR($AE189/$AF189,0)*IFERROR($AC189/$AD189,0))</f>
        <v/>
      </c>
      <c r="AN189" t="str">
        <f>IF($A189="","",$I189-($AI189+$AJ189+$AK189+$AL189+$AM189+$AR189))</f>
        <v/>
      </c>
      <c r="AO189" t="str">
        <f>IF($A189="","",Allocation2!AE189)</f>
        <v/>
      </c>
      <c r="AP189" t="str">
        <f>IF($A189="","",IF(ALLOC!$N$2="VOL_EFF",$Q189,IF(ALLOC!$N$2="VOL_CLASS",$R189,$S189)))</f>
        <v/>
      </c>
      <c r="AQ189" t="str">
        <f>IF($A189="","",IF(ALLOC!$N$2="VOL_EFF",$T189,IF(ALLOC!$N$2="VOL_CLASS",$U189,$V189)))</f>
        <v/>
      </c>
      <c r="AR189" t="str">
        <f>IF($A189="","",$AO189*IFERROR($AP189/$AQ189,0)*IFERROR($AE189/$AF189,0)*IFERROR($AC189/$AD189,0))</f>
        <v/>
      </c>
    </row>
    <row r="190" spans="1:46" x14ac:dyDescent="0.45">
      <c r="A190" t="str">
        <f>IF(Allocation2!D190="","",Allocation2!D190)</f>
        <v/>
      </c>
      <c r="B190" t="str">
        <f>IF(Allocation2!E190="","",Allocation2!E190)</f>
        <v/>
      </c>
      <c r="C190" t="str">
        <f>IF(Allocation2!F190="","",Allocation2!F190)</f>
        <v/>
      </c>
      <c r="D190" t="str">
        <f>IF(Allocation2!G190="","",Allocation2!G190)</f>
        <v/>
      </c>
      <c r="E190" t="str">
        <f>IF(Allocation2!H190="","",Allocation2!H190)</f>
        <v/>
      </c>
      <c r="F190" t="str">
        <f>IF(Allocation2!I190="","",Allocation2!I190)</f>
        <v/>
      </c>
      <c r="G190" t="str">
        <f>IF(Allocation2!E190="","",Allocation2!J190)</f>
        <v/>
      </c>
      <c r="H190" t="str">
        <f>IF(Allocation2!E190="","",Allocation2!K190)</f>
        <v/>
      </c>
      <c r="I190" t="str">
        <f>IF(Allocation2!E190="","",Allocation2!L190)</f>
        <v/>
      </c>
      <c r="J190" t="str">
        <f>IF($A190="","",Allocation2!X190)</f>
        <v/>
      </c>
      <c r="K190" t="str">
        <f>IF($A190="","",$H190*IF(AND(LEFT($D190,3)="BAC",$F190="INIT"),600,IF(LEFT($D190,3)="BAC",480,IF(AND(LEFT($D190,3)="MAS",$F190="INIT"),520,IF(LEFT($D190,3)="MAS",420,IF($F190="INIT",1000,700))))))</f>
        <v/>
      </c>
      <c r="L190" t="str">
        <f>IF($A190="","",SUMIFS($G$1:$G$349,$A$1:$A$349,$A190,$B$1:$B$349,$B190))</f>
        <v/>
      </c>
      <c r="M190" t="str">
        <f>IF($A190="","",SUMIFS($H$1:$H$349,$A$1:$A$349,$A190,$B$1:$B$349,$B190))</f>
        <v/>
      </c>
      <c r="N190" t="str">
        <f>IF($A190="","",SUMIFS($I$1:$I$349,$A$1:$A$349,$A190,$B$1:$B$349,$B190))</f>
        <v/>
      </c>
      <c r="O190" t="str">
        <f>IF($A190="","",SUMIFS($K$1:$K$349,$A$1:$A$349,$A190,$B$1:$B$349,$B190))</f>
        <v/>
      </c>
      <c r="P190" t="str">
        <f>IF($A190="","",SUMIFS($J$1:$J$349,$A$1:$A$349,$A190,$B$1:$B$349,$B190))</f>
        <v/>
      </c>
      <c r="Q190" t="str">
        <f>IF($A190="","",SUMIFS($G$1:$G$349,$A$1:$A$349,$A190,$C$1:$C$349,$C190))</f>
        <v/>
      </c>
      <c r="R190" t="str">
        <f>IF($A190="","",SUMIFS($H$1:$H$349,$A$1:$A$349,$A190,$C$1:$C$349,$C190))</f>
        <v/>
      </c>
      <c r="S190" t="str">
        <f>IF($A190="","",SUMIFS($I$1:$I$349,$A$1:$A$349,$A190,$C$1:$C$349,$C190))</f>
        <v/>
      </c>
      <c r="T190" t="str">
        <f>IF($A190="","",SUMIFS($G$1:$G$349,$A$1:$A$349,$A190))</f>
        <v/>
      </c>
      <c r="U190" t="str">
        <f>IF($A190="","",SUMIFS($H$1:$H$349,$A$1:$A$349,$A190))</f>
        <v/>
      </c>
      <c r="V190" t="str">
        <f>IF($A190="","",SUMIFS($I$1:$I$349,$A$1:$A$349,$A190))</f>
        <v/>
      </c>
      <c r="W190" t="str">
        <f>IF($A190="","",Allocation2!Y190)</f>
        <v/>
      </c>
      <c r="X190" t="str">
        <f>IF($A190="","",Allocation2!Z190)</f>
        <v/>
      </c>
      <c r="Y190" t="str">
        <f>IF($A190="","",Allocation2!AA190)</f>
        <v/>
      </c>
      <c r="Z190" t="str">
        <f>IF($A190="","",Allocation2!AB190)</f>
        <v/>
      </c>
      <c r="AA190" t="str">
        <f>IF($A190="","",Allocation2!AC190)</f>
        <v/>
      </c>
      <c r="AB190" t="str">
        <f>IF($A190="","",Allocation2!AD190)</f>
        <v/>
      </c>
      <c r="AC190" t="str">
        <f>IF($A190="","",IF(ALLOC!$N$4="VOL_EFF",$G190,IF(ALLOC!$N$4="VOL_CLASS",$H190,$I190)))</f>
        <v/>
      </c>
      <c r="AD190" t="str">
        <f>IF($A190="","",IF(ALLOC!$N$4="VOL_EFF",$L190,IF(ALLOC!$N$4="VOL_CLASS",$M190,$N190)))</f>
        <v/>
      </c>
      <c r="AE190" t="str">
        <f>IF($A190="","",IF(ALLOC!$N$3="VOL_EFF",$L190,IF(ALLOC!$N$3="VOL_CLASS",$M190,$N190)))</f>
        <v/>
      </c>
      <c r="AF190" t="str">
        <f>IF($A190="","",IF(ALLOC!$N$3="VOL_EFF",$Q190,IF(ALLOC!$N$3="VOL_CLASS",$R190,$S190)))</f>
        <v/>
      </c>
      <c r="AG190" t="str">
        <f>IF($A190="","",IF(ALLOC!$N$1="VOL_EFF",$Q190,IF(ALLOC!$N$1="VOL_CLASS",$R190,$S190)))</f>
        <v/>
      </c>
      <c r="AH190" t="str">
        <f>IF($A190="","",IF(ALLOC!$N$1="VOL_EFF",$T190,IF(ALLOC!$N$1="VOL_CLASS",$U190,$V190)))</f>
        <v/>
      </c>
      <c r="AI190" t="str">
        <f>IF($A190="","",$W190*IFERROR($K190/$O190,0))</f>
        <v/>
      </c>
      <c r="AJ190" t="str">
        <f>IF($A190="","",$X190*IFERROR($K190/$O190,0))</f>
        <v/>
      </c>
      <c r="AK190" t="str">
        <f>IF($A190="","",$Y190*IFERROR($G190/$L190,0)+$Z190*IFERROR($J190/$P190,0))</f>
        <v/>
      </c>
      <c r="AL190" t="str">
        <f>IF($A190="","",$AA190*IFERROR($AC190/$AD190,0))</f>
        <v/>
      </c>
      <c r="AM190" t="str">
        <f>IF($A190="","",$AB190*IFERROR($AG190/$AH190,0)*IFERROR($AE190/$AF190,0)*IFERROR($AC190/$AD190,0))</f>
        <v/>
      </c>
      <c r="AN190" t="str">
        <f>IF($A190="","",$I190-($AI190+$AJ190+$AK190+$AL190+$AM190+$AR190))</f>
        <v/>
      </c>
      <c r="AO190" t="str">
        <f>IF($A190="","",Allocation2!AE190)</f>
        <v/>
      </c>
      <c r="AP190" t="str">
        <f>IF($A190="","",IF(ALLOC!$N$2="VOL_EFF",$Q190,IF(ALLOC!$N$2="VOL_CLASS",$R190,$S190)))</f>
        <v/>
      </c>
      <c r="AQ190" t="str">
        <f>IF($A190="","",IF(ALLOC!$N$2="VOL_EFF",$T190,IF(ALLOC!$N$2="VOL_CLASS",$U190,$V190)))</f>
        <v/>
      </c>
      <c r="AR190" t="str">
        <f>IF($A190="","",$AO190*IFERROR($AP190/$AQ190,0)*IFERROR($AE190/$AF190,0)*IFERROR($AC190/$AD190,0))</f>
        <v/>
      </c>
    </row>
    <row r="191" spans="1:46" x14ac:dyDescent="0.45">
      <c r="A191" t="str">
        <f>IF(Allocation2!D191="","",Allocation2!D191)</f>
        <v/>
      </c>
      <c r="B191" t="str">
        <f>IF(Allocation2!E191="","",Allocation2!E191)</f>
        <v/>
      </c>
      <c r="C191" t="str">
        <f>IF(Allocation2!F191="","",Allocation2!F191)</f>
        <v/>
      </c>
      <c r="D191" t="str">
        <f>IF(Allocation2!G191="","",Allocation2!G191)</f>
        <v/>
      </c>
      <c r="E191" t="str">
        <f>IF(Allocation2!H191="","",Allocation2!H191)</f>
        <v/>
      </c>
      <c r="F191" t="str">
        <f>IF(Allocation2!I191="","",Allocation2!I191)</f>
        <v/>
      </c>
      <c r="G191" t="str">
        <f>IF(Allocation2!E191="","",Allocation2!J191)</f>
        <v/>
      </c>
      <c r="H191" t="str">
        <f>IF(Allocation2!E191="","",Allocation2!K191)</f>
        <v/>
      </c>
      <c r="I191" t="str">
        <f>IF(Allocation2!E191="","",Allocation2!L191)</f>
        <v/>
      </c>
      <c r="J191" t="str">
        <f>IF($A191="","",Allocation2!X191)</f>
        <v/>
      </c>
      <c r="K191" t="str">
        <f>IF($A191="","",$H191*IF(AND(LEFT($D191,3)="BAC",$F191="INIT"),600,IF(LEFT($D191,3)="BAC",480,IF(AND(LEFT($D191,3)="MAS",$F191="INIT"),520,IF(LEFT($D191,3)="MAS",420,IF($F191="INIT",1000,700))))))</f>
        <v/>
      </c>
      <c r="L191" t="str">
        <f>IF($A191="","",SUMIFS($G$1:$G$349,$A$1:$A$349,$A191,$B$1:$B$349,$B191))</f>
        <v/>
      </c>
      <c r="M191" t="str">
        <f>IF($A191="","",SUMIFS($H$1:$H$349,$A$1:$A$349,$A191,$B$1:$B$349,$B191))</f>
        <v/>
      </c>
      <c r="N191" t="str">
        <f>IF($A191="","",SUMIFS($I$1:$I$349,$A$1:$A$349,$A191,$B$1:$B$349,$B191))</f>
        <v/>
      </c>
      <c r="O191" t="str">
        <f>IF($A191="","",SUMIFS($K$1:$K$349,$A$1:$A$349,$A191,$B$1:$B$349,$B191))</f>
        <v/>
      </c>
      <c r="P191" t="str">
        <f>IF($A191="","",SUMIFS($J$1:$J$349,$A$1:$A$349,$A191,$B$1:$B$349,$B191))</f>
        <v/>
      </c>
      <c r="Q191" t="str">
        <f>IF($A191="","",SUMIFS($G$1:$G$349,$A$1:$A$349,$A191,$C$1:$C$349,$C191))</f>
        <v/>
      </c>
      <c r="R191" t="str">
        <f>IF($A191="","",SUMIFS($H$1:$H$349,$A$1:$A$349,$A191,$C$1:$C$349,$C191))</f>
        <v/>
      </c>
      <c r="S191" t="str">
        <f>IF($A191="","",SUMIFS($I$1:$I$349,$A$1:$A$349,$A191,$C$1:$C$349,$C191))</f>
        <v/>
      </c>
      <c r="T191" t="str">
        <f>IF($A191="","",SUMIFS($G$1:$G$349,$A$1:$A$349,$A191))</f>
        <v/>
      </c>
      <c r="U191" t="str">
        <f>IF($A191="","",SUMIFS($H$1:$H$349,$A$1:$A$349,$A191))</f>
        <v/>
      </c>
      <c r="V191" t="str">
        <f>IF($A191="","",SUMIFS($I$1:$I$349,$A$1:$A$349,$A191))</f>
        <v/>
      </c>
      <c r="W191" t="str">
        <f>IF($A191="","",Allocation2!Y191)</f>
        <v/>
      </c>
      <c r="X191" t="str">
        <f>IF($A191="","",Allocation2!Z191)</f>
        <v/>
      </c>
      <c r="Y191" t="str">
        <f>IF($A191="","",Allocation2!AA191)</f>
        <v/>
      </c>
      <c r="Z191" t="str">
        <f>IF($A191="","",Allocation2!AB191)</f>
        <v/>
      </c>
      <c r="AA191" t="str">
        <f>IF($A191="","",Allocation2!AC191)</f>
        <v/>
      </c>
      <c r="AB191" t="str">
        <f>IF($A191="","",Allocation2!AD191)</f>
        <v/>
      </c>
      <c r="AC191" t="str">
        <f>IF($A191="","",IF(ALLOC!$N$4="VOL_EFF",$G191,IF(ALLOC!$N$4="VOL_CLASS",$H191,$I191)))</f>
        <v/>
      </c>
      <c r="AD191" t="str">
        <f>IF($A191="","",IF(ALLOC!$N$4="VOL_EFF",$L191,IF(ALLOC!$N$4="VOL_CLASS",$M191,$N191)))</f>
        <v/>
      </c>
      <c r="AE191" t="str">
        <f>IF($A191="","",IF(ALLOC!$N$3="VOL_EFF",$L191,IF(ALLOC!$N$3="VOL_CLASS",$M191,$N191)))</f>
        <v/>
      </c>
      <c r="AF191" t="str">
        <f>IF($A191="","",IF(ALLOC!$N$3="VOL_EFF",$Q191,IF(ALLOC!$N$3="VOL_CLASS",$R191,$S191)))</f>
        <v/>
      </c>
      <c r="AG191" t="str">
        <f>IF($A191="","",IF(ALLOC!$N$1="VOL_EFF",$Q191,IF(ALLOC!$N$1="VOL_CLASS",$R191,$S191)))</f>
        <v/>
      </c>
      <c r="AH191" t="str">
        <f>IF($A191="","",IF(ALLOC!$N$1="VOL_EFF",$T191,IF(ALLOC!$N$1="VOL_CLASS",$U191,$V191)))</f>
        <v/>
      </c>
      <c r="AI191" t="str">
        <f>IF($A191="","",$W191*IFERROR($K191/$O191,0))</f>
        <v/>
      </c>
      <c r="AJ191" t="str">
        <f>IF($A191="","",$X191*IFERROR($K191/$O191,0))</f>
        <v/>
      </c>
      <c r="AK191" t="str">
        <f>IF($A191="","",$Y191*IFERROR($G191/$L191,0)+$Z191*IFERROR($J191/$P191,0))</f>
        <v/>
      </c>
      <c r="AL191" t="str">
        <f>IF($A191="","",$AA191*IFERROR($AC191/$AD191,0))</f>
        <v/>
      </c>
      <c r="AM191" t="str">
        <f>IF($A191="","",$AB191*IFERROR($AG191/$AH191,0)*IFERROR($AE191/$AF191,0)*IFERROR($AC191/$AD191,0))</f>
        <v/>
      </c>
      <c r="AN191" t="str">
        <f>IF($A191="","",$I191-($AI191+$AJ191+$AK191+$AL191+$AM191+$AR191))</f>
        <v/>
      </c>
      <c r="AO191" t="str">
        <f>IF($A191="","",Allocation2!AE191)</f>
        <v/>
      </c>
      <c r="AP191" t="str">
        <f>IF($A191="","",IF(ALLOC!$N$2="VOL_EFF",$Q191,IF(ALLOC!$N$2="VOL_CLASS",$R191,$S191)))</f>
        <v/>
      </c>
      <c r="AQ191" t="str">
        <f>IF($A191="","",IF(ALLOC!$N$2="VOL_EFF",$T191,IF(ALLOC!$N$2="VOL_CLASS",$U191,$V191)))</f>
        <v/>
      </c>
      <c r="AR191" t="str">
        <f>IF($A191="","",$AO191*IFERROR($AP191/$AQ191,0)*IFERROR($AE191/$AF191,0)*IFERROR($AC191/$AD191,0))</f>
        <v/>
      </c>
    </row>
    <row r="192" spans="1:46" x14ac:dyDescent="0.45">
      <c r="A192" t="str">
        <f>IF(Allocation2!D192="","",Allocation2!D192)</f>
        <v/>
      </c>
      <c r="B192" t="str">
        <f>IF(Allocation2!E192="","",Allocation2!E192)</f>
        <v/>
      </c>
      <c r="C192" t="str">
        <f>IF(Allocation2!F192="","",Allocation2!F192)</f>
        <v/>
      </c>
      <c r="D192" t="str">
        <f>IF(Allocation2!G192="","",Allocation2!G192)</f>
        <v/>
      </c>
      <c r="E192" t="str">
        <f>IF(Allocation2!H192="","",Allocation2!H192)</f>
        <v/>
      </c>
      <c r="F192" t="str">
        <f>IF(Allocation2!I192="","",Allocation2!I192)</f>
        <v/>
      </c>
      <c r="G192" t="str">
        <f>IF(Allocation2!E192="","",Allocation2!J192)</f>
        <v/>
      </c>
      <c r="H192" t="str">
        <f>IF(Allocation2!E192="","",Allocation2!K192)</f>
        <v/>
      </c>
      <c r="I192" t="str">
        <f>IF(Allocation2!E192="","",Allocation2!L192)</f>
        <v/>
      </c>
      <c r="J192" t="str">
        <f>IF($A192="","",Allocation2!X192)</f>
        <v/>
      </c>
      <c r="K192" t="str">
        <f>IF($A192="","",$H192*IF(AND(LEFT($D192,3)="BAC",$F192="INIT"),600,IF(LEFT($D192,3)="BAC",480,IF(AND(LEFT($D192,3)="MAS",$F192="INIT"),520,IF(LEFT($D192,3)="MAS",420,IF($F192="INIT",1000,700))))))</f>
        <v/>
      </c>
      <c r="L192" t="str">
        <f>IF($A192="","",SUMIFS($G$1:$G$349,$A$1:$A$349,$A192,$B$1:$B$349,$B192))</f>
        <v/>
      </c>
      <c r="M192" t="str">
        <f>IF($A192="","",SUMIFS($H$1:$H$349,$A$1:$A$349,$A192,$B$1:$B$349,$B192))</f>
        <v/>
      </c>
      <c r="N192" t="str">
        <f>IF($A192="","",SUMIFS($I$1:$I$349,$A$1:$A$349,$A192,$B$1:$B$349,$B192))</f>
        <v/>
      </c>
      <c r="O192" t="str">
        <f>IF($A192="","",SUMIFS($K$1:$K$349,$A$1:$A$349,$A192,$B$1:$B$349,$B192))</f>
        <v/>
      </c>
      <c r="P192" t="str">
        <f>IF($A192="","",SUMIFS($J$1:$J$349,$A$1:$A$349,$A192,$B$1:$B$349,$B192))</f>
        <v/>
      </c>
      <c r="Q192" t="str">
        <f>IF($A192="","",SUMIFS($G$1:$G$349,$A$1:$A$349,$A192,$C$1:$C$349,$C192))</f>
        <v/>
      </c>
      <c r="R192" t="str">
        <f>IF($A192="","",SUMIFS($H$1:$H$349,$A$1:$A$349,$A192,$C$1:$C$349,$C192))</f>
        <v/>
      </c>
      <c r="S192" t="str">
        <f>IF($A192="","",SUMIFS($I$1:$I$349,$A$1:$A$349,$A192,$C$1:$C$349,$C192))</f>
        <v/>
      </c>
      <c r="T192" t="str">
        <f>IF($A192="","",SUMIFS($G$1:$G$349,$A$1:$A$349,$A192))</f>
        <v/>
      </c>
      <c r="U192" t="str">
        <f>IF($A192="","",SUMIFS($H$1:$H$349,$A$1:$A$349,$A192))</f>
        <v/>
      </c>
      <c r="V192" t="str">
        <f>IF($A192="","",SUMIFS($I$1:$I$349,$A$1:$A$349,$A192))</f>
        <v/>
      </c>
      <c r="W192" t="str">
        <f>IF($A192="","",Allocation2!Y192)</f>
        <v/>
      </c>
      <c r="X192" t="str">
        <f>IF($A192="","",Allocation2!Z192)</f>
        <v/>
      </c>
      <c r="Y192" t="str">
        <f>IF($A192="","",Allocation2!AA192)</f>
        <v/>
      </c>
      <c r="Z192" t="str">
        <f>IF($A192="","",Allocation2!AB192)</f>
        <v/>
      </c>
      <c r="AA192" t="str">
        <f>IF($A192="","",Allocation2!AC192)</f>
        <v/>
      </c>
      <c r="AB192" t="str">
        <f>IF($A192="","",Allocation2!AD192)</f>
        <v/>
      </c>
      <c r="AC192" t="str">
        <f>IF($A192="","",IF(ALLOC!$N$4="VOL_EFF",$G192,IF(ALLOC!$N$4="VOL_CLASS",$H192,$I192)))</f>
        <v/>
      </c>
      <c r="AD192" t="str">
        <f>IF($A192="","",IF(ALLOC!$N$4="VOL_EFF",$L192,IF(ALLOC!$N$4="VOL_CLASS",$M192,$N192)))</f>
        <v/>
      </c>
      <c r="AE192" t="str">
        <f>IF($A192="","",IF(ALLOC!$N$3="VOL_EFF",$L192,IF(ALLOC!$N$3="VOL_CLASS",$M192,$N192)))</f>
        <v/>
      </c>
      <c r="AF192" t="str">
        <f>IF($A192="","",IF(ALLOC!$N$3="VOL_EFF",$Q192,IF(ALLOC!$N$3="VOL_CLASS",$R192,$S192)))</f>
        <v/>
      </c>
      <c r="AG192" t="str">
        <f>IF($A192="","",IF(ALLOC!$N$1="VOL_EFF",$Q192,IF(ALLOC!$N$1="VOL_CLASS",$R192,$S192)))</f>
        <v/>
      </c>
      <c r="AH192" t="str">
        <f>IF($A192="","",IF(ALLOC!$N$1="VOL_EFF",$T192,IF(ALLOC!$N$1="VOL_CLASS",$U192,$V192)))</f>
        <v/>
      </c>
      <c r="AI192" t="str">
        <f>IF($A192="","",$W192*IFERROR($K192/$O192,0))</f>
        <v/>
      </c>
      <c r="AJ192" t="str">
        <f>IF($A192="","",$X192*IFERROR($K192/$O192,0))</f>
        <v/>
      </c>
      <c r="AK192" t="str">
        <f>IF($A192="","",$Y192*IFERROR($G192/$L192,0)+$Z192*IFERROR($J192/$P192,0))</f>
        <v/>
      </c>
      <c r="AL192" t="str">
        <f>IF($A192="","",$AA192*IFERROR($AC192/$AD192,0))</f>
        <v/>
      </c>
      <c r="AM192" t="str">
        <f>IF($A192="","",$AB192*IFERROR($AG192/$AH192,0)*IFERROR($AE192/$AF192,0)*IFERROR($AC192/$AD192,0))</f>
        <v/>
      </c>
      <c r="AN192" t="str">
        <f>IF($A192="","",$I192-($AI192+$AJ192+$AK192+$AL192+$AM192+$AR192))</f>
        <v/>
      </c>
      <c r="AO192" t="str">
        <f>IF($A192="","",Allocation2!AE192)</f>
        <v/>
      </c>
      <c r="AP192" t="str">
        <f>IF($A192="","",IF(ALLOC!$N$2="VOL_EFF",$Q192,IF(ALLOC!$N$2="VOL_CLASS",$R192,$S192)))</f>
        <v/>
      </c>
      <c r="AQ192" t="str">
        <f>IF($A192="","",IF(ALLOC!$N$2="VOL_EFF",$T192,IF(ALLOC!$N$2="VOL_CLASS",$U192,$V192)))</f>
        <v/>
      </c>
      <c r="AR192" t="str">
        <f>IF($A192="","",$AO192*IFERROR($AP192/$AQ192,0)*IFERROR($AE192/$AF192,0)*IFERROR($AC192/$AD192,0))</f>
        <v/>
      </c>
    </row>
    <row r="193" spans="1:46" x14ac:dyDescent="0.45">
      <c r="A193" t="str">
        <f>IF(Allocation2!D193="","",Allocation2!D193)</f>
        <v/>
      </c>
      <c r="B193" t="str">
        <f>IF(Allocation2!E193="","",Allocation2!E193)</f>
        <v/>
      </c>
      <c r="C193" t="str">
        <f>IF(Allocation2!F193="","",Allocation2!F193)</f>
        <v/>
      </c>
      <c r="D193" t="str">
        <f>IF(Allocation2!G193="","",Allocation2!G193)</f>
        <v/>
      </c>
      <c r="E193" t="str">
        <f>IF(Allocation2!H193="","",Allocation2!H193)</f>
        <v/>
      </c>
      <c r="F193" t="str">
        <f>IF(Allocation2!I193="","",Allocation2!I193)</f>
        <v/>
      </c>
      <c r="G193" t="str">
        <f>IF(Allocation2!E193="","",Allocation2!J193)</f>
        <v/>
      </c>
      <c r="H193" t="str">
        <f>IF(Allocation2!E193="","",Allocation2!K193)</f>
        <v/>
      </c>
      <c r="I193" t="str">
        <f>IF(Allocation2!E193="","",Allocation2!L193)</f>
        <v/>
      </c>
      <c r="J193" t="str">
        <f>IF($A193="","",Allocation2!X193)</f>
        <v/>
      </c>
      <c r="K193" t="str">
        <f>IF($A193="","",$H193*IF(AND(LEFT($D193,3)="BAC",$F193="INIT"),600,IF(LEFT($D193,3)="BAC",480,IF(AND(LEFT($D193,3)="MAS",$F193="INIT"),520,IF(LEFT($D193,3)="MAS",420,IF($F193="INIT",1000,700))))))</f>
        <v/>
      </c>
      <c r="L193" t="str">
        <f>IF($A193="","",SUMIFS($G$1:$G$349,$A$1:$A$349,$A193,$B$1:$B$349,$B193))</f>
        <v/>
      </c>
      <c r="M193" t="str">
        <f>IF($A193="","",SUMIFS($H$1:$H$349,$A$1:$A$349,$A193,$B$1:$B$349,$B193))</f>
        <v/>
      </c>
      <c r="N193" t="str">
        <f>IF($A193="","",SUMIFS($I$1:$I$349,$A$1:$A$349,$A193,$B$1:$B$349,$B193))</f>
        <v/>
      </c>
      <c r="O193" t="str">
        <f>IF($A193="","",SUMIFS($K$1:$K$349,$A$1:$A$349,$A193,$B$1:$B$349,$B193))</f>
        <v/>
      </c>
      <c r="P193" t="str">
        <f>IF($A193="","",SUMIFS($J$1:$J$349,$A$1:$A$349,$A193,$B$1:$B$349,$B193))</f>
        <v/>
      </c>
      <c r="Q193" t="str">
        <f>IF($A193="","",SUMIFS($G$1:$G$349,$A$1:$A$349,$A193,$C$1:$C$349,$C193))</f>
        <v/>
      </c>
      <c r="R193" t="str">
        <f>IF($A193="","",SUMIFS($H$1:$H$349,$A$1:$A$349,$A193,$C$1:$C$349,$C193))</f>
        <v/>
      </c>
      <c r="S193" t="str">
        <f>IF($A193="","",SUMIFS($I$1:$I$349,$A$1:$A$349,$A193,$C$1:$C$349,$C193))</f>
        <v/>
      </c>
      <c r="T193" t="str">
        <f>IF($A193="","",SUMIFS($G$1:$G$349,$A$1:$A$349,$A193))</f>
        <v/>
      </c>
      <c r="U193" t="str">
        <f>IF($A193="","",SUMIFS($H$1:$H$349,$A$1:$A$349,$A193))</f>
        <v/>
      </c>
      <c r="V193" t="str">
        <f>IF($A193="","",SUMIFS($I$1:$I$349,$A$1:$A$349,$A193))</f>
        <v/>
      </c>
      <c r="W193" t="str">
        <f>IF($A193="","",Allocation2!Y193)</f>
        <v/>
      </c>
      <c r="X193" t="str">
        <f>IF($A193="","",Allocation2!Z193)</f>
        <v/>
      </c>
      <c r="Y193" t="str">
        <f>IF($A193="","",Allocation2!AA193)</f>
        <v/>
      </c>
      <c r="Z193" t="str">
        <f>IF($A193="","",Allocation2!AB193)</f>
        <v/>
      </c>
      <c r="AA193" t="str">
        <f>IF($A193="","",Allocation2!AC193)</f>
        <v/>
      </c>
      <c r="AB193" t="str">
        <f>IF($A193="","",Allocation2!AD193)</f>
        <v/>
      </c>
      <c r="AC193" t="str">
        <f>IF($A193="","",IF(ALLOC!$N$4="VOL_EFF",$G193,IF(ALLOC!$N$4="VOL_CLASS",$H193,$I193)))</f>
        <v/>
      </c>
      <c r="AD193" t="str">
        <f>IF($A193="","",IF(ALLOC!$N$4="VOL_EFF",$L193,IF(ALLOC!$N$4="VOL_CLASS",$M193,$N193)))</f>
        <v/>
      </c>
      <c r="AE193" t="str">
        <f>IF($A193="","",IF(ALLOC!$N$3="VOL_EFF",$L193,IF(ALLOC!$N$3="VOL_CLASS",$M193,$N193)))</f>
        <v/>
      </c>
      <c r="AF193" t="str">
        <f>IF($A193="","",IF(ALLOC!$N$3="VOL_EFF",$Q193,IF(ALLOC!$N$3="VOL_CLASS",$R193,$S193)))</f>
        <v/>
      </c>
      <c r="AG193" t="str">
        <f>IF($A193="","",IF(ALLOC!$N$1="VOL_EFF",$Q193,IF(ALLOC!$N$1="VOL_CLASS",$R193,$S193)))</f>
        <v/>
      </c>
      <c r="AH193" t="str">
        <f>IF($A193="","",IF(ALLOC!$N$1="VOL_EFF",$T193,IF(ALLOC!$N$1="VOL_CLASS",$U193,$V193)))</f>
        <v/>
      </c>
      <c r="AI193" t="str">
        <f>IF($A193="","",$W193*IFERROR($K193/$O193,0))</f>
        <v/>
      </c>
      <c r="AJ193" t="str">
        <f>IF($A193="","",$X193*IFERROR($K193/$O193,0))</f>
        <v/>
      </c>
      <c r="AK193" t="str">
        <f>IF($A193="","",$Y193*IFERROR($G193/$L193,0)+$Z193*IFERROR($J193/$P193,0))</f>
        <v/>
      </c>
      <c r="AL193" t="str">
        <f>IF($A193="","",$AA193*IFERROR($AC193/$AD193,0))</f>
        <v/>
      </c>
      <c r="AM193" t="str">
        <f>IF($A193="","",$AB193*IFERROR($AG193/$AH193,0)*IFERROR($AE193/$AF193,0)*IFERROR($AC193/$AD193,0))</f>
        <v/>
      </c>
      <c r="AN193" t="str">
        <f>IF($A193="","",$I193-($AI193+$AJ193+$AK193+$AL193+$AM193+$AR193))</f>
        <v/>
      </c>
      <c r="AO193" t="str">
        <f>IF($A193="","",Allocation2!AE193)</f>
        <v/>
      </c>
      <c r="AP193" t="str">
        <f>IF($A193="","",IF(ALLOC!$N$2="VOL_EFF",$Q193,IF(ALLOC!$N$2="VOL_CLASS",$R193,$S193)))</f>
        <v/>
      </c>
      <c r="AQ193" t="str">
        <f>IF($A193="","",IF(ALLOC!$N$2="VOL_EFF",$T193,IF(ALLOC!$N$2="VOL_CLASS",$U193,$V193)))</f>
        <v/>
      </c>
      <c r="AR193" t="str">
        <f>IF($A193="","",$AO193*IFERROR($AP193/$AQ193,0)*IFERROR($AE193/$AF193,0)*IFERROR($AC193/$AD193,0))</f>
        <v/>
      </c>
    </row>
    <row r="194" spans="1:46" x14ac:dyDescent="0.45">
      <c r="A194" t="str">
        <f>IF(Allocation2!D194="","",Allocation2!D194)</f>
        <v/>
      </c>
      <c r="B194" t="str">
        <f>IF(Allocation2!E194="","",Allocation2!E194)</f>
        <v/>
      </c>
      <c r="C194" t="str">
        <f>IF(Allocation2!F194="","",Allocation2!F194)</f>
        <v/>
      </c>
      <c r="D194" t="str">
        <f>IF(Allocation2!G194="","",Allocation2!G194)</f>
        <v/>
      </c>
      <c r="E194" t="str">
        <f>IF(Allocation2!H194="","",Allocation2!H194)</f>
        <v/>
      </c>
      <c r="F194" t="str">
        <f>IF(Allocation2!I194="","",Allocation2!I194)</f>
        <v/>
      </c>
      <c r="G194" t="str">
        <f>IF(Allocation2!E194="","",Allocation2!J194)</f>
        <v/>
      </c>
      <c r="H194" t="str">
        <f>IF(Allocation2!E194="","",Allocation2!K194)</f>
        <v/>
      </c>
      <c r="I194" t="str">
        <f>IF(Allocation2!E194="","",Allocation2!L194)</f>
        <v/>
      </c>
      <c r="J194" t="str">
        <f>IF($A194="","",Allocation2!X194)</f>
        <v/>
      </c>
      <c r="K194" t="str">
        <f>IF($A194="","",$H194*IF(AND(LEFT($D194,3)="BAC",$F194="INIT"),600,IF(LEFT($D194,3)="BAC",480,IF(AND(LEFT($D194,3)="MAS",$F194="INIT"),520,IF(LEFT($D194,3)="MAS",420,IF($F194="INIT",1000,700))))))</f>
        <v/>
      </c>
      <c r="L194" t="str">
        <f>IF($A194="","",SUMIFS($G$1:$G$349,$A$1:$A$349,$A194,$B$1:$B$349,$B194))</f>
        <v/>
      </c>
      <c r="M194" t="str">
        <f>IF($A194="","",SUMIFS($H$1:$H$349,$A$1:$A$349,$A194,$B$1:$B$349,$B194))</f>
        <v/>
      </c>
      <c r="N194" t="str">
        <f>IF($A194="","",SUMIFS($I$1:$I$349,$A$1:$A$349,$A194,$B$1:$B$349,$B194))</f>
        <v/>
      </c>
      <c r="O194" t="str">
        <f>IF($A194="","",SUMIFS($K$1:$K$349,$A$1:$A$349,$A194,$B$1:$B$349,$B194))</f>
        <v/>
      </c>
      <c r="P194" t="str">
        <f>IF($A194="","",SUMIFS($J$1:$J$349,$A$1:$A$349,$A194,$B$1:$B$349,$B194))</f>
        <v/>
      </c>
      <c r="Q194" t="str">
        <f>IF($A194="","",SUMIFS($G$1:$G$349,$A$1:$A$349,$A194,$C$1:$C$349,$C194))</f>
        <v/>
      </c>
      <c r="R194" t="str">
        <f>IF($A194="","",SUMIFS($H$1:$H$349,$A$1:$A$349,$A194,$C$1:$C$349,$C194))</f>
        <v/>
      </c>
      <c r="S194" t="str">
        <f>IF($A194="","",SUMIFS($I$1:$I$349,$A$1:$A$349,$A194,$C$1:$C$349,$C194))</f>
        <v/>
      </c>
      <c r="T194" t="str">
        <f>IF($A194="","",SUMIFS($G$1:$G$349,$A$1:$A$349,$A194))</f>
        <v/>
      </c>
      <c r="U194" t="str">
        <f>IF($A194="","",SUMIFS($H$1:$H$349,$A$1:$A$349,$A194))</f>
        <v/>
      </c>
      <c r="V194" t="str">
        <f>IF($A194="","",SUMIFS($I$1:$I$349,$A$1:$A$349,$A194))</f>
        <v/>
      </c>
      <c r="W194" t="str">
        <f>IF($A194="","",Allocation2!Y194)</f>
        <v/>
      </c>
      <c r="X194" t="str">
        <f>IF($A194="","",Allocation2!Z194)</f>
        <v/>
      </c>
      <c r="Y194" t="str">
        <f>IF($A194="","",Allocation2!AA194)</f>
        <v/>
      </c>
      <c r="Z194" t="str">
        <f>IF($A194="","",Allocation2!AB194)</f>
        <v/>
      </c>
      <c r="AA194" t="str">
        <f>IF($A194="","",Allocation2!AC194)</f>
        <v/>
      </c>
      <c r="AB194" t="str">
        <f>IF($A194="","",Allocation2!AD194)</f>
        <v/>
      </c>
      <c r="AC194" t="str">
        <f>IF($A194="","",IF(ALLOC!$N$4="VOL_EFF",$G194,IF(ALLOC!$N$4="VOL_CLASS",$H194,$I194)))</f>
        <v/>
      </c>
      <c r="AD194" t="str">
        <f>IF($A194="","",IF(ALLOC!$N$4="VOL_EFF",$L194,IF(ALLOC!$N$4="VOL_CLASS",$M194,$N194)))</f>
        <v/>
      </c>
      <c r="AE194" t="str">
        <f>IF($A194="","",IF(ALLOC!$N$3="VOL_EFF",$L194,IF(ALLOC!$N$3="VOL_CLASS",$M194,$N194)))</f>
        <v/>
      </c>
      <c r="AF194" t="str">
        <f>IF($A194="","",IF(ALLOC!$N$3="VOL_EFF",$Q194,IF(ALLOC!$N$3="VOL_CLASS",$R194,$S194)))</f>
        <v/>
      </c>
      <c r="AG194" t="str">
        <f>IF($A194="","",IF(ALLOC!$N$1="VOL_EFF",$Q194,IF(ALLOC!$N$1="VOL_CLASS",$R194,$S194)))</f>
        <v/>
      </c>
      <c r="AH194" t="str">
        <f>IF($A194="","",IF(ALLOC!$N$1="VOL_EFF",$T194,IF(ALLOC!$N$1="VOL_CLASS",$U194,$V194)))</f>
        <v/>
      </c>
      <c r="AI194" t="str">
        <f>IF($A194="","",$W194*IFERROR($K194/$O194,0))</f>
        <v/>
      </c>
      <c r="AJ194" t="str">
        <f>IF($A194="","",$X194*IFERROR($K194/$O194,0))</f>
        <v/>
      </c>
      <c r="AK194" t="str">
        <f>IF($A194="","",$Y194*IFERROR($G194/$L194,0)+$Z194*IFERROR($J194/$P194,0))</f>
        <v/>
      </c>
      <c r="AL194" t="str">
        <f>IF($A194="","",$AA194*IFERROR($AC194/$AD194,0))</f>
        <v/>
      </c>
      <c r="AM194" t="str">
        <f>IF($A194="","",$AB194*IFERROR($AG194/$AH194,0)*IFERROR($AE194/$AF194,0)*IFERROR($AC194/$AD194,0))</f>
        <v/>
      </c>
      <c r="AN194" t="str">
        <f>IF($A194="","",$I194-($AI194+$AJ194+$AK194+$AL194+$AM194+$AR194))</f>
        <v/>
      </c>
      <c r="AO194" t="str">
        <f>IF($A194="","",Allocation2!AE194)</f>
        <v/>
      </c>
      <c r="AP194" t="str">
        <f>IF($A194="","",IF(ALLOC!$N$2="VOL_EFF",$Q194,IF(ALLOC!$N$2="VOL_CLASS",$R194,$S194)))</f>
        <v/>
      </c>
      <c r="AQ194" t="str">
        <f>IF($A194="","",IF(ALLOC!$N$2="VOL_EFF",$T194,IF(ALLOC!$N$2="VOL_CLASS",$U194,$V194)))</f>
        <v/>
      </c>
      <c r="AR194" t="str">
        <f>IF($A194="","",$AO194*IFERROR($AP194/$AQ194,0)*IFERROR($AE194/$AF194,0)*IFERROR($AC194/$AD194,0))</f>
        <v/>
      </c>
    </row>
    <row r="195" spans="1:46" x14ac:dyDescent="0.45">
      <c r="A195" t="str">
        <f>IF(Allocation2!D195="","",Allocation2!D195)</f>
        <v/>
      </c>
      <c r="B195" t="str">
        <f>IF(Allocation2!E195="","",Allocation2!E195)</f>
        <v/>
      </c>
      <c r="C195" t="str">
        <f>IF(Allocation2!F195="","",Allocation2!F195)</f>
        <v/>
      </c>
      <c r="D195" t="str">
        <f>IF(Allocation2!G195="","",Allocation2!G195)</f>
        <v/>
      </c>
      <c r="E195" t="str">
        <f>IF(Allocation2!H195="","",Allocation2!H195)</f>
        <v/>
      </c>
      <c r="F195" t="str">
        <f>IF(Allocation2!I195="","",Allocation2!I195)</f>
        <v/>
      </c>
      <c r="G195" t="str">
        <f>IF(Allocation2!E195="","",Allocation2!J195)</f>
        <v/>
      </c>
      <c r="H195" t="str">
        <f>IF(Allocation2!E195="","",Allocation2!K195)</f>
        <v/>
      </c>
      <c r="I195" t="str">
        <f>IF(Allocation2!E195="","",Allocation2!L195)</f>
        <v/>
      </c>
      <c r="J195" t="str">
        <f>IF($A195="","",Allocation2!X195)</f>
        <v/>
      </c>
      <c r="K195" t="str">
        <f>IF($A195="","",$H195*IF(AND(LEFT($D195,3)="BAC",$F195="INIT"),600,IF(LEFT($D195,3)="BAC",480,IF(AND(LEFT($D195,3)="MAS",$F195="INIT"),520,IF(LEFT($D195,3)="MAS",420,IF($F195="INIT",1000,700))))))</f>
        <v/>
      </c>
      <c r="L195" t="str">
        <f>IF($A195="","",SUMIFS($G$1:$G$349,$A$1:$A$349,$A195,$B$1:$B$349,$B195))</f>
        <v/>
      </c>
      <c r="M195" t="str">
        <f>IF($A195="","",SUMIFS($H$1:$H$349,$A$1:$A$349,$A195,$B$1:$B$349,$B195))</f>
        <v/>
      </c>
      <c r="N195" t="str">
        <f>IF($A195="","",SUMIFS($I$1:$I$349,$A$1:$A$349,$A195,$B$1:$B$349,$B195))</f>
        <v/>
      </c>
      <c r="O195" t="str">
        <f>IF($A195="","",SUMIFS($K$1:$K$349,$A$1:$A$349,$A195,$B$1:$B$349,$B195))</f>
        <v/>
      </c>
      <c r="P195" t="str">
        <f>IF($A195="","",SUMIFS($J$1:$J$349,$A$1:$A$349,$A195,$B$1:$B$349,$B195))</f>
        <v/>
      </c>
      <c r="Q195" t="str">
        <f>IF($A195="","",SUMIFS($G$1:$G$349,$A$1:$A$349,$A195,$C$1:$C$349,$C195))</f>
        <v/>
      </c>
      <c r="R195" t="str">
        <f>IF($A195="","",SUMIFS($H$1:$H$349,$A$1:$A$349,$A195,$C$1:$C$349,$C195))</f>
        <v/>
      </c>
      <c r="S195" t="str">
        <f>IF($A195="","",SUMIFS($I$1:$I$349,$A$1:$A$349,$A195,$C$1:$C$349,$C195))</f>
        <v/>
      </c>
      <c r="T195" t="str">
        <f>IF($A195="","",SUMIFS($G$1:$G$349,$A$1:$A$349,$A195))</f>
        <v/>
      </c>
      <c r="U195" t="str">
        <f>IF($A195="","",SUMIFS($H$1:$H$349,$A$1:$A$349,$A195))</f>
        <v/>
      </c>
      <c r="V195" t="str">
        <f>IF($A195="","",SUMIFS($I$1:$I$349,$A$1:$A$349,$A195))</f>
        <v/>
      </c>
      <c r="W195" t="str">
        <f>IF($A195="","",Allocation2!Y195)</f>
        <v/>
      </c>
      <c r="X195" t="str">
        <f>IF($A195="","",Allocation2!Z195)</f>
        <v/>
      </c>
      <c r="Y195" t="str">
        <f>IF($A195="","",Allocation2!AA195)</f>
        <v/>
      </c>
      <c r="Z195" t="str">
        <f>IF($A195="","",Allocation2!AB195)</f>
        <v/>
      </c>
      <c r="AA195" t="str">
        <f>IF($A195="","",Allocation2!AC195)</f>
        <v/>
      </c>
      <c r="AB195" t="str">
        <f>IF($A195="","",Allocation2!AD195)</f>
        <v/>
      </c>
      <c r="AC195" t="str">
        <f>IF($A195="","",IF(ALLOC!$N$4="VOL_EFF",$G195,IF(ALLOC!$N$4="VOL_CLASS",$H195,$I195)))</f>
        <v/>
      </c>
      <c r="AD195" t="str">
        <f>IF($A195="","",IF(ALLOC!$N$4="VOL_EFF",$L195,IF(ALLOC!$N$4="VOL_CLASS",$M195,$N195)))</f>
        <v/>
      </c>
      <c r="AE195" t="str">
        <f>IF($A195="","",IF(ALLOC!$N$3="VOL_EFF",$L195,IF(ALLOC!$N$3="VOL_CLASS",$M195,$N195)))</f>
        <v/>
      </c>
      <c r="AF195" t="str">
        <f>IF($A195="","",IF(ALLOC!$N$3="VOL_EFF",$Q195,IF(ALLOC!$N$3="VOL_CLASS",$R195,$S195)))</f>
        <v/>
      </c>
      <c r="AG195" t="str">
        <f>IF($A195="","",IF(ALLOC!$N$1="VOL_EFF",$Q195,IF(ALLOC!$N$1="VOL_CLASS",$R195,$S195)))</f>
        <v/>
      </c>
      <c r="AH195" t="str">
        <f>IF($A195="","",IF(ALLOC!$N$1="VOL_EFF",$T195,IF(ALLOC!$N$1="VOL_CLASS",$U195,$V195)))</f>
        <v/>
      </c>
      <c r="AI195" t="str">
        <f>IF($A195="","",$W195*IFERROR($K195/$O195,0))</f>
        <v/>
      </c>
      <c r="AJ195" t="str">
        <f>IF($A195="","",$X195*IFERROR($K195/$O195,0))</f>
        <v/>
      </c>
      <c r="AK195" t="str">
        <f>IF($A195="","",$Y195*IFERROR($G195/$L195,0)+$Z195*IFERROR($J195/$P195,0))</f>
        <v/>
      </c>
      <c r="AL195" t="str">
        <f>IF($A195="","",$AA195*IFERROR($AC195/$AD195,0))</f>
        <v/>
      </c>
      <c r="AM195" t="str">
        <f>IF($A195="","",$AB195*IFERROR($AG195/$AH195,0)*IFERROR($AE195/$AF195,0)*IFERROR($AC195/$AD195,0))</f>
        <v/>
      </c>
      <c r="AN195" t="str">
        <f>IF($A195="","",$I195-($AI195+$AJ195+$AK195+$AL195+$AM195+$AR195))</f>
        <v/>
      </c>
      <c r="AO195" t="str">
        <f>IF($A195="","",Allocation2!AE195)</f>
        <v/>
      </c>
      <c r="AP195" t="str">
        <f>IF($A195="","",IF(ALLOC!$N$2="VOL_EFF",$Q195,IF(ALLOC!$N$2="VOL_CLASS",$R195,$S195)))</f>
        <v/>
      </c>
      <c r="AQ195" t="str">
        <f>IF($A195="","",IF(ALLOC!$N$2="VOL_EFF",$T195,IF(ALLOC!$N$2="VOL_CLASS",$U195,$V195)))</f>
        <v/>
      </c>
      <c r="AR195" t="str">
        <f>IF($A195="","",$AO195*IFERROR($AP195/$AQ195,0)*IFERROR($AE195/$AF195,0)*IFERROR($AC195/$AD195,0))</f>
        <v/>
      </c>
    </row>
    <row r="196" spans="1:46" x14ac:dyDescent="0.45">
      <c r="A196" t="str">
        <f>IF(Allocation2!D196="","",Allocation2!D196)</f>
        <v/>
      </c>
      <c r="B196" t="str">
        <f>IF(Allocation2!E196="","",Allocation2!E196)</f>
        <v/>
      </c>
      <c r="C196" t="str">
        <f>IF(Allocation2!F196="","",Allocation2!F196)</f>
        <v/>
      </c>
      <c r="D196" t="str">
        <f>IF(Allocation2!G196="","",Allocation2!G196)</f>
        <v/>
      </c>
      <c r="E196" t="str">
        <f>IF(Allocation2!H196="","",Allocation2!H196)</f>
        <v/>
      </c>
      <c r="F196" t="str">
        <f>IF(Allocation2!I196="","",Allocation2!I196)</f>
        <v/>
      </c>
      <c r="G196" t="str">
        <f>IF(Allocation2!E196="","",Allocation2!J196)</f>
        <v/>
      </c>
      <c r="H196" t="str">
        <f>IF(Allocation2!E196="","",Allocation2!K196)</f>
        <v/>
      </c>
      <c r="I196" t="str">
        <f>IF(Allocation2!E196="","",Allocation2!L196)</f>
        <v/>
      </c>
      <c r="J196" t="str">
        <f>IF($A196="","",Allocation2!X196)</f>
        <v/>
      </c>
      <c r="K196" t="str">
        <f>IF($A196="","",$H196*IF(AND(LEFT($D196,3)="BAC",$F196="INIT"),600,IF(LEFT($D196,3)="BAC",480,IF(AND(LEFT($D196,3)="MAS",$F196="INIT"),520,IF(LEFT($D196,3)="MAS",420,IF($F196="INIT",1000,700))))))</f>
        <v/>
      </c>
      <c r="L196" t="str">
        <f>IF($A196="","",SUMIFS($G$1:$G$349,$A$1:$A$349,$A196,$B$1:$B$349,$B196))</f>
        <v/>
      </c>
      <c r="M196" t="str">
        <f>IF($A196="","",SUMIFS($H$1:$H$349,$A$1:$A$349,$A196,$B$1:$B$349,$B196))</f>
        <v/>
      </c>
      <c r="N196" t="str">
        <f>IF($A196="","",SUMIFS($I$1:$I$349,$A$1:$A$349,$A196,$B$1:$B$349,$B196))</f>
        <v/>
      </c>
      <c r="O196" t="str">
        <f>IF($A196="","",SUMIFS($K$1:$K$349,$A$1:$A$349,$A196,$B$1:$B$349,$B196))</f>
        <v/>
      </c>
      <c r="P196" t="str">
        <f>IF($A196="","",SUMIFS($J$1:$J$349,$A$1:$A$349,$A196,$B$1:$B$349,$B196))</f>
        <v/>
      </c>
      <c r="Q196" t="str">
        <f>IF($A196="","",SUMIFS($G$1:$G$349,$A$1:$A$349,$A196,$C$1:$C$349,$C196))</f>
        <v/>
      </c>
      <c r="R196" t="str">
        <f>IF($A196="","",SUMIFS($H$1:$H$349,$A$1:$A$349,$A196,$C$1:$C$349,$C196))</f>
        <v/>
      </c>
      <c r="S196" t="str">
        <f>IF($A196="","",SUMIFS($I$1:$I$349,$A$1:$A$349,$A196,$C$1:$C$349,$C196))</f>
        <v/>
      </c>
      <c r="T196" t="str">
        <f>IF($A196="","",SUMIFS($G$1:$G$349,$A$1:$A$349,$A196))</f>
        <v/>
      </c>
      <c r="U196" t="str">
        <f>IF($A196="","",SUMIFS($H$1:$H$349,$A$1:$A$349,$A196))</f>
        <v/>
      </c>
      <c r="V196" t="str">
        <f>IF($A196="","",SUMIFS($I$1:$I$349,$A$1:$A$349,$A196))</f>
        <v/>
      </c>
      <c r="W196" t="str">
        <f>IF($A196="","",Allocation2!Y196)</f>
        <v/>
      </c>
      <c r="X196" t="str">
        <f>IF($A196="","",Allocation2!Z196)</f>
        <v/>
      </c>
      <c r="Y196" t="str">
        <f>IF($A196="","",Allocation2!AA196)</f>
        <v/>
      </c>
      <c r="Z196" t="str">
        <f>IF($A196="","",Allocation2!AB196)</f>
        <v/>
      </c>
      <c r="AA196" t="str">
        <f>IF($A196="","",Allocation2!AC196)</f>
        <v/>
      </c>
      <c r="AB196" t="str">
        <f>IF($A196="","",Allocation2!AD196)</f>
        <v/>
      </c>
      <c r="AC196" t="str">
        <f>IF($A196="","",IF(ALLOC!$N$4="VOL_EFF",$G196,IF(ALLOC!$N$4="VOL_CLASS",$H196,$I196)))</f>
        <v/>
      </c>
      <c r="AD196" t="str">
        <f>IF($A196="","",IF(ALLOC!$N$4="VOL_EFF",$L196,IF(ALLOC!$N$4="VOL_CLASS",$M196,$N196)))</f>
        <v/>
      </c>
      <c r="AE196" t="str">
        <f>IF($A196="","",IF(ALLOC!$N$3="VOL_EFF",$L196,IF(ALLOC!$N$3="VOL_CLASS",$M196,$N196)))</f>
        <v/>
      </c>
      <c r="AF196" t="str">
        <f>IF($A196="","",IF(ALLOC!$N$3="VOL_EFF",$Q196,IF(ALLOC!$N$3="VOL_CLASS",$R196,$S196)))</f>
        <v/>
      </c>
      <c r="AG196" t="str">
        <f>IF($A196="","",IF(ALLOC!$N$1="VOL_EFF",$Q196,IF(ALLOC!$N$1="VOL_CLASS",$R196,$S196)))</f>
        <v/>
      </c>
      <c r="AH196" t="str">
        <f>IF($A196="","",IF(ALLOC!$N$1="VOL_EFF",$T196,IF(ALLOC!$N$1="VOL_CLASS",$U196,$V196)))</f>
        <v/>
      </c>
      <c r="AI196" t="str">
        <f>IF($A196="","",$W196*IFERROR($K196/$O196,0))</f>
        <v/>
      </c>
      <c r="AJ196" t="str">
        <f>IF($A196="","",$X196*IFERROR($K196/$O196,0))</f>
        <v/>
      </c>
      <c r="AK196" t="str">
        <f>IF($A196="","",$Y196*IFERROR($G196/$L196,0)+$Z196*IFERROR($J196/$P196,0))</f>
        <v/>
      </c>
      <c r="AL196" t="str">
        <f>IF($A196="","",$AA196*IFERROR($AC196/$AD196,0))</f>
        <v/>
      </c>
      <c r="AM196" t="str">
        <f>IF($A196="","",$AB196*IFERROR($AG196/$AH196,0)*IFERROR($AE196/$AF196,0)*IFERROR($AC196/$AD196,0))</f>
        <v/>
      </c>
      <c r="AN196" t="str">
        <f>IF($A196="","",$I196-($AI196+$AJ196+$AK196+$AL196+$AM196+$AR196))</f>
        <v/>
      </c>
      <c r="AO196" t="str">
        <f>IF($A196="","",Allocation2!AE196)</f>
        <v/>
      </c>
      <c r="AP196" t="str">
        <f>IF($A196="","",IF(ALLOC!$N$2="VOL_EFF",$Q196,IF(ALLOC!$N$2="VOL_CLASS",$R196,$S196)))</f>
        <v/>
      </c>
      <c r="AQ196" t="str">
        <f>IF($A196="","",IF(ALLOC!$N$2="VOL_EFF",$T196,IF(ALLOC!$N$2="VOL_CLASS",$U196,$V196)))</f>
        <v/>
      </c>
      <c r="AR196" t="str">
        <f>IF($A196="","",$AO196*IFERROR($AP196/$AQ196,0)*IFERROR($AE196/$AF196,0)*IFERROR($AC196/$AD196,0))</f>
        <v/>
      </c>
    </row>
    <row r="197" spans="1:46" x14ac:dyDescent="0.45">
      <c r="A197" t="str">
        <f>IF(Allocation2!D197="","",Allocation2!D197)</f>
        <v/>
      </c>
      <c r="B197" t="str">
        <f>IF(Allocation2!E197="","",Allocation2!E197)</f>
        <v/>
      </c>
      <c r="C197" t="str">
        <f>IF(Allocation2!F197="","",Allocation2!F197)</f>
        <v/>
      </c>
      <c r="D197" t="str">
        <f>IF(Allocation2!G197="","",Allocation2!G197)</f>
        <v/>
      </c>
      <c r="E197" t="str">
        <f>IF(Allocation2!H197="","",Allocation2!H197)</f>
        <v/>
      </c>
      <c r="F197" t="str">
        <f>IF(Allocation2!I197="","",Allocation2!I197)</f>
        <v/>
      </c>
      <c r="G197" t="str">
        <f>IF(Allocation2!E197="","",Allocation2!J197)</f>
        <v/>
      </c>
      <c r="H197" t="str">
        <f>IF(Allocation2!E197="","",Allocation2!K197)</f>
        <v/>
      </c>
      <c r="I197" t="str">
        <f>IF(Allocation2!E197="","",Allocation2!L197)</f>
        <v/>
      </c>
      <c r="J197" t="str">
        <f>IF($A197="","",Allocation2!X197)</f>
        <v/>
      </c>
      <c r="K197" t="str">
        <f>IF($A197="","",$H197*IF(AND(LEFT($D197,3)="BAC",$F197="INIT"),600,IF(LEFT($D197,3)="BAC",480,IF(AND(LEFT($D197,3)="MAS",$F197="INIT"),520,IF(LEFT($D197,3)="MAS",420,IF($F197="INIT",1000,700))))))</f>
        <v/>
      </c>
      <c r="L197" t="str">
        <f>IF($A197="","",SUMIFS($G$1:$G$349,$A$1:$A$349,$A197,$B$1:$B$349,$B197))</f>
        <v/>
      </c>
      <c r="M197" t="str">
        <f>IF($A197="","",SUMIFS($H$1:$H$349,$A$1:$A$349,$A197,$B$1:$B$349,$B197))</f>
        <v/>
      </c>
      <c r="N197" t="str">
        <f>IF($A197="","",SUMIFS($I$1:$I$349,$A$1:$A$349,$A197,$B$1:$B$349,$B197))</f>
        <v/>
      </c>
      <c r="O197" t="str">
        <f>IF($A197="","",SUMIFS($K$1:$K$349,$A$1:$A$349,$A197,$B$1:$B$349,$B197))</f>
        <v/>
      </c>
      <c r="P197" t="str">
        <f>IF($A197="","",SUMIFS($J$1:$J$349,$A$1:$A$349,$A197,$B$1:$B$349,$B197))</f>
        <v/>
      </c>
      <c r="Q197" t="str">
        <f>IF($A197="","",SUMIFS($G$1:$G$349,$A$1:$A$349,$A197,$C$1:$C$349,$C197))</f>
        <v/>
      </c>
      <c r="R197" t="str">
        <f>IF($A197="","",SUMIFS($H$1:$H$349,$A$1:$A$349,$A197,$C$1:$C$349,$C197))</f>
        <v/>
      </c>
      <c r="S197" t="str">
        <f>IF($A197="","",SUMIFS($I$1:$I$349,$A$1:$A$349,$A197,$C$1:$C$349,$C197))</f>
        <v/>
      </c>
      <c r="T197" t="str">
        <f>IF($A197="","",SUMIFS($G$1:$G$349,$A$1:$A$349,$A197))</f>
        <v/>
      </c>
      <c r="U197" t="str">
        <f>IF($A197="","",SUMIFS($H$1:$H$349,$A$1:$A$349,$A197))</f>
        <v/>
      </c>
      <c r="V197" t="str">
        <f>IF($A197="","",SUMIFS($I$1:$I$349,$A$1:$A$349,$A197))</f>
        <v/>
      </c>
      <c r="W197" t="str">
        <f>IF($A197="","",Allocation2!Y197)</f>
        <v/>
      </c>
      <c r="X197" t="str">
        <f>IF($A197="","",Allocation2!Z197)</f>
        <v/>
      </c>
      <c r="Y197" t="str">
        <f>IF($A197="","",Allocation2!AA197)</f>
        <v/>
      </c>
      <c r="Z197" t="str">
        <f>IF($A197="","",Allocation2!AB197)</f>
        <v/>
      </c>
      <c r="AA197" t="str">
        <f>IF($A197="","",Allocation2!AC197)</f>
        <v/>
      </c>
      <c r="AB197" t="str">
        <f>IF($A197="","",Allocation2!AD197)</f>
        <v/>
      </c>
      <c r="AC197" t="str">
        <f>IF($A197="","",IF(ALLOC!$N$4="VOL_EFF",$G197,IF(ALLOC!$N$4="VOL_CLASS",$H197,$I197)))</f>
        <v/>
      </c>
      <c r="AD197" t="str">
        <f>IF($A197="","",IF(ALLOC!$N$4="VOL_EFF",$L197,IF(ALLOC!$N$4="VOL_CLASS",$M197,$N197)))</f>
        <v/>
      </c>
      <c r="AE197" t="str">
        <f>IF($A197="","",IF(ALLOC!$N$3="VOL_EFF",$L197,IF(ALLOC!$N$3="VOL_CLASS",$M197,$N197)))</f>
        <v/>
      </c>
      <c r="AF197" t="str">
        <f>IF($A197="","",IF(ALLOC!$N$3="VOL_EFF",$Q197,IF(ALLOC!$N$3="VOL_CLASS",$R197,$S197)))</f>
        <v/>
      </c>
      <c r="AG197" t="str">
        <f>IF($A197="","",IF(ALLOC!$N$1="VOL_EFF",$Q197,IF(ALLOC!$N$1="VOL_CLASS",$R197,$S197)))</f>
        <v/>
      </c>
      <c r="AH197" t="str">
        <f>IF($A197="","",IF(ALLOC!$N$1="VOL_EFF",$T197,IF(ALLOC!$N$1="VOL_CLASS",$U197,$V197)))</f>
        <v/>
      </c>
      <c r="AI197" t="str">
        <f>IF($A197="","",$W197*IFERROR($K197/$O197,0))</f>
        <v/>
      </c>
      <c r="AJ197" t="str">
        <f>IF($A197="","",$X197*IFERROR($K197/$O197,0))</f>
        <v/>
      </c>
      <c r="AK197" t="str">
        <f>IF($A197="","",$Y197*IFERROR($G197/$L197,0)+$Z197*IFERROR($J197/$P197,0))</f>
        <v/>
      </c>
      <c r="AL197" t="str">
        <f>IF($A197="","",$AA197*IFERROR($AC197/$AD197,0))</f>
        <v/>
      </c>
      <c r="AM197" t="str">
        <f>IF($A197="","",$AB197*IFERROR($AG197/$AH197,0)*IFERROR($AE197/$AF197,0)*IFERROR($AC197/$AD197,0))</f>
        <v/>
      </c>
      <c r="AN197" t="str">
        <f>IF($A197="","",$I197-($AI197+$AJ197+$AK197+$AL197+$AM197+$AR197))</f>
        <v/>
      </c>
      <c r="AO197" t="str">
        <f>IF($A197="","",Allocation2!AE197)</f>
        <v/>
      </c>
      <c r="AP197" t="str">
        <f>IF($A197="","",IF(ALLOC!$N$2="VOL_EFF",$Q197,IF(ALLOC!$N$2="VOL_CLASS",$R197,$S197)))</f>
        <v/>
      </c>
      <c r="AQ197" t="str">
        <f>IF($A197="","",IF(ALLOC!$N$2="VOL_EFF",$T197,IF(ALLOC!$N$2="VOL_CLASS",$U197,$V197)))</f>
        <v/>
      </c>
      <c r="AR197" t="str">
        <f>IF($A197="","",$AO197*IFERROR($AP197/$AQ197,0)*IFERROR($AE197/$AF197,0)*IFERROR($AC197/$AD197,0))</f>
        <v/>
      </c>
    </row>
    <row r="198" spans="1:46" x14ac:dyDescent="0.45">
      <c r="A198" t="str">
        <f>IF(Allocation2!D198="","",Allocation2!D198)</f>
        <v/>
      </c>
      <c r="B198" t="str">
        <f>IF(Allocation2!E198="","",Allocation2!E198)</f>
        <v/>
      </c>
      <c r="C198" t="str">
        <f>IF(Allocation2!F198="","",Allocation2!F198)</f>
        <v/>
      </c>
      <c r="D198" t="str">
        <f>IF(Allocation2!G198="","",Allocation2!G198)</f>
        <v/>
      </c>
      <c r="E198" t="str">
        <f>IF(Allocation2!H198="","",Allocation2!H198)</f>
        <v/>
      </c>
      <c r="F198" t="str">
        <f>IF(Allocation2!I198="","",Allocation2!I198)</f>
        <v/>
      </c>
      <c r="G198" t="str">
        <f>IF(Allocation2!E198="","",Allocation2!J198)</f>
        <v/>
      </c>
      <c r="H198" t="str">
        <f>IF(Allocation2!E198="","",Allocation2!K198)</f>
        <v/>
      </c>
      <c r="I198" t="str">
        <f>IF(Allocation2!E198="","",Allocation2!L198)</f>
        <v/>
      </c>
      <c r="J198" t="str">
        <f>IF($A198="","",Allocation2!X198)</f>
        <v/>
      </c>
      <c r="K198" t="str">
        <f>IF($A198="","",$H198*IF(AND(LEFT($D198,3)="BAC",$F198="INIT"),600,IF(LEFT($D198,3)="BAC",480,IF(AND(LEFT($D198,3)="MAS",$F198="INIT"),520,IF(LEFT($D198,3)="MAS",420,IF($F198="INIT",1000,700))))))</f>
        <v/>
      </c>
      <c r="L198" t="str">
        <f>IF($A198="","",SUMIFS($G$1:$G$349,$A$1:$A$349,$A198,$B$1:$B$349,$B198))</f>
        <v/>
      </c>
      <c r="M198" t="str">
        <f>IF($A198="","",SUMIFS($H$1:$H$349,$A$1:$A$349,$A198,$B$1:$B$349,$B198))</f>
        <v/>
      </c>
      <c r="N198" t="str">
        <f>IF($A198="","",SUMIFS($I$1:$I$349,$A$1:$A$349,$A198,$B$1:$B$349,$B198))</f>
        <v/>
      </c>
      <c r="O198" t="str">
        <f>IF($A198="","",SUMIFS($K$1:$K$349,$A$1:$A$349,$A198,$B$1:$B$349,$B198))</f>
        <v/>
      </c>
      <c r="P198" t="str">
        <f>IF($A198="","",SUMIFS($J$1:$J$349,$A$1:$A$349,$A198,$B$1:$B$349,$B198))</f>
        <v/>
      </c>
      <c r="Q198" t="str">
        <f>IF($A198="","",SUMIFS($G$1:$G$349,$A$1:$A$349,$A198,$C$1:$C$349,$C198))</f>
        <v/>
      </c>
      <c r="R198" t="str">
        <f>IF($A198="","",SUMIFS($H$1:$H$349,$A$1:$A$349,$A198,$C$1:$C$349,$C198))</f>
        <v/>
      </c>
      <c r="S198" t="str">
        <f>IF($A198="","",SUMIFS($I$1:$I$349,$A$1:$A$349,$A198,$C$1:$C$349,$C198))</f>
        <v/>
      </c>
      <c r="T198" t="str">
        <f>IF($A198="","",SUMIFS($G$1:$G$349,$A$1:$A$349,$A198))</f>
        <v/>
      </c>
      <c r="U198" t="str">
        <f>IF($A198="","",SUMIFS($H$1:$H$349,$A$1:$A$349,$A198))</f>
        <v/>
      </c>
      <c r="V198" t="str">
        <f>IF($A198="","",SUMIFS($I$1:$I$349,$A$1:$A$349,$A198))</f>
        <v/>
      </c>
      <c r="W198" t="str">
        <f>IF($A198="","",Allocation2!Y198)</f>
        <v/>
      </c>
      <c r="X198" t="str">
        <f>IF($A198="","",Allocation2!Z198)</f>
        <v/>
      </c>
      <c r="Y198" t="str">
        <f>IF($A198="","",Allocation2!AA198)</f>
        <v/>
      </c>
      <c r="Z198" t="str">
        <f>IF($A198="","",Allocation2!AB198)</f>
        <v/>
      </c>
      <c r="AA198" t="str">
        <f>IF($A198="","",Allocation2!AC198)</f>
        <v/>
      </c>
      <c r="AB198" t="str">
        <f>IF($A198="","",Allocation2!AD198)</f>
        <v/>
      </c>
      <c r="AC198" t="str">
        <f>IF($A198="","",IF(ALLOC!$N$4="VOL_EFF",$G198,IF(ALLOC!$N$4="VOL_CLASS",$H198,$I198)))</f>
        <v/>
      </c>
      <c r="AD198" t="str">
        <f>IF($A198="","",IF(ALLOC!$N$4="VOL_EFF",$L198,IF(ALLOC!$N$4="VOL_CLASS",$M198,$N198)))</f>
        <v/>
      </c>
      <c r="AE198" t="str">
        <f>IF($A198="","",IF(ALLOC!$N$3="VOL_EFF",$L198,IF(ALLOC!$N$3="VOL_CLASS",$M198,$N198)))</f>
        <v/>
      </c>
      <c r="AF198" t="str">
        <f>IF($A198="","",IF(ALLOC!$N$3="VOL_EFF",$Q198,IF(ALLOC!$N$3="VOL_CLASS",$R198,$S198)))</f>
        <v/>
      </c>
      <c r="AG198" t="str">
        <f>IF($A198="","",IF(ALLOC!$N$1="VOL_EFF",$Q198,IF(ALLOC!$N$1="VOL_CLASS",$R198,$S198)))</f>
        <v/>
      </c>
      <c r="AH198" t="str">
        <f>IF($A198="","",IF(ALLOC!$N$1="VOL_EFF",$T198,IF(ALLOC!$N$1="VOL_CLASS",$U198,$V198)))</f>
        <v/>
      </c>
      <c r="AI198" t="str">
        <f>IF($A198="","",$W198*IFERROR($K198/$O198,0))</f>
        <v/>
      </c>
      <c r="AJ198" t="str">
        <f>IF($A198="","",$X198*IFERROR($K198/$O198,0))</f>
        <v/>
      </c>
      <c r="AK198" t="str">
        <f>IF($A198="","",$Y198*IFERROR($G198/$L198,0)+$Z198*IFERROR($J198/$P198,0))</f>
        <v/>
      </c>
      <c r="AL198" t="str">
        <f>IF($A198="","",$AA198*IFERROR($AC198/$AD198,0))</f>
        <v/>
      </c>
      <c r="AM198" t="str">
        <f>IF($A198="","",$AB198*IFERROR($AG198/$AH198,0)*IFERROR($AE198/$AF198,0)*IFERROR($AC198/$AD198,0))</f>
        <v/>
      </c>
      <c r="AN198" t="str">
        <f>IF($A198="","",$I198-($AI198+$AJ198+$AK198+$AL198+$AM198+$AR198))</f>
        <v/>
      </c>
      <c r="AO198" t="str">
        <f>IF($A198="","",Allocation2!AE198)</f>
        <v/>
      </c>
      <c r="AP198" t="str">
        <f>IF($A198="","",IF(ALLOC!$N$2="VOL_EFF",$Q198,IF(ALLOC!$N$2="VOL_CLASS",$R198,$S198)))</f>
        <v/>
      </c>
      <c r="AQ198" t="str">
        <f>IF($A198="","",IF(ALLOC!$N$2="VOL_EFF",$T198,IF(ALLOC!$N$2="VOL_CLASS",$U198,$V198)))</f>
        <v/>
      </c>
      <c r="AR198" t="str">
        <f>IF($A198="","",$AO198*IFERROR($AP198/$AQ198,0)*IFERROR($AE198/$AF198,0)*IFERROR($AC198/$AD198,0))</f>
        <v/>
      </c>
    </row>
    <row r="199" spans="1:46" x14ac:dyDescent="0.45">
      <c r="A199" t="str">
        <f>IF(Allocation2!D199="","",Allocation2!D199)</f>
        <v/>
      </c>
      <c r="B199" t="str">
        <f>IF(Allocation2!E199="","",Allocation2!E199)</f>
        <v/>
      </c>
      <c r="C199" t="str">
        <f>IF(Allocation2!F199="","",Allocation2!F199)</f>
        <v/>
      </c>
      <c r="D199" t="str">
        <f>IF(Allocation2!G199="","",Allocation2!G199)</f>
        <v/>
      </c>
      <c r="E199" t="str">
        <f>IF(Allocation2!H199="","",Allocation2!H199)</f>
        <v/>
      </c>
      <c r="F199" t="str">
        <f>IF(Allocation2!I199="","",Allocation2!I199)</f>
        <v/>
      </c>
      <c r="G199" t="str">
        <f>IF(Allocation2!E199="","",Allocation2!J199)</f>
        <v/>
      </c>
      <c r="H199" t="str">
        <f>IF(Allocation2!E199="","",Allocation2!K199)</f>
        <v/>
      </c>
      <c r="I199" t="str">
        <f>IF(Allocation2!E199="","",Allocation2!L199)</f>
        <v/>
      </c>
      <c r="J199" t="str">
        <f>IF($A199="","",Allocation2!X199)</f>
        <v/>
      </c>
      <c r="K199" t="str">
        <f>IF($A199="","",$H199*IF(AND(LEFT($D199,3)="BAC",$F199="INIT"),600,IF(LEFT($D199,3)="BAC",480,IF(AND(LEFT($D199,3)="MAS",$F199="INIT"),520,IF(LEFT($D199,3)="MAS",420,IF($F199="INIT",1000,700))))))</f>
        <v/>
      </c>
      <c r="L199" t="str">
        <f>IF($A199="","",SUMIFS($G$1:$G$349,$A$1:$A$349,$A199,$B$1:$B$349,$B199))</f>
        <v/>
      </c>
      <c r="M199" t="str">
        <f>IF($A199="","",SUMIFS($H$1:$H$349,$A$1:$A$349,$A199,$B$1:$B$349,$B199))</f>
        <v/>
      </c>
      <c r="N199" t="str">
        <f>IF($A199="","",SUMIFS($I$1:$I$349,$A$1:$A$349,$A199,$B$1:$B$349,$B199))</f>
        <v/>
      </c>
      <c r="O199" t="str">
        <f>IF($A199="","",SUMIFS($K$1:$K$349,$A$1:$A$349,$A199,$B$1:$B$349,$B199))</f>
        <v/>
      </c>
      <c r="P199" t="str">
        <f>IF($A199="","",SUMIFS($J$1:$J$349,$A$1:$A$349,$A199,$B$1:$B$349,$B199))</f>
        <v/>
      </c>
      <c r="Q199" t="str">
        <f>IF($A199="","",SUMIFS($G$1:$G$349,$A$1:$A$349,$A199,$C$1:$C$349,$C199))</f>
        <v/>
      </c>
      <c r="R199" t="str">
        <f>IF($A199="","",SUMIFS($H$1:$H$349,$A$1:$A$349,$A199,$C$1:$C$349,$C199))</f>
        <v/>
      </c>
      <c r="S199" t="str">
        <f>IF($A199="","",SUMIFS($I$1:$I$349,$A$1:$A$349,$A199,$C$1:$C$349,$C199))</f>
        <v/>
      </c>
      <c r="T199" t="str">
        <f>IF($A199="","",SUMIFS($G$1:$G$349,$A$1:$A$349,$A199))</f>
        <v/>
      </c>
      <c r="U199" t="str">
        <f>IF($A199="","",SUMIFS($H$1:$H$349,$A$1:$A$349,$A199))</f>
        <v/>
      </c>
      <c r="V199" t="str">
        <f>IF($A199="","",SUMIFS($I$1:$I$349,$A$1:$A$349,$A199))</f>
        <v/>
      </c>
      <c r="W199" t="str">
        <f>IF($A199="","",Allocation2!Y199)</f>
        <v/>
      </c>
      <c r="X199" t="str">
        <f>IF($A199="","",Allocation2!Z199)</f>
        <v/>
      </c>
      <c r="Y199" t="str">
        <f>IF($A199="","",Allocation2!AA199)</f>
        <v/>
      </c>
      <c r="Z199" t="str">
        <f>IF($A199="","",Allocation2!AB199)</f>
        <v/>
      </c>
      <c r="AA199" t="str">
        <f>IF($A199="","",Allocation2!AC199)</f>
        <v/>
      </c>
      <c r="AB199" t="str">
        <f>IF($A199="","",Allocation2!AD199)</f>
        <v/>
      </c>
      <c r="AC199" t="str">
        <f>IF($A199="","",IF(ALLOC!$N$4="VOL_EFF",$G199,IF(ALLOC!$N$4="VOL_CLASS",$H199,$I199)))</f>
        <v/>
      </c>
      <c r="AD199" t="str">
        <f>IF($A199="","",IF(ALLOC!$N$4="VOL_EFF",$L199,IF(ALLOC!$N$4="VOL_CLASS",$M199,$N199)))</f>
        <v/>
      </c>
      <c r="AE199" t="str">
        <f>IF($A199="","",IF(ALLOC!$N$3="VOL_EFF",$L199,IF(ALLOC!$N$3="VOL_CLASS",$M199,$N199)))</f>
        <v/>
      </c>
      <c r="AF199" t="str">
        <f>IF($A199="","",IF(ALLOC!$N$3="VOL_EFF",$Q199,IF(ALLOC!$N$3="VOL_CLASS",$R199,$S199)))</f>
        <v/>
      </c>
      <c r="AG199" t="str">
        <f>IF($A199="","",IF(ALLOC!$N$1="VOL_EFF",$Q199,IF(ALLOC!$N$1="VOL_CLASS",$R199,$S199)))</f>
        <v/>
      </c>
      <c r="AH199" t="str">
        <f>IF($A199="","",IF(ALLOC!$N$1="VOL_EFF",$T199,IF(ALLOC!$N$1="VOL_CLASS",$U199,$V199)))</f>
        <v/>
      </c>
      <c r="AI199" t="str">
        <f>IF($A199="","",$W199*IFERROR($K199/$O199,0))</f>
        <v/>
      </c>
      <c r="AJ199" t="str">
        <f>IF($A199="","",$X199*IFERROR($K199/$O199,0))</f>
        <v/>
      </c>
      <c r="AK199" t="str">
        <f>IF($A199="","",$Y199*IFERROR($G199/$L199,0)+$Z199*IFERROR($J199/$P199,0))</f>
        <v/>
      </c>
      <c r="AL199" t="str">
        <f>IF($A199="","",$AA199*IFERROR($AC199/$AD199,0))</f>
        <v/>
      </c>
      <c r="AM199" t="str">
        <f>IF($A199="","",$AB199*IFERROR($AG199/$AH199,0)*IFERROR($AE199/$AF199,0)*IFERROR($AC199/$AD199,0))</f>
        <v/>
      </c>
      <c r="AN199" t="str">
        <f>IF($A199="","",$I199-($AI199+$AJ199+$AK199+$AL199+$AM199+$AR199))</f>
        <v/>
      </c>
      <c r="AO199" t="str">
        <f>IF($A199="","",Allocation2!AE199)</f>
        <v/>
      </c>
      <c r="AP199" t="str">
        <f>IF($A199="","",IF(ALLOC!$N$2="VOL_EFF",$Q199,IF(ALLOC!$N$2="VOL_CLASS",$R199,$S199)))</f>
        <v/>
      </c>
      <c r="AQ199" t="str">
        <f>IF($A199="","",IF(ALLOC!$N$2="VOL_EFF",$T199,IF(ALLOC!$N$2="VOL_CLASS",$U199,$V199)))</f>
        <v/>
      </c>
      <c r="AR199" t="str">
        <f>IF($A199="","",$AO199*IFERROR($AP199/$AQ199,0)*IFERROR($AE199/$AF199,0)*IFERROR($AC199/$AD199,0))</f>
        <v/>
      </c>
    </row>
    <row r="200" spans="1:46" x14ac:dyDescent="0.45">
      <c r="A200" t="str">
        <f>IF(Allocation2!D200="","",Allocation2!D200)</f>
        <v/>
      </c>
      <c r="B200" t="str">
        <f>IF(Allocation2!E200="","",Allocation2!E200)</f>
        <v/>
      </c>
      <c r="C200" t="str">
        <f>IF(Allocation2!F200="","",Allocation2!F200)</f>
        <v/>
      </c>
      <c r="D200" t="str">
        <f>IF(Allocation2!G200="","",Allocation2!G200)</f>
        <v/>
      </c>
      <c r="E200" t="str">
        <f>IF(Allocation2!H200="","",Allocation2!H200)</f>
        <v/>
      </c>
      <c r="F200" t="str">
        <f>IF(Allocation2!I200="","",Allocation2!I200)</f>
        <v/>
      </c>
      <c r="G200" t="str">
        <f>IF(Allocation2!E200="","",Allocation2!J200)</f>
        <v/>
      </c>
      <c r="H200" t="str">
        <f>IF(Allocation2!E200="","",Allocation2!K200)</f>
        <v/>
      </c>
      <c r="I200" t="str">
        <f>IF(Allocation2!E200="","",Allocation2!L200)</f>
        <v/>
      </c>
      <c r="J200" t="str">
        <f>IF($A200="","",Allocation2!X200)</f>
        <v/>
      </c>
      <c r="K200" t="str">
        <f>IF($A200="","",$H200*IF(AND(LEFT($D200,3)="BAC",$F200="INIT"),600,IF(LEFT($D200,3)="BAC",480,IF(AND(LEFT($D200,3)="MAS",$F200="INIT"),520,IF(LEFT($D200,3)="MAS",420,IF($F200="INIT",1000,700))))))</f>
        <v/>
      </c>
      <c r="L200" t="str">
        <f>IF($A200="","",SUMIFS($G$1:$G$349,$A$1:$A$349,$A200,$B$1:$B$349,$B200))</f>
        <v/>
      </c>
      <c r="M200" t="str">
        <f>IF($A200="","",SUMIFS($H$1:$H$349,$A$1:$A$349,$A200,$B$1:$B$349,$B200))</f>
        <v/>
      </c>
      <c r="N200" t="str">
        <f>IF($A200="","",SUMIFS($I$1:$I$349,$A$1:$A$349,$A200,$B$1:$B$349,$B200))</f>
        <v/>
      </c>
      <c r="O200" t="str">
        <f>IF($A200="","",SUMIFS($K$1:$K$349,$A$1:$A$349,$A200,$B$1:$B$349,$B200))</f>
        <v/>
      </c>
      <c r="P200" t="str">
        <f>IF($A200="","",SUMIFS($J$1:$J$349,$A$1:$A$349,$A200,$B$1:$B$349,$B200))</f>
        <v/>
      </c>
      <c r="Q200" t="str">
        <f>IF($A200="","",SUMIFS($G$1:$G$349,$A$1:$A$349,$A200,$C$1:$C$349,$C200))</f>
        <v/>
      </c>
      <c r="R200" t="str">
        <f>IF($A200="","",SUMIFS($H$1:$H$349,$A$1:$A$349,$A200,$C$1:$C$349,$C200))</f>
        <v/>
      </c>
      <c r="S200" t="str">
        <f>IF($A200="","",SUMIFS($I$1:$I$349,$A$1:$A$349,$A200,$C$1:$C$349,$C200))</f>
        <v/>
      </c>
      <c r="T200" t="str">
        <f>IF($A200="","",SUMIFS($G$1:$G$349,$A$1:$A$349,$A200))</f>
        <v/>
      </c>
      <c r="U200" t="str">
        <f>IF($A200="","",SUMIFS($H$1:$H$349,$A$1:$A$349,$A200))</f>
        <v/>
      </c>
      <c r="V200" t="str">
        <f>IF($A200="","",SUMIFS($I$1:$I$349,$A$1:$A$349,$A200))</f>
        <v/>
      </c>
      <c r="W200" t="str">
        <f>IF($A200="","",Allocation2!Y200)</f>
        <v/>
      </c>
      <c r="X200" t="str">
        <f>IF($A200="","",Allocation2!Z200)</f>
        <v/>
      </c>
      <c r="Y200" t="str">
        <f>IF($A200="","",Allocation2!AA200)</f>
        <v/>
      </c>
      <c r="Z200" t="str">
        <f>IF($A200="","",Allocation2!AB200)</f>
        <v/>
      </c>
      <c r="AA200" t="str">
        <f>IF($A200="","",Allocation2!AC200)</f>
        <v/>
      </c>
      <c r="AB200" t="str">
        <f>IF($A200="","",Allocation2!AD200)</f>
        <v/>
      </c>
      <c r="AC200" t="str">
        <f>IF($A200="","",IF(ALLOC!$N$4="VOL_EFF",$G200,IF(ALLOC!$N$4="VOL_CLASS",$H200,$I200)))</f>
        <v/>
      </c>
      <c r="AD200" t="str">
        <f>IF($A200="","",IF(ALLOC!$N$4="VOL_EFF",$L200,IF(ALLOC!$N$4="VOL_CLASS",$M200,$N200)))</f>
        <v/>
      </c>
      <c r="AE200" t="str">
        <f>IF($A200="","",IF(ALLOC!$N$3="VOL_EFF",$L200,IF(ALLOC!$N$3="VOL_CLASS",$M200,$N200)))</f>
        <v/>
      </c>
      <c r="AF200" t="str">
        <f>IF($A200="","",IF(ALLOC!$N$3="VOL_EFF",$Q200,IF(ALLOC!$N$3="VOL_CLASS",$R200,$S200)))</f>
        <v/>
      </c>
      <c r="AG200" t="str">
        <f>IF($A200="","",IF(ALLOC!$N$1="VOL_EFF",$Q200,IF(ALLOC!$N$1="VOL_CLASS",$R200,$S200)))</f>
        <v/>
      </c>
      <c r="AH200" t="str">
        <f>IF($A200="","",IF(ALLOC!$N$1="VOL_EFF",$T200,IF(ALLOC!$N$1="VOL_CLASS",$U200,$V200)))</f>
        <v/>
      </c>
      <c r="AI200" t="str">
        <f>IF($A200="","",$W200*IFERROR($K200/$O200,0))</f>
        <v/>
      </c>
      <c r="AJ200" t="str">
        <f>IF($A200="","",$X200*IFERROR($K200/$O200,0))</f>
        <v/>
      </c>
      <c r="AK200" t="str">
        <f>IF($A200="","",$Y200*IFERROR($G200/$L200,0)+$Z200*IFERROR($J200/$P200,0))</f>
        <v/>
      </c>
      <c r="AL200" t="str">
        <f>IF($A200="","",$AA200*IFERROR($AC200/$AD200,0))</f>
        <v/>
      </c>
      <c r="AM200" t="str">
        <f>IF($A200="","",$AB200*IFERROR($AG200/$AH200,0)*IFERROR($AE200/$AF200,0)*IFERROR($AC200/$AD200,0))</f>
        <v/>
      </c>
      <c r="AN200" t="str">
        <f>IF($A200="","",$I200-($AI200+$AJ200+$AK200+$AL200+$AM200+$AR200))</f>
        <v/>
      </c>
      <c r="AO200" t="str">
        <f>IF($A200="","",Allocation2!AE200)</f>
        <v/>
      </c>
      <c r="AP200" t="str">
        <f>IF($A200="","",IF(ALLOC!$N$2="VOL_EFF",$Q200,IF(ALLOC!$N$2="VOL_CLASS",$R200,$S200)))</f>
        <v/>
      </c>
      <c r="AQ200" t="str">
        <f>IF($A200="","",IF(ALLOC!$N$2="VOL_EFF",$T200,IF(ALLOC!$N$2="VOL_CLASS",$U200,$V200)))</f>
        <v/>
      </c>
      <c r="AR200" t="str">
        <f>IF($A200="","",$AO200*IFERROR($AP200/$AQ200,0)*IFERROR($AE200/$AF200,0)*IFERROR($AC200/$AD200,0))</f>
        <v/>
      </c>
    </row>
    <row r="201" spans="1:46" x14ac:dyDescent="0.45">
      <c r="A201" t="str">
        <f>IF(Allocation2!D201="","",Allocation2!D201)</f>
        <v/>
      </c>
      <c r="B201" t="str">
        <f>IF(Allocation2!E201="","",Allocation2!E201)</f>
        <v/>
      </c>
      <c r="C201" t="str">
        <f>IF(Allocation2!F201="","",Allocation2!F201)</f>
        <v/>
      </c>
      <c r="D201" t="str">
        <f>IF(Allocation2!G201="","",Allocation2!G201)</f>
        <v/>
      </c>
      <c r="E201" t="str">
        <f>IF(Allocation2!H201="","",Allocation2!H201)</f>
        <v/>
      </c>
      <c r="F201" t="str">
        <f>IF(Allocation2!I201="","",Allocation2!I201)</f>
        <v/>
      </c>
      <c r="G201" t="str">
        <f>IF(Allocation2!E201="","",Allocation2!J201)</f>
        <v/>
      </c>
      <c r="H201" t="str">
        <f>IF(Allocation2!E201="","",Allocation2!K201)</f>
        <v/>
      </c>
      <c r="I201" t="str">
        <f>IF(Allocation2!E201="","",Allocation2!L201)</f>
        <v/>
      </c>
      <c r="J201" t="str">
        <f>IF($A201="","",Allocation2!X201)</f>
        <v/>
      </c>
      <c r="K201" t="str">
        <f>IF($A201="","",$H201*IF(AND(LEFT($D201,3)="BAC",$F201="INIT"),600,IF(LEFT($D201,3)="BAC",480,IF(AND(LEFT($D201,3)="MAS",$F201="INIT"),520,IF(LEFT($D201,3)="MAS",420,IF($F201="INIT",1000,700))))))</f>
        <v/>
      </c>
      <c r="L201" t="str">
        <f>IF($A201="","",SUMIFS($G$1:$G$349,$A$1:$A$349,$A201,$B$1:$B$349,$B201))</f>
        <v/>
      </c>
      <c r="M201" t="str">
        <f>IF($A201="","",SUMIFS($H$1:$H$349,$A$1:$A$349,$A201,$B$1:$B$349,$B201))</f>
        <v/>
      </c>
      <c r="N201" t="str">
        <f>IF($A201="","",SUMIFS($I$1:$I$349,$A$1:$A$349,$A201,$B$1:$B$349,$B201))</f>
        <v/>
      </c>
      <c r="O201" t="str">
        <f>IF($A201="","",SUMIFS($K$1:$K$349,$A$1:$A$349,$A201,$B$1:$B$349,$B201))</f>
        <v/>
      </c>
      <c r="P201" t="str">
        <f>IF($A201="","",SUMIFS($J$1:$J$349,$A$1:$A$349,$A201,$B$1:$B$349,$B201))</f>
        <v/>
      </c>
      <c r="Q201" t="str">
        <f>IF($A201="","",SUMIFS($G$1:$G$349,$A$1:$A$349,$A201,$C$1:$C$349,$C201))</f>
        <v/>
      </c>
      <c r="R201" t="str">
        <f>IF($A201="","",SUMIFS($H$1:$H$349,$A$1:$A$349,$A201,$C$1:$C$349,$C201))</f>
        <v/>
      </c>
      <c r="S201" t="str">
        <f>IF($A201="","",SUMIFS($I$1:$I$349,$A$1:$A$349,$A201,$C$1:$C$349,$C201))</f>
        <v/>
      </c>
      <c r="T201" t="str">
        <f>IF($A201="","",SUMIFS($G$1:$G$349,$A$1:$A$349,$A201))</f>
        <v/>
      </c>
      <c r="U201" t="str">
        <f>IF($A201="","",SUMIFS($H$1:$H$349,$A$1:$A$349,$A201))</f>
        <v/>
      </c>
      <c r="V201" t="str">
        <f>IF($A201="","",SUMIFS($I$1:$I$349,$A$1:$A$349,$A201))</f>
        <v/>
      </c>
      <c r="W201" t="str">
        <f>IF($A201="","",Allocation2!Y201)</f>
        <v/>
      </c>
      <c r="X201" t="str">
        <f>IF($A201="","",Allocation2!Z201)</f>
        <v/>
      </c>
      <c r="Y201" t="str">
        <f>IF($A201="","",Allocation2!AA201)</f>
        <v/>
      </c>
      <c r="Z201" t="str">
        <f>IF($A201="","",Allocation2!AB201)</f>
        <v/>
      </c>
      <c r="AA201" t="str">
        <f>IF($A201="","",Allocation2!AC201)</f>
        <v/>
      </c>
      <c r="AB201" t="str">
        <f>IF($A201="","",Allocation2!AD201)</f>
        <v/>
      </c>
      <c r="AC201" t="str">
        <f>IF($A201="","",IF(ALLOC!$N$4="VOL_EFF",$G201,IF(ALLOC!$N$4="VOL_CLASS",$H201,$I201)))</f>
        <v/>
      </c>
      <c r="AD201" t="str">
        <f>IF($A201="","",IF(ALLOC!$N$4="VOL_EFF",$L201,IF(ALLOC!$N$4="VOL_CLASS",$M201,$N201)))</f>
        <v/>
      </c>
      <c r="AE201" t="str">
        <f>IF($A201="","",IF(ALLOC!$N$3="VOL_EFF",$L201,IF(ALLOC!$N$3="VOL_CLASS",$M201,$N201)))</f>
        <v/>
      </c>
      <c r="AF201" t="str">
        <f>IF($A201="","",IF(ALLOC!$N$3="VOL_EFF",$Q201,IF(ALLOC!$N$3="VOL_CLASS",$R201,$S201)))</f>
        <v/>
      </c>
      <c r="AG201" t="str">
        <f>IF($A201="","",IF(ALLOC!$N$1="VOL_EFF",$Q201,IF(ALLOC!$N$1="VOL_CLASS",$R201,$S201)))</f>
        <v/>
      </c>
      <c r="AH201" t="str">
        <f>IF($A201="","",IF(ALLOC!$N$1="VOL_EFF",$T201,IF(ALLOC!$N$1="VOL_CLASS",$U201,$V201)))</f>
        <v/>
      </c>
      <c r="AI201" t="str">
        <f>IF($A201="","",$W201*IFERROR($K201/$O201,0))</f>
        <v/>
      </c>
      <c r="AJ201" t="str">
        <f>IF($A201="","",$X201*IFERROR($K201/$O201,0))</f>
        <v/>
      </c>
      <c r="AK201" t="str">
        <f>IF($A201="","",$Y201*IFERROR($G201/$L201,0)+$Z201*IFERROR($J201/$P201,0))</f>
        <v/>
      </c>
      <c r="AL201" t="str">
        <f>IF($A201="","",$AA201*IFERROR($AC201/$AD201,0))</f>
        <v/>
      </c>
      <c r="AM201" t="str">
        <f>IF($A201="","",$AB201*IFERROR($AG201/$AH201,0)*IFERROR($AE201/$AF201,0)*IFERROR($AC201/$AD201,0))</f>
        <v/>
      </c>
      <c r="AN201" t="str">
        <f>IF($A201="","",$I201-($AI201+$AJ201+$AK201+$AL201+$AM201+$AR201))</f>
        <v/>
      </c>
      <c r="AO201" t="str">
        <f>IF($A201="","",Allocation2!AE201)</f>
        <v/>
      </c>
      <c r="AP201" t="str">
        <f>IF($A201="","",IF(ALLOC!$N$2="VOL_EFF",$Q201,IF(ALLOC!$N$2="VOL_CLASS",$R201,$S201)))</f>
        <v/>
      </c>
      <c r="AQ201" t="str">
        <f>IF($A201="","",IF(ALLOC!$N$2="VOL_EFF",$T201,IF(ALLOC!$N$2="VOL_CLASS",$U201,$V201)))</f>
        <v/>
      </c>
      <c r="AR201" t="str">
        <f>IF($A201="","",$AO201*IFERROR($AP201/$AQ201,0)*IFERROR($AE201/$AF201,0)*IFERROR($AC201/$AD201,0))</f>
        <v/>
      </c>
    </row>
    <row r="202" spans="1:46" x14ac:dyDescent="0.45">
      <c r="A202" t="str">
        <f>IF(Allocation2!D202="","",Allocation2!D202)</f>
        <v/>
      </c>
      <c r="B202" t="str">
        <f>IF(Allocation2!E202="","",Allocation2!E202)</f>
        <v/>
      </c>
      <c r="C202" t="str">
        <f>IF(Allocation2!F202="","",Allocation2!F202)</f>
        <v/>
      </c>
      <c r="D202" t="str">
        <f>IF(Allocation2!G202="","",Allocation2!G202)</f>
        <v/>
      </c>
      <c r="E202" t="str">
        <f>IF(Allocation2!H202="","",Allocation2!H202)</f>
        <v/>
      </c>
      <c r="F202" t="str">
        <f>IF(Allocation2!I202="","",Allocation2!I202)</f>
        <v/>
      </c>
      <c r="G202" t="str">
        <f>IF(Allocation2!E202="","",Allocation2!J202)</f>
        <v/>
      </c>
      <c r="H202" t="str">
        <f>IF(Allocation2!E202="","",Allocation2!K202)</f>
        <v/>
      </c>
      <c r="I202" t="str">
        <f>IF(Allocation2!E202="","",Allocation2!L202)</f>
        <v/>
      </c>
      <c r="J202" t="str">
        <f>IF($A202="","",Allocation2!X202)</f>
        <v/>
      </c>
      <c r="K202" t="str">
        <f>IF($A202="","",$H202*IF(AND(LEFT($D202,3)="BAC",$F202="INIT"),600,IF(LEFT($D202,3)="BAC",480,IF(AND(LEFT($D202,3)="MAS",$F202="INIT"),520,IF(LEFT($D202,3)="MAS",420,IF($F202="INIT",1000,700))))))</f>
        <v/>
      </c>
      <c r="L202" t="str">
        <f>IF($A202="","",SUMIFS($G$1:$G$349,$A$1:$A$349,$A202,$B$1:$B$349,$B202))</f>
        <v/>
      </c>
      <c r="M202" t="str">
        <f>IF($A202="","",SUMIFS($H$1:$H$349,$A$1:$A$349,$A202,$B$1:$B$349,$B202))</f>
        <v/>
      </c>
      <c r="N202" t="str">
        <f>IF($A202="","",SUMIFS($I$1:$I$349,$A$1:$A$349,$A202,$B$1:$B$349,$B202))</f>
        <v/>
      </c>
      <c r="O202" t="str">
        <f>IF($A202="","",SUMIFS($K$1:$K$349,$A$1:$A$349,$A202,$B$1:$B$349,$B202))</f>
        <v/>
      </c>
      <c r="P202" t="str">
        <f>IF($A202="","",SUMIFS($J$1:$J$349,$A$1:$A$349,$A202,$B$1:$B$349,$B202))</f>
        <v/>
      </c>
      <c r="Q202" t="str">
        <f>IF($A202="","",SUMIFS($G$1:$G$349,$A$1:$A$349,$A202,$C$1:$C$349,$C202))</f>
        <v/>
      </c>
      <c r="R202" t="str">
        <f>IF($A202="","",SUMIFS($H$1:$H$349,$A$1:$A$349,$A202,$C$1:$C$349,$C202))</f>
        <v/>
      </c>
      <c r="S202" t="str">
        <f>IF($A202="","",SUMIFS($I$1:$I$349,$A$1:$A$349,$A202,$C$1:$C$349,$C202))</f>
        <v/>
      </c>
      <c r="T202" t="str">
        <f>IF($A202="","",SUMIFS($G$1:$G$349,$A$1:$A$349,$A202))</f>
        <v/>
      </c>
      <c r="U202" t="str">
        <f>IF($A202="","",SUMIFS($H$1:$H$349,$A$1:$A$349,$A202))</f>
        <v/>
      </c>
      <c r="V202" t="str">
        <f>IF($A202="","",SUMIFS($I$1:$I$349,$A$1:$A$349,$A202))</f>
        <v/>
      </c>
      <c r="W202" t="str">
        <f>IF($A202="","",Allocation2!Y202)</f>
        <v/>
      </c>
      <c r="X202" t="str">
        <f>IF($A202="","",Allocation2!Z202)</f>
        <v/>
      </c>
      <c r="Y202" t="str">
        <f>IF($A202="","",Allocation2!AA202)</f>
        <v/>
      </c>
      <c r="Z202" t="str">
        <f>IF($A202="","",Allocation2!AB202)</f>
        <v/>
      </c>
      <c r="AA202" t="str">
        <f>IF($A202="","",Allocation2!AC202)</f>
        <v/>
      </c>
      <c r="AB202" t="str">
        <f>IF($A202="","",Allocation2!AD202)</f>
        <v/>
      </c>
      <c r="AC202" t="str">
        <f>IF($A202="","",IF(ALLOC!$N$4="VOL_EFF",$G202,IF(ALLOC!$N$4="VOL_CLASS",$H202,$I202)))</f>
        <v/>
      </c>
      <c r="AD202" t="str">
        <f>IF($A202="","",IF(ALLOC!$N$4="VOL_EFF",$L202,IF(ALLOC!$N$4="VOL_CLASS",$M202,$N202)))</f>
        <v/>
      </c>
      <c r="AE202" t="str">
        <f>IF($A202="","",IF(ALLOC!$N$3="VOL_EFF",$L202,IF(ALLOC!$N$3="VOL_CLASS",$M202,$N202)))</f>
        <v/>
      </c>
      <c r="AF202" t="str">
        <f>IF($A202="","",IF(ALLOC!$N$3="VOL_EFF",$Q202,IF(ALLOC!$N$3="VOL_CLASS",$R202,$S202)))</f>
        <v/>
      </c>
      <c r="AG202" t="str">
        <f>IF($A202="","",IF(ALLOC!$N$1="VOL_EFF",$Q202,IF(ALLOC!$N$1="VOL_CLASS",$R202,$S202)))</f>
        <v/>
      </c>
      <c r="AH202" t="str">
        <f>IF($A202="","",IF(ALLOC!$N$1="VOL_EFF",$T202,IF(ALLOC!$N$1="VOL_CLASS",$U202,$V202)))</f>
        <v/>
      </c>
      <c r="AI202" t="str">
        <f>IF($A202="","",$W202*IFERROR($K202/$O202,0))</f>
        <v/>
      </c>
      <c r="AJ202" t="str">
        <f>IF($A202="","",$X202*IFERROR($K202/$O202,0))</f>
        <v/>
      </c>
      <c r="AK202" t="str">
        <f>IF($A202="","",$Y202*IFERROR($G202/$L202,0)+$Z202*IFERROR($J202/$P202,0))</f>
        <v/>
      </c>
      <c r="AL202" t="str">
        <f>IF($A202="","",$AA202*IFERROR($AC202/$AD202,0))</f>
        <v/>
      </c>
      <c r="AM202" t="str">
        <f>IF($A202="","",$AB202*IFERROR($AG202/$AH202,0)*IFERROR($AE202/$AF202,0)*IFERROR($AC202/$AD202,0))</f>
        <v/>
      </c>
      <c r="AN202" t="str">
        <f>IF($A202="","",$I202-($AI202+$AJ202+$AK202+$AL202+$AM202+$AR202))</f>
        <v/>
      </c>
      <c r="AO202" t="str">
        <f>IF($A202="","",Allocation2!AE202)</f>
        <v/>
      </c>
      <c r="AP202" t="str">
        <f>IF($A202="","",IF(ALLOC!$N$2="VOL_EFF",$Q202,IF(ALLOC!$N$2="VOL_CLASS",$R202,$S202)))</f>
        <v/>
      </c>
      <c r="AQ202" t="str">
        <f>IF($A202="","",IF(ALLOC!$N$2="VOL_EFF",$T202,IF(ALLOC!$N$2="VOL_CLASS",$U202,$V202)))</f>
        <v/>
      </c>
      <c r="AR202" t="str">
        <f>IF($A202="","",$AO202*IFERROR($AP202/$AQ202,0)*IFERROR($AE202/$AF202,0)*IFERROR($AC202/$AD202,0))</f>
        <v/>
      </c>
    </row>
    <row r="203" spans="1:46" x14ac:dyDescent="0.45">
      <c r="A203" t="str">
        <f>IF(Allocation2!D203="","",Allocation2!D203)</f>
        <v/>
      </c>
      <c r="B203" t="str">
        <f>IF(Allocation2!E203="","",Allocation2!E203)</f>
        <v/>
      </c>
      <c r="C203" t="str">
        <f>IF(Allocation2!F203="","",Allocation2!F203)</f>
        <v/>
      </c>
      <c r="D203" t="str">
        <f>IF(Allocation2!G203="","",Allocation2!G203)</f>
        <v/>
      </c>
      <c r="E203" t="str">
        <f>IF(Allocation2!H203="","",Allocation2!H203)</f>
        <v/>
      </c>
      <c r="F203" t="str">
        <f>IF(Allocation2!I203="","",Allocation2!I203)</f>
        <v/>
      </c>
      <c r="G203" t="str">
        <f>IF(Allocation2!E203="","",Allocation2!J203)</f>
        <v/>
      </c>
      <c r="H203" t="str">
        <f>IF(Allocation2!E203="","",Allocation2!K203)</f>
        <v/>
      </c>
      <c r="I203" t="str">
        <f>IF(Allocation2!E203="","",Allocation2!L203)</f>
        <v/>
      </c>
      <c r="J203" t="str">
        <f>IF($A203="","",Allocation2!X203)</f>
        <v/>
      </c>
      <c r="K203" t="str">
        <f>IF($A203="","",$H203*IF(AND(LEFT($D203,3)="BAC",$F203="INIT"),600,IF(LEFT($D203,3)="BAC",480,IF(AND(LEFT($D203,3)="MAS",$F203="INIT"),520,IF(LEFT($D203,3)="MAS",420,IF($F203="INIT",1000,700))))))</f>
        <v/>
      </c>
      <c r="L203" t="str">
        <f>IF($A203="","",SUMIFS($G$1:$G$349,$A$1:$A$349,$A203,$B$1:$B$349,$B203))</f>
        <v/>
      </c>
      <c r="M203" t="str">
        <f>IF($A203="","",SUMIFS($H$1:$H$349,$A$1:$A$349,$A203,$B$1:$B$349,$B203))</f>
        <v/>
      </c>
      <c r="N203" t="str">
        <f>IF($A203="","",SUMIFS($I$1:$I$349,$A$1:$A$349,$A203,$B$1:$B$349,$B203))</f>
        <v/>
      </c>
      <c r="O203" t="str">
        <f>IF($A203="","",SUMIFS($K$1:$K$349,$A$1:$A$349,$A203,$B$1:$B$349,$B203))</f>
        <v/>
      </c>
      <c r="P203" t="str">
        <f>IF($A203="","",SUMIFS($J$1:$J$349,$A$1:$A$349,$A203,$B$1:$B$349,$B203))</f>
        <v/>
      </c>
      <c r="Q203" t="str">
        <f>IF($A203="","",SUMIFS($G$1:$G$349,$A$1:$A$349,$A203,$C$1:$C$349,$C203))</f>
        <v/>
      </c>
      <c r="R203" t="str">
        <f>IF($A203="","",SUMIFS($H$1:$H$349,$A$1:$A$349,$A203,$C$1:$C$349,$C203))</f>
        <v/>
      </c>
      <c r="S203" t="str">
        <f>IF($A203="","",SUMIFS($I$1:$I$349,$A$1:$A$349,$A203,$C$1:$C$349,$C203))</f>
        <v/>
      </c>
      <c r="T203" t="str">
        <f>IF($A203="","",SUMIFS($G$1:$G$349,$A$1:$A$349,$A203))</f>
        <v/>
      </c>
      <c r="U203" t="str">
        <f>IF($A203="","",SUMIFS($H$1:$H$349,$A$1:$A$349,$A203))</f>
        <v/>
      </c>
      <c r="V203" t="str">
        <f>IF($A203="","",SUMIFS($I$1:$I$349,$A$1:$A$349,$A203))</f>
        <v/>
      </c>
      <c r="W203" t="str">
        <f>IF($A203="","",Allocation2!Y203)</f>
        <v/>
      </c>
      <c r="X203" t="str">
        <f>IF($A203="","",Allocation2!Z203)</f>
        <v/>
      </c>
      <c r="Y203" t="str">
        <f>IF($A203="","",Allocation2!AA203)</f>
        <v/>
      </c>
      <c r="Z203" t="str">
        <f>IF($A203="","",Allocation2!AB203)</f>
        <v/>
      </c>
      <c r="AA203" t="str">
        <f>IF($A203="","",Allocation2!AC203)</f>
        <v/>
      </c>
      <c r="AB203" t="str">
        <f>IF($A203="","",Allocation2!AD203)</f>
        <v/>
      </c>
      <c r="AC203" t="str">
        <f>IF($A203="","",IF(ALLOC!$N$4="VOL_EFF",$G203,IF(ALLOC!$N$4="VOL_CLASS",$H203,$I203)))</f>
        <v/>
      </c>
      <c r="AD203" t="str">
        <f>IF($A203="","",IF(ALLOC!$N$4="VOL_EFF",$L203,IF(ALLOC!$N$4="VOL_CLASS",$M203,$N203)))</f>
        <v/>
      </c>
      <c r="AE203" t="str">
        <f>IF($A203="","",IF(ALLOC!$N$3="VOL_EFF",$L203,IF(ALLOC!$N$3="VOL_CLASS",$M203,$N203)))</f>
        <v/>
      </c>
      <c r="AF203" t="str">
        <f>IF($A203="","",IF(ALLOC!$N$3="VOL_EFF",$Q203,IF(ALLOC!$N$3="VOL_CLASS",$R203,$S203)))</f>
        <v/>
      </c>
      <c r="AG203" t="str">
        <f>IF($A203="","",IF(ALLOC!$N$1="VOL_EFF",$Q203,IF(ALLOC!$N$1="VOL_CLASS",$R203,$S203)))</f>
        <v/>
      </c>
      <c r="AH203" t="str">
        <f>IF($A203="","",IF(ALLOC!$N$1="VOL_EFF",$T203,IF(ALLOC!$N$1="VOL_CLASS",$U203,$V203)))</f>
        <v/>
      </c>
      <c r="AI203" t="str">
        <f>IF($A203="","",$W203*IFERROR($K203/$O203,0))</f>
        <v/>
      </c>
      <c r="AJ203" t="str">
        <f>IF($A203="","",$X203*IFERROR($K203/$O203,0))</f>
        <v/>
      </c>
      <c r="AK203" t="str">
        <f>IF($A203="","",$Y203*IFERROR($G203/$L203,0)+$Z203*IFERROR($J203/$P203,0))</f>
        <v/>
      </c>
      <c r="AL203" t="str">
        <f>IF($A203="","",$AA203*IFERROR($AC203/$AD203,0))</f>
        <v/>
      </c>
      <c r="AM203" t="str">
        <f>IF($A203="","",$AB203*IFERROR($AG203/$AH203,0)*IFERROR($AE203/$AF203,0)*IFERROR($AC203/$AD203,0))</f>
        <v/>
      </c>
      <c r="AN203" t="str">
        <f>IF($A203="","",$I203-($AI203+$AJ203+$AK203+$AL203+$AM203+$AR203))</f>
        <v/>
      </c>
      <c r="AO203" t="str">
        <f>IF($A203="","",Allocation2!AE203)</f>
        <v/>
      </c>
      <c r="AP203" t="str">
        <f>IF($A203="","",IF(ALLOC!$N$2="VOL_EFF",$Q203,IF(ALLOC!$N$2="VOL_CLASS",$R203,$S203)))</f>
        <v/>
      </c>
      <c r="AQ203" t="str">
        <f>IF($A203="","",IF(ALLOC!$N$2="VOL_EFF",$T203,IF(ALLOC!$N$2="VOL_CLASS",$U203,$V203)))</f>
        <v/>
      </c>
      <c r="AR203" t="str">
        <f>IF($A203="","",$AO203*IFERROR($AP203/$AQ203,0)*IFERROR($AE203/$AF203,0)*IFERROR($AC203/$AD203,0))</f>
        <v/>
      </c>
    </row>
    <row r="204" spans="1:46" x14ac:dyDescent="0.45">
      <c r="A204" t="str">
        <f>IF(Allocation2!D204="","",Allocation2!D204)</f>
        <v/>
      </c>
      <c r="B204" t="str">
        <f>IF(Allocation2!E204="","",Allocation2!E204)</f>
        <v/>
      </c>
      <c r="C204" t="str">
        <f>IF(Allocation2!F204="","",Allocation2!F204)</f>
        <v/>
      </c>
      <c r="D204" t="str">
        <f>IF(Allocation2!G204="","",Allocation2!G204)</f>
        <v/>
      </c>
      <c r="E204" t="str">
        <f>IF(Allocation2!H204="","",Allocation2!H204)</f>
        <v/>
      </c>
      <c r="F204" t="str">
        <f>IF(Allocation2!I204="","",Allocation2!I204)</f>
        <v/>
      </c>
      <c r="G204" t="str">
        <f>IF(Allocation2!E204="","",Allocation2!J204)</f>
        <v/>
      </c>
      <c r="H204" t="str">
        <f>IF(Allocation2!E204="","",Allocation2!K204)</f>
        <v/>
      </c>
      <c r="I204" t="str">
        <f>IF(Allocation2!E204="","",Allocation2!L204)</f>
        <v/>
      </c>
      <c r="J204" t="str">
        <f>IF($A204="","",Allocation2!X204)</f>
        <v/>
      </c>
      <c r="K204" t="str">
        <f>IF($A204="","",$H204*IF(AND(LEFT($D204,3)="BAC",$F204="INIT"),600,IF(LEFT($D204,3)="BAC",480,IF(AND(LEFT($D204,3)="MAS",$F204="INIT"),520,IF(LEFT($D204,3)="MAS",420,IF($F204="INIT",1000,700))))))</f>
        <v/>
      </c>
      <c r="L204" t="str">
        <f>IF($A204="","",SUMIFS($G$1:$G$349,$A$1:$A$349,$A204,$B$1:$B$349,$B204))</f>
        <v/>
      </c>
      <c r="M204" t="str">
        <f>IF($A204="","",SUMIFS($H$1:$H$349,$A$1:$A$349,$A204,$B$1:$B$349,$B204))</f>
        <v/>
      </c>
      <c r="N204" t="str">
        <f>IF($A204="","",SUMIFS($I$1:$I$349,$A$1:$A$349,$A204,$B$1:$B$349,$B204))</f>
        <v/>
      </c>
      <c r="O204" t="str">
        <f>IF($A204="","",SUMIFS($K$1:$K$349,$A$1:$A$349,$A204,$B$1:$B$349,$B204))</f>
        <v/>
      </c>
      <c r="P204" t="str">
        <f>IF($A204="","",SUMIFS($J$1:$J$349,$A$1:$A$349,$A204,$B$1:$B$349,$B204))</f>
        <v/>
      </c>
      <c r="Q204" t="str">
        <f>IF($A204="","",SUMIFS($G$1:$G$349,$A$1:$A$349,$A204,$C$1:$C$349,$C204))</f>
        <v/>
      </c>
      <c r="R204" t="str">
        <f>IF($A204="","",SUMIFS($H$1:$H$349,$A$1:$A$349,$A204,$C$1:$C$349,$C204))</f>
        <v/>
      </c>
      <c r="S204" t="str">
        <f>IF($A204="","",SUMIFS($I$1:$I$349,$A$1:$A$349,$A204,$C$1:$C$349,$C204))</f>
        <v/>
      </c>
      <c r="T204" t="str">
        <f>IF($A204="","",SUMIFS($G$1:$G$349,$A$1:$A$349,$A204))</f>
        <v/>
      </c>
      <c r="U204" t="str">
        <f>IF($A204="","",SUMIFS($H$1:$H$349,$A$1:$A$349,$A204))</f>
        <v/>
      </c>
      <c r="V204" t="str">
        <f>IF($A204="","",SUMIFS($I$1:$I$349,$A$1:$A$349,$A204))</f>
        <v/>
      </c>
      <c r="W204" t="str">
        <f>IF($A204="","",Allocation2!Y204)</f>
        <v/>
      </c>
      <c r="X204" t="str">
        <f>IF($A204="","",Allocation2!Z204)</f>
        <v/>
      </c>
      <c r="Y204" t="str">
        <f>IF($A204="","",Allocation2!AA204)</f>
        <v/>
      </c>
      <c r="Z204" t="str">
        <f>IF($A204="","",Allocation2!AB204)</f>
        <v/>
      </c>
      <c r="AA204" t="str">
        <f>IF($A204="","",Allocation2!AC204)</f>
        <v/>
      </c>
      <c r="AB204" t="str">
        <f>IF($A204="","",Allocation2!AD204)</f>
        <v/>
      </c>
      <c r="AC204" t="str">
        <f>IF($A204="","",IF(ALLOC!$N$4="VOL_EFF",$G204,IF(ALLOC!$N$4="VOL_CLASS",$H204,$I204)))</f>
        <v/>
      </c>
      <c r="AD204" t="str">
        <f>IF($A204="","",IF(ALLOC!$N$4="VOL_EFF",$L204,IF(ALLOC!$N$4="VOL_CLASS",$M204,$N204)))</f>
        <v/>
      </c>
      <c r="AE204" t="str">
        <f>IF($A204="","",IF(ALLOC!$N$3="VOL_EFF",$L204,IF(ALLOC!$N$3="VOL_CLASS",$M204,$N204)))</f>
        <v/>
      </c>
      <c r="AF204" t="str">
        <f>IF($A204="","",IF(ALLOC!$N$3="VOL_EFF",$Q204,IF(ALLOC!$N$3="VOL_CLASS",$R204,$S204)))</f>
        <v/>
      </c>
      <c r="AG204" t="str">
        <f>IF($A204="","",IF(ALLOC!$N$1="VOL_EFF",$Q204,IF(ALLOC!$N$1="VOL_CLASS",$R204,$S204)))</f>
        <v/>
      </c>
      <c r="AH204" t="str">
        <f>IF($A204="","",IF(ALLOC!$N$1="VOL_EFF",$T204,IF(ALLOC!$N$1="VOL_CLASS",$U204,$V204)))</f>
        <v/>
      </c>
      <c r="AI204" t="str">
        <f>IF($A204="","",$W204*IFERROR($K204/$O204,0))</f>
        <v/>
      </c>
      <c r="AJ204" t="str">
        <f>IF($A204="","",$X204*IFERROR($K204/$O204,0))</f>
        <v/>
      </c>
      <c r="AK204" t="str">
        <f>IF($A204="","",$Y204*IFERROR($G204/$L204,0)+$Z204*IFERROR($J204/$P204,0))</f>
        <v/>
      </c>
      <c r="AL204" t="str">
        <f>IF($A204="","",$AA204*IFERROR($AC204/$AD204,0))</f>
        <v/>
      </c>
      <c r="AM204" t="str">
        <f>IF($A204="","",$AB204*IFERROR($AG204/$AH204,0)*IFERROR($AE204/$AF204,0)*IFERROR($AC204/$AD204,0))</f>
        <v/>
      </c>
      <c r="AN204" t="str">
        <f>IF($A204="","",$I204-($AI204+$AJ204+$AK204+$AL204+$AM204+$AR204))</f>
        <v/>
      </c>
      <c r="AO204" t="str">
        <f>IF($A204="","",Allocation2!AE204)</f>
        <v/>
      </c>
      <c r="AP204" t="str">
        <f>IF($A204="","",IF(ALLOC!$N$2="VOL_EFF",$Q204,IF(ALLOC!$N$2="VOL_CLASS",$R204,$S204)))</f>
        <v/>
      </c>
      <c r="AQ204" t="str">
        <f>IF($A204="","",IF(ALLOC!$N$2="VOL_EFF",$T204,IF(ALLOC!$N$2="VOL_CLASS",$U204,$V204)))</f>
        <v/>
      </c>
      <c r="AR204" t="str">
        <f>IF($A204="","",$AO204*IFERROR($AP204/$AQ204,0)*IFERROR($AE204/$AF204,0)*IFERROR($AC204/$AD204,0))</f>
        <v/>
      </c>
    </row>
    <row r="205" spans="1:46" x14ac:dyDescent="0.45">
      <c r="A205" t="str">
        <f>IF(Allocation2!D205="","",Allocation2!D205)</f>
        <v/>
      </c>
      <c r="B205" t="str">
        <f>IF(Allocation2!E205="","",Allocation2!E205)</f>
        <v/>
      </c>
      <c r="C205" t="str">
        <f>IF(Allocation2!F205="","",Allocation2!F205)</f>
        <v/>
      </c>
      <c r="D205" t="str">
        <f>IF(Allocation2!G205="","",Allocation2!G205)</f>
        <v/>
      </c>
      <c r="E205" t="str">
        <f>IF(Allocation2!H205="","",Allocation2!H205)</f>
        <v/>
      </c>
      <c r="F205" t="str">
        <f>IF(Allocation2!I205="","",Allocation2!I205)</f>
        <v/>
      </c>
      <c r="G205" t="str">
        <f>IF(Allocation2!E205="","",Allocation2!J205)</f>
        <v/>
      </c>
      <c r="H205" t="str">
        <f>IF(Allocation2!E205="","",Allocation2!K205)</f>
        <v/>
      </c>
      <c r="I205" t="str">
        <f>IF(Allocation2!E205="","",Allocation2!L205)</f>
        <v/>
      </c>
      <c r="J205" t="str">
        <f>IF($A205="","",Allocation2!X205)</f>
        <v/>
      </c>
      <c r="K205" t="str">
        <f>IF($A205="","",$H205*IF(AND(LEFT($D205,3)="BAC",$F205="INIT"),600,IF(LEFT($D205,3)="BAC",480,IF(AND(LEFT($D205,3)="MAS",$F205="INIT"),520,IF(LEFT($D205,3)="MAS",420,IF($F205="INIT",1000,700))))))</f>
        <v/>
      </c>
      <c r="L205" t="str">
        <f>IF($A205="","",SUMIFS($G$1:$G$349,$A$1:$A$349,$A205,$B$1:$B$349,$B205))</f>
        <v/>
      </c>
      <c r="M205" t="str">
        <f>IF($A205="","",SUMIFS($H$1:$H$349,$A$1:$A$349,$A205,$B$1:$B$349,$B205))</f>
        <v/>
      </c>
      <c r="N205" t="str">
        <f>IF($A205="","",SUMIFS($I$1:$I$349,$A$1:$A$349,$A205,$B$1:$B$349,$B205))</f>
        <v/>
      </c>
      <c r="O205" t="str">
        <f>IF($A205="","",SUMIFS($K$1:$K$349,$A$1:$A$349,$A205,$B$1:$B$349,$B205))</f>
        <v/>
      </c>
      <c r="P205" t="str">
        <f>IF($A205="","",SUMIFS($J$1:$J$349,$A$1:$A$349,$A205,$B$1:$B$349,$B205))</f>
        <v/>
      </c>
      <c r="Q205" t="str">
        <f>IF($A205="","",SUMIFS($G$1:$G$349,$A$1:$A$349,$A205,$C$1:$C$349,$C205))</f>
        <v/>
      </c>
      <c r="R205" t="str">
        <f>IF($A205="","",SUMIFS($H$1:$H$349,$A$1:$A$349,$A205,$C$1:$C$349,$C205))</f>
        <v/>
      </c>
      <c r="S205" t="str">
        <f>IF($A205="","",SUMIFS($I$1:$I$349,$A$1:$A$349,$A205,$C$1:$C$349,$C205))</f>
        <v/>
      </c>
      <c r="T205" t="str">
        <f>IF($A205="","",SUMIFS($G$1:$G$349,$A$1:$A$349,$A205))</f>
        <v/>
      </c>
      <c r="U205" t="str">
        <f>IF($A205="","",SUMIFS($H$1:$H$349,$A$1:$A$349,$A205))</f>
        <v/>
      </c>
      <c r="V205" t="str">
        <f>IF($A205="","",SUMIFS($I$1:$I$349,$A$1:$A$349,$A205))</f>
        <v/>
      </c>
      <c r="W205" t="str">
        <f>IF($A205="","",Allocation2!Y205)</f>
        <v/>
      </c>
      <c r="X205" t="str">
        <f>IF($A205="","",Allocation2!Z205)</f>
        <v/>
      </c>
      <c r="Y205" t="str">
        <f>IF($A205="","",Allocation2!AA205)</f>
        <v/>
      </c>
      <c r="Z205" t="str">
        <f>IF($A205="","",Allocation2!AB205)</f>
        <v/>
      </c>
      <c r="AA205" t="str">
        <f>IF($A205="","",Allocation2!AC205)</f>
        <v/>
      </c>
      <c r="AB205" t="str">
        <f>IF($A205="","",Allocation2!AD205)</f>
        <v/>
      </c>
      <c r="AC205" t="str">
        <f>IF($A205="","",IF(ALLOC!$N$4="VOL_EFF",$G205,IF(ALLOC!$N$4="VOL_CLASS",$H205,$I205)))</f>
        <v/>
      </c>
      <c r="AD205" t="str">
        <f>IF($A205="","",IF(ALLOC!$N$4="VOL_EFF",$L205,IF(ALLOC!$N$4="VOL_CLASS",$M205,$N205)))</f>
        <v/>
      </c>
      <c r="AE205" t="str">
        <f>IF($A205="","",IF(ALLOC!$N$3="VOL_EFF",$L205,IF(ALLOC!$N$3="VOL_CLASS",$M205,$N205)))</f>
        <v/>
      </c>
      <c r="AF205" t="str">
        <f>IF($A205="","",IF(ALLOC!$N$3="VOL_EFF",$Q205,IF(ALLOC!$N$3="VOL_CLASS",$R205,$S205)))</f>
        <v/>
      </c>
      <c r="AG205" t="str">
        <f>IF($A205="","",IF(ALLOC!$N$1="VOL_EFF",$Q205,IF(ALLOC!$N$1="VOL_CLASS",$R205,$S205)))</f>
        <v/>
      </c>
      <c r="AH205" t="str">
        <f>IF($A205="","",IF(ALLOC!$N$1="VOL_EFF",$T205,IF(ALLOC!$N$1="VOL_CLASS",$U205,$V205)))</f>
        <v/>
      </c>
      <c r="AI205" t="str">
        <f>IF($A205="","",$W205*IFERROR($K205/$O205,0))</f>
        <v/>
      </c>
      <c r="AJ205" t="str">
        <f>IF($A205="","",$X205*IFERROR($K205/$O205,0))</f>
        <v/>
      </c>
      <c r="AK205" t="str">
        <f>IF($A205="","",$Y205*IFERROR($G205/$L205,0)+$Z205*IFERROR($J205/$P205,0))</f>
        <v/>
      </c>
      <c r="AL205" t="str">
        <f>IF($A205="","",$AA205*IFERROR($AC205/$AD205,0))</f>
        <v/>
      </c>
      <c r="AM205" t="str">
        <f>IF($A205="","",$AB205*IFERROR($AG205/$AH205,0)*IFERROR($AE205/$AF205,0)*IFERROR($AC205/$AD205,0))</f>
        <v/>
      </c>
      <c r="AN205" t="str">
        <f>IF($A205="","",$I205-($AI205+$AJ205+$AK205+$AL205+$AM205+$AR205))</f>
        <v/>
      </c>
      <c r="AO205" t="str">
        <f>IF($A205="","",Allocation2!AE205)</f>
        <v/>
      </c>
      <c r="AP205" t="str">
        <f>IF($A205="","",IF(ALLOC!$N$2="VOL_EFF",$Q205,IF(ALLOC!$N$2="VOL_CLASS",$R205,$S205)))</f>
        <v/>
      </c>
      <c r="AQ205" t="str">
        <f>IF($A205="","",IF(ALLOC!$N$2="VOL_EFF",$T205,IF(ALLOC!$N$2="VOL_CLASS",$U205,$V205)))</f>
        <v/>
      </c>
      <c r="AR205" t="str">
        <f>IF($A205="","",$AO205*IFERROR($AP205/$AQ205,0)*IFERROR($AE205/$AF205,0)*IFERROR($AC205/$AD205,0))</f>
        <v/>
      </c>
    </row>
    <row r="206" spans="1:46" x14ac:dyDescent="0.45">
      <c r="A206" t="str">
        <f>IF(Allocation2!D206="","",Allocation2!D206)</f>
        <v/>
      </c>
      <c r="B206" t="str">
        <f>IF(Allocation2!E206="","",Allocation2!E206)</f>
        <v/>
      </c>
      <c r="C206" t="str">
        <f>IF(Allocation2!F206="","",Allocation2!F206)</f>
        <v/>
      </c>
      <c r="D206" t="str">
        <f>IF(Allocation2!G206="","",Allocation2!G206)</f>
        <v/>
      </c>
      <c r="E206" t="str">
        <f>IF(Allocation2!H206="","",Allocation2!H206)</f>
        <v/>
      </c>
      <c r="F206" t="str">
        <f>IF(Allocation2!I206="","",Allocation2!I206)</f>
        <v/>
      </c>
      <c r="G206" t="str">
        <f>IF(Allocation2!E206="","",Allocation2!J206)</f>
        <v/>
      </c>
      <c r="H206" t="str">
        <f>IF(Allocation2!E206="","",Allocation2!K206)</f>
        <v/>
      </c>
      <c r="I206" t="str">
        <f>IF(Allocation2!E206="","",Allocation2!L206)</f>
        <v/>
      </c>
      <c r="J206" t="str">
        <f>IF($A206="","",Allocation2!X206)</f>
        <v/>
      </c>
      <c r="K206" t="str">
        <f>IF($A206="","",$H206*IF(AND(LEFT($D206,3)="BAC",$F206="INIT"),600,IF(LEFT($D206,3)="BAC",480,IF(AND(LEFT($D206,3)="MAS",$F206="INIT"),520,IF(LEFT($D206,3)="MAS",420,IF($F206="INIT",1000,700))))))</f>
        <v/>
      </c>
      <c r="L206" t="str">
        <f>IF($A206="","",SUMIFS($G$1:$G$349,$A$1:$A$349,$A206,$B$1:$B$349,$B206))</f>
        <v/>
      </c>
      <c r="M206" t="str">
        <f>IF($A206="","",SUMIFS($H$1:$H$349,$A$1:$A$349,$A206,$B$1:$B$349,$B206))</f>
        <v/>
      </c>
      <c r="N206" t="str">
        <f>IF($A206="","",SUMIFS($I$1:$I$349,$A$1:$A$349,$A206,$B$1:$B$349,$B206))</f>
        <v/>
      </c>
      <c r="O206" t="str">
        <f>IF($A206="","",SUMIFS($K$1:$K$349,$A$1:$A$349,$A206,$B$1:$B$349,$B206))</f>
        <v/>
      </c>
      <c r="P206" t="str">
        <f>IF($A206="","",SUMIFS($J$1:$J$349,$A$1:$A$349,$A206,$B$1:$B$349,$B206))</f>
        <v/>
      </c>
      <c r="Q206" t="str">
        <f>IF($A206="","",SUMIFS($G$1:$G$349,$A$1:$A$349,$A206,$C$1:$C$349,$C206))</f>
        <v/>
      </c>
      <c r="R206" t="str">
        <f>IF($A206="","",SUMIFS($H$1:$H$349,$A$1:$A$349,$A206,$C$1:$C$349,$C206))</f>
        <v/>
      </c>
      <c r="S206" t="str">
        <f>IF($A206="","",SUMIFS($I$1:$I$349,$A$1:$A$349,$A206,$C$1:$C$349,$C206))</f>
        <v/>
      </c>
      <c r="T206" t="str">
        <f>IF($A206="","",SUMIFS($G$1:$G$349,$A$1:$A$349,$A206))</f>
        <v/>
      </c>
      <c r="U206" t="str">
        <f>IF($A206="","",SUMIFS($H$1:$H$349,$A$1:$A$349,$A206))</f>
        <v/>
      </c>
      <c r="V206" t="str">
        <f>IF($A206="","",SUMIFS($I$1:$I$349,$A$1:$A$349,$A206))</f>
        <v/>
      </c>
      <c r="W206" t="str">
        <f>IF($A206="","",Allocation2!Y206)</f>
        <v/>
      </c>
      <c r="X206" t="str">
        <f>IF($A206="","",Allocation2!Z206)</f>
        <v/>
      </c>
      <c r="Y206" t="str">
        <f>IF($A206="","",Allocation2!AA206)</f>
        <v/>
      </c>
      <c r="Z206" t="str">
        <f>IF($A206="","",Allocation2!AB206)</f>
        <v/>
      </c>
      <c r="AA206" t="str">
        <f>IF($A206="","",Allocation2!AC206)</f>
        <v/>
      </c>
      <c r="AB206" t="str">
        <f>IF($A206="","",Allocation2!AD206)</f>
        <v/>
      </c>
      <c r="AC206" t="str">
        <f>IF($A206="","",IF(ALLOC!$N$4="VOL_EFF",$G206,IF(ALLOC!$N$4="VOL_CLASS",$H206,$I206)))</f>
        <v/>
      </c>
      <c r="AD206" t="str">
        <f>IF($A206="","",IF(ALLOC!$N$4="VOL_EFF",$L206,IF(ALLOC!$N$4="VOL_CLASS",$M206,$N206)))</f>
        <v/>
      </c>
      <c r="AE206" t="str">
        <f>IF($A206="","",IF(ALLOC!$N$3="VOL_EFF",$L206,IF(ALLOC!$N$3="VOL_CLASS",$M206,$N206)))</f>
        <v/>
      </c>
      <c r="AF206" t="str">
        <f>IF($A206="","",IF(ALLOC!$N$3="VOL_EFF",$Q206,IF(ALLOC!$N$3="VOL_CLASS",$R206,$S206)))</f>
        <v/>
      </c>
      <c r="AG206" t="str">
        <f>IF($A206="","",IF(ALLOC!$N$1="VOL_EFF",$Q206,IF(ALLOC!$N$1="VOL_CLASS",$R206,$S206)))</f>
        <v/>
      </c>
      <c r="AH206" t="str">
        <f>IF($A206="","",IF(ALLOC!$N$1="VOL_EFF",$T206,IF(ALLOC!$N$1="VOL_CLASS",$U206,$V206)))</f>
        <v/>
      </c>
      <c r="AI206" t="str">
        <f>IF($A206="","",$W206*IFERROR($K206/$O206,0))</f>
        <v/>
      </c>
      <c r="AJ206" t="str">
        <f>IF($A206="","",$X206*IFERROR($K206/$O206,0))</f>
        <v/>
      </c>
      <c r="AK206" t="str">
        <f>IF($A206="","",$Y206*IFERROR($G206/$L206,0)+$Z206*IFERROR($J206/$P206,0))</f>
        <v/>
      </c>
      <c r="AL206" t="str">
        <f>IF($A206="","",$AA206*IFERROR($AC206/$AD206,0))</f>
        <v/>
      </c>
      <c r="AM206" t="str">
        <f>IF($A206="","",$AB206*IFERROR($AG206/$AH206,0)*IFERROR($AE206/$AF206,0)*IFERROR($AC206/$AD206,0))</f>
        <v/>
      </c>
      <c r="AN206" t="str">
        <f>IF($A206="","",$I206-($AI206+$AJ206+$AK206+$AL206+$AM206+$AR206))</f>
        <v/>
      </c>
      <c r="AO206" t="str">
        <f>IF($A206="","",Allocation2!AE206)</f>
        <v/>
      </c>
      <c r="AP206" t="str">
        <f>IF($A206="","",IF(ALLOC!$N$2="VOL_EFF",$Q206,IF(ALLOC!$N$2="VOL_CLASS",$R206,$S206)))</f>
        <v/>
      </c>
      <c r="AQ206" t="str">
        <f>IF($A206="","",IF(ALLOC!$N$2="VOL_EFF",$T206,IF(ALLOC!$N$2="VOL_CLASS",$U206,$V206)))</f>
        <v/>
      </c>
      <c r="AR206" t="str">
        <f>IF($A206="","",$AO206*IFERROR($AP206/$AQ206,0)*IFERROR($AE206/$AF206,0)*IFERROR($AC206/$AD206,0))</f>
        <v/>
      </c>
    </row>
    <row r="207" spans="1:46" x14ac:dyDescent="0.45">
      <c r="A207" t="str">
        <f>IF(Allocation2!D207="","",Allocation2!D207)</f>
        <v/>
      </c>
      <c r="B207" t="str">
        <f>IF(Allocation2!E207="","",Allocation2!E207)</f>
        <v/>
      </c>
      <c r="C207" t="str">
        <f>IF(Allocation2!F207="","",Allocation2!F207)</f>
        <v/>
      </c>
      <c r="D207" t="str">
        <f>IF(Allocation2!G207="","",Allocation2!G207)</f>
        <v/>
      </c>
      <c r="E207" t="str">
        <f>IF(Allocation2!H207="","",Allocation2!H207)</f>
        <v/>
      </c>
      <c r="F207" t="str">
        <f>IF(Allocation2!I207="","",Allocation2!I207)</f>
        <v/>
      </c>
      <c r="G207" t="str">
        <f>IF(Allocation2!E207="","",Allocation2!J207)</f>
        <v/>
      </c>
      <c r="H207" t="str">
        <f>IF(Allocation2!E207="","",Allocation2!K207)</f>
        <v/>
      </c>
      <c r="I207" t="str">
        <f>IF(Allocation2!E207="","",Allocation2!L207)</f>
        <v/>
      </c>
      <c r="J207" t="str">
        <f>IF($A207="","",Allocation2!X207)</f>
        <v/>
      </c>
      <c r="K207" t="str">
        <f>IF($A207="","",$H207*IF(AND(LEFT($D207,3)="BAC",$F207="INIT"),600,IF(LEFT($D207,3)="BAC",480,IF(AND(LEFT($D207,3)="MAS",$F207="INIT"),520,IF(LEFT($D207,3)="MAS",420,IF($F207="INIT",1000,700))))))</f>
        <v/>
      </c>
      <c r="L207" t="str">
        <f>IF($A207="","",SUMIFS($G$1:$G$349,$A$1:$A$349,$A207,$B$1:$B$349,$B207))</f>
        <v/>
      </c>
      <c r="M207" t="str">
        <f>IF($A207="","",SUMIFS($H$1:$H$349,$A$1:$A$349,$A207,$B$1:$B$349,$B207))</f>
        <v/>
      </c>
      <c r="N207" t="str">
        <f>IF($A207="","",SUMIFS($I$1:$I$349,$A$1:$A$349,$A207,$B$1:$B$349,$B207))</f>
        <v/>
      </c>
      <c r="O207" t="str">
        <f>IF($A207="","",SUMIFS($K$1:$K$349,$A$1:$A$349,$A207,$B$1:$B$349,$B207))</f>
        <v/>
      </c>
      <c r="P207" t="str">
        <f>IF($A207="","",SUMIFS($J$1:$J$349,$A$1:$A$349,$A207,$B$1:$B$349,$B207))</f>
        <v/>
      </c>
      <c r="Q207" t="str">
        <f>IF($A207="","",SUMIFS($G$1:$G$349,$A$1:$A$349,$A207,$C$1:$C$349,$C207))</f>
        <v/>
      </c>
      <c r="R207" t="str">
        <f>IF($A207="","",SUMIFS($H$1:$H$349,$A$1:$A$349,$A207,$C$1:$C$349,$C207))</f>
        <v/>
      </c>
      <c r="S207" t="str">
        <f>IF($A207="","",SUMIFS($I$1:$I$349,$A$1:$A$349,$A207,$C$1:$C$349,$C207))</f>
        <v/>
      </c>
      <c r="T207" t="str">
        <f>IF($A207="","",SUMIFS($G$1:$G$349,$A$1:$A$349,$A207))</f>
        <v/>
      </c>
      <c r="U207" t="str">
        <f>IF($A207="","",SUMIFS($H$1:$H$349,$A$1:$A$349,$A207))</f>
        <v/>
      </c>
      <c r="V207" t="str">
        <f>IF($A207="","",SUMIFS($I$1:$I$349,$A$1:$A$349,$A207))</f>
        <v/>
      </c>
      <c r="W207" t="str">
        <f>IF($A207="","",Allocation2!Y207)</f>
        <v/>
      </c>
      <c r="X207" t="str">
        <f>IF($A207="","",Allocation2!Z207)</f>
        <v/>
      </c>
      <c r="Y207" t="str">
        <f>IF($A207="","",Allocation2!AA207)</f>
        <v/>
      </c>
      <c r="Z207" t="str">
        <f>IF($A207="","",Allocation2!AB207)</f>
        <v/>
      </c>
      <c r="AA207" t="str">
        <f>IF($A207="","",Allocation2!AC207)</f>
        <v/>
      </c>
      <c r="AB207" t="str">
        <f>IF($A207="","",Allocation2!AD207)</f>
        <v/>
      </c>
      <c r="AC207" t="str">
        <f>IF($A207="","",IF(ALLOC!$N$4="VOL_EFF",$G207,IF(ALLOC!$N$4="VOL_CLASS",$H207,$I207)))</f>
        <v/>
      </c>
      <c r="AD207" t="str">
        <f>IF($A207="","",IF(ALLOC!$N$4="VOL_EFF",$L207,IF(ALLOC!$N$4="VOL_CLASS",$M207,$N207)))</f>
        <v/>
      </c>
      <c r="AE207" t="str">
        <f>IF($A207="","",IF(ALLOC!$N$3="VOL_EFF",$L207,IF(ALLOC!$N$3="VOL_CLASS",$M207,$N207)))</f>
        <v/>
      </c>
      <c r="AF207" t="str">
        <f>IF($A207="","",IF(ALLOC!$N$3="VOL_EFF",$Q207,IF(ALLOC!$N$3="VOL_CLASS",$R207,$S207)))</f>
        <v/>
      </c>
      <c r="AG207" t="str">
        <f>IF($A207="","",IF(ALLOC!$N$1="VOL_EFF",$Q207,IF(ALLOC!$N$1="VOL_CLASS",$R207,$S207)))</f>
        <v/>
      </c>
      <c r="AH207" t="str">
        <f>IF($A207="","",IF(ALLOC!$N$1="VOL_EFF",$T207,IF(ALLOC!$N$1="VOL_CLASS",$U207,$V207)))</f>
        <v/>
      </c>
      <c r="AI207" t="str">
        <f>IF($A207="","",$W207*IFERROR($K207/$O207,0))</f>
        <v/>
      </c>
      <c r="AJ207" t="str">
        <f>IF($A207="","",$X207*IFERROR($K207/$O207,0))</f>
        <v/>
      </c>
      <c r="AK207" t="str">
        <f>IF($A207="","",$Y207*IFERROR($G207/$L207,0)+$Z207*IFERROR($J207/$P207,0))</f>
        <v/>
      </c>
      <c r="AL207" t="str">
        <f>IF($A207="","",$AA207*IFERROR($AC207/$AD207,0))</f>
        <v/>
      </c>
      <c r="AM207" t="str">
        <f>IF($A207="","",$AB207*IFERROR($AG207/$AH207,0)*IFERROR($AE207/$AF207,0)*IFERROR($AC207/$AD207,0))</f>
        <v/>
      </c>
      <c r="AN207" t="str">
        <f>IF($A207="","",$I207-($AI207+$AJ207+$AK207+$AL207+$AM207+$AR207))</f>
        <v/>
      </c>
      <c r="AO207" t="str">
        <f>IF($A207="","",Allocation2!AE207)</f>
        <v/>
      </c>
      <c r="AP207" t="str">
        <f>IF($A207="","",IF(ALLOC!$N$2="VOL_EFF",$Q207,IF(ALLOC!$N$2="VOL_CLASS",$R207,$S207)))</f>
        <v/>
      </c>
      <c r="AQ207" t="str">
        <f>IF($A207="","",IF(ALLOC!$N$2="VOL_EFF",$T207,IF(ALLOC!$N$2="VOL_CLASS",$U207,$V207)))</f>
        <v/>
      </c>
      <c r="AR207" t="str">
        <f>IF($A207="","",$AO207*IFERROR($AP207/$AQ207,0)*IFERROR($AE207/$AF207,0)*IFERROR($AC207/$AD207,0))</f>
        <v/>
      </c>
    </row>
    <row r="208" spans="1:46" x14ac:dyDescent="0.45">
      <c r="A208" t="str">
        <f>IF(Allocation2!D208="","",Allocation2!D208)</f>
        <v/>
      </c>
      <c r="B208" t="str">
        <f>IF(Allocation2!E208="","",Allocation2!E208)</f>
        <v/>
      </c>
      <c r="C208" t="str">
        <f>IF(Allocation2!F208="","",Allocation2!F208)</f>
        <v/>
      </c>
      <c r="D208" t="str">
        <f>IF(Allocation2!G208="","",Allocation2!G208)</f>
        <v/>
      </c>
      <c r="E208" t="str">
        <f>IF(Allocation2!H208="","",Allocation2!H208)</f>
        <v/>
      </c>
      <c r="F208" t="str">
        <f>IF(Allocation2!I208="","",Allocation2!I208)</f>
        <v/>
      </c>
      <c r="G208" t="str">
        <f>IF(Allocation2!E208="","",Allocation2!J208)</f>
        <v/>
      </c>
      <c r="H208" t="str">
        <f>IF(Allocation2!E208="","",Allocation2!K208)</f>
        <v/>
      </c>
      <c r="I208" t="str">
        <f>IF(Allocation2!E208="","",Allocation2!L208)</f>
        <v/>
      </c>
      <c r="J208" t="str">
        <f>IF($A208="","",Allocation2!X208)</f>
        <v/>
      </c>
      <c r="K208" t="str">
        <f>IF($A208="","",$H208*IF(AND(LEFT($D208,3)="BAC",$F208="INIT"),600,IF(LEFT($D208,3)="BAC",480,IF(AND(LEFT($D208,3)="MAS",$F208="INIT"),520,IF(LEFT($D208,3)="MAS",420,IF($F208="INIT",1000,700))))))</f>
        <v/>
      </c>
      <c r="L208" t="str">
        <f>IF($A208="","",SUMIFS($G$1:$G$349,$A$1:$A$349,$A208,$B$1:$B$349,$B208))</f>
        <v/>
      </c>
      <c r="M208" t="str">
        <f>IF($A208="","",SUMIFS($H$1:$H$349,$A$1:$A$349,$A208,$B$1:$B$349,$B208))</f>
        <v/>
      </c>
      <c r="N208" t="str">
        <f>IF($A208="","",SUMIFS($I$1:$I$349,$A$1:$A$349,$A208,$B$1:$B$349,$B208))</f>
        <v/>
      </c>
      <c r="O208" t="str">
        <f>IF($A208="","",SUMIFS($K$1:$K$349,$A$1:$A$349,$A208,$B$1:$B$349,$B208))</f>
        <v/>
      </c>
      <c r="P208" t="str">
        <f>IF($A208="","",SUMIFS($J$1:$J$349,$A$1:$A$349,$A208,$B$1:$B$349,$B208))</f>
        <v/>
      </c>
      <c r="Q208" t="str">
        <f>IF($A208="","",SUMIFS($G$1:$G$349,$A$1:$A$349,$A208,$C$1:$C$349,$C208))</f>
        <v/>
      </c>
      <c r="R208" t="str">
        <f>IF($A208="","",SUMIFS($H$1:$H$349,$A$1:$A$349,$A208,$C$1:$C$349,$C208))</f>
        <v/>
      </c>
      <c r="S208" t="str">
        <f>IF($A208="","",SUMIFS($I$1:$I$349,$A$1:$A$349,$A208,$C$1:$C$349,$C208))</f>
        <v/>
      </c>
      <c r="T208" t="str">
        <f>IF($A208="","",SUMIFS($G$1:$G$349,$A$1:$A$349,$A208))</f>
        <v/>
      </c>
      <c r="U208" t="str">
        <f>IF($A208="","",SUMIFS($H$1:$H$349,$A$1:$A$349,$A208))</f>
        <v/>
      </c>
      <c r="V208" t="str">
        <f>IF($A208="","",SUMIFS($I$1:$I$349,$A$1:$A$349,$A208))</f>
        <v/>
      </c>
      <c r="W208" t="str">
        <f>IF($A208="","",Allocation2!Y208)</f>
        <v/>
      </c>
      <c r="X208" t="str">
        <f>IF($A208="","",Allocation2!Z208)</f>
        <v/>
      </c>
      <c r="Y208" t="str">
        <f>IF($A208="","",Allocation2!AA208)</f>
        <v/>
      </c>
      <c r="Z208" t="str">
        <f>IF($A208="","",Allocation2!AB208)</f>
        <v/>
      </c>
      <c r="AA208" t="str">
        <f>IF($A208="","",Allocation2!AC208)</f>
        <v/>
      </c>
      <c r="AB208" t="str">
        <f>IF($A208="","",Allocation2!AD208)</f>
        <v/>
      </c>
      <c r="AC208" t="str">
        <f>IF($A208="","",IF(ALLOC!$N$4="VOL_EFF",$G208,IF(ALLOC!$N$4="VOL_CLASS",$H208,$I208)))</f>
        <v/>
      </c>
      <c r="AD208" t="str">
        <f>IF($A208="","",IF(ALLOC!$N$4="VOL_EFF",$L208,IF(ALLOC!$N$4="VOL_CLASS",$M208,$N208)))</f>
        <v/>
      </c>
      <c r="AE208" t="str">
        <f>IF($A208="","",IF(ALLOC!$N$3="VOL_EFF",$L208,IF(ALLOC!$N$3="VOL_CLASS",$M208,$N208)))</f>
        <v/>
      </c>
      <c r="AF208" t="str">
        <f>IF($A208="","",IF(ALLOC!$N$3="VOL_EFF",$Q208,IF(ALLOC!$N$3="VOL_CLASS",$R208,$S208)))</f>
        <v/>
      </c>
      <c r="AG208" t="str">
        <f>IF($A208="","",IF(ALLOC!$N$1="VOL_EFF",$Q208,IF(ALLOC!$N$1="VOL_CLASS",$R208,$S208)))</f>
        <v/>
      </c>
      <c r="AH208" t="str">
        <f>IF($A208="","",IF(ALLOC!$N$1="VOL_EFF",$T208,IF(ALLOC!$N$1="VOL_CLASS",$U208,$V208)))</f>
        <v/>
      </c>
      <c r="AI208" t="str">
        <f>IF($A208="","",$W208*IFERROR($K208/$O208,0))</f>
        <v/>
      </c>
      <c r="AJ208" t="str">
        <f>IF($A208="","",$X208*IFERROR($K208/$O208,0))</f>
        <v/>
      </c>
      <c r="AK208" t="str">
        <f>IF($A208="","",$Y208*IFERROR($G208/$L208,0)+$Z208*IFERROR($J208/$P208,0))</f>
        <v/>
      </c>
      <c r="AL208" t="str">
        <f>IF($A208="","",$AA208*IFERROR($AC208/$AD208,0))</f>
        <v/>
      </c>
      <c r="AM208" t="str">
        <f>IF($A208="","",$AB208*IFERROR($AG208/$AH208,0)*IFERROR($AE208/$AF208,0)*IFERROR($AC208/$AD208,0))</f>
        <v/>
      </c>
      <c r="AN208" t="str">
        <f>IF($A208="","",$I208-($AI208+$AJ208+$AK208+$AL208+$AM208+$AR208))</f>
        <v/>
      </c>
      <c r="AO208" t="str">
        <f>IF($A208="","",Allocation2!AE208)</f>
        <v/>
      </c>
      <c r="AP208" t="str">
        <f>IF($A208="","",IF(ALLOC!$N$2="VOL_EFF",$Q208,IF(ALLOC!$N$2="VOL_CLASS",$R208,$S208)))</f>
        <v/>
      </c>
      <c r="AQ208" t="str">
        <f>IF($A208="","",IF(ALLOC!$N$2="VOL_EFF",$T208,IF(ALLOC!$N$2="VOL_CLASS",$U208,$V208)))</f>
        <v/>
      </c>
      <c r="AR208" t="str">
        <f>IF($A208="","",$AO208*IFERROR($AP208/$AQ208,0)*IFERROR($AE208/$AF208,0)*IFERROR($AC208/$AD208,0))</f>
        <v/>
      </c>
    </row>
    <row r="209" spans="1:46" x14ac:dyDescent="0.45">
      <c r="A209" t="str">
        <f>IF(Allocation2!D209="","",Allocation2!D209)</f>
        <v/>
      </c>
      <c r="B209" t="str">
        <f>IF(Allocation2!E209="","",Allocation2!E209)</f>
        <v/>
      </c>
      <c r="C209" t="str">
        <f>IF(Allocation2!F209="","",Allocation2!F209)</f>
        <v/>
      </c>
      <c r="D209" t="str">
        <f>IF(Allocation2!G209="","",Allocation2!G209)</f>
        <v/>
      </c>
      <c r="E209" t="str">
        <f>IF(Allocation2!H209="","",Allocation2!H209)</f>
        <v/>
      </c>
      <c r="F209" t="str">
        <f>IF(Allocation2!I209="","",Allocation2!I209)</f>
        <v/>
      </c>
      <c r="G209" t="str">
        <f>IF(Allocation2!E209="","",Allocation2!J209)</f>
        <v/>
      </c>
      <c r="H209" t="str">
        <f>IF(Allocation2!E209="","",Allocation2!K209)</f>
        <v/>
      </c>
      <c r="I209" t="str">
        <f>IF(Allocation2!E209="","",Allocation2!L209)</f>
        <v/>
      </c>
      <c r="J209" t="str">
        <f>IF($A209="","",Allocation2!X209)</f>
        <v/>
      </c>
      <c r="K209" t="str">
        <f>IF($A209="","",$H209*IF(AND(LEFT($D209,3)="BAC",$F209="INIT"),600,IF(LEFT($D209,3)="BAC",480,IF(AND(LEFT($D209,3)="MAS",$F209="INIT"),520,IF(LEFT($D209,3)="MAS",420,IF($F209="INIT",1000,700))))))</f>
        <v/>
      </c>
      <c r="L209" t="str">
        <f>IF($A209="","",SUMIFS($G$1:$G$349,$A$1:$A$349,$A209,$B$1:$B$349,$B209))</f>
        <v/>
      </c>
      <c r="M209" t="str">
        <f>IF($A209="","",SUMIFS($H$1:$H$349,$A$1:$A$349,$A209,$B$1:$B$349,$B209))</f>
        <v/>
      </c>
      <c r="N209" t="str">
        <f>IF($A209="","",SUMIFS($I$1:$I$349,$A$1:$A$349,$A209,$B$1:$B$349,$B209))</f>
        <v/>
      </c>
      <c r="O209" t="str">
        <f>IF($A209="","",SUMIFS($K$1:$K$349,$A$1:$A$349,$A209,$B$1:$B$349,$B209))</f>
        <v/>
      </c>
      <c r="P209" t="str">
        <f>IF($A209="","",SUMIFS($J$1:$J$349,$A$1:$A$349,$A209,$B$1:$B$349,$B209))</f>
        <v/>
      </c>
      <c r="Q209" t="str">
        <f>IF($A209="","",SUMIFS($G$1:$G$349,$A$1:$A$349,$A209,$C$1:$C$349,$C209))</f>
        <v/>
      </c>
      <c r="R209" t="str">
        <f>IF($A209="","",SUMIFS($H$1:$H$349,$A$1:$A$349,$A209,$C$1:$C$349,$C209))</f>
        <v/>
      </c>
      <c r="S209" t="str">
        <f>IF($A209="","",SUMIFS($I$1:$I$349,$A$1:$A$349,$A209,$C$1:$C$349,$C209))</f>
        <v/>
      </c>
      <c r="T209" t="str">
        <f>IF($A209="","",SUMIFS($G$1:$G$349,$A$1:$A$349,$A209))</f>
        <v/>
      </c>
      <c r="U209" t="str">
        <f>IF($A209="","",SUMIFS($H$1:$H$349,$A$1:$A$349,$A209))</f>
        <v/>
      </c>
      <c r="V209" t="str">
        <f>IF($A209="","",SUMIFS($I$1:$I$349,$A$1:$A$349,$A209))</f>
        <v/>
      </c>
      <c r="W209" t="str">
        <f>IF($A209="","",Allocation2!Y209)</f>
        <v/>
      </c>
      <c r="X209" t="str">
        <f>IF($A209="","",Allocation2!Z209)</f>
        <v/>
      </c>
      <c r="Y209" t="str">
        <f>IF($A209="","",Allocation2!AA209)</f>
        <v/>
      </c>
      <c r="Z209" t="str">
        <f>IF($A209="","",Allocation2!AB209)</f>
        <v/>
      </c>
      <c r="AA209" t="str">
        <f>IF($A209="","",Allocation2!AC209)</f>
        <v/>
      </c>
      <c r="AB209" t="str">
        <f>IF($A209="","",Allocation2!AD209)</f>
        <v/>
      </c>
      <c r="AC209" t="str">
        <f>IF($A209="","",IF(ALLOC!$N$4="VOL_EFF",$G209,IF(ALLOC!$N$4="VOL_CLASS",$H209,$I209)))</f>
        <v/>
      </c>
      <c r="AD209" t="str">
        <f>IF($A209="","",IF(ALLOC!$N$4="VOL_EFF",$L209,IF(ALLOC!$N$4="VOL_CLASS",$M209,$N209)))</f>
        <v/>
      </c>
      <c r="AE209" t="str">
        <f>IF($A209="","",IF(ALLOC!$N$3="VOL_EFF",$L209,IF(ALLOC!$N$3="VOL_CLASS",$M209,$N209)))</f>
        <v/>
      </c>
      <c r="AF209" t="str">
        <f>IF($A209="","",IF(ALLOC!$N$3="VOL_EFF",$Q209,IF(ALLOC!$N$3="VOL_CLASS",$R209,$S209)))</f>
        <v/>
      </c>
      <c r="AG209" t="str">
        <f>IF($A209="","",IF(ALLOC!$N$1="VOL_EFF",$Q209,IF(ALLOC!$N$1="VOL_CLASS",$R209,$S209)))</f>
        <v/>
      </c>
      <c r="AH209" t="str">
        <f>IF($A209="","",IF(ALLOC!$N$1="VOL_EFF",$T209,IF(ALLOC!$N$1="VOL_CLASS",$U209,$V209)))</f>
        <v/>
      </c>
      <c r="AI209" t="str">
        <f>IF($A209="","",$W209*IFERROR($K209/$O209,0))</f>
        <v/>
      </c>
      <c r="AJ209" t="str">
        <f>IF($A209="","",$X209*IFERROR($K209/$O209,0))</f>
        <v/>
      </c>
      <c r="AK209" t="str">
        <f>IF($A209="","",$Y209*IFERROR($G209/$L209,0)+$Z209*IFERROR($J209/$P209,0))</f>
        <v/>
      </c>
      <c r="AL209" t="str">
        <f>IF($A209="","",$AA209*IFERROR($AC209/$AD209,0))</f>
        <v/>
      </c>
      <c r="AM209" t="str">
        <f>IF($A209="","",$AB209*IFERROR($AG209/$AH209,0)*IFERROR($AE209/$AF209,0)*IFERROR($AC209/$AD209,0))</f>
        <v/>
      </c>
      <c r="AN209" t="str">
        <f>IF($A209="","",$I209-($AI209+$AJ209+$AK209+$AL209+$AM209+$AR209))</f>
        <v/>
      </c>
      <c r="AO209" t="str">
        <f>IF($A209="","",Allocation2!AE209)</f>
        <v/>
      </c>
      <c r="AP209" t="str">
        <f>IF($A209="","",IF(ALLOC!$N$2="VOL_EFF",$Q209,IF(ALLOC!$N$2="VOL_CLASS",$R209,$S209)))</f>
        <v/>
      </c>
      <c r="AQ209" t="str">
        <f>IF($A209="","",IF(ALLOC!$N$2="VOL_EFF",$T209,IF(ALLOC!$N$2="VOL_CLASS",$U209,$V209)))</f>
        <v/>
      </c>
      <c r="AR209" t="str">
        <f>IF($A209="","",$AO209*IFERROR($AP209/$AQ209,0)*IFERROR($AE209/$AF209,0)*IFERROR($AC209/$AD209,0))</f>
        <v/>
      </c>
    </row>
    <row r="210" spans="1:46" x14ac:dyDescent="0.45">
      <c r="A210" t="str">
        <f>IF(Allocation2!D210="","",Allocation2!D210)</f>
        <v/>
      </c>
      <c r="B210" t="str">
        <f>IF(Allocation2!E210="","",Allocation2!E210)</f>
        <v/>
      </c>
      <c r="C210" t="str">
        <f>IF(Allocation2!F210="","",Allocation2!F210)</f>
        <v/>
      </c>
      <c r="D210" t="str">
        <f>IF(Allocation2!G210="","",Allocation2!G210)</f>
        <v/>
      </c>
      <c r="E210" t="str">
        <f>IF(Allocation2!H210="","",Allocation2!H210)</f>
        <v/>
      </c>
      <c r="F210" t="str">
        <f>IF(Allocation2!I210="","",Allocation2!I210)</f>
        <v/>
      </c>
      <c r="G210" t="str">
        <f>IF(Allocation2!E210="","",Allocation2!J210)</f>
        <v/>
      </c>
      <c r="H210" t="str">
        <f>IF(Allocation2!E210="","",Allocation2!K210)</f>
        <v/>
      </c>
      <c r="I210" t="str">
        <f>IF(Allocation2!E210="","",Allocation2!L210)</f>
        <v/>
      </c>
      <c r="J210" t="str">
        <f>IF($A210="","",Allocation2!X210)</f>
        <v/>
      </c>
      <c r="K210" t="str">
        <f>IF($A210="","",$H210*IF(AND(LEFT($D210,3)="BAC",$F210="INIT"),600,IF(LEFT($D210,3)="BAC",480,IF(AND(LEFT($D210,3)="MAS",$F210="INIT"),520,IF(LEFT($D210,3)="MAS",420,IF($F210="INIT",1000,700))))))</f>
        <v/>
      </c>
      <c r="L210" t="str">
        <f>IF($A210="","",SUMIFS($G$1:$G$349,$A$1:$A$349,$A210,$B$1:$B$349,$B210))</f>
        <v/>
      </c>
      <c r="M210" t="str">
        <f>IF($A210="","",SUMIFS($H$1:$H$349,$A$1:$A$349,$A210,$B$1:$B$349,$B210))</f>
        <v/>
      </c>
      <c r="N210" t="str">
        <f>IF($A210="","",SUMIFS($I$1:$I$349,$A$1:$A$349,$A210,$B$1:$B$349,$B210))</f>
        <v/>
      </c>
      <c r="O210" t="str">
        <f>IF($A210="","",SUMIFS($K$1:$K$349,$A$1:$A$349,$A210,$B$1:$B$349,$B210))</f>
        <v/>
      </c>
      <c r="P210" t="str">
        <f>IF($A210="","",SUMIFS($J$1:$J$349,$A$1:$A$349,$A210,$B$1:$B$349,$B210))</f>
        <v/>
      </c>
      <c r="Q210" t="str">
        <f>IF($A210="","",SUMIFS($G$1:$G$349,$A$1:$A$349,$A210,$C$1:$C$349,$C210))</f>
        <v/>
      </c>
      <c r="R210" t="str">
        <f>IF($A210="","",SUMIFS($H$1:$H$349,$A$1:$A$349,$A210,$C$1:$C$349,$C210))</f>
        <v/>
      </c>
      <c r="S210" t="str">
        <f>IF($A210="","",SUMIFS($I$1:$I$349,$A$1:$A$349,$A210,$C$1:$C$349,$C210))</f>
        <v/>
      </c>
      <c r="T210" t="str">
        <f>IF($A210="","",SUMIFS($G$1:$G$349,$A$1:$A$349,$A210))</f>
        <v/>
      </c>
      <c r="U210" t="str">
        <f>IF($A210="","",SUMIFS($H$1:$H$349,$A$1:$A$349,$A210))</f>
        <v/>
      </c>
      <c r="V210" t="str">
        <f>IF($A210="","",SUMIFS($I$1:$I$349,$A$1:$A$349,$A210))</f>
        <v/>
      </c>
      <c r="W210" t="str">
        <f>IF($A210="","",Allocation2!Y210)</f>
        <v/>
      </c>
      <c r="X210" t="str">
        <f>IF($A210="","",Allocation2!Z210)</f>
        <v/>
      </c>
      <c r="Y210" t="str">
        <f>IF($A210="","",Allocation2!AA210)</f>
        <v/>
      </c>
      <c r="Z210" t="str">
        <f>IF($A210="","",Allocation2!AB210)</f>
        <v/>
      </c>
      <c r="AA210" t="str">
        <f>IF($A210="","",Allocation2!AC210)</f>
        <v/>
      </c>
      <c r="AB210" t="str">
        <f>IF($A210="","",Allocation2!AD210)</f>
        <v/>
      </c>
      <c r="AC210" t="str">
        <f>IF($A210="","",IF(ALLOC!$N$4="VOL_EFF",$G210,IF(ALLOC!$N$4="VOL_CLASS",$H210,$I210)))</f>
        <v/>
      </c>
      <c r="AD210" t="str">
        <f>IF($A210="","",IF(ALLOC!$N$4="VOL_EFF",$L210,IF(ALLOC!$N$4="VOL_CLASS",$M210,$N210)))</f>
        <v/>
      </c>
      <c r="AE210" t="str">
        <f>IF($A210="","",IF(ALLOC!$N$3="VOL_EFF",$L210,IF(ALLOC!$N$3="VOL_CLASS",$M210,$N210)))</f>
        <v/>
      </c>
      <c r="AF210" t="str">
        <f>IF($A210="","",IF(ALLOC!$N$3="VOL_EFF",$Q210,IF(ALLOC!$N$3="VOL_CLASS",$R210,$S210)))</f>
        <v/>
      </c>
      <c r="AG210" t="str">
        <f>IF($A210="","",IF(ALLOC!$N$1="VOL_EFF",$Q210,IF(ALLOC!$N$1="VOL_CLASS",$R210,$S210)))</f>
        <v/>
      </c>
      <c r="AH210" t="str">
        <f>IF($A210="","",IF(ALLOC!$N$1="VOL_EFF",$T210,IF(ALLOC!$N$1="VOL_CLASS",$U210,$V210)))</f>
        <v/>
      </c>
      <c r="AI210" t="str">
        <f>IF($A210="","",$W210*IFERROR($K210/$O210,0))</f>
        <v/>
      </c>
      <c r="AJ210" t="str">
        <f>IF($A210="","",$X210*IFERROR($K210/$O210,0))</f>
        <v/>
      </c>
      <c r="AK210" t="str">
        <f>IF($A210="","",$Y210*IFERROR($G210/$L210,0)+$Z210*IFERROR($J210/$P210,0))</f>
        <v/>
      </c>
      <c r="AL210" t="str">
        <f>IF($A210="","",$AA210*IFERROR($AC210/$AD210,0))</f>
        <v/>
      </c>
      <c r="AM210" t="str">
        <f>IF($A210="","",$AB210*IFERROR($AG210/$AH210,0)*IFERROR($AE210/$AF210,0)*IFERROR($AC210/$AD210,0))</f>
        <v/>
      </c>
      <c r="AN210" t="str">
        <f>IF($A210="","",$I210-($AI210+$AJ210+$AK210+$AL210+$AM210+$AR210))</f>
        <v/>
      </c>
      <c r="AO210" t="str">
        <f>IF($A210="","",Allocation2!AE210)</f>
        <v/>
      </c>
      <c r="AP210" t="str">
        <f>IF($A210="","",IF(ALLOC!$N$2="VOL_EFF",$Q210,IF(ALLOC!$N$2="VOL_CLASS",$R210,$S210)))</f>
        <v/>
      </c>
      <c r="AQ210" t="str">
        <f>IF($A210="","",IF(ALLOC!$N$2="VOL_EFF",$T210,IF(ALLOC!$N$2="VOL_CLASS",$U210,$V210)))</f>
        <v/>
      </c>
      <c r="AR210" t="str">
        <f>IF($A210="","",$AO210*IFERROR($AP210/$AQ210,0)*IFERROR($AE210/$AF210,0)*IFERROR($AC210/$AD210,0))</f>
        <v/>
      </c>
    </row>
    <row r="211" spans="1:46" x14ac:dyDescent="0.45">
      <c r="A211" t="str">
        <f>IF(Allocation2!D211="","",Allocation2!D211)</f>
        <v/>
      </c>
      <c r="B211" t="str">
        <f>IF(Allocation2!E211="","",Allocation2!E211)</f>
        <v/>
      </c>
      <c r="C211" t="str">
        <f>IF(Allocation2!F211="","",Allocation2!F211)</f>
        <v/>
      </c>
      <c r="D211" t="str">
        <f>IF(Allocation2!G211="","",Allocation2!G211)</f>
        <v/>
      </c>
      <c r="E211" t="str">
        <f>IF(Allocation2!H211="","",Allocation2!H211)</f>
        <v/>
      </c>
      <c r="F211" t="str">
        <f>IF(Allocation2!I211="","",Allocation2!I211)</f>
        <v/>
      </c>
      <c r="G211" t="str">
        <f>IF(Allocation2!E211="","",Allocation2!J211)</f>
        <v/>
      </c>
      <c r="H211" t="str">
        <f>IF(Allocation2!E211="","",Allocation2!K211)</f>
        <v/>
      </c>
      <c r="I211" t="str">
        <f>IF(Allocation2!E211="","",Allocation2!L211)</f>
        <v/>
      </c>
      <c r="J211" t="str">
        <f>IF($A211="","",Allocation2!X211)</f>
        <v/>
      </c>
      <c r="K211" t="str">
        <f>IF($A211="","",$H211*IF(AND(LEFT($D211,3)="BAC",$F211="INIT"),600,IF(LEFT($D211,3)="BAC",480,IF(AND(LEFT($D211,3)="MAS",$F211="INIT"),520,IF(LEFT($D211,3)="MAS",420,IF($F211="INIT",1000,700))))))</f>
        <v/>
      </c>
      <c r="L211" t="str">
        <f>IF($A211="","",SUMIFS($G$1:$G$349,$A$1:$A$349,$A211,$B$1:$B$349,$B211))</f>
        <v/>
      </c>
      <c r="M211" t="str">
        <f>IF($A211="","",SUMIFS($H$1:$H$349,$A$1:$A$349,$A211,$B$1:$B$349,$B211))</f>
        <v/>
      </c>
      <c r="N211" t="str">
        <f>IF($A211="","",SUMIFS($I$1:$I$349,$A$1:$A$349,$A211,$B$1:$B$349,$B211))</f>
        <v/>
      </c>
      <c r="O211" t="str">
        <f>IF($A211="","",SUMIFS($K$1:$K$349,$A$1:$A$349,$A211,$B$1:$B$349,$B211))</f>
        <v/>
      </c>
      <c r="P211" t="str">
        <f>IF($A211="","",SUMIFS($J$1:$J$349,$A$1:$A$349,$A211,$B$1:$B$349,$B211))</f>
        <v/>
      </c>
      <c r="Q211" t="str">
        <f>IF($A211="","",SUMIFS($G$1:$G$349,$A$1:$A$349,$A211,$C$1:$C$349,$C211))</f>
        <v/>
      </c>
      <c r="R211" t="str">
        <f>IF($A211="","",SUMIFS($H$1:$H$349,$A$1:$A$349,$A211,$C$1:$C$349,$C211))</f>
        <v/>
      </c>
      <c r="S211" t="str">
        <f>IF($A211="","",SUMIFS($I$1:$I$349,$A$1:$A$349,$A211,$C$1:$C$349,$C211))</f>
        <v/>
      </c>
      <c r="T211" t="str">
        <f>IF($A211="","",SUMIFS($G$1:$G$349,$A$1:$A$349,$A211))</f>
        <v/>
      </c>
      <c r="U211" t="str">
        <f>IF($A211="","",SUMIFS($H$1:$H$349,$A$1:$A$349,$A211))</f>
        <v/>
      </c>
      <c r="V211" t="str">
        <f>IF($A211="","",SUMIFS($I$1:$I$349,$A$1:$A$349,$A211))</f>
        <v/>
      </c>
      <c r="W211" t="str">
        <f>IF($A211="","",Allocation2!Y211)</f>
        <v/>
      </c>
      <c r="X211" t="str">
        <f>IF($A211="","",Allocation2!Z211)</f>
        <v/>
      </c>
      <c r="Y211" t="str">
        <f>IF($A211="","",Allocation2!AA211)</f>
        <v/>
      </c>
      <c r="Z211" t="str">
        <f>IF($A211="","",Allocation2!AB211)</f>
        <v/>
      </c>
      <c r="AA211" t="str">
        <f>IF($A211="","",Allocation2!AC211)</f>
        <v/>
      </c>
      <c r="AB211" t="str">
        <f>IF($A211="","",Allocation2!AD211)</f>
        <v/>
      </c>
      <c r="AC211" t="str">
        <f>IF($A211="","",IF(ALLOC!$N$4="VOL_EFF",$G211,IF(ALLOC!$N$4="VOL_CLASS",$H211,$I211)))</f>
        <v/>
      </c>
      <c r="AD211" t="str">
        <f>IF($A211="","",IF(ALLOC!$N$4="VOL_EFF",$L211,IF(ALLOC!$N$4="VOL_CLASS",$M211,$N211)))</f>
        <v/>
      </c>
      <c r="AE211" t="str">
        <f>IF($A211="","",IF(ALLOC!$N$3="VOL_EFF",$L211,IF(ALLOC!$N$3="VOL_CLASS",$M211,$N211)))</f>
        <v/>
      </c>
      <c r="AF211" t="str">
        <f>IF($A211="","",IF(ALLOC!$N$3="VOL_EFF",$Q211,IF(ALLOC!$N$3="VOL_CLASS",$R211,$S211)))</f>
        <v/>
      </c>
      <c r="AG211" t="str">
        <f>IF($A211="","",IF(ALLOC!$N$1="VOL_EFF",$Q211,IF(ALLOC!$N$1="VOL_CLASS",$R211,$S211)))</f>
        <v/>
      </c>
      <c r="AH211" t="str">
        <f>IF($A211="","",IF(ALLOC!$N$1="VOL_EFF",$T211,IF(ALLOC!$N$1="VOL_CLASS",$U211,$V211)))</f>
        <v/>
      </c>
      <c r="AI211" t="str">
        <f>IF($A211="","",$W211*IFERROR($K211/$O211,0))</f>
        <v/>
      </c>
      <c r="AJ211" t="str">
        <f>IF($A211="","",$X211*IFERROR($K211/$O211,0))</f>
        <v/>
      </c>
      <c r="AK211" t="str">
        <f>IF($A211="","",$Y211*IFERROR($G211/$L211,0)+$Z211*IFERROR($J211/$P211,0))</f>
        <v/>
      </c>
      <c r="AL211" t="str">
        <f>IF($A211="","",$AA211*IFERROR($AC211/$AD211,0))</f>
        <v/>
      </c>
      <c r="AM211" t="str">
        <f>IF($A211="","",$AB211*IFERROR($AG211/$AH211,0)*IFERROR($AE211/$AF211,0)*IFERROR($AC211/$AD211,0))</f>
        <v/>
      </c>
      <c r="AN211" t="str">
        <f>IF($A211="","",$I211-($AI211+$AJ211+$AK211+$AL211+$AM211+$AR211))</f>
        <v/>
      </c>
      <c r="AO211" t="str">
        <f>IF($A211="","",Allocation2!AE211)</f>
        <v/>
      </c>
      <c r="AP211" t="str">
        <f>IF($A211="","",IF(ALLOC!$N$2="VOL_EFF",$Q211,IF(ALLOC!$N$2="VOL_CLASS",$R211,$S211)))</f>
        <v/>
      </c>
      <c r="AQ211" t="str">
        <f>IF($A211="","",IF(ALLOC!$N$2="VOL_EFF",$T211,IF(ALLOC!$N$2="VOL_CLASS",$U211,$V211)))</f>
        <v/>
      </c>
      <c r="AR211" t="str">
        <f>IF($A211="","",$AO211*IFERROR($AP211/$AQ211,0)*IFERROR($AE211/$AF211,0)*IFERROR($AC211/$AD211,0))</f>
        <v/>
      </c>
    </row>
    <row r="212" spans="1:46" x14ac:dyDescent="0.45">
      <c r="A212" t="str">
        <f>IF(Allocation2!D212="","",Allocation2!D212)</f>
        <v/>
      </c>
      <c r="B212" t="str">
        <f>IF(Allocation2!E212="","",Allocation2!E212)</f>
        <v/>
      </c>
      <c r="C212" t="str">
        <f>IF(Allocation2!F212="","",Allocation2!F212)</f>
        <v/>
      </c>
      <c r="D212" t="str">
        <f>IF(Allocation2!G212="","",Allocation2!G212)</f>
        <v/>
      </c>
      <c r="E212" t="str">
        <f>IF(Allocation2!H212="","",Allocation2!H212)</f>
        <v/>
      </c>
      <c r="F212" t="str">
        <f>IF(Allocation2!I212="","",Allocation2!I212)</f>
        <v/>
      </c>
      <c r="G212" t="str">
        <f>IF(Allocation2!E212="","",Allocation2!J212)</f>
        <v/>
      </c>
      <c r="H212" t="str">
        <f>IF(Allocation2!E212="","",Allocation2!K212)</f>
        <v/>
      </c>
      <c r="I212" t="str">
        <f>IF(Allocation2!E212="","",Allocation2!L212)</f>
        <v/>
      </c>
      <c r="J212" t="str">
        <f>IF($A212="","",Allocation2!X212)</f>
        <v/>
      </c>
      <c r="K212" t="str">
        <f>IF($A212="","",$H212*IF(AND(LEFT($D212,3)="BAC",$F212="INIT"),600,IF(LEFT($D212,3)="BAC",480,IF(AND(LEFT($D212,3)="MAS",$F212="INIT"),520,IF(LEFT($D212,3)="MAS",420,IF($F212="INIT",1000,700))))))</f>
        <v/>
      </c>
      <c r="L212" t="str">
        <f>IF($A212="","",SUMIFS($G$1:$G$349,$A$1:$A$349,$A212,$B$1:$B$349,$B212))</f>
        <v/>
      </c>
      <c r="M212" t="str">
        <f>IF($A212="","",SUMIFS($H$1:$H$349,$A$1:$A$349,$A212,$B$1:$B$349,$B212))</f>
        <v/>
      </c>
      <c r="N212" t="str">
        <f>IF($A212="","",SUMIFS($I$1:$I$349,$A$1:$A$349,$A212,$B$1:$B$349,$B212))</f>
        <v/>
      </c>
      <c r="O212" t="str">
        <f>IF($A212="","",SUMIFS($K$1:$K$349,$A$1:$A$349,$A212,$B$1:$B$349,$B212))</f>
        <v/>
      </c>
      <c r="P212" t="str">
        <f>IF($A212="","",SUMIFS($J$1:$J$349,$A$1:$A$349,$A212,$B$1:$B$349,$B212))</f>
        <v/>
      </c>
      <c r="Q212" t="str">
        <f>IF($A212="","",SUMIFS($G$1:$G$349,$A$1:$A$349,$A212,$C$1:$C$349,$C212))</f>
        <v/>
      </c>
      <c r="R212" t="str">
        <f>IF($A212="","",SUMIFS($H$1:$H$349,$A$1:$A$349,$A212,$C$1:$C$349,$C212))</f>
        <v/>
      </c>
      <c r="S212" t="str">
        <f>IF($A212="","",SUMIFS($I$1:$I$349,$A$1:$A$349,$A212,$C$1:$C$349,$C212))</f>
        <v/>
      </c>
      <c r="T212" t="str">
        <f>IF($A212="","",SUMIFS($G$1:$G$349,$A$1:$A$349,$A212))</f>
        <v/>
      </c>
      <c r="U212" t="str">
        <f>IF($A212="","",SUMIFS($H$1:$H$349,$A$1:$A$349,$A212))</f>
        <v/>
      </c>
      <c r="V212" t="str">
        <f>IF($A212="","",SUMIFS($I$1:$I$349,$A$1:$A$349,$A212))</f>
        <v/>
      </c>
      <c r="W212" t="str">
        <f>IF($A212="","",Allocation2!Y212)</f>
        <v/>
      </c>
      <c r="X212" t="str">
        <f>IF($A212="","",Allocation2!Z212)</f>
        <v/>
      </c>
      <c r="Y212" t="str">
        <f>IF($A212="","",Allocation2!AA212)</f>
        <v/>
      </c>
      <c r="Z212" t="str">
        <f>IF($A212="","",Allocation2!AB212)</f>
        <v/>
      </c>
      <c r="AA212" t="str">
        <f>IF($A212="","",Allocation2!AC212)</f>
        <v/>
      </c>
      <c r="AB212" t="str">
        <f>IF($A212="","",Allocation2!AD212)</f>
        <v/>
      </c>
      <c r="AC212" t="str">
        <f>IF($A212="","",IF(ALLOC!$N$4="VOL_EFF",$G212,IF(ALLOC!$N$4="VOL_CLASS",$H212,$I212)))</f>
        <v/>
      </c>
      <c r="AD212" t="str">
        <f>IF($A212="","",IF(ALLOC!$N$4="VOL_EFF",$L212,IF(ALLOC!$N$4="VOL_CLASS",$M212,$N212)))</f>
        <v/>
      </c>
      <c r="AE212" t="str">
        <f>IF($A212="","",IF(ALLOC!$N$3="VOL_EFF",$L212,IF(ALLOC!$N$3="VOL_CLASS",$M212,$N212)))</f>
        <v/>
      </c>
      <c r="AF212" t="str">
        <f>IF($A212="","",IF(ALLOC!$N$3="VOL_EFF",$Q212,IF(ALLOC!$N$3="VOL_CLASS",$R212,$S212)))</f>
        <v/>
      </c>
      <c r="AG212" t="str">
        <f>IF($A212="","",IF(ALLOC!$N$1="VOL_EFF",$Q212,IF(ALLOC!$N$1="VOL_CLASS",$R212,$S212)))</f>
        <v/>
      </c>
      <c r="AH212" t="str">
        <f>IF($A212="","",IF(ALLOC!$N$1="VOL_EFF",$T212,IF(ALLOC!$N$1="VOL_CLASS",$U212,$V212)))</f>
        <v/>
      </c>
      <c r="AI212" t="str">
        <f>IF($A212="","",$W212*IFERROR($K212/$O212,0))</f>
        <v/>
      </c>
      <c r="AJ212" t="str">
        <f>IF($A212="","",$X212*IFERROR($K212/$O212,0))</f>
        <v/>
      </c>
      <c r="AK212" t="str">
        <f>IF($A212="","",$Y212*IFERROR($G212/$L212,0)+$Z212*IFERROR($J212/$P212,0))</f>
        <v/>
      </c>
      <c r="AL212" t="str">
        <f>IF($A212="","",$AA212*IFERROR($AC212/$AD212,0))</f>
        <v/>
      </c>
      <c r="AM212" t="str">
        <f>IF($A212="","",$AB212*IFERROR($AG212/$AH212,0)*IFERROR($AE212/$AF212,0)*IFERROR($AC212/$AD212,0))</f>
        <v/>
      </c>
      <c r="AN212" t="str">
        <f>IF($A212="","",$I212-($AI212+$AJ212+$AK212+$AL212+$AM212+$AR212))</f>
        <v/>
      </c>
      <c r="AO212" t="str">
        <f>IF($A212="","",Allocation2!AE212)</f>
        <v/>
      </c>
      <c r="AP212" t="str">
        <f>IF($A212="","",IF(ALLOC!$N$2="VOL_EFF",$Q212,IF(ALLOC!$N$2="VOL_CLASS",$R212,$S212)))</f>
        <v/>
      </c>
      <c r="AQ212" t="str">
        <f>IF($A212="","",IF(ALLOC!$N$2="VOL_EFF",$T212,IF(ALLOC!$N$2="VOL_CLASS",$U212,$V212)))</f>
        <v/>
      </c>
      <c r="AR212" t="str">
        <f>IF($A212="","",$AO212*IFERROR($AP212/$AQ212,0)*IFERROR($AE212/$AF212,0)*IFERROR($AC212/$AD212,0))</f>
        <v/>
      </c>
    </row>
    <row r="213" spans="1:46" x14ac:dyDescent="0.45">
      <c r="A213" t="str">
        <f>IF(Allocation2!D213="","",Allocation2!D213)</f>
        <v/>
      </c>
      <c r="B213" t="str">
        <f>IF(Allocation2!E213="","",Allocation2!E213)</f>
        <v/>
      </c>
      <c r="C213" t="str">
        <f>IF(Allocation2!F213="","",Allocation2!F213)</f>
        <v/>
      </c>
      <c r="D213" t="str">
        <f>IF(Allocation2!G213="","",Allocation2!G213)</f>
        <v/>
      </c>
      <c r="E213" t="str">
        <f>IF(Allocation2!H213="","",Allocation2!H213)</f>
        <v/>
      </c>
      <c r="F213" t="str">
        <f>IF(Allocation2!I213="","",Allocation2!I213)</f>
        <v/>
      </c>
      <c r="G213" t="str">
        <f>IF(Allocation2!E213="","",Allocation2!J213)</f>
        <v/>
      </c>
      <c r="H213" t="str">
        <f>IF(Allocation2!E213="","",Allocation2!K213)</f>
        <v/>
      </c>
      <c r="I213" t="str">
        <f>IF(Allocation2!E213="","",Allocation2!L213)</f>
        <v/>
      </c>
      <c r="J213" t="str">
        <f>IF($A213="","",Allocation2!X213)</f>
        <v/>
      </c>
      <c r="K213" t="str">
        <f>IF($A213="","",$H213*IF(AND(LEFT($D213,3)="BAC",$F213="INIT"),600,IF(LEFT($D213,3)="BAC",480,IF(AND(LEFT($D213,3)="MAS",$F213="INIT"),520,IF(LEFT($D213,3)="MAS",420,IF($F213="INIT",1000,700))))))</f>
        <v/>
      </c>
      <c r="L213" t="str">
        <f>IF($A213="","",SUMIFS($G$1:$G$349,$A$1:$A$349,$A213,$B$1:$B$349,$B213))</f>
        <v/>
      </c>
      <c r="M213" t="str">
        <f>IF($A213="","",SUMIFS($H$1:$H$349,$A$1:$A$349,$A213,$B$1:$B$349,$B213))</f>
        <v/>
      </c>
      <c r="N213" t="str">
        <f>IF($A213="","",SUMIFS($I$1:$I$349,$A$1:$A$349,$A213,$B$1:$B$349,$B213))</f>
        <v/>
      </c>
      <c r="O213" t="str">
        <f>IF($A213="","",SUMIFS($K$1:$K$349,$A$1:$A$349,$A213,$B$1:$B$349,$B213))</f>
        <v/>
      </c>
      <c r="P213" t="str">
        <f>IF($A213="","",SUMIFS($J$1:$J$349,$A$1:$A$349,$A213,$B$1:$B$349,$B213))</f>
        <v/>
      </c>
      <c r="Q213" t="str">
        <f>IF($A213="","",SUMIFS($G$1:$G$349,$A$1:$A$349,$A213,$C$1:$C$349,$C213))</f>
        <v/>
      </c>
      <c r="R213" t="str">
        <f>IF($A213="","",SUMIFS($H$1:$H$349,$A$1:$A$349,$A213,$C$1:$C$349,$C213))</f>
        <v/>
      </c>
      <c r="S213" t="str">
        <f>IF($A213="","",SUMIFS($I$1:$I$349,$A$1:$A$349,$A213,$C$1:$C$349,$C213))</f>
        <v/>
      </c>
      <c r="T213" t="str">
        <f>IF($A213="","",SUMIFS($G$1:$G$349,$A$1:$A$349,$A213))</f>
        <v/>
      </c>
      <c r="U213" t="str">
        <f>IF($A213="","",SUMIFS($H$1:$H$349,$A$1:$A$349,$A213))</f>
        <v/>
      </c>
      <c r="V213" t="str">
        <f>IF($A213="","",SUMIFS($I$1:$I$349,$A$1:$A$349,$A213))</f>
        <v/>
      </c>
      <c r="W213" t="str">
        <f>IF($A213="","",Allocation2!Y213)</f>
        <v/>
      </c>
      <c r="X213" t="str">
        <f>IF($A213="","",Allocation2!Z213)</f>
        <v/>
      </c>
      <c r="Y213" t="str">
        <f>IF($A213="","",Allocation2!AA213)</f>
        <v/>
      </c>
      <c r="Z213" t="str">
        <f>IF($A213="","",Allocation2!AB213)</f>
        <v/>
      </c>
      <c r="AA213" t="str">
        <f>IF($A213="","",Allocation2!AC213)</f>
        <v/>
      </c>
      <c r="AB213" t="str">
        <f>IF($A213="","",Allocation2!AD213)</f>
        <v/>
      </c>
      <c r="AC213" t="str">
        <f>IF($A213="","",IF(ALLOC!$N$4="VOL_EFF",$G213,IF(ALLOC!$N$4="VOL_CLASS",$H213,$I213)))</f>
        <v/>
      </c>
      <c r="AD213" t="str">
        <f>IF($A213="","",IF(ALLOC!$N$4="VOL_EFF",$L213,IF(ALLOC!$N$4="VOL_CLASS",$M213,$N213)))</f>
        <v/>
      </c>
      <c r="AE213" t="str">
        <f>IF($A213="","",IF(ALLOC!$N$3="VOL_EFF",$L213,IF(ALLOC!$N$3="VOL_CLASS",$M213,$N213)))</f>
        <v/>
      </c>
      <c r="AF213" t="str">
        <f>IF($A213="","",IF(ALLOC!$N$3="VOL_EFF",$Q213,IF(ALLOC!$N$3="VOL_CLASS",$R213,$S213)))</f>
        <v/>
      </c>
      <c r="AG213" t="str">
        <f>IF($A213="","",IF(ALLOC!$N$1="VOL_EFF",$Q213,IF(ALLOC!$N$1="VOL_CLASS",$R213,$S213)))</f>
        <v/>
      </c>
      <c r="AH213" t="str">
        <f>IF($A213="","",IF(ALLOC!$N$1="VOL_EFF",$T213,IF(ALLOC!$N$1="VOL_CLASS",$U213,$V213)))</f>
        <v/>
      </c>
      <c r="AI213" t="str">
        <f>IF($A213="","",$W213*IFERROR($K213/$O213,0))</f>
        <v/>
      </c>
      <c r="AJ213" t="str">
        <f>IF($A213="","",$X213*IFERROR($K213/$O213,0))</f>
        <v/>
      </c>
      <c r="AK213" t="str">
        <f>IF($A213="","",$Y213*IFERROR($G213/$L213,0)+$Z213*IFERROR($J213/$P213,0))</f>
        <v/>
      </c>
      <c r="AL213" t="str">
        <f>IF($A213="","",$AA213*IFERROR($AC213/$AD213,0))</f>
        <v/>
      </c>
      <c r="AM213" t="str">
        <f>IF($A213="","",$AB213*IFERROR($AG213/$AH213,0)*IFERROR($AE213/$AF213,0)*IFERROR($AC213/$AD213,0))</f>
        <v/>
      </c>
      <c r="AN213" t="str">
        <f>IF($A213="","",$I213-($AI213+$AJ213+$AK213+$AL213+$AM213+$AR213))</f>
        <v/>
      </c>
      <c r="AO213" t="str">
        <f>IF($A213="","",Allocation2!AE213)</f>
        <v/>
      </c>
      <c r="AP213" t="str">
        <f>IF($A213="","",IF(ALLOC!$N$2="VOL_EFF",$Q213,IF(ALLOC!$N$2="VOL_CLASS",$R213,$S213)))</f>
        <v/>
      </c>
      <c r="AQ213" t="str">
        <f>IF($A213="","",IF(ALLOC!$N$2="VOL_EFF",$T213,IF(ALLOC!$N$2="VOL_CLASS",$U213,$V213)))</f>
        <v/>
      </c>
      <c r="AR213" t="str">
        <f>IF($A213="","",$AO213*IFERROR($AP213/$AQ213,0)*IFERROR($AE213/$AF213,0)*IFERROR($AC213/$AD213,0))</f>
        <v/>
      </c>
    </row>
    <row r="214" spans="1:46" x14ac:dyDescent="0.45">
      <c r="A214" t="str">
        <f>IF(Allocation2!D214="","",Allocation2!D214)</f>
        <v/>
      </c>
      <c r="B214" t="str">
        <f>IF(Allocation2!E214="","",Allocation2!E214)</f>
        <v/>
      </c>
      <c r="C214" t="str">
        <f>IF(Allocation2!F214="","",Allocation2!F214)</f>
        <v/>
      </c>
      <c r="D214" t="str">
        <f>IF(Allocation2!G214="","",Allocation2!G214)</f>
        <v/>
      </c>
      <c r="E214" t="str">
        <f>IF(Allocation2!H214="","",Allocation2!H214)</f>
        <v/>
      </c>
      <c r="F214" t="str">
        <f>IF(Allocation2!I214="","",Allocation2!I214)</f>
        <v/>
      </c>
      <c r="G214" t="str">
        <f>IF(Allocation2!E214="","",Allocation2!J214)</f>
        <v/>
      </c>
      <c r="H214" t="str">
        <f>IF(Allocation2!E214="","",Allocation2!K214)</f>
        <v/>
      </c>
      <c r="I214" t="str">
        <f>IF(Allocation2!E214="","",Allocation2!L214)</f>
        <v/>
      </c>
      <c r="J214" t="str">
        <f>IF($A214="","",Allocation2!X214)</f>
        <v/>
      </c>
      <c r="K214" t="str">
        <f>IF($A214="","",$H214*IF(AND(LEFT($D214,3)="BAC",$F214="INIT"),600,IF(LEFT($D214,3)="BAC",480,IF(AND(LEFT($D214,3)="MAS",$F214="INIT"),520,IF(LEFT($D214,3)="MAS",420,IF($F214="INIT",1000,700))))))</f>
        <v/>
      </c>
      <c r="L214" t="str">
        <f>IF($A214="","",SUMIFS($G$1:$G$349,$A$1:$A$349,$A214,$B$1:$B$349,$B214))</f>
        <v/>
      </c>
      <c r="M214" t="str">
        <f>IF($A214="","",SUMIFS($H$1:$H$349,$A$1:$A$349,$A214,$B$1:$B$349,$B214))</f>
        <v/>
      </c>
      <c r="N214" t="str">
        <f>IF($A214="","",SUMIFS($I$1:$I$349,$A$1:$A$349,$A214,$B$1:$B$349,$B214))</f>
        <v/>
      </c>
      <c r="O214" t="str">
        <f>IF($A214="","",SUMIFS($K$1:$K$349,$A$1:$A$349,$A214,$B$1:$B$349,$B214))</f>
        <v/>
      </c>
      <c r="P214" t="str">
        <f>IF($A214="","",SUMIFS($J$1:$J$349,$A$1:$A$349,$A214,$B$1:$B$349,$B214))</f>
        <v/>
      </c>
      <c r="Q214" t="str">
        <f>IF($A214="","",SUMIFS($G$1:$G$349,$A$1:$A$349,$A214,$C$1:$C$349,$C214))</f>
        <v/>
      </c>
      <c r="R214" t="str">
        <f>IF($A214="","",SUMIFS($H$1:$H$349,$A$1:$A$349,$A214,$C$1:$C$349,$C214))</f>
        <v/>
      </c>
      <c r="S214" t="str">
        <f>IF($A214="","",SUMIFS($I$1:$I$349,$A$1:$A$349,$A214,$C$1:$C$349,$C214))</f>
        <v/>
      </c>
      <c r="T214" t="str">
        <f>IF($A214="","",SUMIFS($G$1:$G$349,$A$1:$A$349,$A214))</f>
        <v/>
      </c>
      <c r="U214" t="str">
        <f>IF($A214="","",SUMIFS($H$1:$H$349,$A$1:$A$349,$A214))</f>
        <v/>
      </c>
      <c r="V214" t="str">
        <f>IF($A214="","",SUMIFS($I$1:$I$349,$A$1:$A$349,$A214))</f>
        <v/>
      </c>
      <c r="W214" t="str">
        <f>IF($A214="","",Allocation2!Y214)</f>
        <v/>
      </c>
      <c r="X214" t="str">
        <f>IF($A214="","",Allocation2!Z214)</f>
        <v/>
      </c>
      <c r="Y214" t="str">
        <f>IF($A214="","",Allocation2!AA214)</f>
        <v/>
      </c>
      <c r="Z214" t="str">
        <f>IF($A214="","",Allocation2!AB214)</f>
        <v/>
      </c>
      <c r="AA214" t="str">
        <f>IF($A214="","",Allocation2!AC214)</f>
        <v/>
      </c>
      <c r="AB214" t="str">
        <f>IF($A214="","",Allocation2!AD214)</f>
        <v/>
      </c>
      <c r="AC214" t="str">
        <f>IF($A214="","",IF(ALLOC!$N$4="VOL_EFF",$G214,IF(ALLOC!$N$4="VOL_CLASS",$H214,$I214)))</f>
        <v/>
      </c>
      <c r="AD214" t="str">
        <f>IF($A214="","",IF(ALLOC!$N$4="VOL_EFF",$L214,IF(ALLOC!$N$4="VOL_CLASS",$M214,$N214)))</f>
        <v/>
      </c>
      <c r="AE214" t="str">
        <f>IF($A214="","",IF(ALLOC!$N$3="VOL_EFF",$L214,IF(ALLOC!$N$3="VOL_CLASS",$M214,$N214)))</f>
        <v/>
      </c>
      <c r="AF214" t="str">
        <f>IF($A214="","",IF(ALLOC!$N$3="VOL_EFF",$Q214,IF(ALLOC!$N$3="VOL_CLASS",$R214,$S214)))</f>
        <v/>
      </c>
      <c r="AG214" t="str">
        <f>IF($A214="","",IF(ALLOC!$N$1="VOL_EFF",$Q214,IF(ALLOC!$N$1="VOL_CLASS",$R214,$S214)))</f>
        <v/>
      </c>
      <c r="AH214" t="str">
        <f>IF($A214="","",IF(ALLOC!$N$1="VOL_EFF",$T214,IF(ALLOC!$N$1="VOL_CLASS",$U214,$V214)))</f>
        <v/>
      </c>
      <c r="AI214" t="str">
        <f>IF($A214="","",$W214*IFERROR($K214/$O214,0))</f>
        <v/>
      </c>
      <c r="AJ214" t="str">
        <f>IF($A214="","",$X214*IFERROR($K214/$O214,0))</f>
        <v/>
      </c>
      <c r="AK214" t="str">
        <f>IF($A214="","",$Y214*IFERROR($G214/$L214,0)+$Z214*IFERROR($J214/$P214,0))</f>
        <v/>
      </c>
      <c r="AL214" t="str">
        <f>IF($A214="","",$AA214*IFERROR($AC214/$AD214,0))</f>
        <v/>
      </c>
      <c r="AM214" t="str">
        <f>IF($A214="","",$AB214*IFERROR($AG214/$AH214,0)*IFERROR($AE214/$AF214,0)*IFERROR($AC214/$AD214,0))</f>
        <v/>
      </c>
      <c r="AN214" t="str">
        <f>IF($A214="","",$I214-($AI214+$AJ214+$AK214+$AL214+$AM214+$AR214))</f>
        <v/>
      </c>
      <c r="AO214" t="str">
        <f>IF($A214="","",Allocation2!AE214)</f>
        <v/>
      </c>
      <c r="AP214" t="str">
        <f>IF($A214="","",IF(ALLOC!$N$2="VOL_EFF",$Q214,IF(ALLOC!$N$2="VOL_CLASS",$R214,$S214)))</f>
        <v/>
      </c>
      <c r="AQ214" t="str">
        <f>IF($A214="","",IF(ALLOC!$N$2="VOL_EFF",$T214,IF(ALLOC!$N$2="VOL_CLASS",$U214,$V214)))</f>
        <v/>
      </c>
      <c r="AR214" t="str">
        <f>IF($A214="","",$AO214*IFERROR($AP214/$AQ214,0)*IFERROR($AE214/$AF214,0)*IFERROR($AC214/$AD214,0))</f>
        <v/>
      </c>
    </row>
    <row r="215" spans="1:46" x14ac:dyDescent="0.45">
      <c r="A215" t="str">
        <f>IF(Allocation2!D215="","",Allocation2!D215)</f>
        <v/>
      </c>
      <c r="B215" t="str">
        <f>IF(Allocation2!E215="","",Allocation2!E215)</f>
        <v/>
      </c>
      <c r="C215" t="str">
        <f>IF(Allocation2!F215="","",Allocation2!F215)</f>
        <v/>
      </c>
      <c r="D215" t="str">
        <f>IF(Allocation2!G215="","",Allocation2!G215)</f>
        <v/>
      </c>
      <c r="E215" t="str">
        <f>IF(Allocation2!H215="","",Allocation2!H215)</f>
        <v/>
      </c>
      <c r="F215" t="str">
        <f>IF(Allocation2!I215="","",Allocation2!I215)</f>
        <v/>
      </c>
      <c r="G215" t="str">
        <f>IF(Allocation2!E215="","",Allocation2!J215)</f>
        <v/>
      </c>
      <c r="H215" t="str">
        <f>IF(Allocation2!E215="","",Allocation2!K215)</f>
        <v/>
      </c>
      <c r="I215" t="str">
        <f>IF(Allocation2!E215="","",Allocation2!L215)</f>
        <v/>
      </c>
      <c r="J215" t="str">
        <f>IF($A215="","",Allocation2!X215)</f>
        <v/>
      </c>
      <c r="K215" t="str">
        <f>IF($A215="","",$H215*IF(AND(LEFT($D215,3)="BAC",$F215="INIT"),600,IF(LEFT($D215,3)="BAC",480,IF(AND(LEFT($D215,3)="MAS",$F215="INIT"),520,IF(LEFT($D215,3)="MAS",420,IF($F215="INIT",1000,700))))))</f>
        <v/>
      </c>
      <c r="L215" t="str">
        <f>IF($A215="","",SUMIFS($G$1:$G$349,$A$1:$A$349,$A215,$B$1:$B$349,$B215))</f>
        <v/>
      </c>
      <c r="M215" t="str">
        <f>IF($A215="","",SUMIFS($H$1:$H$349,$A$1:$A$349,$A215,$B$1:$B$349,$B215))</f>
        <v/>
      </c>
      <c r="N215" t="str">
        <f>IF($A215="","",SUMIFS($I$1:$I$349,$A$1:$A$349,$A215,$B$1:$B$349,$B215))</f>
        <v/>
      </c>
      <c r="O215" t="str">
        <f>IF($A215="","",SUMIFS($K$1:$K$349,$A$1:$A$349,$A215,$B$1:$B$349,$B215))</f>
        <v/>
      </c>
      <c r="P215" t="str">
        <f>IF($A215="","",SUMIFS($J$1:$J$349,$A$1:$A$349,$A215,$B$1:$B$349,$B215))</f>
        <v/>
      </c>
      <c r="Q215" t="str">
        <f>IF($A215="","",SUMIFS($G$1:$G$349,$A$1:$A$349,$A215,$C$1:$C$349,$C215))</f>
        <v/>
      </c>
      <c r="R215" t="str">
        <f>IF($A215="","",SUMIFS($H$1:$H$349,$A$1:$A$349,$A215,$C$1:$C$349,$C215))</f>
        <v/>
      </c>
      <c r="S215" t="str">
        <f>IF($A215="","",SUMIFS($I$1:$I$349,$A$1:$A$349,$A215,$C$1:$C$349,$C215))</f>
        <v/>
      </c>
      <c r="T215" t="str">
        <f>IF($A215="","",SUMIFS($G$1:$G$349,$A$1:$A$349,$A215))</f>
        <v/>
      </c>
      <c r="U215" t="str">
        <f>IF($A215="","",SUMIFS($H$1:$H$349,$A$1:$A$349,$A215))</f>
        <v/>
      </c>
      <c r="V215" t="str">
        <f>IF($A215="","",SUMIFS($I$1:$I$349,$A$1:$A$349,$A215))</f>
        <v/>
      </c>
      <c r="W215" t="str">
        <f>IF($A215="","",Allocation2!Y215)</f>
        <v/>
      </c>
      <c r="X215" t="str">
        <f>IF($A215="","",Allocation2!Z215)</f>
        <v/>
      </c>
      <c r="Y215" t="str">
        <f>IF($A215="","",Allocation2!AA215)</f>
        <v/>
      </c>
      <c r="Z215" t="str">
        <f>IF($A215="","",Allocation2!AB215)</f>
        <v/>
      </c>
      <c r="AA215" t="str">
        <f>IF($A215="","",Allocation2!AC215)</f>
        <v/>
      </c>
      <c r="AB215" t="str">
        <f>IF($A215="","",Allocation2!AD215)</f>
        <v/>
      </c>
      <c r="AC215" t="str">
        <f>IF($A215="","",IF(ALLOC!$N$4="VOL_EFF",$G215,IF(ALLOC!$N$4="VOL_CLASS",$H215,$I215)))</f>
        <v/>
      </c>
      <c r="AD215" t="str">
        <f>IF($A215="","",IF(ALLOC!$N$4="VOL_EFF",$L215,IF(ALLOC!$N$4="VOL_CLASS",$M215,$N215)))</f>
        <v/>
      </c>
      <c r="AE215" t="str">
        <f>IF($A215="","",IF(ALLOC!$N$3="VOL_EFF",$L215,IF(ALLOC!$N$3="VOL_CLASS",$M215,$N215)))</f>
        <v/>
      </c>
      <c r="AF215" t="str">
        <f>IF($A215="","",IF(ALLOC!$N$3="VOL_EFF",$Q215,IF(ALLOC!$N$3="VOL_CLASS",$R215,$S215)))</f>
        <v/>
      </c>
      <c r="AG215" t="str">
        <f>IF($A215="","",IF(ALLOC!$N$1="VOL_EFF",$Q215,IF(ALLOC!$N$1="VOL_CLASS",$R215,$S215)))</f>
        <v/>
      </c>
      <c r="AH215" t="str">
        <f>IF($A215="","",IF(ALLOC!$N$1="VOL_EFF",$T215,IF(ALLOC!$N$1="VOL_CLASS",$U215,$V215)))</f>
        <v/>
      </c>
      <c r="AI215" t="str">
        <f>IF($A215="","",$W215*IFERROR($K215/$O215,0))</f>
        <v/>
      </c>
      <c r="AJ215" t="str">
        <f>IF($A215="","",$X215*IFERROR($K215/$O215,0))</f>
        <v/>
      </c>
      <c r="AK215" t="str">
        <f>IF($A215="","",$Y215*IFERROR($G215/$L215,0)+$Z215*IFERROR($J215/$P215,0))</f>
        <v/>
      </c>
      <c r="AL215" t="str">
        <f>IF($A215="","",$AA215*IFERROR($AC215/$AD215,0))</f>
        <v/>
      </c>
      <c r="AM215" t="str">
        <f>IF($A215="","",$AB215*IFERROR($AG215/$AH215,0)*IFERROR($AE215/$AF215,0)*IFERROR($AC215/$AD215,0))</f>
        <v/>
      </c>
      <c r="AN215" t="str">
        <f>IF($A215="","",$I215-($AI215+$AJ215+$AK215+$AL215+$AM215+$AR215))</f>
        <v/>
      </c>
      <c r="AO215" t="str">
        <f>IF($A215="","",Allocation2!AE215)</f>
        <v/>
      </c>
      <c r="AP215" t="str">
        <f>IF($A215="","",IF(ALLOC!$N$2="VOL_EFF",$Q215,IF(ALLOC!$N$2="VOL_CLASS",$R215,$S215)))</f>
        <v/>
      </c>
      <c r="AQ215" t="str">
        <f>IF($A215="","",IF(ALLOC!$N$2="VOL_EFF",$T215,IF(ALLOC!$N$2="VOL_CLASS",$U215,$V215)))</f>
        <v/>
      </c>
      <c r="AR215" t="str">
        <f>IF($A215="","",$AO215*IFERROR($AP215/$AQ215,0)*IFERROR($AE215/$AF215,0)*IFERROR($AC215/$AD215,0))</f>
        <v/>
      </c>
    </row>
    <row r="216" spans="1:46" x14ac:dyDescent="0.45">
      <c r="A216" t="str">
        <f>IF(Allocation2!D216="","",Allocation2!D216)</f>
        <v/>
      </c>
      <c r="B216" t="str">
        <f>IF(Allocation2!E216="","",Allocation2!E216)</f>
        <v/>
      </c>
      <c r="C216" t="str">
        <f>IF(Allocation2!F216="","",Allocation2!F216)</f>
        <v/>
      </c>
      <c r="D216" t="str">
        <f>IF(Allocation2!G216="","",Allocation2!G216)</f>
        <v/>
      </c>
      <c r="E216" t="str">
        <f>IF(Allocation2!H216="","",Allocation2!H216)</f>
        <v/>
      </c>
      <c r="F216" t="str">
        <f>IF(Allocation2!I216="","",Allocation2!I216)</f>
        <v/>
      </c>
      <c r="G216" t="str">
        <f>IF(Allocation2!E216="","",Allocation2!J216)</f>
        <v/>
      </c>
      <c r="H216" t="str">
        <f>IF(Allocation2!E216="","",Allocation2!K216)</f>
        <v/>
      </c>
      <c r="I216" t="str">
        <f>IF(Allocation2!E216="","",Allocation2!L216)</f>
        <v/>
      </c>
      <c r="J216" t="str">
        <f>IF($A216="","",Allocation2!X216)</f>
        <v/>
      </c>
      <c r="K216" t="str">
        <f>IF($A216="","",$H216*IF(AND(LEFT($D216,3)="BAC",$F216="INIT"),600,IF(LEFT($D216,3)="BAC",480,IF(AND(LEFT($D216,3)="MAS",$F216="INIT"),520,IF(LEFT($D216,3)="MAS",420,IF($F216="INIT",1000,700))))))</f>
        <v/>
      </c>
      <c r="L216" t="str">
        <f>IF($A216="","",SUMIFS($G$1:$G$349,$A$1:$A$349,$A216,$B$1:$B$349,$B216))</f>
        <v/>
      </c>
      <c r="M216" t="str">
        <f>IF($A216="","",SUMIFS($H$1:$H$349,$A$1:$A$349,$A216,$B$1:$B$349,$B216))</f>
        <v/>
      </c>
      <c r="N216" t="str">
        <f>IF($A216="","",SUMIFS($I$1:$I$349,$A$1:$A$349,$A216,$B$1:$B$349,$B216))</f>
        <v/>
      </c>
      <c r="O216" t="str">
        <f>IF($A216="","",SUMIFS($K$1:$K$349,$A$1:$A$349,$A216,$B$1:$B$349,$B216))</f>
        <v/>
      </c>
      <c r="P216" t="str">
        <f>IF($A216="","",SUMIFS($J$1:$J$349,$A$1:$A$349,$A216,$B$1:$B$349,$B216))</f>
        <v/>
      </c>
      <c r="Q216" t="str">
        <f>IF($A216="","",SUMIFS($G$1:$G$349,$A$1:$A$349,$A216,$C$1:$C$349,$C216))</f>
        <v/>
      </c>
      <c r="R216" t="str">
        <f>IF($A216="","",SUMIFS($H$1:$H$349,$A$1:$A$349,$A216,$C$1:$C$349,$C216))</f>
        <v/>
      </c>
      <c r="S216" t="str">
        <f>IF($A216="","",SUMIFS($I$1:$I$349,$A$1:$A$349,$A216,$C$1:$C$349,$C216))</f>
        <v/>
      </c>
      <c r="T216" t="str">
        <f>IF($A216="","",SUMIFS($G$1:$G$349,$A$1:$A$349,$A216))</f>
        <v/>
      </c>
      <c r="U216" t="str">
        <f>IF($A216="","",SUMIFS($H$1:$H$349,$A$1:$A$349,$A216))</f>
        <v/>
      </c>
      <c r="V216" t="str">
        <f>IF($A216="","",SUMIFS($I$1:$I$349,$A$1:$A$349,$A216))</f>
        <v/>
      </c>
      <c r="W216" t="str">
        <f>IF($A216="","",Allocation2!Y216)</f>
        <v/>
      </c>
      <c r="X216" t="str">
        <f>IF($A216="","",Allocation2!Z216)</f>
        <v/>
      </c>
      <c r="Y216" t="str">
        <f>IF($A216="","",Allocation2!AA216)</f>
        <v/>
      </c>
      <c r="Z216" t="str">
        <f>IF($A216="","",Allocation2!AB216)</f>
        <v/>
      </c>
      <c r="AA216" t="str">
        <f>IF($A216="","",Allocation2!AC216)</f>
        <v/>
      </c>
      <c r="AB216" t="str">
        <f>IF($A216="","",Allocation2!AD216)</f>
        <v/>
      </c>
      <c r="AC216" t="str">
        <f>IF($A216="","",IF(ALLOC!$N$4="VOL_EFF",$G216,IF(ALLOC!$N$4="VOL_CLASS",$H216,$I216)))</f>
        <v/>
      </c>
      <c r="AD216" t="str">
        <f>IF($A216="","",IF(ALLOC!$N$4="VOL_EFF",$L216,IF(ALLOC!$N$4="VOL_CLASS",$M216,$N216)))</f>
        <v/>
      </c>
      <c r="AE216" t="str">
        <f>IF($A216="","",IF(ALLOC!$N$3="VOL_EFF",$L216,IF(ALLOC!$N$3="VOL_CLASS",$M216,$N216)))</f>
        <v/>
      </c>
      <c r="AF216" t="str">
        <f>IF($A216="","",IF(ALLOC!$N$3="VOL_EFF",$Q216,IF(ALLOC!$N$3="VOL_CLASS",$R216,$S216)))</f>
        <v/>
      </c>
      <c r="AG216" t="str">
        <f>IF($A216="","",IF(ALLOC!$N$1="VOL_EFF",$Q216,IF(ALLOC!$N$1="VOL_CLASS",$R216,$S216)))</f>
        <v/>
      </c>
      <c r="AH216" t="str">
        <f>IF($A216="","",IF(ALLOC!$N$1="VOL_EFF",$T216,IF(ALLOC!$N$1="VOL_CLASS",$U216,$V216)))</f>
        <v/>
      </c>
      <c r="AI216" t="str">
        <f>IF($A216="","",$W216*IFERROR($K216/$O216,0))</f>
        <v/>
      </c>
      <c r="AJ216" t="str">
        <f>IF($A216="","",$X216*IFERROR($K216/$O216,0))</f>
        <v/>
      </c>
      <c r="AK216" t="str">
        <f>IF($A216="","",$Y216*IFERROR($G216/$L216,0)+$Z216*IFERROR($J216/$P216,0))</f>
        <v/>
      </c>
      <c r="AL216" t="str">
        <f>IF($A216="","",$AA216*IFERROR($AC216/$AD216,0))</f>
        <v/>
      </c>
      <c r="AM216" t="str">
        <f>IF($A216="","",$AB216*IFERROR($AG216/$AH216,0)*IFERROR($AE216/$AF216,0)*IFERROR($AC216/$AD216,0))</f>
        <v/>
      </c>
      <c r="AN216" t="str">
        <f>IF($A216="","",$I216-($AI216+$AJ216+$AK216+$AL216+$AM216+$AR216))</f>
        <v/>
      </c>
      <c r="AO216" t="str">
        <f>IF($A216="","",Allocation2!AE216)</f>
        <v/>
      </c>
      <c r="AP216" t="str">
        <f>IF($A216="","",IF(ALLOC!$N$2="VOL_EFF",$Q216,IF(ALLOC!$N$2="VOL_CLASS",$R216,$S216)))</f>
        <v/>
      </c>
      <c r="AQ216" t="str">
        <f>IF($A216="","",IF(ALLOC!$N$2="VOL_EFF",$T216,IF(ALLOC!$N$2="VOL_CLASS",$U216,$V216)))</f>
        <v/>
      </c>
      <c r="AR216" t="str">
        <f>IF($A216="","",$AO216*IFERROR($AP216/$AQ216,0)*IFERROR($AE216/$AF216,0)*IFERROR($AC216/$AD216,0))</f>
        <v/>
      </c>
    </row>
    <row r="217" spans="1:46" x14ac:dyDescent="0.45">
      <c r="A217" t="str">
        <f>IF(Allocation2!D217="","",Allocation2!D217)</f>
        <v/>
      </c>
      <c r="B217" t="str">
        <f>IF(Allocation2!E217="","",Allocation2!E217)</f>
        <v/>
      </c>
      <c r="C217" t="str">
        <f>IF(Allocation2!F217="","",Allocation2!F217)</f>
        <v/>
      </c>
      <c r="D217" t="str">
        <f>IF(Allocation2!G217="","",Allocation2!G217)</f>
        <v/>
      </c>
      <c r="E217" t="str">
        <f>IF(Allocation2!H217="","",Allocation2!H217)</f>
        <v/>
      </c>
      <c r="F217" t="str">
        <f>IF(Allocation2!I217="","",Allocation2!I217)</f>
        <v/>
      </c>
      <c r="G217" t="str">
        <f>IF(Allocation2!E217="","",Allocation2!J217)</f>
        <v/>
      </c>
      <c r="H217" t="str">
        <f>IF(Allocation2!E217="","",Allocation2!K217)</f>
        <v/>
      </c>
      <c r="I217" t="str">
        <f>IF(Allocation2!E217="","",Allocation2!L217)</f>
        <v/>
      </c>
      <c r="J217" t="str">
        <f>IF($A217="","",Allocation2!X217)</f>
        <v/>
      </c>
      <c r="K217" t="str">
        <f>IF($A217="","",$H217*IF(AND(LEFT($D217,3)="BAC",$F217="INIT"),600,IF(LEFT($D217,3)="BAC",480,IF(AND(LEFT($D217,3)="MAS",$F217="INIT"),520,IF(LEFT($D217,3)="MAS",420,IF($F217="INIT",1000,700))))))</f>
        <v/>
      </c>
      <c r="L217" t="str">
        <f>IF($A217="","",SUMIFS($G$1:$G$349,$A$1:$A$349,$A217,$B$1:$B$349,$B217))</f>
        <v/>
      </c>
      <c r="M217" t="str">
        <f>IF($A217="","",SUMIFS($H$1:$H$349,$A$1:$A$349,$A217,$B$1:$B$349,$B217))</f>
        <v/>
      </c>
      <c r="N217" t="str">
        <f>IF($A217="","",SUMIFS($I$1:$I$349,$A$1:$A$349,$A217,$B$1:$B$349,$B217))</f>
        <v/>
      </c>
      <c r="O217" t="str">
        <f>IF($A217="","",SUMIFS($K$1:$K$349,$A$1:$A$349,$A217,$B$1:$B$349,$B217))</f>
        <v/>
      </c>
      <c r="P217" t="str">
        <f>IF($A217="","",SUMIFS($J$1:$J$349,$A$1:$A$349,$A217,$B$1:$B$349,$B217))</f>
        <v/>
      </c>
      <c r="Q217" t="str">
        <f>IF($A217="","",SUMIFS($G$1:$G$349,$A$1:$A$349,$A217,$C$1:$C$349,$C217))</f>
        <v/>
      </c>
      <c r="R217" t="str">
        <f>IF($A217="","",SUMIFS($H$1:$H$349,$A$1:$A$349,$A217,$C$1:$C$349,$C217))</f>
        <v/>
      </c>
      <c r="S217" t="str">
        <f>IF($A217="","",SUMIFS($I$1:$I$349,$A$1:$A$349,$A217,$C$1:$C$349,$C217))</f>
        <v/>
      </c>
      <c r="T217" t="str">
        <f>IF($A217="","",SUMIFS($G$1:$G$349,$A$1:$A$349,$A217))</f>
        <v/>
      </c>
      <c r="U217" t="str">
        <f>IF($A217="","",SUMIFS($H$1:$H$349,$A$1:$A$349,$A217))</f>
        <v/>
      </c>
      <c r="V217" t="str">
        <f>IF($A217="","",SUMIFS($I$1:$I$349,$A$1:$A$349,$A217))</f>
        <v/>
      </c>
      <c r="W217" t="str">
        <f>IF($A217="","",Allocation2!Y217)</f>
        <v/>
      </c>
      <c r="X217" t="str">
        <f>IF($A217="","",Allocation2!Z217)</f>
        <v/>
      </c>
      <c r="Y217" t="str">
        <f>IF($A217="","",Allocation2!AA217)</f>
        <v/>
      </c>
      <c r="Z217" t="str">
        <f>IF($A217="","",Allocation2!AB217)</f>
        <v/>
      </c>
      <c r="AA217" t="str">
        <f>IF($A217="","",Allocation2!AC217)</f>
        <v/>
      </c>
      <c r="AB217" t="str">
        <f>IF($A217="","",Allocation2!AD217)</f>
        <v/>
      </c>
      <c r="AC217" t="str">
        <f>IF($A217="","",IF(ALLOC!$N$4="VOL_EFF",$G217,IF(ALLOC!$N$4="VOL_CLASS",$H217,$I217)))</f>
        <v/>
      </c>
      <c r="AD217" t="str">
        <f>IF($A217="","",IF(ALLOC!$N$4="VOL_EFF",$L217,IF(ALLOC!$N$4="VOL_CLASS",$M217,$N217)))</f>
        <v/>
      </c>
      <c r="AE217" t="str">
        <f>IF($A217="","",IF(ALLOC!$N$3="VOL_EFF",$L217,IF(ALLOC!$N$3="VOL_CLASS",$M217,$N217)))</f>
        <v/>
      </c>
      <c r="AF217" t="str">
        <f>IF($A217="","",IF(ALLOC!$N$3="VOL_EFF",$Q217,IF(ALLOC!$N$3="VOL_CLASS",$R217,$S217)))</f>
        <v/>
      </c>
      <c r="AG217" t="str">
        <f>IF($A217="","",IF(ALLOC!$N$1="VOL_EFF",$Q217,IF(ALLOC!$N$1="VOL_CLASS",$R217,$S217)))</f>
        <v/>
      </c>
      <c r="AH217" t="str">
        <f>IF($A217="","",IF(ALLOC!$N$1="VOL_EFF",$T217,IF(ALLOC!$N$1="VOL_CLASS",$U217,$V217)))</f>
        <v/>
      </c>
      <c r="AI217" t="str">
        <f>IF($A217="","",$W217*IFERROR($K217/$O217,0))</f>
        <v/>
      </c>
      <c r="AJ217" t="str">
        <f>IF($A217="","",$X217*IFERROR($K217/$O217,0))</f>
        <v/>
      </c>
      <c r="AK217" t="str">
        <f>IF($A217="","",$Y217*IFERROR($G217/$L217,0)+$Z217*IFERROR($J217/$P217,0))</f>
        <v/>
      </c>
      <c r="AL217" t="str">
        <f>IF($A217="","",$AA217*IFERROR($AC217/$AD217,0))</f>
        <v/>
      </c>
      <c r="AM217" t="str">
        <f>IF($A217="","",$AB217*IFERROR($AG217/$AH217,0)*IFERROR($AE217/$AF217,0)*IFERROR($AC217/$AD217,0))</f>
        <v/>
      </c>
      <c r="AN217" t="str">
        <f>IF($A217="","",$I217-($AI217+$AJ217+$AK217+$AL217+$AM217+$AR217))</f>
        <v/>
      </c>
      <c r="AO217" t="str">
        <f>IF($A217="","",Allocation2!AE217)</f>
        <v/>
      </c>
      <c r="AP217" t="str">
        <f>IF($A217="","",IF(ALLOC!$N$2="VOL_EFF",$Q217,IF(ALLOC!$N$2="VOL_CLASS",$R217,$S217)))</f>
        <v/>
      </c>
      <c r="AQ217" t="str">
        <f>IF($A217="","",IF(ALLOC!$N$2="VOL_EFF",$T217,IF(ALLOC!$N$2="VOL_CLASS",$U217,$V217)))</f>
        <v/>
      </c>
      <c r="AR217" t="str">
        <f>IF($A217="","",$AO217*IFERROR($AP217/$AQ217,0)*IFERROR($AE217/$AF217,0)*IFERROR($AC217/$AD217,0))</f>
        <v/>
      </c>
    </row>
    <row r="218" spans="1:46" x14ac:dyDescent="0.45">
      <c r="A218" t="str">
        <f>IF(Allocation2!D218="","",Allocation2!D218)</f>
        <v/>
      </c>
      <c r="B218" t="str">
        <f>IF(Allocation2!E218="","",Allocation2!E218)</f>
        <v/>
      </c>
      <c r="C218" t="str">
        <f>IF(Allocation2!F218="","",Allocation2!F218)</f>
        <v/>
      </c>
      <c r="D218" t="str">
        <f>IF(Allocation2!G218="","",Allocation2!G218)</f>
        <v/>
      </c>
      <c r="E218" t="str">
        <f>IF(Allocation2!H218="","",Allocation2!H218)</f>
        <v/>
      </c>
      <c r="F218" t="str">
        <f>IF(Allocation2!I218="","",Allocation2!I218)</f>
        <v/>
      </c>
      <c r="G218" t="str">
        <f>IF(Allocation2!E218="","",Allocation2!J218)</f>
        <v/>
      </c>
      <c r="H218" t="str">
        <f>IF(Allocation2!E218="","",Allocation2!K218)</f>
        <v/>
      </c>
      <c r="I218" t="str">
        <f>IF(Allocation2!E218="","",Allocation2!L218)</f>
        <v/>
      </c>
      <c r="J218" t="str">
        <f>IF($A218="","",Allocation2!X218)</f>
        <v/>
      </c>
      <c r="K218" t="str">
        <f>IF($A218="","",$H218*IF(AND(LEFT($D218,3)="BAC",$F218="INIT"),600,IF(LEFT($D218,3)="BAC",480,IF(AND(LEFT($D218,3)="MAS",$F218="INIT"),520,IF(LEFT($D218,3)="MAS",420,IF($F218="INIT",1000,700))))))</f>
        <v/>
      </c>
      <c r="L218" t="str">
        <f>IF($A218="","",SUMIFS($G$1:$G$349,$A$1:$A$349,$A218,$B$1:$B$349,$B218))</f>
        <v/>
      </c>
      <c r="M218" t="str">
        <f>IF($A218="","",SUMIFS($H$1:$H$349,$A$1:$A$349,$A218,$B$1:$B$349,$B218))</f>
        <v/>
      </c>
      <c r="N218" t="str">
        <f>IF($A218="","",SUMIFS($I$1:$I$349,$A$1:$A$349,$A218,$B$1:$B$349,$B218))</f>
        <v/>
      </c>
      <c r="O218" t="str">
        <f>IF($A218="","",SUMIFS($K$1:$K$349,$A$1:$A$349,$A218,$B$1:$B$349,$B218))</f>
        <v/>
      </c>
      <c r="P218" t="str">
        <f>IF($A218="","",SUMIFS($J$1:$J$349,$A$1:$A$349,$A218,$B$1:$B$349,$B218))</f>
        <v/>
      </c>
      <c r="Q218" t="str">
        <f>IF($A218="","",SUMIFS($G$1:$G$349,$A$1:$A$349,$A218,$C$1:$C$349,$C218))</f>
        <v/>
      </c>
      <c r="R218" t="str">
        <f>IF($A218="","",SUMIFS($H$1:$H$349,$A$1:$A$349,$A218,$C$1:$C$349,$C218))</f>
        <v/>
      </c>
      <c r="S218" t="str">
        <f>IF($A218="","",SUMIFS($I$1:$I$349,$A$1:$A$349,$A218,$C$1:$C$349,$C218))</f>
        <v/>
      </c>
      <c r="T218" t="str">
        <f>IF($A218="","",SUMIFS($G$1:$G$349,$A$1:$A$349,$A218))</f>
        <v/>
      </c>
      <c r="U218" t="str">
        <f>IF($A218="","",SUMIFS($H$1:$H$349,$A$1:$A$349,$A218))</f>
        <v/>
      </c>
      <c r="V218" t="str">
        <f>IF($A218="","",SUMIFS($I$1:$I$349,$A$1:$A$349,$A218))</f>
        <v/>
      </c>
      <c r="W218" t="str">
        <f>IF($A218="","",Allocation2!Y218)</f>
        <v/>
      </c>
      <c r="X218" t="str">
        <f>IF($A218="","",Allocation2!Z218)</f>
        <v/>
      </c>
      <c r="Y218" t="str">
        <f>IF($A218="","",Allocation2!AA218)</f>
        <v/>
      </c>
      <c r="Z218" t="str">
        <f>IF($A218="","",Allocation2!AB218)</f>
        <v/>
      </c>
      <c r="AA218" t="str">
        <f>IF($A218="","",Allocation2!AC218)</f>
        <v/>
      </c>
      <c r="AB218" t="str">
        <f>IF($A218="","",Allocation2!AD218)</f>
        <v/>
      </c>
      <c r="AC218" t="str">
        <f>IF($A218="","",IF(ALLOC!$N$4="VOL_EFF",$G218,IF(ALLOC!$N$4="VOL_CLASS",$H218,$I218)))</f>
        <v/>
      </c>
      <c r="AD218" t="str">
        <f>IF($A218="","",IF(ALLOC!$N$4="VOL_EFF",$L218,IF(ALLOC!$N$4="VOL_CLASS",$M218,$N218)))</f>
        <v/>
      </c>
      <c r="AE218" t="str">
        <f>IF($A218="","",IF(ALLOC!$N$3="VOL_EFF",$L218,IF(ALLOC!$N$3="VOL_CLASS",$M218,$N218)))</f>
        <v/>
      </c>
      <c r="AF218" t="str">
        <f>IF($A218="","",IF(ALLOC!$N$3="VOL_EFF",$Q218,IF(ALLOC!$N$3="VOL_CLASS",$R218,$S218)))</f>
        <v/>
      </c>
      <c r="AG218" t="str">
        <f>IF($A218="","",IF(ALLOC!$N$1="VOL_EFF",$Q218,IF(ALLOC!$N$1="VOL_CLASS",$R218,$S218)))</f>
        <v/>
      </c>
      <c r="AH218" t="str">
        <f>IF($A218="","",IF(ALLOC!$N$1="VOL_EFF",$T218,IF(ALLOC!$N$1="VOL_CLASS",$U218,$V218)))</f>
        <v/>
      </c>
      <c r="AI218" t="str">
        <f>IF($A218="","",$W218*IFERROR($K218/$O218,0))</f>
        <v/>
      </c>
      <c r="AJ218" t="str">
        <f>IF($A218="","",$X218*IFERROR($K218/$O218,0))</f>
        <v/>
      </c>
      <c r="AK218" t="str">
        <f>IF($A218="","",$Y218*IFERROR($G218/$L218,0)+$Z218*IFERROR($J218/$P218,0))</f>
        <v/>
      </c>
      <c r="AL218" t="str">
        <f>IF($A218="","",$AA218*IFERROR($AC218/$AD218,0))</f>
        <v/>
      </c>
      <c r="AM218" t="str">
        <f>IF($A218="","",$AB218*IFERROR($AG218/$AH218,0)*IFERROR($AE218/$AF218,0)*IFERROR($AC218/$AD218,0))</f>
        <v/>
      </c>
      <c r="AN218" t="str">
        <f>IF($A218="","",$I218-($AI218+$AJ218+$AK218+$AL218+$AM218+$AR218))</f>
        <v/>
      </c>
      <c r="AO218" t="str">
        <f>IF($A218="","",Allocation2!AE218)</f>
        <v/>
      </c>
      <c r="AP218" t="str">
        <f>IF($A218="","",IF(ALLOC!$N$2="VOL_EFF",$Q218,IF(ALLOC!$N$2="VOL_CLASS",$R218,$S218)))</f>
        <v/>
      </c>
      <c r="AQ218" t="str">
        <f>IF($A218="","",IF(ALLOC!$N$2="VOL_EFF",$T218,IF(ALLOC!$N$2="VOL_CLASS",$U218,$V218)))</f>
        <v/>
      </c>
      <c r="AR218" t="str">
        <f>IF($A218="","",$AO218*IFERROR($AP218/$AQ218,0)*IFERROR($AE218/$AF218,0)*IFERROR($AC218/$AD218,0))</f>
        <v/>
      </c>
    </row>
    <row r="219" spans="1:46" x14ac:dyDescent="0.45">
      <c r="A219" t="str">
        <f>IF(Allocation2!D219="","",Allocation2!D219)</f>
        <v/>
      </c>
      <c r="B219" t="str">
        <f>IF(Allocation2!E219="","",Allocation2!E219)</f>
        <v/>
      </c>
      <c r="C219" t="str">
        <f>IF(Allocation2!F219="","",Allocation2!F219)</f>
        <v/>
      </c>
      <c r="D219" t="str">
        <f>IF(Allocation2!G219="","",Allocation2!G219)</f>
        <v/>
      </c>
      <c r="E219" t="str">
        <f>IF(Allocation2!H219="","",Allocation2!H219)</f>
        <v/>
      </c>
      <c r="F219" t="str">
        <f>IF(Allocation2!I219="","",Allocation2!I219)</f>
        <v/>
      </c>
      <c r="G219" t="str">
        <f>IF(Allocation2!E219="","",Allocation2!J219)</f>
        <v/>
      </c>
      <c r="H219" t="str">
        <f>IF(Allocation2!E219="","",Allocation2!K219)</f>
        <v/>
      </c>
      <c r="I219" t="str">
        <f>IF(Allocation2!E219="","",Allocation2!L219)</f>
        <v/>
      </c>
      <c r="J219" t="str">
        <f>IF($A219="","",Allocation2!X219)</f>
        <v/>
      </c>
      <c r="K219" t="str">
        <f>IF($A219="","",$H219*IF(AND(LEFT($D219,3)="BAC",$F219="INIT"),600,IF(LEFT($D219,3)="BAC",480,IF(AND(LEFT($D219,3)="MAS",$F219="INIT"),520,IF(LEFT($D219,3)="MAS",420,IF($F219="INIT",1000,700))))))</f>
        <v/>
      </c>
      <c r="L219" t="str">
        <f>IF($A219="","",SUMIFS($G$1:$G$349,$A$1:$A$349,$A219,$B$1:$B$349,$B219))</f>
        <v/>
      </c>
      <c r="M219" t="str">
        <f>IF($A219="","",SUMIFS($H$1:$H$349,$A$1:$A$349,$A219,$B$1:$B$349,$B219))</f>
        <v/>
      </c>
      <c r="N219" t="str">
        <f>IF($A219="","",SUMIFS($I$1:$I$349,$A$1:$A$349,$A219,$B$1:$B$349,$B219))</f>
        <v/>
      </c>
      <c r="O219" t="str">
        <f>IF($A219="","",SUMIFS($K$1:$K$349,$A$1:$A$349,$A219,$B$1:$B$349,$B219))</f>
        <v/>
      </c>
      <c r="P219" t="str">
        <f>IF($A219="","",SUMIFS($J$1:$J$349,$A$1:$A$349,$A219,$B$1:$B$349,$B219))</f>
        <v/>
      </c>
      <c r="Q219" t="str">
        <f>IF($A219="","",SUMIFS($G$1:$G$349,$A$1:$A$349,$A219,$C$1:$C$349,$C219))</f>
        <v/>
      </c>
      <c r="R219" t="str">
        <f>IF($A219="","",SUMIFS($H$1:$H$349,$A$1:$A$349,$A219,$C$1:$C$349,$C219))</f>
        <v/>
      </c>
      <c r="S219" t="str">
        <f>IF($A219="","",SUMIFS($I$1:$I$349,$A$1:$A$349,$A219,$C$1:$C$349,$C219))</f>
        <v/>
      </c>
      <c r="T219" t="str">
        <f>IF($A219="","",SUMIFS($G$1:$G$349,$A$1:$A$349,$A219))</f>
        <v/>
      </c>
      <c r="U219" t="str">
        <f>IF($A219="","",SUMIFS($H$1:$H$349,$A$1:$A$349,$A219))</f>
        <v/>
      </c>
      <c r="V219" t="str">
        <f>IF($A219="","",SUMIFS($I$1:$I$349,$A$1:$A$349,$A219))</f>
        <v/>
      </c>
      <c r="W219" t="str">
        <f>IF($A219="","",Allocation2!Y219)</f>
        <v/>
      </c>
      <c r="X219" t="str">
        <f>IF($A219="","",Allocation2!Z219)</f>
        <v/>
      </c>
      <c r="Y219" t="str">
        <f>IF($A219="","",Allocation2!AA219)</f>
        <v/>
      </c>
      <c r="Z219" t="str">
        <f>IF($A219="","",Allocation2!AB219)</f>
        <v/>
      </c>
      <c r="AA219" t="str">
        <f>IF($A219="","",Allocation2!AC219)</f>
        <v/>
      </c>
      <c r="AB219" t="str">
        <f>IF($A219="","",Allocation2!AD219)</f>
        <v/>
      </c>
      <c r="AC219" t="str">
        <f>IF($A219="","",IF(ALLOC!$N$4="VOL_EFF",$G219,IF(ALLOC!$N$4="VOL_CLASS",$H219,$I219)))</f>
        <v/>
      </c>
      <c r="AD219" t="str">
        <f>IF($A219="","",IF(ALLOC!$N$4="VOL_EFF",$L219,IF(ALLOC!$N$4="VOL_CLASS",$M219,$N219)))</f>
        <v/>
      </c>
      <c r="AE219" t="str">
        <f>IF($A219="","",IF(ALLOC!$N$3="VOL_EFF",$L219,IF(ALLOC!$N$3="VOL_CLASS",$M219,$N219)))</f>
        <v/>
      </c>
      <c r="AF219" t="str">
        <f>IF($A219="","",IF(ALLOC!$N$3="VOL_EFF",$Q219,IF(ALLOC!$N$3="VOL_CLASS",$R219,$S219)))</f>
        <v/>
      </c>
      <c r="AG219" t="str">
        <f>IF($A219="","",IF(ALLOC!$N$1="VOL_EFF",$Q219,IF(ALLOC!$N$1="VOL_CLASS",$R219,$S219)))</f>
        <v/>
      </c>
      <c r="AH219" t="str">
        <f>IF($A219="","",IF(ALLOC!$N$1="VOL_EFF",$T219,IF(ALLOC!$N$1="VOL_CLASS",$U219,$V219)))</f>
        <v/>
      </c>
      <c r="AI219" t="str">
        <f>IF($A219="","",$W219*IFERROR($K219/$O219,0))</f>
        <v/>
      </c>
      <c r="AJ219" t="str">
        <f>IF($A219="","",$X219*IFERROR($K219/$O219,0))</f>
        <v/>
      </c>
      <c r="AK219" t="str">
        <f>IF($A219="","",$Y219*IFERROR($G219/$L219,0)+$Z219*IFERROR($J219/$P219,0))</f>
        <v/>
      </c>
      <c r="AL219" t="str">
        <f>IF($A219="","",$AA219*IFERROR($AC219/$AD219,0))</f>
        <v/>
      </c>
      <c r="AM219" t="str">
        <f>IF($A219="","",$AB219*IFERROR($AG219/$AH219,0)*IFERROR($AE219/$AF219,0)*IFERROR($AC219/$AD219,0))</f>
        <v/>
      </c>
      <c r="AN219" t="str">
        <f>IF($A219="","",$I219-($AI219+$AJ219+$AK219+$AL219+$AM219+$AR219))</f>
        <v/>
      </c>
      <c r="AO219" t="str">
        <f>IF($A219="","",Allocation2!AE219)</f>
        <v/>
      </c>
      <c r="AP219" t="str">
        <f>IF($A219="","",IF(ALLOC!$N$2="VOL_EFF",$Q219,IF(ALLOC!$N$2="VOL_CLASS",$R219,$S219)))</f>
        <v/>
      </c>
      <c r="AQ219" t="str">
        <f>IF($A219="","",IF(ALLOC!$N$2="VOL_EFF",$T219,IF(ALLOC!$N$2="VOL_CLASS",$U219,$V219)))</f>
        <v/>
      </c>
      <c r="AR219" t="str">
        <f>IF($A219="","",$AO219*IFERROR($AP219/$AQ219,0)*IFERROR($AE219/$AF219,0)*IFERROR($AC219/$AD219,0))</f>
        <v/>
      </c>
    </row>
    <row r="220" spans="1:46" x14ac:dyDescent="0.45">
      <c r="A220" t="str">
        <f>IF(Allocation2!D220="","",Allocation2!D220)</f>
        <v/>
      </c>
      <c r="B220" t="str">
        <f>IF(Allocation2!E220="","",Allocation2!E220)</f>
        <v/>
      </c>
      <c r="C220" t="str">
        <f>IF(Allocation2!F220="","",Allocation2!F220)</f>
        <v/>
      </c>
      <c r="D220" t="str">
        <f>IF(Allocation2!G220="","",Allocation2!G220)</f>
        <v/>
      </c>
      <c r="E220" t="str">
        <f>IF(Allocation2!H220="","",Allocation2!H220)</f>
        <v/>
      </c>
      <c r="F220" t="str">
        <f>IF(Allocation2!I220="","",Allocation2!I220)</f>
        <v/>
      </c>
      <c r="G220" t="str">
        <f>IF(Allocation2!E220="","",Allocation2!J220)</f>
        <v/>
      </c>
      <c r="H220" t="str">
        <f>IF(Allocation2!E220="","",Allocation2!K220)</f>
        <v/>
      </c>
      <c r="I220" t="str">
        <f>IF(Allocation2!E220="","",Allocation2!L220)</f>
        <v/>
      </c>
      <c r="J220" t="str">
        <f>IF($A220="","",Allocation2!X220)</f>
        <v/>
      </c>
      <c r="K220" t="str">
        <f>IF($A220="","",$H220*IF(AND(LEFT($D220,3)="BAC",$F220="INIT"),600,IF(LEFT($D220,3)="BAC",480,IF(AND(LEFT($D220,3)="MAS",$F220="INIT"),520,IF(LEFT($D220,3)="MAS",420,IF($F220="INIT",1000,700))))))</f>
        <v/>
      </c>
      <c r="L220" t="str">
        <f>IF($A220="","",SUMIFS($G$1:$G$349,$A$1:$A$349,$A220,$B$1:$B$349,$B220))</f>
        <v/>
      </c>
      <c r="M220" t="str">
        <f>IF($A220="","",SUMIFS($H$1:$H$349,$A$1:$A$349,$A220,$B$1:$B$349,$B220))</f>
        <v/>
      </c>
      <c r="N220" t="str">
        <f>IF($A220="","",SUMIFS($I$1:$I$349,$A$1:$A$349,$A220,$B$1:$B$349,$B220))</f>
        <v/>
      </c>
      <c r="O220" t="str">
        <f>IF($A220="","",SUMIFS($K$1:$K$349,$A$1:$A$349,$A220,$B$1:$B$349,$B220))</f>
        <v/>
      </c>
      <c r="P220" t="str">
        <f>IF($A220="","",SUMIFS($J$1:$J$349,$A$1:$A$349,$A220,$B$1:$B$349,$B220))</f>
        <v/>
      </c>
      <c r="Q220" t="str">
        <f>IF($A220="","",SUMIFS($G$1:$G$349,$A$1:$A$349,$A220,$C$1:$C$349,$C220))</f>
        <v/>
      </c>
      <c r="R220" t="str">
        <f>IF($A220="","",SUMIFS($H$1:$H$349,$A$1:$A$349,$A220,$C$1:$C$349,$C220))</f>
        <v/>
      </c>
      <c r="S220" t="str">
        <f>IF($A220="","",SUMIFS($I$1:$I$349,$A$1:$A$349,$A220,$C$1:$C$349,$C220))</f>
        <v/>
      </c>
      <c r="T220" t="str">
        <f>IF($A220="","",SUMIFS($G$1:$G$349,$A$1:$A$349,$A220))</f>
        <v/>
      </c>
      <c r="U220" t="str">
        <f>IF($A220="","",SUMIFS($H$1:$H$349,$A$1:$A$349,$A220))</f>
        <v/>
      </c>
      <c r="V220" t="str">
        <f>IF($A220="","",SUMIFS($I$1:$I$349,$A$1:$A$349,$A220))</f>
        <v/>
      </c>
      <c r="W220" t="str">
        <f>IF($A220="","",Allocation2!Y220)</f>
        <v/>
      </c>
      <c r="X220" t="str">
        <f>IF($A220="","",Allocation2!Z220)</f>
        <v/>
      </c>
      <c r="Y220" t="str">
        <f>IF($A220="","",Allocation2!AA220)</f>
        <v/>
      </c>
      <c r="Z220" t="str">
        <f>IF($A220="","",Allocation2!AB220)</f>
        <v/>
      </c>
      <c r="AA220" t="str">
        <f>IF($A220="","",Allocation2!AC220)</f>
        <v/>
      </c>
      <c r="AB220" t="str">
        <f>IF($A220="","",Allocation2!AD220)</f>
        <v/>
      </c>
      <c r="AC220" t="str">
        <f>IF($A220="","",IF(ALLOC!$N$4="VOL_EFF",$G220,IF(ALLOC!$N$4="VOL_CLASS",$H220,$I220)))</f>
        <v/>
      </c>
      <c r="AD220" t="str">
        <f>IF($A220="","",IF(ALLOC!$N$4="VOL_EFF",$L220,IF(ALLOC!$N$4="VOL_CLASS",$M220,$N220)))</f>
        <v/>
      </c>
      <c r="AE220" t="str">
        <f>IF($A220="","",IF(ALLOC!$N$3="VOL_EFF",$L220,IF(ALLOC!$N$3="VOL_CLASS",$M220,$N220)))</f>
        <v/>
      </c>
      <c r="AF220" t="str">
        <f>IF($A220="","",IF(ALLOC!$N$3="VOL_EFF",$Q220,IF(ALLOC!$N$3="VOL_CLASS",$R220,$S220)))</f>
        <v/>
      </c>
      <c r="AG220" t="str">
        <f>IF($A220="","",IF(ALLOC!$N$1="VOL_EFF",$Q220,IF(ALLOC!$N$1="VOL_CLASS",$R220,$S220)))</f>
        <v/>
      </c>
      <c r="AH220" t="str">
        <f>IF($A220="","",IF(ALLOC!$N$1="VOL_EFF",$T220,IF(ALLOC!$N$1="VOL_CLASS",$U220,$V220)))</f>
        <v/>
      </c>
      <c r="AI220" t="str">
        <f>IF($A220="","",$W220*IFERROR($K220/$O220,0))</f>
        <v/>
      </c>
      <c r="AJ220" t="str">
        <f>IF($A220="","",$X220*IFERROR($K220/$O220,0))</f>
        <v/>
      </c>
      <c r="AK220" t="str">
        <f>IF($A220="","",$Y220*IFERROR($G220/$L220,0)+$Z220*IFERROR($J220/$P220,0))</f>
        <v/>
      </c>
      <c r="AL220" t="str">
        <f>IF($A220="","",$AA220*IFERROR($AC220/$AD220,0))</f>
        <v/>
      </c>
      <c r="AM220" t="str">
        <f>IF($A220="","",$AB220*IFERROR($AG220/$AH220,0)*IFERROR($AE220/$AF220,0)*IFERROR($AC220/$AD220,0))</f>
        <v/>
      </c>
      <c r="AN220" t="str">
        <f>IF($A220="","",$I220-($AI220+$AJ220+$AK220+$AL220+$AM220+$AR220))</f>
        <v/>
      </c>
      <c r="AO220" t="str">
        <f>IF($A220="","",Allocation2!AE220)</f>
        <v/>
      </c>
      <c r="AP220" t="str">
        <f>IF($A220="","",IF(ALLOC!$N$2="VOL_EFF",$Q220,IF(ALLOC!$N$2="VOL_CLASS",$R220,$S220)))</f>
        <v/>
      </c>
      <c r="AQ220" t="str">
        <f>IF($A220="","",IF(ALLOC!$N$2="VOL_EFF",$T220,IF(ALLOC!$N$2="VOL_CLASS",$U220,$V220)))</f>
        <v/>
      </c>
      <c r="AR220" t="str">
        <f>IF($A220="","",$AO220*IFERROR($AP220/$AQ220,0)*IFERROR($AE220/$AF220,0)*IFERROR($AC220/$AD220,0))</f>
        <v/>
      </c>
    </row>
    <row r="221" spans="1:46" x14ac:dyDescent="0.45">
      <c r="A221" t="str">
        <f>IF(Allocation2!D221="","",Allocation2!D221)</f>
        <v/>
      </c>
      <c r="B221" t="str">
        <f>IF(Allocation2!E221="","",Allocation2!E221)</f>
        <v/>
      </c>
      <c r="C221" t="str">
        <f>IF(Allocation2!F221="","",Allocation2!F221)</f>
        <v/>
      </c>
      <c r="D221" t="str">
        <f>IF(Allocation2!G221="","",Allocation2!G221)</f>
        <v/>
      </c>
      <c r="E221" t="str">
        <f>IF(Allocation2!H221="","",Allocation2!H221)</f>
        <v/>
      </c>
      <c r="F221" t="str">
        <f>IF(Allocation2!I221="","",Allocation2!I221)</f>
        <v/>
      </c>
      <c r="G221" t="str">
        <f>IF(Allocation2!E221="","",Allocation2!J221)</f>
        <v/>
      </c>
      <c r="H221" t="str">
        <f>IF(Allocation2!E221="","",Allocation2!K221)</f>
        <v/>
      </c>
      <c r="I221" t="str">
        <f>IF(Allocation2!E221="","",Allocation2!L221)</f>
        <v/>
      </c>
      <c r="J221" t="str">
        <f>IF($A221="","",Allocation2!X221)</f>
        <v/>
      </c>
      <c r="K221" t="str">
        <f>IF($A221="","",$H221*IF(AND(LEFT($D221,3)="BAC",$F221="INIT"),600,IF(LEFT($D221,3)="BAC",480,IF(AND(LEFT($D221,3)="MAS",$F221="INIT"),520,IF(LEFT($D221,3)="MAS",420,IF($F221="INIT",1000,700))))))</f>
        <v/>
      </c>
      <c r="L221" t="str">
        <f>IF($A221="","",SUMIFS($G$1:$G$349,$A$1:$A$349,$A221,$B$1:$B$349,$B221))</f>
        <v/>
      </c>
      <c r="M221" t="str">
        <f>IF($A221="","",SUMIFS($H$1:$H$349,$A$1:$A$349,$A221,$B$1:$B$349,$B221))</f>
        <v/>
      </c>
      <c r="N221" t="str">
        <f>IF($A221="","",SUMIFS($I$1:$I$349,$A$1:$A$349,$A221,$B$1:$B$349,$B221))</f>
        <v/>
      </c>
      <c r="O221" t="str">
        <f>IF($A221="","",SUMIFS($K$1:$K$349,$A$1:$A$349,$A221,$B$1:$B$349,$B221))</f>
        <v/>
      </c>
      <c r="P221" t="str">
        <f>IF($A221="","",SUMIFS($J$1:$J$349,$A$1:$A$349,$A221,$B$1:$B$349,$B221))</f>
        <v/>
      </c>
      <c r="Q221" t="str">
        <f>IF($A221="","",SUMIFS($G$1:$G$349,$A$1:$A$349,$A221,$C$1:$C$349,$C221))</f>
        <v/>
      </c>
      <c r="R221" t="str">
        <f>IF($A221="","",SUMIFS($H$1:$H$349,$A$1:$A$349,$A221,$C$1:$C$349,$C221))</f>
        <v/>
      </c>
      <c r="S221" t="str">
        <f>IF($A221="","",SUMIFS($I$1:$I$349,$A$1:$A$349,$A221,$C$1:$C$349,$C221))</f>
        <v/>
      </c>
      <c r="T221" t="str">
        <f>IF($A221="","",SUMIFS($G$1:$G$349,$A$1:$A$349,$A221))</f>
        <v/>
      </c>
      <c r="U221" t="str">
        <f>IF($A221="","",SUMIFS($H$1:$H$349,$A$1:$A$349,$A221))</f>
        <v/>
      </c>
      <c r="V221" t="str">
        <f>IF($A221="","",SUMIFS($I$1:$I$349,$A$1:$A$349,$A221))</f>
        <v/>
      </c>
      <c r="W221" t="str">
        <f>IF($A221="","",Allocation2!Y221)</f>
        <v/>
      </c>
      <c r="X221" t="str">
        <f>IF($A221="","",Allocation2!Z221)</f>
        <v/>
      </c>
      <c r="Y221" t="str">
        <f>IF($A221="","",Allocation2!AA221)</f>
        <v/>
      </c>
      <c r="Z221" t="str">
        <f>IF($A221="","",Allocation2!AB221)</f>
        <v/>
      </c>
      <c r="AA221" t="str">
        <f>IF($A221="","",Allocation2!AC221)</f>
        <v/>
      </c>
      <c r="AB221" t="str">
        <f>IF($A221="","",Allocation2!AD221)</f>
        <v/>
      </c>
      <c r="AC221" t="str">
        <f>IF($A221="","",IF(ALLOC!$N$4="VOL_EFF",$G221,IF(ALLOC!$N$4="VOL_CLASS",$H221,$I221)))</f>
        <v/>
      </c>
      <c r="AD221" t="str">
        <f>IF($A221="","",IF(ALLOC!$N$4="VOL_EFF",$L221,IF(ALLOC!$N$4="VOL_CLASS",$M221,$N221)))</f>
        <v/>
      </c>
      <c r="AE221" t="str">
        <f>IF($A221="","",IF(ALLOC!$N$3="VOL_EFF",$L221,IF(ALLOC!$N$3="VOL_CLASS",$M221,$N221)))</f>
        <v/>
      </c>
      <c r="AF221" t="str">
        <f>IF($A221="","",IF(ALLOC!$N$3="VOL_EFF",$Q221,IF(ALLOC!$N$3="VOL_CLASS",$R221,$S221)))</f>
        <v/>
      </c>
      <c r="AG221" t="str">
        <f>IF($A221="","",IF(ALLOC!$N$1="VOL_EFF",$Q221,IF(ALLOC!$N$1="VOL_CLASS",$R221,$S221)))</f>
        <v/>
      </c>
      <c r="AH221" t="str">
        <f>IF($A221="","",IF(ALLOC!$N$1="VOL_EFF",$T221,IF(ALLOC!$N$1="VOL_CLASS",$U221,$V221)))</f>
        <v/>
      </c>
      <c r="AI221" t="str">
        <f>IF($A221="","",$W221*IFERROR($K221/$O221,0))</f>
        <v/>
      </c>
      <c r="AJ221" t="str">
        <f>IF($A221="","",$X221*IFERROR($K221/$O221,0))</f>
        <v/>
      </c>
      <c r="AK221" t="str">
        <f>IF($A221="","",$Y221*IFERROR($G221/$L221,0)+$Z221*IFERROR($J221/$P221,0))</f>
        <v/>
      </c>
      <c r="AL221" t="str">
        <f>IF($A221="","",$AA221*IFERROR($AC221/$AD221,0))</f>
        <v/>
      </c>
      <c r="AM221" t="str">
        <f>IF($A221="","",$AB221*IFERROR($AG221/$AH221,0)*IFERROR($AE221/$AF221,0)*IFERROR($AC221/$AD221,0))</f>
        <v/>
      </c>
      <c r="AN221" t="str">
        <f>IF($A221="","",$I221-($AI221+$AJ221+$AK221+$AL221+$AM221+$AR221))</f>
        <v/>
      </c>
      <c r="AO221" t="str">
        <f>IF($A221="","",Allocation2!AE221)</f>
        <v/>
      </c>
      <c r="AP221" t="str">
        <f>IF($A221="","",IF(ALLOC!$N$2="VOL_EFF",$Q221,IF(ALLOC!$N$2="VOL_CLASS",$R221,$S221)))</f>
        <v/>
      </c>
      <c r="AQ221" t="str">
        <f>IF($A221="","",IF(ALLOC!$N$2="VOL_EFF",$T221,IF(ALLOC!$N$2="VOL_CLASS",$U221,$V221)))</f>
        <v/>
      </c>
      <c r="AR221" t="str">
        <f>IF($A221="","",$AO221*IFERROR($AP221/$AQ221,0)*IFERROR($AE221/$AF221,0)*IFERROR($AC221/$AD221,0))</f>
        <v/>
      </c>
    </row>
    <row r="222" spans="1:46" x14ac:dyDescent="0.45">
      <c r="A222" t="str">
        <f>IF(Allocation2!D222="","",Allocation2!D222)</f>
        <v/>
      </c>
      <c r="B222" t="str">
        <f>IF(Allocation2!E222="","",Allocation2!E222)</f>
        <v/>
      </c>
      <c r="C222" t="str">
        <f>IF(Allocation2!F222="","",Allocation2!F222)</f>
        <v/>
      </c>
      <c r="D222" t="str">
        <f>IF(Allocation2!G222="","",Allocation2!G222)</f>
        <v/>
      </c>
      <c r="E222" t="str">
        <f>IF(Allocation2!H222="","",Allocation2!H222)</f>
        <v/>
      </c>
      <c r="F222" t="str">
        <f>IF(Allocation2!I222="","",Allocation2!I222)</f>
        <v/>
      </c>
      <c r="G222" t="str">
        <f>IF(Allocation2!E222="","",Allocation2!J222)</f>
        <v/>
      </c>
      <c r="H222" t="str">
        <f>IF(Allocation2!E222="","",Allocation2!K222)</f>
        <v/>
      </c>
      <c r="I222" t="str">
        <f>IF(Allocation2!E222="","",Allocation2!L222)</f>
        <v/>
      </c>
      <c r="J222" t="str">
        <f>IF($A222="","",Allocation2!X222)</f>
        <v/>
      </c>
      <c r="K222" t="str">
        <f>IF($A222="","",$H222*IF(AND(LEFT($D222,3)="BAC",$F222="INIT"),600,IF(LEFT($D222,3)="BAC",480,IF(AND(LEFT($D222,3)="MAS",$F222="INIT"),520,IF(LEFT($D222,3)="MAS",420,IF($F222="INIT",1000,700))))))</f>
        <v/>
      </c>
      <c r="L222" t="str">
        <f>IF($A222="","",SUMIFS($G$1:$G$349,$A$1:$A$349,$A222,$B$1:$B$349,$B222))</f>
        <v/>
      </c>
      <c r="M222" t="str">
        <f>IF($A222="","",SUMIFS($H$1:$H$349,$A$1:$A$349,$A222,$B$1:$B$349,$B222))</f>
        <v/>
      </c>
      <c r="N222" t="str">
        <f>IF($A222="","",SUMIFS($I$1:$I$349,$A$1:$A$349,$A222,$B$1:$B$349,$B222))</f>
        <v/>
      </c>
      <c r="O222" t="str">
        <f>IF($A222="","",SUMIFS($K$1:$K$349,$A$1:$A$349,$A222,$B$1:$B$349,$B222))</f>
        <v/>
      </c>
      <c r="P222" t="str">
        <f>IF($A222="","",SUMIFS($J$1:$J$349,$A$1:$A$349,$A222,$B$1:$B$349,$B222))</f>
        <v/>
      </c>
      <c r="Q222" t="str">
        <f>IF($A222="","",SUMIFS($G$1:$G$349,$A$1:$A$349,$A222,$C$1:$C$349,$C222))</f>
        <v/>
      </c>
      <c r="R222" t="str">
        <f>IF($A222="","",SUMIFS($H$1:$H$349,$A$1:$A$349,$A222,$C$1:$C$349,$C222))</f>
        <v/>
      </c>
      <c r="S222" t="str">
        <f>IF($A222="","",SUMIFS($I$1:$I$349,$A$1:$A$349,$A222,$C$1:$C$349,$C222))</f>
        <v/>
      </c>
      <c r="T222" t="str">
        <f>IF($A222="","",SUMIFS($G$1:$G$349,$A$1:$A$349,$A222))</f>
        <v/>
      </c>
      <c r="U222" t="str">
        <f>IF($A222="","",SUMIFS($H$1:$H$349,$A$1:$A$349,$A222))</f>
        <v/>
      </c>
      <c r="V222" t="str">
        <f>IF($A222="","",SUMIFS($I$1:$I$349,$A$1:$A$349,$A222))</f>
        <v/>
      </c>
      <c r="W222" t="str">
        <f>IF($A222="","",Allocation2!Y222)</f>
        <v/>
      </c>
      <c r="X222" t="str">
        <f>IF($A222="","",Allocation2!Z222)</f>
        <v/>
      </c>
      <c r="Y222" t="str">
        <f>IF($A222="","",Allocation2!AA222)</f>
        <v/>
      </c>
      <c r="Z222" t="str">
        <f>IF($A222="","",Allocation2!AB222)</f>
        <v/>
      </c>
      <c r="AA222" t="str">
        <f>IF($A222="","",Allocation2!AC222)</f>
        <v/>
      </c>
      <c r="AB222" t="str">
        <f>IF($A222="","",Allocation2!AD222)</f>
        <v/>
      </c>
      <c r="AC222" t="str">
        <f>IF($A222="","",IF(ALLOC!$N$4="VOL_EFF",$G222,IF(ALLOC!$N$4="VOL_CLASS",$H222,$I222)))</f>
        <v/>
      </c>
      <c r="AD222" t="str">
        <f>IF($A222="","",IF(ALLOC!$N$4="VOL_EFF",$L222,IF(ALLOC!$N$4="VOL_CLASS",$M222,$N222)))</f>
        <v/>
      </c>
      <c r="AE222" t="str">
        <f>IF($A222="","",IF(ALLOC!$N$3="VOL_EFF",$L222,IF(ALLOC!$N$3="VOL_CLASS",$M222,$N222)))</f>
        <v/>
      </c>
      <c r="AF222" t="str">
        <f>IF($A222="","",IF(ALLOC!$N$3="VOL_EFF",$Q222,IF(ALLOC!$N$3="VOL_CLASS",$R222,$S222)))</f>
        <v/>
      </c>
      <c r="AG222" t="str">
        <f>IF($A222="","",IF(ALLOC!$N$1="VOL_EFF",$Q222,IF(ALLOC!$N$1="VOL_CLASS",$R222,$S222)))</f>
        <v/>
      </c>
      <c r="AH222" t="str">
        <f>IF($A222="","",IF(ALLOC!$N$1="VOL_EFF",$T222,IF(ALLOC!$N$1="VOL_CLASS",$U222,$V222)))</f>
        <v/>
      </c>
      <c r="AI222" t="str">
        <f>IF($A222="","",$W222*IFERROR($K222/$O222,0))</f>
        <v/>
      </c>
      <c r="AJ222" t="str">
        <f>IF($A222="","",$X222*IFERROR($K222/$O222,0))</f>
        <v/>
      </c>
      <c r="AK222" t="str">
        <f>IF($A222="","",$Y222*IFERROR($G222/$L222,0)+$Z222*IFERROR($J222/$P222,0))</f>
        <v/>
      </c>
      <c r="AL222" t="str">
        <f>IF($A222="","",$AA222*IFERROR($AC222/$AD222,0))</f>
        <v/>
      </c>
      <c r="AM222" t="str">
        <f>IF($A222="","",$AB222*IFERROR($AG222/$AH222,0)*IFERROR($AE222/$AF222,0)*IFERROR($AC222/$AD222,0))</f>
        <v/>
      </c>
      <c r="AN222" t="str">
        <f>IF($A222="","",$I222-($AI222+$AJ222+$AK222+$AL222+$AM222+$AR222))</f>
        <v/>
      </c>
      <c r="AO222" t="str">
        <f>IF($A222="","",Allocation2!AE222)</f>
        <v/>
      </c>
      <c r="AP222" t="str">
        <f>IF($A222="","",IF(ALLOC!$N$2="VOL_EFF",$Q222,IF(ALLOC!$N$2="VOL_CLASS",$R222,$S222)))</f>
        <v/>
      </c>
      <c r="AQ222" t="str">
        <f>IF($A222="","",IF(ALLOC!$N$2="VOL_EFF",$T222,IF(ALLOC!$N$2="VOL_CLASS",$U222,$V222)))</f>
        <v/>
      </c>
      <c r="AR222" t="str">
        <f>IF($A222="","",$AO222*IFERROR($AP222/$AQ222,0)*IFERROR($AE222/$AF222,0)*IFERROR($AC222/$AD222,0))</f>
        <v/>
      </c>
    </row>
    <row r="223" spans="1:46" x14ac:dyDescent="0.45">
      <c r="A223" t="str">
        <f>IF(Allocation2!D223="","",Allocation2!D223)</f>
        <v/>
      </c>
      <c r="B223" t="str">
        <f>IF(Allocation2!E223="","",Allocation2!E223)</f>
        <v/>
      </c>
      <c r="C223" t="str">
        <f>IF(Allocation2!F223="","",Allocation2!F223)</f>
        <v/>
      </c>
      <c r="D223" t="str">
        <f>IF(Allocation2!G223="","",Allocation2!G223)</f>
        <v/>
      </c>
      <c r="E223" t="str">
        <f>IF(Allocation2!H223="","",Allocation2!H223)</f>
        <v/>
      </c>
      <c r="F223" t="str">
        <f>IF(Allocation2!I223="","",Allocation2!I223)</f>
        <v/>
      </c>
      <c r="G223" t="str">
        <f>IF(Allocation2!E223="","",Allocation2!J223)</f>
        <v/>
      </c>
      <c r="H223" t="str">
        <f>IF(Allocation2!E223="","",Allocation2!K223)</f>
        <v/>
      </c>
      <c r="I223" t="str">
        <f>IF(Allocation2!E223="","",Allocation2!L223)</f>
        <v/>
      </c>
      <c r="J223" t="str">
        <f>IF($A223="","",Allocation2!X223)</f>
        <v/>
      </c>
      <c r="K223" t="str">
        <f>IF($A223="","",$H223*IF(AND(LEFT($D223,3)="BAC",$F223="INIT"),600,IF(LEFT($D223,3)="BAC",480,IF(AND(LEFT($D223,3)="MAS",$F223="INIT"),520,IF(LEFT($D223,3)="MAS",420,IF($F223="INIT",1000,700))))))</f>
        <v/>
      </c>
      <c r="L223" t="str">
        <f>IF($A223="","",SUMIFS($G$1:$G$349,$A$1:$A$349,$A223,$B$1:$B$349,$B223))</f>
        <v/>
      </c>
      <c r="M223" t="str">
        <f>IF($A223="","",SUMIFS($H$1:$H$349,$A$1:$A$349,$A223,$B$1:$B$349,$B223))</f>
        <v/>
      </c>
      <c r="N223" t="str">
        <f>IF($A223="","",SUMIFS($I$1:$I$349,$A$1:$A$349,$A223,$B$1:$B$349,$B223))</f>
        <v/>
      </c>
      <c r="O223" t="str">
        <f>IF($A223="","",SUMIFS($K$1:$K$349,$A$1:$A$349,$A223,$B$1:$B$349,$B223))</f>
        <v/>
      </c>
      <c r="P223" t="str">
        <f>IF($A223="","",SUMIFS($J$1:$J$349,$A$1:$A$349,$A223,$B$1:$B$349,$B223))</f>
        <v/>
      </c>
      <c r="Q223" t="str">
        <f>IF($A223="","",SUMIFS($G$1:$G$349,$A$1:$A$349,$A223,$C$1:$C$349,$C223))</f>
        <v/>
      </c>
      <c r="R223" t="str">
        <f>IF($A223="","",SUMIFS($H$1:$H$349,$A$1:$A$349,$A223,$C$1:$C$349,$C223))</f>
        <v/>
      </c>
      <c r="S223" t="str">
        <f>IF($A223="","",SUMIFS($I$1:$I$349,$A$1:$A$349,$A223,$C$1:$C$349,$C223))</f>
        <v/>
      </c>
      <c r="T223" t="str">
        <f>IF($A223="","",SUMIFS($G$1:$G$349,$A$1:$A$349,$A223))</f>
        <v/>
      </c>
      <c r="U223" t="str">
        <f>IF($A223="","",SUMIFS($H$1:$H$349,$A$1:$A$349,$A223))</f>
        <v/>
      </c>
      <c r="V223" t="str">
        <f>IF($A223="","",SUMIFS($I$1:$I$349,$A$1:$A$349,$A223))</f>
        <v/>
      </c>
      <c r="W223" t="str">
        <f>IF($A223="","",Allocation2!Y223)</f>
        <v/>
      </c>
      <c r="X223" t="str">
        <f>IF($A223="","",Allocation2!Z223)</f>
        <v/>
      </c>
      <c r="Y223" t="str">
        <f>IF($A223="","",Allocation2!AA223)</f>
        <v/>
      </c>
      <c r="Z223" t="str">
        <f>IF($A223="","",Allocation2!AB223)</f>
        <v/>
      </c>
      <c r="AA223" t="str">
        <f>IF($A223="","",Allocation2!AC223)</f>
        <v/>
      </c>
      <c r="AB223" t="str">
        <f>IF($A223="","",Allocation2!AD223)</f>
        <v/>
      </c>
      <c r="AC223" t="str">
        <f>IF($A223="","",IF(ALLOC!$N$4="VOL_EFF",$G223,IF(ALLOC!$N$4="VOL_CLASS",$H223,$I223)))</f>
        <v/>
      </c>
      <c r="AD223" t="str">
        <f>IF($A223="","",IF(ALLOC!$N$4="VOL_EFF",$L223,IF(ALLOC!$N$4="VOL_CLASS",$M223,$N223)))</f>
        <v/>
      </c>
      <c r="AE223" t="str">
        <f>IF($A223="","",IF(ALLOC!$N$3="VOL_EFF",$L223,IF(ALLOC!$N$3="VOL_CLASS",$M223,$N223)))</f>
        <v/>
      </c>
      <c r="AF223" t="str">
        <f>IF($A223="","",IF(ALLOC!$N$3="VOL_EFF",$Q223,IF(ALLOC!$N$3="VOL_CLASS",$R223,$S223)))</f>
        <v/>
      </c>
      <c r="AG223" t="str">
        <f>IF($A223="","",IF(ALLOC!$N$1="VOL_EFF",$Q223,IF(ALLOC!$N$1="VOL_CLASS",$R223,$S223)))</f>
        <v/>
      </c>
      <c r="AH223" t="str">
        <f>IF($A223="","",IF(ALLOC!$N$1="VOL_EFF",$T223,IF(ALLOC!$N$1="VOL_CLASS",$U223,$V223)))</f>
        <v/>
      </c>
      <c r="AI223" t="str">
        <f>IF($A223="","",$W223*IFERROR($K223/$O223,0))</f>
        <v/>
      </c>
      <c r="AJ223" t="str">
        <f>IF($A223="","",$X223*IFERROR($K223/$O223,0))</f>
        <v/>
      </c>
      <c r="AK223" t="str">
        <f>IF($A223="","",$Y223*IFERROR($G223/$L223,0)+$Z223*IFERROR($J223/$P223,0))</f>
        <v/>
      </c>
      <c r="AL223" t="str">
        <f>IF($A223="","",$AA223*IFERROR($AC223/$AD223,0))</f>
        <v/>
      </c>
      <c r="AM223" t="str">
        <f>IF($A223="","",$AB223*IFERROR($AG223/$AH223,0)*IFERROR($AE223/$AF223,0)*IFERROR($AC223/$AD223,0))</f>
        <v/>
      </c>
      <c r="AN223" t="str">
        <f>IF($A223="","",$I223-($AI223+$AJ223+$AK223+$AL223+$AM223+$AR223))</f>
        <v/>
      </c>
      <c r="AO223" t="str">
        <f>IF($A223="","",Allocation2!AE223)</f>
        <v/>
      </c>
      <c r="AP223" t="str">
        <f>IF($A223="","",IF(ALLOC!$N$2="VOL_EFF",$Q223,IF(ALLOC!$N$2="VOL_CLASS",$R223,$S223)))</f>
        <v/>
      </c>
      <c r="AQ223" t="str">
        <f>IF($A223="","",IF(ALLOC!$N$2="VOL_EFF",$T223,IF(ALLOC!$N$2="VOL_CLASS",$U223,$V223)))</f>
        <v/>
      </c>
      <c r="AR223" t="str">
        <f>IF($A223="","",$AO223*IFERROR($AP223/$AQ223,0)*IFERROR($AE223/$AF223,0)*IFERROR($AC223/$AD223,0))</f>
        <v/>
      </c>
    </row>
    <row r="224" spans="1:46" x14ac:dyDescent="0.45">
      <c r="A224" t="str">
        <f>IF(Allocation2!D224="","",Allocation2!D224)</f>
        <v/>
      </c>
      <c r="B224" t="str">
        <f>IF(Allocation2!E224="","",Allocation2!E224)</f>
        <v/>
      </c>
      <c r="C224" t="str">
        <f>IF(Allocation2!F224="","",Allocation2!F224)</f>
        <v/>
      </c>
      <c r="D224" t="str">
        <f>IF(Allocation2!G224="","",Allocation2!G224)</f>
        <v/>
      </c>
      <c r="E224" t="str">
        <f>IF(Allocation2!H224="","",Allocation2!H224)</f>
        <v/>
      </c>
      <c r="F224" t="str">
        <f>IF(Allocation2!I224="","",Allocation2!I224)</f>
        <v/>
      </c>
      <c r="G224" t="str">
        <f>IF(Allocation2!E224="","",Allocation2!J224)</f>
        <v/>
      </c>
      <c r="H224" t="str">
        <f>IF(Allocation2!E224="","",Allocation2!K224)</f>
        <v/>
      </c>
      <c r="I224" t="str">
        <f>IF(Allocation2!E224="","",Allocation2!L224)</f>
        <v/>
      </c>
      <c r="J224" t="str">
        <f>IF($A224="","",Allocation2!X224)</f>
        <v/>
      </c>
      <c r="K224" t="str">
        <f>IF($A224="","",$H224*IF(AND(LEFT($D224,3)="BAC",$F224="INIT"),600,IF(LEFT($D224,3)="BAC",480,IF(AND(LEFT($D224,3)="MAS",$F224="INIT"),520,IF(LEFT($D224,3)="MAS",420,IF($F224="INIT",1000,700))))))</f>
        <v/>
      </c>
      <c r="L224" t="str">
        <f>IF($A224="","",SUMIFS($G$1:$G$349,$A$1:$A$349,$A224,$B$1:$B$349,$B224))</f>
        <v/>
      </c>
      <c r="M224" t="str">
        <f>IF($A224="","",SUMIFS($H$1:$H$349,$A$1:$A$349,$A224,$B$1:$B$349,$B224))</f>
        <v/>
      </c>
      <c r="N224" t="str">
        <f>IF($A224="","",SUMIFS($I$1:$I$349,$A$1:$A$349,$A224,$B$1:$B$349,$B224))</f>
        <v/>
      </c>
      <c r="O224" t="str">
        <f>IF($A224="","",SUMIFS($K$1:$K$349,$A$1:$A$349,$A224,$B$1:$B$349,$B224))</f>
        <v/>
      </c>
      <c r="P224" t="str">
        <f>IF($A224="","",SUMIFS($J$1:$J$349,$A$1:$A$349,$A224,$B$1:$B$349,$B224))</f>
        <v/>
      </c>
      <c r="Q224" t="str">
        <f>IF($A224="","",SUMIFS($G$1:$G$349,$A$1:$A$349,$A224,$C$1:$C$349,$C224))</f>
        <v/>
      </c>
      <c r="R224" t="str">
        <f>IF($A224="","",SUMIFS($H$1:$H$349,$A$1:$A$349,$A224,$C$1:$C$349,$C224))</f>
        <v/>
      </c>
      <c r="S224" t="str">
        <f>IF($A224="","",SUMIFS($I$1:$I$349,$A$1:$A$349,$A224,$C$1:$C$349,$C224))</f>
        <v/>
      </c>
      <c r="T224" t="str">
        <f>IF($A224="","",SUMIFS($G$1:$G$349,$A$1:$A$349,$A224))</f>
        <v/>
      </c>
      <c r="U224" t="str">
        <f>IF($A224="","",SUMIFS($H$1:$H$349,$A$1:$A$349,$A224))</f>
        <v/>
      </c>
      <c r="V224" t="str">
        <f>IF($A224="","",SUMIFS($I$1:$I$349,$A$1:$A$349,$A224))</f>
        <v/>
      </c>
      <c r="W224" t="str">
        <f>IF($A224="","",Allocation2!Y224)</f>
        <v/>
      </c>
      <c r="X224" t="str">
        <f>IF($A224="","",Allocation2!Z224)</f>
        <v/>
      </c>
      <c r="Y224" t="str">
        <f>IF($A224="","",Allocation2!AA224)</f>
        <v/>
      </c>
      <c r="Z224" t="str">
        <f>IF($A224="","",Allocation2!AB224)</f>
        <v/>
      </c>
      <c r="AA224" t="str">
        <f>IF($A224="","",Allocation2!AC224)</f>
        <v/>
      </c>
      <c r="AB224" t="str">
        <f>IF($A224="","",Allocation2!AD224)</f>
        <v/>
      </c>
      <c r="AC224" t="str">
        <f>IF($A224="","",IF(ALLOC!$N$4="VOL_EFF",$G224,IF(ALLOC!$N$4="VOL_CLASS",$H224,$I224)))</f>
        <v/>
      </c>
      <c r="AD224" t="str">
        <f>IF($A224="","",IF(ALLOC!$N$4="VOL_EFF",$L224,IF(ALLOC!$N$4="VOL_CLASS",$M224,$N224)))</f>
        <v/>
      </c>
      <c r="AE224" t="str">
        <f>IF($A224="","",IF(ALLOC!$N$3="VOL_EFF",$L224,IF(ALLOC!$N$3="VOL_CLASS",$M224,$N224)))</f>
        <v/>
      </c>
      <c r="AF224" t="str">
        <f>IF($A224="","",IF(ALLOC!$N$3="VOL_EFF",$Q224,IF(ALLOC!$N$3="VOL_CLASS",$R224,$S224)))</f>
        <v/>
      </c>
      <c r="AG224" t="str">
        <f>IF($A224="","",IF(ALLOC!$N$1="VOL_EFF",$Q224,IF(ALLOC!$N$1="VOL_CLASS",$R224,$S224)))</f>
        <v/>
      </c>
      <c r="AH224" t="str">
        <f>IF($A224="","",IF(ALLOC!$N$1="VOL_EFF",$T224,IF(ALLOC!$N$1="VOL_CLASS",$U224,$V224)))</f>
        <v/>
      </c>
      <c r="AI224" t="str">
        <f>IF($A224="","",$W224*IFERROR($K224/$O224,0))</f>
        <v/>
      </c>
      <c r="AJ224" t="str">
        <f>IF($A224="","",$X224*IFERROR($K224/$O224,0))</f>
        <v/>
      </c>
      <c r="AK224" t="str">
        <f>IF($A224="","",$Y224*IFERROR($G224/$L224,0)+$Z224*IFERROR($J224/$P224,0))</f>
        <v/>
      </c>
      <c r="AL224" t="str">
        <f>IF($A224="","",$AA224*IFERROR($AC224/$AD224,0))</f>
        <v/>
      </c>
      <c r="AM224" t="str">
        <f>IF($A224="","",$AB224*IFERROR($AG224/$AH224,0)*IFERROR($AE224/$AF224,0)*IFERROR($AC224/$AD224,0))</f>
        <v/>
      </c>
      <c r="AN224" t="str">
        <f>IF($A224="","",$I224-($AI224+$AJ224+$AK224+$AL224+$AM224+$AR224))</f>
        <v/>
      </c>
      <c r="AO224" t="str">
        <f>IF($A224="","",Allocation2!AE224)</f>
        <v/>
      </c>
      <c r="AP224" t="str">
        <f>IF($A224="","",IF(ALLOC!$N$2="VOL_EFF",$Q224,IF(ALLOC!$N$2="VOL_CLASS",$R224,$S224)))</f>
        <v/>
      </c>
      <c r="AQ224" t="str">
        <f>IF($A224="","",IF(ALLOC!$N$2="VOL_EFF",$T224,IF(ALLOC!$N$2="VOL_CLASS",$U224,$V224)))</f>
        <v/>
      </c>
      <c r="AR224" t="str">
        <f>IF($A224="","",$AO224*IFERROR($AP224/$AQ224,0)*IFERROR($AE224/$AF224,0)*IFERROR($AC224/$AD224,0))</f>
        <v/>
      </c>
    </row>
    <row r="225" spans="1:46" x14ac:dyDescent="0.45">
      <c r="A225" t="str">
        <f>IF(Allocation2!D225="","",Allocation2!D225)</f>
        <v/>
      </c>
      <c r="B225" t="str">
        <f>IF(Allocation2!E225="","",Allocation2!E225)</f>
        <v/>
      </c>
      <c r="C225" t="str">
        <f>IF(Allocation2!F225="","",Allocation2!F225)</f>
        <v/>
      </c>
      <c r="D225" t="str">
        <f>IF(Allocation2!G225="","",Allocation2!G225)</f>
        <v/>
      </c>
      <c r="E225" t="str">
        <f>IF(Allocation2!H225="","",Allocation2!H225)</f>
        <v/>
      </c>
      <c r="F225" t="str">
        <f>IF(Allocation2!I225="","",Allocation2!I225)</f>
        <v/>
      </c>
      <c r="G225" t="str">
        <f>IF(Allocation2!E225="","",Allocation2!J225)</f>
        <v/>
      </c>
      <c r="H225" t="str">
        <f>IF(Allocation2!E225="","",Allocation2!K225)</f>
        <v/>
      </c>
      <c r="I225" t="str">
        <f>IF(Allocation2!E225="","",Allocation2!L225)</f>
        <v/>
      </c>
      <c r="J225" t="str">
        <f>IF($A225="","",Allocation2!X225)</f>
        <v/>
      </c>
      <c r="K225" t="str">
        <f>IF($A225="","",$H225*IF(AND(LEFT($D225,3)="BAC",$F225="INIT"),600,IF(LEFT($D225,3)="BAC",480,IF(AND(LEFT($D225,3)="MAS",$F225="INIT"),520,IF(LEFT($D225,3)="MAS",420,IF($F225="INIT",1000,700))))))</f>
        <v/>
      </c>
      <c r="L225" t="str">
        <f>IF($A225="","",SUMIFS($G$1:$G$349,$A$1:$A$349,$A225,$B$1:$B$349,$B225))</f>
        <v/>
      </c>
      <c r="M225" t="str">
        <f>IF($A225="","",SUMIFS($H$1:$H$349,$A$1:$A$349,$A225,$B$1:$B$349,$B225))</f>
        <v/>
      </c>
      <c r="N225" t="str">
        <f>IF($A225="","",SUMIFS($I$1:$I$349,$A$1:$A$349,$A225,$B$1:$B$349,$B225))</f>
        <v/>
      </c>
      <c r="O225" t="str">
        <f>IF($A225="","",SUMIFS($K$1:$K$349,$A$1:$A$349,$A225,$B$1:$B$349,$B225))</f>
        <v/>
      </c>
      <c r="P225" t="str">
        <f>IF($A225="","",SUMIFS($J$1:$J$349,$A$1:$A$349,$A225,$B$1:$B$349,$B225))</f>
        <v/>
      </c>
      <c r="Q225" t="str">
        <f>IF($A225="","",SUMIFS($G$1:$G$349,$A$1:$A$349,$A225,$C$1:$C$349,$C225))</f>
        <v/>
      </c>
      <c r="R225" t="str">
        <f>IF($A225="","",SUMIFS($H$1:$H$349,$A$1:$A$349,$A225,$C$1:$C$349,$C225))</f>
        <v/>
      </c>
      <c r="S225" t="str">
        <f>IF($A225="","",SUMIFS($I$1:$I$349,$A$1:$A$349,$A225,$C$1:$C$349,$C225))</f>
        <v/>
      </c>
      <c r="T225" t="str">
        <f>IF($A225="","",SUMIFS($G$1:$G$349,$A$1:$A$349,$A225))</f>
        <v/>
      </c>
      <c r="U225" t="str">
        <f>IF($A225="","",SUMIFS($H$1:$H$349,$A$1:$A$349,$A225))</f>
        <v/>
      </c>
      <c r="V225" t="str">
        <f>IF($A225="","",SUMIFS($I$1:$I$349,$A$1:$A$349,$A225))</f>
        <v/>
      </c>
      <c r="W225" t="str">
        <f>IF($A225="","",Allocation2!Y225)</f>
        <v/>
      </c>
      <c r="X225" t="str">
        <f>IF($A225="","",Allocation2!Z225)</f>
        <v/>
      </c>
      <c r="Y225" t="str">
        <f>IF($A225="","",Allocation2!AA225)</f>
        <v/>
      </c>
      <c r="Z225" t="str">
        <f>IF($A225="","",Allocation2!AB225)</f>
        <v/>
      </c>
      <c r="AA225" t="str">
        <f>IF($A225="","",Allocation2!AC225)</f>
        <v/>
      </c>
      <c r="AB225" t="str">
        <f>IF($A225="","",Allocation2!AD225)</f>
        <v/>
      </c>
      <c r="AC225" t="str">
        <f>IF($A225="","",IF(ALLOC!$N$4="VOL_EFF",$G225,IF(ALLOC!$N$4="VOL_CLASS",$H225,$I225)))</f>
        <v/>
      </c>
      <c r="AD225" t="str">
        <f>IF($A225="","",IF(ALLOC!$N$4="VOL_EFF",$L225,IF(ALLOC!$N$4="VOL_CLASS",$M225,$N225)))</f>
        <v/>
      </c>
      <c r="AE225" t="str">
        <f>IF($A225="","",IF(ALLOC!$N$3="VOL_EFF",$L225,IF(ALLOC!$N$3="VOL_CLASS",$M225,$N225)))</f>
        <v/>
      </c>
      <c r="AF225" t="str">
        <f>IF($A225="","",IF(ALLOC!$N$3="VOL_EFF",$Q225,IF(ALLOC!$N$3="VOL_CLASS",$R225,$S225)))</f>
        <v/>
      </c>
      <c r="AG225" t="str">
        <f>IF($A225="","",IF(ALLOC!$N$1="VOL_EFF",$Q225,IF(ALLOC!$N$1="VOL_CLASS",$R225,$S225)))</f>
        <v/>
      </c>
      <c r="AH225" t="str">
        <f>IF($A225="","",IF(ALLOC!$N$1="VOL_EFF",$T225,IF(ALLOC!$N$1="VOL_CLASS",$U225,$V225)))</f>
        <v/>
      </c>
      <c r="AI225" t="str">
        <f>IF($A225="","",$W225*IFERROR($K225/$O225,0))</f>
        <v/>
      </c>
      <c r="AJ225" t="str">
        <f>IF($A225="","",$X225*IFERROR($K225/$O225,0))</f>
        <v/>
      </c>
      <c r="AK225" t="str">
        <f>IF($A225="","",$Y225*IFERROR($G225/$L225,0)+$Z225*IFERROR($J225/$P225,0))</f>
        <v/>
      </c>
      <c r="AL225" t="str">
        <f>IF($A225="","",$AA225*IFERROR($AC225/$AD225,0))</f>
        <v/>
      </c>
      <c r="AM225" t="str">
        <f>IF($A225="","",$AB225*IFERROR($AG225/$AH225,0)*IFERROR($AE225/$AF225,0)*IFERROR($AC225/$AD225,0))</f>
        <v/>
      </c>
      <c r="AN225" t="str">
        <f>IF($A225="","",$I225-($AI225+$AJ225+$AK225+$AL225+$AM225+$AR225))</f>
        <v/>
      </c>
      <c r="AO225" t="str">
        <f>IF($A225="","",Allocation2!AE225)</f>
        <v/>
      </c>
      <c r="AP225" t="str">
        <f>IF($A225="","",IF(ALLOC!$N$2="VOL_EFF",$Q225,IF(ALLOC!$N$2="VOL_CLASS",$R225,$S225)))</f>
        <v/>
      </c>
      <c r="AQ225" t="str">
        <f>IF($A225="","",IF(ALLOC!$N$2="VOL_EFF",$T225,IF(ALLOC!$N$2="VOL_CLASS",$U225,$V225)))</f>
        <v/>
      </c>
      <c r="AR225" t="str">
        <f>IF($A225="","",$AO225*IFERROR($AP225/$AQ225,0)*IFERROR($AE225/$AF225,0)*IFERROR($AC225/$AD225,0))</f>
        <v/>
      </c>
    </row>
    <row r="226" spans="1:46" x14ac:dyDescent="0.45">
      <c r="A226" t="str">
        <f>IF(Allocation2!D226="","",Allocation2!D226)</f>
        <v/>
      </c>
      <c r="B226" t="str">
        <f>IF(Allocation2!E226="","",Allocation2!E226)</f>
        <v/>
      </c>
      <c r="C226" t="str">
        <f>IF(Allocation2!F226="","",Allocation2!F226)</f>
        <v/>
      </c>
      <c r="D226" t="str">
        <f>IF(Allocation2!G226="","",Allocation2!G226)</f>
        <v/>
      </c>
      <c r="E226" t="str">
        <f>IF(Allocation2!H226="","",Allocation2!H226)</f>
        <v/>
      </c>
      <c r="F226" t="str">
        <f>IF(Allocation2!I226="","",Allocation2!I226)</f>
        <v/>
      </c>
      <c r="G226" t="str">
        <f>IF(Allocation2!E226="","",Allocation2!J226)</f>
        <v/>
      </c>
      <c r="H226" t="str">
        <f>IF(Allocation2!E226="","",Allocation2!K226)</f>
        <v/>
      </c>
      <c r="I226" t="str">
        <f>IF(Allocation2!E226="","",Allocation2!L226)</f>
        <v/>
      </c>
      <c r="J226" t="str">
        <f>IF($A226="","",Allocation2!X226)</f>
        <v/>
      </c>
      <c r="K226" t="str">
        <f>IF($A226="","",$H226*IF(AND(LEFT($D226,3)="BAC",$F226="INIT"),600,IF(LEFT($D226,3)="BAC",480,IF(AND(LEFT($D226,3)="MAS",$F226="INIT"),520,IF(LEFT($D226,3)="MAS",420,IF($F226="INIT",1000,700))))))</f>
        <v/>
      </c>
      <c r="L226" t="str">
        <f>IF($A226="","",SUMIFS($G$1:$G$349,$A$1:$A$349,$A226,$B$1:$B$349,$B226))</f>
        <v/>
      </c>
      <c r="M226" t="str">
        <f>IF($A226="","",SUMIFS($H$1:$H$349,$A$1:$A$349,$A226,$B$1:$B$349,$B226))</f>
        <v/>
      </c>
      <c r="N226" t="str">
        <f>IF($A226="","",SUMIFS($I$1:$I$349,$A$1:$A$349,$A226,$B$1:$B$349,$B226))</f>
        <v/>
      </c>
      <c r="O226" t="str">
        <f>IF($A226="","",SUMIFS($K$1:$K$349,$A$1:$A$349,$A226,$B$1:$B$349,$B226))</f>
        <v/>
      </c>
      <c r="P226" t="str">
        <f>IF($A226="","",SUMIFS($J$1:$J$349,$A$1:$A$349,$A226,$B$1:$B$349,$B226))</f>
        <v/>
      </c>
      <c r="Q226" t="str">
        <f>IF($A226="","",SUMIFS($G$1:$G$349,$A$1:$A$349,$A226,$C$1:$C$349,$C226))</f>
        <v/>
      </c>
      <c r="R226" t="str">
        <f>IF($A226="","",SUMIFS($H$1:$H$349,$A$1:$A$349,$A226,$C$1:$C$349,$C226))</f>
        <v/>
      </c>
      <c r="S226" t="str">
        <f>IF($A226="","",SUMIFS($I$1:$I$349,$A$1:$A$349,$A226,$C$1:$C$349,$C226))</f>
        <v/>
      </c>
      <c r="T226" t="str">
        <f>IF($A226="","",SUMIFS($G$1:$G$349,$A$1:$A$349,$A226))</f>
        <v/>
      </c>
      <c r="U226" t="str">
        <f>IF($A226="","",SUMIFS($H$1:$H$349,$A$1:$A$349,$A226))</f>
        <v/>
      </c>
      <c r="V226" t="str">
        <f>IF($A226="","",SUMIFS($I$1:$I$349,$A$1:$A$349,$A226))</f>
        <v/>
      </c>
      <c r="W226" t="str">
        <f>IF($A226="","",Allocation2!Y226)</f>
        <v/>
      </c>
      <c r="X226" t="str">
        <f>IF($A226="","",Allocation2!Z226)</f>
        <v/>
      </c>
      <c r="Y226" t="str">
        <f>IF($A226="","",Allocation2!AA226)</f>
        <v/>
      </c>
      <c r="Z226" t="str">
        <f>IF($A226="","",Allocation2!AB226)</f>
        <v/>
      </c>
      <c r="AA226" t="str">
        <f>IF($A226="","",Allocation2!AC226)</f>
        <v/>
      </c>
      <c r="AB226" t="str">
        <f>IF($A226="","",Allocation2!AD226)</f>
        <v/>
      </c>
      <c r="AC226" t="str">
        <f>IF($A226="","",IF(ALLOC!$N$4="VOL_EFF",$G226,IF(ALLOC!$N$4="VOL_CLASS",$H226,$I226)))</f>
        <v/>
      </c>
      <c r="AD226" t="str">
        <f>IF($A226="","",IF(ALLOC!$N$4="VOL_EFF",$L226,IF(ALLOC!$N$4="VOL_CLASS",$M226,$N226)))</f>
        <v/>
      </c>
      <c r="AE226" t="str">
        <f>IF($A226="","",IF(ALLOC!$N$3="VOL_EFF",$L226,IF(ALLOC!$N$3="VOL_CLASS",$M226,$N226)))</f>
        <v/>
      </c>
      <c r="AF226" t="str">
        <f>IF($A226="","",IF(ALLOC!$N$3="VOL_EFF",$Q226,IF(ALLOC!$N$3="VOL_CLASS",$R226,$S226)))</f>
        <v/>
      </c>
      <c r="AG226" t="str">
        <f>IF($A226="","",IF(ALLOC!$N$1="VOL_EFF",$Q226,IF(ALLOC!$N$1="VOL_CLASS",$R226,$S226)))</f>
        <v/>
      </c>
      <c r="AH226" t="str">
        <f>IF($A226="","",IF(ALLOC!$N$1="VOL_EFF",$T226,IF(ALLOC!$N$1="VOL_CLASS",$U226,$V226)))</f>
        <v/>
      </c>
      <c r="AI226" t="str">
        <f>IF($A226="","",$W226*IFERROR($K226/$O226,0))</f>
        <v/>
      </c>
      <c r="AJ226" t="str">
        <f>IF($A226="","",$X226*IFERROR($K226/$O226,0))</f>
        <v/>
      </c>
      <c r="AK226" t="str">
        <f>IF($A226="","",$Y226*IFERROR($G226/$L226,0)+$Z226*IFERROR($J226/$P226,0))</f>
        <v/>
      </c>
      <c r="AL226" t="str">
        <f>IF($A226="","",$AA226*IFERROR($AC226/$AD226,0))</f>
        <v/>
      </c>
      <c r="AM226" t="str">
        <f>IF($A226="","",$AB226*IFERROR($AG226/$AH226,0)*IFERROR($AE226/$AF226,0)*IFERROR($AC226/$AD226,0))</f>
        <v/>
      </c>
      <c r="AN226" t="str">
        <f>IF($A226="","",$I226-($AI226+$AJ226+$AK226+$AL226+$AM226+$AR226))</f>
        <v/>
      </c>
      <c r="AO226" t="str">
        <f>IF($A226="","",Allocation2!AE226)</f>
        <v/>
      </c>
      <c r="AP226" t="str">
        <f>IF($A226="","",IF(ALLOC!$N$2="VOL_EFF",$Q226,IF(ALLOC!$N$2="VOL_CLASS",$R226,$S226)))</f>
        <v/>
      </c>
      <c r="AQ226" t="str">
        <f>IF($A226="","",IF(ALLOC!$N$2="VOL_EFF",$T226,IF(ALLOC!$N$2="VOL_CLASS",$U226,$V226)))</f>
        <v/>
      </c>
      <c r="AR226" t="str">
        <f>IF($A226="","",$AO226*IFERROR($AP226/$AQ226,0)*IFERROR($AE226/$AF226,0)*IFERROR($AC226/$AD226,0))</f>
        <v/>
      </c>
    </row>
    <row r="227" spans="1:46" x14ac:dyDescent="0.45">
      <c r="A227" t="str">
        <f>IF(Allocation2!D227="","",Allocation2!D227)</f>
        <v/>
      </c>
      <c r="B227" t="str">
        <f>IF(Allocation2!E227="","",Allocation2!E227)</f>
        <v/>
      </c>
      <c r="C227" t="str">
        <f>IF(Allocation2!F227="","",Allocation2!F227)</f>
        <v/>
      </c>
      <c r="D227" t="str">
        <f>IF(Allocation2!G227="","",Allocation2!G227)</f>
        <v/>
      </c>
      <c r="E227" t="str">
        <f>IF(Allocation2!H227="","",Allocation2!H227)</f>
        <v/>
      </c>
      <c r="F227" t="str">
        <f>IF(Allocation2!I227="","",Allocation2!I227)</f>
        <v/>
      </c>
      <c r="G227" t="str">
        <f>IF(Allocation2!E227="","",Allocation2!J227)</f>
        <v/>
      </c>
      <c r="H227" t="str">
        <f>IF(Allocation2!E227="","",Allocation2!K227)</f>
        <v/>
      </c>
      <c r="I227" t="str">
        <f>IF(Allocation2!E227="","",Allocation2!L227)</f>
        <v/>
      </c>
      <c r="J227" t="str">
        <f>IF($A227="","",Allocation2!X227)</f>
        <v/>
      </c>
      <c r="K227" t="str">
        <f>IF($A227="","",$H227*IF(AND(LEFT($D227,3)="BAC",$F227="INIT"),600,IF(LEFT($D227,3)="BAC",480,IF(AND(LEFT($D227,3)="MAS",$F227="INIT"),520,IF(LEFT($D227,3)="MAS",420,IF($F227="INIT",1000,700))))))</f>
        <v/>
      </c>
      <c r="L227" t="str">
        <f>IF($A227="","",SUMIFS($G$1:$G$349,$A$1:$A$349,$A227,$B$1:$B$349,$B227))</f>
        <v/>
      </c>
      <c r="M227" t="str">
        <f>IF($A227="","",SUMIFS($H$1:$H$349,$A$1:$A$349,$A227,$B$1:$B$349,$B227))</f>
        <v/>
      </c>
      <c r="N227" t="str">
        <f>IF($A227="","",SUMIFS($I$1:$I$349,$A$1:$A$349,$A227,$B$1:$B$349,$B227))</f>
        <v/>
      </c>
      <c r="O227" t="str">
        <f>IF($A227="","",SUMIFS($K$1:$K$349,$A$1:$A$349,$A227,$B$1:$B$349,$B227))</f>
        <v/>
      </c>
      <c r="P227" t="str">
        <f>IF($A227="","",SUMIFS($J$1:$J$349,$A$1:$A$349,$A227,$B$1:$B$349,$B227))</f>
        <v/>
      </c>
      <c r="Q227" t="str">
        <f>IF($A227="","",SUMIFS($G$1:$G$349,$A$1:$A$349,$A227,$C$1:$C$349,$C227))</f>
        <v/>
      </c>
      <c r="R227" t="str">
        <f>IF($A227="","",SUMIFS($H$1:$H$349,$A$1:$A$349,$A227,$C$1:$C$349,$C227))</f>
        <v/>
      </c>
      <c r="S227" t="str">
        <f>IF($A227="","",SUMIFS($I$1:$I$349,$A$1:$A$349,$A227,$C$1:$C$349,$C227))</f>
        <v/>
      </c>
      <c r="T227" t="str">
        <f>IF($A227="","",SUMIFS($G$1:$G$349,$A$1:$A$349,$A227))</f>
        <v/>
      </c>
      <c r="U227" t="str">
        <f>IF($A227="","",SUMIFS($H$1:$H$349,$A$1:$A$349,$A227))</f>
        <v/>
      </c>
      <c r="V227" t="str">
        <f>IF($A227="","",SUMIFS($I$1:$I$349,$A$1:$A$349,$A227))</f>
        <v/>
      </c>
      <c r="W227" t="str">
        <f>IF($A227="","",Allocation2!Y227)</f>
        <v/>
      </c>
      <c r="X227" t="str">
        <f>IF($A227="","",Allocation2!Z227)</f>
        <v/>
      </c>
      <c r="Y227" t="str">
        <f>IF($A227="","",Allocation2!AA227)</f>
        <v/>
      </c>
      <c r="Z227" t="str">
        <f>IF($A227="","",Allocation2!AB227)</f>
        <v/>
      </c>
      <c r="AA227" t="str">
        <f>IF($A227="","",Allocation2!AC227)</f>
        <v/>
      </c>
      <c r="AB227" t="str">
        <f>IF($A227="","",Allocation2!AD227)</f>
        <v/>
      </c>
      <c r="AC227" t="str">
        <f>IF($A227="","",IF(ALLOC!$N$4="VOL_EFF",$G227,IF(ALLOC!$N$4="VOL_CLASS",$H227,$I227)))</f>
        <v/>
      </c>
      <c r="AD227" t="str">
        <f>IF($A227="","",IF(ALLOC!$N$4="VOL_EFF",$L227,IF(ALLOC!$N$4="VOL_CLASS",$M227,$N227)))</f>
        <v/>
      </c>
      <c r="AE227" t="str">
        <f>IF($A227="","",IF(ALLOC!$N$3="VOL_EFF",$L227,IF(ALLOC!$N$3="VOL_CLASS",$M227,$N227)))</f>
        <v/>
      </c>
      <c r="AF227" t="str">
        <f>IF($A227="","",IF(ALLOC!$N$3="VOL_EFF",$Q227,IF(ALLOC!$N$3="VOL_CLASS",$R227,$S227)))</f>
        <v/>
      </c>
      <c r="AG227" t="str">
        <f>IF($A227="","",IF(ALLOC!$N$1="VOL_EFF",$Q227,IF(ALLOC!$N$1="VOL_CLASS",$R227,$S227)))</f>
        <v/>
      </c>
      <c r="AH227" t="str">
        <f>IF($A227="","",IF(ALLOC!$N$1="VOL_EFF",$T227,IF(ALLOC!$N$1="VOL_CLASS",$U227,$V227)))</f>
        <v/>
      </c>
      <c r="AI227" t="str">
        <f>IF($A227="","",$W227*IFERROR($K227/$O227,0))</f>
        <v/>
      </c>
      <c r="AJ227" t="str">
        <f>IF($A227="","",$X227*IFERROR($K227/$O227,0))</f>
        <v/>
      </c>
      <c r="AK227" t="str">
        <f>IF($A227="","",$Y227*IFERROR($G227/$L227,0)+$Z227*IFERROR($J227/$P227,0))</f>
        <v/>
      </c>
      <c r="AL227" t="str">
        <f>IF($A227="","",$AA227*IFERROR($AC227/$AD227,0))</f>
        <v/>
      </c>
      <c r="AM227" t="str">
        <f>IF($A227="","",$AB227*IFERROR($AG227/$AH227,0)*IFERROR($AE227/$AF227,0)*IFERROR($AC227/$AD227,0))</f>
        <v/>
      </c>
      <c r="AN227" t="str">
        <f>IF($A227="","",$I227-($AI227+$AJ227+$AK227+$AL227+$AM227+$AR227))</f>
        <v/>
      </c>
      <c r="AO227" t="str">
        <f>IF($A227="","",Allocation2!AE227)</f>
        <v/>
      </c>
      <c r="AP227" t="str">
        <f>IF($A227="","",IF(ALLOC!$N$2="VOL_EFF",$Q227,IF(ALLOC!$N$2="VOL_CLASS",$R227,$S227)))</f>
        <v/>
      </c>
      <c r="AQ227" t="str">
        <f>IF($A227="","",IF(ALLOC!$N$2="VOL_EFF",$T227,IF(ALLOC!$N$2="VOL_CLASS",$U227,$V227)))</f>
        <v/>
      </c>
      <c r="AR227" t="str">
        <f>IF($A227="","",$AO227*IFERROR($AP227/$AQ227,0)*IFERROR($AE227/$AF227,0)*IFERROR($AC227/$AD227,0))</f>
        <v/>
      </c>
    </row>
    <row r="228" spans="1:46" x14ac:dyDescent="0.45">
      <c r="A228" t="str">
        <f>IF(Allocation2!D228="","",Allocation2!D228)</f>
        <v/>
      </c>
      <c r="B228" t="str">
        <f>IF(Allocation2!E228="","",Allocation2!E228)</f>
        <v/>
      </c>
      <c r="C228" t="str">
        <f>IF(Allocation2!F228="","",Allocation2!F228)</f>
        <v/>
      </c>
      <c r="D228" t="str">
        <f>IF(Allocation2!G228="","",Allocation2!G228)</f>
        <v/>
      </c>
      <c r="E228" t="str">
        <f>IF(Allocation2!H228="","",Allocation2!H228)</f>
        <v/>
      </c>
      <c r="F228" t="str">
        <f>IF(Allocation2!I228="","",Allocation2!I228)</f>
        <v/>
      </c>
      <c r="G228" t="str">
        <f>IF(Allocation2!E228="","",Allocation2!J228)</f>
        <v/>
      </c>
      <c r="H228" t="str">
        <f>IF(Allocation2!E228="","",Allocation2!K228)</f>
        <v/>
      </c>
      <c r="I228" t="str">
        <f>IF(Allocation2!E228="","",Allocation2!L228)</f>
        <v/>
      </c>
      <c r="J228" t="str">
        <f>IF($A228="","",Allocation2!X228)</f>
        <v/>
      </c>
      <c r="K228" t="str">
        <f>IF($A228="","",$H228*IF(AND(LEFT($D228,3)="BAC",$F228="INIT"),600,IF(LEFT($D228,3)="BAC",480,IF(AND(LEFT($D228,3)="MAS",$F228="INIT"),520,IF(LEFT($D228,3)="MAS",420,IF($F228="INIT",1000,700))))))</f>
        <v/>
      </c>
      <c r="L228" t="str">
        <f>IF($A228="","",SUMIFS($G$1:$G$349,$A$1:$A$349,$A228,$B$1:$B$349,$B228))</f>
        <v/>
      </c>
      <c r="M228" t="str">
        <f>IF($A228="","",SUMIFS($H$1:$H$349,$A$1:$A$349,$A228,$B$1:$B$349,$B228))</f>
        <v/>
      </c>
      <c r="N228" t="str">
        <f>IF($A228="","",SUMIFS($I$1:$I$349,$A$1:$A$349,$A228,$B$1:$B$349,$B228))</f>
        <v/>
      </c>
      <c r="O228" t="str">
        <f>IF($A228="","",SUMIFS($K$1:$K$349,$A$1:$A$349,$A228,$B$1:$B$349,$B228))</f>
        <v/>
      </c>
      <c r="P228" t="str">
        <f>IF($A228="","",SUMIFS($J$1:$J$349,$A$1:$A$349,$A228,$B$1:$B$349,$B228))</f>
        <v/>
      </c>
      <c r="Q228" t="str">
        <f>IF($A228="","",SUMIFS($G$1:$G$349,$A$1:$A$349,$A228,$C$1:$C$349,$C228))</f>
        <v/>
      </c>
      <c r="R228" t="str">
        <f>IF($A228="","",SUMIFS($H$1:$H$349,$A$1:$A$349,$A228,$C$1:$C$349,$C228))</f>
        <v/>
      </c>
      <c r="S228" t="str">
        <f>IF($A228="","",SUMIFS($I$1:$I$349,$A$1:$A$349,$A228,$C$1:$C$349,$C228))</f>
        <v/>
      </c>
      <c r="T228" t="str">
        <f>IF($A228="","",SUMIFS($G$1:$G$349,$A$1:$A$349,$A228))</f>
        <v/>
      </c>
      <c r="U228" t="str">
        <f>IF($A228="","",SUMIFS($H$1:$H$349,$A$1:$A$349,$A228))</f>
        <v/>
      </c>
      <c r="V228" t="str">
        <f>IF($A228="","",SUMIFS($I$1:$I$349,$A$1:$A$349,$A228))</f>
        <v/>
      </c>
      <c r="W228" t="str">
        <f>IF($A228="","",Allocation2!Y228)</f>
        <v/>
      </c>
      <c r="X228" t="str">
        <f>IF($A228="","",Allocation2!Z228)</f>
        <v/>
      </c>
      <c r="Y228" t="str">
        <f>IF($A228="","",Allocation2!AA228)</f>
        <v/>
      </c>
      <c r="Z228" t="str">
        <f>IF($A228="","",Allocation2!AB228)</f>
        <v/>
      </c>
      <c r="AA228" t="str">
        <f>IF($A228="","",Allocation2!AC228)</f>
        <v/>
      </c>
      <c r="AB228" t="str">
        <f>IF($A228="","",Allocation2!AD228)</f>
        <v/>
      </c>
      <c r="AC228" t="str">
        <f>IF($A228="","",IF(ALLOC!$N$4="VOL_EFF",$G228,IF(ALLOC!$N$4="VOL_CLASS",$H228,$I228)))</f>
        <v/>
      </c>
      <c r="AD228" t="str">
        <f>IF($A228="","",IF(ALLOC!$N$4="VOL_EFF",$L228,IF(ALLOC!$N$4="VOL_CLASS",$M228,$N228)))</f>
        <v/>
      </c>
      <c r="AE228" t="str">
        <f>IF($A228="","",IF(ALLOC!$N$3="VOL_EFF",$L228,IF(ALLOC!$N$3="VOL_CLASS",$M228,$N228)))</f>
        <v/>
      </c>
      <c r="AF228" t="str">
        <f>IF($A228="","",IF(ALLOC!$N$3="VOL_EFF",$Q228,IF(ALLOC!$N$3="VOL_CLASS",$R228,$S228)))</f>
        <v/>
      </c>
      <c r="AG228" t="str">
        <f>IF($A228="","",IF(ALLOC!$N$1="VOL_EFF",$Q228,IF(ALLOC!$N$1="VOL_CLASS",$R228,$S228)))</f>
        <v/>
      </c>
      <c r="AH228" t="str">
        <f>IF($A228="","",IF(ALLOC!$N$1="VOL_EFF",$T228,IF(ALLOC!$N$1="VOL_CLASS",$U228,$V228)))</f>
        <v/>
      </c>
      <c r="AI228" t="str">
        <f>IF($A228="","",$W228*IFERROR($K228/$O228,0))</f>
        <v/>
      </c>
      <c r="AJ228" t="str">
        <f>IF($A228="","",$X228*IFERROR($K228/$O228,0))</f>
        <v/>
      </c>
      <c r="AK228" t="str">
        <f>IF($A228="","",$Y228*IFERROR($G228/$L228,0)+$Z228*IFERROR($J228/$P228,0))</f>
        <v/>
      </c>
      <c r="AL228" t="str">
        <f>IF($A228="","",$AA228*IFERROR($AC228/$AD228,0))</f>
        <v/>
      </c>
      <c r="AM228" t="str">
        <f>IF($A228="","",$AB228*IFERROR($AG228/$AH228,0)*IFERROR($AE228/$AF228,0)*IFERROR($AC228/$AD228,0))</f>
        <v/>
      </c>
      <c r="AN228" t="str">
        <f>IF($A228="","",$I228-($AI228+$AJ228+$AK228+$AL228+$AM228+$AR228))</f>
        <v/>
      </c>
      <c r="AO228" t="str">
        <f>IF($A228="","",Allocation2!AE228)</f>
        <v/>
      </c>
      <c r="AP228" t="str">
        <f>IF($A228="","",IF(ALLOC!$N$2="VOL_EFF",$Q228,IF(ALLOC!$N$2="VOL_CLASS",$R228,$S228)))</f>
        <v/>
      </c>
      <c r="AQ228" t="str">
        <f>IF($A228="","",IF(ALLOC!$N$2="VOL_EFF",$T228,IF(ALLOC!$N$2="VOL_CLASS",$U228,$V228)))</f>
        <v/>
      </c>
      <c r="AR228" t="str">
        <f>IF($A228="","",$AO228*IFERROR($AP228/$AQ228,0)*IFERROR($AE228/$AF228,0)*IFERROR($AC228/$AD228,0))</f>
        <v/>
      </c>
    </row>
    <row r="229" spans="1:46" x14ac:dyDescent="0.45">
      <c r="A229" t="str">
        <f>IF(Allocation2!D229="","",Allocation2!D229)</f>
        <v/>
      </c>
      <c r="B229" t="str">
        <f>IF(Allocation2!E229="","",Allocation2!E229)</f>
        <v/>
      </c>
      <c r="C229" t="str">
        <f>IF(Allocation2!F229="","",Allocation2!F229)</f>
        <v/>
      </c>
      <c r="D229" t="str">
        <f>IF(Allocation2!G229="","",Allocation2!G229)</f>
        <v/>
      </c>
      <c r="E229" t="str">
        <f>IF(Allocation2!H229="","",Allocation2!H229)</f>
        <v/>
      </c>
      <c r="F229" t="str">
        <f>IF(Allocation2!I229="","",Allocation2!I229)</f>
        <v/>
      </c>
      <c r="G229" t="str">
        <f>IF(Allocation2!E229="","",Allocation2!J229)</f>
        <v/>
      </c>
      <c r="H229" t="str">
        <f>IF(Allocation2!E229="","",Allocation2!K229)</f>
        <v/>
      </c>
      <c r="I229" t="str">
        <f>IF(Allocation2!E229="","",Allocation2!L229)</f>
        <v/>
      </c>
      <c r="J229" t="str">
        <f>IF($A229="","",Allocation2!X229)</f>
        <v/>
      </c>
      <c r="K229" t="str">
        <f>IF($A229="","",$H229*IF(AND(LEFT($D229,3)="BAC",$F229="INIT"),600,IF(LEFT($D229,3)="BAC",480,IF(AND(LEFT($D229,3)="MAS",$F229="INIT"),520,IF(LEFT($D229,3)="MAS",420,IF($F229="INIT",1000,700))))))</f>
        <v/>
      </c>
      <c r="L229" t="str">
        <f>IF($A229="","",SUMIFS($G$1:$G$349,$A$1:$A$349,$A229,$B$1:$B$349,$B229))</f>
        <v/>
      </c>
      <c r="M229" t="str">
        <f>IF($A229="","",SUMIFS($H$1:$H$349,$A$1:$A$349,$A229,$B$1:$B$349,$B229))</f>
        <v/>
      </c>
      <c r="N229" t="str">
        <f>IF($A229="","",SUMIFS($I$1:$I$349,$A$1:$A$349,$A229,$B$1:$B$349,$B229))</f>
        <v/>
      </c>
      <c r="O229" t="str">
        <f>IF($A229="","",SUMIFS($K$1:$K$349,$A$1:$A$349,$A229,$B$1:$B$349,$B229))</f>
        <v/>
      </c>
      <c r="P229" t="str">
        <f>IF($A229="","",SUMIFS($J$1:$J$349,$A$1:$A$349,$A229,$B$1:$B$349,$B229))</f>
        <v/>
      </c>
      <c r="Q229" t="str">
        <f>IF($A229="","",SUMIFS($G$1:$G$349,$A$1:$A$349,$A229,$C$1:$C$349,$C229))</f>
        <v/>
      </c>
      <c r="R229" t="str">
        <f>IF($A229="","",SUMIFS($H$1:$H$349,$A$1:$A$349,$A229,$C$1:$C$349,$C229))</f>
        <v/>
      </c>
      <c r="S229" t="str">
        <f>IF($A229="","",SUMIFS($I$1:$I$349,$A$1:$A$349,$A229,$C$1:$C$349,$C229))</f>
        <v/>
      </c>
      <c r="T229" t="str">
        <f>IF($A229="","",SUMIFS($G$1:$G$349,$A$1:$A$349,$A229))</f>
        <v/>
      </c>
      <c r="U229" t="str">
        <f>IF($A229="","",SUMIFS($H$1:$H$349,$A$1:$A$349,$A229))</f>
        <v/>
      </c>
      <c r="V229" t="str">
        <f>IF($A229="","",SUMIFS($I$1:$I$349,$A$1:$A$349,$A229))</f>
        <v/>
      </c>
      <c r="W229" t="str">
        <f>IF($A229="","",Allocation2!Y229)</f>
        <v/>
      </c>
      <c r="X229" t="str">
        <f>IF($A229="","",Allocation2!Z229)</f>
        <v/>
      </c>
      <c r="Y229" t="str">
        <f>IF($A229="","",Allocation2!AA229)</f>
        <v/>
      </c>
      <c r="Z229" t="str">
        <f>IF($A229="","",Allocation2!AB229)</f>
        <v/>
      </c>
      <c r="AA229" t="str">
        <f>IF($A229="","",Allocation2!AC229)</f>
        <v/>
      </c>
      <c r="AB229" t="str">
        <f>IF($A229="","",Allocation2!AD229)</f>
        <v/>
      </c>
      <c r="AC229" t="str">
        <f>IF($A229="","",IF(ALLOC!$N$4="VOL_EFF",$G229,IF(ALLOC!$N$4="VOL_CLASS",$H229,$I229)))</f>
        <v/>
      </c>
      <c r="AD229" t="str">
        <f>IF($A229="","",IF(ALLOC!$N$4="VOL_EFF",$L229,IF(ALLOC!$N$4="VOL_CLASS",$M229,$N229)))</f>
        <v/>
      </c>
      <c r="AE229" t="str">
        <f>IF($A229="","",IF(ALLOC!$N$3="VOL_EFF",$L229,IF(ALLOC!$N$3="VOL_CLASS",$M229,$N229)))</f>
        <v/>
      </c>
      <c r="AF229" t="str">
        <f>IF($A229="","",IF(ALLOC!$N$3="VOL_EFF",$Q229,IF(ALLOC!$N$3="VOL_CLASS",$R229,$S229)))</f>
        <v/>
      </c>
      <c r="AG229" t="str">
        <f>IF($A229="","",IF(ALLOC!$N$1="VOL_EFF",$Q229,IF(ALLOC!$N$1="VOL_CLASS",$R229,$S229)))</f>
        <v/>
      </c>
      <c r="AH229" t="str">
        <f>IF($A229="","",IF(ALLOC!$N$1="VOL_EFF",$T229,IF(ALLOC!$N$1="VOL_CLASS",$U229,$V229)))</f>
        <v/>
      </c>
      <c r="AI229" t="str">
        <f>IF($A229="","",$W229*IFERROR($K229/$O229,0))</f>
        <v/>
      </c>
      <c r="AJ229" t="str">
        <f>IF($A229="","",$X229*IFERROR($K229/$O229,0))</f>
        <v/>
      </c>
      <c r="AK229" t="str">
        <f>IF($A229="","",$Y229*IFERROR($G229/$L229,0)+$Z229*IFERROR($J229/$P229,0))</f>
        <v/>
      </c>
      <c r="AL229" t="str">
        <f>IF($A229="","",$AA229*IFERROR($AC229/$AD229,0))</f>
        <v/>
      </c>
      <c r="AM229" t="str">
        <f>IF($A229="","",$AB229*IFERROR($AG229/$AH229,0)*IFERROR($AE229/$AF229,0)*IFERROR($AC229/$AD229,0))</f>
        <v/>
      </c>
      <c r="AN229" t="str">
        <f>IF($A229="","",$I229-($AI229+$AJ229+$AK229+$AL229+$AM229+$AR229))</f>
        <v/>
      </c>
      <c r="AO229" t="str">
        <f>IF($A229="","",Allocation2!AE229)</f>
        <v/>
      </c>
      <c r="AP229" t="str">
        <f>IF($A229="","",IF(ALLOC!$N$2="VOL_EFF",$Q229,IF(ALLOC!$N$2="VOL_CLASS",$R229,$S229)))</f>
        <v/>
      </c>
      <c r="AQ229" t="str">
        <f>IF($A229="","",IF(ALLOC!$N$2="VOL_EFF",$T229,IF(ALLOC!$N$2="VOL_CLASS",$U229,$V229)))</f>
        <v/>
      </c>
      <c r="AR229" t="str">
        <f>IF($A229="","",$AO229*IFERROR($AP229/$AQ229,0)*IFERROR($AE229/$AF229,0)*IFERROR($AC229/$AD229,0))</f>
        <v/>
      </c>
    </row>
    <row r="230" spans="1:46" x14ac:dyDescent="0.45">
      <c r="A230" t="str">
        <f>IF(Allocation2!D230="","",Allocation2!D230)</f>
        <v/>
      </c>
      <c r="B230" t="str">
        <f>IF(Allocation2!E230="","",Allocation2!E230)</f>
        <v/>
      </c>
      <c r="C230" t="str">
        <f>IF(Allocation2!F230="","",Allocation2!F230)</f>
        <v/>
      </c>
      <c r="D230" t="str">
        <f>IF(Allocation2!G230="","",Allocation2!G230)</f>
        <v/>
      </c>
      <c r="E230" t="str">
        <f>IF(Allocation2!H230="","",Allocation2!H230)</f>
        <v/>
      </c>
      <c r="F230" t="str">
        <f>IF(Allocation2!I230="","",Allocation2!I230)</f>
        <v/>
      </c>
      <c r="G230" t="str">
        <f>IF(Allocation2!E230="","",Allocation2!J230)</f>
        <v/>
      </c>
      <c r="H230" t="str">
        <f>IF(Allocation2!E230="","",Allocation2!K230)</f>
        <v/>
      </c>
      <c r="I230" t="str">
        <f>IF(Allocation2!E230="","",Allocation2!L230)</f>
        <v/>
      </c>
      <c r="J230" t="str">
        <f>IF($A230="","",Allocation2!X230)</f>
        <v/>
      </c>
      <c r="K230" t="str">
        <f>IF($A230="","",$H230*IF(AND(LEFT($D230,3)="BAC",$F230="INIT"),600,IF(LEFT($D230,3)="BAC",480,IF(AND(LEFT($D230,3)="MAS",$F230="INIT"),520,IF(LEFT($D230,3)="MAS",420,IF($F230="INIT",1000,700))))))</f>
        <v/>
      </c>
      <c r="L230" t="str">
        <f>IF($A230="","",SUMIFS($G$1:$G$349,$A$1:$A$349,$A230,$B$1:$B$349,$B230))</f>
        <v/>
      </c>
      <c r="M230" t="str">
        <f>IF($A230="","",SUMIFS($H$1:$H$349,$A$1:$A$349,$A230,$B$1:$B$349,$B230))</f>
        <v/>
      </c>
      <c r="N230" t="str">
        <f>IF($A230="","",SUMIFS($I$1:$I$349,$A$1:$A$349,$A230,$B$1:$B$349,$B230))</f>
        <v/>
      </c>
      <c r="O230" t="str">
        <f>IF($A230="","",SUMIFS($K$1:$K$349,$A$1:$A$349,$A230,$B$1:$B$349,$B230))</f>
        <v/>
      </c>
      <c r="P230" t="str">
        <f>IF($A230="","",SUMIFS($J$1:$J$349,$A$1:$A$349,$A230,$B$1:$B$349,$B230))</f>
        <v/>
      </c>
      <c r="Q230" t="str">
        <f>IF($A230="","",SUMIFS($G$1:$G$349,$A$1:$A$349,$A230,$C$1:$C$349,$C230))</f>
        <v/>
      </c>
      <c r="R230" t="str">
        <f>IF($A230="","",SUMIFS($H$1:$H$349,$A$1:$A$349,$A230,$C$1:$C$349,$C230))</f>
        <v/>
      </c>
      <c r="S230" t="str">
        <f>IF($A230="","",SUMIFS($I$1:$I$349,$A$1:$A$349,$A230,$C$1:$C$349,$C230))</f>
        <v/>
      </c>
      <c r="T230" t="str">
        <f>IF($A230="","",SUMIFS($G$1:$G$349,$A$1:$A$349,$A230))</f>
        <v/>
      </c>
      <c r="U230" t="str">
        <f>IF($A230="","",SUMIFS($H$1:$H$349,$A$1:$A$349,$A230))</f>
        <v/>
      </c>
      <c r="V230" t="str">
        <f>IF($A230="","",SUMIFS($I$1:$I$349,$A$1:$A$349,$A230))</f>
        <v/>
      </c>
      <c r="W230" t="str">
        <f>IF($A230="","",Allocation2!Y230)</f>
        <v/>
      </c>
      <c r="X230" t="str">
        <f>IF($A230="","",Allocation2!Z230)</f>
        <v/>
      </c>
      <c r="Y230" t="str">
        <f>IF($A230="","",Allocation2!AA230)</f>
        <v/>
      </c>
      <c r="Z230" t="str">
        <f>IF($A230="","",Allocation2!AB230)</f>
        <v/>
      </c>
      <c r="AA230" t="str">
        <f>IF($A230="","",Allocation2!AC230)</f>
        <v/>
      </c>
      <c r="AB230" t="str">
        <f>IF($A230="","",Allocation2!AD230)</f>
        <v/>
      </c>
      <c r="AC230" t="str">
        <f>IF($A230="","",IF(ALLOC!$N$4="VOL_EFF",$G230,IF(ALLOC!$N$4="VOL_CLASS",$H230,$I230)))</f>
        <v/>
      </c>
      <c r="AD230" t="str">
        <f>IF($A230="","",IF(ALLOC!$N$4="VOL_EFF",$L230,IF(ALLOC!$N$4="VOL_CLASS",$M230,$N230)))</f>
        <v/>
      </c>
      <c r="AE230" t="str">
        <f>IF($A230="","",IF(ALLOC!$N$3="VOL_EFF",$L230,IF(ALLOC!$N$3="VOL_CLASS",$M230,$N230)))</f>
        <v/>
      </c>
      <c r="AF230" t="str">
        <f>IF($A230="","",IF(ALLOC!$N$3="VOL_EFF",$Q230,IF(ALLOC!$N$3="VOL_CLASS",$R230,$S230)))</f>
        <v/>
      </c>
      <c r="AG230" t="str">
        <f>IF($A230="","",IF(ALLOC!$N$1="VOL_EFF",$Q230,IF(ALLOC!$N$1="VOL_CLASS",$R230,$S230)))</f>
        <v/>
      </c>
      <c r="AH230" t="str">
        <f>IF($A230="","",IF(ALLOC!$N$1="VOL_EFF",$T230,IF(ALLOC!$N$1="VOL_CLASS",$U230,$V230)))</f>
        <v/>
      </c>
      <c r="AI230" t="str">
        <f>IF($A230="","",$W230*IFERROR($K230/$O230,0))</f>
        <v/>
      </c>
      <c r="AJ230" t="str">
        <f>IF($A230="","",$X230*IFERROR($K230/$O230,0))</f>
        <v/>
      </c>
      <c r="AK230" t="str">
        <f>IF($A230="","",$Y230*IFERROR($G230/$L230,0)+$Z230*IFERROR($J230/$P230,0))</f>
        <v/>
      </c>
      <c r="AL230" t="str">
        <f>IF($A230="","",$AA230*IFERROR($AC230/$AD230,0))</f>
        <v/>
      </c>
      <c r="AM230" t="str">
        <f>IF($A230="","",$AB230*IFERROR($AG230/$AH230,0)*IFERROR($AE230/$AF230,0)*IFERROR($AC230/$AD230,0))</f>
        <v/>
      </c>
      <c r="AN230" t="str">
        <f>IF($A230="","",$I230-($AI230+$AJ230+$AK230+$AL230+$AM230+$AR230))</f>
        <v/>
      </c>
      <c r="AO230" t="str">
        <f>IF($A230="","",Allocation2!AE230)</f>
        <v/>
      </c>
      <c r="AP230" t="str">
        <f>IF($A230="","",IF(ALLOC!$N$2="VOL_EFF",$Q230,IF(ALLOC!$N$2="VOL_CLASS",$R230,$S230)))</f>
        <v/>
      </c>
      <c r="AQ230" t="str">
        <f>IF($A230="","",IF(ALLOC!$N$2="VOL_EFF",$T230,IF(ALLOC!$N$2="VOL_CLASS",$U230,$V230)))</f>
        <v/>
      </c>
      <c r="AR230" t="str">
        <f>IF($A230="","",$AO230*IFERROR($AP230/$AQ230,0)*IFERROR($AE230/$AF230,0)*IFERROR($AC230/$AD230,0))</f>
        <v/>
      </c>
    </row>
    <row r="231" spans="1:46" x14ac:dyDescent="0.45">
      <c r="A231" t="str">
        <f>IF(Allocation2!D231="","",Allocation2!D231)</f>
        <v/>
      </c>
      <c r="B231" t="str">
        <f>IF(Allocation2!E231="","",Allocation2!E231)</f>
        <v/>
      </c>
      <c r="C231" t="str">
        <f>IF(Allocation2!F231="","",Allocation2!F231)</f>
        <v/>
      </c>
      <c r="D231" t="str">
        <f>IF(Allocation2!G231="","",Allocation2!G231)</f>
        <v/>
      </c>
      <c r="E231" t="str">
        <f>IF(Allocation2!H231="","",Allocation2!H231)</f>
        <v/>
      </c>
      <c r="F231" t="str">
        <f>IF(Allocation2!I231="","",Allocation2!I231)</f>
        <v/>
      </c>
      <c r="G231" t="str">
        <f>IF(Allocation2!E231="","",Allocation2!J231)</f>
        <v/>
      </c>
      <c r="H231" t="str">
        <f>IF(Allocation2!E231="","",Allocation2!K231)</f>
        <v/>
      </c>
      <c r="I231" t="str">
        <f>IF(Allocation2!E231="","",Allocation2!L231)</f>
        <v/>
      </c>
      <c r="J231" t="str">
        <f>IF($A231="","",Allocation2!X231)</f>
        <v/>
      </c>
      <c r="K231" t="str">
        <f>IF($A231="","",$H231*IF(AND(LEFT($D231,3)="BAC",$F231="INIT"),600,IF(LEFT($D231,3)="BAC",480,IF(AND(LEFT($D231,3)="MAS",$F231="INIT"),520,IF(LEFT($D231,3)="MAS",420,IF($F231="INIT",1000,700))))))</f>
        <v/>
      </c>
      <c r="L231" t="str">
        <f>IF($A231="","",SUMIFS($G$1:$G$349,$A$1:$A$349,$A231,$B$1:$B$349,$B231))</f>
        <v/>
      </c>
      <c r="M231" t="str">
        <f>IF($A231="","",SUMIFS($H$1:$H$349,$A$1:$A$349,$A231,$B$1:$B$349,$B231))</f>
        <v/>
      </c>
      <c r="N231" t="str">
        <f>IF($A231="","",SUMIFS($I$1:$I$349,$A$1:$A$349,$A231,$B$1:$B$349,$B231))</f>
        <v/>
      </c>
      <c r="O231" t="str">
        <f>IF($A231="","",SUMIFS($K$1:$K$349,$A$1:$A$349,$A231,$B$1:$B$349,$B231))</f>
        <v/>
      </c>
      <c r="P231" t="str">
        <f>IF($A231="","",SUMIFS($J$1:$J$349,$A$1:$A$349,$A231,$B$1:$B$349,$B231))</f>
        <v/>
      </c>
      <c r="Q231" t="str">
        <f>IF($A231="","",SUMIFS($G$1:$G$349,$A$1:$A$349,$A231,$C$1:$C$349,$C231))</f>
        <v/>
      </c>
      <c r="R231" t="str">
        <f>IF($A231="","",SUMIFS($H$1:$H$349,$A$1:$A$349,$A231,$C$1:$C$349,$C231))</f>
        <v/>
      </c>
      <c r="S231" t="str">
        <f>IF($A231="","",SUMIFS($I$1:$I$349,$A$1:$A$349,$A231,$C$1:$C$349,$C231))</f>
        <v/>
      </c>
      <c r="T231" t="str">
        <f>IF($A231="","",SUMIFS($G$1:$G$349,$A$1:$A$349,$A231))</f>
        <v/>
      </c>
      <c r="U231" t="str">
        <f>IF($A231="","",SUMIFS($H$1:$H$349,$A$1:$A$349,$A231))</f>
        <v/>
      </c>
      <c r="V231" t="str">
        <f>IF($A231="","",SUMIFS($I$1:$I$349,$A$1:$A$349,$A231))</f>
        <v/>
      </c>
      <c r="W231" t="str">
        <f>IF($A231="","",Allocation2!Y231)</f>
        <v/>
      </c>
      <c r="X231" t="str">
        <f>IF($A231="","",Allocation2!Z231)</f>
        <v/>
      </c>
      <c r="Y231" t="str">
        <f>IF($A231="","",Allocation2!AA231)</f>
        <v/>
      </c>
      <c r="Z231" t="str">
        <f>IF($A231="","",Allocation2!AB231)</f>
        <v/>
      </c>
      <c r="AA231" t="str">
        <f>IF($A231="","",Allocation2!AC231)</f>
        <v/>
      </c>
      <c r="AB231" t="str">
        <f>IF($A231="","",Allocation2!AD231)</f>
        <v/>
      </c>
      <c r="AC231" t="str">
        <f>IF($A231="","",IF(ALLOC!$N$4="VOL_EFF",$G231,IF(ALLOC!$N$4="VOL_CLASS",$H231,$I231)))</f>
        <v/>
      </c>
      <c r="AD231" t="str">
        <f>IF($A231="","",IF(ALLOC!$N$4="VOL_EFF",$L231,IF(ALLOC!$N$4="VOL_CLASS",$M231,$N231)))</f>
        <v/>
      </c>
      <c r="AE231" t="str">
        <f>IF($A231="","",IF(ALLOC!$N$3="VOL_EFF",$L231,IF(ALLOC!$N$3="VOL_CLASS",$M231,$N231)))</f>
        <v/>
      </c>
      <c r="AF231" t="str">
        <f>IF($A231="","",IF(ALLOC!$N$3="VOL_EFF",$Q231,IF(ALLOC!$N$3="VOL_CLASS",$R231,$S231)))</f>
        <v/>
      </c>
      <c r="AG231" t="str">
        <f>IF($A231="","",IF(ALLOC!$N$1="VOL_EFF",$Q231,IF(ALLOC!$N$1="VOL_CLASS",$R231,$S231)))</f>
        <v/>
      </c>
      <c r="AH231" t="str">
        <f>IF($A231="","",IF(ALLOC!$N$1="VOL_EFF",$T231,IF(ALLOC!$N$1="VOL_CLASS",$U231,$V231)))</f>
        <v/>
      </c>
      <c r="AI231" t="str">
        <f>IF($A231="","",$W231*IFERROR($K231/$O231,0))</f>
        <v/>
      </c>
      <c r="AJ231" t="str">
        <f>IF($A231="","",$X231*IFERROR($K231/$O231,0))</f>
        <v/>
      </c>
      <c r="AK231" t="str">
        <f>IF($A231="","",$Y231*IFERROR($G231/$L231,0)+$Z231*IFERROR($J231/$P231,0))</f>
        <v/>
      </c>
      <c r="AL231" t="str">
        <f>IF($A231="","",$AA231*IFERROR($AC231/$AD231,0))</f>
        <v/>
      </c>
      <c r="AM231" t="str">
        <f>IF($A231="","",$AB231*IFERROR($AG231/$AH231,0)*IFERROR($AE231/$AF231,0)*IFERROR($AC231/$AD231,0))</f>
        <v/>
      </c>
      <c r="AN231" t="str">
        <f>IF($A231="","",$I231-($AI231+$AJ231+$AK231+$AL231+$AM231+$AR231))</f>
        <v/>
      </c>
      <c r="AO231" t="str">
        <f>IF($A231="","",Allocation2!AE231)</f>
        <v/>
      </c>
      <c r="AP231" t="str">
        <f>IF($A231="","",IF(ALLOC!$N$2="VOL_EFF",$Q231,IF(ALLOC!$N$2="VOL_CLASS",$R231,$S231)))</f>
        <v/>
      </c>
      <c r="AQ231" t="str">
        <f>IF($A231="","",IF(ALLOC!$N$2="VOL_EFF",$T231,IF(ALLOC!$N$2="VOL_CLASS",$U231,$V231)))</f>
        <v/>
      </c>
      <c r="AR231" t="str">
        <f>IF($A231="","",$AO231*IFERROR($AP231/$AQ231,0)*IFERROR($AE231/$AF231,0)*IFERROR($AC231/$AD231,0))</f>
        <v/>
      </c>
    </row>
    <row r="232" spans="1:46" x14ac:dyDescent="0.45">
      <c r="A232" t="str">
        <f>IF(Allocation2!D232="","",Allocation2!D232)</f>
        <v/>
      </c>
      <c r="B232" t="str">
        <f>IF(Allocation2!E232="","",Allocation2!E232)</f>
        <v/>
      </c>
      <c r="C232" t="str">
        <f>IF(Allocation2!F232="","",Allocation2!F232)</f>
        <v/>
      </c>
      <c r="D232" t="str">
        <f>IF(Allocation2!G232="","",Allocation2!G232)</f>
        <v/>
      </c>
      <c r="E232" t="str">
        <f>IF(Allocation2!H232="","",Allocation2!H232)</f>
        <v/>
      </c>
      <c r="F232" t="str">
        <f>IF(Allocation2!I232="","",Allocation2!I232)</f>
        <v/>
      </c>
      <c r="G232" t="str">
        <f>IF(Allocation2!E232="","",Allocation2!J232)</f>
        <v/>
      </c>
      <c r="H232" t="str">
        <f>IF(Allocation2!E232="","",Allocation2!K232)</f>
        <v/>
      </c>
      <c r="I232" t="str">
        <f>IF(Allocation2!E232="","",Allocation2!L232)</f>
        <v/>
      </c>
      <c r="J232" t="str">
        <f>IF($A232="","",Allocation2!X232)</f>
        <v/>
      </c>
      <c r="K232" t="str">
        <f>IF($A232="","",$H232*IF(AND(LEFT($D232,3)="BAC",$F232="INIT"),600,IF(LEFT($D232,3)="BAC",480,IF(AND(LEFT($D232,3)="MAS",$F232="INIT"),520,IF(LEFT($D232,3)="MAS",420,IF($F232="INIT",1000,700))))))</f>
        <v/>
      </c>
      <c r="L232" t="str">
        <f>IF($A232="","",SUMIFS($G$1:$G$349,$A$1:$A$349,$A232,$B$1:$B$349,$B232))</f>
        <v/>
      </c>
      <c r="M232" t="str">
        <f>IF($A232="","",SUMIFS($H$1:$H$349,$A$1:$A$349,$A232,$B$1:$B$349,$B232))</f>
        <v/>
      </c>
      <c r="N232" t="str">
        <f>IF($A232="","",SUMIFS($I$1:$I$349,$A$1:$A$349,$A232,$B$1:$B$349,$B232))</f>
        <v/>
      </c>
      <c r="O232" t="str">
        <f>IF($A232="","",SUMIFS($K$1:$K$349,$A$1:$A$349,$A232,$B$1:$B$349,$B232))</f>
        <v/>
      </c>
      <c r="P232" t="str">
        <f>IF($A232="","",SUMIFS($J$1:$J$349,$A$1:$A$349,$A232,$B$1:$B$349,$B232))</f>
        <v/>
      </c>
      <c r="Q232" t="str">
        <f>IF($A232="","",SUMIFS($G$1:$G$349,$A$1:$A$349,$A232,$C$1:$C$349,$C232))</f>
        <v/>
      </c>
      <c r="R232" t="str">
        <f>IF($A232="","",SUMIFS($H$1:$H$349,$A$1:$A$349,$A232,$C$1:$C$349,$C232))</f>
        <v/>
      </c>
      <c r="S232" t="str">
        <f>IF($A232="","",SUMIFS($I$1:$I$349,$A$1:$A$349,$A232,$C$1:$C$349,$C232))</f>
        <v/>
      </c>
      <c r="T232" t="str">
        <f>IF($A232="","",SUMIFS($G$1:$G$349,$A$1:$A$349,$A232))</f>
        <v/>
      </c>
      <c r="U232" t="str">
        <f>IF($A232="","",SUMIFS($H$1:$H$349,$A$1:$A$349,$A232))</f>
        <v/>
      </c>
      <c r="V232" t="str">
        <f>IF($A232="","",SUMIFS($I$1:$I$349,$A$1:$A$349,$A232))</f>
        <v/>
      </c>
      <c r="W232" t="str">
        <f>IF($A232="","",Allocation2!Y232)</f>
        <v/>
      </c>
      <c r="X232" t="str">
        <f>IF($A232="","",Allocation2!Z232)</f>
        <v/>
      </c>
      <c r="Y232" t="str">
        <f>IF($A232="","",Allocation2!AA232)</f>
        <v/>
      </c>
      <c r="Z232" t="str">
        <f>IF($A232="","",Allocation2!AB232)</f>
        <v/>
      </c>
      <c r="AA232" t="str">
        <f>IF($A232="","",Allocation2!AC232)</f>
        <v/>
      </c>
      <c r="AB232" t="str">
        <f>IF($A232="","",Allocation2!AD232)</f>
        <v/>
      </c>
      <c r="AC232" t="str">
        <f>IF($A232="","",IF(ALLOC!$N$4="VOL_EFF",$G232,IF(ALLOC!$N$4="VOL_CLASS",$H232,$I232)))</f>
        <v/>
      </c>
      <c r="AD232" t="str">
        <f>IF($A232="","",IF(ALLOC!$N$4="VOL_EFF",$L232,IF(ALLOC!$N$4="VOL_CLASS",$M232,$N232)))</f>
        <v/>
      </c>
      <c r="AE232" t="str">
        <f>IF($A232="","",IF(ALLOC!$N$3="VOL_EFF",$L232,IF(ALLOC!$N$3="VOL_CLASS",$M232,$N232)))</f>
        <v/>
      </c>
      <c r="AF232" t="str">
        <f>IF($A232="","",IF(ALLOC!$N$3="VOL_EFF",$Q232,IF(ALLOC!$N$3="VOL_CLASS",$R232,$S232)))</f>
        <v/>
      </c>
      <c r="AG232" t="str">
        <f>IF($A232="","",IF(ALLOC!$N$1="VOL_EFF",$Q232,IF(ALLOC!$N$1="VOL_CLASS",$R232,$S232)))</f>
        <v/>
      </c>
      <c r="AH232" t="str">
        <f>IF($A232="","",IF(ALLOC!$N$1="VOL_EFF",$T232,IF(ALLOC!$N$1="VOL_CLASS",$U232,$V232)))</f>
        <v/>
      </c>
      <c r="AI232" t="str">
        <f>IF($A232="","",$W232*IFERROR($K232/$O232,0))</f>
        <v/>
      </c>
      <c r="AJ232" t="str">
        <f>IF($A232="","",$X232*IFERROR($K232/$O232,0))</f>
        <v/>
      </c>
      <c r="AK232" t="str">
        <f>IF($A232="","",$Y232*IFERROR($G232/$L232,0)+$Z232*IFERROR($J232/$P232,0))</f>
        <v/>
      </c>
      <c r="AL232" t="str">
        <f>IF($A232="","",$AA232*IFERROR($AC232/$AD232,0))</f>
        <v/>
      </c>
      <c r="AM232" t="str">
        <f>IF($A232="","",$AB232*IFERROR($AG232/$AH232,0)*IFERROR($AE232/$AF232,0)*IFERROR($AC232/$AD232,0))</f>
        <v/>
      </c>
      <c r="AN232" t="str">
        <f>IF($A232="","",$I232-($AI232+$AJ232+$AK232+$AL232+$AM232+$AR232))</f>
        <v/>
      </c>
      <c r="AO232" t="str">
        <f>IF($A232="","",Allocation2!AE232)</f>
        <v/>
      </c>
      <c r="AP232" t="str">
        <f>IF($A232="","",IF(ALLOC!$N$2="VOL_EFF",$Q232,IF(ALLOC!$N$2="VOL_CLASS",$R232,$S232)))</f>
        <v/>
      </c>
      <c r="AQ232" t="str">
        <f>IF($A232="","",IF(ALLOC!$N$2="VOL_EFF",$T232,IF(ALLOC!$N$2="VOL_CLASS",$U232,$V232)))</f>
        <v/>
      </c>
      <c r="AR232" t="str">
        <f>IF($A232="","",$AO232*IFERROR($AP232/$AQ232,0)*IFERROR($AE232/$AF232,0)*IFERROR($AC232/$AD232,0))</f>
        <v/>
      </c>
    </row>
    <row r="233" spans="1:46" x14ac:dyDescent="0.45">
      <c r="A233" t="str">
        <f>IF(Allocation2!D233="","",Allocation2!D233)</f>
        <v/>
      </c>
      <c r="B233" t="str">
        <f>IF(Allocation2!E233="","",Allocation2!E233)</f>
        <v/>
      </c>
      <c r="C233" t="str">
        <f>IF(Allocation2!F233="","",Allocation2!F233)</f>
        <v/>
      </c>
      <c r="D233" t="str">
        <f>IF(Allocation2!G233="","",Allocation2!G233)</f>
        <v/>
      </c>
      <c r="E233" t="str">
        <f>IF(Allocation2!H233="","",Allocation2!H233)</f>
        <v/>
      </c>
      <c r="F233" t="str">
        <f>IF(Allocation2!I233="","",Allocation2!I233)</f>
        <v/>
      </c>
      <c r="G233" t="str">
        <f>IF(Allocation2!E233="","",Allocation2!J233)</f>
        <v/>
      </c>
      <c r="H233" t="str">
        <f>IF(Allocation2!E233="","",Allocation2!K233)</f>
        <v/>
      </c>
      <c r="I233" t="str">
        <f>IF(Allocation2!E233="","",Allocation2!L233)</f>
        <v/>
      </c>
      <c r="J233" t="str">
        <f>IF($A233="","",Allocation2!X233)</f>
        <v/>
      </c>
      <c r="K233" t="str">
        <f>IF($A233="","",$H233*IF(AND(LEFT($D233,3)="BAC",$F233="INIT"),600,IF(LEFT($D233,3)="BAC",480,IF(AND(LEFT($D233,3)="MAS",$F233="INIT"),520,IF(LEFT($D233,3)="MAS",420,IF($F233="INIT",1000,700))))))</f>
        <v/>
      </c>
      <c r="L233" t="str">
        <f>IF($A233="","",SUMIFS($G$1:$G$349,$A$1:$A$349,$A233,$B$1:$B$349,$B233))</f>
        <v/>
      </c>
      <c r="M233" t="str">
        <f>IF($A233="","",SUMIFS($H$1:$H$349,$A$1:$A$349,$A233,$B$1:$B$349,$B233))</f>
        <v/>
      </c>
      <c r="N233" t="str">
        <f>IF($A233="","",SUMIFS($I$1:$I$349,$A$1:$A$349,$A233,$B$1:$B$349,$B233))</f>
        <v/>
      </c>
      <c r="O233" t="str">
        <f>IF($A233="","",SUMIFS($K$1:$K$349,$A$1:$A$349,$A233,$B$1:$B$349,$B233))</f>
        <v/>
      </c>
      <c r="P233" t="str">
        <f>IF($A233="","",SUMIFS($J$1:$J$349,$A$1:$A$349,$A233,$B$1:$B$349,$B233))</f>
        <v/>
      </c>
      <c r="Q233" t="str">
        <f>IF($A233="","",SUMIFS($G$1:$G$349,$A$1:$A$349,$A233,$C$1:$C$349,$C233))</f>
        <v/>
      </c>
      <c r="R233" t="str">
        <f>IF($A233="","",SUMIFS($H$1:$H$349,$A$1:$A$349,$A233,$C$1:$C$349,$C233))</f>
        <v/>
      </c>
      <c r="S233" t="str">
        <f>IF($A233="","",SUMIFS($I$1:$I$349,$A$1:$A$349,$A233,$C$1:$C$349,$C233))</f>
        <v/>
      </c>
      <c r="T233" t="str">
        <f>IF($A233="","",SUMIFS($G$1:$G$349,$A$1:$A$349,$A233))</f>
        <v/>
      </c>
      <c r="U233" t="str">
        <f>IF($A233="","",SUMIFS($H$1:$H$349,$A$1:$A$349,$A233))</f>
        <v/>
      </c>
      <c r="V233" t="str">
        <f>IF($A233="","",SUMIFS($I$1:$I$349,$A$1:$A$349,$A233))</f>
        <v/>
      </c>
      <c r="W233" t="str">
        <f>IF($A233="","",Allocation2!Y233)</f>
        <v/>
      </c>
      <c r="X233" t="str">
        <f>IF($A233="","",Allocation2!Z233)</f>
        <v/>
      </c>
      <c r="Y233" t="str">
        <f>IF($A233="","",Allocation2!AA233)</f>
        <v/>
      </c>
      <c r="Z233" t="str">
        <f>IF($A233="","",Allocation2!AB233)</f>
        <v/>
      </c>
      <c r="AA233" t="str">
        <f>IF($A233="","",Allocation2!AC233)</f>
        <v/>
      </c>
      <c r="AB233" t="str">
        <f>IF($A233="","",Allocation2!AD233)</f>
        <v/>
      </c>
      <c r="AC233" t="str">
        <f>IF($A233="","",IF(ALLOC!$N$4="VOL_EFF",$G233,IF(ALLOC!$N$4="VOL_CLASS",$H233,$I233)))</f>
        <v/>
      </c>
      <c r="AD233" t="str">
        <f>IF($A233="","",IF(ALLOC!$N$4="VOL_EFF",$L233,IF(ALLOC!$N$4="VOL_CLASS",$M233,$N233)))</f>
        <v/>
      </c>
      <c r="AE233" t="str">
        <f>IF($A233="","",IF(ALLOC!$N$3="VOL_EFF",$L233,IF(ALLOC!$N$3="VOL_CLASS",$M233,$N233)))</f>
        <v/>
      </c>
      <c r="AF233" t="str">
        <f>IF($A233="","",IF(ALLOC!$N$3="VOL_EFF",$Q233,IF(ALLOC!$N$3="VOL_CLASS",$R233,$S233)))</f>
        <v/>
      </c>
      <c r="AG233" t="str">
        <f>IF($A233="","",IF(ALLOC!$N$1="VOL_EFF",$Q233,IF(ALLOC!$N$1="VOL_CLASS",$R233,$S233)))</f>
        <v/>
      </c>
      <c r="AH233" t="str">
        <f>IF($A233="","",IF(ALLOC!$N$1="VOL_EFF",$T233,IF(ALLOC!$N$1="VOL_CLASS",$U233,$V233)))</f>
        <v/>
      </c>
      <c r="AI233" t="str">
        <f>IF($A233="","",$W233*IFERROR($K233/$O233,0))</f>
        <v/>
      </c>
      <c r="AJ233" t="str">
        <f>IF($A233="","",$X233*IFERROR($K233/$O233,0))</f>
        <v/>
      </c>
      <c r="AK233" t="str">
        <f>IF($A233="","",$Y233*IFERROR($G233/$L233,0)+$Z233*IFERROR($J233/$P233,0))</f>
        <v/>
      </c>
      <c r="AL233" t="str">
        <f>IF($A233="","",$AA233*IFERROR($AC233/$AD233,0))</f>
        <v/>
      </c>
      <c r="AM233" t="str">
        <f>IF($A233="","",$AB233*IFERROR($AG233/$AH233,0)*IFERROR($AE233/$AF233,0)*IFERROR($AC233/$AD233,0))</f>
        <v/>
      </c>
      <c r="AN233" t="str">
        <f>IF($A233="","",$I233-($AI233+$AJ233+$AK233+$AL233+$AM233+$AR233))</f>
        <v/>
      </c>
      <c r="AO233" t="str">
        <f>IF($A233="","",Allocation2!AE233)</f>
        <v/>
      </c>
      <c r="AP233" t="str">
        <f>IF($A233="","",IF(ALLOC!$N$2="VOL_EFF",$Q233,IF(ALLOC!$N$2="VOL_CLASS",$R233,$S233)))</f>
        <v/>
      </c>
      <c r="AQ233" t="str">
        <f>IF($A233="","",IF(ALLOC!$N$2="VOL_EFF",$T233,IF(ALLOC!$N$2="VOL_CLASS",$U233,$V233)))</f>
        <v/>
      </c>
      <c r="AR233" t="str">
        <f>IF($A233="","",$AO233*IFERROR($AP233/$AQ233,0)*IFERROR($AE233/$AF233,0)*IFERROR($AC233/$AD233,0))</f>
        <v/>
      </c>
    </row>
    <row r="234" spans="1:46" x14ac:dyDescent="0.45">
      <c r="A234" t="str">
        <f>IF(Allocation2!D234="","",Allocation2!D234)</f>
        <v/>
      </c>
      <c r="B234" t="str">
        <f>IF(Allocation2!E234="","",Allocation2!E234)</f>
        <v/>
      </c>
      <c r="C234" t="str">
        <f>IF(Allocation2!F234="","",Allocation2!F234)</f>
        <v/>
      </c>
      <c r="D234" t="str">
        <f>IF(Allocation2!G234="","",Allocation2!G234)</f>
        <v/>
      </c>
      <c r="E234" t="str">
        <f>IF(Allocation2!H234="","",Allocation2!H234)</f>
        <v/>
      </c>
      <c r="F234" t="str">
        <f>IF(Allocation2!I234="","",Allocation2!I234)</f>
        <v/>
      </c>
      <c r="G234" t="str">
        <f>IF(Allocation2!E234="","",Allocation2!J234)</f>
        <v/>
      </c>
      <c r="H234" t="str">
        <f>IF(Allocation2!E234="","",Allocation2!K234)</f>
        <v/>
      </c>
      <c r="I234" t="str">
        <f>IF(Allocation2!E234="","",Allocation2!L234)</f>
        <v/>
      </c>
      <c r="J234" t="str">
        <f>IF($A234="","",Allocation2!X234)</f>
        <v/>
      </c>
      <c r="K234" t="str">
        <f>IF($A234="","",$H234*IF(AND(LEFT($D234,3)="BAC",$F234="INIT"),600,IF(LEFT($D234,3)="BAC",480,IF(AND(LEFT($D234,3)="MAS",$F234="INIT"),520,IF(LEFT($D234,3)="MAS",420,IF($F234="INIT",1000,700))))))</f>
        <v/>
      </c>
      <c r="L234" t="str">
        <f>IF($A234="","",SUMIFS($G$1:$G$349,$A$1:$A$349,$A234,$B$1:$B$349,$B234))</f>
        <v/>
      </c>
      <c r="M234" t="str">
        <f>IF($A234="","",SUMIFS($H$1:$H$349,$A$1:$A$349,$A234,$B$1:$B$349,$B234))</f>
        <v/>
      </c>
      <c r="N234" t="str">
        <f>IF($A234="","",SUMIFS($I$1:$I$349,$A$1:$A$349,$A234,$B$1:$B$349,$B234))</f>
        <v/>
      </c>
      <c r="O234" t="str">
        <f>IF($A234="","",SUMIFS($K$1:$K$349,$A$1:$A$349,$A234,$B$1:$B$349,$B234))</f>
        <v/>
      </c>
      <c r="P234" t="str">
        <f>IF($A234="","",SUMIFS($J$1:$J$349,$A$1:$A$349,$A234,$B$1:$B$349,$B234))</f>
        <v/>
      </c>
      <c r="Q234" t="str">
        <f>IF($A234="","",SUMIFS($G$1:$G$349,$A$1:$A$349,$A234,$C$1:$C$349,$C234))</f>
        <v/>
      </c>
      <c r="R234" t="str">
        <f>IF($A234="","",SUMIFS($H$1:$H$349,$A$1:$A$349,$A234,$C$1:$C$349,$C234))</f>
        <v/>
      </c>
      <c r="S234" t="str">
        <f>IF($A234="","",SUMIFS($I$1:$I$349,$A$1:$A$349,$A234,$C$1:$C$349,$C234))</f>
        <v/>
      </c>
      <c r="T234" t="str">
        <f>IF($A234="","",SUMIFS($G$1:$G$349,$A$1:$A$349,$A234))</f>
        <v/>
      </c>
      <c r="U234" t="str">
        <f>IF($A234="","",SUMIFS($H$1:$H$349,$A$1:$A$349,$A234))</f>
        <v/>
      </c>
      <c r="V234" t="str">
        <f>IF($A234="","",SUMIFS($I$1:$I$349,$A$1:$A$349,$A234))</f>
        <v/>
      </c>
      <c r="W234" t="str">
        <f>IF($A234="","",Allocation2!Y234)</f>
        <v/>
      </c>
      <c r="X234" t="str">
        <f>IF($A234="","",Allocation2!Z234)</f>
        <v/>
      </c>
      <c r="Y234" t="str">
        <f>IF($A234="","",Allocation2!AA234)</f>
        <v/>
      </c>
      <c r="Z234" t="str">
        <f>IF($A234="","",Allocation2!AB234)</f>
        <v/>
      </c>
      <c r="AA234" t="str">
        <f>IF($A234="","",Allocation2!AC234)</f>
        <v/>
      </c>
      <c r="AB234" t="str">
        <f>IF($A234="","",Allocation2!AD234)</f>
        <v/>
      </c>
      <c r="AC234" t="str">
        <f>IF($A234="","",IF(ALLOC!$N$4="VOL_EFF",$G234,IF(ALLOC!$N$4="VOL_CLASS",$H234,$I234)))</f>
        <v/>
      </c>
      <c r="AD234" t="str">
        <f>IF($A234="","",IF(ALLOC!$N$4="VOL_EFF",$L234,IF(ALLOC!$N$4="VOL_CLASS",$M234,$N234)))</f>
        <v/>
      </c>
      <c r="AE234" t="str">
        <f>IF($A234="","",IF(ALLOC!$N$3="VOL_EFF",$L234,IF(ALLOC!$N$3="VOL_CLASS",$M234,$N234)))</f>
        <v/>
      </c>
      <c r="AF234" t="str">
        <f>IF($A234="","",IF(ALLOC!$N$3="VOL_EFF",$Q234,IF(ALLOC!$N$3="VOL_CLASS",$R234,$S234)))</f>
        <v/>
      </c>
      <c r="AG234" t="str">
        <f>IF($A234="","",IF(ALLOC!$N$1="VOL_EFF",$Q234,IF(ALLOC!$N$1="VOL_CLASS",$R234,$S234)))</f>
        <v/>
      </c>
      <c r="AH234" t="str">
        <f>IF($A234="","",IF(ALLOC!$N$1="VOL_EFF",$T234,IF(ALLOC!$N$1="VOL_CLASS",$U234,$V234)))</f>
        <v/>
      </c>
      <c r="AI234" t="str">
        <f>IF($A234="","",$W234*IFERROR($K234/$O234,0))</f>
        <v/>
      </c>
      <c r="AJ234" t="str">
        <f>IF($A234="","",$X234*IFERROR($K234/$O234,0))</f>
        <v/>
      </c>
      <c r="AK234" t="str">
        <f>IF($A234="","",$Y234*IFERROR($G234/$L234,0)+$Z234*IFERROR($J234/$P234,0))</f>
        <v/>
      </c>
      <c r="AL234" t="str">
        <f>IF($A234="","",$AA234*IFERROR($AC234/$AD234,0))</f>
        <v/>
      </c>
      <c r="AM234" t="str">
        <f>IF($A234="","",$AB234*IFERROR($AG234/$AH234,0)*IFERROR($AE234/$AF234,0)*IFERROR($AC234/$AD234,0))</f>
        <v/>
      </c>
      <c r="AN234" t="str">
        <f>IF($A234="","",$I234-($AI234+$AJ234+$AK234+$AL234+$AM234+$AR234))</f>
        <v/>
      </c>
      <c r="AO234" t="str">
        <f>IF($A234="","",Allocation2!AE234)</f>
        <v/>
      </c>
      <c r="AP234" t="str">
        <f>IF($A234="","",IF(ALLOC!$N$2="VOL_EFF",$Q234,IF(ALLOC!$N$2="VOL_CLASS",$R234,$S234)))</f>
        <v/>
      </c>
      <c r="AQ234" t="str">
        <f>IF($A234="","",IF(ALLOC!$N$2="VOL_EFF",$T234,IF(ALLOC!$N$2="VOL_CLASS",$U234,$V234)))</f>
        <v/>
      </c>
      <c r="AR234" t="str">
        <f>IF($A234="","",$AO234*IFERROR($AP234/$AQ234,0)*IFERROR($AE234/$AF234,0)*IFERROR($AC234/$AD234,0))</f>
        <v/>
      </c>
    </row>
    <row r="235" spans="1:46" x14ac:dyDescent="0.45">
      <c r="A235" t="str">
        <f>IF(Allocation2!D235="","",Allocation2!D235)</f>
        <v/>
      </c>
      <c r="B235" t="str">
        <f>IF(Allocation2!E235="","",Allocation2!E235)</f>
        <v/>
      </c>
      <c r="C235" t="str">
        <f>IF(Allocation2!F235="","",Allocation2!F235)</f>
        <v/>
      </c>
      <c r="D235" t="str">
        <f>IF(Allocation2!G235="","",Allocation2!G235)</f>
        <v/>
      </c>
      <c r="E235" t="str">
        <f>IF(Allocation2!H235="","",Allocation2!H235)</f>
        <v/>
      </c>
      <c r="F235" t="str">
        <f>IF(Allocation2!I235="","",Allocation2!I235)</f>
        <v/>
      </c>
      <c r="G235" t="str">
        <f>IF(Allocation2!E235="","",Allocation2!J235)</f>
        <v/>
      </c>
      <c r="H235" t="str">
        <f>IF(Allocation2!E235="","",Allocation2!K235)</f>
        <v/>
      </c>
      <c r="I235" t="str">
        <f>IF(Allocation2!E235="","",Allocation2!L235)</f>
        <v/>
      </c>
      <c r="J235" t="str">
        <f>IF($A235="","",Allocation2!X235)</f>
        <v/>
      </c>
      <c r="K235" t="str">
        <f>IF($A235="","",$H235*IF(AND(LEFT($D235,3)="BAC",$F235="INIT"),600,IF(LEFT($D235,3)="BAC",480,IF(AND(LEFT($D235,3)="MAS",$F235="INIT"),520,IF(LEFT($D235,3)="MAS",420,IF($F235="INIT",1000,700))))))</f>
        <v/>
      </c>
      <c r="L235" t="str">
        <f>IF($A235="","",SUMIFS($G$1:$G$349,$A$1:$A$349,$A235,$B$1:$B$349,$B235))</f>
        <v/>
      </c>
      <c r="M235" t="str">
        <f>IF($A235="","",SUMIFS($H$1:$H$349,$A$1:$A$349,$A235,$B$1:$B$349,$B235))</f>
        <v/>
      </c>
      <c r="N235" t="str">
        <f>IF($A235="","",SUMIFS($I$1:$I$349,$A$1:$A$349,$A235,$B$1:$B$349,$B235))</f>
        <v/>
      </c>
      <c r="O235" t="str">
        <f>IF($A235="","",SUMIFS($K$1:$K$349,$A$1:$A$349,$A235,$B$1:$B$349,$B235))</f>
        <v/>
      </c>
      <c r="P235" t="str">
        <f>IF($A235="","",SUMIFS($J$1:$J$349,$A$1:$A$349,$A235,$B$1:$B$349,$B235))</f>
        <v/>
      </c>
      <c r="Q235" t="str">
        <f>IF($A235="","",SUMIFS($G$1:$G$349,$A$1:$A$349,$A235,$C$1:$C$349,$C235))</f>
        <v/>
      </c>
      <c r="R235" t="str">
        <f>IF($A235="","",SUMIFS($H$1:$H$349,$A$1:$A$349,$A235,$C$1:$C$349,$C235))</f>
        <v/>
      </c>
      <c r="S235" t="str">
        <f>IF($A235="","",SUMIFS($I$1:$I$349,$A$1:$A$349,$A235,$C$1:$C$349,$C235))</f>
        <v/>
      </c>
      <c r="T235" t="str">
        <f>IF($A235="","",SUMIFS($G$1:$G$349,$A$1:$A$349,$A235))</f>
        <v/>
      </c>
      <c r="U235" t="str">
        <f>IF($A235="","",SUMIFS($H$1:$H$349,$A$1:$A$349,$A235))</f>
        <v/>
      </c>
      <c r="V235" t="str">
        <f>IF($A235="","",SUMIFS($I$1:$I$349,$A$1:$A$349,$A235))</f>
        <v/>
      </c>
      <c r="W235" t="str">
        <f>IF($A235="","",Allocation2!Y235)</f>
        <v/>
      </c>
      <c r="X235" t="str">
        <f>IF($A235="","",Allocation2!Z235)</f>
        <v/>
      </c>
      <c r="Y235" t="str">
        <f>IF($A235="","",Allocation2!AA235)</f>
        <v/>
      </c>
      <c r="Z235" t="str">
        <f>IF($A235="","",Allocation2!AB235)</f>
        <v/>
      </c>
      <c r="AA235" t="str">
        <f>IF($A235="","",Allocation2!AC235)</f>
        <v/>
      </c>
      <c r="AB235" t="str">
        <f>IF($A235="","",Allocation2!AD235)</f>
        <v/>
      </c>
      <c r="AC235" t="str">
        <f>IF($A235="","",IF(ALLOC!$N$4="VOL_EFF",$G235,IF(ALLOC!$N$4="VOL_CLASS",$H235,$I235)))</f>
        <v/>
      </c>
      <c r="AD235" t="str">
        <f>IF($A235="","",IF(ALLOC!$N$4="VOL_EFF",$L235,IF(ALLOC!$N$4="VOL_CLASS",$M235,$N235)))</f>
        <v/>
      </c>
      <c r="AE235" t="str">
        <f>IF($A235="","",IF(ALLOC!$N$3="VOL_EFF",$L235,IF(ALLOC!$N$3="VOL_CLASS",$M235,$N235)))</f>
        <v/>
      </c>
      <c r="AF235" t="str">
        <f>IF($A235="","",IF(ALLOC!$N$3="VOL_EFF",$Q235,IF(ALLOC!$N$3="VOL_CLASS",$R235,$S235)))</f>
        <v/>
      </c>
      <c r="AG235" t="str">
        <f>IF($A235="","",IF(ALLOC!$N$1="VOL_EFF",$Q235,IF(ALLOC!$N$1="VOL_CLASS",$R235,$S235)))</f>
        <v/>
      </c>
      <c r="AH235" t="str">
        <f>IF($A235="","",IF(ALLOC!$N$1="VOL_EFF",$T235,IF(ALLOC!$N$1="VOL_CLASS",$U235,$V235)))</f>
        <v/>
      </c>
      <c r="AI235" t="str">
        <f>IF($A235="","",$W235*IFERROR($K235/$O235,0))</f>
        <v/>
      </c>
      <c r="AJ235" t="str">
        <f>IF($A235="","",$X235*IFERROR($K235/$O235,0))</f>
        <v/>
      </c>
      <c r="AK235" t="str">
        <f>IF($A235="","",$Y235*IFERROR($G235/$L235,0)+$Z235*IFERROR($J235/$P235,0))</f>
        <v/>
      </c>
      <c r="AL235" t="str">
        <f>IF($A235="","",$AA235*IFERROR($AC235/$AD235,0))</f>
        <v/>
      </c>
      <c r="AM235" t="str">
        <f>IF($A235="","",$AB235*IFERROR($AG235/$AH235,0)*IFERROR($AE235/$AF235,0)*IFERROR($AC235/$AD235,0))</f>
        <v/>
      </c>
      <c r="AN235" t="str">
        <f>IF($A235="","",$I235-($AI235+$AJ235+$AK235+$AL235+$AM235+$AR235))</f>
        <v/>
      </c>
      <c r="AO235" t="str">
        <f>IF($A235="","",Allocation2!AE235)</f>
        <v/>
      </c>
      <c r="AP235" t="str">
        <f>IF($A235="","",IF(ALLOC!$N$2="VOL_EFF",$Q235,IF(ALLOC!$N$2="VOL_CLASS",$R235,$S235)))</f>
        <v/>
      </c>
      <c r="AQ235" t="str">
        <f>IF($A235="","",IF(ALLOC!$N$2="VOL_EFF",$T235,IF(ALLOC!$N$2="VOL_CLASS",$U235,$V235)))</f>
        <v/>
      </c>
      <c r="AR235" t="str">
        <f>IF($A235="","",$AO235*IFERROR($AP235/$AQ235,0)*IFERROR($AE235/$AF235,0)*IFERROR($AC235/$AD235,0))</f>
        <v/>
      </c>
    </row>
    <row r="236" spans="1:46" x14ac:dyDescent="0.45">
      <c r="A236" t="str">
        <f>IF(Allocation2!D236="","",Allocation2!D236)</f>
        <v/>
      </c>
      <c r="B236" t="str">
        <f>IF(Allocation2!E236="","",Allocation2!E236)</f>
        <v/>
      </c>
      <c r="C236" t="str">
        <f>IF(Allocation2!F236="","",Allocation2!F236)</f>
        <v/>
      </c>
      <c r="D236" t="str">
        <f>IF(Allocation2!G236="","",Allocation2!G236)</f>
        <v/>
      </c>
      <c r="E236" t="str">
        <f>IF(Allocation2!H236="","",Allocation2!H236)</f>
        <v/>
      </c>
      <c r="F236" t="str">
        <f>IF(Allocation2!I236="","",Allocation2!I236)</f>
        <v/>
      </c>
      <c r="G236" t="str">
        <f>IF(Allocation2!E236="","",Allocation2!J236)</f>
        <v/>
      </c>
      <c r="H236" t="str">
        <f>IF(Allocation2!E236="","",Allocation2!K236)</f>
        <v/>
      </c>
      <c r="I236" t="str">
        <f>IF(Allocation2!E236="","",Allocation2!L236)</f>
        <v/>
      </c>
      <c r="J236" t="str">
        <f>IF($A236="","",Allocation2!X236)</f>
        <v/>
      </c>
      <c r="K236" t="str">
        <f>IF($A236="","",$H236*IF(AND(LEFT($D236,3)="BAC",$F236="INIT"),600,IF(LEFT($D236,3)="BAC",480,IF(AND(LEFT($D236,3)="MAS",$F236="INIT"),520,IF(LEFT($D236,3)="MAS",420,IF($F236="INIT",1000,700))))))</f>
        <v/>
      </c>
      <c r="L236" t="str">
        <f>IF($A236="","",SUMIFS($G$1:$G$349,$A$1:$A$349,$A236,$B$1:$B$349,$B236))</f>
        <v/>
      </c>
      <c r="M236" t="str">
        <f>IF($A236="","",SUMIFS($H$1:$H$349,$A$1:$A$349,$A236,$B$1:$B$349,$B236))</f>
        <v/>
      </c>
      <c r="N236" t="str">
        <f>IF($A236="","",SUMIFS($I$1:$I$349,$A$1:$A$349,$A236,$B$1:$B$349,$B236))</f>
        <v/>
      </c>
      <c r="O236" t="str">
        <f>IF($A236="","",SUMIFS($K$1:$K$349,$A$1:$A$349,$A236,$B$1:$B$349,$B236))</f>
        <v/>
      </c>
      <c r="P236" t="str">
        <f>IF($A236="","",SUMIFS($J$1:$J$349,$A$1:$A$349,$A236,$B$1:$B$349,$B236))</f>
        <v/>
      </c>
      <c r="Q236" t="str">
        <f>IF($A236="","",SUMIFS($G$1:$G$349,$A$1:$A$349,$A236,$C$1:$C$349,$C236))</f>
        <v/>
      </c>
      <c r="R236" t="str">
        <f>IF($A236="","",SUMIFS($H$1:$H$349,$A$1:$A$349,$A236,$C$1:$C$349,$C236))</f>
        <v/>
      </c>
      <c r="S236" t="str">
        <f>IF($A236="","",SUMIFS($I$1:$I$349,$A$1:$A$349,$A236,$C$1:$C$349,$C236))</f>
        <v/>
      </c>
      <c r="T236" t="str">
        <f>IF($A236="","",SUMIFS($G$1:$G$349,$A$1:$A$349,$A236))</f>
        <v/>
      </c>
      <c r="U236" t="str">
        <f>IF($A236="","",SUMIFS($H$1:$H$349,$A$1:$A$349,$A236))</f>
        <v/>
      </c>
      <c r="V236" t="str">
        <f>IF($A236="","",SUMIFS($I$1:$I$349,$A$1:$A$349,$A236))</f>
        <v/>
      </c>
      <c r="W236" t="str">
        <f>IF($A236="","",Allocation2!Y236)</f>
        <v/>
      </c>
      <c r="X236" t="str">
        <f>IF($A236="","",Allocation2!Z236)</f>
        <v/>
      </c>
      <c r="Y236" t="str">
        <f>IF($A236="","",Allocation2!AA236)</f>
        <v/>
      </c>
      <c r="Z236" t="str">
        <f>IF($A236="","",Allocation2!AB236)</f>
        <v/>
      </c>
      <c r="AA236" t="str">
        <f>IF($A236="","",Allocation2!AC236)</f>
        <v/>
      </c>
      <c r="AB236" t="str">
        <f>IF($A236="","",Allocation2!AD236)</f>
        <v/>
      </c>
      <c r="AC236" t="str">
        <f>IF($A236="","",IF(ALLOC!$N$4="VOL_EFF",$G236,IF(ALLOC!$N$4="VOL_CLASS",$H236,$I236)))</f>
        <v/>
      </c>
      <c r="AD236" t="str">
        <f>IF($A236="","",IF(ALLOC!$N$4="VOL_EFF",$L236,IF(ALLOC!$N$4="VOL_CLASS",$M236,$N236)))</f>
        <v/>
      </c>
      <c r="AE236" t="str">
        <f>IF($A236="","",IF(ALLOC!$N$3="VOL_EFF",$L236,IF(ALLOC!$N$3="VOL_CLASS",$M236,$N236)))</f>
        <v/>
      </c>
      <c r="AF236" t="str">
        <f>IF($A236="","",IF(ALLOC!$N$3="VOL_EFF",$Q236,IF(ALLOC!$N$3="VOL_CLASS",$R236,$S236)))</f>
        <v/>
      </c>
      <c r="AG236" t="str">
        <f>IF($A236="","",IF(ALLOC!$N$1="VOL_EFF",$Q236,IF(ALLOC!$N$1="VOL_CLASS",$R236,$S236)))</f>
        <v/>
      </c>
      <c r="AH236" t="str">
        <f>IF($A236="","",IF(ALLOC!$N$1="VOL_EFF",$T236,IF(ALLOC!$N$1="VOL_CLASS",$U236,$V236)))</f>
        <v/>
      </c>
      <c r="AI236" t="str">
        <f>IF($A236="","",$W236*IFERROR($K236/$O236,0))</f>
        <v/>
      </c>
      <c r="AJ236" t="str">
        <f>IF($A236="","",$X236*IFERROR($K236/$O236,0))</f>
        <v/>
      </c>
      <c r="AK236" t="str">
        <f>IF($A236="","",$Y236*IFERROR($G236/$L236,0)+$Z236*IFERROR($J236/$P236,0))</f>
        <v/>
      </c>
      <c r="AL236" t="str">
        <f>IF($A236="","",$AA236*IFERROR($AC236/$AD236,0))</f>
        <v/>
      </c>
      <c r="AM236" t="str">
        <f>IF($A236="","",$AB236*IFERROR($AG236/$AH236,0)*IFERROR($AE236/$AF236,0)*IFERROR($AC236/$AD236,0))</f>
        <v/>
      </c>
      <c r="AN236" t="str">
        <f>IF($A236="","",$I236-($AI236+$AJ236+$AK236+$AL236+$AM236+$AR236))</f>
        <v/>
      </c>
      <c r="AO236" t="str">
        <f>IF($A236="","",Allocation2!AE236)</f>
        <v/>
      </c>
      <c r="AP236" t="str">
        <f>IF($A236="","",IF(ALLOC!$N$2="VOL_EFF",$Q236,IF(ALLOC!$N$2="VOL_CLASS",$R236,$S236)))</f>
        <v/>
      </c>
      <c r="AQ236" t="str">
        <f>IF($A236="","",IF(ALLOC!$N$2="VOL_EFF",$T236,IF(ALLOC!$N$2="VOL_CLASS",$U236,$V236)))</f>
        <v/>
      </c>
      <c r="AR236" t="str">
        <f>IF($A236="","",$AO236*IFERROR($AP236/$AQ236,0)*IFERROR($AE236/$AF236,0)*IFERROR($AC236/$AD236,0))</f>
        <v/>
      </c>
    </row>
    <row r="237" spans="1:46" x14ac:dyDescent="0.45">
      <c r="A237" t="str">
        <f>IF(Allocation2!D237="","",Allocation2!D237)</f>
        <v/>
      </c>
      <c r="B237" t="str">
        <f>IF(Allocation2!E237="","",Allocation2!E237)</f>
        <v/>
      </c>
      <c r="C237" t="str">
        <f>IF(Allocation2!F237="","",Allocation2!F237)</f>
        <v/>
      </c>
      <c r="D237" t="str">
        <f>IF(Allocation2!G237="","",Allocation2!G237)</f>
        <v/>
      </c>
      <c r="E237" t="str">
        <f>IF(Allocation2!H237="","",Allocation2!H237)</f>
        <v/>
      </c>
      <c r="F237" t="str">
        <f>IF(Allocation2!I237="","",Allocation2!I237)</f>
        <v/>
      </c>
      <c r="G237" t="str">
        <f>IF(Allocation2!E237="","",Allocation2!J237)</f>
        <v/>
      </c>
      <c r="H237" t="str">
        <f>IF(Allocation2!E237="","",Allocation2!K237)</f>
        <v/>
      </c>
      <c r="I237" t="str">
        <f>IF(Allocation2!E237="","",Allocation2!L237)</f>
        <v/>
      </c>
      <c r="J237" t="str">
        <f>IF($A237="","",Allocation2!X237)</f>
        <v/>
      </c>
      <c r="K237" t="str">
        <f>IF($A237="","",$H237*IF(AND(LEFT($D237,3)="BAC",$F237="INIT"),600,IF(LEFT($D237,3)="BAC",480,IF(AND(LEFT($D237,3)="MAS",$F237="INIT"),520,IF(LEFT($D237,3)="MAS",420,IF($F237="INIT",1000,700))))))</f>
        <v/>
      </c>
      <c r="L237" t="str">
        <f>IF($A237="","",SUMIFS($G$1:$G$349,$A$1:$A$349,$A237,$B$1:$B$349,$B237))</f>
        <v/>
      </c>
      <c r="M237" t="str">
        <f>IF($A237="","",SUMIFS($H$1:$H$349,$A$1:$A$349,$A237,$B$1:$B$349,$B237))</f>
        <v/>
      </c>
      <c r="N237" t="str">
        <f>IF($A237="","",SUMIFS($I$1:$I$349,$A$1:$A$349,$A237,$B$1:$B$349,$B237))</f>
        <v/>
      </c>
      <c r="O237" t="str">
        <f>IF($A237="","",SUMIFS($K$1:$K$349,$A$1:$A$349,$A237,$B$1:$B$349,$B237))</f>
        <v/>
      </c>
      <c r="P237" t="str">
        <f>IF($A237="","",SUMIFS($J$1:$J$349,$A$1:$A$349,$A237,$B$1:$B$349,$B237))</f>
        <v/>
      </c>
      <c r="Q237" t="str">
        <f>IF($A237="","",SUMIFS($G$1:$G$349,$A$1:$A$349,$A237,$C$1:$C$349,$C237))</f>
        <v/>
      </c>
      <c r="R237" t="str">
        <f>IF($A237="","",SUMIFS($H$1:$H$349,$A$1:$A$349,$A237,$C$1:$C$349,$C237))</f>
        <v/>
      </c>
      <c r="S237" t="str">
        <f>IF($A237="","",SUMIFS($I$1:$I$349,$A$1:$A$349,$A237,$C$1:$C$349,$C237))</f>
        <v/>
      </c>
      <c r="T237" t="str">
        <f>IF($A237="","",SUMIFS($G$1:$G$349,$A$1:$A$349,$A237))</f>
        <v/>
      </c>
      <c r="U237" t="str">
        <f>IF($A237="","",SUMIFS($H$1:$H$349,$A$1:$A$349,$A237))</f>
        <v/>
      </c>
      <c r="V237" t="str">
        <f>IF($A237="","",SUMIFS($I$1:$I$349,$A$1:$A$349,$A237))</f>
        <v/>
      </c>
      <c r="W237" t="str">
        <f>IF($A237="","",Allocation2!Y237)</f>
        <v/>
      </c>
      <c r="X237" t="str">
        <f>IF($A237="","",Allocation2!Z237)</f>
        <v/>
      </c>
      <c r="Y237" t="str">
        <f>IF($A237="","",Allocation2!AA237)</f>
        <v/>
      </c>
      <c r="Z237" t="str">
        <f>IF($A237="","",Allocation2!AB237)</f>
        <v/>
      </c>
      <c r="AA237" t="str">
        <f>IF($A237="","",Allocation2!AC237)</f>
        <v/>
      </c>
      <c r="AB237" t="str">
        <f>IF($A237="","",Allocation2!AD237)</f>
        <v/>
      </c>
      <c r="AC237" t="str">
        <f>IF($A237="","",IF(ALLOC!$N$4="VOL_EFF",$G237,IF(ALLOC!$N$4="VOL_CLASS",$H237,$I237)))</f>
        <v/>
      </c>
      <c r="AD237" t="str">
        <f>IF($A237="","",IF(ALLOC!$N$4="VOL_EFF",$L237,IF(ALLOC!$N$4="VOL_CLASS",$M237,$N237)))</f>
        <v/>
      </c>
      <c r="AE237" t="str">
        <f>IF($A237="","",IF(ALLOC!$N$3="VOL_EFF",$L237,IF(ALLOC!$N$3="VOL_CLASS",$M237,$N237)))</f>
        <v/>
      </c>
      <c r="AF237" t="str">
        <f>IF($A237="","",IF(ALLOC!$N$3="VOL_EFF",$Q237,IF(ALLOC!$N$3="VOL_CLASS",$R237,$S237)))</f>
        <v/>
      </c>
      <c r="AG237" t="str">
        <f>IF($A237="","",IF(ALLOC!$N$1="VOL_EFF",$Q237,IF(ALLOC!$N$1="VOL_CLASS",$R237,$S237)))</f>
        <v/>
      </c>
      <c r="AH237" t="str">
        <f>IF($A237="","",IF(ALLOC!$N$1="VOL_EFF",$T237,IF(ALLOC!$N$1="VOL_CLASS",$U237,$V237)))</f>
        <v/>
      </c>
      <c r="AI237" t="str">
        <f>IF($A237="","",$W237*IFERROR($K237/$O237,0))</f>
        <v/>
      </c>
      <c r="AJ237" t="str">
        <f>IF($A237="","",$X237*IFERROR($K237/$O237,0))</f>
        <v/>
      </c>
      <c r="AK237" t="str">
        <f>IF($A237="","",$Y237*IFERROR($G237/$L237,0)+$Z237*IFERROR($J237/$P237,0))</f>
        <v/>
      </c>
      <c r="AL237" t="str">
        <f>IF($A237="","",$AA237*IFERROR($AC237/$AD237,0))</f>
        <v/>
      </c>
      <c r="AM237" t="str">
        <f>IF($A237="","",$AB237*IFERROR($AG237/$AH237,0)*IFERROR($AE237/$AF237,0)*IFERROR($AC237/$AD237,0))</f>
        <v/>
      </c>
      <c r="AN237" t="str">
        <f>IF($A237="","",$I237-($AI237+$AJ237+$AK237+$AL237+$AM237+$AR237))</f>
        <v/>
      </c>
      <c r="AO237" t="str">
        <f>IF($A237="","",Allocation2!AE237)</f>
        <v/>
      </c>
      <c r="AP237" t="str">
        <f>IF($A237="","",IF(ALLOC!$N$2="VOL_EFF",$Q237,IF(ALLOC!$N$2="VOL_CLASS",$R237,$S237)))</f>
        <v/>
      </c>
      <c r="AQ237" t="str">
        <f>IF($A237="","",IF(ALLOC!$N$2="VOL_EFF",$T237,IF(ALLOC!$N$2="VOL_CLASS",$U237,$V237)))</f>
        <v/>
      </c>
      <c r="AR237" t="str">
        <f>IF($A237="","",$AO237*IFERROR($AP237/$AQ237,0)*IFERROR($AE237/$AF237,0)*IFERROR($AC237/$AD237,0))</f>
        <v/>
      </c>
    </row>
    <row r="238" spans="1:46" x14ac:dyDescent="0.45">
      <c r="A238" t="str">
        <f>IF(Allocation2!D238="","",Allocation2!D238)</f>
        <v/>
      </c>
      <c r="B238" t="str">
        <f>IF(Allocation2!E238="","",Allocation2!E238)</f>
        <v/>
      </c>
      <c r="C238" t="str">
        <f>IF(Allocation2!F238="","",Allocation2!F238)</f>
        <v/>
      </c>
      <c r="D238" t="str">
        <f>IF(Allocation2!G238="","",Allocation2!G238)</f>
        <v/>
      </c>
      <c r="E238" t="str">
        <f>IF(Allocation2!H238="","",Allocation2!H238)</f>
        <v/>
      </c>
      <c r="F238" t="str">
        <f>IF(Allocation2!I238="","",Allocation2!I238)</f>
        <v/>
      </c>
      <c r="G238" t="str">
        <f>IF(Allocation2!E238="","",Allocation2!J238)</f>
        <v/>
      </c>
      <c r="H238" t="str">
        <f>IF(Allocation2!E238="","",Allocation2!K238)</f>
        <v/>
      </c>
      <c r="I238" t="str">
        <f>IF(Allocation2!E238="","",Allocation2!L238)</f>
        <v/>
      </c>
      <c r="J238" t="str">
        <f>IF($A238="","",Allocation2!X238)</f>
        <v/>
      </c>
      <c r="K238" t="str">
        <f>IF($A238="","",$H238*IF(AND(LEFT($D238,3)="BAC",$F238="INIT"),600,IF(LEFT($D238,3)="BAC",480,IF(AND(LEFT($D238,3)="MAS",$F238="INIT"),520,IF(LEFT($D238,3)="MAS",420,IF($F238="INIT",1000,700))))))</f>
        <v/>
      </c>
      <c r="L238" t="str">
        <f>IF($A238="","",SUMIFS($G$1:$G$349,$A$1:$A$349,$A238,$B$1:$B$349,$B238))</f>
        <v/>
      </c>
      <c r="M238" t="str">
        <f>IF($A238="","",SUMIFS($H$1:$H$349,$A$1:$A$349,$A238,$B$1:$B$349,$B238))</f>
        <v/>
      </c>
      <c r="N238" t="str">
        <f>IF($A238="","",SUMIFS($I$1:$I$349,$A$1:$A$349,$A238,$B$1:$B$349,$B238))</f>
        <v/>
      </c>
      <c r="O238" t="str">
        <f>IF($A238="","",SUMIFS($K$1:$K$349,$A$1:$A$349,$A238,$B$1:$B$349,$B238))</f>
        <v/>
      </c>
      <c r="P238" t="str">
        <f>IF($A238="","",SUMIFS($J$1:$J$349,$A$1:$A$349,$A238,$B$1:$B$349,$B238))</f>
        <v/>
      </c>
      <c r="Q238" t="str">
        <f>IF($A238="","",SUMIFS($G$1:$G$349,$A$1:$A$349,$A238,$C$1:$C$349,$C238))</f>
        <v/>
      </c>
      <c r="R238" t="str">
        <f>IF($A238="","",SUMIFS($H$1:$H$349,$A$1:$A$349,$A238,$C$1:$C$349,$C238))</f>
        <v/>
      </c>
      <c r="S238" t="str">
        <f>IF($A238="","",SUMIFS($I$1:$I$349,$A$1:$A$349,$A238,$C$1:$C$349,$C238))</f>
        <v/>
      </c>
      <c r="T238" t="str">
        <f>IF($A238="","",SUMIFS($G$1:$G$349,$A$1:$A$349,$A238))</f>
        <v/>
      </c>
      <c r="U238" t="str">
        <f>IF($A238="","",SUMIFS($H$1:$H$349,$A$1:$A$349,$A238))</f>
        <v/>
      </c>
      <c r="V238" t="str">
        <f>IF($A238="","",SUMIFS($I$1:$I$349,$A$1:$A$349,$A238))</f>
        <v/>
      </c>
      <c r="W238" t="str">
        <f>IF($A238="","",Allocation2!Y238)</f>
        <v/>
      </c>
      <c r="X238" t="str">
        <f>IF($A238="","",Allocation2!Z238)</f>
        <v/>
      </c>
      <c r="Y238" t="str">
        <f>IF($A238="","",Allocation2!AA238)</f>
        <v/>
      </c>
      <c r="Z238" t="str">
        <f>IF($A238="","",Allocation2!AB238)</f>
        <v/>
      </c>
      <c r="AA238" t="str">
        <f>IF($A238="","",Allocation2!AC238)</f>
        <v/>
      </c>
      <c r="AB238" t="str">
        <f>IF($A238="","",Allocation2!AD238)</f>
        <v/>
      </c>
      <c r="AC238" t="str">
        <f>IF($A238="","",IF(ALLOC!$N$4="VOL_EFF",$G238,IF(ALLOC!$N$4="VOL_CLASS",$H238,$I238)))</f>
        <v/>
      </c>
      <c r="AD238" t="str">
        <f>IF($A238="","",IF(ALLOC!$N$4="VOL_EFF",$L238,IF(ALLOC!$N$4="VOL_CLASS",$M238,$N238)))</f>
        <v/>
      </c>
      <c r="AE238" t="str">
        <f>IF($A238="","",IF(ALLOC!$N$3="VOL_EFF",$L238,IF(ALLOC!$N$3="VOL_CLASS",$M238,$N238)))</f>
        <v/>
      </c>
      <c r="AF238" t="str">
        <f>IF($A238="","",IF(ALLOC!$N$3="VOL_EFF",$Q238,IF(ALLOC!$N$3="VOL_CLASS",$R238,$S238)))</f>
        <v/>
      </c>
      <c r="AG238" t="str">
        <f>IF($A238="","",IF(ALLOC!$N$1="VOL_EFF",$Q238,IF(ALLOC!$N$1="VOL_CLASS",$R238,$S238)))</f>
        <v/>
      </c>
      <c r="AH238" t="str">
        <f>IF($A238="","",IF(ALLOC!$N$1="VOL_EFF",$T238,IF(ALLOC!$N$1="VOL_CLASS",$U238,$V238)))</f>
        <v/>
      </c>
      <c r="AI238" t="str">
        <f>IF($A238="","",$W238*IFERROR($K238/$O238,0))</f>
        <v/>
      </c>
      <c r="AJ238" t="str">
        <f>IF($A238="","",$X238*IFERROR($K238/$O238,0))</f>
        <v/>
      </c>
      <c r="AK238" t="str">
        <f>IF($A238="","",$Y238*IFERROR($G238/$L238,0)+$Z238*IFERROR($J238/$P238,0))</f>
        <v/>
      </c>
      <c r="AL238" t="str">
        <f>IF($A238="","",$AA238*IFERROR($AC238/$AD238,0))</f>
        <v/>
      </c>
      <c r="AM238" t="str">
        <f>IF($A238="","",$AB238*IFERROR($AG238/$AH238,0)*IFERROR($AE238/$AF238,0)*IFERROR($AC238/$AD238,0))</f>
        <v/>
      </c>
      <c r="AN238" t="str">
        <f>IF($A238="","",$I238-($AI238+$AJ238+$AK238+$AL238+$AM238+$AR238))</f>
        <v/>
      </c>
      <c r="AO238" t="str">
        <f>IF($A238="","",Allocation2!AE238)</f>
        <v/>
      </c>
      <c r="AP238" t="str">
        <f>IF($A238="","",IF(ALLOC!$N$2="VOL_EFF",$Q238,IF(ALLOC!$N$2="VOL_CLASS",$R238,$S238)))</f>
        <v/>
      </c>
      <c r="AQ238" t="str">
        <f>IF($A238="","",IF(ALLOC!$N$2="VOL_EFF",$T238,IF(ALLOC!$N$2="VOL_CLASS",$U238,$V238)))</f>
        <v/>
      </c>
      <c r="AR238" t="str">
        <f>IF($A238="","",$AO238*IFERROR($AP238/$AQ238,0)*IFERROR($AE238/$AF238,0)*IFERROR($AC238/$AD238,0))</f>
        <v/>
      </c>
    </row>
    <row r="239" spans="1:46" x14ac:dyDescent="0.45">
      <c r="A239" t="str">
        <f>IF(Allocation2!D239="","",Allocation2!D239)</f>
        <v/>
      </c>
      <c r="B239" t="str">
        <f>IF(Allocation2!E239="","",Allocation2!E239)</f>
        <v/>
      </c>
      <c r="C239" t="str">
        <f>IF(Allocation2!F239="","",Allocation2!F239)</f>
        <v/>
      </c>
      <c r="D239" t="str">
        <f>IF(Allocation2!G239="","",Allocation2!G239)</f>
        <v/>
      </c>
      <c r="E239" t="str">
        <f>IF(Allocation2!H239="","",Allocation2!H239)</f>
        <v/>
      </c>
      <c r="F239" t="str">
        <f>IF(Allocation2!I239="","",Allocation2!I239)</f>
        <v/>
      </c>
      <c r="G239" t="str">
        <f>IF(Allocation2!E239="","",Allocation2!J239)</f>
        <v/>
      </c>
      <c r="H239" t="str">
        <f>IF(Allocation2!E239="","",Allocation2!K239)</f>
        <v/>
      </c>
      <c r="I239" t="str">
        <f>IF(Allocation2!E239="","",Allocation2!L239)</f>
        <v/>
      </c>
      <c r="J239" t="str">
        <f>IF($A239="","",Allocation2!X239)</f>
        <v/>
      </c>
      <c r="K239" t="str">
        <f>IF($A239="","",$H239*IF(AND(LEFT($D239,3)="BAC",$F239="INIT"),600,IF(LEFT($D239,3)="BAC",480,IF(AND(LEFT($D239,3)="MAS",$F239="INIT"),520,IF(LEFT($D239,3)="MAS",420,IF($F239="INIT",1000,700))))))</f>
        <v/>
      </c>
      <c r="L239" t="str">
        <f>IF($A239="","",SUMIFS($G$1:$G$349,$A$1:$A$349,$A239,$B$1:$B$349,$B239))</f>
        <v/>
      </c>
      <c r="M239" t="str">
        <f>IF($A239="","",SUMIFS($H$1:$H$349,$A$1:$A$349,$A239,$B$1:$B$349,$B239))</f>
        <v/>
      </c>
      <c r="N239" t="str">
        <f>IF($A239="","",SUMIFS($I$1:$I$349,$A$1:$A$349,$A239,$B$1:$B$349,$B239))</f>
        <v/>
      </c>
      <c r="O239" t="str">
        <f>IF($A239="","",SUMIFS($K$1:$K$349,$A$1:$A$349,$A239,$B$1:$B$349,$B239))</f>
        <v/>
      </c>
      <c r="P239" t="str">
        <f>IF($A239="","",SUMIFS($J$1:$J$349,$A$1:$A$349,$A239,$B$1:$B$349,$B239))</f>
        <v/>
      </c>
      <c r="Q239" t="str">
        <f>IF($A239="","",SUMIFS($G$1:$G$349,$A$1:$A$349,$A239,$C$1:$C$349,$C239))</f>
        <v/>
      </c>
      <c r="R239" t="str">
        <f>IF($A239="","",SUMIFS($H$1:$H$349,$A$1:$A$349,$A239,$C$1:$C$349,$C239))</f>
        <v/>
      </c>
      <c r="S239" t="str">
        <f>IF($A239="","",SUMIFS($I$1:$I$349,$A$1:$A$349,$A239,$C$1:$C$349,$C239))</f>
        <v/>
      </c>
      <c r="T239" t="str">
        <f>IF($A239="","",SUMIFS($G$1:$G$349,$A$1:$A$349,$A239))</f>
        <v/>
      </c>
      <c r="U239" t="str">
        <f>IF($A239="","",SUMIFS($H$1:$H$349,$A$1:$A$349,$A239))</f>
        <v/>
      </c>
      <c r="V239" t="str">
        <f>IF($A239="","",SUMIFS($I$1:$I$349,$A$1:$A$349,$A239))</f>
        <v/>
      </c>
      <c r="W239" t="str">
        <f>IF($A239="","",Allocation2!Y239)</f>
        <v/>
      </c>
      <c r="X239" t="str">
        <f>IF($A239="","",Allocation2!Z239)</f>
        <v/>
      </c>
      <c r="Y239" t="str">
        <f>IF($A239="","",Allocation2!AA239)</f>
        <v/>
      </c>
      <c r="Z239" t="str">
        <f>IF($A239="","",Allocation2!AB239)</f>
        <v/>
      </c>
      <c r="AA239" t="str">
        <f>IF($A239="","",Allocation2!AC239)</f>
        <v/>
      </c>
      <c r="AB239" t="str">
        <f>IF($A239="","",Allocation2!AD239)</f>
        <v/>
      </c>
      <c r="AC239" t="str">
        <f>IF($A239="","",IF(ALLOC!$N$4="VOL_EFF",$G239,IF(ALLOC!$N$4="VOL_CLASS",$H239,$I239)))</f>
        <v/>
      </c>
      <c r="AD239" t="str">
        <f>IF($A239="","",IF(ALLOC!$N$4="VOL_EFF",$L239,IF(ALLOC!$N$4="VOL_CLASS",$M239,$N239)))</f>
        <v/>
      </c>
      <c r="AE239" t="str">
        <f>IF($A239="","",IF(ALLOC!$N$3="VOL_EFF",$L239,IF(ALLOC!$N$3="VOL_CLASS",$M239,$N239)))</f>
        <v/>
      </c>
      <c r="AF239" t="str">
        <f>IF($A239="","",IF(ALLOC!$N$3="VOL_EFF",$Q239,IF(ALLOC!$N$3="VOL_CLASS",$R239,$S239)))</f>
        <v/>
      </c>
      <c r="AG239" t="str">
        <f>IF($A239="","",IF(ALLOC!$N$1="VOL_EFF",$Q239,IF(ALLOC!$N$1="VOL_CLASS",$R239,$S239)))</f>
        <v/>
      </c>
      <c r="AH239" t="str">
        <f>IF($A239="","",IF(ALLOC!$N$1="VOL_EFF",$T239,IF(ALLOC!$N$1="VOL_CLASS",$U239,$V239)))</f>
        <v/>
      </c>
      <c r="AI239" t="str">
        <f>IF($A239="","",$W239*IFERROR($K239/$O239,0))</f>
        <v/>
      </c>
      <c r="AJ239" t="str">
        <f>IF($A239="","",$X239*IFERROR($K239/$O239,0))</f>
        <v/>
      </c>
      <c r="AK239" t="str">
        <f>IF($A239="","",$Y239*IFERROR($G239/$L239,0)+$Z239*IFERROR($J239/$P239,0))</f>
        <v/>
      </c>
      <c r="AL239" t="str">
        <f>IF($A239="","",$AA239*IFERROR($AC239/$AD239,0))</f>
        <v/>
      </c>
      <c r="AM239" t="str">
        <f>IF($A239="","",$AB239*IFERROR($AG239/$AH239,0)*IFERROR($AE239/$AF239,0)*IFERROR($AC239/$AD239,0))</f>
        <v/>
      </c>
      <c r="AN239" t="str">
        <f>IF($A239="","",$I239-($AI239+$AJ239+$AK239+$AL239+$AM239+$AR239))</f>
        <v/>
      </c>
      <c r="AO239" t="str">
        <f>IF($A239="","",Allocation2!AE239)</f>
        <v/>
      </c>
      <c r="AP239" t="str">
        <f>IF($A239="","",IF(ALLOC!$N$2="VOL_EFF",$Q239,IF(ALLOC!$N$2="VOL_CLASS",$R239,$S239)))</f>
        <v/>
      </c>
      <c r="AQ239" t="str">
        <f>IF($A239="","",IF(ALLOC!$N$2="VOL_EFF",$T239,IF(ALLOC!$N$2="VOL_CLASS",$U239,$V239)))</f>
        <v/>
      </c>
      <c r="AR239" t="str">
        <f>IF($A239="","",$AO239*IFERROR($AP239/$AQ239,0)*IFERROR($AE239/$AF239,0)*IFERROR($AC239/$AD239,0))</f>
        <v/>
      </c>
    </row>
    <row r="240" spans="1:46" x14ac:dyDescent="0.45">
      <c r="A240" t="str">
        <f>IF(Allocation2!D240="","",Allocation2!D240)</f>
        <v/>
      </c>
      <c r="B240" t="str">
        <f>IF(Allocation2!E240="","",Allocation2!E240)</f>
        <v/>
      </c>
      <c r="C240" t="str">
        <f>IF(Allocation2!F240="","",Allocation2!F240)</f>
        <v/>
      </c>
      <c r="D240" t="str">
        <f>IF(Allocation2!G240="","",Allocation2!G240)</f>
        <v/>
      </c>
      <c r="E240" t="str">
        <f>IF(Allocation2!H240="","",Allocation2!H240)</f>
        <v/>
      </c>
      <c r="F240" t="str">
        <f>IF(Allocation2!I240="","",Allocation2!I240)</f>
        <v/>
      </c>
      <c r="G240" t="str">
        <f>IF(Allocation2!E240="","",Allocation2!J240)</f>
        <v/>
      </c>
      <c r="H240" t="str">
        <f>IF(Allocation2!E240="","",Allocation2!K240)</f>
        <v/>
      </c>
      <c r="I240" t="str">
        <f>IF(Allocation2!E240="","",Allocation2!L240)</f>
        <v/>
      </c>
      <c r="J240" t="str">
        <f>IF($A240="","",Allocation2!X240)</f>
        <v/>
      </c>
      <c r="K240" t="str">
        <f>IF($A240="","",$H240*IF(AND(LEFT($D240,3)="BAC",$F240="INIT"),600,IF(LEFT($D240,3)="BAC",480,IF(AND(LEFT($D240,3)="MAS",$F240="INIT"),520,IF(LEFT($D240,3)="MAS",420,IF($F240="INIT",1000,700))))))</f>
        <v/>
      </c>
      <c r="L240" t="str">
        <f>IF($A240="","",SUMIFS($G$1:$G$349,$A$1:$A$349,$A240,$B$1:$B$349,$B240))</f>
        <v/>
      </c>
      <c r="M240" t="str">
        <f>IF($A240="","",SUMIFS($H$1:$H$349,$A$1:$A$349,$A240,$B$1:$B$349,$B240))</f>
        <v/>
      </c>
      <c r="N240" t="str">
        <f>IF($A240="","",SUMIFS($I$1:$I$349,$A$1:$A$349,$A240,$B$1:$B$349,$B240))</f>
        <v/>
      </c>
      <c r="O240" t="str">
        <f>IF($A240="","",SUMIFS($K$1:$K$349,$A$1:$A$349,$A240,$B$1:$B$349,$B240))</f>
        <v/>
      </c>
      <c r="P240" t="str">
        <f>IF($A240="","",SUMIFS($J$1:$J$349,$A$1:$A$349,$A240,$B$1:$B$349,$B240))</f>
        <v/>
      </c>
      <c r="Q240" t="str">
        <f>IF($A240="","",SUMIFS($G$1:$G$349,$A$1:$A$349,$A240,$C$1:$C$349,$C240))</f>
        <v/>
      </c>
      <c r="R240" t="str">
        <f>IF($A240="","",SUMIFS($H$1:$H$349,$A$1:$A$349,$A240,$C$1:$C$349,$C240))</f>
        <v/>
      </c>
      <c r="S240" t="str">
        <f>IF($A240="","",SUMIFS($I$1:$I$349,$A$1:$A$349,$A240,$C$1:$C$349,$C240))</f>
        <v/>
      </c>
      <c r="T240" t="str">
        <f>IF($A240="","",SUMIFS($G$1:$G$349,$A$1:$A$349,$A240))</f>
        <v/>
      </c>
      <c r="U240" t="str">
        <f>IF($A240="","",SUMIFS($H$1:$H$349,$A$1:$A$349,$A240))</f>
        <v/>
      </c>
      <c r="V240" t="str">
        <f>IF($A240="","",SUMIFS($I$1:$I$349,$A$1:$A$349,$A240))</f>
        <v/>
      </c>
      <c r="W240" t="str">
        <f>IF($A240="","",Allocation2!Y240)</f>
        <v/>
      </c>
      <c r="X240" t="str">
        <f>IF($A240="","",Allocation2!Z240)</f>
        <v/>
      </c>
      <c r="Y240" t="str">
        <f>IF($A240="","",Allocation2!AA240)</f>
        <v/>
      </c>
      <c r="Z240" t="str">
        <f>IF($A240="","",Allocation2!AB240)</f>
        <v/>
      </c>
      <c r="AA240" t="str">
        <f>IF($A240="","",Allocation2!AC240)</f>
        <v/>
      </c>
      <c r="AB240" t="str">
        <f>IF($A240="","",Allocation2!AD240)</f>
        <v/>
      </c>
      <c r="AC240" t="str">
        <f>IF($A240="","",IF(ALLOC!$N$4="VOL_EFF",$G240,IF(ALLOC!$N$4="VOL_CLASS",$H240,$I240)))</f>
        <v/>
      </c>
      <c r="AD240" t="str">
        <f>IF($A240="","",IF(ALLOC!$N$4="VOL_EFF",$L240,IF(ALLOC!$N$4="VOL_CLASS",$M240,$N240)))</f>
        <v/>
      </c>
      <c r="AE240" t="str">
        <f>IF($A240="","",IF(ALLOC!$N$3="VOL_EFF",$L240,IF(ALLOC!$N$3="VOL_CLASS",$M240,$N240)))</f>
        <v/>
      </c>
      <c r="AF240" t="str">
        <f>IF($A240="","",IF(ALLOC!$N$3="VOL_EFF",$Q240,IF(ALLOC!$N$3="VOL_CLASS",$R240,$S240)))</f>
        <v/>
      </c>
      <c r="AG240" t="str">
        <f>IF($A240="","",IF(ALLOC!$N$1="VOL_EFF",$Q240,IF(ALLOC!$N$1="VOL_CLASS",$R240,$S240)))</f>
        <v/>
      </c>
      <c r="AH240" t="str">
        <f>IF($A240="","",IF(ALLOC!$N$1="VOL_EFF",$T240,IF(ALLOC!$N$1="VOL_CLASS",$U240,$V240)))</f>
        <v/>
      </c>
      <c r="AI240" t="str">
        <f>IF($A240="","",$W240*IFERROR($K240/$O240,0))</f>
        <v/>
      </c>
      <c r="AJ240" t="str">
        <f>IF($A240="","",$X240*IFERROR($K240/$O240,0))</f>
        <v/>
      </c>
      <c r="AK240" t="str">
        <f>IF($A240="","",$Y240*IFERROR($G240/$L240,0)+$Z240*IFERROR($J240/$P240,0))</f>
        <v/>
      </c>
      <c r="AL240" t="str">
        <f>IF($A240="","",$AA240*IFERROR($AC240/$AD240,0))</f>
        <v/>
      </c>
      <c r="AM240" t="str">
        <f>IF($A240="","",$AB240*IFERROR($AG240/$AH240,0)*IFERROR($AE240/$AF240,0)*IFERROR($AC240/$AD240,0))</f>
        <v/>
      </c>
      <c r="AN240" t="str">
        <f>IF($A240="","",$I240-($AI240+$AJ240+$AK240+$AL240+$AM240+$AR240))</f>
        <v/>
      </c>
      <c r="AO240" t="str">
        <f>IF($A240="","",Allocation2!AE240)</f>
        <v/>
      </c>
      <c r="AP240" t="str">
        <f>IF($A240="","",IF(ALLOC!$N$2="VOL_EFF",$Q240,IF(ALLOC!$N$2="VOL_CLASS",$R240,$S240)))</f>
        <v/>
      </c>
      <c r="AQ240" t="str">
        <f>IF($A240="","",IF(ALLOC!$N$2="VOL_EFF",$T240,IF(ALLOC!$N$2="VOL_CLASS",$U240,$V240)))</f>
        <v/>
      </c>
      <c r="AR240" t="str">
        <f>IF($A240="","",$AO240*IFERROR($AP240/$AQ240,0)*IFERROR($AE240/$AF240,0)*IFERROR($AC240/$AD240,0))</f>
        <v/>
      </c>
    </row>
    <row r="241" spans="1:46" x14ac:dyDescent="0.45">
      <c r="A241" t="str">
        <f>IF(Allocation2!D241="","",Allocation2!D241)</f>
        <v/>
      </c>
      <c r="B241" t="str">
        <f>IF(Allocation2!E241="","",Allocation2!E241)</f>
        <v/>
      </c>
      <c r="C241" t="str">
        <f>IF(Allocation2!F241="","",Allocation2!F241)</f>
        <v/>
      </c>
      <c r="D241" t="str">
        <f>IF(Allocation2!G241="","",Allocation2!G241)</f>
        <v/>
      </c>
      <c r="E241" t="str">
        <f>IF(Allocation2!H241="","",Allocation2!H241)</f>
        <v/>
      </c>
      <c r="F241" t="str">
        <f>IF(Allocation2!I241="","",Allocation2!I241)</f>
        <v/>
      </c>
      <c r="G241" t="str">
        <f>IF(Allocation2!E241="","",Allocation2!J241)</f>
        <v/>
      </c>
      <c r="H241" t="str">
        <f>IF(Allocation2!E241="","",Allocation2!K241)</f>
        <v/>
      </c>
      <c r="I241" t="str">
        <f>IF(Allocation2!E241="","",Allocation2!L241)</f>
        <v/>
      </c>
      <c r="J241" t="str">
        <f>IF($A241="","",Allocation2!X241)</f>
        <v/>
      </c>
      <c r="K241" t="str">
        <f>IF($A241="","",$H241*IF(AND(LEFT($D241,3)="BAC",$F241="INIT"),600,IF(LEFT($D241,3)="BAC",480,IF(AND(LEFT($D241,3)="MAS",$F241="INIT"),520,IF(LEFT($D241,3)="MAS",420,IF($F241="INIT",1000,700))))))</f>
        <v/>
      </c>
      <c r="L241" t="str">
        <f>IF($A241="","",SUMIFS($G$1:$G$349,$A$1:$A$349,$A241,$B$1:$B$349,$B241))</f>
        <v/>
      </c>
      <c r="M241" t="str">
        <f>IF($A241="","",SUMIFS($H$1:$H$349,$A$1:$A$349,$A241,$B$1:$B$349,$B241))</f>
        <v/>
      </c>
      <c r="N241" t="str">
        <f>IF($A241="","",SUMIFS($I$1:$I$349,$A$1:$A$349,$A241,$B$1:$B$349,$B241))</f>
        <v/>
      </c>
      <c r="O241" t="str">
        <f>IF($A241="","",SUMIFS($K$1:$K$349,$A$1:$A$349,$A241,$B$1:$B$349,$B241))</f>
        <v/>
      </c>
      <c r="P241" t="str">
        <f>IF($A241="","",SUMIFS($J$1:$J$349,$A$1:$A$349,$A241,$B$1:$B$349,$B241))</f>
        <v/>
      </c>
      <c r="Q241" t="str">
        <f>IF($A241="","",SUMIFS($G$1:$G$349,$A$1:$A$349,$A241,$C$1:$C$349,$C241))</f>
        <v/>
      </c>
      <c r="R241" t="str">
        <f>IF($A241="","",SUMIFS($H$1:$H$349,$A$1:$A$349,$A241,$C$1:$C$349,$C241))</f>
        <v/>
      </c>
      <c r="S241" t="str">
        <f>IF($A241="","",SUMIFS($I$1:$I$349,$A$1:$A$349,$A241,$C$1:$C$349,$C241))</f>
        <v/>
      </c>
      <c r="T241" t="str">
        <f>IF($A241="","",SUMIFS($G$1:$G$349,$A$1:$A$349,$A241))</f>
        <v/>
      </c>
      <c r="U241" t="str">
        <f>IF($A241="","",SUMIFS($H$1:$H$349,$A$1:$A$349,$A241))</f>
        <v/>
      </c>
      <c r="V241" t="str">
        <f>IF($A241="","",SUMIFS($I$1:$I$349,$A$1:$A$349,$A241))</f>
        <v/>
      </c>
      <c r="W241" t="str">
        <f>IF($A241="","",Allocation2!Y241)</f>
        <v/>
      </c>
      <c r="X241" t="str">
        <f>IF($A241="","",Allocation2!Z241)</f>
        <v/>
      </c>
      <c r="Y241" t="str">
        <f>IF($A241="","",Allocation2!AA241)</f>
        <v/>
      </c>
      <c r="Z241" t="str">
        <f>IF($A241="","",Allocation2!AB241)</f>
        <v/>
      </c>
      <c r="AA241" t="str">
        <f>IF($A241="","",Allocation2!AC241)</f>
        <v/>
      </c>
      <c r="AB241" t="str">
        <f>IF($A241="","",Allocation2!AD241)</f>
        <v/>
      </c>
      <c r="AC241" t="str">
        <f>IF($A241="","",IF(ALLOC!$N$4="VOL_EFF",$G241,IF(ALLOC!$N$4="VOL_CLASS",$H241,$I241)))</f>
        <v/>
      </c>
      <c r="AD241" t="str">
        <f>IF($A241="","",IF(ALLOC!$N$4="VOL_EFF",$L241,IF(ALLOC!$N$4="VOL_CLASS",$M241,$N241)))</f>
        <v/>
      </c>
      <c r="AE241" t="str">
        <f>IF($A241="","",IF(ALLOC!$N$3="VOL_EFF",$L241,IF(ALLOC!$N$3="VOL_CLASS",$M241,$N241)))</f>
        <v/>
      </c>
      <c r="AF241" t="str">
        <f>IF($A241="","",IF(ALLOC!$N$3="VOL_EFF",$Q241,IF(ALLOC!$N$3="VOL_CLASS",$R241,$S241)))</f>
        <v/>
      </c>
      <c r="AG241" t="str">
        <f>IF($A241="","",IF(ALLOC!$N$1="VOL_EFF",$Q241,IF(ALLOC!$N$1="VOL_CLASS",$R241,$S241)))</f>
        <v/>
      </c>
      <c r="AH241" t="str">
        <f>IF($A241="","",IF(ALLOC!$N$1="VOL_EFF",$T241,IF(ALLOC!$N$1="VOL_CLASS",$U241,$V241)))</f>
        <v/>
      </c>
      <c r="AI241" t="str">
        <f>IF($A241="","",$W241*IFERROR($K241/$O241,0))</f>
        <v/>
      </c>
      <c r="AJ241" t="str">
        <f>IF($A241="","",$X241*IFERROR($K241/$O241,0))</f>
        <v/>
      </c>
      <c r="AK241" t="str">
        <f>IF($A241="","",$Y241*IFERROR($G241/$L241,0)+$Z241*IFERROR($J241/$P241,0))</f>
        <v/>
      </c>
      <c r="AL241" t="str">
        <f>IF($A241="","",$AA241*IFERROR($AC241/$AD241,0))</f>
        <v/>
      </c>
      <c r="AM241" t="str">
        <f>IF($A241="","",$AB241*IFERROR($AG241/$AH241,0)*IFERROR($AE241/$AF241,0)*IFERROR($AC241/$AD241,0))</f>
        <v/>
      </c>
      <c r="AN241" t="str">
        <f>IF($A241="","",$I241-($AI241+$AJ241+$AK241+$AL241+$AM241+$AR241))</f>
        <v/>
      </c>
      <c r="AO241" t="str">
        <f>IF($A241="","",Allocation2!AE241)</f>
        <v/>
      </c>
      <c r="AP241" t="str">
        <f>IF($A241="","",IF(ALLOC!$N$2="VOL_EFF",$Q241,IF(ALLOC!$N$2="VOL_CLASS",$R241,$S241)))</f>
        <v/>
      </c>
      <c r="AQ241" t="str">
        <f>IF($A241="","",IF(ALLOC!$N$2="VOL_EFF",$T241,IF(ALLOC!$N$2="VOL_CLASS",$U241,$V241)))</f>
        <v/>
      </c>
      <c r="AR241" t="str">
        <f>IF($A241="","",$AO241*IFERROR($AP241/$AQ241,0)*IFERROR($AE241/$AF241,0)*IFERROR($AC241/$AD241,0))</f>
        <v/>
      </c>
    </row>
    <row r="242" spans="1:46" x14ac:dyDescent="0.45">
      <c r="A242" t="str">
        <f>IF(Allocation2!D242="","",Allocation2!D242)</f>
        <v/>
      </c>
      <c r="B242" t="str">
        <f>IF(Allocation2!E242="","",Allocation2!E242)</f>
        <v/>
      </c>
      <c r="C242" t="str">
        <f>IF(Allocation2!F242="","",Allocation2!F242)</f>
        <v/>
      </c>
      <c r="D242" t="str">
        <f>IF(Allocation2!G242="","",Allocation2!G242)</f>
        <v/>
      </c>
      <c r="E242" t="str">
        <f>IF(Allocation2!H242="","",Allocation2!H242)</f>
        <v/>
      </c>
      <c r="F242" t="str">
        <f>IF(Allocation2!I242="","",Allocation2!I242)</f>
        <v/>
      </c>
      <c r="G242" t="str">
        <f>IF(Allocation2!E242="","",Allocation2!J242)</f>
        <v/>
      </c>
      <c r="H242" t="str">
        <f>IF(Allocation2!E242="","",Allocation2!K242)</f>
        <v/>
      </c>
      <c r="I242" t="str">
        <f>IF(Allocation2!E242="","",Allocation2!L242)</f>
        <v/>
      </c>
      <c r="J242" t="str">
        <f>IF($A242="","",Allocation2!X242)</f>
        <v/>
      </c>
      <c r="K242" t="str">
        <f>IF($A242="","",$H242*IF(AND(LEFT($D242,3)="BAC",$F242="INIT"),600,IF(LEFT($D242,3)="BAC",480,IF(AND(LEFT($D242,3)="MAS",$F242="INIT"),520,IF(LEFT($D242,3)="MAS",420,IF($F242="INIT",1000,700))))))</f>
        <v/>
      </c>
      <c r="L242" t="str">
        <f>IF($A242="","",SUMIFS($G$1:$G$349,$A$1:$A$349,$A242,$B$1:$B$349,$B242))</f>
        <v/>
      </c>
      <c r="M242" t="str">
        <f>IF($A242="","",SUMIFS($H$1:$H$349,$A$1:$A$349,$A242,$B$1:$B$349,$B242))</f>
        <v/>
      </c>
      <c r="N242" t="str">
        <f>IF($A242="","",SUMIFS($I$1:$I$349,$A$1:$A$349,$A242,$B$1:$B$349,$B242))</f>
        <v/>
      </c>
      <c r="O242" t="str">
        <f>IF($A242="","",SUMIFS($K$1:$K$349,$A$1:$A$349,$A242,$B$1:$B$349,$B242))</f>
        <v/>
      </c>
      <c r="P242" t="str">
        <f>IF($A242="","",SUMIFS($J$1:$J$349,$A$1:$A$349,$A242,$B$1:$B$349,$B242))</f>
        <v/>
      </c>
      <c r="Q242" t="str">
        <f>IF($A242="","",SUMIFS($G$1:$G$349,$A$1:$A$349,$A242,$C$1:$C$349,$C242))</f>
        <v/>
      </c>
      <c r="R242" t="str">
        <f>IF($A242="","",SUMIFS($H$1:$H$349,$A$1:$A$349,$A242,$C$1:$C$349,$C242))</f>
        <v/>
      </c>
      <c r="S242" t="str">
        <f>IF($A242="","",SUMIFS($I$1:$I$349,$A$1:$A$349,$A242,$C$1:$C$349,$C242))</f>
        <v/>
      </c>
      <c r="T242" t="str">
        <f>IF($A242="","",SUMIFS($G$1:$G$349,$A$1:$A$349,$A242))</f>
        <v/>
      </c>
      <c r="U242" t="str">
        <f>IF($A242="","",SUMIFS($H$1:$H$349,$A$1:$A$349,$A242))</f>
        <v/>
      </c>
      <c r="V242" t="str">
        <f>IF($A242="","",SUMIFS($I$1:$I$349,$A$1:$A$349,$A242))</f>
        <v/>
      </c>
      <c r="W242" t="str">
        <f>IF($A242="","",Allocation2!Y242)</f>
        <v/>
      </c>
      <c r="X242" t="str">
        <f>IF($A242="","",Allocation2!Z242)</f>
        <v/>
      </c>
      <c r="Y242" t="str">
        <f>IF($A242="","",Allocation2!AA242)</f>
        <v/>
      </c>
      <c r="Z242" t="str">
        <f>IF($A242="","",Allocation2!AB242)</f>
        <v/>
      </c>
      <c r="AA242" t="str">
        <f>IF($A242="","",Allocation2!AC242)</f>
        <v/>
      </c>
      <c r="AB242" t="str">
        <f>IF($A242="","",Allocation2!AD242)</f>
        <v/>
      </c>
      <c r="AC242" t="str">
        <f>IF($A242="","",IF(ALLOC!$N$4="VOL_EFF",$G242,IF(ALLOC!$N$4="VOL_CLASS",$H242,$I242)))</f>
        <v/>
      </c>
      <c r="AD242" t="str">
        <f>IF($A242="","",IF(ALLOC!$N$4="VOL_EFF",$L242,IF(ALLOC!$N$4="VOL_CLASS",$M242,$N242)))</f>
        <v/>
      </c>
      <c r="AE242" t="str">
        <f>IF($A242="","",IF(ALLOC!$N$3="VOL_EFF",$L242,IF(ALLOC!$N$3="VOL_CLASS",$M242,$N242)))</f>
        <v/>
      </c>
      <c r="AF242" t="str">
        <f>IF($A242="","",IF(ALLOC!$N$3="VOL_EFF",$Q242,IF(ALLOC!$N$3="VOL_CLASS",$R242,$S242)))</f>
        <v/>
      </c>
      <c r="AG242" t="str">
        <f>IF($A242="","",IF(ALLOC!$N$1="VOL_EFF",$Q242,IF(ALLOC!$N$1="VOL_CLASS",$R242,$S242)))</f>
        <v/>
      </c>
      <c r="AH242" t="str">
        <f>IF($A242="","",IF(ALLOC!$N$1="VOL_EFF",$T242,IF(ALLOC!$N$1="VOL_CLASS",$U242,$V242)))</f>
        <v/>
      </c>
      <c r="AI242" t="str">
        <f>IF($A242="","",$W242*IFERROR($K242/$O242,0))</f>
        <v/>
      </c>
      <c r="AJ242" t="str">
        <f>IF($A242="","",$X242*IFERROR($K242/$O242,0))</f>
        <v/>
      </c>
      <c r="AK242" t="str">
        <f>IF($A242="","",$Y242*IFERROR($G242/$L242,0)+$Z242*IFERROR($J242/$P242,0))</f>
        <v/>
      </c>
      <c r="AL242" t="str">
        <f>IF($A242="","",$AA242*IFERROR($AC242/$AD242,0))</f>
        <v/>
      </c>
      <c r="AM242" t="str">
        <f>IF($A242="","",$AB242*IFERROR($AG242/$AH242,0)*IFERROR($AE242/$AF242,0)*IFERROR($AC242/$AD242,0))</f>
        <v/>
      </c>
      <c r="AN242" t="str">
        <f>IF($A242="","",$I242-($AI242+$AJ242+$AK242+$AL242+$AM242+$AR242))</f>
        <v/>
      </c>
      <c r="AO242" t="str">
        <f>IF($A242="","",Allocation2!AE242)</f>
        <v/>
      </c>
      <c r="AP242" t="str">
        <f>IF($A242="","",IF(ALLOC!$N$2="VOL_EFF",$Q242,IF(ALLOC!$N$2="VOL_CLASS",$R242,$S242)))</f>
        <v/>
      </c>
      <c r="AQ242" t="str">
        <f>IF($A242="","",IF(ALLOC!$N$2="VOL_EFF",$T242,IF(ALLOC!$N$2="VOL_CLASS",$U242,$V242)))</f>
        <v/>
      </c>
      <c r="AR242" t="str">
        <f>IF($A242="","",$AO242*IFERROR($AP242/$AQ242,0)*IFERROR($AE242/$AF242,0)*IFERROR($AC242/$AD242,0))</f>
        <v/>
      </c>
    </row>
    <row r="243" spans="1:46" x14ac:dyDescent="0.45">
      <c r="A243" t="str">
        <f>IF(Allocation2!D243="","",Allocation2!D243)</f>
        <v/>
      </c>
      <c r="B243" t="str">
        <f>IF(Allocation2!E243="","",Allocation2!E243)</f>
        <v/>
      </c>
      <c r="C243" t="str">
        <f>IF(Allocation2!F243="","",Allocation2!F243)</f>
        <v/>
      </c>
      <c r="D243" t="str">
        <f>IF(Allocation2!G243="","",Allocation2!G243)</f>
        <v/>
      </c>
      <c r="E243" t="str">
        <f>IF(Allocation2!H243="","",Allocation2!H243)</f>
        <v/>
      </c>
      <c r="F243" t="str">
        <f>IF(Allocation2!I243="","",Allocation2!I243)</f>
        <v/>
      </c>
      <c r="G243" t="str">
        <f>IF(Allocation2!E243="","",Allocation2!J243)</f>
        <v/>
      </c>
      <c r="H243" t="str">
        <f>IF(Allocation2!E243="","",Allocation2!K243)</f>
        <v/>
      </c>
      <c r="I243" t="str">
        <f>IF(Allocation2!E243="","",Allocation2!L243)</f>
        <v/>
      </c>
      <c r="J243" t="str">
        <f>IF($A243="","",Allocation2!X243)</f>
        <v/>
      </c>
      <c r="K243" t="str">
        <f>IF($A243="","",$H243*IF(AND(LEFT($D243,3)="BAC",$F243="INIT"),600,IF(LEFT($D243,3)="BAC",480,IF(AND(LEFT($D243,3)="MAS",$F243="INIT"),520,IF(LEFT($D243,3)="MAS",420,IF($F243="INIT",1000,700))))))</f>
        <v/>
      </c>
      <c r="L243" t="str">
        <f>IF($A243="","",SUMIFS($G$1:$G$349,$A$1:$A$349,$A243,$B$1:$B$349,$B243))</f>
        <v/>
      </c>
      <c r="M243" t="str">
        <f>IF($A243="","",SUMIFS($H$1:$H$349,$A$1:$A$349,$A243,$B$1:$B$349,$B243))</f>
        <v/>
      </c>
      <c r="N243" t="str">
        <f>IF($A243="","",SUMIFS($I$1:$I$349,$A$1:$A$349,$A243,$B$1:$B$349,$B243))</f>
        <v/>
      </c>
      <c r="O243" t="str">
        <f>IF($A243="","",SUMIFS($K$1:$K$349,$A$1:$A$349,$A243,$B$1:$B$349,$B243))</f>
        <v/>
      </c>
      <c r="P243" t="str">
        <f>IF($A243="","",SUMIFS($J$1:$J$349,$A$1:$A$349,$A243,$B$1:$B$349,$B243))</f>
        <v/>
      </c>
      <c r="Q243" t="str">
        <f>IF($A243="","",SUMIFS($G$1:$G$349,$A$1:$A$349,$A243,$C$1:$C$349,$C243))</f>
        <v/>
      </c>
      <c r="R243" t="str">
        <f>IF($A243="","",SUMIFS($H$1:$H$349,$A$1:$A$349,$A243,$C$1:$C$349,$C243))</f>
        <v/>
      </c>
      <c r="S243" t="str">
        <f>IF($A243="","",SUMIFS($I$1:$I$349,$A$1:$A$349,$A243,$C$1:$C$349,$C243))</f>
        <v/>
      </c>
      <c r="T243" t="str">
        <f>IF($A243="","",SUMIFS($G$1:$G$349,$A$1:$A$349,$A243))</f>
        <v/>
      </c>
      <c r="U243" t="str">
        <f>IF($A243="","",SUMIFS($H$1:$H$349,$A$1:$A$349,$A243))</f>
        <v/>
      </c>
      <c r="V243" t="str">
        <f>IF($A243="","",SUMIFS($I$1:$I$349,$A$1:$A$349,$A243))</f>
        <v/>
      </c>
      <c r="W243" t="str">
        <f>IF($A243="","",Allocation2!Y243)</f>
        <v/>
      </c>
      <c r="X243" t="str">
        <f>IF($A243="","",Allocation2!Z243)</f>
        <v/>
      </c>
      <c r="Y243" t="str">
        <f>IF($A243="","",Allocation2!AA243)</f>
        <v/>
      </c>
      <c r="Z243" t="str">
        <f>IF($A243="","",Allocation2!AB243)</f>
        <v/>
      </c>
      <c r="AA243" t="str">
        <f>IF($A243="","",Allocation2!AC243)</f>
        <v/>
      </c>
      <c r="AB243" t="str">
        <f>IF($A243="","",Allocation2!AD243)</f>
        <v/>
      </c>
      <c r="AC243" t="str">
        <f>IF($A243="","",IF(ALLOC!$N$4="VOL_EFF",$G243,IF(ALLOC!$N$4="VOL_CLASS",$H243,$I243)))</f>
        <v/>
      </c>
      <c r="AD243" t="str">
        <f>IF($A243="","",IF(ALLOC!$N$4="VOL_EFF",$L243,IF(ALLOC!$N$4="VOL_CLASS",$M243,$N243)))</f>
        <v/>
      </c>
      <c r="AE243" t="str">
        <f>IF($A243="","",IF(ALLOC!$N$3="VOL_EFF",$L243,IF(ALLOC!$N$3="VOL_CLASS",$M243,$N243)))</f>
        <v/>
      </c>
      <c r="AF243" t="str">
        <f>IF($A243="","",IF(ALLOC!$N$3="VOL_EFF",$Q243,IF(ALLOC!$N$3="VOL_CLASS",$R243,$S243)))</f>
        <v/>
      </c>
      <c r="AG243" t="str">
        <f>IF($A243="","",IF(ALLOC!$N$1="VOL_EFF",$Q243,IF(ALLOC!$N$1="VOL_CLASS",$R243,$S243)))</f>
        <v/>
      </c>
      <c r="AH243" t="str">
        <f>IF($A243="","",IF(ALLOC!$N$1="VOL_EFF",$T243,IF(ALLOC!$N$1="VOL_CLASS",$U243,$V243)))</f>
        <v/>
      </c>
      <c r="AI243" t="str">
        <f>IF($A243="","",$W243*IFERROR($K243/$O243,0))</f>
        <v/>
      </c>
      <c r="AJ243" t="str">
        <f>IF($A243="","",$X243*IFERROR($K243/$O243,0))</f>
        <v/>
      </c>
      <c r="AK243" t="str">
        <f>IF($A243="","",$Y243*IFERROR($G243/$L243,0)+$Z243*IFERROR($J243/$P243,0))</f>
        <v/>
      </c>
      <c r="AL243" t="str">
        <f>IF($A243="","",$AA243*IFERROR($AC243/$AD243,0))</f>
        <v/>
      </c>
      <c r="AM243" t="str">
        <f>IF($A243="","",$AB243*IFERROR($AG243/$AH243,0)*IFERROR($AE243/$AF243,0)*IFERROR($AC243/$AD243,0))</f>
        <v/>
      </c>
      <c r="AN243" t="str">
        <f>IF($A243="","",$I243-($AI243+$AJ243+$AK243+$AL243+$AM243+$AR243))</f>
        <v/>
      </c>
      <c r="AO243" t="str">
        <f>IF($A243="","",Allocation2!AE243)</f>
        <v/>
      </c>
      <c r="AP243" t="str">
        <f>IF($A243="","",IF(ALLOC!$N$2="VOL_EFF",$Q243,IF(ALLOC!$N$2="VOL_CLASS",$R243,$S243)))</f>
        <v/>
      </c>
      <c r="AQ243" t="str">
        <f>IF($A243="","",IF(ALLOC!$N$2="VOL_EFF",$T243,IF(ALLOC!$N$2="VOL_CLASS",$U243,$V243)))</f>
        <v/>
      </c>
      <c r="AR243" t="str">
        <f>IF($A243="","",$AO243*IFERROR($AP243/$AQ243,0)*IFERROR($AE243/$AF243,0)*IFERROR($AC243/$AD243,0))</f>
        <v/>
      </c>
    </row>
    <row r="244" spans="1:46" x14ac:dyDescent="0.45">
      <c r="A244" t="str">
        <f>IF(Allocation2!D244="","",Allocation2!D244)</f>
        <v/>
      </c>
      <c r="B244" t="str">
        <f>IF(Allocation2!E244="","",Allocation2!E244)</f>
        <v/>
      </c>
      <c r="C244" t="str">
        <f>IF(Allocation2!F244="","",Allocation2!F244)</f>
        <v/>
      </c>
      <c r="D244" t="str">
        <f>IF(Allocation2!G244="","",Allocation2!G244)</f>
        <v/>
      </c>
      <c r="E244" t="str">
        <f>IF(Allocation2!H244="","",Allocation2!H244)</f>
        <v/>
      </c>
      <c r="F244" t="str">
        <f>IF(Allocation2!I244="","",Allocation2!I244)</f>
        <v/>
      </c>
      <c r="G244" t="str">
        <f>IF(Allocation2!E244="","",Allocation2!J244)</f>
        <v/>
      </c>
      <c r="H244" t="str">
        <f>IF(Allocation2!E244="","",Allocation2!K244)</f>
        <v/>
      </c>
      <c r="I244" t="str">
        <f>IF(Allocation2!E244="","",Allocation2!L244)</f>
        <v/>
      </c>
      <c r="J244" t="str">
        <f>IF($A244="","",Allocation2!X244)</f>
        <v/>
      </c>
      <c r="K244" t="str">
        <f>IF($A244="","",$H244*IF(AND(LEFT($D244,3)="BAC",$F244="INIT"),600,IF(LEFT($D244,3)="BAC",480,IF(AND(LEFT($D244,3)="MAS",$F244="INIT"),520,IF(LEFT($D244,3)="MAS",420,IF($F244="INIT",1000,700))))))</f>
        <v/>
      </c>
      <c r="L244" t="str">
        <f>IF($A244="","",SUMIFS($G$1:$G$349,$A$1:$A$349,$A244,$B$1:$B$349,$B244))</f>
        <v/>
      </c>
      <c r="M244" t="str">
        <f>IF($A244="","",SUMIFS($H$1:$H$349,$A$1:$A$349,$A244,$B$1:$B$349,$B244))</f>
        <v/>
      </c>
      <c r="N244" t="str">
        <f>IF($A244="","",SUMIFS($I$1:$I$349,$A$1:$A$349,$A244,$B$1:$B$349,$B244))</f>
        <v/>
      </c>
      <c r="O244" t="str">
        <f>IF($A244="","",SUMIFS($K$1:$K$349,$A$1:$A$349,$A244,$B$1:$B$349,$B244))</f>
        <v/>
      </c>
      <c r="P244" t="str">
        <f>IF($A244="","",SUMIFS($J$1:$J$349,$A$1:$A$349,$A244,$B$1:$B$349,$B244))</f>
        <v/>
      </c>
      <c r="Q244" t="str">
        <f>IF($A244="","",SUMIFS($G$1:$G$349,$A$1:$A$349,$A244,$C$1:$C$349,$C244))</f>
        <v/>
      </c>
      <c r="R244" t="str">
        <f>IF($A244="","",SUMIFS($H$1:$H$349,$A$1:$A$349,$A244,$C$1:$C$349,$C244))</f>
        <v/>
      </c>
      <c r="S244" t="str">
        <f>IF($A244="","",SUMIFS($I$1:$I$349,$A$1:$A$349,$A244,$C$1:$C$349,$C244))</f>
        <v/>
      </c>
      <c r="T244" t="str">
        <f>IF($A244="","",SUMIFS($G$1:$G$349,$A$1:$A$349,$A244))</f>
        <v/>
      </c>
      <c r="U244" t="str">
        <f>IF($A244="","",SUMIFS($H$1:$H$349,$A$1:$A$349,$A244))</f>
        <v/>
      </c>
      <c r="V244" t="str">
        <f>IF($A244="","",SUMIFS($I$1:$I$349,$A$1:$A$349,$A244))</f>
        <v/>
      </c>
      <c r="W244" t="str">
        <f>IF($A244="","",Allocation2!Y244)</f>
        <v/>
      </c>
      <c r="X244" t="str">
        <f>IF($A244="","",Allocation2!Z244)</f>
        <v/>
      </c>
      <c r="Y244" t="str">
        <f>IF($A244="","",Allocation2!AA244)</f>
        <v/>
      </c>
      <c r="Z244" t="str">
        <f>IF($A244="","",Allocation2!AB244)</f>
        <v/>
      </c>
      <c r="AA244" t="str">
        <f>IF($A244="","",Allocation2!AC244)</f>
        <v/>
      </c>
      <c r="AB244" t="str">
        <f>IF($A244="","",Allocation2!AD244)</f>
        <v/>
      </c>
      <c r="AC244" t="str">
        <f>IF($A244="","",IF(ALLOC!$N$4="VOL_EFF",$G244,IF(ALLOC!$N$4="VOL_CLASS",$H244,$I244)))</f>
        <v/>
      </c>
      <c r="AD244" t="str">
        <f>IF($A244="","",IF(ALLOC!$N$4="VOL_EFF",$L244,IF(ALLOC!$N$4="VOL_CLASS",$M244,$N244)))</f>
        <v/>
      </c>
      <c r="AE244" t="str">
        <f>IF($A244="","",IF(ALLOC!$N$3="VOL_EFF",$L244,IF(ALLOC!$N$3="VOL_CLASS",$M244,$N244)))</f>
        <v/>
      </c>
      <c r="AF244" t="str">
        <f>IF($A244="","",IF(ALLOC!$N$3="VOL_EFF",$Q244,IF(ALLOC!$N$3="VOL_CLASS",$R244,$S244)))</f>
        <v/>
      </c>
      <c r="AG244" t="str">
        <f>IF($A244="","",IF(ALLOC!$N$1="VOL_EFF",$Q244,IF(ALLOC!$N$1="VOL_CLASS",$R244,$S244)))</f>
        <v/>
      </c>
      <c r="AH244" t="str">
        <f>IF($A244="","",IF(ALLOC!$N$1="VOL_EFF",$T244,IF(ALLOC!$N$1="VOL_CLASS",$U244,$V244)))</f>
        <v/>
      </c>
      <c r="AI244" t="str">
        <f>IF($A244="","",$W244*IFERROR($K244/$O244,0))</f>
        <v/>
      </c>
      <c r="AJ244" t="str">
        <f>IF($A244="","",$X244*IFERROR($K244/$O244,0))</f>
        <v/>
      </c>
      <c r="AK244" t="str">
        <f>IF($A244="","",$Y244*IFERROR($G244/$L244,0)+$Z244*IFERROR($J244/$P244,0))</f>
        <v/>
      </c>
      <c r="AL244" t="str">
        <f>IF($A244="","",$AA244*IFERROR($AC244/$AD244,0))</f>
        <v/>
      </c>
      <c r="AM244" t="str">
        <f>IF($A244="","",$AB244*IFERROR($AG244/$AH244,0)*IFERROR($AE244/$AF244,0)*IFERROR($AC244/$AD244,0))</f>
        <v/>
      </c>
      <c r="AN244" t="str">
        <f>IF($A244="","",$I244-($AI244+$AJ244+$AK244+$AL244+$AM244+$AR244))</f>
        <v/>
      </c>
      <c r="AO244" t="str">
        <f>IF($A244="","",Allocation2!AE244)</f>
        <v/>
      </c>
      <c r="AP244" t="str">
        <f>IF($A244="","",IF(ALLOC!$N$2="VOL_EFF",$Q244,IF(ALLOC!$N$2="VOL_CLASS",$R244,$S244)))</f>
        <v/>
      </c>
      <c r="AQ244" t="str">
        <f>IF($A244="","",IF(ALLOC!$N$2="VOL_EFF",$T244,IF(ALLOC!$N$2="VOL_CLASS",$U244,$V244)))</f>
        <v/>
      </c>
      <c r="AR244" t="str">
        <f>IF($A244="","",$AO244*IFERROR($AP244/$AQ244,0)*IFERROR($AE244/$AF244,0)*IFERROR($AC244/$AD244,0))</f>
        <v/>
      </c>
    </row>
    <row r="245" spans="1:46" x14ac:dyDescent="0.45">
      <c r="A245" t="str">
        <f>IF(Allocation2!D245="","",Allocation2!D245)</f>
        <v/>
      </c>
      <c r="B245" t="str">
        <f>IF(Allocation2!E245="","",Allocation2!E245)</f>
        <v/>
      </c>
      <c r="C245" t="str">
        <f>IF(Allocation2!F245="","",Allocation2!F245)</f>
        <v/>
      </c>
      <c r="D245" t="str">
        <f>IF(Allocation2!G245="","",Allocation2!G245)</f>
        <v/>
      </c>
      <c r="E245" t="str">
        <f>IF(Allocation2!H245="","",Allocation2!H245)</f>
        <v/>
      </c>
      <c r="F245" t="str">
        <f>IF(Allocation2!I245="","",Allocation2!I245)</f>
        <v/>
      </c>
      <c r="G245" t="str">
        <f>IF(Allocation2!E245="","",Allocation2!J245)</f>
        <v/>
      </c>
      <c r="H245" t="str">
        <f>IF(Allocation2!E245="","",Allocation2!K245)</f>
        <v/>
      </c>
      <c r="I245" t="str">
        <f>IF(Allocation2!E245="","",Allocation2!L245)</f>
        <v/>
      </c>
      <c r="J245" t="str">
        <f>IF($A245="","",Allocation2!X245)</f>
        <v/>
      </c>
      <c r="K245" t="str">
        <f>IF($A245="","",$H245*IF(AND(LEFT($D245,3)="BAC",$F245="INIT"),600,IF(LEFT($D245,3)="BAC",480,IF(AND(LEFT($D245,3)="MAS",$F245="INIT"),520,IF(LEFT($D245,3)="MAS",420,IF($F245="INIT",1000,700))))))</f>
        <v/>
      </c>
      <c r="L245" t="str">
        <f>IF($A245="","",SUMIFS($G$1:$G$349,$A$1:$A$349,$A245,$B$1:$B$349,$B245))</f>
        <v/>
      </c>
      <c r="M245" t="str">
        <f>IF($A245="","",SUMIFS($H$1:$H$349,$A$1:$A$349,$A245,$B$1:$B$349,$B245))</f>
        <v/>
      </c>
      <c r="N245" t="str">
        <f>IF($A245="","",SUMIFS($I$1:$I$349,$A$1:$A$349,$A245,$B$1:$B$349,$B245))</f>
        <v/>
      </c>
      <c r="O245" t="str">
        <f>IF($A245="","",SUMIFS($K$1:$K$349,$A$1:$A$349,$A245,$B$1:$B$349,$B245))</f>
        <v/>
      </c>
      <c r="P245" t="str">
        <f>IF($A245="","",SUMIFS($J$1:$J$349,$A$1:$A$349,$A245,$B$1:$B$349,$B245))</f>
        <v/>
      </c>
      <c r="Q245" t="str">
        <f>IF($A245="","",SUMIFS($G$1:$G$349,$A$1:$A$349,$A245,$C$1:$C$349,$C245))</f>
        <v/>
      </c>
      <c r="R245" t="str">
        <f>IF($A245="","",SUMIFS($H$1:$H$349,$A$1:$A$349,$A245,$C$1:$C$349,$C245))</f>
        <v/>
      </c>
      <c r="S245" t="str">
        <f>IF($A245="","",SUMIFS($I$1:$I$349,$A$1:$A$349,$A245,$C$1:$C$349,$C245))</f>
        <v/>
      </c>
      <c r="T245" t="str">
        <f>IF($A245="","",SUMIFS($G$1:$G$349,$A$1:$A$349,$A245))</f>
        <v/>
      </c>
      <c r="U245" t="str">
        <f>IF($A245="","",SUMIFS($H$1:$H$349,$A$1:$A$349,$A245))</f>
        <v/>
      </c>
      <c r="V245" t="str">
        <f>IF($A245="","",SUMIFS($I$1:$I$349,$A$1:$A$349,$A245))</f>
        <v/>
      </c>
      <c r="W245" t="str">
        <f>IF($A245="","",Allocation2!Y245)</f>
        <v/>
      </c>
      <c r="X245" t="str">
        <f>IF($A245="","",Allocation2!Z245)</f>
        <v/>
      </c>
      <c r="Y245" t="str">
        <f>IF($A245="","",Allocation2!AA245)</f>
        <v/>
      </c>
      <c r="Z245" t="str">
        <f>IF($A245="","",Allocation2!AB245)</f>
        <v/>
      </c>
      <c r="AA245" t="str">
        <f>IF($A245="","",Allocation2!AC245)</f>
        <v/>
      </c>
      <c r="AB245" t="str">
        <f>IF($A245="","",Allocation2!AD245)</f>
        <v/>
      </c>
      <c r="AC245" t="str">
        <f>IF($A245="","",IF(ALLOC!$N$4="VOL_EFF",$G245,IF(ALLOC!$N$4="VOL_CLASS",$H245,$I245)))</f>
        <v/>
      </c>
      <c r="AD245" t="str">
        <f>IF($A245="","",IF(ALLOC!$N$4="VOL_EFF",$L245,IF(ALLOC!$N$4="VOL_CLASS",$M245,$N245)))</f>
        <v/>
      </c>
      <c r="AE245" t="str">
        <f>IF($A245="","",IF(ALLOC!$N$3="VOL_EFF",$L245,IF(ALLOC!$N$3="VOL_CLASS",$M245,$N245)))</f>
        <v/>
      </c>
      <c r="AF245" t="str">
        <f>IF($A245="","",IF(ALLOC!$N$3="VOL_EFF",$Q245,IF(ALLOC!$N$3="VOL_CLASS",$R245,$S245)))</f>
        <v/>
      </c>
      <c r="AG245" t="str">
        <f>IF($A245="","",IF(ALLOC!$N$1="VOL_EFF",$Q245,IF(ALLOC!$N$1="VOL_CLASS",$R245,$S245)))</f>
        <v/>
      </c>
      <c r="AH245" t="str">
        <f>IF($A245="","",IF(ALLOC!$N$1="VOL_EFF",$T245,IF(ALLOC!$N$1="VOL_CLASS",$U245,$V245)))</f>
        <v/>
      </c>
      <c r="AI245" t="str">
        <f>IF($A245="","",$W245*IFERROR($K245/$O245,0))</f>
        <v/>
      </c>
      <c r="AJ245" t="str">
        <f>IF($A245="","",$X245*IFERROR($K245/$O245,0))</f>
        <v/>
      </c>
      <c r="AK245" t="str">
        <f>IF($A245="","",$Y245*IFERROR($G245/$L245,0)+$Z245*IFERROR($J245/$P245,0))</f>
        <v/>
      </c>
      <c r="AL245" t="str">
        <f>IF($A245="","",$AA245*IFERROR($AC245/$AD245,0))</f>
        <v/>
      </c>
      <c r="AM245" t="str">
        <f>IF($A245="","",$AB245*IFERROR($AG245/$AH245,0)*IFERROR($AE245/$AF245,0)*IFERROR($AC245/$AD245,0))</f>
        <v/>
      </c>
      <c r="AN245" t="str">
        <f>IF($A245="","",$I245-($AI245+$AJ245+$AK245+$AL245+$AM245+$AR245))</f>
        <v/>
      </c>
      <c r="AO245" t="str">
        <f>IF($A245="","",Allocation2!AE245)</f>
        <v/>
      </c>
      <c r="AP245" t="str">
        <f>IF($A245="","",IF(ALLOC!$N$2="VOL_EFF",$Q245,IF(ALLOC!$N$2="VOL_CLASS",$R245,$S245)))</f>
        <v/>
      </c>
      <c r="AQ245" t="str">
        <f>IF($A245="","",IF(ALLOC!$N$2="VOL_EFF",$T245,IF(ALLOC!$N$2="VOL_CLASS",$U245,$V245)))</f>
        <v/>
      </c>
      <c r="AR245" t="str">
        <f>IF($A245="","",$AO245*IFERROR($AP245/$AQ245,0)*IFERROR($AE245/$AF245,0)*IFERROR($AC245/$AD245,0))</f>
        <v/>
      </c>
    </row>
    <row r="246" spans="1:46" x14ac:dyDescent="0.45">
      <c r="A246" t="str">
        <f>IF(Allocation2!D246="","",Allocation2!D246)</f>
        <v/>
      </c>
      <c r="B246" t="str">
        <f>IF(Allocation2!E246="","",Allocation2!E246)</f>
        <v/>
      </c>
      <c r="C246" t="str">
        <f>IF(Allocation2!F246="","",Allocation2!F246)</f>
        <v/>
      </c>
      <c r="D246" t="str">
        <f>IF(Allocation2!G246="","",Allocation2!G246)</f>
        <v/>
      </c>
      <c r="E246" t="str">
        <f>IF(Allocation2!H246="","",Allocation2!H246)</f>
        <v/>
      </c>
      <c r="F246" t="str">
        <f>IF(Allocation2!I246="","",Allocation2!I246)</f>
        <v/>
      </c>
      <c r="G246" t="str">
        <f>IF(Allocation2!E246="","",Allocation2!J246)</f>
        <v/>
      </c>
      <c r="H246" t="str">
        <f>IF(Allocation2!E246="","",Allocation2!K246)</f>
        <v/>
      </c>
      <c r="I246" t="str">
        <f>IF(Allocation2!E246="","",Allocation2!L246)</f>
        <v/>
      </c>
      <c r="J246" t="str">
        <f>IF($A246="","",Allocation2!X246)</f>
        <v/>
      </c>
      <c r="K246" t="str">
        <f>IF($A246="","",$H246*IF(AND(LEFT($D246,3)="BAC",$F246="INIT"),600,IF(LEFT($D246,3)="BAC",480,IF(AND(LEFT($D246,3)="MAS",$F246="INIT"),520,IF(LEFT($D246,3)="MAS",420,IF($F246="INIT",1000,700))))))</f>
        <v/>
      </c>
      <c r="L246" t="str">
        <f>IF($A246="","",SUMIFS($G$1:$G$349,$A$1:$A$349,$A246,$B$1:$B$349,$B246))</f>
        <v/>
      </c>
      <c r="M246" t="str">
        <f>IF($A246="","",SUMIFS($H$1:$H$349,$A$1:$A$349,$A246,$B$1:$B$349,$B246))</f>
        <v/>
      </c>
      <c r="N246" t="str">
        <f>IF($A246="","",SUMIFS($I$1:$I$349,$A$1:$A$349,$A246,$B$1:$B$349,$B246))</f>
        <v/>
      </c>
      <c r="O246" t="str">
        <f>IF($A246="","",SUMIFS($K$1:$K$349,$A$1:$A$349,$A246,$B$1:$B$349,$B246))</f>
        <v/>
      </c>
      <c r="P246" t="str">
        <f>IF($A246="","",SUMIFS($J$1:$J$349,$A$1:$A$349,$A246,$B$1:$B$349,$B246))</f>
        <v/>
      </c>
      <c r="Q246" t="str">
        <f>IF($A246="","",SUMIFS($G$1:$G$349,$A$1:$A$349,$A246,$C$1:$C$349,$C246))</f>
        <v/>
      </c>
      <c r="R246" t="str">
        <f>IF($A246="","",SUMIFS($H$1:$H$349,$A$1:$A$349,$A246,$C$1:$C$349,$C246))</f>
        <v/>
      </c>
      <c r="S246" t="str">
        <f>IF($A246="","",SUMIFS($I$1:$I$349,$A$1:$A$349,$A246,$C$1:$C$349,$C246))</f>
        <v/>
      </c>
      <c r="T246" t="str">
        <f>IF($A246="","",SUMIFS($G$1:$G$349,$A$1:$A$349,$A246))</f>
        <v/>
      </c>
      <c r="U246" t="str">
        <f>IF($A246="","",SUMIFS($H$1:$H$349,$A$1:$A$349,$A246))</f>
        <v/>
      </c>
      <c r="V246" t="str">
        <f>IF($A246="","",SUMIFS($I$1:$I$349,$A$1:$A$349,$A246))</f>
        <v/>
      </c>
      <c r="W246" t="str">
        <f>IF($A246="","",Allocation2!Y246)</f>
        <v/>
      </c>
      <c r="X246" t="str">
        <f>IF($A246="","",Allocation2!Z246)</f>
        <v/>
      </c>
      <c r="Y246" t="str">
        <f>IF($A246="","",Allocation2!AA246)</f>
        <v/>
      </c>
      <c r="Z246" t="str">
        <f>IF($A246="","",Allocation2!AB246)</f>
        <v/>
      </c>
      <c r="AA246" t="str">
        <f>IF($A246="","",Allocation2!AC246)</f>
        <v/>
      </c>
      <c r="AB246" t="str">
        <f>IF($A246="","",Allocation2!AD246)</f>
        <v/>
      </c>
      <c r="AC246" t="str">
        <f>IF($A246="","",IF(ALLOC!$N$4="VOL_EFF",$G246,IF(ALLOC!$N$4="VOL_CLASS",$H246,$I246)))</f>
        <v/>
      </c>
      <c r="AD246" t="str">
        <f>IF($A246="","",IF(ALLOC!$N$4="VOL_EFF",$L246,IF(ALLOC!$N$4="VOL_CLASS",$M246,$N246)))</f>
        <v/>
      </c>
      <c r="AE246" t="str">
        <f>IF($A246="","",IF(ALLOC!$N$3="VOL_EFF",$L246,IF(ALLOC!$N$3="VOL_CLASS",$M246,$N246)))</f>
        <v/>
      </c>
      <c r="AF246" t="str">
        <f>IF($A246="","",IF(ALLOC!$N$3="VOL_EFF",$Q246,IF(ALLOC!$N$3="VOL_CLASS",$R246,$S246)))</f>
        <v/>
      </c>
      <c r="AG246" t="str">
        <f>IF($A246="","",IF(ALLOC!$N$1="VOL_EFF",$Q246,IF(ALLOC!$N$1="VOL_CLASS",$R246,$S246)))</f>
        <v/>
      </c>
      <c r="AH246" t="str">
        <f>IF($A246="","",IF(ALLOC!$N$1="VOL_EFF",$T246,IF(ALLOC!$N$1="VOL_CLASS",$U246,$V246)))</f>
        <v/>
      </c>
      <c r="AI246" t="str">
        <f>IF($A246="","",$W246*IFERROR($K246/$O246,0))</f>
        <v/>
      </c>
      <c r="AJ246" t="str">
        <f>IF($A246="","",$X246*IFERROR($K246/$O246,0))</f>
        <v/>
      </c>
      <c r="AK246" t="str">
        <f>IF($A246="","",$Y246*IFERROR($G246/$L246,0)+$Z246*IFERROR($J246/$P246,0))</f>
        <v/>
      </c>
      <c r="AL246" t="str">
        <f>IF($A246="","",$AA246*IFERROR($AC246/$AD246,0))</f>
        <v/>
      </c>
      <c r="AM246" t="str">
        <f>IF($A246="","",$AB246*IFERROR($AG246/$AH246,0)*IFERROR($AE246/$AF246,0)*IFERROR($AC246/$AD246,0))</f>
        <v/>
      </c>
      <c r="AN246" t="str">
        <f>IF($A246="","",$I246-($AI246+$AJ246+$AK246+$AL246+$AM246+$AR246))</f>
        <v/>
      </c>
      <c r="AO246" t="str">
        <f>IF($A246="","",Allocation2!AE246)</f>
        <v/>
      </c>
      <c r="AP246" t="str">
        <f>IF($A246="","",IF(ALLOC!$N$2="VOL_EFF",$Q246,IF(ALLOC!$N$2="VOL_CLASS",$R246,$S246)))</f>
        <v/>
      </c>
      <c r="AQ246" t="str">
        <f>IF($A246="","",IF(ALLOC!$N$2="VOL_EFF",$T246,IF(ALLOC!$N$2="VOL_CLASS",$U246,$V246)))</f>
        <v/>
      </c>
      <c r="AR246" t="str">
        <f>IF($A246="","",$AO246*IFERROR($AP246/$AQ246,0)*IFERROR($AE246/$AF246,0)*IFERROR($AC246/$AD246,0))</f>
        <v/>
      </c>
    </row>
    <row r="247" spans="1:46" x14ac:dyDescent="0.45">
      <c r="A247" t="str">
        <f>IF(Allocation2!D247="","",Allocation2!D247)</f>
        <v/>
      </c>
      <c r="B247" t="str">
        <f>IF(Allocation2!E247="","",Allocation2!E247)</f>
        <v/>
      </c>
      <c r="C247" t="str">
        <f>IF(Allocation2!F247="","",Allocation2!F247)</f>
        <v/>
      </c>
      <c r="D247" t="str">
        <f>IF(Allocation2!G247="","",Allocation2!G247)</f>
        <v/>
      </c>
      <c r="E247" t="str">
        <f>IF(Allocation2!H247="","",Allocation2!H247)</f>
        <v/>
      </c>
      <c r="F247" t="str">
        <f>IF(Allocation2!I247="","",Allocation2!I247)</f>
        <v/>
      </c>
      <c r="G247" t="str">
        <f>IF(Allocation2!E247="","",Allocation2!J247)</f>
        <v/>
      </c>
      <c r="H247" t="str">
        <f>IF(Allocation2!E247="","",Allocation2!K247)</f>
        <v/>
      </c>
      <c r="I247" t="str">
        <f>IF(Allocation2!E247="","",Allocation2!L247)</f>
        <v/>
      </c>
      <c r="J247" t="str">
        <f>IF($A247="","",Allocation2!X247)</f>
        <v/>
      </c>
      <c r="K247" t="str">
        <f>IF($A247="","",$H247*IF(AND(LEFT($D247,3)="BAC",$F247="INIT"),600,IF(LEFT($D247,3)="BAC",480,IF(AND(LEFT($D247,3)="MAS",$F247="INIT"),520,IF(LEFT($D247,3)="MAS",420,IF($F247="INIT",1000,700))))))</f>
        <v/>
      </c>
      <c r="L247" t="str">
        <f>IF($A247="","",SUMIFS($G$1:$G$349,$A$1:$A$349,$A247,$B$1:$B$349,$B247))</f>
        <v/>
      </c>
      <c r="M247" t="str">
        <f>IF($A247="","",SUMIFS($H$1:$H$349,$A$1:$A$349,$A247,$B$1:$B$349,$B247))</f>
        <v/>
      </c>
      <c r="N247" t="str">
        <f>IF($A247="","",SUMIFS($I$1:$I$349,$A$1:$A$349,$A247,$B$1:$B$349,$B247))</f>
        <v/>
      </c>
      <c r="O247" t="str">
        <f>IF($A247="","",SUMIFS($K$1:$K$349,$A$1:$A$349,$A247,$B$1:$B$349,$B247))</f>
        <v/>
      </c>
      <c r="P247" t="str">
        <f>IF($A247="","",SUMIFS($J$1:$J$349,$A$1:$A$349,$A247,$B$1:$B$349,$B247))</f>
        <v/>
      </c>
      <c r="Q247" t="str">
        <f>IF($A247="","",SUMIFS($G$1:$G$349,$A$1:$A$349,$A247,$C$1:$C$349,$C247))</f>
        <v/>
      </c>
      <c r="R247" t="str">
        <f>IF($A247="","",SUMIFS($H$1:$H$349,$A$1:$A$349,$A247,$C$1:$C$349,$C247))</f>
        <v/>
      </c>
      <c r="S247" t="str">
        <f>IF($A247="","",SUMIFS($I$1:$I$349,$A$1:$A$349,$A247,$C$1:$C$349,$C247))</f>
        <v/>
      </c>
      <c r="T247" t="str">
        <f>IF($A247="","",SUMIFS($G$1:$G$349,$A$1:$A$349,$A247))</f>
        <v/>
      </c>
      <c r="U247" t="str">
        <f>IF($A247="","",SUMIFS($H$1:$H$349,$A$1:$A$349,$A247))</f>
        <v/>
      </c>
      <c r="V247" t="str">
        <f>IF($A247="","",SUMIFS($I$1:$I$349,$A$1:$A$349,$A247))</f>
        <v/>
      </c>
      <c r="W247" t="str">
        <f>IF($A247="","",Allocation2!Y247)</f>
        <v/>
      </c>
      <c r="X247" t="str">
        <f>IF($A247="","",Allocation2!Z247)</f>
        <v/>
      </c>
      <c r="Y247" t="str">
        <f>IF($A247="","",Allocation2!AA247)</f>
        <v/>
      </c>
      <c r="Z247" t="str">
        <f>IF($A247="","",Allocation2!AB247)</f>
        <v/>
      </c>
      <c r="AA247" t="str">
        <f>IF($A247="","",Allocation2!AC247)</f>
        <v/>
      </c>
      <c r="AB247" t="str">
        <f>IF($A247="","",Allocation2!AD247)</f>
        <v/>
      </c>
      <c r="AC247" t="str">
        <f>IF($A247="","",IF(ALLOC!$N$4="VOL_EFF",$G247,IF(ALLOC!$N$4="VOL_CLASS",$H247,$I247)))</f>
        <v/>
      </c>
      <c r="AD247" t="str">
        <f>IF($A247="","",IF(ALLOC!$N$4="VOL_EFF",$L247,IF(ALLOC!$N$4="VOL_CLASS",$M247,$N247)))</f>
        <v/>
      </c>
      <c r="AE247" t="str">
        <f>IF($A247="","",IF(ALLOC!$N$3="VOL_EFF",$L247,IF(ALLOC!$N$3="VOL_CLASS",$M247,$N247)))</f>
        <v/>
      </c>
      <c r="AF247" t="str">
        <f>IF($A247="","",IF(ALLOC!$N$3="VOL_EFF",$Q247,IF(ALLOC!$N$3="VOL_CLASS",$R247,$S247)))</f>
        <v/>
      </c>
      <c r="AG247" t="str">
        <f>IF($A247="","",IF(ALLOC!$N$1="VOL_EFF",$Q247,IF(ALLOC!$N$1="VOL_CLASS",$R247,$S247)))</f>
        <v/>
      </c>
      <c r="AH247" t="str">
        <f>IF($A247="","",IF(ALLOC!$N$1="VOL_EFF",$T247,IF(ALLOC!$N$1="VOL_CLASS",$U247,$V247)))</f>
        <v/>
      </c>
      <c r="AI247" t="str">
        <f>IF($A247="","",$W247*IFERROR($K247/$O247,0))</f>
        <v/>
      </c>
      <c r="AJ247" t="str">
        <f>IF($A247="","",$X247*IFERROR($K247/$O247,0))</f>
        <v/>
      </c>
      <c r="AK247" t="str">
        <f>IF($A247="","",$Y247*IFERROR($G247/$L247,0)+$Z247*IFERROR($J247/$P247,0))</f>
        <v/>
      </c>
      <c r="AL247" t="str">
        <f>IF($A247="","",$AA247*IFERROR($AC247/$AD247,0))</f>
        <v/>
      </c>
      <c r="AM247" t="str">
        <f>IF($A247="","",$AB247*IFERROR($AG247/$AH247,0)*IFERROR($AE247/$AF247,0)*IFERROR($AC247/$AD247,0))</f>
        <v/>
      </c>
      <c r="AN247" t="str">
        <f>IF($A247="","",$I247-($AI247+$AJ247+$AK247+$AL247+$AM247+$AR247))</f>
        <v/>
      </c>
      <c r="AO247" t="str">
        <f>IF($A247="","",Allocation2!AE247)</f>
        <v/>
      </c>
      <c r="AP247" t="str">
        <f>IF($A247="","",IF(ALLOC!$N$2="VOL_EFF",$Q247,IF(ALLOC!$N$2="VOL_CLASS",$R247,$S247)))</f>
        <v/>
      </c>
      <c r="AQ247" t="str">
        <f>IF($A247="","",IF(ALLOC!$N$2="VOL_EFF",$T247,IF(ALLOC!$N$2="VOL_CLASS",$U247,$V247)))</f>
        <v/>
      </c>
      <c r="AR247" t="str">
        <f>IF($A247="","",$AO247*IFERROR($AP247/$AQ247,0)*IFERROR($AE247/$AF247,0)*IFERROR($AC247/$AD247,0))</f>
        <v/>
      </c>
    </row>
    <row r="248" spans="1:46" x14ac:dyDescent="0.45">
      <c r="A248" t="str">
        <f>IF(Allocation2!D248="","",Allocation2!D248)</f>
        <v/>
      </c>
      <c r="B248" t="str">
        <f>IF(Allocation2!E248="","",Allocation2!E248)</f>
        <v/>
      </c>
      <c r="C248" t="str">
        <f>IF(Allocation2!F248="","",Allocation2!F248)</f>
        <v/>
      </c>
      <c r="D248" t="str">
        <f>IF(Allocation2!G248="","",Allocation2!G248)</f>
        <v/>
      </c>
      <c r="E248" t="str">
        <f>IF(Allocation2!H248="","",Allocation2!H248)</f>
        <v/>
      </c>
      <c r="F248" t="str">
        <f>IF(Allocation2!I248="","",Allocation2!I248)</f>
        <v/>
      </c>
      <c r="G248" t="str">
        <f>IF(Allocation2!E248="","",Allocation2!J248)</f>
        <v/>
      </c>
      <c r="H248" t="str">
        <f>IF(Allocation2!E248="","",Allocation2!K248)</f>
        <v/>
      </c>
      <c r="I248" t="str">
        <f>IF(Allocation2!E248="","",Allocation2!L248)</f>
        <v/>
      </c>
      <c r="J248" t="str">
        <f>IF($A248="","",Allocation2!X248)</f>
        <v/>
      </c>
      <c r="K248" t="str">
        <f>IF($A248="","",$H248*IF(AND(LEFT($D248,3)="BAC",$F248="INIT"),600,IF(LEFT($D248,3)="BAC",480,IF(AND(LEFT($D248,3)="MAS",$F248="INIT"),520,IF(LEFT($D248,3)="MAS",420,IF($F248="INIT",1000,700))))))</f>
        <v/>
      </c>
      <c r="L248" t="str">
        <f>IF($A248="","",SUMIFS($G$1:$G$349,$A$1:$A$349,$A248,$B$1:$B$349,$B248))</f>
        <v/>
      </c>
      <c r="M248" t="str">
        <f>IF($A248="","",SUMIFS($H$1:$H$349,$A$1:$A$349,$A248,$B$1:$B$349,$B248))</f>
        <v/>
      </c>
      <c r="N248" t="str">
        <f>IF($A248="","",SUMIFS($I$1:$I$349,$A$1:$A$349,$A248,$B$1:$B$349,$B248))</f>
        <v/>
      </c>
      <c r="O248" t="str">
        <f>IF($A248="","",SUMIFS($K$1:$K$349,$A$1:$A$349,$A248,$B$1:$B$349,$B248))</f>
        <v/>
      </c>
      <c r="P248" t="str">
        <f>IF($A248="","",SUMIFS($J$1:$J$349,$A$1:$A$349,$A248,$B$1:$B$349,$B248))</f>
        <v/>
      </c>
      <c r="Q248" t="str">
        <f>IF($A248="","",SUMIFS($G$1:$G$349,$A$1:$A$349,$A248,$C$1:$C$349,$C248))</f>
        <v/>
      </c>
      <c r="R248" t="str">
        <f>IF($A248="","",SUMIFS($H$1:$H$349,$A$1:$A$349,$A248,$C$1:$C$349,$C248))</f>
        <v/>
      </c>
      <c r="S248" t="str">
        <f>IF($A248="","",SUMIFS($I$1:$I$349,$A$1:$A$349,$A248,$C$1:$C$349,$C248))</f>
        <v/>
      </c>
      <c r="T248" t="str">
        <f>IF($A248="","",SUMIFS($G$1:$G$349,$A$1:$A$349,$A248))</f>
        <v/>
      </c>
      <c r="U248" t="str">
        <f>IF($A248="","",SUMIFS($H$1:$H$349,$A$1:$A$349,$A248))</f>
        <v/>
      </c>
      <c r="V248" t="str">
        <f>IF($A248="","",SUMIFS($I$1:$I$349,$A$1:$A$349,$A248))</f>
        <v/>
      </c>
      <c r="W248" t="str">
        <f>IF($A248="","",Allocation2!Y248)</f>
        <v/>
      </c>
      <c r="X248" t="str">
        <f>IF($A248="","",Allocation2!Z248)</f>
        <v/>
      </c>
      <c r="Y248" t="str">
        <f>IF($A248="","",Allocation2!AA248)</f>
        <v/>
      </c>
      <c r="Z248" t="str">
        <f>IF($A248="","",Allocation2!AB248)</f>
        <v/>
      </c>
      <c r="AA248" t="str">
        <f>IF($A248="","",Allocation2!AC248)</f>
        <v/>
      </c>
      <c r="AB248" t="str">
        <f>IF($A248="","",Allocation2!AD248)</f>
        <v/>
      </c>
      <c r="AC248" t="str">
        <f>IF($A248="","",IF(ALLOC!$N$4="VOL_EFF",$G248,IF(ALLOC!$N$4="VOL_CLASS",$H248,$I248)))</f>
        <v/>
      </c>
      <c r="AD248" t="str">
        <f>IF($A248="","",IF(ALLOC!$N$4="VOL_EFF",$L248,IF(ALLOC!$N$4="VOL_CLASS",$M248,$N248)))</f>
        <v/>
      </c>
      <c r="AE248" t="str">
        <f>IF($A248="","",IF(ALLOC!$N$3="VOL_EFF",$L248,IF(ALLOC!$N$3="VOL_CLASS",$M248,$N248)))</f>
        <v/>
      </c>
      <c r="AF248" t="str">
        <f>IF($A248="","",IF(ALLOC!$N$3="VOL_EFF",$Q248,IF(ALLOC!$N$3="VOL_CLASS",$R248,$S248)))</f>
        <v/>
      </c>
      <c r="AG248" t="str">
        <f>IF($A248="","",IF(ALLOC!$N$1="VOL_EFF",$Q248,IF(ALLOC!$N$1="VOL_CLASS",$R248,$S248)))</f>
        <v/>
      </c>
      <c r="AH248" t="str">
        <f>IF($A248="","",IF(ALLOC!$N$1="VOL_EFF",$T248,IF(ALLOC!$N$1="VOL_CLASS",$U248,$V248)))</f>
        <v/>
      </c>
      <c r="AI248" t="str">
        <f>IF($A248="","",$W248*IFERROR($K248/$O248,0))</f>
        <v/>
      </c>
      <c r="AJ248" t="str">
        <f>IF($A248="","",$X248*IFERROR($K248/$O248,0))</f>
        <v/>
      </c>
      <c r="AK248" t="str">
        <f>IF($A248="","",$Y248*IFERROR($G248/$L248,0)+$Z248*IFERROR($J248/$P248,0))</f>
        <v/>
      </c>
      <c r="AL248" t="str">
        <f>IF($A248="","",$AA248*IFERROR($AC248/$AD248,0))</f>
        <v/>
      </c>
      <c r="AM248" t="str">
        <f>IF($A248="","",$AB248*IFERROR($AG248/$AH248,0)*IFERROR($AE248/$AF248,0)*IFERROR($AC248/$AD248,0))</f>
        <v/>
      </c>
      <c r="AN248" t="str">
        <f>IF($A248="","",$I248-($AI248+$AJ248+$AK248+$AL248+$AM248+$AR248))</f>
        <v/>
      </c>
      <c r="AO248" t="str">
        <f>IF($A248="","",Allocation2!AE248)</f>
        <v/>
      </c>
      <c r="AP248" t="str">
        <f>IF($A248="","",IF(ALLOC!$N$2="VOL_EFF",$Q248,IF(ALLOC!$N$2="VOL_CLASS",$R248,$S248)))</f>
        <v/>
      </c>
      <c r="AQ248" t="str">
        <f>IF($A248="","",IF(ALLOC!$N$2="VOL_EFF",$T248,IF(ALLOC!$N$2="VOL_CLASS",$U248,$V248)))</f>
        <v/>
      </c>
      <c r="AR248" t="str">
        <f>IF($A248="","",$AO248*IFERROR($AP248/$AQ248,0)*IFERROR($AE248/$AF248,0)*IFERROR($AC248/$AD248,0))</f>
        <v/>
      </c>
    </row>
    <row r="249" spans="1:46" x14ac:dyDescent="0.45">
      <c r="A249" t="str">
        <f>IF(Allocation2!D249="","",Allocation2!D249)</f>
        <v/>
      </c>
      <c r="B249" t="str">
        <f>IF(Allocation2!E249="","",Allocation2!E249)</f>
        <v/>
      </c>
      <c r="C249" t="str">
        <f>IF(Allocation2!F249="","",Allocation2!F249)</f>
        <v/>
      </c>
      <c r="D249" t="str">
        <f>IF(Allocation2!G249="","",Allocation2!G249)</f>
        <v/>
      </c>
      <c r="E249" t="str">
        <f>IF(Allocation2!H249="","",Allocation2!H249)</f>
        <v/>
      </c>
      <c r="F249" t="str">
        <f>IF(Allocation2!I249="","",Allocation2!I249)</f>
        <v/>
      </c>
      <c r="G249" t="str">
        <f>IF(Allocation2!E249="","",Allocation2!J249)</f>
        <v/>
      </c>
      <c r="H249" t="str">
        <f>IF(Allocation2!E249="","",Allocation2!K249)</f>
        <v/>
      </c>
      <c r="I249" t="str">
        <f>IF(Allocation2!E249="","",Allocation2!L249)</f>
        <v/>
      </c>
      <c r="J249" t="str">
        <f>IF($A249="","",Allocation2!X249)</f>
        <v/>
      </c>
      <c r="K249" t="str">
        <f>IF($A249="","",$H249*IF(AND(LEFT($D249,3)="BAC",$F249="INIT"),600,IF(LEFT($D249,3)="BAC",480,IF(AND(LEFT($D249,3)="MAS",$F249="INIT"),520,IF(LEFT($D249,3)="MAS",420,IF($F249="INIT",1000,700))))))</f>
        <v/>
      </c>
      <c r="L249" t="str">
        <f>IF($A249="","",SUMIFS($G$1:$G$349,$A$1:$A$349,$A249,$B$1:$B$349,$B249))</f>
        <v/>
      </c>
      <c r="M249" t="str">
        <f>IF($A249="","",SUMIFS($H$1:$H$349,$A$1:$A$349,$A249,$B$1:$B$349,$B249))</f>
        <v/>
      </c>
      <c r="N249" t="str">
        <f>IF($A249="","",SUMIFS($I$1:$I$349,$A$1:$A$349,$A249,$B$1:$B$349,$B249))</f>
        <v/>
      </c>
      <c r="O249" t="str">
        <f>IF($A249="","",SUMIFS($K$1:$K$349,$A$1:$A$349,$A249,$B$1:$B$349,$B249))</f>
        <v/>
      </c>
      <c r="P249" t="str">
        <f>IF($A249="","",SUMIFS($J$1:$J$349,$A$1:$A$349,$A249,$B$1:$B$349,$B249))</f>
        <v/>
      </c>
      <c r="Q249" t="str">
        <f>IF($A249="","",SUMIFS($G$1:$G$349,$A$1:$A$349,$A249,$C$1:$C$349,$C249))</f>
        <v/>
      </c>
      <c r="R249" t="str">
        <f>IF($A249="","",SUMIFS($H$1:$H$349,$A$1:$A$349,$A249,$C$1:$C$349,$C249))</f>
        <v/>
      </c>
      <c r="S249" t="str">
        <f>IF($A249="","",SUMIFS($I$1:$I$349,$A$1:$A$349,$A249,$C$1:$C$349,$C249))</f>
        <v/>
      </c>
      <c r="T249" t="str">
        <f>IF($A249="","",SUMIFS($G$1:$G$349,$A$1:$A$349,$A249))</f>
        <v/>
      </c>
      <c r="U249" t="str">
        <f>IF($A249="","",SUMIFS($H$1:$H$349,$A$1:$A$349,$A249))</f>
        <v/>
      </c>
      <c r="V249" t="str">
        <f>IF($A249="","",SUMIFS($I$1:$I$349,$A$1:$A$349,$A249))</f>
        <v/>
      </c>
      <c r="W249" t="str">
        <f>IF($A249="","",Allocation2!Y249)</f>
        <v/>
      </c>
      <c r="X249" t="str">
        <f>IF($A249="","",Allocation2!Z249)</f>
        <v/>
      </c>
      <c r="Y249" t="str">
        <f>IF($A249="","",Allocation2!AA249)</f>
        <v/>
      </c>
      <c r="Z249" t="str">
        <f>IF($A249="","",Allocation2!AB249)</f>
        <v/>
      </c>
      <c r="AA249" t="str">
        <f>IF($A249="","",Allocation2!AC249)</f>
        <v/>
      </c>
      <c r="AB249" t="str">
        <f>IF($A249="","",Allocation2!AD249)</f>
        <v/>
      </c>
      <c r="AC249" t="str">
        <f>IF($A249="","",IF(ALLOC!$N$4="VOL_EFF",$G249,IF(ALLOC!$N$4="VOL_CLASS",$H249,$I249)))</f>
        <v/>
      </c>
      <c r="AD249" t="str">
        <f>IF($A249="","",IF(ALLOC!$N$4="VOL_EFF",$L249,IF(ALLOC!$N$4="VOL_CLASS",$M249,$N249)))</f>
        <v/>
      </c>
      <c r="AE249" t="str">
        <f>IF($A249="","",IF(ALLOC!$N$3="VOL_EFF",$L249,IF(ALLOC!$N$3="VOL_CLASS",$M249,$N249)))</f>
        <v/>
      </c>
      <c r="AF249" t="str">
        <f>IF($A249="","",IF(ALLOC!$N$3="VOL_EFF",$Q249,IF(ALLOC!$N$3="VOL_CLASS",$R249,$S249)))</f>
        <v/>
      </c>
      <c r="AG249" t="str">
        <f>IF($A249="","",IF(ALLOC!$N$1="VOL_EFF",$Q249,IF(ALLOC!$N$1="VOL_CLASS",$R249,$S249)))</f>
        <v/>
      </c>
      <c r="AH249" t="str">
        <f>IF($A249="","",IF(ALLOC!$N$1="VOL_EFF",$T249,IF(ALLOC!$N$1="VOL_CLASS",$U249,$V249)))</f>
        <v/>
      </c>
      <c r="AI249" t="str">
        <f>IF($A249="","",$W249*IFERROR($K249/$O249,0))</f>
        <v/>
      </c>
      <c r="AJ249" t="str">
        <f>IF($A249="","",$X249*IFERROR($K249/$O249,0))</f>
        <v/>
      </c>
      <c r="AK249" t="str">
        <f>IF($A249="","",$Y249*IFERROR($G249/$L249,0)+$Z249*IFERROR($J249/$P249,0))</f>
        <v/>
      </c>
      <c r="AL249" t="str">
        <f>IF($A249="","",$AA249*IFERROR($AC249/$AD249,0))</f>
        <v/>
      </c>
      <c r="AM249" t="str">
        <f>IF($A249="","",$AB249*IFERROR($AG249/$AH249,0)*IFERROR($AE249/$AF249,0)*IFERROR($AC249/$AD249,0))</f>
        <v/>
      </c>
      <c r="AN249" t="str">
        <f>IF($A249="","",$I249-($AI249+$AJ249+$AK249+$AL249+$AM249+$AR249))</f>
        <v/>
      </c>
      <c r="AO249" t="str">
        <f>IF($A249="","",Allocation2!AE249)</f>
        <v/>
      </c>
      <c r="AP249" t="str">
        <f>IF($A249="","",IF(ALLOC!$N$2="VOL_EFF",$Q249,IF(ALLOC!$N$2="VOL_CLASS",$R249,$S249)))</f>
        <v/>
      </c>
      <c r="AQ249" t="str">
        <f>IF($A249="","",IF(ALLOC!$N$2="VOL_EFF",$T249,IF(ALLOC!$N$2="VOL_CLASS",$U249,$V249)))</f>
        <v/>
      </c>
      <c r="AR249" t="str">
        <f>IF($A249="","",$AO249*IFERROR($AP249/$AQ249,0)*IFERROR($AE249/$AF249,0)*IFERROR($AC249/$AD249,0))</f>
        <v/>
      </c>
    </row>
    <row r="250" spans="1:46" x14ac:dyDescent="0.45">
      <c r="A250" t="str">
        <f>IF(Allocation2!D250="","",Allocation2!D250)</f>
        <v/>
      </c>
      <c r="B250" t="str">
        <f>IF(Allocation2!E250="","",Allocation2!E250)</f>
        <v/>
      </c>
      <c r="C250" t="str">
        <f>IF(Allocation2!F250="","",Allocation2!F250)</f>
        <v/>
      </c>
      <c r="D250" t="str">
        <f>IF(Allocation2!G250="","",Allocation2!G250)</f>
        <v/>
      </c>
      <c r="E250" t="str">
        <f>IF(Allocation2!H250="","",Allocation2!H250)</f>
        <v/>
      </c>
      <c r="F250" t="str">
        <f>IF(Allocation2!I250="","",Allocation2!I250)</f>
        <v/>
      </c>
      <c r="G250" t="str">
        <f>IF(Allocation2!E250="","",Allocation2!J250)</f>
        <v/>
      </c>
      <c r="H250" t="str">
        <f>IF(Allocation2!E250="","",Allocation2!K250)</f>
        <v/>
      </c>
      <c r="I250" t="str">
        <f>IF(Allocation2!E250="","",Allocation2!L250)</f>
        <v/>
      </c>
      <c r="J250" t="str">
        <f>IF($A250="","",Allocation2!X250)</f>
        <v/>
      </c>
      <c r="K250" t="str">
        <f>IF($A250="","",$H250*IF(AND(LEFT($D250,3)="BAC",$F250="INIT"),600,IF(LEFT($D250,3)="BAC",480,IF(AND(LEFT($D250,3)="MAS",$F250="INIT"),520,IF(LEFT($D250,3)="MAS",420,IF($F250="INIT",1000,700))))))</f>
        <v/>
      </c>
      <c r="L250" t="str">
        <f>IF($A250="","",SUMIFS($G$1:$G$349,$A$1:$A$349,$A250,$B$1:$B$349,$B250))</f>
        <v/>
      </c>
      <c r="M250" t="str">
        <f>IF($A250="","",SUMIFS($H$1:$H$349,$A$1:$A$349,$A250,$B$1:$B$349,$B250))</f>
        <v/>
      </c>
      <c r="N250" t="str">
        <f>IF($A250="","",SUMIFS($I$1:$I$349,$A$1:$A$349,$A250,$B$1:$B$349,$B250))</f>
        <v/>
      </c>
      <c r="O250" t="str">
        <f>IF($A250="","",SUMIFS($K$1:$K$349,$A$1:$A$349,$A250,$B$1:$B$349,$B250))</f>
        <v/>
      </c>
      <c r="P250" t="str">
        <f>IF($A250="","",SUMIFS($J$1:$J$349,$A$1:$A$349,$A250,$B$1:$B$349,$B250))</f>
        <v/>
      </c>
      <c r="Q250" t="str">
        <f>IF($A250="","",SUMIFS($G$1:$G$349,$A$1:$A$349,$A250,$C$1:$C$349,$C250))</f>
        <v/>
      </c>
      <c r="R250" t="str">
        <f>IF($A250="","",SUMIFS($H$1:$H$349,$A$1:$A$349,$A250,$C$1:$C$349,$C250))</f>
        <v/>
      </c>
      <c r="S250" t="str">
        <f>IF($A250="","",SUMIFS($I$1:$I$349,$A$1:$A$349,$A250,$C$1:$C$349,$C250))</f>
        <v/>
      </c>
      <c r="T250" t="str">
        <f>IF($A250="","",SUMIFS($G$1:$G$349,$A$1:$A$349,$A250))</f>
        <v/>
      </c>
      <c r="U250" t="str">
        <f>IF($A250="","",SUMIFS($H$1:$H$349,$A$1:$A$349,$A250))</f>
        <v/>
      </c>
      <c r="V250" t="str">
        <f>IF($A250="","",SUMIFS($I$1:$I$349,$A$1:$A$349,$A250))</f>
        <v/>
      </c>
      <c r="W250" t="str">
        <f>IF($A250="","",Allocation2!Y250)</f>
        <v/>
      </c>
      <c r="X250" t="str">
        <f>IF($A250="","",Allocation2!Z250)</f>
        <v/>
      </c>
      <c r="Y250" t="str">
        <f>IF($A250="","",Allocation2!AA250)</f>
        <v/>
      </c>
      <c r="Z250" t="str">
        <f>IF($A250="","",Allocation2!AB250)</f>
        <v/>
      </c>
      <c r="AA250" t="str">
        <f>IF($A250="","",Allocation2!AC250)</f>
        <v/>
      </c>
      <c r="AB250" t="str">
        <f>IF($A250="","",Allocation2!AD250)</f>
        <v/>
      </c>
      <c r="AC250" t="str">
        <f>IF($A250="","",IF(ALLOC!$N$4="VOL_EFF",$G250,IF(ALLOC!$N$4="VOL_CLASS",$H250,$I250)))</f>
        <v/>
      </c>
      <c r="AD250" t="str">
        <f>IF($A250="","",IF(ALLOC!$N$4="VOL_EFF",$L250,IF(ALLOC!$N$4="VOL_CLASS",$M250,$N250)))</f>
        <v/>
      </c>
      <c r="AE250" t="str">
        <f>IF($A250="","",IF(ALLOC!$N$3="VOL_EFF",$L250,IF(ALLOC!$N$3="VOL_CLASS",$M250,$N250)))</f>
        <v/>
      </c>
      <c r="AF250" t="str">
        <f>IF($A250="","",IF(ALLOC!$N$3="VOL_EFF",$Q250,IF(ALLOC!$N$3="VOL_CLASS",$R250,$S250)))</f>
        <v/>
      </c>
      <c r="AG250" t="str">
        <f>IF($A250="","",IF(ALLOC!$N$1="VOL_EFF",$Q250,IF(ALLOC!$N$1="VOL_CLASS",$R250,$S250)))</f>
        <v/>
      </c>
      <c r="AH250" t="str">
        <f>IF($A250="","",IF(ALLOC!$N$1="VOL_EFF",$T250,IF(ALLOC!$N$1="VOL_CLASS",$U250,$V250)))</f>
        <v/>
      </c>
      <c r="AI250" t="str">
        <f>IF($A250="","",$W250*IFERROR($K250/$O250,0))</f>
        <v/>
      </c>
      <c r="AJ250" t="str">
        <f>IF($A250="","",$X250*IFERROR($K250/$O250,0))</f>
        <v/>
      </c>
      <c r="AK250" t="str">
        <f>IF($A250="","",$Y250*IFERROR($G250/$L250,0)+$Z250*IFERROR($J250/$P250,0))</f>
        <v/>
      </c>
      <c r="AL250" t="str">
        <f>IF($A250="","",$AA250*IFERROR($AC250/$AD250,0))</f>
        <v/>
      </c>
      <c r="AM250" t="str">
        <f>IF($A250="","",$AB250*IFERROR($AG250/$AH250,0)*IFERROR($AE250/$AF250,0)*IFERROR($AC250/$AD250,0))</f>
        <v/>
      </c>
      <c r="AN250" t="str">
        <f>IF($A250="","",$I250-($AI250+$AJ250+$AK250+$AL250+$AM250+$AR250))</f>
        <v/>
      </c>
      <c r="AO250" t="str">
        <f>IF($A250="","",Allocation2!AE250)</f>
        <v/>
      </c>
      <c r="AP250" t="str">
        <f>IF($A250="","",IF(ALLOC!$N$2="VOL_EFF",$Q250,IF(ALLOC!$N$2="VOL_CLASS",$R250,$S250)))</f>
        <v/>
      </c>
      <c r="AQ250" t="str">
        <f>IF($A250="","",IF(ALLOC!$N$2="VOL_EFF",$T250,IF(ALLOC!$N$2="VOL_CLASS",$U250,$V250)))</f>
        <v/>
      </c>
      <c r="AR250" t="str">
        <f>IF($A250="","",$AO250*IFERROR($AP250/$AQ250,0)*IFERROR($AE250/$AF250,0)*IFERROR($AC250/$AD250,0))</f>
        <v/>
      </c>
    </row>
    <row r="251" spans="1:46" x14ac:dyDescent="0.45">
      <c r="A251" t="str">
        <f>IF(Allocation2!D251="","",Allocation2!D251)</f>
        <v/>
      </c>
      <c r="B251" t="str">
        <f>IF(Allocation2!E251="","",Allocation2!E251)</f>
        <v/>
      </c>
      <c r="C251" t="str">
        <f>IF(Allocation2!F251="","",Allocation2!F251)</f>
        <v/>
      </c>
      <c r="D251" t="str">
        <f>IF(Allocation2!G251="","",Allocation2!G251)</f>
        <v/>
      </c>
      <c r="E251" t="str">
        <f>IF(Allocation2!H251="","",Allocation2!H251)</f>
        <v/>
      </c>
      <c r="F251" t="str">
        <f>IF(Allocation2!I251="","",Allocation2!I251)</f>
        <v/>
      </c>
      <c r="G251" t="str">
        <f>IF(Allocation2!E251="","",Allocation2!J251)</f>
        <v/>
      </c>
      <c r="H251" t="str">
        <f>IF(Allocation2!E251="","",Allocation2!K251)</f>
        <v/>
      </c>
      <c r="I251" t="str">
        <f>IF(Allocation2!E251="","",Allocation2!L251)</f>
        <v/>
      </c>
      <c r="J251" t="str">
        <f>IF($A251="","",Allocation2!X251)</f>
        <v/>
      </c>
      <c r="K251" t="str">
        <f>IF($A251="","",$H251*IF(AND(LEFT($D251,3)="BAC",$F251="INIT"),600,IF(LEFT($D251,3)="BAC",480,IF(AND(LEFT($D251,3)="MAS",$F251="INIT"),520,IF(LEFT($D251,3)="MAS",420,IF($F251="INIT",1000,700))))))</f>
        <v/>
      </c>
      <c r="L251" t="str">
        <f>IF($A251="","",SUMIFS($G$1:$G$349,$A$1:$A$349,$A251,$B$1:$B$349,$B251))</f>
        <v/>
      </c>
      <c r="M251" t="str">
        <f>IF($A251="","",SUMIFS($H$1:$H$349,$A$1:$A$349,$A251,$B$1:$B$349,$B251))</f>
        <v/>
      </c>
      <c r="N251" t="str">
        <f>IF($A251="","",SUMIFS($I$1:$I$349,$A$1:$A$349,$A251,$B$1:$B$349,$B251))</f>
        <v/>
      </c>
      <c r="O251" t="str">
        <f>IF($A251="","",SUMIFS($K$1:$K$349,$A$1:$A$349,$A251,$B$1:$B$349,$B251))</f>
        <v/>
      </c>
      <c r="P251" t="str">
        <f>IF($A251="","",SUMIFS($J$1:$J$349,$A$1:$A$349,$A251,$B$1:$B$349,$B251))</f>
        <v/>
      </c>
      <c r="Q251" t="str">
        <f>IF($A251="","",SUMIFS($G$1:$G$349,$A$1:$A$349,$A251,$C$1:$C$349,$C251))</f>
        <v/>
      </c>
      <c r="R251" t="str">
        <f>IF($A251="","",SUMIFS($H$1:$H$349,$A$1:$A$349,$A251,$C$1:$C$349,$C251))</f>
        <v/>
      </c>
      <c r="S251" t="str">
        <f>IF($A251="","",SUMIFS($I$1:$I$349,$A$1:$A$349,$A251,$C$1:$C$349,$C251))</f>
        <v/>
      </c>
      <c r="T251" t="str">
        <f>IF($A251="","",SUMIFS($G$1:$G$349,$A$1:$A$349,$A251))</f>
        <v/>
      </c>
      <c r="U251" t="str">
        <f>IF($A251="","",SUMIFS($H$1:$H$349,$A$1:$A$349,$A251))</f>
        <v/>
      </c>
      <c r="V251" t="str">
        <f>IF($A251="","",SUMIFS($I$1:$I$349,$A$1:$A$349,$A251))</f>
        <v/>
      </c>
      <c r="W251" t="str">
        <f>IF($A251="","",Allocation2!Y251)</f>
        <v/>
      </c>
      <c r="X251" t="str">
        <f>IF($A251="","",Allocation2!Z251)</f>
        <v/>
      </c>
      <c r="Y251" t="str">
        <f>IF($A251="","",Allocation2!AA251)</f>
        <v/>
      </c>
      <c r="Z251" t="str">
        <f>IF($A251="","",Allocation2!AB251)</f>
        <v/>
      </c>
      <c r="AA251" t="str">
        <f>IF($A251="","",Allocation2!AC251)</f>
        <v/>
      </c>
      <c r="AB251" t="str">
        <f>IF($A251="","",Allocation2!AD251)</f>
        <v/>
      </c>
      <c r="AC251" t="str">
        <f>IF($A251="","",IF(ALLOC!$N$4="VOL_EFF",$G251,IF(ALLOC!$N$4="VOL_CLASS",$H251,$I251)))</f>
        <v/>
      </c>
      <c r="AD251" t="str">
        <f>IF($A251="","",IF(ALLOC!$N$4="VOL_EFF",$L251,IF(ALLOC!$N$4="VOL_CLASS",$M251,$N251)))</f>
        <v/>
      </c>
      <c r="AE251" t="str">
        <f>IF($A251="","",IF(ALLOC!$N$3="VOL_EFF",$L251,IF(ALLOC!$N$3="VOL_CLASS",$M251,$N251)))</f>
        <v/>
      </c>
      <c r="AF251" t="str">
        <f>IF($A251="","",IF(ALLOC!$N$3="VOL_EFF",$Q251,IF(ALLOC!$N$3="VOL_CLASS",$R251,$S251)))</f>
        <v/>
      </c>
      <c r="AG251" t="str">
        <f>IF($A251="","",IF(ALLOC!$N$1="VOL_EFF",$Q251,IF(ALLOC!$N$1="VOL_CLASS",$R251,$S251)))</f>
        <v/>
      </c>
      <c r="AH251" t="str">
        <f>IF($A251="","",IF(ALLOC!$N$1="VOL_EFF",$T251,IF(ALLOC!$N$1="VOL_CLASS",$U251,$V251)))</f>
        <v/>
      </c>
      <c r="AI251" t="str">
        <f>IF($A251="","",$W251*IFERROR($K251/$O251,0))</f>
        <v/>
      </c>
      <c r="AJ251" t="str">
        <f>IF($A251="","",$X251*IFERROR($K251/$O251,0))</f>
        <v/>
      </c>
      <c r="AK251" t="str">
        <f>IF($A251="","",$Y251*IFERROR($G251/$L251,0)+$Z251*IFERROR($J251/$P251,0))</f>
        <v/>
      </c>
      <c r="AL251" t="str">
        <f>IF($A251="","",$AA251*IFERROR($AC251/$AD251,0))</f>
        <v/>
      </c>
      <c r="AM251" t="str">
        <f>IF($A251="","",$AB251*IFERROR($AG251/$AH251,0)*IFERROR($AE251/$AF251,0)*IFERROR($AC251/$AD251,0))</f>
        <v/>
      </c>
      <c r="AN251" t="str">
        <f>IF($A251="","",$I251-($AI251+$AJ251+$AK251+$AL251+$AM251+$AR251))</f>
        <v/>
      </c>
      <c r="AO251" t="str">
        <f>IF($A251="","",Allocation2!AE251)</f>
        <v/>
      </c>
      <c r="AP251" t="str">
        <f>IF($A251="","",IF(ALLOC!$N$2="VOL_EFF",$Q251,IF(ALLOC!$N$2="VOL_CLASS",$R251,$S251)))</f>
        <v/>
      </c>
      <c r="AQ251" t="str">
        <f>IF($A251="","",IF(ALLOC!$N$2="VOL_EFF",$T251,IF(ALLOC!$N$2="VOL_CLASS",$U251,$V251)))</f>
        <v/>
      </c>
      <c r="AR251" t="str">
        <f>IF($A251="","",$AO251*IFERROR($AP251/$AQ251,0)*IFERROR($AE251/$AF251,0)*IFERROR($AC251/$AD251,0))</f>
        <v/>
      </c>
    </row>
    <row r="252" spans="1:46" x14ac:dyDescent="0.45">
      <c r="A252" t="str">
        <f>IF(Allocation2!D252="","",Allocation2!D252)</f>
        <v/>
      </c>
      <c r="B252" t="str">
        <f>IF(Allocation2!E252="","",Allocation2!E252)</f>
        <v/>
      </c>
      <c r="C252" t="str">
        <f>IF(Allocation2!F252="","",Allocation2!F252)</f>
        <v/>
      </c>
      <c r="D252" t="str">
        <f>IF(Allocation2!G252="","",Allocation2!G252)</f>
        <v/>
      </c>
      <c r="E252" t="str">
        <f>IF(Allocation2!H252="","",Allocation2!H252)</f>
        <v/>
      </c>
      <c r="F252" t="str">
        <f>IF(Allocation2!I252="","",Allocation2!I252)</f>
        <v/>
      </c>
      <c r="G252" t="str">
        <f>IF(Allocation2!E252="","",Allocation2!J252)</f>
        <v/>
      </c>
      <c r="H252" t="str">
        <f>IF(Allocation2!E252="","",Allocation2!K252)</f>
        <v/>
      </c>
      <c r="I252" t="str">
        <f>IF(Allocation2!E252="","",Allocation2!L252)</f>
        <v/>
      </c>
      <c r="J252" t="str">
        <f>IF($A252="","",Allocation2!X252)</f>
        <v/>
      </c>
      <c r="K252" t="str">
        <f>IF($A252="","",$H252*IF(AND(LEFT($D252,3)="BAC",$F252="INIT"),600,IF(LEFT($D252,3)="BAC",480,IF(AND(LEFT($D252,3)="MAS",$F252="INIT"),520,IF(LEFT($D252,3)="MAS",420,IF($F252="INIT",1000,700))))))</f>
        <v/>
      </c>
      <c r="L252" t="str">
        <f>IF($A252="","",SUMIFS($G$1:$G$349,$A$1:$A$349,$A252,$B$1:$B$349,$B252))</f>
        <v/>
      </c>
      <c r="M252" t="str">
        <f>IF($A252="","",SUMIFS($H$1:$H$349,$A$1:$A$349,$A252,$B$1:$B$349,$B252))</f>
        <v/>
      </c>
      <c r="N252" t="str">
        <f>IF($A252="","",SUMIFS($I$1:$I$349,$A$1:$A$349,$A252,$B$1:$B$349,$B252))</f>
        <v/>
      </c>
      <c r="O252" t="str">
        <f>IF($A252="","",SUMIFS($K$1:$K$349,$A$1:$A$349,$A252,$B$1:$B$349,$B252))</f>
        <v/>
      </c>
      <c r="P252" t="str">
        <f>IF($A252="","",SUMIFS($J$1:$J$349,$A$1:$A$349,$A252,$B$1:$B$349,$B252))</f>
        <v/>
      </c>
      <c r="Q252" t="str">
        <f>IF($A252="","",SUMIFS($G$1:$G$349,$A$1:$A$349,$A252,$C$1:$C$349,$C252))</f>
        <v/>
      </c>
      <c r="R252" t="str">
        <f>IF($A252="","",SUMIFS($H$1:$H$349,$A$1:$A$349,$A252,$C$1:$C$349,$C252))</f>
        <v/>
      </c>
      <c r="S252" t="str">
        <f>IF($A252="","",SUMIFS($I$1:$I$349,$A$1:$A$349,$A252,$C$1:$C$349,$C252))</f>
        <v/>
      </c>
      <c r="T252" t="str">
        <f>IF($A252="","",SUMIFS($G$1:$G$349,$A$1:$A$349,$A252))</f>
        <v/>
      </c>
      <c r="U252" t="str">
        <f>IF($A252="","",SUMIFS($H$1:$H$349,$A$1:$A$349,$A252))</f>
        <v/>
      </c>
      <c r="V252" t="str">
        <f>IF($A252="","",SUMIFS($I$1:$I$349,$A$1:$A$349,$A252))</f>
        <v/>
      </c>
      <c r="W252" t="str">
        <f>IF($A252="","",Allocation2!Y252)</f>
        <v/>
      </c>
      <c r="X252" t="str">
        <f>IF($A252="","",Allocation2!Z252)</f>
        <v/>
      </c>
      <c r="Y252" t="str">
        <f>IF($A252="","",Allocation2!AA252)</f>
        <v/>
      </c>
      <c r="Z252" t="str">
        <f>IF($A252="","",Allocation2!AB252)</f>
        <v/>
      </c>
      <c r="AA252" t="str">
        <f>IF($A252="","",Allocation2!AC252)</f>
        <v/>
      </c>
      <c r="AB252" t="str">
        <f>IF($A252="","",Allocation2!AD252)</f>
        <v/>
      </c>
      <c r="AC252" t="str">
        <f>IF($A252="","",IF(ALLOC!$N$4="VOL_EFF",$G252,IF(ALLOC!$N$4="VOL_CLASS",$H252,$I252)))</f>
        <v/>
      </c>
      <c r="AD252" t="str">
        <f>IF($A252="","",IF(ALLOC!$N$4="VOL_EFF",$L252,IF(ALLOC!$N$4="VOL_CLASS",$M252,$N252)))</f>
        <v/>
      </c>
      <c r="AE252" t="str">
        <f>IF($A252="","",IF(ALLOC!$N$3="VOL_EFF",$L252,IF(ALLOC!$N$3="VOL_CLASS",$M252,$N252)))</f>
        <v/>
      </c>
      <c r="AF252" t="str">
        <f>IF($A252="","",IF(ALLOC!$N$3="VOL_EFF",$Q252,IF(ALLOC!$N$3="VOL_CLASS",$R252,$S252)))</f>
        <v/>
      </c>
      <c r="AG252" t="str">
        <f>IF($A252="","",IF(ALLOC!$N$1="VOL_EFF",$Q252,IF(ALLOC!$N$1="VOL_CLASS",$R252,$S252)))</f>
        <v/>
      </c>
      <c r="AH252" t="str">
        <f>IF($A252="","",IF(ALLOC!$N$1="VOL_EFF",$T252,IF(ALLOC!$N$1="VOL_CLASS",$U252,$V252)))</f>
        <v/>
      </c>
      <c r="AI252" t="str">
        <f>IF($A252="","",$W252*IFERROR($K252/$O252,0))</f>
        <v/>
      </c>
      <c r="AJ252" t="str">
        <f>IF($A252="","",$X252*IFERROR($K252/$O252,0))</f>
        <v/>
      </c>
      <c r="AK252" t="str">
        <f>IF($A252="","",$Y252*IFERROR($G252/$L252,0)+$Z252*IFERROR($J252/$P252,0))</f>
        <v/>
      </c>
      <c r="AL252" t="str">
        <f>IF($A252="","",$AA252*IFERROR($AC252/$AD252,0))</f>
        <v/>
      </c>
      <c r="AM252" t="str">
        <f>IF($A252="","",$AB252*IFERROR($AG252/$AH252,0)*IFERROR($AE252/$AF252,0)*IFERROR($AC252/$AD252,0))</f>
        <v/>
      </c>
      <c r="AN252" t="str">
        <f>IF($A252="","",$I252-($AI252+$AJ252+$AK252+$AL252+$AM252+$AR252))</f>
        <v/>
      </c>
      <c r="AO252" t="str">
        <f>IF($A252="","",Allocation2!AE252)</f>
        <v/>
      </c>
      <c r="AP252" t="str">
        <f>IF($A252="","",IF(ALLOC!$N$2="VOL_EFF",$Q252,IF(ALLOC!$N$2="VOL_CLASS",$R252,$S252)))</f>
        <v/>
      </c>
      <c r="AQ252" t="str">
        <f>IF($A252="","",IF(ALLOC!$N$2="VOL_EFF",$T252,IF(ALLOC!$N$2="VOL_CLASS",$U252,$V252)))</f>
        <v/>
      </c>
      <c r="AR252" t="str">
        <f>IF($A252="","",$AO252*IFERROR($AP252/$AQ252,0)*IFERROR($AE252/$AF252,0)*IFERROR($AC252/$AD252,0))</f>
        <v/>
      </c>
    </row>
    <row r="253" spans="1:46" x14ac:dyDescent="0.45">
      <c r="A253" t="str">
        <f>IF(Allocation2!D253="","",Allocation2!D253)</f>
        <v/>
      </c>
      <c r="B253" t="str">
        <f>IF(Allocation2!E253="","",Allocation2!E253)</f>
        <v/>
      </c>
      <c r="C253" t="str">
        <f>IF(Allocation2!F253="","",Allocation2!F253)</f>
        <v/>
      </c>
      <c r="D253" t="str">
        <f>IF(Allocation2!G253="","",Allocation2!G253)</f>
        <v/>
      </c>
      <c r="E253" t="str">
        <f>IF(Allocation2!H253="","",Allocation2!H253)</f>
        <v/>
      </c>
      <c r="F253" t="str">
        <f>IF(Allocation2!I253="","",Allocation2!I253)</f>
        <v/>
      </c>
      <c r="G253" t="str">
        <f>IF(Allocation2!E253="","",Allocation2!J253)</f>
        <v/>
      </c>
      <c r="H253" t="str">
        <f>IF(Allocation2!E253="","",Allocation2!K253)</f>
        <v/>
      </c>
      <c r="I253" t="str">
        <f>IF(Allocation2!E253="","",Allocation2!L253)</f>
        <v/>
      </c>
      <c r="J253" t="str">
        <f>IF($A253="","",Allocation2!X253)</f>
        <v/>
      </c>
      <c r="K253" t="str">
        <f>IF($A253="","",$H253*IF(AND(LEFT($D253,3)="BAC",$F253="INIT"),600,IF(LEFT($D253,3)="BAC",480,IF(AND(LEFT($D253,3)="MAS",$F253="INIT"),520,IF(LEFT($D253,3)="MAS",420,IF($F253="INIT",1000,700))))))</f>
        <v/>
      </c>
      <c r="L253" t="str">
        <f>IF($A253="","",SUMIFS($G$1:$G$349,$A$1:$A$349,$A253,$B$1:$B$349,$B253))</f>
        <v/>
      </c>
      <c r="M253" t="str">
        <f>IF($A253="","",SUMIFS($H$1:$H$349,$A$1:$A$349,$A253,$B$1:$B$349,$B253))</f>
        <v/>
      </c>
      <c r="N253" t="str">
        <f>IF($A253="","",SUMIFS($I$1:$I$349,$A$1:$A$349,$A253,$B$1:$B$349,$B253))</f>
        <v/>
      </c>
      <c r="O253" t="str">
        <f>IF($A253="","",SUMIFS($K$1:$K$349,$A$1:$A$349,$A253,$B$1:$B$349,$B253))</f>
        <v/>
      </c>
      <c r="P253" t="str">
        <f>IF($A253="","",SUMIFS($J$1:$J$349,$A$1:$A$349,$A253,$B$1:$B$349,$B253))</f>
        <v/>
      </c>
      <c r="Q253" t="str">
        <f>IF($A253="","",SUMIFS($G$1:$G$349,$A$1:$A$349,$A253,$C$1:$C$349,$C253))</f>
        <v/>
      </c>
      <c r="R253" t="str">
        <f>IF($A253="","",SUMIFS($H$1:$H$349,$A$1:$A$349,$A253,$C$1:$C$349,$C253))</f>
        <v/>
      </c>
      <c r="S253" t="str">
        <f>IF($A253="","",SUMIFS($I$1:$I$349,$A$1:$A$349,$A253,$C$1:$C$349,$C253))</f>
        <v/>
      </c>
      <c r="T253" t="str">
        <f>IF($A253="","",SUMIFS($G$1:$G$349,$A$1:$A$349,$A253))</f>
        <v/>
      </c>
      <c r="U253" t="str">
        <f>IF($A253="","",SUMIFS($H$1:$H$349,$A$1:$A$349,$A253))</f>
        <v/>
      </c>
      <c r="V253" t="str">
        <f>IF($A253="","",SUMIFS($I$1:$I$349,$A$1:$A$349,$A253))</f>
        <v/>
      </c>
      <c r="W253" t="str">
        <f>IF($A253="","",Allocation2!Y253)</f>
        <v/>
      </c>
      <c r="X253" t="str">
        <f>IF($A253="","",Allocation2!Z253)</f>
        <v/>
      </c>
      <c r="Y253" t="str">
        <f>IF($A253="","",Allocation2!AA253)</f>
        <v/>
      </c>
      <c r="Z253" t="str">
        <f>IF($A253="","",Allocation2!AB253)</f>
        <v/>
      </c>
      <c r="AA253" t="str">
        <f>IF($A253="","",Allocation2!AC253)</f>
        <v/>
      </c>
      <c r="AB253" t="str">
        <f>IF($A253="","",Allocation2!AD253)</f>
        <v/>
      </c>
      <c r="AC253" t="str">
        <f>IF($A253="","",IF(ALLOC!$N$4="VOL_EFF",$G253,IF(ALLOC!$N$4="VOL_CLASS",$H253,$I253)))</f>
        <v/>
      </c>
      <c r="AD253" t="str">
        <f>IF($A253="","",IF(ALLOC!$N$4="VOL_EFF",$L253,IF(ALLOC!$N$4="VOL_CLASS",$M253,$N253)))</f>
        <v/>
      </c>
      <c r="AE253" t="str">
        <f>IF($A253="","",IF(ALLOC!$N$3="VOL_EFF",$L253,IF(ALLOC!$N$3="VOL_CLASS",$M253,$N253)))</f>
        <v/>
      </c>
      <c r="AF253" t="str">
        <f>IF($A253="","",IF(ALLOC!$N$3="VOL_EFF",$Q253,IF(ALLOC!$N$3="VOL_CLASS",$R253,$S253)))</f>
        <v/>
      </c>
      <c r="AG253" t="str">
        <f>IF($A253="","",IF(ALLOC!$N$1="VOL_EFF",$Q253,IF(ALLOC!$N$1="VOL_CLASS",$R253,$S253)))</f>
        <v/>
      </c>
      <c r="AH253" t="str">
        <f>IF($A253="","",IF(ALLOC!$N$1="VOL_EFF",$T253,IF(ALLOC!$N$1="VOL_CLASS",$U253,$V253)))</f>
        <v/>
      </c>
      <c r="AI253" t="str">
        <f>IF($A253="","",$W253*IFERROR($K253/$O253,0))</f>
        <v/>
      </c>
      <c r="AJ253" t="str">
        <f>IF($A253="","",$X253*IFERROR($K253/$O253,0))</f>
        <v/>
      </c>
      <c r="AK253" t="str">
        <f>IF($A253="","",$Y253*IFERROR($G253/$L253,0)+$Z253*IFERROR($J253/$P253,0))</f>
        <v/>
      </c>
      <c r="AL253" t="str">
        <f>IF($A253="","",$AA253*IFERROR($AC253/$AD253,0))</f>
        <v/>
      </c>
      <c r="AM253" t="str">
        <f>IF($A253="","",$AB253*IFERROR($AG253/$AH253,0)*IFERROR($AE253/$AF253,0)*IFERROR($AC253/$AD253,0))</f>
        <v/>
      </c>
      <c r="AN253" t="str">
        <f>IF($A253="","",$I253-($AI253+$AJ253+$AK253+$AL253+$AM253+$AR253))</f>
        <v/>
      </c>
      <c r="AO253" t="str">
        <f>IF($A253="","",Allocation2!AE253)</f>
        <v/>
      </c>
      <c r="AP253" t="str">
        <f>IF($A253="","",IF(ALLOC!$N$2="VOL_EFF",$Q253,IF(ALLOC!$N$2="VOL_CLASS",$R253,$S253)))</f>
        <v/>
      </c>
      <c r="AQ253" t="str">
        <f>IF($A253="","",IF(ALLOC!$N$2="VOL_EFF",$T253,IF(ALLOC!$N$2="VOL_CLASS",$U253,$V253)))</f>
        <v/>
      </c>
      <c r="AR253" t="str">
        <f>IF($A253="","",$AO253*IFERROR($AP253/$AQ253,0)*IFERROR($AE253/$AF253,0)*IFERROR($AC253/$AD253,0))</f>
        <v/>
      </c>
    </row>
    <row r="254" spans="1:46" x14ac:dyDescent="0.45">
      <c r="A254" t="str">
        <f>IF(Allocation2!D254="","",Allocation2!D254)</f>
        <v/>
      </c>
      <c r="B254" t="str">
        <f>IF(Allocation2!E254="","",Allocation2!E254)</f>
        <v/>
      </c>
      <c r="C254" t="str">
        <f>IF(Allocation2!F254="","",Allocation2!F254)</f>
        <v/>
      </c>
      <c r="D254" t="str">
        <f>IF(Allocation2!G254="","",Allocation2!G254)</f>
        <v/>
      </c>
      <c r="E254" t="str">
        <f>IF(Allocation2!H254="","",Allocation2!H254)</f>
        <v/>
      </c>
      <c r="F254" t="str">
        <f>IF(Allocation2!I254="","",Allocation2!I254)</f>
        <v/>
      </c>
      <c r="G254" t="str">
        <f>IF(Allocation2!E254="","",Allocation2!J254)</f>
        <v/>
      </c>
      <c r="H254" t="str">
        <f>IF(Allocation2!E254="","",Allocation2!K254)</f>
        <v/>
      </c>
      <c r="I254" t="str">
        <f>IF(Allocation2!E254="","",Allocation2!L254)</f>
        <v/>
      </c>
      <c r="J254" t="str">
        <f>IF($A254="","",Allocation2!X254)</f>
        <v/>
      </c>
      <c r="K254" t="str">
        <f>IF($A254="","",$H254*IF(AND(LEFT($D254,3)="BAC",$F254="INIT"),600,IF(LEFT($D254,3)="BAC",480,IF(AND(LEFT($D254,3)="MAS",$F254="INIT"),520,IF(LEFT($D254,3)="MAS",420,IF($F254="INIT",1000,700))))))</f>
        <v/>
      </c>
      <c r="L254" t="str">
        <f>IF($A254="","",SUMIFS($G$1:$G$349,$A$1:$A$349,$A254,$B$1:$B$349,$B254))</f>
        <v/>
      </c>
      <c r="M254" t="str">
        <f>IF($A254="","",SUMIFS($H$1:$H$349,$A$1:$A$349,$A254,$B$1:$B$349,$B254))</f>
        <v/>
      </c>
      <c r="N254" t="str">
        <f>IF($A254="","",SUMIFS($I$1:$I$349,$A$1:$A$349,$A254,$B$1:$B$349,$B254))</f>
        <v/>
      </c>
      <c r="O254" t="str">
        <f>IF($A254="","",SUMIFS($K$1:$K$349,$A$1:$A$349,$A254,$B$1:$B$349,$B254))</f>
        <v/>
      </c>
      <c r="P254" t="str">
        <f>IF($A254="","",SUMIFS($J$1:$J$349,$A$1:$A$349,$A254,$B$1:$B$349,$B254))</f>
        <v/>
      </c>
      <c r="Q254" t="str">
        <f>IF($A254="","",SUMIFS($G$1:$G$349,$A$1:$A$349,$A254,$C$1:$C$349,$C254))</f>
        <v/>
      </c>
      <c r="R254" t="str">
        <f>IF($A254="","",SUMIFS($H$1:$H$349,$A$1:$A$349,$A254,$C$1:$C$349,$C254))</f>
        <v/>
      </c>
      <c r="S254" t="str">
        <f>IF($A254="","",SUMIFS($I$1:$I$349,$A$1:$A$349,$A254,$C$1:$C$349,$C254))</f>
        <v/>
      </c>
      <c r="T254" t="str">
        <f>IF($A254="","",SUMIFS($G$1:$G$349,$A$1:$A$349,$A254))</f>
        <v/>
      </c>
      <c r="U254" t="str">
        <f>IF($A254="","",SUMIFS($H$1:$H$349,$A$1:$A$349,$A254))</f>
        <v/>
      </c>
      <c r="V254" t="str">
        <f>IF($A254="","",SUMIFS($I$1:$I$349,$A$1:$A$349,$A254))</f>
        <v/>
      </c>
      <c r="W254" t="str">
        <f>IF($A254="","",Allocation2!Y254)</f>
        <v/>
      </c>
      <c r="X254" t="str">
        <f>IF($A254="","",Allocation2!Z254)</f>
        <v/>
      </c>
      <c r="Y254" t="str">
        <f>IF($A254="","",Allocation2!AA254)</f>
        <v/>
      </c>
      <c r="Z254" t="str">
        <f>IF($A254="","",Allocation2!AB254)</f>
        <v/>
      </c>
      <c r="AA254" t="str">
        <f>IF($A254="","",Allocation2!AC254)</f>
        <v/>
      </c>
      <c r="AB254" t="str">
        <f>IF($A254="","",Allocation2!AD254)</f>
        <v/>
      </c>
      <c r="AC254" t="str">
        <f>IF($A254="","",IF(ALLOC!$N$4="VOL_EFF",$G254,IF(ALLOC!$N$4="VOL_CLASS",$H254,$I254)))</f>
        <v/>
      </c>
      <c r="AD254" t="str">
        <f>IF($A254="","",IF(ALLOC!$N$4="VOL_EFF",$L254,IF(ALLOC!$N$4="VOL_CLASS",$M254,$N254)))</f>
        <v/>
      </c>
      <c r="AE254" t="str">
        <f>IF($A254="","",IF(ALLOC!$N$3="VOL_EFF",$L254,IF(ALLOC!$N$3="VOL_CLASS",$M254,$N254)))</f>
        <v/>
      </c>
      <c r="AF254" t="str">
        <f>IF($A254="","",IF(ALLOC!$N$3="VOL_EFF",$Q254,IF(ALLOC!$N$3="VOL_CLASS",$R254,$S254)))</f>
        <v/>
      </c>
      <c r="AG254" t="str">
        <f>IF($A254="","",IF(ALLOC!$N$1="VOL_EFF",$Q254,IF(ALLOC!$N$1="VOL_CLASS",$R254,$S254)))</f>
        <v/>
      </c>
      <c r="AH254" t="str">
        <f>IF($A254="","",IF(ALLOC!$N$1="VOL_EFF",$T254,IF(ALLOC!$N$1="VOL_CLASS",$U254,$V254)))</f>
        <v/>
      </c>
      <c r="AI254" t="str">
        <f>IF($A254="","",$W254*IFERROR($K254/$O254,0))</f>
        <v/>
      </c>
      <c r="AJ254" t="str">
        <f>IF($A254="","",$X254*IFERROR($K254/$O254,0))</f>
        <v/>
      </c>
      <c r="AK254" t="str">
        <f>IF($A254="","",$Y254*IFERROR($G254/$L254,0)+$Z254*IFERROR($J254/$P254,0))</f>
        <v/>
      </c>
      <c r="AL254" t="str">
        <f>IF($A254="","",$AA254*IFERROR($AC254/$AD254,0))</f>
        <v/>
      </c>
      <c r="AM254" t="str">
        <f>IF($A254="","",$AB254*IFERROR($AG254/$AH254,0)*IFERROR($AE254/$AF254,0)*IFERROR($AC254/$AD254,0))</f>
        <v/>
      </c>
      <c r="AN254" t="str">
        <f>IF($A254="","",$I254-($AI254+$AJ254+$AK254+$AL254+$AM254+$AR254))</f>
        <v/>
      </c>
      <c r="AO254" t="str">
        <f>IF($A254="","",Allocation2!AE254)</f>
        <v/>
      </c>
      <c r="AP254" t="str">
        <f>IF($A254="","",IF(ALLOC!$N$2="VOL_EFF",$Q254,IF(ALLOC!$N$2="VOL_CLASS",$R254,$S254)))</f>
        <v/>
      </c>
      <c r="AQ254" t="str">
        <f>IF($A254="","",IF(ALLOC!$N$2="VOL_EFF",$T254,IF(ALLOC!$N$2="VOL_CLASS",$U254,$V254)))</f>
        <v/>
      </c>
      <c r="AR254" t="str">
        <f>IF($A254="","",$AO254*IFERROR($AP254/$AQ254,0)*IFERROR($AE254/$AF254,0)*IFERROR($AC254/$AD254,0))</f>
        <v/>
      </c>
    </row>
    <row r="255" spans="1:46" x14ac:dyDescent="0.45">
      <c r="A255" t="str">
        <f>IF(Allocation2!D255="","",Allocation2!D255)</f>
        <v/>
      </c>
      <c r="B255" t="str">
        <f>IF(Allocation2!E255="","",Allocation2!E255)</f>
        <v/>
      </c>
      <c r="C255" t="str">
        <f>IF(Allocation2!F255="","",Allocation2!F255)</f>
        <v/>
      </c>
      <c r="D255" t="str">
        <f>IF(Allocation2!G255="","",Allocation2!G255)</f>
        <v/>
      </c>
      <c r="E255" t="str">
        <f>IF(Allocation2!H255="","",Allocation2!H255)</f>
        <v/>
      </c>
      <c r="F255" t="str">
        <f>IF(Allocation2!I255="","",Allocation2!I255)</f>
        <v/>
      </c>
      <c r="G255" t="str">
        <f>IF(Allocation2!E255="","",Allocation2!J255)</f>
        <v/>
      </c>
      <c r="H255" t="str">
        <f>IF(Allocation2!E255="","",Allocation2!K255)</f>
        <v/>
      </c>
      <c r="I255" t="str">
        <f>IF(Allocation2!E255="","",Allocation2!L255)</f>
        <v/>
      </c>
      <c r="J255" t="str">
        <f>IF($A255="","",Allocation2!X255)</f>
        <v/>
      </c>
      <c r="K255" t="str">
        <f>IF($A255="","",$H255*IF(AND(LEFT($D255,3)="BAC",$F255="INIT"),600,IF(LEFT($D255,3)="BAC",480,IF(AND(LEFT($D255,3)="MAS",$F255="INIT"),520,IF(LEFT($D255,3)="MAS",420,IF($F255="INIT",1000,700))))))</f>
        <v/>
      </c>
      <c r="L255" t="str">
        <f>IF($A255="","",SUMIFS($G$1:$G$349,$A$1:$A$349,$A255,$B$1:$B$349,$B255))</f>
        <v/>
      </c>
      <c r="M255" t="str">
        <f>IF($A255="","",SUMIFS($H$1:$H$349,$A$1:$A$349,$A255,$B$1:$B$349,$B255))</f>
        <v/>
      </c>
      <c r="N255" t="str">
        <f>IF($A255="","",SUMIFS($I$1:$I$349,$A$1:$A$349,$A255,$B$1:$B$349,$B255))</f>
        <v/>
      </c>
      <c r="O255" t="str">
        <f>IF($A255="","",SUMIFS($K$1:$K$349,$A$1:$A$349,$A255,$B$1:$B$349,$B255))</f>
        <v/>
      </c>
      <c r="P255" t="str">
        <f>IF($A255="","",SUMIFS($J$1:$J$349,$A$1:$A$349,$A255,$B$1:$B$349,$B255))</f>
        <v/>
      </c>
      <c r="Q255" t="str">
        <f>IF($A255="","",SUMIFS($G$1:$G$349,$A$1:$A$349,$A255,$C$1:$C$349,$C255))</f>
        <v/>
      </c>
      <c r="R255" t="str">
        <f>IF($A255="","",SUMIFS($H$1:$H$349,$A$1:$A$349,$A255,$C$1:$C$349,$C255))</f>
        <v/>
      </c>
      <c r="S255" t="str">
        <f>IF($A255="","",SUMIFS($I$1:$I$349,$A$1:$A$349,$A255,$C$1:$C$349,$C255))</f>
        <v/>
      </c>
      <c r="T255" t="str">
        <f>IF($A255="","",SUMIFS($G$1:$G$349,$A$1:$A$349,$A255))</f>
        <v/>
      </c>
      <c r="U255" t="str">
        <f>IF($A255="","",SUMIFS($H$1:$H$349,$A$1:$A$349,$A255))</f>
        <v/>
      </c>
      <c r="V255" t="str">
        <f>IF($A255="","",SUMIFS($I$1:$I$349,$A$1:$A$349,$A255))</f>
        <v/>
      </c>
      <c r="W255" t="str">
        <f>IF($A255="","",Allocation2!Y255)</f>
        <v/>
      </c>
      <c r="X255" t="str">
        <f>IF($A255="","",Allocation2!Z255)</f>
        <v/>
      </c>
      <c r="Y255" t="str">
        <f>IF($A255="","",Allocation2!AA255)</f>
        <v/>
      </c>
      <c r="Z255" t="str">
        <f>IF($A255="","",Allocation2!AB255)</f>
        <v/>
      </c>
      <c r="AA255" t="str">
        <f>IF($A255="","",Allocation2!AC255)</f>
        <v/>
      </c>
      <c r="AB255" t="str">
        <f>IF($A255="","",Allocation2!AD255)</f>
        <v/>
      </c>
      <c r="AC255" t="str">
        <f>IF($A255="","",IF(ALLOC!$N$4="VOL_EFF",$G255,IF(ALLOC!$N$4="VOL_CLASS",$H255,$I255)))</f>
        <v/>
      </c>
      <c r="AD255" t="str">
        <f>IF($A255="","",IF(ALLOC!$N$4="VOL_EFF",$L255,IF(ALLOC!$N$4="VOL_CLASS",$M255,$N255)))</f>
        <v/>
      </c>
      <c r="AE255" t="str">
        <f>IF($A255="","",IF(ALLOC!$N$3="VOL_EFF",$L255,IF(ALLOC!$N$3="VOL_CLASS",$M255,$N255)))</f>
        <v/>
      </c>
      <c r="AF255" t="str">
        <f>IF($A255="","",IF(ALLOC!$N$3="VOL_EFF",$Q255,IF(ALLOC!$N$3="VOL_CLASS",$R255,$S255)))</f>
        <v/>
      </c>
      <c r="AG255" t="str">
        <f>IF($A255="","",IF(ALLOC!$N$1="VOL_EFF",$Q255,IF(ALLOC!$N$1="VOL_CLASS",$R255,$S255)))</f>
        <v/>
      </c>
      <c r="AH255" t="str">
        <f>IF($A255="","",IF(ALLOC!$N$1="VOL_EFF",$T255,IF(ALLOC!$N$1="VOL_CLASS",$U255,$V255)))</f>
        <v/>
      </c>
      <c r="AI255" t="str">
        <f>IF($A255="","",$W255*IFERROR($K255/$O255,0))</f>
        <v/>
      </c>
      <c r="AJ255" t="str">
        <f>IF($A255="","",$X255*IFERROR($K255/$O255,0))</f>
        <v/>
      </c>
      <c r="AK255" t="str">
        <f>IF($A255="","",$Y255*IFERROR($G255/$L255,0)+$Z255*IFERROR($J255/$P255,0))</f>
        <v/>
      </c>
      <c r="AL255" t="str">
        <f>IF($A255="","",$AA255*IFERROR($AC255/$AD255,0))</f>
        <v/>
      </c>
      <c r="AM255" t="str">
        <f>IF($A255="","",$AB255*IFERROR($AG255/$AH255,0)*IFERROR($AE255/$AF255,0)*IFERROR($AC255/$AD255,0))</f>
        <v/>
      </c>
      <c r="AN255" t="str">
        <f>IF($A255="","",$I255-($AI255+$AJ255+$AK255+$AL255+$AM255+$AR255))</f>
        <v/>
      </c>
      <c r="AO255" t="str">
        <f>IF($A255="","",Allocation2!AE255)</f>
        <v/>
      </c>
      <c r="AP255" t="str">
        <f>IF($A255="","",IF(ALLOC!$N$2="VOL_EFF",$Q255,IF(ALLOC!$N$2="VOL_CLASS",$R255,$S255)))</f>
        <v/>
      </c>
      <c r="AQ255" t="str">
        <f>IF($A255="","",IF(ALLOC!$N$2="VOL_EFF",$T255,IF(ALLOC!$N$2="VOL_CLASS",$U255,$V255)))</f>
        <v/>
      </c>
      <c r="AR255" t="str">
        <f>IF($A255="","",$AO255*IFERROR($AP255/$AQ255,0)*IFERROR($AE255/$AF255,0)*IFERROR($AC255/$AD255,0))</f>
        <v/>
      </c>
    </row>
    <row r="256" spans="1:46" x14ac:dyDescent="0.45">
      <c r="A256" t="str">
        <f>IF(Allocation2!D256="","",Allocation2!D256)</f>
        <v/>
      </c>
      <c r="B256" t="str">
        <f>IF(Allocation2!E256="","",Allocation2!E256)</f>
        <v/>
      </c>
      <c r="C256" t="str">
        <f>IF(Allocation2!F256="","",Allocation2!F256)</f>
        <v/>
      </c>
      <c r="D256" t="str">
        <f>IF(Allocation2!G256="","",Allocation2!G256)</f>
        <v/>
      </c>
      <c r="E256" t="str">
        <f>IF(Allocation2!H256="","",Allocation2!H256)</f>
        <v/>
      </c>
      <c r="F256" t="str">
        <f>IF(Allocation2!I256="","",Allocation2!I256)</f>
        <v/>
      </c>
      <c r="G256" t="str">
        <f>IF(Allocation2!E256="","",Allocation2!J256)</f>
        <v/>
      </c>
      <c r="H256" t="str">
        <f>IF(Allocation2!E256="","",Allocation2!K256)</f>
        <v/>
      </c>
      <c r="I256" t="str">
        <f>IF(Allocation2!E256="","",Allocation2!L256)</f>
        <v/>
      </c>
      <c r="J256" t="str">
        <f>IF($A256="","",Allocation2!X256)</f>
        <v/>
      </c>
      <c r="K256" t="str">
        <f>IF($A256="","",$H256*IF(AND(LEFT($D256,3)="BAC",$F256="INIT"),600,IF(LEFT($D256,3)="BAC",480,IF(AND(LEFT($D256,3)="MAS",$F256="INIT"),520,IF(LEFT($D256,3)="MAS",420,IF($F256="INIT",1000,700))))))</f>
        <v/>
      </c>
      <c r="L256" t="str">
        <f>IF($A256="","",SUMIFS($G$1:$G$349,$A$1:$A$349,$A256,$B$1:$B$349,$B256))</f>
        <v/>
      </c>
      <c r="M256" t="str">
        <f>IF($A256="","",SUMIFS($H$1:$H$349,$A$1:$A$349,$A256,$B$1:$B$349,$B256))</f>
        <v/>
      </c>
      <c r="N256" t="str">
        <f>IF($A256="","",SUMIFS($I$1:$I$349,$A$1:$A$349,$A256,$B$1:$B$349,$B256))</f>
        <v/>
      </c>
      <c r="O256" t="str">
        <f>IF($A256="","",SUMIFS($K$1:$K$349,$A$1:$A$349,$A256,$B$1:$B$349,$B256))</f>
        <v/>
      </c>
      <c r="P256" t="str">
        <f>IF($A256="","",SUMIFS($J$1:$J$349,$A$1:$A$349,$A256,$B$1:$B$349,$B256))</f>
        <v/>
      </c>
      <c r="Q256" t="str">
        <f>IF($A256="","",SUMIFS($G$1:$G$349,$A$1:$A$349,$A256,$C$1:$C$349,$C256))</f>
        <v/>
      </c>
      <c r="R256" t="str">
        <f>IF($A256="","",SUMIFS($H$1:$H$349,$A$1:$A$349,$A256,$C$1:$C$349,$C256))</f>
        <v/>
      </c>
      <c r="S256" t="str">
        <f>IF($A256="","",SUMIFS($I$1:$I$349,$A$1:$A$349,$A256,$C$1:$C$349,$C256))</f>
        <v/>
      </c>
      <c r="T256" t="str">
        <f>IF($A256="","",SUMIFS($G$1:$G$349,$A$1:$A$349,$A256))</f>
        <v/>
      </c>
      <c r="U256" t="str">
        <f>IF($A256="","",SUMIFS($H$1:$H$349,$A$1:$A$349,$A256))</f>
        <v/>
      </c>
      <c r="V256" t="str">
        <f>IF($A256="","",SUMIFS($I$1:$I$349,$A$1:$A$349,$A256))</f>
        <v/>
      </c>
      <c r="W256" t="str">
        <f>IF($A256="","",Allocation2!Y256)</f>
        <v/>
      </c>
      <c r="X256" t="str">
        <f>IF($A256="","",Allocation2!Z256)</f>
        <v/>
      </c>
      <c r="Y256" t="str">
        <f>IF($A256="","",Allocation2!AA256)</f>
        <v/>
      </c>
      <c r="Z256" t="str">
        <f>IF($A256="","",Allocation2!AB256)</f>
        <v/>
      </c>
      <c r="AA256" t="str">
        <f>IF($A256="","",Allocation2!AC256)</f>
        <v/>
      </c>
      <c r="AB256" t="str">
        <f>IF($A256="","",Allocation2!AD256)</f>
        <v/>
      </c>
      <c r="AC256" t="str">
        <f>IF($A256="","",IF(ALLOC!$N$4="VOL_EFF",$G256,IF(ALLOC!$N$4="VOL_CLASS",$H256,$I256)))</f>
        <v/>
      </c>
      <c r="AD256" t="str">
        <f>IF($A256="","",IF(ALLOC!$N$4="VOL_EFF",$L256,IF(ALLOC!$N$4="VOL_CLASS",$M256,$N256)))</f>
        <v/>
      </c>
      <c r="AE256" t="str">
        <f>IF($A256="","",IF(ALLOC!$N$3="VOL_EFF",$L256,IF(ALLOC!$N$3="VOL_CLASS",$M256,$N256)))</f>
        <v/>
      </c>
      <c r="AF256" t="str">
        <f>IF($A256="","",IF(ALLOC!$N$3="VOL_EFF",$Q256,IF(ALLOC!$N$3="VOL_CLASS",$R256,$S256)))</f>
        <v/>
      </c>
      <c r="AG256" t="str">
        <f>IF($A256="","",IF(ALLOC!$N$1="VOL_EFF",$Q256,IF(ALLOC!$N$1="VOL_CLASS",$R256,$S256)))</f>
        <v/>
      </c>
      <c r="AH256" t="str">
        <f>IF($A256="","",IF(ALLOC!$N$1="VOL_EFF",$T256,IF(ALLOC!$N$1="VOL_CLASS",$U256,$V256)))</f>
        <v/>
      </c>
      <c r="AI256" t="str">
        <f>IF($A256="","",$W256*IFERROR($K256/$O256,0))</f>
        <v/>
      </c>
      <c r="AJ256" t="str">
        <f>IF($A256="","",$X256*IFERROR($K256/$O256,0))</f>
        <v/>
      </c>
      <c r="AK256" t="str">
        <f>IF($A256="","",$Y256*IFERROR($G256/$L256,0)+$Z256*IFERROR($J256/$P256,0))</f>
        <v/>
      </c>
      <c r="AL256" t="str">
        <f>IF($A256="","",$AA256*IFERROR($AC256/$AD256,0))</f>
        <v/>
      </c>
      <c r="AM256" t="str">
        <f>IF($A256="","",$AB256*IFERROR($AG256/$AH256,0)*IFERROR($AE256/$AF256,0)*IFERROR($AC256/$AD256,0))</f>
        <v/>
      </c>
      <c r="AN256" t="str">
        <f>IF($A256="","",$I256-($AI256+$AJ256+$AK256+$AL256+$AM256+$AR256))</f>
        <v/>
      </c>
      <c r="AO256" t="str">
        <f>IF($A256="","",Allocation2!AE256)</f>
        <v/>
      </c>
      <c r="AP256" t="str">
        <f>IF($A256="","",IF(ALLOC!$N$2="VOL_EFF",$Q256,IF(ALLOC!$N$2="VOL_CLASS",$R256,$S256)))</f>
        <v/>
      </c>
      <c r="AQ256" t="str">
        <f>IF($A256="","",IF(ALLOC!$N$2="VOL_EFF",$T256,IF(ALLOC!$N$2="VOL_CLASS",$U256,$V256)))</f>
        <v/>
      </c>
      <c r="AR256" t="str">
        <f>IF($A256="","",$AO256*IFERROR($AP256/$AQ256,0)*IFERROR($AE256/$AF256,0)*IFERROR($AC256/$AD256,0))</f>
        <v/>
      </c>
    </row>
    <row r="257" spans="1:46" x14ac:dyDescent="0.45">
      <c r="A257" t="str">
        <f>IF(Allocation2!D257="","",Allocation2!D257)</f>
        <v/>
      </c>
      <c r="B257" t="str">
        <f>IF(Allocation2!E257="","",Allocation2!E257)</f>
        <v/>
      </c>
      <c r="C257" t="str">
        <f>IF(Allocation2!F257="","",Allocation2!F257)</f>
        <v/>
      </c>
      <c r="D257" t="str">
        <f>IF(Allocation2!G257="","",Allocation2!G257)</f>
        <v/>
      </c>
      <c r="E257" t="str">
        <f>IF(Allocation2!H257="","",Allocation2!H257)</f>
        <v/>
      </c>
      <c r="F257" t="str">
        <f>IF(Allocation2!I257="","",Allocation2!I257)</f>
        <v/>
      </c>
      <c r="G257" t="str">
        <f>IF(Allocation2!E257="","",Allocation2!J257)</f>
        <v/>
      </c>
      <c r="H257" t="str">
        <f>IF(Allocation2!E257="","",Allocation2!K257)</f>
        <v/>
      </c>
      <c r="I257" t="str">
        <f>IF(Allocation2!E257="","",Allocation2!L257)</f>
        <v/>
      </c>
      <c r="J257" t="str">
        <f>IF($A257="","",Allocation2!X257)</f>
        <v/>
      </c>
      <c r="K257" t="str">
        <f>IF($A257="","",$H257*IF(AND(LEFT($D257,3)="BAC",$F257="INIT"),600,IF(LEFT($D257,3)="BAC",480,IF(AND(LEFT($D257,3)="MAS",$F257="INIT"),520,IF(LEFT($D257,3)="MAS",420,IF($F257="INIT",1000,700))))))</f>
        <v/>
      </c>
      <c r="L257" t="str">
        <f>IF($A257="","",SUMIFS($G$1:$G$349,$A$1:$A$349,$A257,$B$1:$B$349,$B257))</f>
        <v/>
      </c>
      <c r="M257" t="str">
        <f>IF($A257="","",SUMIFS($H$1:$H$349,$A$1:$A$349,$A257,$B$1:$B$349,$B257))</f>
        <v/>
      </c>
      <c r="N257" t="str">
        <f>IF($A257="","",SUMIFS($I$1:$I$349,$A$1:$A$349,$A257,$B$1:$B$349,$B257))</f>
        <v/>
      </c>
      <c r="O257" t="str">
        <f>IF($A257="","",SUMIFS($K$1:$K$349,$A$1:$A$349,$A257,$B$1:$B$349,$B257))</f>
        <v/>
      </c>
      <c r="P257" t="str">
        <f>IF($A257="","",SUMIFS($J$1:$J$349,$A$1:$A$349,$A257,$B$1:$B$349,$B257))</f>
        <v/>
      </c>
      <c r="Q257" t="str">
        <f>IF($A257="","",SUMIFS($G$1:$G$349,$A$1:$A$349,$A257,$C$1:$C$349,$C257))</f>
        <v/>
      </c>
      <c r="R257" t="str">
        <f>IF($A257="","",SUMIFS($H$1:$H$349,$A$1:$A$349,$A257,$C$1:$C$349,$C257))</f>
        <v/>
      </c>
      <c r="S257" t="str">
        <f>IF($A257="","",SUMIFS($I$1:$I$349,$A$1:$A$349,$A257,$C$1:$C$349,$C257))</f>
        <v/>
      </c>
      <c r="T257" t="str">
        <f>IF($A257="","",SUMIFS($G$1:$G$349,$A$1:$A$349,$A257))</f>
        <v/>
      </c>
      <c r="U257" t="str">
        <f>IF($A257="","",SUMIFS($H$1:$H$349,$A$1:$A$349,$A257))</f>
        <v/>
      </c>
      <c r="V257" t="str">
        <f>IF($A257="","",SUMIFS($I$1:$I$349,$A$1:$A$349,$A257))</f>
        <v/>
      </c>
      <c r="W257" t="str">
        <f>IF($A257="","",Allocation2!Y257)</f>
        <v/>
      </c>
      <c r="X257" t="str">
        <f>IF($A257="","",Allocation2!Z257)</f>
        <v/>
      </c>
      <c r="Y257" t="str">
        <f>IF($A257="","",Allocation2!AA257)</f>
        <v/>
      </c>
      <c r="Z257" t="str">
        <f>IF($A257="","",Allocation2!AB257)</f>
        <v/>
      </c>
      <c r="AA257" t="str">
        <f>IF($A257="","",Allocation2!AC257)</f>
        <v/>
      </c>
      <c r="AB257" t="str">
        <f>IF($A257="","",Allocation2!AD257)</f>
        <v/>
      </c>
      <c r="AC257" t="str">
        <f>IF($A257="","",IF(ALLOC!$N$4="VOL_EFF",$G257,IF(ALLOC!$N$4="VOL_CLASS",$H257,$I257)))</f>
        <v/>
      </c>
      <c r="AD257" t="str">
        <f>IF($A257="","",IF(ALLOC!$N$4="VOL_EFF",$L257,IF(ALLOC!$N$4="VOL_CLASS",$M257,$N257)))</f>
        <v/>
      </c>
      <c r="AE257" t="str">
        <f>IF($A257="","",IF(ALLOC!$N$3="VOL_EFF",$L257,IF(ALLOC!$N$3="VOL_CLASS",$M257,$N257)))</f>
        <v/>
      </c>
      <c r="AF257" t="str">
        <f>IF($A257="","",IF(ALLOC!$N$3="VOL_EFF",$Q257,IF(ALLOC!$N$3="VOL_CLASS",$R257,$S257)))</f>
        <v/>
      </c>
      <c r="AG257" t="str">
        <f>IF($A257="","",IF(ALLOC!$N$1="VOL_EFF",$Q257,IF(ALLOC!$N$1="VOL_CLASS",$R257,$S257)))</f>
        <v/>
      </c>
      <c r="AH257" t="str">
        <f>IF($A257="","",IF(ALLOC!$N$1="VOL_EFF",$T257,IF(ALLOC!$N$1="VOL_CLASS",$U257,$V257)))</f>
        <v/>
      </c>
      <c r="AI257" t="str">
        <f>IF($A257="","",$W257*IFERROR($K257/$O257,0))</f>
        <v/>
      </c>
      <c r="AJ257" t="str">
        <f>IF($A257="","",$X257*IFERROR($K257/$O257,0))</f>
        <v/>
      </c>
      <c r="AK257" t="str">
        <f>IF($A257="","",$Y257*IFERROR($G257/$L257,0)+$Z257*IFERROR($J257/$P257,0))</f>
        <v/>
      </c>
      <c r="AL257" t="str">
        <f>IF($A257="","",$AA257*IFERROR($AC257/$AD257,0))</f>
        <v/>
      </c>
      <c r="AM257" t="str">
        <f>IF($A257="","",$AB257*IFERROR($AG257/$AH257,0)*IFERROR($AE257/$AF257,0)*IFERROR($AC257/$AD257,0))</f>
        <v/>
      </c>
      <c r="AN257" t="str">
        <f>IF($A257="","",$I257-($AI257+$AJ257+$AK257+$AL257+$AM257+$AR257))</f>
        <v/>
      </c>
      <c r="AO257" t="str">
        <f>IF($A257="","",Allocation2!AE257)</f>
        <v/>
      </c>
      <c r="AP257" t="str">
        <f>IF($A257="","",IF(ALLOC!$N$2="VOL_EFF",$Q257,IF(ALLOC!$N$2="VOL_CLASS",$R257,$S257)))</f>
        <v/>
      </c>
      <c r="AQ257" t="str">
        <f>IF($A257="","",IF(ALLOC!$N$2="VOL_EFF",$T257,IF(ALLOC!$N$2="VOL_CLASS",$U257,$V257)))</f>
        <v/>
      </c>
      <c r="AR257" t="str">
        <f>IF($A257="","",$AO257*IFERROR($AP257/$AQ257,0)*IFERROR($AE257/$AF257,0)*IFERROR($AC257/$AD257,0))</f>
        <v/>
      </c>
    </row>
    <row r="258" spans="1:46" x14ac:dyDescent="0.45">
      <c r="A258" t="str">
        <f>IF(Allocation2!D258="","",Allocation2!D258)</f>
        <v/>
      </c>
      <c r="B258" t="str">
        <f>IF(Allocation2!E258="","",Allocation2!E258)</f>
        <v/>
      </c>
      <c r="C258" t="str">
        <f>IF(Allocation2!F258="","",Allocation2!F258)</f>
        <v/>
      </c>
      <c r="D258" t="str">
        <f>IF(Allocation2!G258="","",Allocation2!G258)</f>
        <v/>
      </c>
      <c r="E258" t="str">
        <f>IF(Allocation2!H258="","",Allocation2!H258)</f>
        <v/>
      </c>
      <c r="F258" t="str">
        <f>IF(Allocation2!I258="","",Allocation2!I258)</f>
        <v/>
      </c>
      <c r="G258" t="str">
        <f>IF(Allocation2!E258="","",Allocation2!J258)</f>
        <v/>
      </c>
      <c r="H258" t="str">
        <f>IF(Allocation2!E258="","",Allocation2!K258)</f>
        <v/>
      </c>
      <c r="I258" t="str">
        <f>IF(Allocation2!E258="","",Allocation2!L258)</f>
        <v/>
      </c>
      <c r="J258" t="str">
        <f>IF($A258="","",Allocation2!X258)</f>
        <v/>
      </c>
      <c r="K258" t="str">
        <f>IF($A258="","",$H258*IF(AND(LEFT($D258,3)="BAC",$F258="INIT"),600,IF(LEFT($D258,3)="BAC",480,IF(AND(LEFT($D258,3)="MAS",$F258="INIT"),520,IF(LEFT($D258,3)="MAS",420,IF($F258="INIT",1000,700))))))</f>
        <v/>
      </c>
      <c r="L258" t="str">
        <f>IF($A258="","",SUMIFS($G$1:$G$349,$A$1:$A$349,$A258,$B$1:$B$349,$B258))</f>
        <v/>
      </c>
      <c r="M258" t="str">
        <f>IF($A258="","",SUMIFS($H$1:$H$349,$A$1:$A$349,$A258,$B$1:$B$349,$B258))</f>
        <v/>
      </c>
      <c r="N258" t="str">
        <f>IF($A258="","",SUMIFS($I$1:$I$349,$A$1:$A$349,$A258,$B$1:$B$349,$B258))</f>
        <v/>
      </c>
      <c r="O258" t="str">
        <f>IF($A258="","",SUMIFS($K$1:$K$349,$A$1:$A$349,$A258,$B$1:$B$349,$B258))</f>
        <v/>
      </c>
      <c r="P258" t="str">
        <f>IF($A258="","",SUMIFS($J$1:$J$349,$A$1:$A$349,$A258,$B$1:$B$349,$B258))</f>
        <v/>
      </c>
      <c r="Q258" t="str">
        <f>IF($A258="","",SUMIFS($G$1:$G$349,$A$1:$A$349,$A258,$C$1:$C$349,$C258))</f>
        <v/>
      </c>
      <c r="R258" t="str">
        <f>IF($A258="","",SUMIFS($H$1:$H$349,$A$1:$A$349,$A258,$C$1:$C$349,$C258))</f>
        <v/>
      </c>
      <c r="S258" t="str">
        <f>IF($A258="","",SUMIFS($I$1:$I$349,$A$1:$A$349,$A258,$C$1:$C$349,$C258))</f>
        <v/>
      </c>
      <c r="T258" t="str">
        <f>IF($A258="","",SUMIFS($G$1:$G$349,$A$1:$A$349,$A258))</f>
        <v/>
      </c>
      <c r="U258" t="str">
        <f>IF($A258="","",SUMIFS($H$1:$H$349,$A$1:$A$349,$A258))</f>
        <v/>
      </c>
      <c r="V258" t="str">
        <f>IF($A258="","",SUMIFS($I$1:$I$349,$A$1:$A$349,$A258))</f>
        <v/>
      </c>
      <c r="W258" t="str">
        <f>IF($A258="","",Allocation2!Y258)</f>
        <v/>
      </c>
      <c r="X258" t="str">
        <f>IF($A258="","",Allocation2!Z258)</f>
        <v/>
      </c>
      <c r="Y258" t="str">
        <f>IF($A258="","",Allocation2!AA258)</f>
        <v/>
      </c>
      <c r="Z258" t="str">
        <f>IF($A258="","",Allocation2!AB258)</f>
        <v/>
      </c>
      <c r="AA258" t="str">
        <f>IF($A258="","",Allocation2!AC258)</f>
        <v/>
      </c>
      <c r="AB258" t="str">
        <f>IF($A258="","",Allocation2!AD258)</f>
        <v/>
      </c>
      <c r="AC258" t="str">
        <f>IF($A258="","",IF(ALLOC!$N$4="VOL_EFF",$G258,IF(ALLOC!$N$4="VOL_CLASS",$H258,$I258)))</f>
        <v/>
      </c>
      <c r="AD258" t="str">
        <f>IF($A258="","",IF(ALLOC!$N$4="VOL_EFF",$L258,IF(ALLOC!$N$4="VOL_CLASS",$M258,$N258)))</f>
        <v/>
      </c>
      <c r="AE258" t="str">
        <f>IF($A258="","",IF(ALLOC!$N$3="VOL_EFF",$L258,IF(ALLOC!$N$3="VOL_CLASS",$M258,$N258)))</f>
        <v/>
      </c>
      <c r="AF258" t="str">
        <f>IF($A258="","",IF(ALLOC!$N$3="VOL_EFF",$Q258,IF(ALLOC!$N$3="VOL_CLASS",$R258,$S258)))</f>
        <v/>
      </c>
      <c r="AG258" t="str">
        <f>IF($A258="","",IF(ALLOC!$N$1="VOL_EFF",$Q258,IF(ALLOC!$N$1="VOL_CLASS",$R258,$S258)))</f>
        <v/>
      </c>
      <c r="AH258" t="str">
        <f>IF($A258="","",IF(ALLOC!$N$1="VOL_EFF",$T258,IF(ALLOC!$N$1="VOL_CLASS",$U258,$V258)))</f>
        <v/>
      </c>
      <c r="AI258" t="str">
        <f>IF($A258="","",$W258*IFERROR($K258/$O258,0))</f>
        <v/>
      </c>
      <c r="AJ258" t="str">
        <f>IF($A258="","",$X258*IFERROR($K258/$O258,0))</f>
        <v/>
      </c>
      <c r="AK258" t="str">
        <f>IF($A258="","",$Y258*IFERROR($G258/$L258,0)+$Z258*IFERROR($J258/$P258,0))</f>
        <v/>
      </c>
      <c r="AL258" t="str">
        <f>IF($A258="","",$AA258*IFERROR($AC258/$AD258,0))</f>
        <v/>
      </c>
      <c r="AM258" t="str">
        <f>IF($A258="","",$AB258*IFERROR($AG258/$AH258,0)*IFERROR($AE258/$AF258,0)*IFERROR($AC258/$AD258,0))</f>
        <v/>
      </c>
      <c r="AN258" t="str">
        <f>IF($A258="","",$I258-($AI258+$AJ258+$AK258+$AL258+$AM258+$AR258))</f>
        <v/>
      </c>
      <c r="AO258" t="str">
        <f>IF($A258="","",Allocation2!AE258)</f>
        <v/>
      </c>
      <c r="AP258" t="str">
        <f>IF($A258="","",IF(ALLOC!$N$2="VOL_EFF",$Q258,IF(ALLOC!$N$2="VOL_CLASS",$R258,$S258)))</f>
        <v/>
      </c>
      <c r="AQ258" t="str">
        <f>IF($A258="","",IF(ALLOC!$N$2="VOL_EFF",$T258,IF(ALLOC!$N$2="VOL_CLASS",$U258,$V258)))</f>
        <v/>
      </c>
      <c r="AR258" t="str">
        <f>IF($A258="","",$AO258*IFERROR($AP258/$AQ258,0)*IFERROR($AE258/$AF258,0)*IFERROR($AC258/$AD258,0))</f>
        <v/>
      </c>
    </row>
    <row r="259" spans="1:46" x14ac:dyDescent="0.45">
      <c r="A259" t="str">
        <f>IF(Allocation2!D259="","",Allocation2!D259)</f>
        <v/>
      </c>
      <c r="B259" t="str">
        <f>IF(Allocation2!E259="","",Allocation2!E259)</f>
        <v/>
      </c>
      <c r="C259" t="str">
        <f>IF(Allocation2!F259="","",Allocation2!F259)</f>
        <v/>
      </c>
      <c r="D259" t="str">
        <f>IF(Allocation2!G259="","",Allocation2!G259)</f>
        <v/>
      </c>
      <c r="E259" t="str">
        <f>IF(Allocation2!H259="","",Allocation2!H259)</f>
        <v/>
      </c>
      <c r="F259" t="str">
        <f>IF(Allocation2!I259="","",Allocation2!I259)</f>
        <v/>
      </c>
      <c r="G259" t="str">
        <f>IF(Allocation2!E259="","",Allocation2!J259)</f>
        <v/>
      </c>
      <c r="H259" t="str">
        <f>IF(Allocation2!E259="","",Allocation2!K259)</f>
        <v/>
      </c>
      <c r="I259" t="str">
        <f>IF(Allocation2!E259="","",Allocation2!L259)</f>
        <v/>
      </c>
      <c r="J259" t="str">
        <f>IF($A259="","",Allocation2!X259)</f>
        <v/>
      </c>
      <c r="K259" t="str">
        <f>IF($A259="","",$H259*IF(AND(LEFT($D259,3)="BAC",$F259="INIT"),600,IF(LEFT($D259,3)="BAC",480,IF(AND(LEFT($D259,3)="MAS",$F259="INIT"),520,IF(LEFT($D259,3)="MAS",420,IF($F259="INIT",1000,700))))))</f>
        <v/>
      </c>
      <c r="L259" t="str">
        <f>IF($A259="","",SUMIFS($G$1:$G$349,$A$1:$A$349,$A259,$B$1:$B$349,$B259))</f>
        <v/>
      </c>
      <c r="M259" t="str">
        <f>IF($A259="","",SUMIFS($H$1:$H$349,$A$1:$A$349,$A259,$B$1:$B$349,$B259))</f>
        <v/>
      </c>
      <c r="N259" t="str">
        <f>IF($A259="","",SUMIFS($I$1:$I$349,$A$1:$A$349,$A259,$B$1:$B$349,$B259))</f>
        <v/>
      </c>
      <c r="O259" t="str">
        <f>IF($A259="","",SUMIFS($K$1:$K$349,$A$1:$A$349,$A259,$B$1:$B$349,$B259))</f>
        <v/>
      </c>
      <c r="P259" t="str">
        <f>IF($A259="","",SUMIFS($J$1:$J$349,$A$1:$A$349,$A259,$B$1:$B$349,$B259))</f>
        <v/>
      </c>
      <c r="Q259" t="str">
        <f>IF($A259="","",SUMIFS($G$1:$G$349,$A$1:$A$349,$A259,$C$1:$C$349,$C259))</f>
        <v/>
      </c>
      <c r="R259" t="str">
        <f>IF($A259="","",SUMIFS($H$1:$H$349,$A$1:$A$349,$A259,$C$1:$C$349,$C259))</f>
        <v/>
      </c>
      <c r="S259" t="str">
        <f>IF($A259="","",SUMIFS($I$1:$I$349,$A$1:$A$349,$A259,$C$1:$C$349,$C259))</f>
        <v/>
      </c>
      <c r="T259" t="str">
        <f>IF($A259="","",SUMIFS($G$1:$G$349,$A$1:$A$349,$A259))</f>
        <v/>
      </c>
      <c r="U259" t="str">
        <f>IF($A259="","",SUMIFS($H$1:$H$349,$A$1:$A$349,$A259))</f>
        <v/>
      </c>
      <c r="V259" t="str">
        <f>IF($A259="","",SUMIFS($I$1:$I$349,$A$1:$A$349,$A259))</f>
        <v/>
      </c>
      <c r="W259" t="str">
        <f>IF($A259="","",Allocation2!Y259)</f>
        <v/>
      </c>
      <c r="X259" t="str">
        <f>IF($A259="","",Allocation2!Z259)</f>
        <v/>
      </c>
      <c r="Y259" t="str">
        <f>IF($A259="","",Allocation2!AA259)</f>
        <v/>
      </c>
      <c r="Z259" t="str">
        <f>IF($A259="","",Allocation2!AB259)</f>
        <v/>
      </c>
      <c r="AA259" t="str">
        <f>IF($A259="","",Allocation2!AC259)</f>
        <v/>
      </c>
      <c r="AB259" t="str">
        <f>IF($A259="","",Allocation2!AD259)</f>
        <v/>
      </c>
      <c r="AC259" t="str">
        <f>IF($A259="","",IF(ALLOC!$N$4="VOL_EFF",$G259,IF(ALLOC!$N$4="VOL_CLASS",$H259,$I259)))</f>
        <v/>
      </c>
      <c r="AD259" t="str">
        <f>IF($A259="","",IF(ALLOC!$N$4="VOL_EFF",$L259,IF(ALLOC!$N$4="VOL_CLASS",$M259,$N259)))</f>
        <v/>
      </c>
      <c r="AE259" t="str">
        <f>IF($A259="","",IF(ALLOC!$N$3="VOL_EFF",$L259,IF(ALLOC!$N$3="VOL_CLASS",$M259,$N259)))</f>
        <v/>
      </c>
      <c r="AF259" t="str">
        <f>IF($A259="","",IF(ALLOC!$N$3="VOL_EFF",$Q259,IF(ALLOC!$N$3="VOL_CLASS",$R259,$S259)))</f>
        <v/>
      </c>
      <c r="AG259" t="str">
        <f>IF($A259="","",IF(ALLOC!$N$1="VOL_EFF",$Q259,IF(ALLOC!$N$1="VOL_CLASS",$R259,$S259)))</f>
        <v/>
      </c>
      <c r="AH259" t="str">
        <f>IF($A259="","",IF(ALLOC!$N$1="VOL_EFF",$T259,IF(ALLOC!$N$1="VOL_CLASS",$U259,$V259)))</f>
        <v/>
      </c>
      <c r="AI259" t="str">
        <f>IF($A259="","",$W259*IFERROR($K259/$O259,0))</f>
        <v/>
      </c>
      <c r="AJ259" t="str">
        <f>IF($A259="","",$X259*IFERROR($K259/$O259,0))</f>
        <v/>
      </c>
      <c r="AK259" t="str">
        <f>IF($A259="","",$Y259*IFERROR($G259/$L259,0)+$Z259*IFERROR($J259/$P259,0))</f>
        <v/>
      </c>
      <c r="AL259" t="str">
        <f>IF($A259="","",$AA259*IFERROR($AC259/$AD259,0))</f>
        <v/>
      </c>
      <c r="AM259" t="str">
        <f>IF($A259="","",$AB259*IFERROR($AG259/$AH259,0)*IFERROR($AE259/$AF259,0)*IFERROR($AC259/$AD259,0))</f>
        <v/>
      </c>
      <c r="AN259" t="str">
        <f>IF($A259="","",$I259-($AI259+$AJ259+$AK259+$AL259+$AM259+$AR259))</f>
        <v/>
      </c>
      <c r="AO259" t="str">
        <f>IF($A259="","",Allocation2!AE259)</f>
        <v/>
      </c>
      <c r="AP259" t="str">
        <f>IF($A259="","",IF(ALLOC!$N$2="VOL_EFF",$Q259,IF(ALLOC!$N$2="VOL_CLASS",$R259,$S259)))</f>
        <v/>
      </c>
      <c r="AQ259" t="str">
        <f>IF($A259="","",IF(ALLOC!$N$2="VOL_EFF",$T259,IF(ALLOC!$N$2="VOL_CLASS",$U259,$V259)))</f>
        <v/>
      </c>
      <c r="AR259" t="str">
        <f>IF($A259="","",$AO259*IFERROR($AP259/$AQ259,0)*IFERROR($AE259/$AF259,0)*IFERROR($AC259/$AD259,0))</f>
        <v/>
      </c>
    </row>
    <row r="260" spans="1:46" x14ac:dyDescent="0.45">
      <c r="A260" t="str">
        <f>IF(Allocation2!D260="","",Allocation2!D260)</f>
        <v/>
      </c>
      <c r="B260" t="str">
        <f>IF(Allocation2!E260="","",Allocation2!E260)</f>
        <v/>
      </c>
      <c r="C260" t="str">
        <f>IF(Allocation2!F260="","",Allocation2!F260)</f>
        <v/>
      </c>
      <c r="D260" t="str">
        <f>IF(Allocation2!G260="","",Allocation2!G260)</f>
        <v/>
      </c>
      <c r="E260" t="str">
        <f>IF(Allocation2!H260="","",Allocation2!H260)</f>
        <v/>
      </c>
      <c r="F260" t="str">
        <f>IF(Allocation2!I260="","",Allocation2!I260)</f>
        <v/>
      </c>
      <c r="G260" t="str">
        <f>IF(Allocation2!E260="","",Allocation2!J260)</f>
        <v/>
      </c>
      <c r="H260" t="str">
        <f>IF(Allocation2!E260="","",Allocation2!K260)</f>
        <v/>
      </c>
      <c r="I260" t="str">
        <f>IF(Allocation2!E260="","",Allocation2!L260)</f>
        <v/>
      </c>
      <c r="J260" t="str">
        <f>IF($A260="","",Allocation2!X260)</f>
        <v/>
      </c>
      <c r="K260" t="str">
        <f>IF($A260="","",$H260*IF(AND(LEFT($D260,3)="BAC",$F260="INIT"),600,IF(LEFT($D260,3)="BAC",480,IF(AND(LEFT($D260,3)="MAS",$F260="INIT"),520,IF(LEFT($D260,3)="MAS",420,IF($F260="INIT",1000,700))))))</f>
        <v/>
      </c>
      <c r="L260" t="str">
        <f>IF($A260="","",SUMIFS($G$1:$G$349,$A$1:$A$349,$A260,$B$1:$B$349,$B260))</f>
        <v/>
      </c>
      <c r="M260" t="str">
        <f>IF($A260="","",SUMIFS($H$1:$H$349,$A$1:$A$349,$A260,$B$1:$B$349,$B260))</f>
        <v/>
      </c>
      <c r="N260" t="str">
        <f>IF($A260="","",SUMIFS($I$1:$I$349,$A$1:$A$349,$A260,$B$1:$B$349,$B260))</f>
        <v/>
      </c>
      <c r="O260" t="str">
        <f>IF($A260="","",SUMIFS($K$1:$K$349,$A$1:$A$349,$A260,$B$1:$B$349,$B260))</f>
        <v/>
      </c>
      <c r="P260" t="str">
        <f>IF($A260="","",SUMIFS($J$1:$J$349,$A$1:$A$349,$A260,$B$1:$B$349,$B260))</f>
        <v/>
      </c>
      <c r="Q260" t="str">
        <f>IF($A260="","",SUMIFS($G$1:$G$349,$A$1:$A$349,$A260,$C$1:$C$349,$C260))</f>
        <v/>
      </c>
      <c r="R260" t="str">
        <f>IF($A260="","",SUMIFS($H$1:$H$349,$A$1:$A$349,$A260,$C$1:$C$349,$C260))</f>
        <v/>
      </c>
      <c r="S260" t="str">
        <f>IF($A260="","",SUMIFS($I$1:$I$349,$A$1:$A$349,$A260,$C$1:$C$349,$C260))</f>
        <v/>
      </c>
      <c r="T260" t="str">
        <f>IF($A260="","",SUMIFS($G$1:$G$349,$A$1:$A$349,$A260))</f>
        <v/>
      </c>
      <c r="U260" t="str">
        <f>IF($A260="","",SUMIFS($H$1:$H$349,$A$1:$A$349,$A260))</f>
        <v/>
      </c>
      <c r="V260" t="str">
        <f>IF($A260="","",SUMIFS($I$1:$I$349,$A$1:$A$349,$A260))</f>
        <v/>
      </c>
      <c r="W260" t="str">
        <f>IF($A260="","",Allocation2!Y260)</f>
        <v/>
      </c>
      <c r="X260" t="str">
        <f>IF($A260="","",Allocation2!Z260)</f>
        <v/>
      </c>
      <c r="Y260" t="str">
        <f>IF($A260="","",Allocation2!AA260)</f>
        <v/>
      </c>
      <c r="Z260" t="str">
        <f>IF($A260="","",Allocation2!AB260)</f>
        <v/>
      </c>
      <c r="AA260" t="str">
        <f>IF($A260="","",Allocation2!AC260)</f>
        <v/>
      </c>
      <c r="AB260" t="str">
        <f>IF($A260="","",Allocation2!AD260)</f>
        <v/>
      </c>
      <c r="AC260" t="str">
        <f>IF($A260="","",IF(ALLOC!$N$4="VOL_EFF",$G260,IF(ALLOC!$N$4="VOL_CLASS",$H260,$I260)))</f>
        <v/>
      </c>
      <c r="AD260" t="str">
        <f>IF($A260="","",IF(ALLOC!$N$4="VOL_EFF",$L260,IF(ALLOC!$N$4="VOL_CLASS",$M260,$N260)))</f>
        <v/>
      </c>
      <c r="AE260" t="str">
        <f>IF($A260="","",IF(ALLOC!$N$3="VOL_EFF",$L260,IF(ALLOC!$N$3="VOL_CLASS",$M260,$N260)))</f>
        <v/>
      </c>
      <c r="AF260" t="str">
        <f>IF($A260="","",IF(ALLOC!$N$3="VOL_EFF",$Q260,IF(ALLOC!$N$3="VOL_CLASS",$R260,$S260)))</f>
        <v/>
      </c>
      <c r="AG260" t="str">
        <f>IF($A260="","",IF(ALLOC!$N$1="VOL_EFF",$Q260,IF(ALLOC!$N$1="VOL_CLASS",$R260,$S260)))</f>
        <v/>
      </c>
      <c r="AH260" t="str">
        <f>IF($A260="","",IF(ALLOC!$N$1="VOL_EFF",$T260,IF(ALLOC!$N$1="VOL_CLASS",$U260,$V260)))</f>
        <v/>
      </c>
      <c r="AI260" t="str">
        <f>IF($A260="","",$W260*IFERROR($K260/$O260,0))</f>
        <v/>
      </c>
      <c r="AJ260" t="str">
        <f>IF($A260="","",$X260*IFERROR($K260/$O260,0))</f>
        <v/>
      </c>
      <c r="AK260" t="str">
        <f>IF($A260="","",$Y260*IFERROR($G260/$L260,0)+$Z260*IFERROR($J260/$P260,0))</f>
        <v/>
      </c>
      <c r="AL260" t="str">
        <f>IF($A260="","",$AA260*IFERROR($AC260/$AD260,0))</f>
        <v/>
      </c>
      <c r="AM260" t="str">
        <f>IF($A260="","",$AB260*IFERROR($AG260/$AH260,0)*IFERROR($AE260/$AF260,0)*IFERROR($AC260/$AD260,0))</f>
        <v/>
      </c>
      <c r="AN260" t="str">
        <f>IF($A260="","",$I260-($AI260+$AJ260+$AK260+$AL260+$AM260+$AR260))</f>
        <v/>
      </c>
      <c r="AO260" t="str">
        <f>IF($A260="","",Allocation2!AE260)</f>
        <v/>
      </c>
      <c r="AP260" t="str">
        <f>IF($A260="","",IF(ALLOC!$N$2="VOL_EFF",$Q260,IF(ALLOC!$N$2="VOL_CLASS",$R260,$S260)))</f>
        <v/>
      </c>
      <c r="AQ260" t="str">
        <f>IF($A260="","",IF(ALLOC!$N$2="VOL_EFF",$T260,IF(ALLOC!$N$2="VOL_CLASS",$U260,$V260)))</f>
        <v/>
      </c>
      <c r="AR260" t="str">
        <f>IF($A260="","",$AO260*IFERROR($AP260/$AQ260,0)*IFERROR($AE260/$AF260,0)*IFERROR($AC260/$AD260,0))</f>
        <v/>
      </c>
    </row>
    <row r="261" spans="1:46" x14ac:dyDescent="0.45">
      <c r="A261" t="str">
        <f>IF(Allocation2!D261="","",Allocation2!D261)</f>
        <v/>
      </c>
      <c r="B261" t="str">
        <f>IF(Allocation2!E261="","",Allocation2!E261)</f>
        <v/>
      </c>
      <c r="C261" t="str">
        <f>IF(Allocation2!F261="","",Allocation2!F261)</f>
        <v/>
      </c>
      <c r="D261" t="str">
        <f>IF(Allocation2!G261="","",Allocation2!G261)</f>
        <v/>
      </c>
      <c r="E261" t="str">
        <f>IF(Allocation2!H261="","",Allocation2!H261)</f>
        <v/>
      </c>
      <c r="F261" t="str">
        <f>IF(Allocation2!I261="","",Allocation2!I261)</f>
        <v/>
      </c>
      <c r="G261" t="str">
        <f>IF(Allocation2!E261="","",Allocation2!J261)</f>
        <v/>
      </c>
      <c r="H261" t="str">
        <f>IF(Allocation2!E261="","",Allocation2!K261)</f>
        <v/>
      </c>
      <c r="I261" t="str">
        <f>IF(Allocation2!E261="","",Allocation2!L261)</f>
        <v/>
      </c>
      <c r="J261" t="str">
        <f>IF($A261="","",Allocation2!X261)</f>
        <v/>
      </c>
      <c r="K261" t="str">
        <f>IF($A261="","",$H261*IF(AND(LEFT($D261,3)="BAC",$F261="INIT"),600,IF(LEFT($D261,3)="BAC",480,IF(AND(LEFT($D261,3)="MAS",$F261="INIT"),520,IF(LEFT($D261,3)="MAS",420,IF($F261="INIT",1000,700))))))</f>
        <v/>
      </c>
      <c r="L261" t="str">
        <f>IF($A261="","",SUMIFS($G$1:$G$349,$A$1:$A$349,$A261,$B$1:$B$349,$B261))</f>
        <v/>
      </c>
      <c r="M261" t="str">
        <f>IF($A261="","",SUMIFS($H$1:$H$349,$A$1:$A$349,$A261,$B$1:$B$349,$B261))</f>
        <v/>
      </c>
      <c r="N261" t="str">
        <f>IF($A261="","",SUMIFS($I$1:$I$349,$A$1:$A$349,$A261,$B$1:$B$349,$B261))</f>
        <v/>
      </c>
      <c r="O261" t="str">
        <f>IF($A261="","",SUMIFS($K$1:$K$349,$A$1:$A$349,$A261,$B$1:$B$349,$B261))</f>
        <v/>
      </c>
      <c r="P261" t="str">
        <f>IF($A261="","",SUMIFS($J$1:$J$349,$A$1:$A$349,$A261,$B$1:$B$349,$B261))</f>
        <v/>
      </c>
      <c r="Q261" t="str">
        <f>IF($A261="","",SUMIFS($G$1:$G$349,$A$1:$A$349,$A261,$C$1:$C$349,$C261))</f>
        <v/>
      </c>
      <c r="R261" t="str">
        <f>IF($A261="","",SUMIFS($H$1:$H$349,$A$1:$A$349,$A261,$C$1:$C$349,$C261))</f>
        <v/>
      </c>
      <c r="S261" t="str">
        <f>IF($A261="","",SUMIFS($I$1:$I$349,$A$1:$A$349,$A261,$C$1:$C$349,$C261))</f>
        <v/>
      </c>
      <c r="T261" t="str">
        <f>IF($A261="","",SUMIFS($G$1:$G$349,$A$1:$A$349,$A261))</f>
        <v/>
      </c>
      <c r="U261" t="str">
        <f>IF($A261="","",SUMIFS($H$1:$H$349,$A$1:$A$349,$A261))</f>
        <v/>
      </c>
      <c r="V261" t="str">
        <f>IF($A261="","",SUMIFS($I$1:$I$349,$A$1:$A$349,$A261))</f>
        <v/>
      </c>
      <c r="W261" t="str">
        <f>IF($A261="","",Allocation2!Y261)</f>
        <v/>
      </c>
      <c r="X261" t="str">
        <f>IF($A261="","",Allocation2!Z261)</f>
        <v/>
      </c>
      <c r="Y261" t="str">
        <f>IF($A261="","",Allocation2!AA261)</f>
        <v/>
      </c>
      <c r="Z261" t="str">
        <f>IF($A261="","",Allocation2!AB261)</f>
        <v/>
      </c>
      <c r="AA261" t="str">
        <f>IF($A261="","",Allocation2!AC261)</f>
        <v/>
      </c>
      <c r="AB261" t="str">
        <f>IF($A261="","",Allocation2!AD261)</f>
        <v/>
      </c>
      <c r="AC261" t="str">
        <f>IF($A261="","",IF(ALLOC!$N$4="VOL_EFF",$G261,IF(ALLOC!$N$4="VOL_CLASS",$H261,$I261)))</f>
        <v/>
      </c>
      <c r="AD261" t="str">
        <f>IF($A261="","",IF(ALLOC!$N$4="VOL_EFF",$L261,IF(ALLOC!$N$4="VOL_CLASS",$M261,$N261)))</f>
        <v/>
      </c>
      <c r="AE261" t="str">
        <f>IF($A261="","",IF(ALLOC!$N$3="VOL_EFF",$L261,IF(ALLOC!$N$3="VOL_CLASS",$M261,$N261)))</f>
        <v/>
      </c>
      <c r="AF261" t="str">
        <f>IF($A261="","",IF(ALLOC!$N$3="VOL_EFF",$Q261,IF(ALLOC!$N$3="VOL_CLASS",$R261,$S261)))</f>
        <v/>
      </c>
      <c r="AG261" t="str">
        <f>IF($A261="","",IF(ALLOC!$N$1="VOL_EFF",$Q261,IF(ALLOC!$N$1="VOL_CLASS",$R261,$S261)))</f>
        <v/>
      </c>
      <c r="AH261" t="str">
        <f>IF($A261="","",IF(ALLOC!$N$1="VOL_EFF",$T261,IF(ALLOC!$N$1="VOL_CLASS",$U261,$V261)))</f>
        <v/>
      </c>
      <c r="AI261" t="str">
        <f>IF($A261="","",$W261*IFERROR($K261/$O261,0))</f>
        <v/>
      </c>
      <c r="AJ261" t="str">
        <f>IF($A261="","",$X261*IFERROR($K261/$O261,0))</f>
        <v/>
      </c>
      <c r="AK261" t="str">
        <f>IF($A261="","",$Y261*IFERROR($G261/$L261,0)+$Z261*IFERROR($J261/$P261,0))</f>
        <v/>
      </c>
      <c r="AL261" t="str">
        <f>IF($A261="","",$AA261*IFERROR($AC261/$AD261,0))</f>
        <v/>
      </c>
      <c r="AM261" t="str">
        <f>IF($A261="","",$AB261*IFERROR($AG261/$AH261,0)*IFERROR($AE261/$AF261,0)*IFERROR($AC261/$AD261,0))</f>
        <v/>
      </c>
      <c r="AN261" t="str">
        <f>IF($A261="","",$I261-($AI261+$AJ261+$AK261+$AL261+$AM261+$AR261))</f>
        <v/>
      </c>
      <c r="AO261" t="str">
        <f>IF($A261="","",Allocation2!AE261)</f>
        <v/>
      </c>
      <c r="AP261" t="str">
        <f>IF($A261="","",IF(ALLOC!$N$2="VOL_EFF",$Q261,IF(ALLOC!$N$2="VOL_CLASS",$R261,$S261)))</f>
        <v/>
      </c>
      <c r="AQ261" t="str">
        <f>IF($A261="","",IF(ALLOC!$N$2="VOL_EFF",$T261,IF(ALLOC!$N$2="VOL_CLASS",$U261,$V261)))</f>
        <v/>
      </c>
      <c r="AR261" t="str">
        <f>IF($A261="","",$AO261*IFERROR($AP261/$AQ261,0)*IFERROR($AE261/$AF261,0)*IFERROR($AC261/$AD261,0))</f>
        <v/>
      </c>
    </row>
    <row r="262" spans="1:46" x14ac:dyDescent="0.45">
      <c r="A262" t="str">
        <f>IF(Allocation2!D262="","",Allocation2!D262)</f>
        <v/>
      </c>
      <c r="B262" t="str">
        <f>IF(Allocation2!E262="","",Allocation2!E262)</f>
        <v/>
      </c>
      <c r="C262" t="str">
        <f>IF(Allocation2!F262="","",Allocation2!F262)</f>
        <v/>
      </c>
      <c r="D262" t="str">
        <f>IF(Allocation2!G262="","",Allocation2!G262)</f>
        <v/>
      </c>
      <c r="E262" t="str">
        <f>IF(Allocation2!H262="","",Allocation2!H262)</f>
        <v/>
      </c>
      <c r="F262" t="str">
        <f>IF(Allocation2!I262="","",Allocation2!I262)</f>
        <v/>
      </c>
      <c r="G262" t="str">
        <f>IF(Allocation2!E262="","",Allocation2!J262)</f>
        <v/>
      </c>
      <c r="H262" t="str">
        <f>IF(Allocation2!E262="","",Allocation2!K262)</f>
        <v/>
      </c>
      <c r="I262" t="str">
        <f>IF(Allocation2!E262="","",Allocation2!L262)</f>
        <v/>
      </c>
      <c r="J262" t="str">
        <f>IF($A262="","",Allocation2!X262)</f>
        <v/>
      </c>
      <c r="K262" t="str">
        <f>IF($A262="","",$H262*IF(AND(LEFT($D262,3)="BAC",$F262="INIT"),600,IF(LEFT($D262,3)="BAC",480,IF(AND(LEFT($D262,3)="MAS",$F262="INIT"),520,IF(LEFT($D262,3)="MAS",420,IF($F262="INIT",1000,700))))))</f>
        <v/>
      </c>
      <c r="L262" t="str">
        <f>IF($A262="","",SUMIFS($G$1:$G$349,$A$1:$A$349,$A262,$B$1:$B$349,$B262))</f>
        <v/>
      </c>
      <c r="M262" t="str">
        <f>IF($A262="","",SUMIFS($H$1:$H$349,$A$1:$A$349,$A262,$B$1:$B$349,$B262))</f>
        <v/>
      </c>
      <c r="N262" t="str">
        <f>IF($A262="","",SUMIFS($I$1:$I$349,$A$1:$A$349,$A262,$B$1:$B$349,$B262))</f>
        <v/>
      </c>
      <c r="O262" t="str">
        <f>IF($A262="","",SUMIFS($K$1:$K$349,$A$1:$A$349,$A262,$B$1:$B$349,$B262))</f>
        <v/>
      </c>
      <c r="P262" t="str">
        <f>IF($A262="","",SUMIFS($J$1:$J$349,$A$1:$A$349,$A262,$B$1:$B$349,$B262))</f>
        <v/>
      </c>
      <c r="Q262" t="str">
        <f>IF($A262="","",SUMIFS($G$1:$G$349,$A$1:$A$349,$A262,$C$1:$C$349,$C262))</f>
        <v/>
      </c>
      <c r="R262" t="str">
        <f>IF($A262="","",SUMIFS($H$1:$H$349,$A$1:$A$349,$A262,$C$1:$C$349,$C262))</f>
        <v/>
      </c>
      <c r="S262" t="str">
        <f>IF($A262="","",SUMIFS($I$1:$I$349,$A$1:$A$349,$A262,$C$1:$C$349,$C262))</f>
        <v/>
      </c>
      <c r="T262" t="str">
        <f>IF($A262="","",SUMIFS($G$1:$G$349,$A$1:$A$349,$A262))</f>
        <v/>
      </c>
      <c r="U262" t="str">
        <f>IF($A262="","",SUMIFS($H$1:$H$349,$A$1:$A$349,$A262))</f>
        <v/>
      </c>
      <c r="V262" t="str">
        <f>IF($A262="","",SUMIFS($I$1:$I$349,$A$1:$A$349,$A262))</f>
        <v/>
      </c>
      <c r="W262" t="str">
        <f>IF($A262="","",Allocation2!Y262)</f>
        <v/>
      </c>
      <c r="X262" t="str">
        <f>IF($A262="","",Allocation2!Z262)</f>
        <v/>
      </c>
      <c r="Y262" t="str">
        <f>IF($A262="","",Allocation2!AA262)</f>
        <v/>
      </c>
      <c r="Z262" t="str">
        <f>IF($A262="","",Allocation2!AB262)</f>
        <v/>
      </c>
      <c r="AA262" t="str">
        <f>IF($A262="","",Allocation2!AC262)</f>
        <v/>
      </c>
      <c r="AB262" t="str">
        <f>IF($A262="","",Allocation2!AD262)</f>
        <v/>
      </c>
      <c r="AC262" t="str">
        <f>IF($A262="","",IF(ALLOC!$N$4="VOL_EFF",$G262,IF(ALLOC!$N$4="VOL_CLASS",$H262,$I262)))</f>
        <v/>
      </c>
      <c r="AD262" t="str">
        <f>IF($A262="","",IF(ALLOC!$N$4="VOL_EFF",$L262,IF(ALLOC!$N$4="VOL_CLASS",$M262,$N262)))</f>
        <v/>
      </c>
      <c r="AE262" t="str">
        <f>IF($A262="","",IF(ALLOC!$N$3="VOL_EFF",$L262,IF(ALLOC!$N$3="VOL_CLASS",$M262,$N262)))</f>
        <v/>
      </c>
      <c r="AF262" t="str">
        <f>IF($A262="","",IF(ALLOC!$N$3="VOL_EFF",$Q262,IF(ALLOC!$N$3="VOL_CLASS",$R262,$S262)))</f>
        <v/>
      </c>
      <c r="AG262" t="str">
        <f>IF($A262="","",IF(ALLOC!$N$1="VOL_EFF",$Q262,IF(ALLOC!$N$1="VOL_CLASS",$R262,$S262)))</f>
        <v/>
      </c>
      <c r="AH262" t="str">
        <f>IF($A262="","",IF(ALLOC!$N$1="VOL_EFF",$T262,IF(ALLOC!$N$1="VOL_CLASS",$U262,$V262)))</f>
        <v/>
      </c>
      <c r="AI262" t="str">
        <f>IF($A262="","",$W262*IFERROR($K262/$O262,0))</f>
        <v/>
      </c>
      <c r="AJ262" t="str">
        <f>IF($A262="","",$X262*IFERROR($K262/$O262,0))</f>
        <v/>
      </c>
      <c r="AK262" t="str">
        <f>IF($A262="","",$Y262*IFERROR($G262/$L262,0)+$Z262*IFERROR($J262/$P262,0))</f>
        <v/>
      </c>
      <c r="AL262" t="str">
        <f>IF($A262="","",$AA262*IFERROR($AC262/$AD262,0))</f>
        <v/>
      </c>
      <c r="AM262" t="str">
        <f>IF($A262="","",$AB262*IFERROR($AG262/$AH262,0)*IFERROR($AE262/$AF262,0)*IFERROR($AC262/$AD262,0))</f>
        <v/>
      </c>
      <c r="AN262" t="str">
        <f>IF($A262="","",$I262-($AI262+$AJ262+$AK262+$AL262+$AM262+$AR262))</f>
        <v/>
      </c>
      <c r="AO262" t="str">
        <f>IF($A262="","",Allocation2!AE262)</f>
        <v/>
      </c>
      <c r="AP262" t="str">
        <f>IF($A262="","",IF(ALLOC!$N$2="VOL_EFF",$Q262,IF(ALLOC!$N$2="VOL_CLASS",$R262,$S262)))</f>
        <v/>
      </c>
      <c r="AQ262" t="str">
        <f>IF($A262="","",IF(ALLOC!$N$2="VOL_EFF",$T262,IF(ALLOC!$N$2="VOL_CLASS",$U262,$V262)))</f>
        <v/>
      </c>
      <c r="AR262" t="str">
        <f>IF($A262="","",$AO262*IFERROR($AP262/$AQ262,0)*IFERROR($AE262/$AF262,0)*IFERROR($AC262/$AD262,0))</f>
        <v/>
      </c>
    </row>
    <row r="263" spans="1:46" x14ac:dyDescent="0.45">
      <c r="A263" t="str">
        <f>IF(Allocation2!D263="","",Allocation2!D263)</f>
        <v/>
      </c>
      <c r="B263" t="str">
        <f>IF(Allocation2!E263="","",Allocation2!E263)</f>
        <v/>
      </c>
      <c r="C263" t="str">
        <f>IF(Allocation2!F263="","",Allocation2!F263)</f>
        <v/>
      </c>
      <c r="D263" t="str">
        <f>IF(Allocation2!G263="","",Allocation2!G263)</f>
        <v/>
      </c>
      <c r="E263" t="str">
        <f>IF(Allocation2!H263="","",Allocation2!H263)</f>
        <v/>
      </c>
      <c r="F263" t="str">
        <f>IF(Allocation2!I263="","",Allocation2!I263)</f>
        <v/>
      </c>
      <c r="G263" t="str">
        <f>IF(Allocation2!E263="","",Allocation2!J263)</f>
        <v/>
      </c>
      <c r="H263" t="str">
        <f>IF(Allocation2!E263="","",Allocation2!K263)</f>
        <v/>
      </c>
      <c r="I263" t="str">
        <f>IF(Allocation2!E263="","",Allocation2!L263)</f>
        <v/>
      </c>
      <c r="J263" t="str">
        <f>IF($A263="","",Allocation2!X263)</f>
        <v/>
      </c>
      <c r="K263" t="str">
        <f>IF($A263="","",$H263*IF(AND(LEFT($D263,3)="BAC",$F263="INIT"),600,IF(LEFT($D263,3)="BAC",480,IF(AND(LEFT($D263,3)="MAS",$F263="INIT"),520,IF(LEFT($D263,3)="MAS",420,IF($F263="INIT",1000,700))))))</f>
        <v/>
      </c>
      <c r="L263" t="str">
        <f>IF($A263="","",SUMIFS($G$1:$G$349,$A$1:$A$349,$A263,$B$1:$B$349,$B263))</f>
        <v/>
      </c>
      <c r="M263" t="str">
        <f>IF($A263="","",SUMIFS($H$1:$H$349,$A$1:$A$349,$A263,$B$1:$B$349,$B263))</f>
        <v/>
      </c>
      <c r="N263" t="str">
        <f>IF($A263="","",SUMIFS($I$1:$I$349,$A$1:$A$349,$A263,$B$1:$B$349,$B263))</f>
        <v/>
      </c>
      <c r="O263" t="str">
        <f>IF($A263="","",SUMIFS($K$1:$K$349,$A$1:$A$349,$A263,$B$1:$B$349,$B263))</f>
        <v/>
      </c>
      <c r="P263" t="str">
        <f>IF($A263="","",SUMIFS($J$1:$J$349,$A$1:$A$349,$A263,$B$1:$B$349,$B263))</f>
        <v/>
      </c>
      <c r="Q263" t="str">
        <f>IF($A263="","",SUMIFS($G$1:$G$349,$A$1:$A$349,$A263,$C$1:$C$349,$C263))</f>
        <v/>
      </c>
      <c r="R263" t="str">
        <f>IF($A263="","",SUMIFS($H$1:$H$349,$A$1:$A$349,$A263,$C$1:$C$349,$C263))</f>
        <v/>
      </c>
      <c r="S263" t="str">
        <f>IF($A263="","",SUMIFS($I$1:$I$349,$A$1:$A$349,$A263,$C$1:$C$349,$C263))</f>
        <v/>
      </c>
      <c r="T263" t="str">
        <f>IF($A263="","",SUMIFS($G$1:$G$349,$A$1:$A$349,$A263))</f>
        <v/>
      </c>
      <c r="U263" t="str">
        <f>IF($A263="","",SUMIFS($H$1:$H$349,$A$1:$A$349,$A263))</f>
        <v/>
      </c>
      <c r="V263" t="str">
        <f>IF($A263="","",SUMIFS($I$1:$I$349,$A$1:$A$349,$A263))</f>
        <v/>
      </c>
      <c r="W263" t="str">
        <f>IF($A263="","",Allocation2!Y263)</f>
        <v/>
      </c>
      <c r="X263" t="str">
        <f>IF($A263="","",Allocation2!Z263)</f>
        <v/>
      </c>
      <c r="Y263" t="str">
        <f>IF($A263="","",Allocation2!AA263)</f>
        <v/>
      </c>
      <c r="Z263" t="str">
        <f>IF($A263="","",Allocation2!AB263)</f>
        <v/>
      </c>
      <c r="AA263" t="str">
        <f>IF($A263="","",Allocation2!AC263)</f>
        <v/>
      </c>
      <c r="AB263" t="str">
        <f>IF($A263="","",Allocation2!AD263)</f>
        <v/>
      </c>
      <c r="AC263" t="str">
        <f>IF($A263="","",IF(ALLOC!$N$4="VOL_EFF",$G263,IF(ALLOC!$N$4="VOL_CLASS",$H263,$I263)))</f>
        <v/>
      </c>
      <c r="AD263" t="str">
        <f>IF($A263="","",IF(ALLOC!$N$4="VOL_EFF",$L263,IF(ALLOC!$N$4="VOL_CLASS",$M263,$N263)))</f>
        <v/>
      </c>
      <c r="AE263" t="str">
        <f>IF($A263="","",IF(ALLOC!$N$3="VOL_EFF",$L263,IF(ALLOC!$N$3="VOL_CLASS",$M263,$N263)))</f>
        <v/>
      </c>
      <c r="AF263" t="str">
        <f>IF($A263="","",IF(ALLOC!$N$3="VOL_EFF",$Q263,IF(ALLOC!$N$3="VOL_CLASS",$R263,$S263)))</f>
        <v/>
      </c>
      <c r="AG263" t="str">
        <f>IF($A263="","",IF(ALLOC!$N$1="VOL_EFF",$Q263,IF(ALLOC!$N$1="VOL_CLASS",$R263,$S263)))</f>
        <v/>
      </c>
      <c r="AH263" t="str">
        <f>IF($A263="","",IF(ALLOC!$N$1="VOL_EFF",$T263,IF(ALLOC!$N$1="VOL_CLASS",$U263,$V263)))</f>
        <v/>
      </c>
      <c r="AI263" t="str">
        <f>IF($A263="","",$W263*IFERROR($K263/$O263,0))</f>
        <v/>
      </c>
      <c r="AJ263" t="str">
        <f>IF($A263="","",$X263*IFERROR($K263/$O263,0))</f>
        <v/>
      </c>
      <c r="AK263" t="str">
        <f>IF($A263="","",$Y263*IFERROR($G263/$L263,0)+$Z263*IFERROR($J263/$P263,0))</f>
        <v/>
      </c>
      <c r="AL263" t="str">
        <f>IF($A263="","",$AA263*IFERROR($AC263/$AD263,0))</f>
        <v/>
      </c>
      <c r="AM263" t="str">
        <f>IF($A263="","",$AB263*IFERROR($AG263/$AH263,0)*IFERROR($AE263/$AF263,0)*IFERROR($AC263/$AD263,0))</f>
        <v/>
      </c>
      <c r="AN263" t="str">
        <f>IF($A263="","",$I263-($AI263+$AJ263+$AK263+$AL263+$AM263+$AR263))</f>
        <v/>
      </c>
      <c r="AO263" t="str">
        <f>IF($A263="","",Allocation2!AE263)</f>
        <v/>
      </c>
      <c r="AP263" t="str">
        <f>IF($A263="","",IF(ALLOC!$N$2="VOL_EFF",$Q263,IF(ALLOC!$N$2="VOL_CLASS",$R263,$S263)))</f>
        <v/>
      </c>
      <c r="AQ263" t="str">
        <f>IF($A263="","",IF(ALLOC!$N$2="VOL_EFF",$T263,IF(ALLOC!$N$2="VOL_CLASS",$U263,$V263)))</f>
        <v/>
      </c>
      <c r="AR263" t="str">
        <f>IF($A263="","",$AO263*IFERROR($AP263/$AQ263,0)*IFERROR($AE263/$AF263,0)*IFERROR($AC263/$AD263,0))</f>
        <v/>
      </c>
    </row>
    <row r="264" spans="1:46" x14ac:dyDescent="0.45">
      <c r="A264" t="str">
        <f>IF(Allocation2!D264="","",Allocation2!D264)</f>
        <v/>
      </c>
      <c r="B264" t="str">
        <f>IF(Allocation2!E264="","",Allocation2!E264)</f>
        <v/>
      </c>
      <c r="C264" t="str">
        <f>IF(Allocation2!F264="","",Allocation2!F264)</f>
        <v/>
      </c>
      <c r="D264" t="str">
        <f>IF(Allocation2!G264="","",Allocation2!G264)</f>
        <v/>
      </c>
      <c r="E264" t="str">
        <f>IF(Allocation2!H264="","",Allocation2!H264)</f>
        <v/>
      </c>
      <c r="F264" t="str">
        <f>IF(Allocation2!I264="","",Allocation2!I264)</f>
        <v/>
      </c>
      <c r="G264" t="str">
        <f>IF(Allocation2!E264="","",Allocation2!J264)</f>
        <v/>
      </c>
      <c r="H264" t="str">
        <f>IF(Allocation2!E264="","",Allocation2!K264)</f>
        <v/>
      </c>
      <c r="I264" t="str">
        <f>IF(Allocation2!E264="","",Allocation2!L264)</f>
        <v/>
      </c>
      <c r="J264" t="str">
        <f>IF($A264="","",Allocation2!X264)</f>
        <v/>
      </c>
      <c r="K264" t="str">
        <f>IF($A264="","",$H264*IF(AND(LEFT($D264,3)="BAC",$F264="INIT"),600,IF(LEFT($D264,3)="BAC",480,IF(AND(LEFT($D264,3)="MAS",$F264="INIT"),520,IF(LEFT($D264,3)="MAS",420,IF($F264="INIT",1000,700))))))</f>
        <v/>
      </c>
      <c r="L264" t="str">
        <f>IF($A264="","",SUMIFS($G$1:$G$349,$A$1:$A$349,$A264,$B$1:$B$349,$B264))</f>
        <v/>
      </c>
      <c r="M264" t="str">
        <f>IF($A264="","",SUMIFS($H$1:$H$349,$A$1:$A$349,$A264,$B$1:$B$349,$B264))</f>
        <v/>
      </c>
      <c r="N264" t="str">
        <f>IF($A264="","",SUMIFS($I$1:$I$349,$A$1:$A$349,$A264,$B$1:$B$349,$B264))</f>
        <v/>
      </c>
      <c r="O264" t="str">
        <f>IF($A264="","",SUMIFS($K$1:$K$349,$A$1:$A$349,$A264,$B$1:$B$349,$B264))</f>
        <v/>
      </c>
      <c r="P264" t="str">
        <f>IF($A264="","",SUMIFS($J$1:$J$349,$A$1:$A$349,$A264,$B$1:$B$349,$B264))</f>
        <v/>
      </c>
      <c r="Q264" t="str">
        <f>IF($A264="","",SUMIFS($G$1:$G$349,$A$1:$A$349,$A264,$C$1:$C$349,$C264))</f>
        <v/>
      </c>
      <c r="R264" t="str">
        <f>IF($A264="","",SUMIFS($H$1:$H$349,$A$1:$A$349,$A264,$C$1:$C$349,$C264))</f>
        <v/>
      </c>
      <c r="S264" t="str">
        <f>IF($A264="","",SUMIFS($I$1:$I$349,$A$1:$A$349,$A264,$C$1:$C$349,$C264))</f>
        <v/>
      </c>
      <c r="T264" t="str">
        <f>IF($A264="","",SUMIFS($G$1:$G$349,$A$1:$A$349,$A264))</f>
        <v/>
      </c>
      <c r="U264" t="str">
        <f>IF($A264="","",SUMIFS($H$1:$H$349,$A$1:$A$349,$A264))</f>
        <v/>
      </c>
      <c r="V264" t="str">
        <f>IF($A264="","",SUMIFS($I$1:$I$349,$A$1:$A$349,$A264))</f>
        <v/>
      </c>
      <c r="W264" t="str">
        <f>IF($A264="","",Allocation2!Y264)</f>
        <v/>
      </c>
      <c r="X264" t="str">
        <f>IF($A264="","",Allocation2!Z264)</f>
        <v/>
      </c>
      <c r="Y264" t="str">
        <f>IF($A264="","",Allocation2!AA264)</f>
        <v/>
      </c>
      <c r="Z264" t="str">
        <f>IF($A264="","",Allocation2!AB264)</f>
        <v/>
      </c>
      <c r="AA264" t="str">
        <f>IF($A264="","",Allocation2!AC264)</f>
        <v/>
      </c>
      <c r="AB264" t="str">
        <f>IF($A264="","",Allocation2!AD264)</f>
        <v/>
      </c>
      <c r="AC264" t="str">
        <f>IF($A264="","",IF(ALLOC!$N$4="VOL_EFF",$G264,IF(ALLOC!$N$4="VOL_CLASS",$H264,$I264)))</f>
        <v/>
      </c>
      <c r="AD264" t="str">
        <f>IF($A264="","",IF(ALLOC!$N$4="VOL_EFF",$L264,IF(ALLOC!$N$4="VOL_CLASS",$M264,$N264)))</f>
        <v/>
      </c>
      <c r="AE264" t="str">
        <f>IF($A264="","",IF(ALLOC!$N$3="VOL_EFF",$L264,IF(ALLOC!$N$3="VOL_CLASS",$M264,$N264)))</f>
        <v/>
      </c>
      <c r="AF264" t="str">
        <f>IF($A264="","",IF(ALLOC!$N$3="VOL_EFF",$Q264,IF(ALLOC!$N$3="VOL_CLASS",$R264,$S264)))</f>
        <v/>
      </c>
      <c r="AG264" t="str">
        <f>IF($A264="","",IF(ALLOC!$N$1="VOL_EFF",$Q264,IF(ALLOC!$N$1="VOL_CLASS",$R264,$S264)))</f>
        <v/>
      </c>
      <c r="AH264" t="str">
        <f>IF($A264="","",IF(ALLOC!$N$1="VOL_EFF",$T264,IF(ALLOC!$N$1="VOL_CLASS",$U264,$V264)))</f>
        <v/>
      </c>
      <c r="AI264" t="str">
        <f>IF($A264="","",$W264*IFERROR($K264/$O264,0))</f>
        <v/>
      </c>
      <c r="AJ264" t="str">
        <f>IF($A264="","",$X264*IFERROR($K264/$O264,0))</f>
        <v/>
      </c>
      <c r="AK264" t="str">
        <f>IF($A264="","",$Y264*IFERROR($G264/$L264,0)+$Z264*IFERROR($J264/$P264,0))</f>
        <v/>
      </c>
      <c r="AL264" t="str">
        <f>IF($A264="","",$AA264*IFERROR($AC264/$AD264,0))</f>
        <v/>
      </c>
      <c r="AM264" t="str">
        <f>IF($A264="","",$AB264*IFERROR($AG264/$AH264,0)*IFERROR($AE264/$AF264,0)*IFERROR($AC264/$AD264,0))</f>
        <v/>
      </c>
      <c r="AN264" t="str">
        <f>IF($A264="","",$I264-($AI264+$AJ264+$AK264+$AL264+$AM264+$AR264))</f>
        <v/>
      </c>
      <c r="AO264" t="str">
        <f>IF($A264="","",Allocation2!AE264)</f>
        <v/>
      </c>
      <c r="AP264" t="str">
        <f>IF($A264="","",IF(ALLOC!$N$2="VOL_EFF",$Q264,IF(ALLOC!$N$2="VOL_CLASS",$R264,$S264)))</f>
        <v/>
      </c>
      <c r="AQ264" t="str">
        <f>IF($A264="","",IF(ALLOC!$N$2="VOL_EFF",$T264,IF(ALLOC!$N$2="VOL_CLASS",$U264,$V264)))</f>
        <v/>
      </c>
      <c r="AR264" t="str">
        <f>IF($A264="","",$AO264*IFERROR($AP264/$AQ264,0)*IFERROR($AE264/$AF264,0)*IFERROR($AC264/$AD264,0))</f>
        <v/>
      </c>
    </row>
    <row r="265" spans="1:46" x14ac:dyDescent="0.45">
      <c r="A265" t="str">
        <f>IF(Allocation2!D265="","",Allocation2!D265)</f>
        <v/>
      </c>
      <c r="B265" t="str">
        <f>IF(Allocation2!E265="","",Allocation2!E265)</f>
        <v/>
      </c>
      <c r="C265" t="str">
        <f>IF(Allocation2!F265="","",Allocation2!F265)</f>
        <v/>
      </c>
      <c r="D265" t="str">
        <f>IF(Allocation2!G265="","",Allocation2!G265)</f>
        <v/>
      </c>
      <c r="E265" t="str">
        <f>IF(Allocation2!H265="","",Allocation2!H265)</f>
        <v/>
      </c>
      <c r="F265" t="str">
        <f>IF(Allocation2!I265="","",Allocation2!I265)</f>
        <v/>
      </c>
      <c r="G265" t="str">
        <f>IF(Allocation2!E265="","",Allocation2!J265)</f>
        <v/>
      </c>
      <c r="H265" t="str">
        <f>IF(Allocation2!E265="","",Allocation2!K265)</f>
        <v/>
      </c>
      <c r="I265" t="str">
        <f>IF(Allocation2!E265="","",Allocation2!L265)</f>
        <v/>
      </c>
      <c r="J265" t="str">
        <f>IF($A265="","",Allocation2!X265)</f>
        <v/>
      </c>
      <c r="K265" t="str">
        <f>IF($A265="","",$H265*IF(AND(LEFT($D265,3)="BAC",$F265="INIT"),600,IF(LEFT($D265,3)="BAC",480,IF(AND(LEFT($D265,3)="MAS",$F265="INIT"),520,IF(LEFT($D265,3)="MAS",420,IF($F265="INIT",1000,700))))))</f>
        <v/>
      </c>
      <c r="L265" t="str">
        <f>IF($A265="","",SUMIFS($G$1:$G$349,$A$1:$A$349,$A265,$B$1:$B$349,$B265))</f>
        <v/>
      </c>
      <c r="M265" t="str">
        <f>IF($A265="","",SUMIFS($H$1:$H$349,$A$1:$A$349,$A265,$B$1:$B$349,$B265))</f>
        <v/>
      </c>
      <c r="N265" t="str">
        <f>IF($A265="","",SUMIFS($I$1:$I$349,$A$1:$A$349,$A265,$B$1:$B$349,$B265))</f>
        <v/>
      </c>
      <c r="O265" t="str">
        <f>IF($A265="","",SUMIFS($K$1:$K$349,$A$1:$A$349,$A265,$B$1:$B$349,$B265))</f>
        <v/>
      </c>
      <c r="P265" t="str">
        <f>IF($A265="","",SUMIFS($J$1:$J$349,$A$1:$A$349,$A265,$B$1:$B$349,$B265))</f>
        <v/>
      </c>
      <c r="Q265" t="str">
        <f>IF($A265="","",SUMIFS($G$1:$G$349,$A$1:$A$349,$A265,$C$1:$C$349,$C265))</f>
        <v/>
      </c>
      <c r="R265" t="str">
        <f>IF($A265="","",SUMIFS($H$1:$H$349,$A$1:$A$349,$A265,$C$1:$C$349,$C265))</f>
        <v/>
      </c>
      <c r="S265" t="str">
        <f>IF($A265="","",SUMIFS($I$1:$I$349,$A$1:$A$349,$A265,$C$1:$C$349,$C265))</f>
        <v/>
      </c>
      <c r="T265" t="str">
        <f>IF($A265="","",SUMIFS($G$1:$G$349,$A$1:$A$349,$A265))</f>
        <v/>
      </c>
      <c r="U265" t="str">
        <f>IF($A265="","",SUMIFS($H$1:$H$349,$A$1:$A$349,$A265))</f>
        <v/>
      </c>
      <c r="V265" t="str">
        <f>IF($A265="","",SUMIFS($I$1:$I$349,$A$1:$A$349,$A265))</f>
        <v/>
      </c>
      <c r="W265" t="str">
        <f>IF($A265="","",Allocation2!Y265)</f>
        <v/>
      </c>
      <c r="X265" t="str">
        <f>IF($A265="","",Allocation2!Z265)</f>
        <v/>
      </c>
      <c r="Y265" t="str">
        <f>IF($A265="","",Allocation2!AA265)</f>
        <v/>
      </c>
      <c r="Z265" t="str">
        <f>IF($A265="","",Allocation2!AB265)</f>
        <v/>
      </c>
      <c r="AA265" t="str">
        <f>IF($A265="","",Allocation2!AC265)</f>
        <v/>
      </c>
      <c r="AB265" t="str">
        <f>IF($A265="","",Allocation2!AD265)</f>
        <v/>
      </c>
      <c r="AC265" t="str">
        <f>IF($A265="","",IF(ALLOC!$N$4="VOL_EFF",$G265,IF(ALLOC!$N$4="VOL_CLASS",$H265,$I265)))</f>
        <v/>
      </c>
      <c r="AD265" t="str">
        <f>IF($A265="","",IF(ALLOC!$N$4="VOL_EFF",$L265,IF(ALLOC!$N$4="VOL_CLASS",$M265,$N265)))</f>
        <v/>
      </c>
      <c r="AE265" t="str">
        <f>IF($A265="","",IF(ALLOC!$N$3="VOL_EFF",$L265,IF(ALLOC!$N$3="VOL_CLASS",$M265,$N265)))</f>
        <v/>
      </c>
      <c r="AF265" t="str">
        <f>IF($A265="","",IF(ALLOC!$N$3="VOL_EFF",$Q265,IF(ALLOC!$N$3="VOL_CLASS",$R265,$S265)))</f>
        <v/>
      </c>
      <c r="AG265" t="str">
        <f>IF($A265="","",IF(ALLOC!$N$1="VOL_EFF",$Q265,IF(ALLOC!$N$1="VOL_CLASS",$R265,$S265)))</f>
        <v/>
      </c>
      <c r="AH265" t="str">
        <f>IF($A265="","",IF(ALLOC!$N$1="VOL_EFF",$T265,IF(ALLOC!$N$1="VOL_CLASS",$U265,$V265)))</f>
        <v/>
      </c>
      <c r="AI265" t="str">
        <f>IF($A265="","",$W265*IFERROR($K265/$O265,0))</f>
        <v/>
      </c>
      <c r="AJ265" t="str">
        <f>IF($A265="","",$X265*IFERROR($K265/$O265,0))</f>
        <v/>
      </c>
      <c r="AK265" t="str">
        <f>IF($A265="","",$Y265*IFERROR($G265/$L265,0)+$Z265*IFERROR($J265/$P265,0))</f>
        <v/>
      </c>
      <c r="AL265" t="str">
        <f>IF($A265="","",$AA265*IFERROR($AC265/$AD265,0))</f>
        <v/>
      </c>
      <c r="AM265" t="str">
        <f>IF($A265="","",$AB265*IFERROR($AG265/$AH265,0)*IFERROR($AE265/$AF265,0)*IFERROR($AC265/$AD265,0))</f>
        <v/>
      </c>
      <c r="AN265" t="str">
        <f>IF($A265="","",$I265-($AI265+$AJ265+$AK265+$AL265+$AM265+$AR265))</f>
        <v/>
      </c>
      <c r="AO265" t="str">
        <f>IF($A265="","",Allocation2!AE265)</f>
        <v/>
      </c>
      <c r="AP265" t="str">
        <f>IF($A265="","",IF(ALLOC!$N$2="VOL_EFF",$Q265,IF(ALLOC!$N$2="VOL_CLASS",$R265,$S265)))</f>
        <v/>
      </c>
      <c r="AQ265" t="str">
        <f>IF($A265="","",IF(ALLOC!$N$2="VOL_EFF",$T265,IF(ALLOC!$N$2="VOL_CLASS",$U265,$V265)))</f>
        <v/>
      </c>
      <c r="AR265" t="str">
        <f>IF($A265="","",$AO265*IFERROR($AP265/$AQ265,0)*IFERROR($AE265/$AF265,0)*IFERROR($AC265/$AD265,0))</f>
        <v/>
      </c>
    </row>
    <row r="266" spans="1:46" x14ac:dyDescent="0.45">
      <c r="A266" t="str">
        <f>IF(Allocation2!D266="","",Allocation2!D266)</f>
        <v/>
      </c>
      <c r="B266" t="str">
        <f>IF(Allocation2!E266="","",Allocation2!E266)</f>
        <v/>
      </c>
      <c r="C266" t="str">
        <f>IF(Allocation2!F266="","",Allocation2!F266)</f>
        <v/>
      </c>
      <c r="D266" t="str">
        <f>IF(Allocation2!G266="","",Allocation2!G266)</f>
        <v/>
      </c>
      <c r="E266" t="str">
        <f>IF(Allocation2!H266="","",Allocation2!H266)</f>
        <v/>
      </c>
      <c r="F266" t="str">
        <f>IF(Allocation2!I266="","",Allocation2!I266)</f>
        <v/>
      </c>
      <c r="G266" t="str">
        <f>IF(Allocation2!E266="","",Allocation2!J266)</f>
        <v/>
      </c>
      <c r="H266" t="str">
        <f>IF(Allocation2!E266="","",Allocation2!K266)</f>
        <v/>
      </c>
      <c r="I266" t="str">
        <f>IF(Allocation2!E266="","",Allocation2!L266)</f>
        <v/>
      </c>
      <c r="J266" t="str">
        <f>IF($A266="","",Allocation2!X266)</f>
        <v/>
      </c>
      <c r="K266" t="str">
        <f>IF($A266="","",$H266*IF(AND(LEFT($D266,3)="BAC",$F266="INIT"),600,IF(LEFT($D266,3)="BAC",480,IF(AND(LEFT($D266,3)="MAS",$F266="INIT"),520,IF(LEFT($D266,3)="MAS",420,IF($F266="INIT",1000,700))))))</f>
        <v/>
      </c>
      <c r="L266" t="str">
        <f>IF($A266="","",SUMIFS($G$1:$G$349,$A$1:$A$349,$A266,$B$1:$B$349,$B266))</f>
        <v/>
      </c>
      <c r="M266" t="str">
        <f>IF($A266="","",SUMIFS($H$1:$H$349,$A$1:$A$349,$A266,$B$1:$B$349,$B266))</f>
        <v/>
      </c>
      <c r="N266" t="str">
        <f>IF($A266="","",SUMIFS($I$1:$I$349,$A$1:$A$349,$A266,$B$1:$B$349,$B266))</f>
        <v/>
      </c>
      <c r="O266" t="str">
        <f>IF($A266="","",SUMIFS($K$1:$K$349,$A$1:$A$349,$A266,$B$1:$B$349,$B266))</f>
        <v/>
      </c>
      <c r="P266" t="str">
        <f>IF($A266="","",SUMIFS($J$1:$J$349,$A$1:$A$349,$A266,$B$1:$B$349,$B266))</f>
        <v/>
      </c>
      <c r="Q266" t="str">
        <f>IF($A266="","",SUMIFS($G$1:$G$349,$A$1:$A$349,$A266,$C$1:$C$349,$C266))</f>
        <v/>
      </c>
      <c r="R266" t="str">
        <f>IF($A266="","",SUMIFS($H$1:$H$349,$A$1:$A$349,$A266,$C$1:$C$349,$C266))</f>
        <v/>
      </c>
      <c r="S266" t="str">
        <f>IF($A266="","",SUMIFS($I$1:$I$349,$A$1:$A$349,$A266,$C$1:$C$349,$C266))</f>
        <v/>
      </c>
      <c r="T266" t="str">
        <f>IF($A266="","",SUMIFS($G$1:$G$349,$A$1:$A$349,$A266))</f>
        <v/>
      </c>
      <c r="U266" t="str">
        <f>IF($A266="","",SUMIFS($H$1:$H$349,$A$1:$A$349,$A266))</f>
        <v/>
      </c>
      <c r="V266" t="str">
        <f>IF($A266="","",SUMIFS($I$1:$I$349,$A$1:$A$349,$A266))</f>
        <v/>
      </c>
      <c r="W266" t="str">
        <f>IF($A266="","",Allocation2!Y266)</f>
        <v/>
      </c>
      <c r="X266" t="str">
        <f>IF($A266="","",Allocation2!Z266)</f>
        <v/>
      </c>
      <c r="Y266" t="str">
        <f>IF($A266="","",Allocation2!AA266)</f>
        <v/>
      </c>
      <c r="Z266" t="str">
        <f>IF($A266="","",Allocation2!AB266)</f>
        <v/>
      </c>
      <c r="AA266" t="str">
        <f>IF($A266="","",Allocation2!AC266)</f>
        <v/>
      </c>
      <c r="AB266" t="str">
        <f>IF($A266="","",Allocation2!AD266)</f>
        <v/>
      </c>
      <c r="AC266" t="str">
        <f>IF($A266="","",IF(ALLOC!$N$4="VOL_EFF",$G266,IF(ALLOC!$N$4="VOL_CLASS",$H266,$I266)))</f>
        <v/>
      </c>
      <c r="AD266" t="str">
        <f>IF($A266="","",IF(ALLOC!$N$4="VOL_EFF",$L266,IF(ALLOC!$N$4="VOL_CLASS",$M266,$N266)))</f>
        <v/>
      </c>
      <c r="AE266" t="str">
        <f>IF($A266="","",IF(ALLOC!$N$3="VOL_EFF",$L266,IF(ALLOC!$N$3="VOL_CLASS",$M266,$N266)))</f>
        <v/>
      </c>
      <c r="AF266" t="str">
        <f>IF($A266="","",IF(ALLOC!$N$3="VOL_EFF",$Q266,IF(ALLOC!$N$3="VOL_CLASS",$R266,$S266)))</f>
        <v/>
      </c>
      <c r="AG266" t="str">
        <f>IF($A266="","",IF(ALLOC!$N$1="VOL_EFF",$Q266,IF(ALLOC!$N$1="VOL_CLASS",$R266,$S266)))</f>
        <v/>
      </c>
      <c r="AH266" t="str">
        <f>IF($A266="","",IF(ALLOC!$N$1="VOL_EFF",$T266,IF(ALLOC!$N$1="VOL_CLASS",$U266,$V266)))</f>
        <v/>
      </c>
      <c r="AI266" t="str">
        <f>IF($A266="","",$W266*IFERROR($K266/$O266,0))</f>
        <v/>
      </c>
      <c r="AJ266" t="str">
        <f>IF($A266="","",$X266*IFERROR($K266/$O266,0))</f>
        <v/>
      </c>
      <c r="AK266" t="str">
        <f>IF($A266="","",$Y266*IFERROR($G266/$L266,0)+$Z266*IFERROR($J266/$P266,0))</f>
        <v/>
      </c>
      <c r="AL266" t="str">
        <f>IF($A266="","",$AA266*IFERROR($AC266/$AD266,0))</f>
        <v/>
      </c>
      <c r="AM266" t="str">
        <f>IF($A266="","",$AB266*IFERROR($AG266/$AH266,0)*IFERROR($AE266/$AF266,0)*IFERROR($AC266/$AD266,0))</f>
        <v/>
      </c>
      <c r="AN266" t="str">
        <f>IF($A266="","",$I266-($AI266+$AJ266+$AK266+$AL266+$AM266+$AR266))</f>
        <v/>
      </c>
      <c r="AO266" t="str">
        <f>IF($A266="","",Allocation2!AE266)</f>
        <v/>
      </c>
      <c r="AP266" t="str">
        <f>IF($A266="","",IF(ALLOC!$N$2="VOL_EFF",$Q266,IF(ALLOC!$N$2="VOL_CLASS",$R266,$S266)))</f>
        <v/>
      </c>
      <c r="AQ266" t="str">
        <f>IF($A266="","",IF(ALLOC!$N$2="VOL_EFF",$T266,IF(ALLOC!$N$2="VOL_CLASS",$U266,$V266)))</f>
        <v/>
      </c>
      <c r="AR266" t="str">
        <f>IF($A266="","",$AO266*IFERROR($AP266/$AQ266,0)*IFERROR($AE266/$AF266,0)*IFERROR($AC266/$AD266,0))</f>
        <v/>
      </c>
    </row>
    <row r="267" spans="1:46" x14ac:dyDescent="0.45">
      <c r="A267" t="str">
        <f>IF(Allocation2!D267="","",Allocation2!D267)</f>
        <v/>
      </c>
      <c r="B267" t="str">
        <f>IF(Allocation2!E267="","",Allocation2!E267)</f>
        <v/>
      </c>
      <c r="C267" t="str">
        <f>IF(Allocation2!F267="","",Allocation2!F267)</f>
        <v/>
      </c>
      <c r="D267" t="str">
        <f>IF(Allocation2!G267="","",Allocation2!G267)</f>
        <v/>
      </c>
      <c r="E267" t="str">
        <f>IF(Allocation2!H267="","",Allocation2!H267)</f>
        <v/>
      </c>
      <c r="F267" t="str">
        <f>IF(Allocation2!I267="","",Allocation2!I267)</f>
        <v/>
      </c>
      <c r="G267" t="str">
        <f>IF(Allocation2!E267="","",Allocation2!J267)</f>
        <v/>
      </c>
      <c r="H267" t="str">
        <f>IF(Allocation2!E267="","",Allocation2!K267)</f>
        <v/>
      </c>
      <c r="I267" t="str">
        <f>IF(Allocation2!E267="","",Allocation2!L267)</f>
        <v/>
      </c>
      <c r="J267" t="str">
        <f>IF($A267="","",Allocation2!X267)</f>
        <v/>
      </c>
      <c r="K267" t="str">
        <f>IF($A267="","",$H267*IF(AND(LEFT($D267,3)="BAC",$F267="INIT"),600,IF(LEFT($D267,3)="BAC",480,IF(AND(LEFT($D267,3)="MAS",$F267="INIT"),520,IF(LEFT($D267,3)="MAS",420,IF($F267="INIT",1000,700))))))</f>
        <v/>
      </c>
      <c r="L267" t="str">
        <f>IF($A267="","",SUMIFS($G$1:$G$349,$A$1:$A$349,$A267,$B$1:$B$349,$B267))</f>
        <v/>
      </c>
      <c r="M267" t="str">
        <f>IF($A267="","",SUMIFS($H$1:$H$349,$A$1:$A$349,$A267,$B$1:$B$349,$B267))</f>
        <v/>
      </c>
      <c r="N267" t="str">
        <f>IF($A267="","",SUMIFS($I$1:$I$349,$A$1:$A$349,$A267,$B$1:$B$349,$B267))</f>
        <v/>
      </c>
      <c r="O267" t="str">
        <f>IF($A267="","",SUMIFS($K$1:$K$349,$A$1:$A$349,$A267,$B$1:$B$349,$B267))</f>
        <v/>
      </c>
      <c r="P267" t="str">
        <f>IF($A267="","",SUMIFS($J$1:$J$349,$A$1:$A$349,$A267,$B$1:$B$349,$B267))</f>
        <v/>
      </c>
      <c r="Q267" t="str">
        <f>IF($A267="","",SUMIFS($G$1:$G$349,$A$1:$A$349,$A267,$C$1:$C$349,$C267))</f>
        <v/>
      </c>
      <c r="R267" t="str">
        <f>IF($A267="","",SUMIFS($H$1:$H$349,$A$1:$A$349,$A267,$C$1:$C$349,$C267))</f>
        <v/>
      </c>
      <c r="S267" t="str">
        <f>IF($A267="","",SUMIFS($I$1:$I$349,$A$1:$A$349,$A267,$C$1:$C$349,$C267))</f>
        <v/>
      </c>
      <c r="T267" t="str">
        <f>IF($A267="","",SUMIFS($G$1:$G$349,$A$1:$A$349,$A267))</f>
        <v/>
      </c>
      <c r="U267" t="str">
        <f>IF($A267="","",SUMIFS($H$1:$H$349,$A$1:$A$349,$A267))</f>
        <v/>
      </c>
      <c r="V267" t="str">
        <f>IF($A267="","",SUMIFS($I$1:$I$349,$A$1:$A$349,$A267))</f>
        <v/>
      </c>
      <c r="W267" t="str">
        <f>IF($A267="","",Allocation2!Y267)</f>
        <v/>
      </c>
      <c r="X267" t="str">
        <f>IF($A267="","",Allocation2!Z267)</f>
        <v/>
      </c>
      <c r="Y267" t="str">
        <f>IF($A267="","",Allocation2!AA267)</f>
        <v/>
      </c>
      <c r="Z267" t="str">
        <f>IF($A267="","",Allocation2!AB267)</f>
        <v/>
      </c>
      <c r="AA267" t="str">
        <f>IF($A267="","",Allocation2!AC267)</f>
        <v/>
      </c>
      <c r="AB267" t="str">
        <f>IF($A267="","",Allocation2!AD267)</f>
        <v/>
      </c>
      <c r="AC267" t="str">
        <f>IF($A267="","",IF(ALLOC!$N$4="VOL_EFF",$G267,IF(ALLOC!$N$4="VOL_CLASS",$H267,$I267)))</f>
        <v/>
      </c>
      <c r="AD267" t="str">
        <f>IF($A267="","",IF(ALLOC!$N$4="VOL_EFF",$L267,IF(ALLOC!$N$4="VOL_CLASS",$M267,$N267)))</f>
        <v/>
      </c>
      <c r="AE267" t="str">
        <f>IF($A267="","",IF(ALLOC!$N$3="VOL_EFF",$L267,IF(ALLOC!$N$3="VOL_CLASS",$M267,$N267)))</f>
        <v/>
      </c>
      <c r="AF267" t="str">
        <f>IF($A267="","",IF(ALLOC!$N$3="VOL_EFF",$Q267,IF(ALLOC!$N$3="VOL_CLASS",$R267,$S267)))</f>
        <v/>
      </c>
      <c r="AG267" t="str">
        <f>IF($A267="","",IF(ALLOC!$N$1="VOL_EFF",$Q267,IF(ALLOC!$N$1="VOL_CLASS",$R267,$S267)))</f>
        <v/>
      </c>
      <c r="AH267" t="str">
        <f>IF($A267="","",IF(ALLOC!$N$1="VOL_EFF",$T267,IF(ALLOC!$N$1="VOL_CLASS",$U267,$V267)))</f>
        <v/>
      </c>
      <c r="AI267" t="str">
        <f>IF($A267="","",$W267*IFERROR($K267/$O267,0))</f>
        <v/>
      </c>
      <c r="AJ267" t="str">
        <f>IF($A267="","",$X267*IFERROR($K267/$O267,0))</f>
        <v/>
      </c>
      <c r="AK267" t="str">
        <f>IF($A267="","",$Y267*IFERROR($G267/$L267,0)+$Z267*IFERROR($J267/$P267,0))</f>
        <v/>
      </c>
      <c r="AL267" t="str">
        <f>IF($A267="","",$AA267*IFERROR($AC267/$AD267,0))</f>
        <v/>
      </c>
      <c r="AM267" t="str">
        <f>IF($A267="","",$AB267*IFERROR($AG267/$AH267,0)*IFERROR($AE267/$AF267,0)*IFERROR($AC267/$AD267,0))</f>
        <v/>
      </c>
      <c r="AN267" t="str">
        <f>IF($A267="","",$I267-($AI267+$AJ267+$AK267+$AL267+$AM267+$AR267))</f>
        <v/>
      </c>
      <c r="AO267" t="str">
        <f>IF($A267="","",Allocation2!AE267)</f>
        <v/>
      </c>
      <c r="AP267" t="str">
        <f>IF($A267="","",IF(ALLOC!$N$2="VOL_EFF",$Q267,IF(ALLOC!$N$2="VOL_CLASS",$R267,$S267)))</f>
        <v/>
      </c>
      <c r="AQ267" t="str">
        <f>IF($A267="","",IF(ALLOC!$N$2="VOL_EFF",$T267,IF(ALLOC!$N$2="VOL_CLASS",$U267,$V267)))</f>
        <v/>
      </c>
      <c r="AR267" t="str">
        <f>IF($A267="","",$AO267*IFERROR($AP267/$AQ267,0)*IFERROR($AE267/$AF267,0)*IFERROR($AC267/$AD267,0))</f>
        <v/>
      </c>
    </row>
    <row r="268" spans="1:46" x14ac:dyDescent="0.45">
      <c r="A268" t="str">
        <f>IF(Allocation2!D268="","",Allocation2!D268)</f>
        <v/>
      </c>
      <c r="B268" t="str">
        <f>IF(Allocation2!E268="","",Allocation2!E268)</f>
        <v/>
      </c>
      <c r="C268" t="str">
        <f>IF(Allocation2!F268="","",Allocation2!F268)</f>
        <v/>
      </c>
      <c r="D268" t="str">
        <f>IF(Allocation2!G268="","",Allocation2!G268)</f>
        <v/>
      </c>
      <c r="E268" t="str">
        <f>IF(Allocation2!H268="","",Allocation2!H268)</f>
        <v/>
      </c>
      <c r="F268" t="str">
        <f>IF(Allocation2!I268="","",Allocation2!I268)</f>
        <v/>
      </c>
      <c r="G268" t="str">
        <f>IF(Allocation2!E268="","",Allocation2!J268)</f>
        <v/>
      </c>
      <c r="H268" t="str">
        <f>IF(Allocation2!E268="","",Allocation2!K268)</f>
        <v/>
      </c>
      <c r="I268" t="str">
        <f>IF(Allocation2!E268="","",Allocation2!L268)</f>
        <v/>
      </c>
      <c r="J268" t="str">
        <f>IF($A268="","",Allocation2!X268)</f>
        <v/>
      </c>
      <c r="K268" t="str">
        <f>IF($A268="","",$H268*IF(AND(LEFT($D268,3)="BAC",$F268="INIT"),600,IF(LEFT($D268,3)="BAC",480,IF(AND(LEFT($D268,3)="MAS",$F268="INIT"),520,IF(LEFT($D268,3)="MAS",420,IF($F268="INIT",1000,700))))))</f>
        <v/>
      </c>
      <c r="L268" t="str">
        <f>IF($A268="","",SUMIFS($G$1:$G$349,$A$1:$A$349,$A268,$B$1:$B$349,$B268))</f>
        <v/>
      </c>
      <c r="M268" t="str">
        <f>IF($A268="","",SUMIFS($H$1:$H$349,$A$1:$A$349,$A268,$B$1:$B$349,$B268))</f>
        <v/>
      </c>
      <c r="N268" t="str">
        <f>IF($A268="","",SUMIFS($I$1:$I$349,$A$1:$A$349,$A268,$B$1:$B$349,$B268))</f>
        <v/>
      </c>
      <c r="O268" t="str">
        <f>IF($A268="","",SUMIFS($K$1:$K$349,$A$1:$A$349,$A268,$B$1:$B$349,$B268))</f>
        <v/>
      </c>
      <c r="P268" t="str">
        <f>IF($A268="","",SUMIFS($J$1:$J$349,$A$1:$A$349,$A268,$B$1:$B$349,$B268))</f>
        <v/>
      </c>
      <c r="Q268" t="str">
        <f>IF($A268="","",SUMIFS($G$1:$G$349,$A$1:$A$349,$A268,$C$1:$C$349,$C268))</f>
        <v/>
      </c>
      <c r="R268" t="str">
        <f>IF($A268="","",SUMIFS($H$1:$H$349,$A$1:$A$349,$A268,$C$1:$C$349,$C268))</f>
        <v/>
      </c>
      <c r="S268" t="str">
        <f>IF($A268="","",SUMIFS($I$1:$I$349,$A$1:$A$349,$A268,$C$1:$C$349,$C268))</f>
        <v/>
      </c>
      <c r="T268" t="str">
        <f>IF($A268="","",SUMIFS($G$1:$G$349,$A$1:$A$349,$A268))</f>
        <v/>
      </c>
      <c r="U268" t="str">
        <f>IF($A268="","",SUMIFS($H$1:$H$349,$A$1:$A$349,$A268))</f>
        <v/>
      </c>
      <c r="V268" t="str">
        <f>IF($A268="","",SUMIFS($I$1:$I$349,$A$1:$A$349,$A268))</f>
        <v/>
      </c>
      <c r="W268" t="str">
        <f>IF($A268="","",Allocation2!Y268)</f>
        <v/>
      </c>
      <c r="X268" t="str">
        <f>IF($A268="","",Allocation2!Z268)</f>
        <v/>
      </c>
      <c r="Y268" t="str">
        <f>IF($A268="","",Allocation2!AA268)</f>
        <v/>
      </c>
      <c r="Z268" t="str">
        <f>IF($A268="","",Allocation2!AB268)</f>
        <v/>
      </c>
      <c r="AA268" t="str">
        <f>IF($A268="","",Allocation2!AC268)</f>
        <v/>
      </c>
      <c r="AB268" t="str">
        <f>IF($A268="","",Allocation2!AD268)</f>
        <v/>
      </c>
      <c r="AC268" t="str">
        <f>IF($A268="","",IF(ALLOC!$N$4="VOL_EFF",$G268,IF(ALLOC!$N$4="VOL_CLASS",$H268,$I268)))</f>
        <v/>
      </c>
      <c r="AD268" t="str">
        <f>IF($A268="","",IF(ALLOC!$N$4="VOL_EFF",$L268,IF(ALLOC!$N$4="VOL_CLASS",$M268,$N268)))</f>
        <v/>
      </c>
      <c r="AE268" t="str">
        <f>IF($A268="","",IF(ALLOC!$N$3="VOL_EFF",$L268,IF(ALLOC!$N$3="VOL_CLASS",$M268,$N268)))</f>
        <v/>
      </c>
      <c r="AF268" t="str">
        <f>IF($A268="","",IF(ALLOC!$N$3="VOL_EFF",$Q268,IF(ALLOC!$N$3="VOL_CLASS",$R268,$S268)))</f>
        <v/>
      </c>
      <c r="AG268" t="str">
        <f>IF($A268="","",IF(ALLOC!$N$1="VOL_EFF",$Q268,IF(ALLOC!$N$1="VOL_CLASS",$R268,$S268)))</f>
        <v/>
      </c>
      <c r="AH268" t="str">
        <f>IF($A268="","",IF(ALLOC!$N$1="VOL_EFF",$T268,IF(ALLOC!$N$1="VOL_CLASS",$U268,$V268)))</f>
        <v/>
      </c>
      <c r="AI268" t="str">
        <f>IF($A268="","",$W268*IFERROR($K268/$O268,0))</f>
        <v/>
      </c>
      <c r="AJ268" t="str">
        <f>IF($A268="","",$X268*IFERROR($K268/$O268,0))</f>
        <v/>
      </c>
      <c r="AK268" t="str">
        <f>IF($A268="","",$Y268*IFERROR($G268/$L268,0)+$Z268*IFERROR($J268/$P268,0))</f>
        <v/>
      </c>
      <c r="AL268" t="str">
        <f>IF($A268="","",$AA268*IFERROR($AC268/$AD268,0))</f>
        <v/>
      </c>
      <c r="AM268" t="str">
        <f>IF($A268="","",$AB268*IFERROR($AG268/$AH268,0)*IFERROR($AE268/$AF268,0)*IFERROR($AC268/$AD268,0))</f>
        <v/>
      </c>
      <c r="AN268" t="str">
        <f>IF($A268="","",$I268-($AI268+$AJ268+$AK268+$AL268+$AM268+$AR268))</f>
        <v/>
      </c>
      <c r="AO268" t="str">
        <f>IF($A268="","",Allocation2!AE268)</f>
        <v/>
      </c>
      <c r="AP268" t="str">
        <f>IF($A268="","",IF(ALLOC!$N$2="VOL_EFF",$Q268,IF(ALLOC!$N$2="VOL_CLASS",$R268,$S268)))</f>
        <v/>
      </c>
      <c r="AQ268" t="str">
        <f>IF($A268="","",IF(ALLOC!$N$2="VOL_EFF",$T268,IF(ALLOC!$N$2="VOL_CLASS",$U268,$V268)))</f>
        <v/>
      </c>
      <c r="AR268" t="str">
        <f>IF($A268="","",$AO268*IFERROR($AP268/$AQ268,0)*IFERROR($AE268/$AF268,0)*IFERROR($AC268/$AD268,0))</f>
        <v/>
      </c>
    </row>
    <row r="269" spans="1:46" x14ac:dyDescent="0.45">
      <c r="A269" t="str">
        <f>IF(Allocation2!D269="","",Allocation2!D269)</f>
        <v/>
      </c>
      <c r="B269" t="str">
        <f>IF(Allocation2!E269="","",Allocation2!E269)</f>
        <v/>
      </c>
      <c r="C269" t="str">
        <f>IF(Allocation2!F269="","",Allocation2!F269)</f>
        <v/>
      </c>
      <c r="D269" t="str">
        <f>IF(Allocation2!G269="","",Allocation2!G269)</f>
        <v/>
      </c>
      <c r="E269" t="str">
        <f>IF(Allocation2!H269="","",Allocation2!H269)</f>
        <v/>
      </c>
      <c r="F269" t="str">
        <f>IF(Allocation2!I269="","",Allocation2!I269)</f>
        <v/>
      </c>
      <c r="G269" t="str">
        <f>IF(Allocation2!E269="","",Allocation2!J269)</f>
        <v/>
      </c>
      <c r="H269" t="str">
        <f>IF(Allocation2!E269="","",Allocation2!K269)</f>
        <v/>
      </c>
      <c r="I269" t="str">
        <f>IF(Allocation2!E269="","",Allocation2!L269)</f>
        <v/>
      </c>
      <c r="J269" t="str">
        <f>IF($A269="","",Allocation2!X269)</f>
        <v/>
      </c>
      <c r="K269" t="str">
        <f>IF($A269="","",$H269*IF(AND(LEFT($D269,3)="BAC",$F269="INIT"),600,IF(LEFT($D269,3)="BAC",480,IF(AND(LEFT($D269,3)="MAS",$F269="INIT"),520,IF(LEFT($D269,3)="MAS",420,IF($F269="INIT",1000,700))))))</f>
        <v/>
      </c>
      <c r="L269" t="str">
        <f>IF($A269="","",SUMIFS($G$1:$G$349,$A$1:$A$349,$A269,$B$1:$B$349,$B269))</f>
        <v/>
      </c>
      <c r="M269" t="str">
        <f>IF($A269="","",SUMIFS($H$1:$H$349,$A$1:$A$349,$A269,$B$1:$B$349,$B269))</f>
        <v/>
      </c>
      <c r="N269" t="str">
        <f>IF($A269="","",SUMIFS($I$1:$I$349,$A$1:$A$349,$A269,$B$1:$B$349,$B269))</f>
        <v/>
      </c>
      <c r="O269" t="str">
        <f>IF($A269="","",SUMIFS($K$1:$K$349,$A$1:$A$349,$A269,$B$1:$B$349,$B269))</f>
        <v/>
      </c>
      <c r="P269" t="str">
        <f>IF($A269="","",SUMIFS($J$1:$J$349,$A$1:$A$349,$A269,$B$1:$B$349,$B269))</f>
        <v/>
      </c>
      <c r="Q269" t="str">
        <f>IF($A269="","",SUMIFS($G$1:$G$349,$A$1:$A$349,$A269,$C$1:$C$349,$C269))</f>
        <v/>
      </c>
      <c r="R269" t="str">
        <f>IF($A269="","",SUMIFS($H$1:$H$349,$A$1:$A$349,$A269,$C$1:$C$349,$C269))</f>
        <v/>
      </c>
      <c r="S269" t="str">
        <f>IF($A269="","",SUMIFS($I$1:$I$349,$A$1:$A$349,$A269,$C$1:$C$349,$C269))</f>
        <v/>
      </c>
      <c r="T269" t="str">
        <f>IF($A269="","",SUMIFS($G$1:$G$349,$A$1:$A$349,$A269))</f>
        <v/>
      </c>
      <c r="U269" t="str">
        <f>IF($A269="","",SUMIFS($H$1:$H$349,$A$1:$A$349,$A269))</f>
        <v/>
      </c>
      <c r="V269" t="str">
        <f>IF($A269="","",SUMIFS($I$1:$I$349,$A$1:$A$349,$A269))</f>
        <v/>
      </c>
      <c r="W269" t="str">
        <f>IF($A269="","",Allocation2!Y269)</f>
        <v/>
      </c>
      <c r="X269" t="str">
        <f>IF($A269="","",Allocation2!Z269)</f>
        <v/>
      </c>
      <c r="Y269" t="str">
        <f>IF($A269="","",Allocation2!AA269)</f>
        <v/>
      </c>
      <c r="Z269" t="str">
        <f>IF($A269="","",Allocation2!AB269)</f>
        <v/>
      </c>
      <c r="AA269" t="str">
        <f>IF($A269="","",Allocation2!AC269)</f>
        <v/>
      </c>
      <c r="AB269" t="str">
        <f>IF($A269="","",Allocation2!AD269)</f>
        <v/>
      </c>
      <c r="AC269" t="str">
        <f>IF($A269="","",IF(ALLOC!$N$4="VOL_EFF",$G269,IF(ALLOC!$N$4="VOL_CLASS",$H269,$I269)))</f>
        <v/>
      </c>
      <c r="AD269" t="str">
        <f>IF($A269="","",IF(ALLOC!$N$4="VOL_EFF",$L269,IF(ALLOC!$N$4="VOL_CLASS",$M269,$N269)))</f>
        <v/>
      </c>
      <c r="AE269" t="str">
        <f>IF($A269="","",IF(ALLOC!$N$3="VOL_EFF",$L269,IF(ALLOC!$N$3="VOL_CLASS",$M269,$N269)))</f>
        <v/>
      </c>
      <c r="AF269" t="str">
        <f>IF($A269="","",IF(ALLOC!$N$3="VOL_EFF",$Q269,IF(ALLOC!$N$3="VOL_CLASS",$R269,$S269)))</f>
        <v/>
      </c>
      <c r="AG269" t="str">
        <f>IF($A269="","",IF(ALLOC!$N$1="VOL_EFF",$Q269,IF(ALLOC!$N$1="VOL_CLASS",$R269,$S269)))</f>
        <v/>
      </c>
      <c r="AH269" t="str">
        <f>IF($A269="","",IF(ALLOC!$N$1="VOL_EFF",$T269,IF(ALLOC!$N$1="VOL_CLASS",$U269,$V269)))</f>
        <v/>
      </c>
      <c r="AI269" t="str">
        <f>IF($A269="","",$W269*IFERROR($K269/$O269,0))</f>
        <v/>
      </c>
      <c r="AJ269" t="str">
        <f>IF($A269="","",$X269*IFERROR($K269/$O269,0))</f>
        <v/>
      </c>
      <c r="AK269" t="str">
        <f>IF($A269="","",$Y269*IFERROR($G269/$L269,0)+$Z269*IFERROR($J269/$P269,0))</f>
        <v/>
      </c>
      <c r="AL269" t="str">
        <f>IF($A269="","",$AA269*IFERROR($AC269/$AD269,0))</f>
        <v/>
      </c>
      <c r="AM269" t="str">
        <f>IF($A269="","",$AB269*IFERROR($AG269/$AH269,0)*IFERROR($AE269/$AF269,0)*IFERROR($AC269/$AD269,0))</f>
        <v/>
      </c>
      <c r="AN269" t="str">
        <f>IF($A269="","",$I269-($AI269+$AJ269+$AK269+$AL269+$AM269+$AR269))</f>
        <v/>
      </c>
      <c r="AO269" t="str">
        <f>IF($A269="","",Allocation2!AE269)</f>
        <v/>
      </c>
      <c r="AP269" t="str">
        <f>IF($A269="","",IF(ALLOC!$N$2="VOL_EFF",$Q269,IF(ALLOC!$N$2="VOL_CLASS",$R269,$S269)))</f>
        <v/>
      </c>
      <c r="AQ269" t="str">
        <f>IF($A269="","",IF(ALLOC!$N$2="VOL_EFF",$T269,IF(ALLOC!$N$2="VOL_CLASS",$U269,$V269)))</f>
        <v/>
      </c>
      <c r="AR269" t="str">
        <f>IF($A269="","",$AO269*IFERROR($AP269/$AQ269,0)*IFERROR($AE269/$AF269,0)*IFERROR($AC269/$AD269,0))</f>
        <v/>
      </c>
    </row>
    <row r="270" spans="1:46" x14ac:dyDescent="0.45">
      <c r="A270" t="str">
        <f>IF(Allocation2!D270="","",Allocation2!D270)</f>
        <v/>
      </c>
      <c r="B270" t="str">
        <f>IF(Allocation2!E270="","",Allocation2!E270)</f>
        <v/>
      </c>
      <c r="C270" t="str">
        <f>IF(Allocation2!F270="","",Allocation2!F270)</f>
        <v/>
      </c>
      <c r="D270" t="str">
        <f>IF(Allocation2!G270="","",Allocation2!G270)</f>
        <v/>
      </c>
      <c r="E270" t="str">
        <f>IF(Allocation2!H270="","",Allocation2!H270)</f>
        <v/>
      </c>
      <c r="F270" t="str">
        <f>IF(Allocation2!I270="","",Allocation2!I270)</f>
        <v/>
      </c>
      <c r="G270" t="str">
        <f>IF(Allocation2!E270="","",Allocation2!J270)</f>
        <v/>
      </c>
      <c r="H270" t="str">
        <f>IF(Allocation2!E270="","",Allocation2!K270)</f>
        <v/>
      </c>
      <c r="I270" t="str">
        <f>IF(Allocation2!E270="","",Allocation2!L270)</f>
        <v/>
      </c>
      <c r="J270" t="str">
        <f>IF($A270="","",Allocation2!X270)</f>
        <v/>
      </c>
      <c r="K270" t="str">
        <f>IF($A270="","",$H270*IF(AND(LEFT($D270,3)="BAC",$F270="INIT"),600,IF(LEFT($D270,3)="BAC",480,IF(AND(LEFT($D270,3)="MAS",$F270="INIT"),520,IF(LEFT($D270,3)="MAS",420,IF($F270="INIT",1000,700))))))</f>
        <v/>
      </c>
      <c r="L270" t="str">
        <f>IF($A270="","",SUMIFS($G$1:$G$349,$A$1:$A$349,$A270,$B$1:$B$349,$B270))</f>
        <v/>
      </c>
      <c r="M270" t="str">
        <f>IF($A270="","",SUMIFS($H$1:$H$349,$A$1:$A$349,$A270,$B$1:$B$349,$B270))</f>
        <v/>
      </c>
      <c r="N270" t="str">
        <f>IF($A270="","",SUMIFS($I$1:$I$349,$A$1:$A$349,$A270,$B$1:$B$349,$B270))</f>
        <v/>
      </c>
      <c r="O270" t="str">
        <f>IF($A270="","",SUMIFS($K$1:$K$349,$A$1:$A$349,$A270,$B$1:$B$349,$B270))</f>
        <v/>
      </c>
      <c r="P270" t="str">
        <f>IF($A270="","",SUMIFS($J$1:$J$349,$A$1:$A$349,$A270,$B$1:$B$349,$B270))</f>
        <v/>
      </c>
      <c r="Q270" t="str">
        <f>IF($A270="","",SUMIFS($G$1:$G$349,$A$1:$A$349,$A270,$C$1:$C$349,$C270))</f>
        <v/>
      </c>
      <c r="R270" t="str">
        <f>IF($A270="","",SUMIFS($H$1:$H$349,$A$1:$A$349,$A270,$C$1:$C$349,$C270))</f>
        <v/>
      </c>
      <c r="S270" t="str">
        <f>IF($A270="","",SUMIFS($I$1:$I$349,$A$1:$A$349,$A270,$C$1:$C$349,$C270))</f>
        <v/>
      </c>
      <c r="T270" t="str">
        <f>IF($A270="","",SUMIFS($G$1:$G$349,$A$1:$A$349,$A270))</f>
        <v/>
      </c>
      <c r="U270" t="str">
        <f>IF($A270="","",SUMIFS($H$1:$H$349,$A$1:$A$349,$A270))</f>
        <v/>
      </c>
      <c r="V270" t="str">
        <f>IF($A270="","",SUMIFS($I$1:$I$349,$A$1:$A$349,$A270))</f>
        <v/>
      </c>
      <c r="W270" t="str">
        <f>IF($A270="","",Allocation2!Y270)</f>
        <v/>
      </c>
      <c r="X270" t="str">
        <f>IF($A270="","",Allocation2!Z270)</f>
        <v/>
      </c>
      <c r="Y270" t="str">
        <f>IF($A270="","",Allocation2!AA270)</f>
        <v/>
      </c>
      <c r="Z270" t="str">
        <f>IF($A270="","",Allocation2!AB270)</f>
        <v/>
      </c>
      <c r="AA270" t="str">
        <f>IF($A270="","",Allocation2!AC270)</f>
        <v/>
      </c>
      <c r="AB270" t="str">
        <f>IF($A270="","",Allocation2!AD270)</f>
        <v/>
      </c>
      <c r="AC270" t="str">
        <f>IF($A270="","",IF(ALLOC!$N$4="VOL_EFF",$G270,IF(ALLOC!$N$4="VOL_CLASS",$H270,$I270)))</f>
        <v/>
      </c>
      <c r="AD270" t="str">
        <f>IF($A270="","",IF(ALLOC!$N$4="VOL_EFF",$L270,IF(ALLOC!$N$4="VOL_CLASS",$M270,$N270)))</f>
        <v/>
      </c>
      <c r="AE270" t="str">
        <f>IF($A270="","",IF(ALLOC!$N$3="VOL_EFF",$L270,IF(ALLOC!$N$3="VOL_CLASS",$M270,$N270)))</f>
        <v/>
      </c>
      <c r="AF270" t="str">
        <f>IF($A270="","",IF(ALLOC!$N$3="VOL_EFF",$Q270,IF(ALLOC!$N$3="VOL_CLASS",$R270,$S270)))</f>
        <v/>
      </c>
      <c r="AG270" t="str">
        <f>IF($A270="","",IF(ALLOC!$N$1="VOL_EFF",$Q270,IF(ALLOC!$N$1="VOL_CLASS",$R270,$S270)))</f>
        <v/>
      </c>
      <c r="AH270" t="str">
        <f>IF($A270="","",IF(ALLOC!$N$1="VOL_EFF",$T270,IF(ALLOC!$N$1="VOL_CLASS",$U270,$V270)))</f>
        <v/>
      </c>
      <c r="AI270" t="str">
        <f>IF($A270="","",$W270*IFERROR($K270/$O270,0))</f>
        <v/>
      </c>
      <c r="AJ270" t="str">
        <f>IF($A270="","",$X270*IFERROR($K270/$O270,0))</f>
        <v/>
      </c>
      <c r="AK270" t="str">
        <f>IF($A270="","",$Y270*IFERROR($G270/$L270,0)+$Z270*IFERROR($J270/$P270,0))</f>
        <v/>
      </c>
      <c r="AL270" t="str">
        <f>IF($A270="","",$AA270*IFERROR($AC270/$AD270,0))</f>
        <v/>
      </c>
      <c r="AM270" t="str">
        <f>IF($A270="","",$AB270*IFERROR($AG270/$AH270,0)*IFERROR($AE270/$AF270,0)*IFERROR($AC270/$AD270,0))</f>
        <v/>
      </c>
      <c r="AN270" t="str">
        <f>IF($A270="","",$I270-($AI270+$AJ270+$AK270+$AL270+$AM270+$AR270))</f>
        <v/>
      </c>
      <c r="AO270" t="str">
        <f>IF($A270="","",Allocation2!AE270)</f>
        <v/>
      </c>
      <c r="AP270" t="str">
        <f>IF($A270="","",IF(ALLOC!$N$2="VOL_EFF",$Q270,IF(ALLOC!$N$2="VOL_CLASS",$R270,$S270)))</f>
        <v/>
      </c>
      <c r="AQ270" t="str">
        <f>IF($A270="","",IF(ALLOC!$N$2="VOL_EFF",$T270,IF(ALLOC!$N$2="VOL_CLASS",$U270,$V270)))</f>
        <v/>
      </c>
      <c r="AR270" t="str">
        <f>IF($A270="","",$AO270*IFERROR($AP270/$AQ270,0)*IFERROR($AE270/$AF270,0)*IFERROR($AC270/$AD270,0))</f>
        <v/>
      </c>
    </row>
    <row r="271" spans="1:46" x14ac:dyDescent="0.45">
      <c r="A271" t="str">
        <f>IF(Allocation2!D271="","",Allocation2!D271)</f>
        <v/>
      </c>
      <c r="B271" t="str">
        <f>IF(Allocation2!E271="","",Allocation2!E271)</f>
        <v/>
      </c>
      <c r="C271" t="str">
        <f>IF(Allocation2!F271="","",Allocation2!F271)</f>
        <v/>
      </c>
      <c r="D271" t="str">
        <f>IF(Allocation2!G271="","",Allocation2!G271)</f>
        <v/>
      </c>
      <c r="E271" t="str">
        <f>IF(Allocation2!H271="","",Allocation2!H271)</f>
        <v/>
      </c>
      <c r="F271" t="str">
        <f>IF(Allocation2!I271="","",Allocation2!I271)</f>
        <v/>
      </c>
      <c r="G271" t="str">
        <f>IF(Allocation2!E271="","",Allocation2!J271)</f>
        <v/>
      </c>
      <c r="H271" t="str">
        <f>IF(Allocation2!E271="","",Allocation2!K271)</f>
        <v/>
      </c>
      <c r="I271" t="str">
        <f>IF(Allocation2!E271="","",Allocation2!L271)</f>
        <v/>
      </c>
      <c r="J271" t="str">
        <f>IF($A271="","",Allocation2!X271)</f>
        <v/>
      </c>
      <c r="K271" t="str">
        <f>IF($A271="","",$H271*IF(AND(LEFT($D271,3)="BAC",$F271="INIT"),600,IF(LEFT($D271,3)="BAC",480,IF(AND(LEFT($D271,3)="MAS",$F271="INIT"),520,IF(LEFT($D271,3)="MAS",420,IF($F271="INIT",1000,700))))))</f>
        <v/>
      </c>
      <c r="L271" t="str">
        <f>IF($A271="","",SUMIFS($G$1:$G$349,$A$1:$A$349,$A271,$B$1:$B$349,$B271))</f>
        <v/>
      </c>
      <c r="M271" t="str">
        <f>IF($A271="","",SUMIFS($H$1:$H$349,$A$1:$A$349,$A271,$B$1:$B$349,$B271))</f>
        <v/>
      </c>
      <c r="N271" t="str">
        <f>IF($A271="","",SUMIFS($I$1:$I$349,$A$1:$A$349,$A271,$B$1:$B$349,$B271))</f>
        <v/>
      </c>
      <c r="O271" t="str">
        <f>IF($A271="","",SUMIFS($K$1:$K$349,$A$1:$A$349,$A271,$B$1:$B$349,$B271))</f>
        <v/>
      </c>
      <c r="P271" t="str">
        <f>IF($A271="","",SUMIFS($J$1:$J$349,$A$1:$A$349,$A271,$B$1:$B$349,$B271))</f>
        <v/>
      </c>
      <c r="Q271" t="str">
        <f>IF($A271="","",SUMIFS($G$1:$G$349,$A$1:$A$349,$A271,$C$1:$C$349,$C271))</f>
        <v/>
      </c>
      <c r="R271" t="str">
        <f>IF($A271="","",SUMIFS($H$1:$H$349,$A$1:$A$349,$A271,$C$1:$C$349,$C271))</f>
        <v/>
      </c>
      <c r="S271" t="str">
        <f>IF($A271="","",SUMIFS($I$1:$I$349,$A$1:$A$349,$A271,$C$1:$C$349,$C271))</f>
        <v/>
      </c>
      <c r="T271" t="str">
        <f>IF($A271="","",SUMIFS($G$1:$G$349,$A$1:$A$349,$A271))</f>
        <v/>
      </c>
      <c r="U271" t="str">
        <f>IF($A271="","",SUMIFS($H$1:$H$349,$A$1:$A$349,$A271))</f>
        <v/>
      </c>
      <c r="V271" t="str">
        <f>IF($A271="","",SUMIFS($I$1:$I$349,$A$1:$A$349,$A271))</f>
        <v/>
      </c>
      <c r="W271" t="str">
        <f>IF($A271="","",Allocation2!Y271)</f>
        <v/>
      </c>
      <c r="X271" t="str">
        <f>IF($A271="","",Allocation2!Z271)</f>
        <v/>
      </c>
      <c r="Y271" t="str">
        <f>IF($A271="","",Allocation2!AA271)</f>
        <v/>
      </c>
      <c r="Z271" t="str">
        <f>IF($A271="","",Allocation2!AB271)</f>
        <v/>
      </c>
      <c r="AA271" t="str">
        <f>IF($A271="","",Allocation2!AC271)</f>
        <v/>
      </c>
      <c r="AB271" t="str">
        <f>IF($A271="","",Allocation2!AD271)</f>
        <v/>
      </c>
      <c r="AC271" t="str">
        <f>IF($A271="","",IF(ALLOC!$N$4="VOL_EFF",$G271,IF(ALLOC!$N$4="VOL_CLASS",$H271,$I271)))</f>
        <v/>
      </c>
      <c r="AD271" t="str">
        <f>IF($A271="","",IF(ALLOC!$N$4="VOL_EFF",$L271,IF(ALLOC!$N$4="VOL_CLASS",$M271,$N271)))</f>
        <v/>
      </c>
      <c r="AE271" t="str">
        <f>IF($A271="","",IF(ALLOC!$N$3="VOL_EFF",$L271,IF(ALLOC!$N$3="VOL_CLASS",$M271,$N271)))</f>
        <v/>
      </c>
      <c r="AF271" t="str">
        <f>IF($A271="","",IF(ALLOC!$N$3="VOL_EFF",$Q271,IF(ALLOC!$N$3="VOL_CLASS",$R271,$S271)))</f>
        <v/>
      </c>
      <c r="AG271" t="str">
        <f>IF($A271="","",IF(ALLOC!$N$1="VOL_EFF",$Q271,IF(ALLOC!$N$1="VOL_CLASS",$R271,$S271)))</f>
        <v/>
      </c>
      <c r="AH271" t="str">
        <f>IF($A271="","",IF(ALLOC!$N$1="VOL_EFF",$T271,IF(ALLOC!$N$1="VOL_CLASS",$U271,$V271)))</f>
        <v/>
      </c>
      <c r="AI271" t="str">
        <f>IF($A271="","",$W271*IFERROR($K271/$O271,0))</f>
        <v/>
      </c>
      <c r="AJ271" t="str">
        <f>IF($A271="","",$X271*IFERROR($K271/$O271,0))</f>
        <v/>
      </c>
      <c r="AK271" t="str">
        <f>IF($A271="","",$Y271*IFERROR($G271/$L271,0)+$Z271*IFERROR($J271/$P271,0))</f>
        <v/>
      </c>
      <c r="AL271" t="str">
        <f>IF($A271="","",$AA271*IFERROR($AC271/$AD271,0))</f>
        <v/>
      </c>
      <c r="AM271" t="str">
        <f>IF($A271="","",$AB271*IFERROR($AG271/$AH271,0)*IFERROR($AE271/$AF271,0)*IFERROR($AC271/$AD271,0))</f>
        <v/>
      </c>
      <c r="AN271" t="str">
        <f>IF($A271="","",$I271-($AI271+$AJ271+$AK271+$AL271+$AM271+$AR271))</f>
        <v/>
      </c>
      <c r="AO271" t="str">
        <f>IF($A271="","",Allocation2!AE271)</f>
        <v/>
      </c>
      <c r="AP271" t="str">
        <f>IF($A271="","",IF(ALLOC!$N$2="VOL_EFF",$Q271,IF(ALLOC!$N$2="VOL_CLASS",$R271,$S271)))</f>
        <v/>
      </c>
      <c r="AQ271" t="str">
        <f>IF($A271="","",IF(ALLOC!$N$2="VOL_EFF",$T271,IF(ALLOC!$N$2="VOL_CLASS",$U271,$V271)))</f>
        <v/>
      </c>
      <c r="AR271" t="str">
        <f>IF($A271="","",$AO271*IFERROR($AP271/$AQ271,0)*IFERROR($AE271/$AF271,0)*IFERROR($AC271/$AD271,0))</f>
        <v/>
      </c>
    </row>
    <row r="272" spans="1:46" x14ac:dyDescent="0.45">
      <c r="A272" t="str">
        <f>IF(Allocation2!D272="","",Allocation2!D272)</f>
        <v/>
      </c>
      <c r="B272" t="str">
        <f>IF(Allocation2!E272="","",Allocation2!E272)</f>
        <v/>
      </c>
      <c r="C272" t="str">
        <f>IF(Allocation2!F272="","",Allocation2!F272)</f>
        <v/>
      </c>
      <c r="D272" t="str">
        <f>IF(Allocation2!G272="","",Allocation2!G272)</f>
        <v/>
      </c>
      <c r="E272" t="str">
        <f>IF(Allocation2!H272="","",Allocation2!H272)</f>
        <v/>
      </c>
      <c r="F272" t="str">
        <f>IF(Allocation2!I272="","",Allocation2!I272)</f>
        <v/>
      </c>
      <c r="G272" t="str">
        <f>IF(Allocation2!E272="","",Allocation2!J272)</f>
        <v/>
      </c>
      <c r="H272" t="str">
        <f>IF(Allocation2!E272="","",Allocation2!K272)</f>
        <v/>
      </c>
      <c r="I272" t="str">
        <f>IF(Allocation2!E272="","",Allocation2!L272)</f>
        <v/>
      </c>
      <c r="J272" t="str">
        <f>IF($A272="","",Allocation2!X272)</f>
        <v/>
      </c>
      <c r="K272" t="str">
        <f>IF($A272="","",$H272*IF(AND(LEFT($D272,3)="BAC",$F272="INIT"),600,IF(LEFT($D272,3)="BAC",480,IF(AND(LEFT($D272,3)="MAS",$F272="INIT"),520,IF(LEFT($D272,3)="MAS",420,IF($F272="INIT",1000,700))))))</f>
        <v/>
      </c>
      <c r="L272" t="str">
        <f>IF($A272="","",SUMIFS($G$1:$G$349,$A$1:$A$349,$A272,$B$1:$B$349,$B272))</f>
        <v/>
      </c>
      <c r="M272" t="str">
        <f>IF($A272="","",SUMIFS($H$1:$H$349,$A$1:$A$349,$A272,$B$1:$B$349,$B272))</f>
        <v/>
      </c>
      <c r="N272" t="str">
        <f>IF($A272="","",SUMIFS($I$1:$I$349,$A$1:$A$349,$A272,$B$1:$B$349,$B272))</f>
        <v/>
      </c>
      <c r="O272" t="str">
        <f>IF($A272="","",SUMIFS($K$1:$K$349,$A$1:$A$349,$A272,$B$1:$B$349,$B272))</f>
        <v/>
      </c>
      <c r="P272" t="str">
        <f>IF($A272="","",SUMIFS($J$1:$J$349,$A$1:$A$349,$A272,$B$1:$B$349,$B272))</f>
        <v/>
      </c>
      <c r="Q272" t="str">
        <f>IF($A272="","",SUMIFS($G$1:$G$349,$A$1:$A$349,$A272,$C$1:$C$349,$C272))</f>
        <v/>
      </c>
      <c r="R272" t="str">
        <f>IF($A272="","",SUMIFS($H$1:$H$349,$A$1:$A$349,$A272,$C$1:$C$349,$C272))</f>
        <v/>
      </c>
      <c r="S272" t="str">
        <f>IF($A272="","",SUMIFS($I$1:$I$349,$A$1:$A$349,$A272,$C$1:$C$349,$C272))</f>
        <v/>
      </c>
      <c r="T272" t="str">
        <f>IF($A272="","",SUMIFS($G$1:$G$349,$A$1:$A$349,$A272))</f>
        <v/>
      </c>
      <c r="U272" t="str">
        <f>IF($A272="","",SUMIFS($H$1:$H$349,$A$1:$A$349,$A272))</f>
        <v/>
      </c>
      <c r="V272" t="str">
        <f>IF($A272="","",SUMIFS($I$1:$I$349,$A$1:$A$349,$A272))</f>
        <v/>
      </c>
      <c r="W272" t="str">
        <f>IF($A272="","",Allocation2!Y272)</f>
        <v/>
      </c>
      <c r="X272" t="str">
        <f>IF($A272="","",Allocation2!Z272)</f>
        <v/>
      </c>
      <c r="Y272" t="str">
        <f>IF($A272="","",Allocation2!AA272)</f>
        <v/>
      </c>
      <c r="Z272" t="str">
        <f>IF($A272="","",Allocation2!AB272)</f>
        <v/>
      </c>
      <c r="AA272" t="str">
        <f>IF($A272="","",Allocation2!AC272)</f>
        <v/>
      </c>
      <c r="AB272" t="str">
        <f>IF($A272="","",Allocation2!AD272)</f>
        <v/>
      </c>
      <c r="AC272" t="str">
        <f>IF($A272="","",IF(ALLOC!$N$4="VOL_EFF",$G272,IF(ALLOC!$N$4="VOL_CLASS",$H272,$I272)))</f>
        <v/>
      </c>
      <c r="AD272" t="str">
        <f>IF($A272="","",IF(ALLOC!$N$4="VOL_EFF",$L272,IF(ALLOC!$N$4="VOL_CLASS",$M272,$N272)))</f>
        <v/>
      </c>
      <c r="AE272" t="str">
        <f>IF($A272="","",IF(ALLOC!$N$3="VOL_EFF",$L272,IF(ALLOC!$N$3="VOL_CLASS",$M272,$N272)))</f>
        <v/>
      </c>
      <c r="AF272" t="str">
        <f>IF($A272="","",IF(ALLOC!$N$3="VOL_EFF",$Q272,IF(ALLOC!$N$3="VOL_CLASS",$R272,$S272)))</f>
        <v/>
      </c>
      <c r="AG272" t="str">
        <f>IF($A272="","",IF(ALLOC!$N$1="VOL_EFF",$Q272,IF(ALLOC!$N$1="VOL_CLASS",$R272,$S272)))</f>
        <v/>
      </c>
      <c r="AH272" t="str">
        <f>IF($A272="","",IF(ALLOC!$N$1="VOL_EFF",$T272,IF(ALLOC!$N$1="VOL_CLASS",$U272,$V272)))</f>
        <v/>
      </c>
      <c r="AI272" t="str">
        <f>IF($A272="","",$W272*IFERROR($K272/$O272,0))</f>
        <v/>
      </c>
      <c r="AJ272" t="str">
        <f>IF($A272="","",$X272*IFERROR($K272/$O272,0))</f>
        <v/>
      </c>
      <c r="AK272" t="str">
        <f>IF($A272="","",$Y272*IFERROR($G272/$L272,0)+$Z272*IFERROR($J272/$P272,0))</f>
        <v/>
      </c>
      <c r="AL272" t="str">
        <f>IF($A272="","",$AA272*IFERROR($AC272/$AD272,0))</f>
        <v/>
      </c>
      <c r="AM272" t="str">
        <f>IF($A272="","",$AB272*IFERROR($AG272/$AH272,0)*IFERROR($AE272/$AF272,0)*IFERROR($AC272/$AD272,0))</f>
        <v/>
      </c>
      <c r="AN272" t="str">
        <f>IF($A272="","",$I272-($AI272+$AJ272+$AK272+$AL272+$AM272+$AR272))</f>
        <v/>
      </c>
      <c r="AO272" t="str">
        <f>IF($A272="","",Allocation2!AE272)</f>
        <v/>
      </c>
      <c r="AP272" t="str">
        <f>IF($A272="","",IF(ALLOC!$N$2="VOL_EFF",$Q272,IF(ALLOC!$N$2="VOL_CLASS",$R272,$S272)))</f>
        <v/>
      </c>
      <c r="AQ272" t="str">
        <f>IF($A272="","",IF(ALLOC!$N$2="VOL_EFF",$T272,IF(ALLOC!$N$2="VOL_CLASS",$U272,$V272)))</f>
        <v/>
      </c>
      <c r="AR272" t="str">
        <f>IF($A272="","",$AO272*IFERROR($AP272/$AQ272,0)*IFERROR($AE272/$AF272,0)*IFERROR($AC272/$AD272,0))</f>
        <v/>
      </c>
    </row>
    <row r="273" spans="1:46" x14ac:dyDescent="0.45">
      <c r="A273" t="str">
        <f>IF(Allocation2!D273="","",Allocation2!D273)</f>
        <v/>
      </c>
      <c r="B273" t="str">
        <f>IF(Allocation2!E273="","",Allocation2!E273)</f>
        <v/>
      </c>
      <c r="C273" t="str">
        <f>IF(Allocation2!F273="","",Allocation2!F273)</f>
        <v/>
      </c>
      <c r="D273" t="str">
        <f>IF(Allocation2!G273="","",Allocation2!G273)</f>
        <v/>
      </c>
      <c r="E273" t="str">
        <f>IF(Allocation2!H273="","",Allocation2!H273)</f>
        <v/>
      </c>
      <c r="F273" t="str">
        <f>IF(Allocation2!I273="","",Allocation2!I273)</f>
        <v/>
      </c>
      <c r="G273" t="str">
        <f>IF(Allocation2!E273="","",Allocation2!J273)</f>
        <v/>
      </c>
      <c r="H273" t="str">
        <f>IF(Allocation2!E273="","",Allocation2!K273)</f>
        <v/>
      </c>
      <c r="I273" t="str">
        <f>IF(Allocation2!E273="","",Allocation2!L273)</f>
        <v/>
      </c>
      <c r="J273" t="str">
        <f>IF($A273="","",Allocation2!X273)</f>
        <v/>
      </c>
      <c r="K273" t="str">
        <f>IF($A273="","",$H273*IF(AND(LEFT($D273,3)="BAC",$F273="INIT"),600,IF(LEFT($D273,3)="BAC",480,IF(AND(LEFT($D273,3)="MAS",$F273="INIT"),520,IF(LEFT($D273,3)="MAS",420,IF($F273="INIT",1000,700))))))</f>
        <v/>
      </c>
      <c r="L273" t="str">
        <f>IF($A273="","",SUMIFS($G$1:$G$349,$A$1:$A$349,$A273,$B$1:$B$349,$B273))</f>
        <v/>
      </c>
      <c r="M273" t="str">
        <f>IF($A273="","",SUMIFS($H$1:$H$349,$A$1:$A$349,$A273,$B$1:$B$349,$B273))</f>
        <v/>
      </c>
      <c r="N273" t="str">
        <f>IF($A273="","",SUMIFS($I$1:$I$349,$A$1:$A$349,$A273,$B$1:$B$349,$B273))</f>
        <v/>
      </c>
      <c r="O273" t="str">
        <f>IF($A273="","",SUMIFS($K$1:$K$349,$A$1:$A$349,$A273,$B$1:$B$349,$B273))</f>
        <v/>
      </c>
      <c r="P273" t="str">
        <f>IF($A273="","",SUMIFS($J$1:$J$349,$A$1:$A$349,$A273,$B$1:$B$349,$B273))</f>
        <v/>
      </c>
      <c r="Q273" t="str">
        <f>IF($A273="","",SUMIFS($G$1:$G$349,$A$1:$A$349,$A273,$C$1:$C$349,$C273))</f>
        <v/>
      </c>
      <c r="R273" t="str">
        <f>IF($A273="","",SUMIFS($H$1:$H$349,$A$1:$A$349,$A273,$C$1:$C$349,$C273))</f>
        <v/>
      </c>
      <c r="S273" t="str">
        <f>IF($A273="","",SUMIFS($I$1:$I$349,$A$1:$A$349,$A273,$C$1:$C$349,$C273))</f>
        <v/>
      </c>
      <c r="T273" t="str">
        <f>IF($A273="","",SUMIFS($G$1:$G$349,$A$1:$A$349,$A273))</f>
        <v/>
      </c>
      <c r="U273" t="str">
        <f>IF($A273="","",SUMIFS($H$1:$H$349,$A$1:$A$349,$A273))</f>
        <v/>
      </c>
      <c r="V273" t="str">
        <f>IF($A273="","",SUMIFS($I$1:$I$349,$A$1:$A$349,$A273))</f>
        <v/>
      </c>
      <c r="W273" t="str">
        <f>IF($A273="","",Allocation2!Y273)</f>
        <v/>
      </c>
      <c r="X273" t="str">
        <f>IF($A273="","",Allocation2!Z273)</f>
        <v/>
      </c>
      <c r="Y273" t="str">
        <f>IF($A273="","",Allocation2!AA273)</f>
        <v/>
      </c>
      <c r="Z273" t="str">
        <f>IF($A273="","",Allocation2!AB273)</f>
        <v/>
      </c>
      <c r="AA273" t="str">
        <f>IF($A273="","",Allocation2!AC273)</f>
        <v/>
      </c>
      <c r="AB273" t="str">
        <f>IF($A273="","",Allocation2!AD273)</f>
        <v/>
      </c>
      <c r="AC273" t="str">
        <f>IF($A273="","",IF(ALLOC!$N$4="VOL_EFF",$G273,IF(ALLOC!$N$4="VOL_CLASS",$H273,$I273)))</f>
        <v/>
      </c>
      <c r="AD273" t="str">
        <f>IF($A273="","",IF(ALLOC!$N$4="VOL_EFF",$L273,IF(ALLOC!$N$4="VOL_CLASS",$M273,$N273)))</f>
        <v/>
      </c>
      <c r="AE273" t="str">
        <f>IF($A273="","",IF(ALLOC!$N$3="VOL_EFF",$L273,IF(ALLOC!$N$3="VOL_CLASS",$M273,$N273)))</f>
        <v/>
      </c>
      <c r="AF273" t="str">
        <f>IF($A273="","",IF(ALLOC!$N$3="VOL_EFF",$Q273,IF(ALLOC!$N$3="VOL_CLASS",$R273,$S273)))</f>
        <v/>
      </c>
      <c r="AG273" t="str">
        <f>IF($A273="","",IF(ALLOC!$N$1="VOL_EFF",$Q273,IF(ALLOC!$N$1="VOL_CLASS",$R273,$S273)))</f>
        <v/>
      </c>
      <c r="AH273" t="str">
        <f>IF($A273="","",IF(ALLOC!$N$1="VOL_EFF",$T273,IF(ALLOC!$N$1="VOL_CLASS",$U273,$V273)))</f>
        <v/>
      </c>
      <c r="AI273" t="str">
        <f>IF($A273="","",$W273*IFERROR($K273/$O273,0))</f>
        <v/>
      </c>
      <c r="AJ273" t="str">
        <f>IF($A273="","",$X273*IFERROR($K273/$O273,0))</f>
        <v/>
      </c>
      <c r="AK273" t="str">
        <f>IF($A273="","",$Y273*IFERROR($G273/$L273,0)+$Z273*IFERROR($J273/$P273,0))</f>
        <v/>
      </c>
      <c r="AL273" t="str">
        <f>IF($A273="","",$AA273*IFERROR($AC273/$AD273,0))</f>
        <v/>
      </c>
      <c r="AM273" t="str">
        <f>IF($A273="","",$AB273*IFERROR($AG273/$AH273,0)*IFERROR($AE273/$AF273,0)*IFERROR($AC273/$AD273,0))</f>
        <v/>
      </c>
      <c r="AN273" t="str">
        <f>IF($A273="","",$I273-($AI273+$AJ273+$AK273+$AL273+$AM273+$AR273))</f>
        <v/>
      </c>
      <c r="AO273" t="str">
        <f>IF($A273="","",Allocation2!AE273)</f>
        <v/>
      </c>
      <c r="AP273" t="str">
        <f>IF($A273="","",IF(ALLOC!$N$2="VOL_EFF",$Q273,IF(ALLOC!$N$2="VOL_CLASS",$R273,$S273)))</f>
        <v/>
      </c>
      <c r="AQ273" t="str">
        <f>IF($A273="","",IF(ALLOC!$N$2="VOL_EFF",$T273,IF(ALLOC!$N$2="VOL_CLASS",$U273,$V273)))</f>
        <v/>
      </c>
      <c r="AR273" t="str">
        <f>IF($A273="","",$AO273*IFERROR($AP273/$AQ273,0)*IFERROR($AE273/$AF273,0)*IFERROR($AC273/$AD273,0))</f>
        <v/>
      </c>
    </row>
    <row r="274" spans="1:46" x14ac:dyDescent="0.45">
      <c r="A274" t="str">
        <f>IF(Allocation2!D274="","",Allocation2!D274)</f>
        <v/>
      </c>
      <c r="B274" t="str">
        <f>IF(Allocation2!E274="","",Allocation2!E274)</f>
        <v/>
      </c>
      <c r="C274" t="str">
        <f>IF(Allocation2!F274="","",Allocation2!F274)</f>
        <v/>
      </c>
      <c r="D274" t="str">
        <f>IF(Allocation2!G274="","",Allocation2!G274)</f>
        <v/>
      </c>
      <c r="E274" t="str">
        <f>IF(Allocation2!H274="","",Allocation2!H274)</f>
        <v/>
      </c>
      <c r="F274" t="str">
        <f>IF(Allocation2!I274="","",Allocation2!I274)</f>
        <v/>
      </c>
      <c r="G274" t="str">
        <f>IF(Allocation2!E274="","",Allocation2!J274)</f>
        <v/>
      </c>
      <c r="H274" t="str">
        <f>IF(Allocation2!E274="","",Allocation2!K274)</f>
        <v/>
      </c>
      <c r="I274" t="str">
        <f>IF(Allocation2!E274="","",Allocation2!L274)</f>
        <v/>
      </c>
      <c r="J274" t="str">
        <f>IF($A274="","",Allocation2!X274)</f>
        <v/>
      </c>
      <c r="K274" t="str">
        <f>IF($A274="","",$H274*IF(AND(LEFT($D274,3)="BAC",$F274="INIT"),600,IF(LEFT($D274,3)="BAC",480,IF(AND(LEFT($D274,3)="MAS",$F274="INIT"),520,IF(LEFT($D274,3)="MAS",420,IF($F274="INIT",1000,700))))))</f>
        <v/>
      </c>
      <c r="L274" t="str">
        <f>IF($A274="","",SUMIFS($G$1:$G$349,$A$1:$A$349,$A274,$B$1:$B$349,$B274))</f>
        <v/>
      </c>
      <c r="M274" t="str">
        <f>IF($A274="","",SUMIFS($H$1:$H$349,$A$1:$A$349,$A274,$B$1:$B$349,$B274))</f>
        <v/>
      </c>
      <c r="N274" t="str">
        <f>IF($A274="","",SUMIFS($I$1:$I$349,$A$1:$A$349,$A274,$B$1:$B$349,$B274))</f>
        <v/>
      </c>
      <c r="O274" t="str">
        <f>IF($A274="","",SUMIFS($K$1:$K$349,$A$1:$A$349,$A274,$B$1:$B$349,$B274))</f>
        <v/>
      </c>
      <c r="P274" t="str">
        <f>IF($A274="","",SUMIFS($J$1:$J$349,$A$1:$A$349,$A274,$B$1:$B$349,$B274))</f>
        <v/>
      </c>
      <c r="Q274" t="str">
        <f>IF($A274="","",SUMIFS($G$1:$G$349,$A$1:$A$349,$A274,$C$1:$C$349,$C274))</f>
        <v/>
      </c>
      <c r="R274" t="str">
        <f>IF($A274="","",SUMIFS($H$1:$H$349,$A$1:$A$349,$A274,$C$1:$C$349,$C274))</f>
        <v/>
      </c>
      <c r="S274" t="str">
        <f>IF($A274="","",SUMIFS($I$1:$I$349,$A$1:$A$349,$A274,$C$1:$C$349,$C274))</f>
        <v/>
      </c>
      <c r="T274" t="str">
        <f>IF($A274="","",SUMIFS($G$1:$G$349,$A$1:$A$349,$A274))</f>
        <v/>
      </c>
      <c r="U274" t="str">
        <f>IF($A274="","",SUMIFS($H$1:$H$349,$A$1:$A$349,$A274))</f>
        <v/>
      </c>
      <c r="V274" t="str">
        <f>IF($A274="","",SUMIFS($I$1:$I$349,$A$1:$A$349,$A274))</f>
        <v/>
      </c>
      <c r="W274" t="str">
        <f>IF($A274="","",Allocation2!Y274)</f>
        <v/>
      </c>
      <c r="X274" t="str">
        <f>IF($A274="","",Allocation2!Z274)</f>
        <v/>
      </c>
      <c r="Y274" t="str">
        <f>IF($A274="","",Allocation2!AA274)</f>
        <v/>
      </c>
      <c r="Z274" t="str">
        <f>IF($A274="","",Allocation2!AB274)</f>
        <v/>
      </c>
      <c r="AA274" t="str">
        <f>IF($A274="","",Allocation2!AC274)</f>
        <v/>
      </c>
      <c r="AB274" t="str">
        <f>IF($A274="","",Allocation2!AD274)</f>
        <v/>
      </c>
      <c r="AC274" t="str">
        <f>IF($A274="","",IF(ALLOC!$N$4="VOL_EFF",$G274,IF(ALLOC!$N$4="VOL_CLASS",$H274,$I274)))</f>
        <v/>
      </c>
      <c r="AD274" t="str">
        <f>IF($A274="","",IF(ALLOC!$N$4="VOL_EFF",$L274,IF(ALLOC!$N$4="VOL_CLASS",$M274,$N274)))</f>
        <v/>
      </c>
      <c r="AE274" t="str">
        <f>IF($A274="","",IF(ALLOC!$N$3="VOL_EFF",$L274,IF(ALLOC!$N$3="VOL_CLASS",$M274,$N274)))</f>
        <v/>
      </c>
      <c r="AF274" t="str">
        <f>IF($A274="","",IF(ALLOC!$N$3="VOL_EFF",$Q274,IF(ALLOC!$N$3="VOL_CLASS",$R274,$S274)))</f>
        <v/>
      </c>
      <c r="AG274" t="str">
        <f>IF($A274="","",IF(ALLOC!$N$1="VOL_EFF",$Q274,IF(ALLOC!$N$1="VOL_CLASS",$R274,$S274)))</f>
        <v/>
      </c>
      <c r="AH274" t="str">
        <f>IF($A274="","",IF(ALLOC!$N$1="VOL_EFF",$T274,IF(ALLOC!$N$1="VOL_CLASS",$U274,$V274)))</f>
        <v/>
      </c>
      <c r="AI274" t="str">
        <f>IF($A274="","",$W274*IFERROR($K274/$O274,0))</f>
        <v/>
      </c>
      <c r="AJ274" t="str">
        <f>IF($A274="","",$X274*IFERROR($K274/$O274,0))</f>
        <v/>
      </c>
      <c r="AK274" t="str">
        <f>IF($A274="","",$Y274*IFERROR($G274/$L274,0)+$Z274*IFERROR($J274/$P274,0))</f>
        <v/>
      </c>
      <c r="AL274" t="str">
        <f>IF($A274="","",$AA274*IFERROR($AC274/$AD274,0))</f>
        <v/>
      </c>
      <c r="AM274" t="str">
        <f>IF($A274="","",$AB274*IFERROR($AG274/$AH274,0)*IFERROR($AE274/$AF274,0)*IFERROR($AC274/$AD274,0))</f>
        <v/>
      </c>
      <c r="AN274" t="str">
        <f>IF($A274="","",$I274-($AI274+$AJ274+$AK274+$AL274+$AM274+$AR274))</f>
        <v/>
      </c>
      <c r="AO274" t="str">
        <f>IF($A274="","",Allocation2!AE274)</f>
        <v/>
      </c>
      <c r="AP274" t="str">
        <f>IF($A274="","",IF(ALLOC!$N$2="VOL_EFF",$Q274,IF(ALLOC!$N$2="VOL_CLASS",$R274,$S274)))</f>
        <v/>
      </c>
      <c r="AQ274" t="str">
        <f>IF($A274="","",IF(ALLOC!$N$2="VOL_EFF",$T274,IF(ALLOC!$N$2="VOL_CLASS",$U274,$V274)))</f>
        <v/>
      </c>
      <c r="AR274" t="str">
        <f>IF($A274="","",$AO274*IFERROR($AP274/$AQ274,0)*IFERROR($AE274/$AF274,0)*IFERROR($AC274/$AD274,0))</f>
        <v/>
      </c>
    </row>
    <row r="275" spans="1:46" x14ac:dyDescent="0.45">
      <c r="A275" t="str">
        <f>IF(Allocation2!D275="","",Allocation2!D275)</f>
        <v/>
      </c>
      <c r="B275" t="str">
        <f>IF(Allocation2!E275="","",Allocation2!E275)</f>
        <v/>
      </c>
      <c r="C275" t="str">
        <f>IF(Allocation2!F275="","",Allocation2!F275)</f>
        <v/>
      </c>
      <c r="D275" t="str">
        <f>IF(Allocation2!G275="","",Allocation2!G275)</f>
        <v/>
      </c>
      <c r="E275" t="str">
        <f>IF(Allocation2!H275="","",Allocation2!H275)</f>
        <v/>
      </c>
      <c r="F275" t="str">
        <f>IF(Allocation2!I275="","",Allocation2!I275)</f>
        <v/>
      </c>
      <c r="G275" t="str">
        <f>IF(Allocation2!E275="","",Allocation2!J275)</f>
        <v/>
      </c>
      <c r="H275" t="str">
        <f>IF(Allocation2!E275="","",Allocation2!K275)</f>
        <v/>
      </c>
      <c r="I275" t="str">
        <f>IF(Allocation2!E275="","",Allocation2!L275)</f>
        <v/>
      </c>
      <c r="J275" t="str">
        <f>IF($A275="","",Allocation2!X275)</f>
        <v/>
      </c>
      <c r="K275" t="str">
        <f>IF($A275="","",$H275*IF(AND(LEFT($D275,3)="BAC",$F275="INIT"),600,IF(LEFT($D275,3)="BAC",480,IF(AND(LEFT($D275,3)="MAS",$F275="INIT"),520,IF(LEFT($D275,3)="MAS",420,IF($F275="INIT",1000,700))))))</f>
        <v/>
      </c>
      <c r="L275" t="str">
        <f>IF($A275="","",SUMIFS($G$1:$G$349,$A$1:$A$349,$A275,$B$1:$B$349,$B275))</f>
        <v/>
      </c>
      <c r="M275" t="str">
        <f>IF($A275="","",SUMIFS($H$1:$H$349,$A$1:$A$349,$A275,$B$1:$B$349,$B275))</f>
        <v/>
      </c>
      <c r="N275" t="str">
        <f>IF($A275="","",SUMIFS($I$1:$I$349,$A$1:$A$349,$A275,$B$1:$B$349,$B275))</f>
        <v/>
      </c>
      <c r="O275" t="str">
        <f>IF($A275="","",SUMIFS($K$1:$K$349,$A$1:$A$349,$A275,$B$1:$B$349,$B275))</f>
        <v/>
      </c>
      <c r="P275" t="str">
        <f>IF($A275="","",SUMIFS($J$1:$J$349,$A$1:$A$349,$A275,$B$1:$B$349,$B275))</f>
        <v/>
      </c>
      <c r="Q275" t="str">
        <f>IF($A275="","",SUMIFS($G$1:$G$349,$A$1:$A$349,$A275,$C$1:$C$349,$C275))</f>
        <v/>
      </c>
      <c r="R275" t="str">
        <f>IF($A275="","",SUMIFS($H$1:$H$349,$A$1:$A$349,$A275,$C$1:$C$349,$C275))</f>
        <v/>
      </c>
      <c r="S275" t="str">
        <f>IF($A275="","",SUMIFS($I$1:$I$349,$A$1:$A$349,$A275,$C$1:$C$349,$C275))</f>
        <v/>
      </c>
      <c r="T275" t="str">
        <f>IF($A275="","",SUMIFS($G$1:$G$349,$A$1:$A$349,$A275))</f>
        <v/>
      </c>
      <c r="U275" t="str">
        <f>IF($A275="","",SUMIFS($H$1:$H$349,$A$1:$A$349,$A275))</f>
        <v/>
      </c>
      <c r="V275" t="str">
        <f>IF($A275="","",SUMIFS($I$1:$I$349,$A$1:$A$349,$A275))</f>
        <v/>
      </c>
      <c r="W275" t="str">
        <f>IF($A275="","",Allocation2!Y275)</f>
        <v/>
      </c>
      <c r="X275" t="str">
        <f>IF($A275="","",Allocation2!Z275)</f>
        <v/>
      </c>
      <c r="Y275" t="str">
        <f>IF($A275="","",Allocation2!AA275)</f>
        <v/>
      </c>
      <c r="Z275" t="str">
        <f>IF($A275="","",Allocation2!AB275)</f>
        <v/>
      </c>
      <c r="AA275" t="str">
        <f>IF($A275="","",Allocation2!AC275)</f>
        <v/>
      </c>
      <c r="AB275" t="str">
        <f>IF($A275="","",Allocation2!AD275)</f>
        <v/>
      </c>
      <c r="AC275" t="str">
        <f>IF($A275="","",IF(ALLOC!$N$4="VOL_EFF",$G275,IF(ALLOC!$N$4="VOL_CLASS",$H275,$I275)))</f>
        <v/>
      </c>
      <c r="AD275" t="str">
        <f>IF($A275="","",IF(ALLOC!$N$4="VOL_EFF",$L275,IF(ALLOC!$N$4="VOL_CLASS",$M275,$N275)))</f>
        <v/>
      </c>
      <c r="AE275" t="str">
        <f>IF($A275="","",IF(ALLOC!$N$3="VOL_EFF",$L275,IF(ALLOC!$N$3="VOL_CLASS",$M275,$N275)))</f>
        <v/>
      </c>
      <c r="AF275" t="str">
        <f>IF($A275="","",IF(ALLOC!$N$3="VOL_EFF",$Q275,IF(ALLOC!$N$3="VOL_CLASS",$R275,$S275)))</f>
        <v/>
      </c>
      <c r="AG275" t="str">
        <f>IF($A275="","",IF(ALLOC!$N$1="VOL_EFF",$Q275,IF(ALLOC!$N$1="VOL_CLASS",$R275,$S275)))</f>
        <v/>
      </c>
      <c r="AH275" t="str">
        <f>IF($A275="","",IF(ALLOC!$N$1="VOL_EFF",$T275,IF(ALLOC!$N$1="VOL_CLASS",$U275,$V275)))</f>
        <v/>
      </c>
      <c r="AI275" t="str">
        <f>IF($A275="","",$W275*IFERROR($K275/$O275,0))</f>
        <v/>
      </c>
      <c r="AJ275" t="str">
        <f>IF($A275="","",$X275*IFERROR($K275/$O275,0))</f>
        <v/>
      </c>
      <c r="AK275" t="str">
        <f>IF($A275="","",$Y275*IFERROR($G275/$L275,0)+$Z275*IFERROR($J275/$P275,0))</f>
        <v/>
      </c>
      <c r="AL275" t="str">
        <f>IF($A275="","",$AA275*IFERROR($AC275/$AD275,0))</f>
        <v/>
      </c>
      <c r="AM275" t="str">
        <f>IF($A275="","",$AB275*IFERROR($AG275/$AH275,0)*IFERROR($AE275/$AF275,0)*IFERROR($AC275/$AD275,0))</f>
        <v/>
      </c>
      <c r="AN275" t="str">
        <f>IF($A275="","",$I275-($AI275+$AJ275+$AK275+$AL275+$AM275+$AR275))</f>
        <v/>
      </c>
      <c r="AO275" t="str">
        <f>IF($A275="","",Allocation2!AE275)</f>
        <v/>
      </c>
      <c r="AP275" t="str">
        <f>IF($A275="","",IF(ALLOC!$N$2="VOL_EFF",$Q275,IF(ALLOC!$N$2="VOL_CLASS",$R275,$S275)))</f>
        <v/>
      </c>
      <c r="AQ275" t="str">
        <f>IF($A275="","",IF(ALLOC!$N$2="VOL_EFF",$T275,IF(ALLOC!$N$2="VOL_CLASS",$U275,$V275)))</f>
        <v/>
      </c>
      <c r="AR275" t="str">
        <f>IF($A275="","",$AO275*IFERROR($AP275/$AQ275,0)*IFERROR($AE275/$AF275,0)*IFERROR($AC275/$AD275,0))</f>
        <v/>
      </c>
    </row>
    <row r="276" spans="1:46" x14ac:dyDescent="0.45">
      <c r="A276" t="str">
        <f>IF(Allocation2!D276="","",Allocation2!D276)</f>
        <v/>
      </c>
      <c r="B276" t="str">
        <f>IF(Allocation2!E276="","",Allocation2!E276)</f>
        <v/>
      </c>
      <c r="C276" t="str">
        <f>IF(Allocation2!F276="","",Allocation2!F276)</f>
        <v/>
      </c>
      <c r="D276" t="str">
        <f>IF(Allocation2!G276="","",Allocation2!G276)</f>
        <v/>
      </c>
      <c r="E276" t="str">
        <f>IF(Allocation2!H276="","",Allocation2!H276)</f>
        <v/>
      </c>
      <c r="F276" t="str">
        <f>IF(Allocation2!I276="","",Allocation2!I276)</f>
        <v/>
      </c>
      <c r="G276" t="str">
        <f>IF(Allocation2!E276="","",Allocation2!J276)</f>
        <v/>
      </c>
      <c r="H276" t="str">
        <f>IF(Allocation2!E276="","",Allocation2!K276)</f>
        <v/>
      </c>
      <c r="I276" t="str">
        <f>IF(Allocation2!E276="","",Allocation2!L276)</f>
        <v/>
      </c>
      <c r="J276" t="str">
        <f>IF($A276="","",Allocation2!X276)</f>
        <v/>
      </c>
      <c r="K276" t="str">
        <f>IF($A276="","",$H276*IF(AND(LEFT($D276,3)="BAC",$F276="INIT"),600,IF(LEFT($D276,3)="BAC",480,IF(AND(LEFT($D276,3)="MAS",$F276="INIT"),520,IF(LEFT($D276,3)="MAS",420,IF($F276="INIT",1000,700))))))</f>
        <v/>
      </c>
      <c r="L276" t="str">
        <f>IF($A276="","",SUMIFS($G$1:$G$349,$A$1:$A$349,$A276,$B$1:$B$349,$B276))</f>
        <v/>
      </c>
      <c r="M276" t="str">
        <f>IF($A276="","",SUMIFS($H$1:$H$349,$A$1:$A$349,$A276,$B$1:$B$349,$B276))</f>
        <v/>
      </c>
      <c r="N276" t="str">
        <f>IF($A276="","",SUMIFS($I$1:$I$349,$A$1:$A$349,$A276,$B$1:$B$349,$B276))</f>
        <v/>
      </c>
      <c r="O276" t="str">
        <f>IF($A276="","",SUMIFS($K$1:$K$349,$A$1:$A$349,$A276,$B$1:$B$349,$B276))</f>
        <v/>
      </c>
      <c r="P276" t="str">
        <f>IF($A276="","",SUMIFS($J$1:$J$349,$A$1:$A$349,$A276,$B$1:$B$349,$B276))</f>
        <v/>
      </c>
      <c r="Q276" t="str">
        <f>IF($A276="","",SUMIFS($G$1:$G$349,$A$1:$A$349,$A276,$C$1:$C$349,$C276))</f>
        <v/>
      </c>
      <c r="R276" t="str">
        <f>IF($A276="","",SUMIFS($H$1:$H$349,$A$1:$A$349,$A276,$C$1:$C$349,$C276))</f>
        <v/>
      </c>
      <c r="S276" t="str">
        <f>IF($A276="","",SUMIFS($I$1:$I$349,$A$1:$A$349,$A276,$C$1:$C$349,$C276))</f>
        <v/>
      </c>
      <c r="T276" t="str">
        <f>IF($A276="","",SUMIFS($G$1:$G$349,$A$1:$A$349,$A276))</f>
        <v/>
      </c>
      <c r="U276" t="str">
        <f>IF($A276="","",SUMIFS($H$1:$H$349,$A$1:$A$349,$A276))</f>
        <v/>
      </c>
      <c r="V276" t="str">
        <f>IF($A276="","",SUMIFS($I$1:$I$349,$A$1:$A$349,$A276))</f>
        <v/>
      </c>
      <c r="W276" t="str">
        <f>IF($A276="","",Allocation2!Y276)</f>
        <v/>
      </c>
      <c r="X276" t="str">
        <f>IF($A276="","",Allocation2!Z276)</f>
        <v/>
      </c>
      <c r="Y276" t="str">
        <f>IF($A276="","",Allocation2!AA276)</f>
        <v/>
      </c>
      <c r="Z276" t="str">
        <f>IF($A276="","",Allocation2!AB276)</f>
        <v/>
      </c>
      <c r="AA276" t="str">
        <f>IF($A276="","",Allocation2!AC276)</f>
        <v/>
      </c>
      <c r="AB276" t="str">
        <f>IF($A276="","",Allocation2!AD276)</f>
        <v/>
      </c>
      <c r="AC276" t="str">
        <f>IF($A276="","",IF(ALLOC!$N$4="VOL_EFF",$G276,IF(ALLOC!$N$4="VOL_CLASS",$H276,$I276)))</f>
        <v/>
      </c>
      <c r="AD276" t="str">
        <f>IF($A276="","",IF(ALLOC!$N$4="VOL_EFF",$L276,IF(ALLOC!$N$4="VOL_CLASS",$M276,$N276)))</f>
        <v/>
      </c>
      <c r="AE276" t="str">
        <f>IF($A276="","",IF(ALLOC!$N$3="VOL_EFF",$L276,IF(ALLOC!$N$3="VOL_CLASS",$M276,$N276)))</f>
        <v/>
      </c>
      <c r="AF276" t="str">
        <f>IF($A276="","",IF(ALLOC!$N$3="VOL_EFF",$Q276,IF(ALLOC!$N$3="VOL_CLASS",$R276,$S276)))</f>
        <v/>
      </c>
      <c r="AG276" t="str">
        <f>IF($A276="","",IF(ALLOC!$N$1="VOL_EFF",$Q276,IF(ALLOC!$N$1="VOL_CLASS",$R276,$S276)))</f>
        <v/>
      </c>
      <c r="AH276" t="str">
        <f>IF($A276="","",IF(ALLOC!$N$1="VOL_EFF",$T276,IF(ALLOC!$N$1="VOL_CLASS",$U276,$V276)))</f>
        <v/>
      </c>
      <c r="AI276" t="str">
        <f>IF($A276="","",$W276*IFERROR($K276/$O276,0))</f>
        <v/>
      </c>
      <c r="AJ276" t="str">
        <f>IF($A276="","",$X276*IFERROR($K276/$O276,0))</f>
        <v/>
      </c>
      <c r="AK276" t="str">
        <f>IF($A276="","",$Y276*IFERROR($G276/$L276,0)+$Z276*IFERROR($J276/$P276,0))</f>
        <v/>
      </c>
      <c r="AL276" t="str">
        <f>IF($A276="","",$AA276*IFERROR($AC276/$AD276,0))</f>
        <v/>
      </c>
      <c r="AM276" t="str">
        <f>IF($A276="","",$AB276*IFERROR($AG276/$AH276,0)*IFERROR($AE276/$AF276,0)*IFERROR($AC276/$AD276,0))</f>
        <v/>
      </c>
      <c r="AN276" t="str">
        <f>IF($A276="","",$I276-($AI276+$AJ276+$AK276+$AL276+$AM276+$AR276))</f>
        <v/>
      </c>
      <c r="AO276" t="str">
        <f>IF($A276="","",Allocation2!AE276)</f>
        <v/>
      </c>
      <c r="AP276" t="str">
        <f>IF($A276="","",IF(ALLOC!$N$2="VOL_EFF",$Q276,IF(ALLOC!$N$2="VOL_CLASS",$R276,$S276)))</f>
        <v/>
      </c>
      <c r="AQ276" t="str">
        <f>IF($A276="","",IF(ALLOC!$N$2="VOL_EFF",$T276,IF(ALLOC!$N$2="VOL_CLASS",$U276,$V276)))</f>
        <v/>
      </c>
      <c r="AR276" t="str">
        <f>IF($A276="","",$AO276*IFERROR($AP276/$AQ276,0)*IFERROR($AE276/$AF276,0)*IFERROR($AC276/$AD276,0))</f>
        <v/>
      </c>
    </row>
    <row r="277" spans="1:46" x14ac:dyDescent="0.45">
      <c r="A277" t="str">
        <f>IF(Allocation2!D277="","",Allocation2!D277)</f>
        <v/>
      </c>
      <c r="B277" t="str">
        <f>IF(Allocation2!E277="","",Allocation2!E277)</f>
        <v/>
      </c>
      <c r="C277" t="str">
        <f>IF(Allocation2!F277="","",Allocation2!F277)</f>
        <v/>
      </c>
      <c r="D277" t="str">
        <f>IF(Allocation2!G277="","",Allocation2!G277)</f>
        <v/>
      </c>
      <c r="E277" t="str">
        <f>IF(Allocation2!H277="","",Allocation2!H277)</f>
        <v/>
      </c>
      <c r="F277" t="str">
        <f>IF(Allocation2!I277="","",Allocation2!I277)</f>
        <v/>
      </c>
      <c r="G277" t="str">
        <f>IF(Allocation2!E277="","",Allocation2!J277)</f>
        <v/>
      </c>
      <c r="H277" t="str">
        <f>IF(Allocation2!E277="","",Allocation2!K277)</f>
        <v/>
      </c>
      <c r="I277" t="str">
        <f>IF(Allocation2!E277="","",Allocation2!L277)</f>
        <v/>
      </c>
      <c r="J277" t="str">
        <f>IF($A277="","",Allocation2!X277)</f>
        <v/>
      </c>
      <c r="K277" t="str">
        <f>IF($A277="","",$H277*IF(AND(LEFT($D277,3)="BAC",$F277="INIT"),600,IF(LEFT($D277,3)="BAC",480,IF(AND(LEFT($D277,3)="MAS",$F277="INIT"),520,IF(LEFT($D277,3)="MAS",420,IF($F277="INIT",1000,700))))))</f>
        <v/>
      </c>
      <c r="L277" t="str">
        <f>IF($A277="","",SUMIFS($G$1:$G$349,$A$1:$A$349,$A277,$B$1:$B$349,$B277))</f>
        <v/>
      </c>
      <c r="M277" t="str">
        <f>IF($A277="","",SUMIFS($H$1:$H$349,$A$1:$A$349,$A277,$B$1:$B$349,$B277))</f>
        <v/>
      </c>
      <c r="N277" t="str">
        <f>IF($A277="","",SUMIFS($I$1:$I$349,$A$1:$A$349,$A277,$B$1:$B$349,$B277))</f>
        <v/>
      </c>
      <c r="O277" t="str">
        <f>IF($A277="","",SUMIFS($K$1:$K$349,$A$1:$A$349,$A277,$B$1:$B$349,$B277))</f>
        <v/>
      </c>
      <c r="P277" t="str">
        <f>IF($A277="","",SUMIFS($J$1:$J$349,$A$1:$A$349,$A277,$B$1:$B$349,$B277))</f>
        <v/>
      </c>
      <c r="Q277" t="str">
        <f>IF($A277="","",SUMIFS($G$1:$G$349,$A$1:$A$349,$A277,$C$1:$C$349,$C277))</f>
        <v/>
      </c>
      <c r="R277" t="str">
        <f>IF($A277="","",SUMIFS($H$1:$H$349,$A$1:$A$349,$A277,$C$1:$C$349,$C277))</f>
        <v/>
      </c>
      <c r="S277" t="str">
        <f>IF($A277="","",SUMIFS($I$1:$I$349,$A$1:$A$349,$A277,$C$1:$C$349,$C277))</f>
        <v/>
      </c>
      <c r="T277" t="str">
        <f>IF($A277="","",SUMIFS($G$1:$G$349,$A$1:$A$349,$A277))</f>
        <v/>
      </c>
      <c r="U277" t="str">
        <f>IF($A277="","",SUMIFS($H$1:$H$349,$A$1:$A$349,$A277))</f>
        <v/>
      </c>
      <c r="V277" t="str">
        <f>IF($A277="","",SUMIFS($I$1:$I$349,$A$1:$A$349,$A277))</f>
        <v/>
      </c>
      <c r="W277" t="str">
        <f>IF($A277="","",Allocation2!Y277)</f>
        <v/>
      </c>
      <c r="X277" t="str">
        <f>IF($A277="","",Allocation2!Z277)</f>
        <v/>
      </c>
      <c r="Y277" t="str">
        <f>IF($A277="","",Allocation2!AA277)</f>
        <v/>
      </c>
      <c r="Z277" t="str">
        <f>IF($A277="","",Allocation2!AB277)</f>
        <v/>
      </c>
      <c r="AA277" t="str">
        <f>IF($A277="","",Allocation2!AC277)</f>
        <v/>
      </c>
      <c r="AB277" t="str">
        <f>IF($A277="","",Allocation2!AD277)</f>
        <v/>
      </c>
      <c r="AC277" t="str">
        <f>IF($A277="","",IF(ALLOC!$N$4="VOL_EFF",$G277,IF(ALLOC!$N$4="VOL_CLASS",$H277,$I277)))</f>
        <v/>
      </c>
      <c r="AD277" t="str">
        <f>IF($A277="","",IF(ALLOC!$N$4="VOL_EFF",$L277,IF(ALLOC!$N$4="VOL_CLASS",$M277,$N277)))</f>
        <v/>
      </c>
      <c r="AE277" t="str">
        <f>IF($A277="","",IF(ALLOC!$N$3="VOL_EFF",$L277,IF(ALLOC!$N$3="VOL_CLASS",$M277,$N277)))</f>
        <v/>
      </c>
      <c r="AF277" t="str">
        <f>IF($A277="","",IF(ALLOC!$N$3="VOL_EFF",$Q277,IF(ALLOC!$N$3="VOL_CLASS",$R277,$S277)))</f>
        <v/>
      </c>
      <c r="AG277" t="str">
        <f>IF($A277="","",IF(ALLOC!$N$1="VOL_EFF",$Q277,IF(ALLOC!$N$1="VOL_CLASS",$R277,$S277)))</f>
        <v/>
      </c>
      <c r="AH277" t="str">
        <f>IF($A277="","",IF(ALLOC!$N$1="VOL_EFF",$T277,IF(ALLOC!$N$1="VOL_CLASS",$U277,$V277)))</f>
        <v/>
      </c>
      <c r="AI277" t="str">
        <f>IF($A277="","",$W277*IFERROR($K277/$O277,0))</f>
        <v/>
      </c>
      <c r="AJ277" t="str">
        <f>IF($A277="","",$X277*IFERROR($K277/$O277,0))</f>
        <v/>
      </c>
      <c r="AK277" t="str">
        <f>IF($A277="","",$Y277*IFERROR($G277/$L277,0)+$Z277*IFERROR($J277/$P277,0))</f>
        <v/>
      </c>
      <c r="AL277" t="str">
        <f>IF($A277="","",$AA277*IFERROR($AC277/$AD277,0))</f>
        <v/>
      </c>
      <c r="AM277" t="str">
        <f>IF($A277="","",$AB277*IFERROR($AG277/$AH277,0)*IFERROR($AE277/$AF277,0)*IFERROR($AC277/$AD277,0))</f>
        <v/>
      </c>
      <c r="AN277" t="str">
        <f>IF($A277="","",$I277-($AI277+$AJ277+$AK277+$AL277+$AM277+$AR277))</f>
        <v/>
      </c>
      <c r="AO277" t="str">
        <f>IF($A277="","",Allocation2!AE277)</f>
        <v/>
      </c>
      <c r="AP277" t="str">
        <f>IF($A277="","",IF(ALLOC!$N$2="VOL_EFF",$Q277,IF(ALLOC!$N$2="VOL_CLASS",$R277,$S277)))</f>
        <v/>
      </c>
      <c r="AQ277" t="str">
        <f>IF($A277="","",IF(ALLOC!$N$2="VOL_EFF",$T277,IF(ALLOC!$N$2="VOL_CLASS",$U277,$V277)))</f>
        <v/>
      </c>
      <c r="AR277" t="str">
        <f>IF($A277="","",$AO277*IFERROR($AP277/$AQ277,0)*IFERROR($AE277/$AF277,0)*IFERROR($AC277/$AD277,0))</f>
        <v/>
      </c>
    </row>
    <row r="278" spans="1:46" x14ac:dyDescent="0.45">
      <c r="A278" t="str">
        <f>IF(Allocation2!D278="","",Allocation2!D278)</f>
        <v/>
      </c>
      <c r="B278" t="str">
        <f>IF(Allocation2!E278="","",Allocation2!E278)</f>
        <v/>
      </c>
      <c r="C278" t="str">
        <f>IF(Allocation2!F278="","",Allocation2!F278)</f>
        <v/>
      </c>
      <c r="D278" t="str">
        <f>IF(Allocation2!G278="","",Allocation2!G278)</f>
        <v/>
      </c>
      <c r="E278" t="str">
        <f>IF(Allocation2!H278="","",Allocation2!H278)</f>
        <v/>
      </c>
      <c r="F278" t="str">
        <f>IF(Allocation2!I278="","",Allocation2!I278)</f>
        <v/>
      </c>
      <c r="G278" t="str">
        <f>IF(Allocation2!E278="","",Allocation2!J278)</f>
        <v/>
      </c>
      <c r="H278" t="str">
        <f>IF(Allocation2!E278="","",Allocation2!K278)</f>
        <v/>
      </c>
      <c r="I278" t="str">
        <f>IF(Allocation2!E278="","",Allocation2!L278)</f>
        <v/>
      </c>
      <c r="J278" t="str">
        <f>IF($A278="","",Allocation2!X278)</f>
        <v/>
      </c>
      <c r="K278" t="str">
        <f>IF($A278="","",$H278*IF(AND(LEFT($D278,3)="BAC",$F278="INIT"),600,IF(LEFT($D278,3)="BAC",480,IF(AND(LEFT($D278,3)="MAS",$F278="INIT"),520,IF(LEFT($D278,3)="MAS",420,IF($F278="INIT",1000,700))))))</f>
        <v/>
      </c>
      <c r="L278" t="str">
        <f>IF($A278="","",SUMIFS($G$1:$G$349,$A$1:$A$349,$A278,$B$1:$B$349,$B278))</f>
        <v/>
      </c>
      <c r="M278" t="str">
        <f>IF($A278="","",SUMIFS($H$1:$H$349,$A$1:$A$349,$A278,$B$1:$B$349,$B278))</f>
        <v/>
      </c>
      <c r="N278" t="str">
        <f>IF($A278="","",SUMIFS($I$1:$I$349,$A$1:$A$349,$A278,$B$1:$B$349,$B278))</f>
        <v/>
      </c>
      <c r="O278" t="str">
        <f>IF($A278="","",SUMIFS($K$1:$K$349,$A$1:$A$349,$A278,$B$1:$B$349,$B278))</f>
        <v/>
      </c>
      <c r="P278" t="str">
        <f>IF($A278="","",SUMIFS($J$1:$J$349,$A$1:$A$349,$A278,$B$1:$B$349,$B278))</f>
        <v/>
      </c>
      <c r="Q278" t="str">
        <f>IF($A278="","",SUMIFS($G$1:$G$349,$A$1:$A$349,$A278,$C$1:$C$349,$C278))</f>
        <v/>
      </c>
      <c r="R278" t="str">
        <f>IF($A278="","",SUMIFS($H$1:$H$349,$A$1:$A$349,$A278,$C$1:$C$349,$C278))</f>
        <v/>
      </c>
      <c r="S278" t="str">
        <f>IF($A278="","",SUMIFS($I$1:$I$349,$A$1:$A$349,$A278,$C$1:$C$349,$C278))</f>
        <v/>
      </c>
      <c r="T278" t="str">
        <f>IF($A278="","",SUMIFS($G$1:$G$349,$A$1:$A$349,$A278))</f>
        <v/>
      </c>
      <c r="U278" t="str">
        <f>IF($A278="","",SUMIFS($H$1:$H$349,$A$1:$A$349,$A278))</f>
        <v/>
      </c>
      <c r="V278" t="str">
        <f>IF($A278="","",SUMIFS($I$1:$I$349,$A$1:$A$349,$A278))</f>
        <v/>
      </c>
      <c r="W278" t="str">
        <f>IF($A278="","",Allocation2!Y278)</f>
        <v/>
      </c>
      <c r="X278" t="str">
        <f>IF($A278="","",Allocation2!Z278)</f>
        <v/>
      </c>
      <c r="Y278" t="str">
        <f>IF($A278="","",Allocation2!AA278)</f>
        <v/>
      </c>
      <c r="Z278" t="str">
        <f>IF($A278="","",Allocation2!AB278)</f>
        <v/>
      </c>
      <c r="AA278" t="str">
        <f>IF($A278="","",Allocation2!AC278)</f>
        <v/>
      </c>
      <c r="AB278" t="str">
        <f>IF($A278="","",Allocation2!AD278)</f>
        <v/>
      </c>
      <c r="AC278" t="str">
        <f>IF($A278="","",IF(ALLOC!$N$4="VOL_EFF",$G278,IF(ALLOC!$N$4="VOL_CLASS",$H278,$I278)))</f>
        <v/>
      </c>
      <c r="AD278" t="str">
        <f>IF($A278="","",IF(ALLOC!$N$4="VOL_EFF",$L278,IF(ALLOC!$N$4="VOL_CLASS",$M278,$N278)))</f>
        <v/>
      </c>
      <c r="AE278" t="str">
        <f>IF($A278="","",IF(ALLOC!$N$3="VOL_EFF",$L278,IF(ALLOC!$N$3="VOL_CLASS",$M278,$N278)))</f>
        <v/>
      </c>
      <c r="AF278" t="str">
        <f>IF($A278="","",IF(ALLOC!$N$3="VOL_EFF",$Q278,IF(ALLOC!$N$3="VOL_CLASS",$R278,$S278)))</f>
        <v/>
      </c>
      <c r="AG278" t="str">
        <f>IF($A278="","",IF(ALLOC!$N$1="VOL_EFF",$Q278,IF(ALLOC!$N$1="VOL_CLASS",$R278,$S278)))</f>
        <v/>
      </c>
      <c r="AH278" t="str">
        <f>IF($A278="","",IF(ALLOC!$N$1="VOL_EFF",$T278,IF(ALLOC!$N$1="VOL_CLASS",$U278,$V278)))</f>
        <v/>
      </c>
      <c r="AI278" t="str">
        <f>IF($A278="","",$W278*IFERROR($K278/$O278,0))</f>
        <v/>
      </c>
      <c r="AJ278" t="str">
        <f>IF($A278="","",$X278*IFERROR($K278/$O278,0))</f>
        <v/>
      </c>
      <c r="AK278" t="str">
        <f>IF($A278="","",$Y278*IFERROR($G278/$L278,0)+$Z278*IFERROR($J278/$P278,0))</f>
        <v/>
      </c>
      <c r="AL278" t="str">
        <f>IF($A278="","",$AA278*IFERROR($AC278/$AD278,0))</f>
        <v/>
      </c>
      <c r="AM278" t="str">
        <f>IF($A278="","",$AB278*IFERROR($AG278/$AH278,0)*IFERROR($AE278/$AF278,0)*IFERROR($AC278/$AD278,0))</f>
        <v/>
      </c>
      <c r="AN278" t="str">
        <f>IF($A278="","",$I278-($AI278+$AJ278+$AK278+$AL278+$AM278+$AR278))</f>
        <v/>
      </c>
      <c r="AO278" t="str">
        <f>IF($A278="","",Allocation2!AE278)</f>
        <v/>
      </c>
      <c r="AP278" t="str">
        <f>IF($A278="","",IF(ALLOC!$N$2="VOL_EFF",$Q278,IF(ALLOC!$N$2="VOL_CLASS",$R278,$S278)))</f>
        <v/>
      </c>
      <c r="AQ278" t="str">
        <f>IF($A278="","",IF(ALLOC!$N$2="VOL_EFF",$T278,IF(ALLOC!$N$2="VOL_CLASS",$U278,$V278)))</f>
        <v/>
      </c>
      <c r="AR278" t="str">
        <f>IF($A278="","",$AO278*IFERROR($AP278/$AQ278,0)*IFERROR($AE278/$AF278,0)*IFERROR($AC278/$AD278,0))</f>
        <v/>
      </c>
    </row>
    <row r="279" spans="1:46" x14ac:dyDescent="0.45">
      <c r="A279" t="str">
        <f>IF(Allocation2!D279="","",Allocation2!D279)</f>
        <v/>
      </c>
      <c r="B279" t="str">
        <f>IF(Allocation2!E279="","",Allocation2!E279)</f>
        <v/>
      </c>
      <c r="C279" t="str">
        <f>IF(Allocation2!F279="","",Allocation2!F279)</f>
        <v/>
      </c>
      <c r="D279" t="str">
        <f>IF(Allocation2!G279="","",Allocation2!G279)</f>
        <v/>
      </c>
      <c r="E279" t="str">
        <f>IF(Allocation2!H279="","",Allocation2!H279)</f>
        <v/>
      </c>
      <c r="F279" t="str">
        <f>IF(Allocation2!I279="","",Allocation2!I279)</f>
        <v/>
      </c>
      <c r="G279" t="str">
        <f>IF(Allocation2!E279="","",Allocation2!J279)</f>
        <v/>
      </c>
      <c r="H279" t="str">
        <f>IF(Allocation2!E279="","",Allocation2!K279)</f>
        <v/>
      </c>
      <c r="I279" t="str">
        <f>IF(Allocation2!E279="","",Allocation2!L279)</f>
        <v/>
      </c>
      <c r="J279" t="str">
        <f>IF($A279="","",Allocation2!X279)</f>
        <v/>
      </c>
      <c r="K279" t="str">
        <f>IF($A279="","",$H279*IF(AND(LEFT($D279,3)="BAC",$F279="INIT"),600,IF(LEFT($D279,3)="BAC",480,IF(AND(LEFT($D279,3)="MAS",$F279="INIT"),520,IF(LEFT($D279,3)="MAS",420,IF($F279="INIT",1000,700))))))</f>
        <v/>
      </c>
      <c r="L279" t="str">
        <f>IF($A279="","",SUMIFS($G$1:$G$349,$A$1:$A$349,$A279,$B$1:$B$349,$B279))</f>
        <v/>
      </c>
      <c r="M279" t="str">
        <f>IF($A279="","",SUMIFS($H$1:$H$349,$A$1:$A$349,$A279,$B$1:$B$349,$B279))</f>
        <v/>
      </c>
      <c r="N279" t="str">
        <f>IF($A279="","",SUMIFS($I$1:$I$349,$A$1:$A$349,$A279,$B$1:$B$349,$B279))</f>
        <v/>
      </c>
      <c r="O279" t="str">
        <f>IF($A279="","",SUMIFS($K$1:$K$349,$A$1:$A$349,$A279,$B$1:$B$349,$B279))</f>
        <v/>
      </c>
      <c r="P279" t="str">
        <f>IF($A279="","",SUMIFS($J$1:$J$349,$A$1:$A$349,$A279,$B$1:$B$349,$B279))</f>
        <v/>
      </c>
      <c r="Q279" t="str">
        <f>IF($A279="","",SUMIFS($G$1:$G$349,$A$1:$A$349,$A279,$C$1:$C$349,$C279))</f>
        <v/>
      </c>
      <c r="R279" t="str">
        <f>IF($A279="","",SUMIFS($H$1:$H$349,$A$1:$A$349,$A279,$C$1:$C$349,$C279))</f>
        <v/>
      </c>
      <c r="S279" t="str">
        <f>IF($A279="","",SUMIFS($I$1:$I$349,$A$1:$A$349,$A279,$C$1:$C$349,$C279))</f>
        <v/>
      </c>
      <c r="T279" t="str">
        <f>IF($A279="","",SUMIFS($G$1:$G$349,$A$1:$A$349,$A279))</f>
        <v/>
      </c>
      <c r="U279" t="str">
        <f>IF($A279="","",SUMIFS($H$1:$H$349,$A$1:$A$349,$A279))</f>
        <v/>
      </c>
      <c r="V279" t="str">
        <f>IF($A279="","",SUMIFS($I$1:$I$349,$A$1:$A$349,$A279))</f>
        <v/>
      </c>
      <c r="W279" t="str">
        <f>IF($A279="","",Allocation2!Y279)</f>
        <v/>
      </c>
      <c r="X279" t="str">
        <f>IF($A279="","",Allocation2!Z279)</f>
        <v/>
      </c>
      <c r="Y279" t="str">
        <f>IF($A279="","",Allocation2!AA279)</f>
        <v/>
      </c>
      <c r="Z279" t="str">
        <f>IF($A279="","",Allocation2!AB279)</f>
        <v/>
      </c>
      <c r="AA279" t="str">
        <f>IF($A279="","",Allocation2!AC279)</f>
        <v/>
      </c>
      <c r="AB279" t="str">
        <f>IF($A279="","",Allocation2!AD279)</f>
        <v/>
      </c>
      <c r="AC279" t="str">
        <f>IF($A279="","",IF(ALLOC!$N$4="VOL_EFF",$G279,IF(ALLOC!$N$4="VOL_CLASS",$H279,$I279)))</f>
        <v/>
      </c>
      <c r="AD279" t="str">
        <f>IF($A279="","",IF(ALLOC!$N$4="VOL_EFF",$L279,IF(ALLOC!$N$4="VOL_CLASS",$M279,$N279)))</f>
        <v/>
      </c>
      <c r="AE279" t="str">
        <f>IF($A279="","",IF(ALLOC!$N$3="VOL_EFF",$L279,IF(ALLOC!$N$3="VOL_CLASS",$M279,$N279)))</f>
        <v/>
      </c>
      <c r="AF279" t="str">
        <f>IF($A279="","",IF(ALLOC!$N$3="VOL_EFF",$Q279,IF(ALLOC!$N$3="VOL_CLASS",$R279,$S279)))</f>
        <v/>
      </c>
      <c r="AG279" t="str">
        <f>IF($A279="","",IF(ALLOC!$N$1="VOL_EFF",$Q279,IF(ALLOC!$N$1="VOL_CLASS",$R279,$S279)))</f>
        <v/>
      </c>
      <c r="AH279" t="str">
        <f>IF($A279="","",IF(ALLOC!$N$1="VOL_EFF",$T279,IF(ALLOC!$N$1="VOL_CLASS",$U279,$V279)))</f>
        <v/>
      </c>
      <c r="AI279" t="str">
        <f>IF($A279="","",$W279*IFERROR($K279/$O279,0))</f>
        <v/>
      </c>
      <c r="AJ279" t="str">
        <f>IF($A279="","",$X279*IFERROR($K279/$O279,0))</f>
        <v/>
      </c>
      <c r="AK279" t="str">
        <f>IF($A279="","",$Y279*IFERROR($G279/$L279,0)+$Z279*IFERROR($J279/$P279,0))</f>
        <v/>
      </c>
      <c r="AL279" t="str">
        <f>IF($A279="","",$AA279*IFERROR($AC279/$AD279,0))</f>
        <v/>
      </c>
      <c r="AM279" t="str">
        <f>IF($A279="","",$AB279*IFERROR($AG279/$AH279,0)*IFERROR($AE279/$AF279,0)*IFERROR($AC279/$AD279,0))</f>
        <v/>
      </c>
      <c r="AN279" t="str">
        <f>IF($A279="","",$I279-($AI279+$AJ279+$AK279+$AL279+$AM279+$AR279))</f>
        <v/>
      </c>
      <c r="AO279" t="str">
        <f>IF($A279="","",Allocation2!AE279)</f>
        <v/>
      </c>
      <c r="AP279" t="str">
        <f>IF($A279="","",IF(ALLOC!$N$2="VOL_EFF",$Q279,IF(ALLOC!$N$2="VOL_CLASS",$R279,$S279)))</f>
        <v/>
      </c>
      <c r="AQ279" t="str">
        <f>IF($A279="","",IF(ALLOC!$N$2="VOL_EFF",$T279,IF(ALLOC!$N$2="VOL_CLASS",$U279,$V279)))</f>
        <v/>
      </c>
      <c r="AR279" t="str">
        <f>IF($A279="","",$AO279*IFERROR($AP279/$AQ279,0)*IFERROR($AE279/$AF279,0)*IFERROR($AC279/$AD279,0))</f>
        <v/>
      </c>
    </row>
    <row r="280" spans="1:46" x14ac:dyDescent="0.45">
      <c r="A280" t="str">
        <f>IF(Allocation2!D280="","",Allocation2!D280)</f>
        <v/>
      </c>
      <c r="B280" t="str">
        <f>IF(Allocation2!E280="","",Allocation2!E280)</f>
        <v/>
      </c>
      <c r="C280" t="str">
        <f>IF(Allocation2!F280="","",Allocation2!F280)</f>
        <v/>
      </c>
      <c r="D280" t="str">
        <f>IF(Allocation2!G280="","",Allocation2!G280)</f>
        <v/>
      </c>
      <c r="E280" t="str">
        <f>IF(Allocation2!H280="","",Allocation2!H280)</f>
        <v/>
      </c>
      <c r="F280" t="str">
        <f>IF(Allocation2!I280="","",Allocation2!I280)</f>
        <v/>
      </c>
      <c r="G280" t="str">
        <f>IF(Allocation2!E280="","",Allocation2!J280)</f>
        <v/>
      </c>
      <c r="H280" t="str">
        <f>IF(Allocation2!E280="","",Allocation2!K280)</f>
        <v/>
      </c>
      <c r="I280" t="str">
        <f>IF(Allocation2!E280="","",Allocation2!L280)</f>
        <v/>
      </c>
      <c r="J280" t="str">
        <f>IF($A280="","",Allocation2!X280)</f>
        <v/>
      </c>
      <c r="K280" t="str">
        <f>IF($A280="","",$H280*IF(AND(LEFT($D280,3)="BAC",$F280="INIT"),600,IF(LEFT($D280,3)="BAC",480,IF(AND(LEFT($D280,3)="MAS",$F280="INIT"),520,IF(LEFT($D280,3)="MAS",420,IF($F280="INIT",1000,700))))))</f>
        <v/>
      </c>
      <c r="L280" t="str">
        <f>IF($A280="","",SUMIFS($G$1:$G$349,$A$1:$A$349,$A280,$B$1:$B$349,$B280))</f>
        <v/>
      </c>
      <c r="M280" t="str">
        <f>IF($A280="","",SUMIFS($H$1:$H$349,$A$1:$A$349,$A280,$B$1:$B$349,$B280))</f>
        <v/>
      </c>
      <c r="N280" t="str">
        <f>IF($A280="","",SUMIFS($I$1:$I$349,$A$1:$A$349,$A280,$B$1:$B$349,$B280))</f>
        <v/>
      </c>
      <c r="O280" t="str">
        <f>IF($A280="","",SUMIFS($K$1:$K$349,$A$1:$A$349,$A280,$B$1:$B$349,$B280))</f>
        <v/>
      </c>
      <c r="P280" t="str">
        <f>IF($A280="","",SUMIFS($J$1:$J$349,$A$1:$A$349,$A280,$B$1:$B$349,$B280))</f>
        <v/>
      </c>
      <c r="Q280" t="str">
        <f>IF($A280="","",SUMIFS($G$1:$G$349,$A$1:$A$349,$A280,$C$1:$C$349,$C280))</f>
        <v/>
      </c>
      <c r="R280" t="str">
        <f>IF($A280="","",SUMIFS($H$1:$H$349,$A$1:$A$349,$A280,$C$1:$C$349,$C280))</f>
        <v/>
      </c>
      <c r="S280" t="str">
        <f>IF($A280="","",SUMIFS($I$1:$I$349,$A$1:$A$349,$A280,$C$1:$C$349,$C280))</f>
        <v/>
      </c>
      <c r="T280" t="str">
        <f>IF($A280="","",SUMIFS($G$1:$G$349,$A$1:$A$349,$A280))</f>
        <v/>
      </c>
      <c r="U280" t="str">
        <f>IF($A280="","",SUMIFS($H$1:$H$349,$A$1:$A$349,$A280))</f>
        <v/>
      </c>
      <c r="V280" t="str">
        <f>IF($A280="","",SUMIFS($I$1:$I$349,$A$1:$A$349,$A280))</f>
        <v/>
      </c>
      <c r="W280" t="str">
        <f>IF($A280="","",Allocation2!Y280)</f>
        <v/>
      </c>
      <c r="X280" t="str">
        <f>IF($A280="","",Allocation2!Z280)</f>
        <v/>
      </c>
      <c r="Y280" t="str">
        <f>IF($A280="","",Allocation2!AA280)</f>
        <v/>
      </c>
      <c r="Z280" t="str">
        <f>IF($A280="","",Allocation2!AB280)</f>
        <v/>
      </c>
      <c r="AA280" t="str">
        <f>IF($A280="","",Allocation2!AC280)</f>
        <v/>
      </c>
      <c r="AB280" t="str">
        <f>IF($A280="","",Allocation2!AD280)</f>
        <v/>
      </c>
      <c r="AC280" t="str">
        <f>IF($A280="","",IF(ALLOC!$N$4="VOL_EFF",$G280,IF(ALLOC!$N$4="VOL_CLASS",$H280,$I280)))</f>
        <v/>
      </c>
      <c r="AD280" t="str">
        <f>IF($A280="","",IF(ALLOC!$N$4="VOL_EFF",$L280,IF(ALLOC!$N$4="VOL_CLASS",$M280,$N280)))</f>
        <v/>
      </c>
      <c r="AE280" t="str">
        <f>IF($A280="","",IF(ALLOC!$N$3="VOL_EFF",$L280,IF(ALLOC!$N$3="VOL_CLASS",$M280,$N280)))</f>
        <v/>
      </c>
      <c r="AF280" t="str">
        <f>IF($A280="","",IF(ALLOC!$N$3="VOL_EFF",$Q280,IF(ALLOC!$N$3="VOL_CLASS",$R280,$S280)))</f>
        <v/>
      </c>
      <c r="AG280" t="str">
        <f>IF($A280="","",IF(ALLOC!$N$1="VOL_EFF",$Q280,IF(ALLOC!$N$1="VOL_CLASS",$R280,$S280)))</f>
        <v/>
      </c>
      <c r="AH280" t="str">
        <f>IF($A280="","",IF(ALLOC!$N$1="VOL_EFF",$T280,IF(ALLOC!$N$1="VOL_CLASS",$U280,$V280)))</f>
        <v/>
      </c>
      <c r="AI280" t="str">
        <f>IF($A280="","",$W280*IFERROR($K280/$O280,0))</f>
        <v/>
      </c>
      <c r="AJ280" t="str">
        <f>IF($A280="","",$X280*IFERROR($K280/$O280,0))</f>
        <v/>
      </c>
      <c r="AK280" t="str">
        <f>IF($A280="","",$Y280*IFERROR($G280/$L280,0)+$Z280*IFERROR($J280/$P280,0))</f>
        <v/>
      </c>
      <c r="AL280" t="str">
        <f>IF($A280="","",$AA280*IFERROR($AC280/$AD280,0))</f>
        <v/>
      </c>
      <c r="AM280" t="str">
        <f>IF($A280="","",$AB280*IFERROR($AG280/$AH280,0)*IFERROR($AE280/$AF280,0)*IFERROR($AC280/$AD280,0))</f>
        <v/>
      </c>
      <c r="AN280" t="str">
        <f>IF($A280="","",$I280-($AI280+$AJ280+$AK280+$AL280+$AM280+$AR280))</f>
        <v/>
      </c>
      <c r="AO280" t="str">
        <f>IF($A280="","",Allocation2!AE280)</f>
        <v/>
      </c>
      <c r="AP280" t="str">
        <f>IF($A280="","",IF(ALLOC!$N$2="VOL_EFF",$Q280,IF(ALLOC!$N$2="VOL_CLASS",$R280,$S280)))</f>
        <v/>
      </c>
      <c r="AQ280" t="str">
        <f>IF($A280="","",IF(ALLOC!$N$2="VOL_EFF",$T280,IF(ALLOC!$N$2="VOL_CLASS",$U280,$V280)))</f>
        <v/>
      </c>
      <c r="AR280" t="str">
        <f>IF($A280="","",$AO280*IFERROR($AP280/$AQ280,0)*IFERROR($AE280/$AF280,0)*IFERROR($AC280/$AD280,0))</f>
        <v/>
      </c>
    </row>
    <row r="281" spans="1:46" x14ac:dyDescent="0.45">
      <c r="A281" t="str">
        <f>IF(Allocation2!D281="","",Allocation2!D281)</f>
        <v/>
      </c>
      <c r="B281" t="str">
        <f>IF(Allocation2!E281="","",Allocation2!E281)</f>
        <v/>
      </c>
      <c r="C281" t="str">
        <f>IF(Allocation2!F281="","",Allocation2!F281)</f>
        <v/>
      </c>
      <c r="D281" t="str">
        <f>IF(Allocation2!G281="","",Allocation2!G281)</f>
        <v/>
      </c>
      <c r="E281" t="str">
        <f>IF(Allocation2!H281="","",Allocation2!H281)</f>
        <v/>
      </c>
      <c r="F281" t="str">
        <f>IF(Allocation2!I281="","",Allocation2!I281)</f>
        <v/>
      </c>
      <c r="G281" t="str">
        <f>IF(Allocation2!E281="","",Allocation2!J281)</f>
        <v/>
      </c>
      <c r="H281" t="str">
        <f>IF(Allocation2!E281="","",Allocation2!K281)</f>
        <v/>
      </c>
      <c r="I281" t="str">
        <f>IF(Allocation2!E281="","",Allocation2!L281)</f>
        <v/>
      </c>
      <c r="J281" t="str">
        <f>IF($A281="","",Allocation2!X281)</f>
        <v/>
      </c>
      <c r="K281" t="str">
        <f>IF($A281="","",$H281*IF(AND(LEFT($D281,3)="BAC",$F281="INIT"),600,IF(LEFT($D281,3)="BAC",480,IF(AND(LEFT($D281,3)="MAS",$F281="INIT"),520,IF(LEFT($D281,3)="MAS",420,IF($F281="INIT",1000,700))))))</f>
        <v/>
      </c>
      <c r="L281" t="str">
        <f>IF($A281="","",SUMIFS($G$1:$G$349,$A$1:$A$349,$A281,$B$1:$B$349,$B281))</f>
        <v/>
      </c>
      <c r="M281" t="str">
        <f>IF($A281="","",SUMIFS($H$1:$H$349,$A$1:$A$349,$A281,$B$1:$B$349,$B281))</f>
        <v/>
      </c>
      <c r="N281" t="str">
        <f>IF($A281="","",SUMIFS($I$1:$I$349,$A$1:$A$349,$A281,$B$1:$B$349,$B281))</f>
        <v/>
      </c>
      <c r="O281" t="str">
        <f>IF($A281="","",SUMIFS($K$1:$K$349,$A$1:$A$349,$A281,$B$1:$B$349,$B281))</f>
        <v/>
      </c>
      <c r="P281" t="str">
        <f>IF($A281="","",SUMIFS($J$1:$J$349,$A$1:$A$349,$A281,$B$1:$B$349,$B281))</f>
        <v/>
      </c>
      <c r="Q281" t="str">
        <f>IF($A281="","",SUMIFS($G$1:$G$349,$A$1:$A$349,$A281,$C$1:$C$349,$C281))</f>
        <v/>
      </c>
      <c r="R281" t="str">
        <f>IF($A281="","",SUMIFS($H$1:$H$349,$A$1:$A$349,$A281,$C$1:$C$349,$C281))</f>
        <v/>
      </c>
      <c r="S281" t="str">
        <f>IF($A281="","",SUMIFS($I$1:$I$349,$A$1:$A$349,$A281,$C$1:$C$349,$C281))</f>
        <v/>
      </c>
      <c r="T281" t="str">
        <f>IF($A281="","",SUMIFS($G$1:$G$349,$A$1:$A$349,$A281))</f>
        <v/>
      </c>
      <c r="U281" t="str">
        <f>IF($A281="","",SUMIFS($H$1:$H$349,$A$1:$A$349,$A281))</f>
        <v/>
      </c>
      <c r="V281" t="str">
        <f>IF($A281="","",SUMIFS($I$1:$I$349,$A$1:$A$349,$A281))</f>
        <v/>
      </c>
      <c r="W281" t="str">
        <f>IF($A281="","",Allocation2!Y281)</f>
        <v/>
      </c>
      <c r="X281" t="str">
        <f>IF($A281="","",Allocation2!Z281)</f>
        <v/>
      </c>
      <c r="Y281" t="str">
        <f>IF($A281="","",Allocation2!AA281)</f>
        <v/>
      </c>
      <c r="Z281" t="str">
        <f>IF($A281="","",Allocation2!AB281)</f>
        <v/>
      </c>
      <c r="AA281" t="str">
        <f>IF($A281="","",Allocation2!AC281)</f>
        <v/>
      </c>
      <c r="AB281" t="str">
        <f>IF($A281="","",Allocation2!AD281)</f>
        <v/>
      </c>
      <c r="AC281" t="str">
        <f>IF($A281="","",IF(ALLOC!$N$4="VOL_EFF",$G281,IF(ALLOC!$N$4="VOL_CLASS",$H281,$I281)))</f>
        <v/>
      </c>
      <c r="AD281" t="str">
        <f>IF($A281="","",IF(ALLOC!$N$4="VOL_EFF",$L281,IF(ALLOC!$N$4="VOL_CLASS",$M281,$N281)))</f>
        <v/>
      </c>
      <c r="AE281" t="str">
        <f>IF($A281="","",IF(ALLOC!$N$3="VOL_EFF",$L281,IF(ALLOC!$N$3="VOL_CLASS",$M281,$N281)))</f>
        <v/>
      </c>
      <c r="AF281" t="str">
        <f>IF($A281="","",IF(ALLOC!$N$3="VOL_EFF",$Q281,IF(ALLOC!$N$3="VOL_CLASS",$R281,$S281)))</f>
        <v/>
      </c>
      <c r="AG281" t="str">
        <f>IF($A281="","",IF(ALLOC!$N$1="VOL_EFF",$Q281,IF(ALLOC!$N$1="VOL_CLASS",$R281,$S281)))</f>
        <v/>
      </c>
      <c r="AH281" t="str">
        <f>IF($A281="","",IF(ALLOC!$N$1="VOL_EFF",$T281,IF(ALLOC!$N$1="VOL_CLASS",$U281,$V281)))</f>
        <v/>
      </c>
      <c r="AI281" t="str">
        <f>IF($A281="","",$W281*IFERROR($K281/$O281,0))</f>
        <v/>
      </c>
      <c r="AJ281" t="str">
        <f>IF($A281="","",$X281*IFERROR($K281/$O281,0))</f>
        <v/>
      </c>
      <c r="AK281" t="str">
        <f>IF($A281="","",$Y281*IFERROR($G281/$L281,0)+$Z281*IFERROR($J281/$P281,0))</f>
        <v/>
      </c>
      <c r="AL281" t="str">
        <f>IF($A281="","",$AA281*IFERROR($AC281/$AD281,0))</f>
        <v/>
      </c>
      <c r="AM281" t="str">
        <f>IF($A281="","",$AB281*IFERROR($AG281/$AH281,0)*IFERROR($AE281/$AF281,0)*IFERROR($AC281/$AD281,0))</f>
        <v/>
      </c>
      <c r="AN281" t="str">
        <f>IF($A281="","",$I281-($AI281+$AJ281+$AK281+$AL281+$AM281+$AR281))</f>
        <v/>
      </c>
      <c r="AO281" t="str">
        <f>IF($A281="","",Allocation2!AE281)</f>
        <v/>
      </c>
      <c r="AP281" t="str">
        <f>IF($A281="","",IF(ALLOC!$N$2="VOL_EFF",$Q281,IF(ALLOC!$N$2="VOL_CLASS",$R281,$S281)))</f>
        <v/>
      </c>
      <c r="AQ281" t="str">
        <f>IF($A281="","",IF(ALLOC!$N$2="VOL_EFF",$T281,IF(ALLOC!$N$2="VOL_CLASS",$U281,$V281)))</f>
        <v/>
      </c>
      <c r="AR281" t="str">
        <f>IF($A281="","",$AO281*IFERROR($AP281/$AQ281,0)*IFERROR($AE281/$AF281,0)*IFERROR($AC281/$AD281,0))</f>
        <v/>
      </c>
    </row>
    <row r="282" spans="1:46" x14ac:dyDescent="0.45">
      <c r="A282" t="str">
        <f>IF(Allocation2!D282="","",Allocation2!D282)</f>
        <v/>
      </c>
      <c r="B282" t="str">
        <f>IF(Allocation2!E282="","",Allocation2!E282)</f>
        <v/>
      </c>
      <c r="C282" t="str">
        <f>IF(Allocation2!F282="","",Allocation2!F282)</f>
        <v/>
      </c>
      <c r="D282" t="str">
        <f>IF(Allocation2!G282="","",Allocation2!G282)</f>
        <v/>
      </c>
      <c r="E282" t="str">
        <f>IF(Allocation2!H282="","",Allocation2!H282)</f>
        <v/>
      </c>
      <c r="F282" t="str">
        <f>IF(Allocation2!I282="","",Allocation2!I282)</f>
        <v/>
      </c>
      <c r="G282" t="str">
        <f>IF(Allocation2!E282="","",Allocation2!J282)</f>
        <v/>
      </c>
      <c r="H282" t="str">
        <f>IF(Allocation2!E282="","",Allocation2!K282)</f>
        <v/>
      </c>
      <c r="I282" t="str">
        <f>IF(Allocation2!E282="","",Allocation2!L282)</f>
        <v/>
      </c>
      <c r="J282" t="str">
        <f>IF($A282="","",Allocation2!X282)</f>
        <v/>
      </c>
      <c r="K282" t="str">
        <f>IF($A282="","",$H282*IF(AND(LEFT($D282,3)="BAC",$F282="INIT"),600,IF(LEFT($D282,3)="BAC",480,IF(AND(LEFT($D282,3)="MAS",$F282="INIT"),520,IF(LEFT($D282,3)="MAS",420,IF($F282="INIT",1000,700))))))</f>
        <v/>
      </c>
      <c r="L282" t="str">
        <f>IF($A282="","",SUMIFS($G$1:$G$349,$A$1:$A$349,$A282,$B$1:$B$349,$B282))</f>
        <v/>
      </c>
      <c r="M282" t="str">
        <f>IF($A282="","",SUMIFS($H$1:$H$349,$A$1:$A$349,$A282,$B$1:$B$349,$B282))</f>
        <v/>
      </c>
      <c r="N282" t="str">
        <f>IF($A282="","",SUMIFS($I$1:$I$349,$A$1:$A$349,$A282,$B$1:$B$349,$B282))</f>
        <v/>
      </c>
      <c r="O282" t="str">
        <f>IF($A282="","",SUMIFS($K$1:$K$349,$A$1:$A$349,$A282,$B$1:$B$349,$B282))</f>
        <v/>
      </c>
      <c r="P282" t="str">
        <f>IF($A282="","",SUMIFS($J$1:$J$349,$A$1:$A$349,$A282,$B$1:$B$349,$B282))</f>
        <v/>
      </c>
      <c r="Q282" t="str">
        <f>IF($A282="","",SUMIFS($G$1:$G$349,$A$1:$A$349,$A282,$C$1:$C$349,$C282))</f>
        <v/>
      </c>
      <c r="R282" t="str">
        <f>IF($A282="","",SUMIFS($H$1:$H$349,$A$1:$A$349,$A282,$C$1:$C$349,$C282))</f>
        <v/>
      </c>
      <c r="S282" t="str">
        <f>IF($A282="","",SUMIFS($I$1:$I$349,$A$1:$A$349,$A282,$C$1:$C$349,$C282))</f>
        <v/>
      </c>
      <c r="T282" t="str">
        <f>IF($A282="","",SUMIFS($G$1:$G$349,$A$1:$A$349,$A282))</f>
        <v/>
      </c>
      <c r="U282" t="str">
        <f>IF($A282="","",SUMIFS($H$1:$H$349,$A$1:$A$349,$A282))</f>
        <v/>
      </c>
      <c r="V282" t="str">
        <f>IF($A282="","",SUMIFS($I$1:$I$349,$A$1:$A$349,$A282))</f>
        <v/>
      </c>
      <c r="W282" t="str">
        <f>IF($A282="","",Allocation2!Y282)</f>
        <v/>
      </c>
      <c r="X282" t="str">
        <f>IF($A282="","",Allocation2!Z282)</f>
        <v/>
      </c>
      <c r="Y282" t="str">
        <f>IF($A282="","",Allocation2!AA282)</f>
        <v/>
      </c>
      <c r="Z282" t="str">
        <f>IF($A282="","",Allocation2!AB282)</f>
        <v/>
      </c>
      <c r="AA282" t="str">
        <f>IF($A282="","",Allocation2!AC282)</f>
        <v/>
      </c>
      <c r="AB282" t="str">
        <f>IF($A282="","",Allocation2!AD282)</f>
        <v/>
      </c>
      <c r="AC282" t="str">
        <f>IF($A282="","",IF(ALLOC!$N$4="VOL_EFF",$G282,IF(ALLOC!$N$4="VOL_CLASS",$H282,$I282)))</f>
        <v/>
      </c>
      <c r="AD282" t="str">
        <f>IF($A282="","",IF(ALLOC!$N$4="VOL_EFF",$L282,IF(ALLOC!$N$4="VOL_CLASS",$M282,$N282)))</f>
        <v/>
      </c>
      <c r="AE282" t="str">
        <f>IF($A282="","",IF(ALLOC!$N$3="VOL_EFF",$L282,IF(ALLOC!$N$3="VOL_CLASS",$M282,$N282)))</f>
        <v/>
      </c>
      <c r="AF282" t="str">
        <f>IF($A282="","",IF(ALLOC!$N$3="VOL_EFF",$Q282,IF(ALLOC!$N$3="VOL_CLASS",$R282,$S282)))</f>
        <v/>
      </c>
      <c r="AG282" t="str">
        <f>IF($A282="","",IF(ALLOC!$N$1="VOL_EFF",$Q282,IF(ALLOC!$N$1="VOL_CLASS",$R282,$S282)))</f>
        <v/>
      </c>
      <c r="AH282" t="str">
        <f>IF($A282="","",IF(ALLOC!$N$1="VOL_EFF",$T282,IF(ALLOC!$N$1="VOL_CLASS",$U282,$V282)))</f>
        <v/>
      </c>
      <c r="AI282" t="str">
        <f>IF($A282="","",$W282*IFERROR($K282/$O282,0))</f>
        <v/>
      </c>
      <c r="AJ282" t="str">
        <f>IF($A282="","",$X282*IFERROR($K282/$O282,0))</f>
        <v/>
      </c>
      <c r="AK282" t="str">
        <f>IF($A282="","",$Y282*IFERROR($G282/$L282,0)+$Z282*IFERROR($J282/$P282,0))</f>
        <v/>
      </c>
      <c r="AL282" t="str">
        <f>IF($A282="","",$AA282*IFERROR($AC282/$AD282,0))</f>
        <v/>
      </c>
      <c r="AM282" t="str">
        <f>IF($A282="","",$AB282*IFERROR($AG282/$AH282,0)*IFERROR($AE282/$AF282,0)*IFERROR($AC282/$AD282,0))</f>
        <v/>
      </c>
      <c r="AN282" t="str">
        <f>IF($A282="","",$I282-($AI282+$AJ282+$AK282+$AL282+$AM282+$AR282))</f>
        <v/>
      </c>
      <c r="AO282" t="str">
        <f>IF($A282="","",Allocation2!AE282)</f>
        <v/>
      </c>
      <c r="AP282" t="str">
        <f>IF($A282="","",IF(ALLOC!$N$2="VOL_EFF",$Q282,IF(ALLOC!$N$2="VOL_CLASS",$R282,$S282)))</f>
        <v/>
      </c>
      <c r="AQ282" t="str">
        <f>IF($A282="","",IF(ALLOC!$N$2="VOL_EFF",$T282,IF(ALLOC!$N$2="VOL_CLASS",$U282,$V282)))</f>
        <v/>
      </c>
      <c r="AR282" t="str">
        <f>IF($A282="","",$AO282*IFERROR($AP282/$AQ282,0)*IFERROR($AE282/$AF282,0)*IFERROR($AC282/$AD282,0))</f>
        <v/>
      </c>
    </row>
    <row r="283" spans="1:46" x14ac:dyDescent="0.45">
      <c r="A283" t="str">
        <f>IF(Allocation2!D283="","",Allocation2!D283)</f>
        <v/>
      </c>
      <c r="B283" t="str">
        <f>IF(Allocation2!E283="","",Allocation2!E283)</f>
        <v/>
      </c>
      <c r="C283" t="str">
        <f>IF(Allocation2!F283="","",Allocation2!F283)</f>
        <v/>
      </c>
      <c r="D283" t="str">
        <f>IF(Allocation2!G283="","",Allocation2!G283)</f>
        <v/>
      </c>
      <c r="E283" t="str">
        <f>IF(Allocation2!H283="","",Allocation2!H283)</f>
        <v/>
      </c>
      <c r="F283" t="str">
        <f>IF(Allocation2!I283="","",Allocation2!I283)</f>
        <v/>
      </c>
      <c r="G283" t="str">
        <f>IF(Allocation2!E283="","",Allocation2!J283)</f>
        <v/>
      </c>
      <c r="H283" t="str">
        <f>IF(Allocation2!E283="","",Allocation2!K283)</f>
        <v/>
      </c>
      <c r="I283" t="str">
        <f>IF(Allocation2!E283="","",Allocation2!L283)</f>
        <v/>
      </c>
      <c r="J283" t="str">
        <f>IF($A283="","",Allocation2!X283)</f>
        <v/>
      </c>
      <c r="K283" t="str">
        <f>IF($A283="","",$H283*IF(AND(LEFT($D283,3)="BAC",$F283="INIT"),600,IF(LEFT($D283,3)="BAC",480,IF(AND(LEFT($D283,3)="MAS",$F283="INIT"),520,IF(LEFT($D283,3)="MAS",420,IF($F283="INIT",1000,700))))))</f>
        <v/>
      </c>
      <c r="L283" t="str">
        <f>IF($A283="","",SUMIFS($G$1:$G$349,$A$1:$A$349,$A283,$B$1:$B$349,$B283))</f>
        <v/>
      </c>
      <c r="M283" t="str">
        <f>IF($A283="","",SUMIFS($H$1:$H$349,$A$1:$A$349,$A283,$B$1:$B$349,$B283))</f>
        <v/>
      </c>
      <c r="N283" t="str">
        <f>IF($A283="","",SUMIFS($I$1:$I$349,$A$1:$A$349,$A283,$B$1:$B$349,$B283))</f>
        <v/>
      </c>
      <c r="O283" t="str">
        <f>IF($A283="","",SUMIFS($K$1:$K$349,$A$1:$A$349,$A283,$B$1:$B$349,$B283))</f>
        <v/>
      </c>
      <c r="P283" t="str">
        <f>IF($A283="","",SUMIFS($J$1:$J$349,$A$1:$A$349,$A283,$B$1:$B$349,$B283))</f>
        <v/>
      </c>
      <c r="Q283" t="str">
        <f>IF($A283="","",SUMIFS($G$1:$G$349,$A$1:$A$349,$A283,$C$1:$C$349,$C283))</f>
        <v/>
      </c>
      <c r="R283" t="str">
        <f>IF($A283="","",SUMIFS($H$1:$H$349,$A$1:$A$349,$A283,$C$1:$C$349,$C283))</f>
        <v/>
      </c>
      <c r="S283" t="str">
        <f>IF($A283="","",SUMIFS($I$1:$I$349,$A$1:$A$349,$A283,$C$1:$C$349,$C283))</f>
        <v/>
      </c>
      <c r="T283" t="str">
        <f>IF($A283="","",SUMIFS($G$1:$G$349,$A$1:$A$349,$A283))</f>
        <v/>
      </c>
      <c r="U283" t="str">
        <f>IF($A283="","",SUMIFS($H$1:$H$349,$A$1:$A$349,$A283))</f>
        <v/>
      </c>
      <c r="V283" t="str">
        <f>IF($A283="","",SUMIFS($I$1:$I$349,$A$1:$A$349,$A283))</f>
        <v/>
      </c>
      <c r="W283" t="str">
        <f>IF($A283="","",Allocation2!Y283)</f>
        <v/>
      </c>
      <c r="X283" t="str">
        <f>IF($A283="","",Allocation2!Z283)</f>
        <v/>
      </c>
      <c r="Y283" t="str">
        <f>IF($A283="","",Allocation2!AA283)</f>
        <v/>
      </c>
      <c r="Z283" t="str">
        <f>IF($A283="","",Allocation2!AB283)</f>
        <v/>
      </c>
      <c r="AA283" t="str">
        <f>IF($A283="","",Allocation2!AC283)</f>
        <v/>
      </c>
      <c r="AB283" t="str">
        <f>IF($A283="","",Allocation2!AD283)</f>
        <v/>
      </c>
      <c r="AC283" t="str">
        <f>IF($A283="","",IF(ALLOC!$N$4="VOL_EFF",$G283,IF(ALLOC!$N$4="VOL_CLASS",$H283,$I283)))</f>
        <v/>
      </c>
      <c r="AD283" t="str">
        <f>IF($A283="","",IF(ALLOC!$N$4="VOL_EFF",$L283,IF(ALLOC!$N$4="VOL_CLASS",$M283,$N283)))</f>
        <v/>
      </c>
      <c r="AE283" t="str">
        <f>IF($A283="","",IF(ALLOC!$N$3="VOL_EFF",$L283,IF(ALLOC!$N$3="VOL_CLASS",$M283,$N283)))</f>
        <v/>
      </c>
      <c r="AF283" t="str">
        <f>IF($A283="","",IF(ALLOC!$N$3="VOL_EFF",$Q283,IF(ALLOC!$N$3="VOL_CLASS",$R283,$S283)))</f>
        <v/>
      </c>
      <c r="AG283" t="str">
        <f>IF($A283="","",IF(ALLOC!$N$1="VOL_EFF",$Q283,IF(ALLOC!$N$1="VOL_CLASS",$R283,$S283)))</f>
        <v/>
      </c>
      <c r="AH283" t="str">
        <f>IF($A283="","",IF(ALLOC!$N$1="VOL_EFF",$T283,IF(ALLOC!$N$1="VOL_CLASS",$U283,$V283)))</f>
        <v/>
      </c>
      <c r="AI283" t="str">
        <f>IF($A283="","",$W283*IFERROR($K283/$O283,0))</f>
        <v/>
      </c>
      <c r="AJ283" t="str">
        <f>IF($A283="","",$X283*IFERROR($K283/$O283,0))</f>
        <v/>
      </c>
      <c r="AK283" t="str">
        <f>IF($A283="","",$Y283*IFERROR($G283/$L283,0)+$Z283*IFERROR($J283/$P283,0))</f>
        <v/>
      </c>
      <c r="AL283" t="str">
        <f>IF($A283="","",$AA283*IFERROR($AC283/$AD283,0))</f>
        <v/>
      </c>
      <c r="AM283" t="str">
        <f>IF($A283="","",$AB283*IFERROR($AG283/$AH283,0)*IFERROR($AE283/$AF283,0)*IFERROR($AC283/$AD283,0))</f>
        <v/>
      </c>
      <c r="AN283" t="str">
        <f>IF($A283="","",$I283-($AI283+$AJ283+$AK283+$AL283+$AM283+$AR283))</f>
        <v/>
      </c>
      <c r="AO283" t="str">
        <f>IF($A283="","",Allocation2!AE283)</f>
        <v/>
      </c>
      <c r="AP283" t="str">
        <f>IF($A283="","",IF(ALLOC!$N$2="VOL_EFF",$Q283,IF(ALLOC!$N$2="VOL_CLASS",$R283,$S283)))</f>
        <v/>
      </c>
      <c r="AQ283" t="str">
        <f>IF($A283="","",IF(ALLOC!$N$2="VOL_EFF",$T283,IF(ALLOC!$N$2="VOL_CLASS",$U283,$V283)))</f>
        <v/>
      </c>
      <c r="AR283" t="str">
        <f>IF($A283="","",$AO283*IFERROR($AP283/$AQ283,0)*IFERROR($AE283/$AF283,0)*IFERROR($AC283/$AD283,0))</f>
        <v/>
      </c>
    </row>
    <row r="284" spans="1:46" x14ac:dyDescent="0.45">
      <c r="A284" t="str">
        <f>IF(Allocation2!D284="","",Allocation2!D284)</f>
        <v/>
      </c>
      <c r="B284" t="str">
        <f>IF(Allocation2!E284="","",Allocation2!E284)</f>
        <v/>
      </c>
      <c r="C284" t="str">
        <f>IF(Allocation2!F284="","",Allocation2!F284)</f>
        <v/>
      </c>
      <c r="D284" t="str">
        <f>IF(Allocation2!G284="","",Allocation2!G284)</f>
        <v/>
      </c>
      <c r="E284" t="str">
        <f>IF(Allocation2!H284="","",Allocation2!H284)</f>
        <v/>
      </c>
      <c r="F284" t="str">
        <f>IF(Allocation2!I284="","",Allocation2!I284)</f>
        <v/>
      </c>
      <c r="G284" t="str">
        <f>IF(Allocation2!E284="","",Allocation2!J284)</f>
        <v/>
      </c>
      <c r="H284" t="str">
        <f>IF(Allocation2!E284="","",Allocation2!K284)</f>
        <v/>
      </c>
      <c r="I284" t="str">
        <f>IF(Allocation2!E284="","",Allocation2!L284)</f>
        <v/>
      </c>
      <c r="J284" t="str">
        <f>IF($A284="","",Allocation2!X284)</f>
        <v/>
      </c>
      <c r="K284" t="str">
        <f>IF($A284="","",$H284*IF(AND(LEFT($D284,3)="BAC",$F284="INIT"),600,IF(LEFT($D284,3)="BAC",480,IF(AND(LEFT($D284,3)="MAS",$F284="INIT"),520,IF(LEFT($D284,3)="MAS",420,IF($F284="INIT",1000,700))))))</f>
        <v/>
      </c>
      <c r="L284" t="str">
        <f>IF($A284="","",SUMIFS($G$1:$G$349,$A$1:$A$349,$A284,$B$1:$B$349,$B284))</f>
        <v/>
      </c>
      <c r="M284" t="str">
        <f>IF($A284="","",SUMIFS($H$1:$H$349,$A$1:$A$349,$A284,$B$1:$B$349,$B284))</f>
        <v/>
      </c>
      <c r="N284" t="str">
        <f>IF($A284="","",SUMIFS($I$1:$I$349,$A$1:$A$349,$A284,$B$1:$B$349,$B284))</f>
        <v/>
      </c>
      <c r="O284" t="str">
        <f>IF($A284="","",SUMIFS($K$1:$K$349,$A$1:$A$349,$A284,$B$1:$B$349,$B284))</f>
        <v/>
      </c>
      <c r="P284" t="str">
        <f>IF($A284="","",SUMIFS($J$1:$J$349,$A$1:$A$349,$A284,$B$1:$B$349,$B284))</f>
        <v/>
      </c>
      <c r="Q284" t="str">
        <f>IF($A284="","",SUMIFS($G$1:$G$349,$A$1:$A$349,$A284,$C$1:$C$349,$C284))</f>
        <v/>
      </c>
      <c r="R284" t="str">
        <f>IF($A284="","",SUMIFS($H$1:$H$349,$A$1:$A$349,$A284,$C$1:$C$349,$C284))</f>
        <v/>
      </c>
      <c r="S284" t="str">
        <f>IF($A284="","",SUMIFS($I$1:$I$349,$A$1:$A$349,$A284,$C$1:$C$349,$C284))</f>
        <v/>
      </c>
      <c r="T284" t="str">
        <f>IF($A284="","",SUMIFS($G$1:$G$349,$A$1:$A$349,$A284))</f>
        <v/>
      </c>
      <c r="U284" t="str">
        <f>IF($A284="","",SUMIFS($H$1:$H$349,$A$1:$A$349,$A284))</f>
        <v/>
      </c>
      <c r="V284" t="str">
        <f>IF($A284="","",SUMIFS($I$1:$I$349,$A$1:$A$349,$A284))</f>
        <v/>
      </c>
      <c r="W284" t="str">
        <f>IF($A284="","",Allocation2!Y284)</f>
        <v/>
      </c>
      <c r="X284" t="str">
        <f>IF($A284="","",Allocation2!Z284)</f>
        <v/>
      </c>
      <c r="Y284" t="str">
        <f>IF($A284="","",Allocation2!AA284)</f>
        <v/>
      </c>
      <c r="Z284" t="str">
        <f>IF($A284="","",Allocation2!AB284)</f>
        <v/>
      </c>
      <c r="AA284" t="str">
        <f>IF($A284="","",Allocation2!AC284)</f>
        <v/>
      </c>
      <c r="AB284" t="str">
        <f>IF($A284="","",Allocation2!AD284)</f>
        <v/>
      </c>
      <c r="AC284" t="str">
        <f>IF($A284="","",IF(ALLOC!$N$4="VOL_EFF",$G284,IF(ALLOC!$N$4="VOL_CLASS",$H284,$I284)))</f>
        <v/>
      </c>
      <c r="AD284" t="str">
        <f>IF($A284="","",IF(ALLOC!$N$4="VOL_EFF",$L284,IF(ALLOC!$N$4="VOL_CLASS",$M284,$N284)))</f>
        <v/>
      </c>
      <c r="AE284" t="str">
        <f>IF($A284="","",IF(ALLOC!$N$3="VOL_EFF",$L284,IF(ALLOC!$N$3="VOL_CLASS",$M284,$N284)))</f>
        <v/>
      </c>
      <c r="AF284" t="str">
        <f>IF($A284="","",IF(ALLOC!$N$3="VOL_EFF",$Q284,IF(ALLOC!$N$3="VOL_CLASS",$R284,$S284)))</f>
        <v/>
      </c>
      <c r="AG284" t="str">
        <f>IF($A284="","",IF(ALLOC!$N$1="VOL_EFF",$Q284,IF(ALLOC!$N$1="VOL_CLASS",$R284,$S284)))</f>
        <v/>
      </c>
      <c r="AH284" t="str">
        <f>IF($A284="","",IF(ALLOC!$N$1="VOL_EFF",$T284,IF(ALLOC!$N$1="VOL_CLASS",$U284,$V284)))</f>
        <v/>
      </c>
      <c r="AI284" t="str">
        <f>IF($A284="","",$W284*IFERROR($K284/$O284,0))</f>
        <v/>
      </c>
      <c r="AJ284" t="str">
        <f>IF($A284="","",$X284*IFERROR($K284/$O284,0))</f>
        <v/>
      </c>
      <c r="AK284" t="str">
        <f>IF($A284="","",$Y284*IFERROR($G284/$L284,0)+$Z284*IFERROR($J284/$P284,0))</f>
        <v/>
      </c>
      <c r="AL284" t="str">
        <f>IF($A284="","",$AA284*IFERROR($AC284/$AD284,0))</f>
        <v/>
      </c>
      <c r="AM284" t="str">
        <f>IF($A284="","",$AB284*IFERROR($AG284/$AH284,0)*IFERROR($AE284/$AF284,0)*IFERROR($AC284/$AD284,0))</f>
        <v/>
      </c>
      <c r="AN284" t="str">
        <f>IF($A284="","",$I284-($AI284+$AJ284+$AK284+$AL284+$AM284+$AR284))</f>
        <v/>
      </c>
      <c r="AO284" t="str">
        <f>IF($A284="","",Allocation2!AE284)</f>
        <v/>
      </c>
      <c r="AP284" t="str">
        <f>IF($A284="","",IF(ALLOC!$N$2="VOL_EFF",$Q284,IF(ALLOC!$N$2="VOL_CLASS",$R284,$S284)))</f>
        <v/>
      </c>
      <c r="AQ284" t="str">
        <f>IF($A284="","",IF(ALLOC!$N$2="VOL_EFF",$T284,IF(ALLOC!$N$2="VOL_CLASS",$U284,$V284)))</f>
        <v/>
      </c>
      <c r="AR284" t="str">
        <f>IF($A284="","",$AO284*IFERROR($AP284/$AQ284,0)*IFERROR($AE284/$AF284,0)*IFERROR($AC284/$AD284,0))</f>
        <v/>
      </c>
    </row>
    <row r="285" spans="1:46" x14ac:dyDescent="0.45">
      <c r="A285" t="str">
        <f>IF(Allocation2!D285="","",Allocation2!D285)</f>
        <v/>
      </c>
      <c r="B285" t="str">
        <f>IF(Allocation2!E285="","",Allocation2!E285)</f>
        <v/>
      </c>
      <c r="C285" t="str">
        <f>IF(Allocation2!F285="","",Allocation2!F285)</f>
        <v/>
      </c>
      <c r="D285" t="str">
        <f>IF(Allocation2!G285="","",Allocation2!G285)</f>
        <v/>
      </c>
      <c r="E285" t="str">
        <f>IF(Allocation2!H285="","",Allocation2!H285)</f>
        <v/>
      </c>
      <c r="F285" t="str">
        <f>IF(Allocation2!I285="","",Allocation2!I285)</f>
        <v/>
      </c>
      <c r="G285" t="str">
        <f>IF(Allocation2!E285="","",Allocation2!J285)</f>
        <v/>
      </c>
      <c r="H285" t="str">
        <f>IF(Allocation2!E285="","",Allocation2!K285)</f>
        <v/>
      </c>
      <c r="I285" t="str">
        <f>IF(Allocation2!E285="","",Allocation2!L285)</f>
        <v/>
      </c>
      <c r="J285" t="str">
        <f>IF($A285="","",Allocation2!X285)</f>
        <v/>
      </c>
      <c r="K285" t="str">
        <f>IF($A285="","",$H285*IF(AND(LEFT($D285,3)="BAC",$F285="INIT"),600,IF(LEFT($D285,3)="BAC",480,IF(AND(LEFT($D285,3)="MAS",$F285="INIT"),520,IF(LEFT($D285,3)="MAS",420,IF($F285="INIT",1000,700))))))</f>
        <v/>
      </c>
      <c r="L285" t="str">
        <f>IF($A285="","",SUMIFS($G$1:$G$349,$A$1:$A$349,$A285,$B$1:$B$349,$B285))</f>
        <v/>
      </c>
      <c r="M285" t="str">
        <f>IF($A285="","",SUMIFS($H$1:$H$349,$A$1:$A$349,$A285,$B$1:$B$349,$B285))</f>
        <v/>
      </c>
      <c r="N285" t="str">
        <f>IF($A285="","",SUMIFS($I$1:$I$349,$A$1:$A$349,$A285,$B$1:$B$349,$B285))</f>
        <v/>
      </c>
      <c r="O285" t="str">
        <f>IF($A285="","",SUMIFS($K$1:$K$349,$A$1:$A$349,$A285,$B$1:$B$349,$B285))</f>
        <v/>
      </c>
      <c r="P285" t="str">
        <f>IF($A285="","",SUMIFS($J$1:$J$349,$A$1:$A$349,$A285,$B$1:$B$349,$B285))</f>
        <v/>
      </c>
      <c r="Q285" t="str">
        <f>IF($A285="","",SUMIFS($G$1:$G$349,$A$1:$A$349,$A285,$C$1:$C$349,$C285))</f>
        <v/>
      </c>
      <c r="R285" t="str">
        <f>IF($A285="","",SUMIFS($H$1:$H$349,$A$1:$A$349,$A285,$C$1:$C$349,$C285))</f>
        <v/>
      </c>
      <c r="S285" t="str">
        <f>IF($A285="","",SUMIFS($I$1:$I$349,$A$1:$A$349,$A285,$C$1:$C$349,$C285))</f>
        <v/>
      </c>
      <c r="T285" t="str">
        <f>IF($A285="","",SUMIFS($G$1:$G$349,$A$1:$A$349,$A285))</f>
        <v/>
      </c>
      <c r="U285" t="str">
        <f>IF($A285="","",SUMIFS($H$1:$H$349,$A$1:$A$349,$A285))</f>
        <v/>
      </c>
      <c r="V285" t="str">
        <f>IF($A285="","",SUMIFS($I$1:$I$349,$A$1:$A$349,$A285))</f>
        <v/>
      </c>
      <c r="W285" t="str">
        <f>IF($A285="","",Allocation2!Y285)</f>
        <v/>
      </c>
      <c r="X285" t="str">
        <f>IF($A285="","",Allocation2!Z285)</f>
        <v/>
      </c>
      <c r="Y285" t="str">
        <f>IF($A285="","",Allocation2!AA285)</f>
        <v/>
      </c>
      <c r="Z285" t="str">
        <f>IF($A285="","",Allocation2!AB285)</f>
        <v/>
      </c>
      <c r="AA285" t="str">
        <f>IF($A285="","",Allocation2!AC285)</f>
        <v/>
      </c>
      <c r="AB285" t="str">
        <f>IF($A285="","",Allocation2!AD285)</f>
        <v/>
      </c>
      <c r="AC285" t="str">
        <f>IF($A285="","",IF(ALLOC!$N$4="VOL_EFF",$G285,IF(ALLOC!$N$4="VOL_CLASS",$H285,$I285)))</f>
        <v/>
      </c>
      <c r="AD285" t="str">
        <f>IF($A285="","",IF(ALLOC!$N$4="VOL_EFF",$L285,IF(ALLOC!$N$4="VOL_CLASS",$M285,$N285)))</f>
        <v/>
      </c>
      <c r="AE285" t="str">
        <f>IF($A285="","",IF(ALLOC!$N$3="VOL_EFF",$L285,IF(ALLOC!$N$3="VOL_CLASS",$M285,$N285)))</f>
        <v/>
      </c>
      <c r="AF285" t="str">
        <f>IF($A285="","",IF(ALLOC!$N$3="VOL_EFF",$Q285,IF(ALLOC!$N$3="VOL_CLASS",$R285,$S285)))</f>
        <v/>
      </c>
      <c r="AG285" t="str">
        <f>IF($A285="","",IF(ALLOC!$N$1="VOL_EFF",$Q285,IF(ALLOC!$N$1="VOL_CLASS",$R285,$S285)))</f>
        <v/>
      </c>
      <c r="AH285" t="str">
        <f>IF($A285="","",IF(ALLOC!$N$1="VOL_EFF",$T285,IF(ALLOC!$N$1="VOL_CLASS",$U285,$V285)))</f>
        <v/>
      </c>
      <c r="AI285" t="str">
        <f>IF($A285="","",$W285*IFERROR($K285/$O285,0))</f>
        <v/>
      </c>
      <c r="AJ285" t="str">
        <f>IF($A285="","",$X285*IFERROR($K285/$O285,0))</f>
        <v/>
      </c>
      <c r="AK285" t="str">
        <f>IF($A285="","",$Y285*IFERROR($G285/$L285,0)+$Z285*IFERROR($J285/$P285,0))</f>
        <v/>
      </c>
      <c r="AL285" t="str">
        <f>IF($A285="","",$AA285*IFERROR($AC285/$AD285,0))</f>
        <v/>
      </c>
      <c r="AM285" t="str">
        <f>IF($A285="","",$AB285*IFERROR($AG285/$AH285,0)*IFERROR($AE285/$AF285,0)*IFERROR($AC285/$AD285,0))</f>
        <v/>
      </c>
      <c r="AN285" t="str">
        <f>IF($A285="","",$I285-($AI285+$AJ285+$AK285+$AL285+$AM285+$AR285))</f>
        <v/>
      </c>
      <c r="AO285" t="str">
        <f>IF($A285="","",Allocation2!AE285)</f>
        <v/>
      </c>
      <c r="AP285" t="str">
        <f>IF($A285="","",IF(ALLOC!$N$2="VOL_EFF",$Q285,IF(ALLOC!$N$2="VOL_CLASS",$R285,$S285)))</f>
        <v/>
      </c>
      <c r="AQ285" t="str">
        <f>IF($A285="","",IF(ALLOC!$N$2="VOL_EFF",$T285,IF(ALLOC!$N$2="VOL_CLASS",$U285,$V285)))</f>
        <v/>
      </c>
      <c r="AR285" t="str">
        <f>IF($A285="","",$AO285*IFERROR($AP285/$AQ285,0)*IFERROR($AE285/$AF285,0)*IFERROR($AC285/$AD285,0))</f>
        <v/>
      </c>
    </row>
    <row r="286" spans="1:46" x14ac:dyDescent="0.45">
      <c r="A286" t="str">
        <f>IF(Allocation2!D286="","",Allocation2!D286)</f>
        <v/>
      </c>
      <c r="B286" t="str">
        <f>IF(Allocation2!E286="","",Allocation2!E286)</f>
        <v/>
      </c>
      <c r="C286" t="str">
        <f>IF(Allocation2!F286="","",Allocation2!F286)</f>
        <v/>
      </c>
      <c r="D286" t="str">
        <f>IF(Allocation2!G286="","",Allocation2!G286)</f>
        <v/>
      </c>
      <c r="E286" t="str">
        <f>IF(Allocation2!H286="","",Allocation2!H286)</f>
        <v/>
      </c>
      <c r="F286" t="str">
        <f>IF(Allocation2!I286="","",Allocation2!I286)</f>
        <v/>
      </c>
      <c r="G286" t="str">
        <f>IF(Allocation2!E286="","",Allocation2!J286)</f>
        <v/>
      </c>
      <c r="H286" t="str">
        <f>IF(Allocation2!E286="","",Allocation2!K286)</f>
        <v/>
      </c>
      <c r="I286" t="str">
        <f>IF(Allocation2!E286="","",Allocation2!L286)</f>
        <v/>
      </c>
      <c r="J286" t="str">
        <f>IF($A286="","",Allocation2!X286)</f>
        <v/>
      </c>
      <c r="K286" t="str">
        <f>IF($A286="","",$H286*IF(AND(LEFT($D286,3)="BAC",$F286="INIT"),600,IF(LEFT($D286,3)="BAC",480,IF(AND(LEFT($D286,3)="MAS",$F286="INIT"),520,IF(LEFT($D286,3)="MAS",420,IF($F286="INIT",1000,700))))))</f>
        <v/>
      </c>
      <c r="L286" t="str">
        <f>IF($A286="","",SUMIFS($G$1:$G$349,$A$1:$A$349,$A286,$B$1:$B$349,$B286))</f>
        <v/>
      </c>
      <c r="M286" t="str">
        <f>IF($A286="","",SUMIFS($H$1:$H$349,$A$1:$A$349,$A286,$B$1:$B$349,$B286))</f>
        <v/>
      </c>
      <c r="N286" t="str">
        <f>IF($A286="","",SUMIFS($I$1:$I$349,$A$1:$A$349,$A286,$B$1:$B$349,$B286))</f>
        <v/>
      </c>
      <c r="O286" t="str">
        <f>IF($A286="","",SUMIFS($K$1:$K$349,$A$1:$A$349,$A286,$B$1:$B$349,$B286))</f>
        <v/>
      </c>
      <c r="P286" t="str">
        <f>IF($A286="","",SUMIFS($J$1:$J$349,$A$1:$A$349,$A286,$B$1:$B$349,$B286))</f>
        <v/>
      </c>
      <c r="Q286" t="str">
        <f>IF($A286="","",SUMIFS($G$1:$G$349,$A$1:$A$349,$A286,$C$1:$C$349,$C286))</f>
        <v/>
      </c>
      <c r="R286" t="str">
        <f>IF($A286="","",SUMIFS($H$1:$H$349,$A$1:$A$349,$A286,$C$1:$C$349,$C286))</f>
        <v/>
      </c>
      <c r="S286" t="str">
        <f>IF($A286="","",SUMIFS($I$1:$I$349,$A$1:$A$349,$A286,$C$1:$C$349,$C286))</f>
        <v/>
      </c>
      <c r="T286" t="str">
        <f>IF($A286="","",SUMIFS($G$1:$G$349,$A$1:$A$349,$A286))</f>
        <v/>
      </c>
      <c r="U286" t="str">
        <f>IF($A286="","",SUMIFS($H$1:$H$349,$A$1:$A$349,$A286))</f>
        <v/>
      </c>
      <c r="V286" t="str">
        <f>IF($A286="","",SUMIFS($I$1:$I$349,$A$1:$A$349,$A286))</f>
        <v/>
      </c>
      <c r="W286" t="str">
        <f>IF($A286="","",Allocation2!Y286)</f>
        <v/>
      </c>
      <c r="X286" t="str">
        <f>IF($A286="","",Allocation2!Z286)</f>
        <v/>
      </c>
      <c r="Y286" t="str">
        <f>IF($A286="","",Allocation2!AA286)</f>
        <v/>
      </c>
      <c r="Z286" t="str">
        <f>IF($A286="","",Allocation2!AB286)</f>
        <v/>
      </c>
      <c r="AA286" t="str">
        <f>IF($A286="","",Allocation2!AC286)</f>
        <v/>
      </c>
      <c r="AB286" t="str">
        <f>IF($A286="","",Allocation2!AD286)</f>
        <v/>
      </c>
      <c r="AC286" t="str">
        <f>IF($A286="","",IF(ALLOC!$N$4="VOL_EFF",$G286,IF(ALLOC!$N$4="VOL_CLASS",$H286,$I286)))</f>
        <v/>
      </c>
      <c r="AD286" t="str">
        <f>IF($A286="","",IF(ALLOC!$N$4="VOL_EFF",$L286,IF(ALLOC!$N$4="VOL_CLASS",$M286,$N286)))</f>
        <v/>
      </c>
      <c r="AE286" t="str">
        <f>IF($A286="","",IF(ALLOC!$N$3="VOL_EFF",$L286,IF(ALLOC!$N$3="VOL_CLASS",$M286,$N286)))</f>
        <v/>
      </c>
      <c r="AF286" t="str">
        <f>IF($A286="","",IF(ALLOC!$N$3="VOL_EFF",$Q286,IF(ALLOC!$N$3="VOL_CLASS",$R286,$S286)))</f>
        <v/>
      </c>
      <c r="AG286" t="str">
        <f>IF($A286="","",IF(ALLOC!$N$1="VOL_EFF",$Q286,IF(ALLOC!$N$1="VOL_CLASS",$R286,$S286)))</f>
        <v/>
      </c>
      <c r="AH286" t="str">
        <f>IF($A286="","",IF(ALLOC!$N$1="VOL_EFF",$T286,IF(ALLOC!$N$1="VOL_CLASS",$U286,$V286)))</f>
        <v/>
      </c>
      <c r="AI286" t="str">
        <f>IF($A286="","",$W286*IFERROR($K286/$O286,0))</f>
        <v/>
      </c>
      <c r="AJ286" t="str">
        <f>IF($A286="","",$X286*IFERROR($K286/$O286,0))</f>
        <v/>
      </c>
      <c r="AK286" t="str">
        <f>IF($A286="","",$Y286*IFERROR($G286/$L286,0)+$Z286*IFERROR($J286/$P286,0))</f>
        <v/>
      </c>
      <c r="AL286" t="str">
        <f>IF($A286="","",$AA286*IFERROR($AC286/$AD286,0))</f>
        <v/>
      </c>
      <c r="AM286" t="str">
        <f>IF($A286="","",$AB286*IFERROR($AG286/$AH286,0)*IFERROR($AE286/$AF286,0)*IFERROR($AC286/$AD286,0))</f>
        <v/>
      </c>
      <c r="AN286" t="str">
        <f>IF($A286="","",$I286-($AI286+$AJ286+$AK286+$AL286+$AM286+$AR286))</f>
        <v/>
      </c>
      <c r="AO286" t="str">
        <f>IF($A286="","",Allocation2!AE286)</f>
        <v/>
      </c>
      <c r="AP286" t="str">
        <f>IF($A286="","",IF(ALLOC!$N$2="VOL_EFF",$Q286,IF(ALLOC!$N$2="VOL_CLASS",$R286,$S286)))</f>
        <v/>
      </c>
      <c r="AQ286" t="str">
        <f>IF($A286="","",IF(ALLOC!$N$2="VOL_EFF",$T286,IF(ALLOC!$N$2="VOL_CLASS",$U286,$V286)))</f>
        <v/>
      </c>
      <c r="AR286" t="str">
        <f>IF($A286="","",$AO286*IFERROR($AP286/$AQ286,0)*IFERROR($AE286/$AF286,0)*IFERROR($AC286/$AD286,0))</f>
        <v/>
      </c>
    </row>
    <row r="287" spans="1:46" x14ac:dyDescent="0.45">
      <c r="A287" t="str">
        <f>IF(Allocation2!D287="","",Allocation2!D287)</f>
        <v/>
      </c>
      <c r="B287" t="str">
        <f>IF(Allocation2!E287="","",Allocation2!E287)</f>
        <v/>
      </c>
      <c r="C287" t="str">
        <f>IF(Allocation2!F287="","",Allocation2!F287)</f>
        <v/>
      </c>
      <c r="D287" t="str">
        <f>IF(Allocation2!G287="","",Allocation2!G287)</f>
        <v/>
      </c>
      <c r="E287" t="str">
        <f>IF(Allocation2!H287="","",Allocation2!H287)</f>
        <v/>
      </c>
      <c r="F287" t="str">
        <f>IF(Allocation2!I287="","",Allocation2!I287)</f>
        <v/>
      </c>
      <c r="G287" t="str">
        <f>IF(Allocation2!E287="","",Allocation2!J287)</f>
        <v/>
      </c>
      <c r="H287" t="str">
        <f>IF(Allocation2!E287="","",Allocation2!K287)</f>
        <v/>
      </c>
      <c r="I287" t="str">
        <f>IF(Allocation2!E287="","",Allocation2!L287)</f>
        <v/>
      </c>
      <c r="J287" t="str">
        <f>IF($A287="","",Allocation2!X287)</f>
        <v/>
      </c>
      <c r="K287" t="str">
        <f>IF($A287="","",$H287*IF(AND(LEFT($D287,3)="BAC",$F287="INIT"),600,IF(LEFT($D287,3)="BAC",480,IF(AND(LEFT($D287,3)="MAS",$F287="INIT"),520,IF(LEFT($D287,3)="MAS",420,IF($F287="INIT",1000,700))))))</f>
        <v/>
      </c>
      <c r="L287" t="str">
        <f>IF($A287="","",SUMIFS($G$1:$G$349,$A$1:$A$349,$A287,$B$1:$B$349,$B287))</f>
        <v/>
      </c>
      <c r="M287" t="str">
        <f>IF($A287="","",SUMIFS($H$1:$H$349,$A$1:$A$349,$A287,$B$1:$B$349,$B287))</f>
        <v/>
      </c>
      <c r="N287" t="str">
        <f>IF($A287="","",SUMIFS($I$1:$I$349,$A$1:$A$349,$A287,$B$1:$B$349,$B287))</f>
        <v/>
      </c>
      <c r="O287" t="str">
        <f>IF($A287="","",SUMIFS($K$1:$K$349,$A$1:$A$349,$A287,$B$1:$B$349,$B287))</f>
        <v/>
      </c>
      <c r="P287" t="str">
        <f>IF($A287="","",SUMIFS($J$1:$J$349,$A$1:$A$349,$A287,$B$1:$B$349,$B287))</f>
        <v/>
      </c>
      <c r="Q287" t="str">
        <f>IF($A287="","",SUMIFS($G$1:$G$349,$A$1:$A$349,$A287,$C$1:$C$349,$C287))</f>
        <v/>
      </c>
      <c r="R287" t="str">
        <f>IF($A287="","",SUMIFS($H$1:$H$349,$A$1:$A$349,$A287,$C$1:$C$349,$C287))</f>
        <v/>
      </c>
      <c r="S287" t="str">
        <f>IF($A287="","",SUMIFS($I$1:$I$349,$A$1:$A$349,$A287,$C$1:$C$349,$C287))</f>
        <v/>
      </c>
      <c r="T287" t="str">
        <f>IF($A287="","",SUMIFS($G$1:$G$349,$A$1:$A$349,$A287))</f>
        <v/>
      </c>
      <c r="U287" t="str">
        <f>IF($A287="","",SUMIFS($H$1:$H$349,$A$1:$A$349,$A287))</f>
        <v/>
      </c>
      <c r="V287" t="str">
        <f>IF($A287="","",SUMIFS($I$1:$I$349,$A$1:$A$349,$A287))</f>
        <v/>
      </c>
      <c r="W287" t="str">
        <f>IF($A287="","",Allocation2!Y287)</f>
        <v/>
      </c>
      <c r="X287" t="str">
        <f>IF($A287="","",Allocation2!Z287)</f>
        <v/>
      </c>
      <c r="Y287" t="str">
        <f>IF($A287="","",Allocation2!AA287)</f>
        <v/>
      </c>
      <c r="Z287" t="str">
        <f>IF($A287="","",Allocation2!AB287)</f>
        <v/>
      </c>
      <c r="AA287" t="str">
        <f>IF($A287="","",Allocation2!AC287)</f>
        <v/>
      </c>
      <c r="AB287" t="str">
        <f>IF($A287="","",Allocation2!AD287)</f>
        <v/>
      </c>
      <c r="AC287" t="str">
        <f>IF($A287="","",IF(ALLOC!$N$4="VOL_EFF",$G287,IF(ALLOC!$N$4="VOL_CLASS",$H287,$I287)))</f>
        <v/>
      </c>
      <c r="AD287" t="str">
        <f>IF($A287="","",IF(ALLOC!$N$4="VOL_EFF",$L287,IF(ALLOC!$N$4="VOL_CLASS",$M287,$N287)))</f>
        <v/>
      </c>
      <c r="AE287" t="str">
        <f>IF($A287="","",IF(ALLOC!$N$3="VOL_EFF",$L287,IF(ALLOC!$N$3="VOL_CLASS",$M287,$N287)))</f>
        <v/>
      </c>
      <c r="AF287" t="str">
        <f>IF($A287="","",IF(ALLOC!$N$3="VOL_EFF",$Q287,IF(ALLOC!$N$3="VOL_CLASS",$R287,$S287)))</f>
        <v/>
      </c>
      <c r="AG287" t="str">
        <f>IF($A287="","",IF(ALLOC!$N$1="VOL_EFF",$Q287,IF(ALLOC!$N$1="VOL_CLASS",$R287,$S287)))</f>
        <v/>
      </c>
      <c r="AH287" t="str">
        <f>IF($A287="","",IF(ALLOC!$N$1="VOL_EFF",$T287,IF(ALLOC!$N$1="VOL_CLASS",$U287,$V287)))</f>
        <v/>
      </c>
      <c r="AI287" t="str">
        <f>IF($A287="","",$W287*IFERROR($K287/$O287,0))</f>
        <v/>
      </c>
      <c r="AJ287" t="str">
        <f>IF($A287="","",$X287*IFERROR($K287/$O287,0))</f>
        <v/>
      </c>
      <c r="AK287" t="str">
        <f>IF($A287="","",$Y287*IFERROR($G287/$L287,0)+$Z287*IFERROR($J287/$P287,0))</f>
        <v/>
      </c>
      <c r="AL287" t="str">
        <f>IF($A287="","",$AA287*IFERROR($AC287/$AD287,0))</f>
        <v/>
      </c>
      <c r="AM287" t="str">
        <f>IF($A287="","",$AB287*IFERROR($AG287/$AH287,0)*IFERROR($AE287/$AF287,0)*IFERROR($AC287/$AD287,0))</f>
        <v/>
      </c>
      <c r="AN287" t="str">
        <f>IF($A287="","",$I287-($AI287+$AJ287+$AK287+$AL287+$AM287+$AR287))</f>
        <v/>
      </c>
      <c r="AO287" t="str">
        <f>IF($A287="","",Allocation2!AE287)</f>
        <v/>
      </c>
      <c r="AP287" t="str">
        <f>IF($A287="","",IF(ALLOC!$N$2="VOL_EFF",$Q287,IF(ALLOC!$N$2="VOL_CLASS",$R287,$S287)))</f>
        <v/>
      </c>
      <c r="AQ287" t="str">
        <f>IF($A287="","",IF(ALLOC!$N$2="VOL_EFF",$T287,IF(ALLOC!$N$2="VOL_CLASS",$U287,$V287)))</f>
        <v/>
      </c>
      <c r="AR287" t="str">
        <f>IF($A287="","",$AO287*IFERROR($AP287/$AQ287,0)*IFERROR($AE287/$AF287,0)*IFERROR($AC287/$AD287,0))</f>
        <v/>
      </c>
    </row>
    <row r="288" spans="1:46" x14ac:dyDescent="0.45">
      <c r="A288" t="str">
        <f>IF(Allocation2!D288="","",Allocation2!D288)</f>
        <v/>
      </c>
      <c r="B288" t="str">
        <f>IF(Allocation2!E288="","",Allocation2!E288)</f>
        <v/>
      </c>
      <c r="C288" t="str">
        <f>IF(Allocation2!F288="","",Allocation2!F288)</f>
        <v/>
      </c>
      <c r="D288" t="str">
        <f>IF(Allocation2!G288="","",Allocation2!G288)</f>
        <v/>
      </c>
      <c r="E288" t="str">
        <f>IF(Allocation2!H288="","",Allocation2!H288)</f>
        <v/>
      </c>
      <c r="F288" t="str">
        <f>IF(Allocation2!I288="","",Allocation2!I288)</f>
        <v/>
      </c>
      <c r="G288" t="str">
        <f>IF(Allocation2!E288="","",Allocation2!J288)</f>
        <v/>
      </c>
      <c r="H288" t="str">
        <f>IF(Allocation2!E288="","",Allocation2!K288)</f>
        <v/>
      </c>
      <c r="I288" t="str">
        <f>IF(Allocation2!E288="","",Allocation2!L288)</f>
        <v/>
      </c>
      <c r="J288" t="str">
        <f>IF($A288="","",Allocation2!X288)</f>
        <v/>
      </c>
      <c r="K288" t="str">
        <f>IF($A288="","",$H288*IF(AND(LEFT($D288,3)="BAC",$F288="INIT"),600,IF(LEFT($D288,3)="BAC",480,IF(AND(LEFT($D288,3)="MAS",$F288="INIT"),520,IF(LEFT($D288,3)="MAS",420,IF($F288="INIT",1000,700))))))</f>
        <v/>
      </c>
      <c r="L288" t="str">
        <f>IF($A288="","",SUMIFS($G$1:$G$349,$A$1:$A$349,$A288,$B$1:$B$349,$B288))</f>
        <v/>
      </c>
      <c r="M288" t="str">
        <f>IF($A288="","",SUMIFS($H$1:$H$349,$A$1:$A$349,$A288,$B$1:$B$349,$B288))</f>
        <v/>
      </c>
      <c r="N288" t="str">
        <f>IF($A288="","",SUMIFS($I$1:$I$349,$A$1:$A$349,$A288,$B$1:$B$349,$B288))</f>
        <v/>
      </c>
      <c r="O288" t="str">
        <f>IF($A288="","",SUMIFS($K$1:$K$349,$A$1:$A$349,$A288,$B$1:$B$349,$B288))</f>
        <v/>
      </c>
      <c r="P288" t="str">
        <f>IF($A288="","",SUMIFS($J$1:$J$349,$A$1:$A$349,$A288,$B$1:$B$349,$B288))</f>
        <v/>
      </c>
      <c r="Q288" t="str">
        <f>IF($A288="","",SUMIFS($G$1:$G$349,$A$1:$A$349,$A288,$C$1:$C$349,$C288))</f>
        <v/>
      </c>
      <c r="R288" t="str">
        <f>IF($A288="","",SUMIFS($H$1:$H$349,$A$1:$A$349,$A288,$C$1:$C$349,$C288))</f>
        <v/>
      </c>
      <c r="S288" t="str">
        <f>IF($A288="","",SUMIFS($I$1:$I$349,$A$1:$A$349,$A288,$C$1:$C$349,$C288))</f>
        <v/>
      </c>
      <c r="T288" t="str">
        <f>IF($A288="","",SUMIFS($G$1:$G$349,$A$1:$A$349,$A288))</f>
        <v/>
      </c>
      <c r="U288" t="str">
        <f>IF($A288="","",SUMIFS($H$1:$H$349,$A$1:$A$349,$A288))</f>
        <v/>
      </c>
      <c r="V288" t="str">
        <f>IF($A288="","",SUMIFS($I$1:$I$349,$A$1:$A$349,$A288))</f>
        <v/>
      </c>
      <c r="W288" t="str">
        <f>IF($A288="","",Allocation2!Y288)</f>
        <v/>
      </c>
      <c r="X288" t="str">
        <f>IF($A288="","",Allocation2!Z288)</f>
        <v/>
      </c>
      <c r="Y288" t="str">
        <f>IF($A288="","",Allocation2!AA288)</f>
        <v/>
      </c>
      <c r="Z288" t="str">
        <f>IF($A288="","",Allocation2!AB288)</f>
        <v/>
      </c>
      <c r="AA288" t="str">
        <f>IF($A288="","",Allocation2!AC288)</f>
        <v/>
      </c>
      <c r="AB288" t="str">
        <f>IF($A288="","",Allocation2!AD288)</f>
        <v/>
      </c>
      <c r="AC288" t="str">
        <f>IF($A288="","",IF(ALLOC!$N$4="VOL_EFF",$G288,IF(ALLOC!$N$4="VOL_CLASS",$H288,$I288)))</f>
        <v/>
      </c>
      <c r="AD288" t="str">
        <f>IF($A288="","",IF(ALLOC!$N$4="VOL_EFF",$L288,IF(ALLOC!$N$4="VOL_CLASS",$M288,$N288)))</f>
        <v/>
      </c>
      <c r="AE288" t="str">
        <f>IF($A288="","",IF(ALLOC!$N$3="VOL_EFF",$L288,IF(ALLOC!$N$3="VOL_CLASS",$M288,$N288)))</f>
        <v/>
      </c>
      <c r="AF288" t="str">
        <f>IF($A288="","",IF(ALLOC!$N$3="VOL_EFF",$Q288,IF(ALLOC!$N$3="VOL_CLASS",$R288,$S288)))</f>
        <v/>
      </c>
      <c r="AG288" t="str">
        <f>IF($A288="","",IF(ALLOC!$N$1="VOL_EFF",$Q288,IF(ALLOC!$N$1="VOL_CLASS",$R288,$S288)))</f>
        <v/>
      </c>
      <c r="AH288" t="str">
        <f>IF($A288="","",IF(ALLOC!$N$1="VOL_EFF",$T288,IF(ALLOC!$N$1="VOL_CLASS",$U288,$V288)))</f>
        <v/>
      </c>
      <c r="AI288" t="str">
        <f>IF($A288="","",$W288*IFERROR($K288/$O288,0))</f>
        <v/>
      </c>
      <c r="AJ288" t="str">
        <f>IF($A288="","",$X288*IFERROR($K288/$O288,0))</f>
        <v/>
      </c>
      <c r="AK288" t="str">
        <f>IF($A288="","",$Y288*IFERROR($G288/$L288,0)+$Z288*IFERROR($J288/$P288,0))</f>
        <v/>
      </c>
      <c r="AL288" t="str">
        <f>IF($A288="","",$AA288*IFERROR($AC288/$AD288,0))</f>
        <v/>
      </c>
      <c r="AM288" t="str">
        <f>IF($A288="","",$AB288*IFERROR($AG288/$AH288,0)*IFERROR($AE288/$AF288,0)*IFERROR($AC288/$AD288,0))</f>
        <v/>
      </c>
      <c r="AN288" t="str">
        <f>IF($A288="","",$I288-($AI288+$AJ288+$AK288+$AL288+$AM288+$AR288))</f>
        <v/>
      </c>
      <c r="AO288" t="str">
        <f>IF($A288="","",Allocation2!AE288)</f>
        <v/>
      </c>
      <c r="AP288" t="str">
        <f>IF($A288="","",IF(ALLOC!$N$2="VOL_EFF",$Q288,IF(ALLOC!$N$2="VOL_CLASS",$R288,$S288)))</f>
        <v/>
      </c>
      <c r="AQ288" t="str">
        <f>IF($A288="","",IF(ALLOC!$N$2="VOL_EFF",$T288,IF(ALLOC!$N$2="VOL_CLASS",$U288,$V288)))</f>
        <v/>
      </c>
      <c r="AR288" t="str">
        <f>IF($A288="","",$AO288*IFERROR($AP288/$AQ288,0)*IFERROR($AE288/$AF288,0)*IFERROR($AC288/$AD288,0))</f>
        <v/>
      </c>
    </row>
    <row r="289" spans="1:46" x14ac:dyDescent="0.45">
      <c r="A289" t="str">
        <f>IF(Allocation2!D289="","",Allocation2!D289)</f>
        <v/>
      </c>
      <c r="B289" t="str">
        <f>IF(Allocation2!E289="","",Allocation2!E289)</f>
        <v/>
      </c>
      <c r="C289" t="str">
        <f>IF(Allocation2!F289="","",Allocation2!F289)</f>
        <v/>
      </c>
      <c r="D289" t="str">
        <f>IF(Allocation2!G289="","",Allocation2!G289)</f>
        <v/>
      </c>
      <c r="E289" t="str">
        <f>IF(Allocation2!H289="","",Allocation2!H289)</f>
        <v/>
      </c>
      <c r="F289" t="str">
        <f>IF(Allocation2!I289="","",Allocation2!I289)</f>
        <v/>
      </c>
      <c r="G289" t="str">
        <f>IF(Allocation2!E289="","",Allocation2!J289)</f>
        <v/>
      </c>
      <c r="H289" t="str">
        <f>IF(Allocation2!E289="","",Allocation2!K289)</f>
        <v/>
      </c>
      <c r="I289" t="str">
        <f>IF(Allocation2!E289="","",Allocation2!L289)</f>
        <v/>
      </c>
      <c r="J289" t="str">
        <f>IF($A289="","",Allocation2!X289)</f>
        <v/>
      </c>
      <c r="K289" t="str">
        <f>IF($A289="","",$H289*IF(AND(LEFT($D289,3)="BAC",$F289="INIT"),600,IF(LEFT($D289,3)="BAC",480,IF(AND(LEFT($D289,3)="MAS",$F289="INIT"),520,IF(LEFT($D289,3)="MAS",420,IF($F289="INIT",1000,700))))))</f>
        <v/>
      </c>
      <c r="L289" t="str">
        <f>IF($A289="","",SUMIFS($G$1:$G$349,$A$1:$A$349,$A289,$B$1:$B$349,$B289))</f>
        <v/>
      </c>
      <c r="M289" t="str">
        <f>IF($A289="","",SUMIFS($H$1:$H$349,$A$1:$A$349,$A289,$B$1:$B$349,$B289))</f>
        <v/>
      </c>
      <c r="N289" t="str">
        <f>IF($A289="","",SUMIFS($I$1:$I$349,$A$1:$A$349,$A289,$B$1:$B$349,$B289))</f>
        <v/>
      </c>
      <c r="O289" t="str">
        <f>IF($A289="","",SUMIFS($K$1:$K$349,$A$1:$A$349,$A289,$B$1:$B$349,$B289))</f>
        <v/>
      </c>
      <c r="P289" t="str">
        <f>IF($A289="","",SUMIFS($J$1:$J$349,$A$1:$A$349,$A289,$B$1:$B$349,$B289))</f>
        <v/>
      </c>
      <c r="Q289" t="str">
        <f>IF($A289="","",SUMIFS($G$1:$G$349,$A$1:$A$349,$A289,$C$1:$C$349,$C289))</f>
        <v/>
      </c>
      <c r="R289" t="str">
        <f>IF($A289="","",SUMIFS($H$1:$H$349,$A$1:$A$349,$A289,$C$1:$C$349,$C289))</f>
        <v/>
      </c>
      <c r="S289" t="str">
        <f>IF($A289="","",SUMIFS($I$1:$I$349,$A$1:$A$349,$A289,$C$1:$C$349,$C289))</f>
        <v/>
      </c>
      <c r="T289" t="str">
        <f>IF($A289="","",SUMIFS($G$1:$G$349,$A$1:$A$349,$A289))</f>
        <v/>
      </c>
      <c r="U289" t="str">
        <f>IF($A289="","",SUMIFS($H$1:$H$349,$A$1:$A$349,$A289))</f>
        <v/>
      </c>
      <c r="V289" t="str">
        <f>IF($A289="","",SUMIFS($I$1:$I$349,$A$1:$A$349,$A289))</f>
        <v/>
      </c>
      <c r="W289" t="str">
        <f>IF($A289="","",Allocation2!Y289)</f>
        <v/>
      </c>
      <c r="X289" t="str">
        <f>IF($A289="","",Allocation2!Z289)</f>
        <v/>
      </c>
      <c r="Y289" t="str">
        <f>IF($A289="","",Allocation2!AA289)</f>
        <v/>
      </c>
      <c r="Z289" t="str">
        <f>IF($A289="","",Allocation2!AB289)</f>
        <v/>
      </c>
      <c r="AA289" t="str">
        <f>IF($A289="","",Allocation2!AC289)</f>
        <v/>
      </c>
      <c r="AB289" t="str">
        <f>IF($A289="","",Allocation2!AD289)</f>
        <v/>
      </c>
      <c r="AC289" t="str">
        <f>IF($A289="","",IF(ALLOC!$N$4="VOL_EFF",$G289,IF(ALLOC!$N$4="VOL_CLASS",$H289,$I289)))</f>
        <v/>
      </c>
      <c r="AD289" t="str">
        <f>IF($A289="","",IF(ALLOC!$N$4="VOL_EFF",$L289,IF(ALLOC!$N$4="VOL_CLASS",$M289,$N289)))</f>
        <v/>
      </c>
      <c r="AE289" t="str">
        <f>IF($A289="","",IF(ALLOC!$N$3="VOL_EFF",$L289,IF(ALLOC!$N$3="VOL_CLASS",$M289,$N289)))</f>
        <v/>
      </c>
      <c r="AF289" t="str">
        <f>IF($A289="","",IF(ALLOC!$N$3="VOL_EFF",$Q289,IF(ALLOC!$N$3="VOL_CLASS",$R289,$S289)))</f>
        <v/>
      </c>
      <c r="AG289" t="str">
        <f>IF($A289="","",IF(ALLOC!$N$1="VOL_EFF",$Q289,IF(ALLOC!$N$1="VOL_CLASS",$R289,$S289)))</f>
        <v/>
      </c>
      <c r="AH289" t="str">
        <f>IF($A289="","",IF(ALLOC!$N$1="VOL_EFF",$T289,IF(ALLOC!$N$1="VOL_CLASS",$U289,$V289)))</f>
        <v/>
      </c>
      <c r="AI289" t="str">
        <f>IF($A289="","",$W289*IFERROR($K289/$O289,0))</f>
        <v/>
      </c>
      <c r="AJ289" t="str">
        <f>IF($A289="","",$X289*IFERROR($K289/$O289,0))</f>
        <v/>
      </c>
      <c r="AK289" t="str">
        <f>IF($A289="","",$Y289*IFERROR($G289/$L289,0)+$Z289*IFERROR($J289/$P289,0))</f>
        <v/>
      </c>
      <c r="AL289" t="str">
        <f>IF($A289="","",$AA289*IFERROR($AC289/$AD289,0))</f>
        <v/>
      </c>
      <c r="AM289" t="str">
        <f>IF($A289="","",$AB289*IFERROR($AG289/$AH289,0)*IFERROR($AE289/$AF289,0)*IFERROR($AC289/$AD289,0))</f>
        <v/>
      </c>
      <c r="AN289" t="str">
        <f>IF($A289="","",$I289-($AI289+$AJ289+$AK289+$AL289+$AM289+$AR289))</f>
        <v/>
      </c>
      <c r="AO289" t="str">
        <f>IF($A289="","",Allocation2!AE289)</f>
        <v/>
      </c>
      <c r="AP289" t="str">
        <f>IF($A289="","",IF(ALLOC!$N$2="VOL_EFF",$Q289,IF(ALLOC!$N$2="VOL_CLASS",$R289,$S289)))</f>
        <v/>
      </c>
      <c r="AQ289" t="str">
        <f>IF($A289="","",IF(ALLOC!$N$2="VOL_EFF",$T289,IF(ALLOC!$N$2="VOL_CLASS",$U289,$V289)))</f>
        <v/>
      </c>
      <c r="AR289" t="str">
        <f>IF($A289="","",$AO289*IFERROR($AP289/$AQ289,0)*IFERROR($AE289/$AF289,0)*IFERROR($AC289/$AD289,0))</f>
        <v/>
      </c>
    </row>
    <row r="290" spans="1:46" x14ac:dyDescent="0.45">
      <c r="A290" t="str">
        <f>IF(Allocation2!D290="","",Allocation2!D290)</f>
        <v/>
      </c>
      <c r="B290" t="str">
        <f>IF(Allocation2!E290="","",Allocation2!E290)</f>
        <v/>
      </c>
      <c r="C290" t="str">
        <f>IF(Allocation2!F290="","",Allocation2!F290)</f>
        <v/>
      </c>
      <c r="D290" t="str">
        <f>IF(Allocation2!G290="","",Allocation2!G290)</f>
        <v/>
      </c>
      <c r="E290" t="str">
        <f>IF(Allocation2!H290="","",Allocation2!H290)</f>
        <v/>
      </c>
      <c r="F290" t="str">
        <f>IF(Allocation2!I290="","",Allocation2!I290)</f>
        <v/>
      </c>
      <c r="G290" t="str">
        <f>IF(Allocation2!E290="","",Allocation2!J290)</f>
        <v/>
      </c>
      <c r="H290" t="str">
        <f>IF(Allocation2!E290="","",Allocation2!K290)</f>
        <v/>
      </c>
      <c r="I290" t="str">
        <f>IF(Allocation2!E290="","",Allocation2!L290)</f>
        <v/>
      </c>
      <c r="J290" t="str">
        <f>IF($A290="","",Allocation2!X290)</f>
        <v/>
      </c>
      <c r="K290" t="str">
        <f>IF($A290="","",$H290*IF(AND(LEFT($D290,3)="BAC",$F290="INIT"),600,IF(LEFT($D290,3)="BAC",480,IF(AND(LEFT($D290,3)="MAS",$F290="INIT"),520,IF(LEFT($D290,3)="MAS",420,IF($F290="INIT",1000,700))))))</f>
        <v/>
      </c>
      <c r="L290" t="str">
        <f>IF($A290="","",SUMIFS($G$1:$G$349,$A$1:$A$349,$A290,$B$1:$B$349,$B290))</f>
        <v/>
      </c>
      <c r="M290" t="str">
        <f>IF($A290="","",SUMIFS($H$1:$H$349,$A$1:$A$349,$A290,$B$1:$B$349,$B290))</f>
        <v/>
      </c>
      <c r="N290" t="str">
        <f>IF($A290="","",SUMIFS($I$1:$I$349,$A$1:$A$349,$A290,$B$1:$B$349,$B290))</f>
        <v/>
      </c>
      <c r="O290" t="str">
        <f>IF($A290="","",SUMIFS($K$1:$K$349,$A$1:$A$349,$A290,$B$1:$B$349,$B290))</f>
        <v/>
      </c>
      <c r="P290" t="str">
        <f>IF($A290="","",SUMIFS($J$1:$J$349,$A$1:$A$349,$A290,$B$1:$B$349,$B290))</f>
        <v/>
      </c>
      <c r="Q290" t="str">
        <f>IF($A290="","",SUMIFS($G$1:$G$349,$A$1:$A$349,$A290,$C$1:$C$349,$C290))</f>
        <v/>
      </c>
      <c r="R290" t="str">
        <f>IF($A290="","",SUMIFS($H$1:$H$349,$A$1:$A$349,$A290,$C$1:$C$349,$C290))</f>
        <v/>
      </c>
      <c r="S290" t="str">
        <f>IF($A290="","",SUMIFS($I$1:$I$349,$A$1:$A$349,$A290,$C$1:$C$349,$C290))</f>
        <v/>
      </c>
      <c r="T290" t="str">
        <f>IF($A290="","",SUMIFS($G$1:$G$349,$A$1:$A$349,$A290))</f>
        <v/>
      </c>
      <c r="U290" t="str">
        <f>IF($A290="","",SUMIFS($H$1:$H$349,$A$1:$A$349,$A290))</f>
        <v/>
      </c>
      <c r="V290" t="str">
        <f>IF($A290="","",SUMIFS($I$1:$I$349,$A$1:$A$349,$A290))</f>
        <v/>
      </c>
      <c r="W290" t="str">
        <f>IF($A290="","",Allocation2!Y290)</f>
        <v/>
      </c>
      <c r="X290" t="str">
        <f>IF($A290="","",Allocation2!Z290)</f>
        <v/>
      </c>
      <c r="Y290" t="str">
        <f>IF($A290="","",Allocation2!AA290)</f>
        <v/>
      </c>
      <c r="Z290" t="str">
        <f>IF($A290="","",Allocation2!AB290)</f>
        <v/>
      </c>
      <c r="AA290" t="str">
        <f>IF($A290="","",Allocation2!AC290)</f>
        <v/>
      </c>
      <c r="AB290" t="str">
        <f>IF($A290="","",Allocation2!AD290)</f>
        <v/>
      </c>
      <c r="AC290" t="str">
        <f>IF($A290="","",IF(ALLOC!$N$4="VOL_EFF",$G290,IF(ALLOC!$N$4="VOL_CLASS",$H290,$I290)))</f>
        <v/>
      </c>
      <c r="AD290" t="str">
        <f>IF($A290="","",IF(ALLOC!$N$4="VOL_EFF",$L290,IF(ALLOC!$N$4="VOL_CLASS",$M290,$N290)))</f>
        <v/>
      </c>
      <c r="AE290" t="str">
        <f>IF($A290="","",IF(ALLOC!$N$3="VOL_EFF",$L290,IF(ALLOC!$N$3="VOL_CLASS",$M290,$N290)))</f>
        <v/>
      </c>
      <c r="AF290" t="str">
        <f>IF($A290="","",IF(ALLOC!$N$3="VOL_EFF",$Q290,IF(ALLOC!$N$3="VOL_CLASS",$R290,$S290)))</f>
        <v/>
      </c>
      <c r="AG290" t="str">
        <f>IF($A290="","",IF(ALLOC!$N$1="VOL_EFF",$Q290,IF(ALLOC!$N$1="VOL_CLASS",$R290,$S290)))</f>
        <v/>
      </c>
      <c r="AH290" t="str">
        <f>IF($A290="","",IF(ALLOC!$N$1="VOL_EFF",$T290,IF(ALLOC!$N$1="VOL_CLASS",$U290,$V290)))</f>
        <v/>
      </c>
      <c r="AI290" t="str">
        <f>IF($A290="","",$W290*IFERROR($K290/$O290,0))</f>
        <v/>
      </c>
      <c r="AJ290" t="str">
        <f>IF($A290="","",$X290*IFERROR($K290/$O290,0))</f>
        <v/>
      </c>
      <c r="AK290" t="str">
        <f>IF($A290="","",$Y290*IFERROR($G290/$L290,0)+$Z290*IFERROR($J290/$P290,0))</f>
        <v/>
      </c>
      <c r="AL290" t="str">
        <f>IF($A290="","",$AA290*IFERROR($AC290/$AD290,0))</f>
        <v/>
      </c>
      <c r="AM290" t="str">
        <f>IF($A290="","",$AB290*IFERROR($AG290/$AH290,0)*IFERROR($AE290/$AF290,0)*IFERROR($AC290/$AD290,0))</f>
        <v/>
      </c>
      <c r="AN290" t="str">
        <f>IF($A290="","",$I290-($AI290+$AJ290+$AK290+$AL290+$AM290+$AR290))</f>
        <v/>
      </c>
      <c r="AO290" t="str">
        <f>IF($A290="","",Allocation2!AE290)</f>
        <v/>
      </c>
      <c r="AP290" t="str">
        <f>IF($A290="","",IF(ALLOC!$N$2="VOL_EFF",$Q290,IF(ALLOC!$N$2="VOL_CLASS",$R290,$S290)))</f>
        <v/>
      </c>
      <c r="AQ290" t="str">
        <f>IF($A290="","",IF(ALLOC!$N$2="VOL_EFF",$T290,IF(ALLOC!$N$2="VOL_CLASS",$U290,$V290)))</f>
        <v/>
      </c>
      <c r="AR290" t="str">
        <f>IF($A290="","",$AO290*IFERROR($AP290/$AQ290,0)*IFERROR($AE290/$AF290,0)*IFERROR($AC290/$AD290,0))</f>
        <v/>
      </c>
    </row>
    <row r="291" spans="1:46" x14ac:dyDescent="0.45">
      <c r="A291" t="str">
        <f>IF(Allocation2!D291="","",Allocation2!D291)</f>
        <v/>
      </c>
      <c r="B291" t="str">
        <f>IF(Allocation2!E291="","",Allocation2!E291)</f>
        <v/>
      </c>
      <c r="C291" t="str">
        <f>IF(Allocation2!F291="","",Allocation2!F291)</f>
        <v/>
      </c>
      <c r="D291" t="str">
        <f>IF(Allocation2!G291="","",Allocation2!G291)</f>
        <v/>
      </c>
      <c r="E291" t="str">
        <f>IF(Allocation2!H291="","",Allocation2!H291)</f>
        <v/>
      </c>
      <c r="F291" t="str">
        <f>IF(Allocation2!I291="","",Allocation2!I291)</f>
        <v/>
      </c>
      <c r="G291" t="str">
        <f>IF(Allocation2!E291="","",Allocation2!J291)</f>
        <v/>
      </c>
      <c r="H291" t="str">
        <f>IF(Allocation2!E291="","",Allocation2!K291)</f>
        <v/>
      </c>
      <c r="I291" t="str">
        <f>IF(Allocation2!E291="","",Allocation2!L291)</f>
        <v/>
      </c>
      <c r="J291" t="str">
        <f>IF($A291="","",Allocation2!X291)</f>
        <v/>
      </c>
      <c r="K291" t="str">
        <f>IF($A291="","",$H291*IF(AND(LEFT($D291,3)="BAC",$F291="INIT"),600,IF(LEFT($D291,3)="BAC",480,IF(AND(LEFT($D291,3)="MAS",$F291="INIT"),520,IF(LEFT($D291,3)="MAS",420,IF($F291="INIT",1000,700))))))</f>
        <v/>
      </c>
      <c r="L291" t="str">
        <f>IF($A291="","",SUMIFS($G$1:$G$349,$A$1:$A$349,$A291,$B$1:$B$349,$B291))</f>
        <v/>
      </c>
      <c r="M291" t="str">
        <f>IF($A291="","",SUMIFS($H$1:$H$349,$A$1:$A$349,$A291,$B$1:$B$349,$B291))</f>
        <v/>
      </c>
      <c r="N291" t="str">
        <f>IF($A291="","",SUMIFS($I$1:$I$349,$A$1:$A$349,$A291,$B$1:$B$349,$B291))</f>
        <v/>
      </c>
      <c r="O291" t="str">
        <f>IF($A291="","",SUMIFS($K$1:$K$349,$A$1:$A$349,$A291,$B$1:$B$349,$B291))</f>
        <v/>
      </c>
      <c r="P291" t="str">
        <f>IF($A291="","",SUMIFS($J$1:$J$349,$A$1:$A$349,$A291,$B$1:$B$349,$B291))</f>
        <v/>
      </c>
      <c r="Q291" t="str">
        <f>IF($A291="","",SUMIFS($G$1:$G$349,$A$1:$A$349,$A291,$C$1:$C$349,$C291))</f>
        <v/>
      </c>
      <c r="R291" t="str">
        <f>IF($A291="","",SUMIFS($H$1:$H$349,$A$1:$A$349,$A291,$C$1:$C$349,$C291))</f>
        <v/>
      </c>
      <c r="S291" t="str">
        <f>IF($A291="","",SUMIFS($I$1:$I$349,$A$1:$A$349,$A291,$C$1:$C$349,$C291))</f>
        <v/>
      </c>
      <c r="T291" t="str">
        <f>IF($A291="","",SUMIFS($G$1:$G$349,$A$1:$A$349,$A291))</f>
        <v/>
      </c>
      <c r="U291" t="str">
        <f>IF($A291="","",SUMIFS($H$1:$H$349,$A$1:$A$349,$A291))</f>
        <v/>
      </c>
      <c r="V291" t="str">
        <f>IF($A291="","",SUMIFS($I$1:$I$349,$A$1:$A$349,$A291))</f>
        <v/>
      </c>
      <c r="W291" t="str">
        <f>IF($A291="","",Allocation2!Y291)</f>
        <v/>
      </c>
      <c r="X291" t="str">
        <f>IF($A291="","",Allocation2!Z291)</f>
        <v/>
      </c>
      <c r="Y291" t="str">
        <f>IF($A291="","",Allocation2!AA291)</f>
        <v/>
      </c>
      <c r="Z291" t="str">
        <f>IF($A291="","",Allocation2!AB291)</f>
        <v/>
      </c>
      <c r="AA291" t="str">
        <f>IF($A291="","",Allocation2!AC291)</f>
        <v/>
      </c>
      <c r="AB291" t="str">
        <f>IF($A291="","",Allocation2!AD291)</f>
        <v/>
      </c>
      <c r="AC291" t="str">
        <f>IF($A291="","",IF(ALLOC!$N$4="VOL_EFF",$G291,IF(ALLOC!$N$4="VOL_CLASS",$H291,$I291)))</f>
        <v/>
      </c>
      <c r="AD291" t="str">
        <f>IF($A291="","",IF(ALLOC!$N$4="VOL_EFF",$L291,IF(ALLOC!$N$4="VOL_CLASS",$M291,$N291)))</f>
        <v/>
      </c>
      <c r="AE291" t="str">
        <f>IF($A291="","",IF(ALLOC!$N$3="VOL_EFF",$L291,IF(ALLOC!$N$3="VOL_CLASS",$M291,$N291)))</f>
        <v/>
      </c>
      <c r="AF291" t="str">
        <f>IF($A291="","",IF(ALLOC!$N$3="VOL_EFF",$Q291,IF(ALLOC!$N$3="VOL_CLASS",$R291,$S291)))</f>
        <v/>
      </c>
      <c r="AG291" t="str">
        <f>IF($A291="","",IF(ALLOC!$N$1="VOL_EFF",$Q291,IF(ALLOC!$N$1="VOL_CLASS",$R291,$S291)))</f>
        <v/>
      </c>
      <c r="AH291" t="str">
        <f>IF($A291="","",IF(ALLOC!$N$1="VOL_EFF",$T291,IF(ALLOC!$N$1="VOL_CLASS",$U291,$V291)))</f>
        <v/>
      </c>
      <c r="AI291" t="str">
        <f>IF($A291="","",$W291*IFERROR($K291/$O291,0))</f>
        <v/>
      </c>
      <c r="AJ291" t="str">
        <f>IF($A291="","",$X291*IFERROR($K291/$O291,0))</f>
        <v/>
      </c>
      <c r="AK291" t="str">
        <f>IF($A291="","",$Y291*IFERROR($G291/$L291,0)+$Z291*IFERROR($J291/$P291,0))</f>
        <v/>
      </c>
      <c r="AL291" t="str">
        <f>IF($A291="","",$AA291*IFERROR($AC291/$AD291,0))</f>
        <v/>
      </c>
      <c r="AM291" t="str">
        <f>IF($A291="","",$AB291*IFERROR($AG291/$AH291,0)*IFERROR($AE291/$AF291,0)*IFERROR($AC291/$AD291,0))</f>
        <v/>
      </c>
      <c r="AN291" t="str">
        <f>IF($A291="","",$I291-($AI291+$AJ291+$AK291+$AL291+$AM291+$AR291))</f>
        <v/>
      </c>
      <c r="AO291" t="str">
        <f>IF($A291="","",Allocation2!AE291)</f>
        <v/>
      </c>
      <c r="AP291" t="str">
        <f>IF($A291="","",IF(ALLOC!$N$2="VOL_EFF",$Q291,IF(ALLOC!$N$2="VOL_CLASS",$R291,$S291)))</f>
        <v/>
      </c>
      <c r="AQ291" t="str">
        <f>IF($A291="","",IF(ALLOC!$N$2="VOL_EFF",$T291,IF(ALLOC!$N$2="VOL_CLASS",$U291,$V291)))</f>
        <v/>
      </c>
      <c r="AR291" t="str">
        <f>IF($A291="","",$AO291*IFERROR($AP291/$AQ291,0)*IFERROR($AE291/$AF291,0)*IFERROR($AC291/$AD291,0))</f>
        <v/>
      </c>
    </row>
    <row r="292" spans="1:46" x14ac:dyDescent="0.45">
      <c r="A292" t="str">
        <f>IF(Allocation2!D292="","",Allocation2!D292)</f>
        <v/>
      </c>
      <c r="B292" t="str">
        <f>IF(Allocation2!E292="","",Allocation2!E292)</f>
        <v/>
      </c>
      <c r="C292" t="str">
        <f>IF(Allocation2!F292="","",Allocation2!F292)</f>
        <v/>
      </c>
      <c r="D292" t="str">
        <f>IF(Allocation2!G292="","",Allocation2!G292)</f>
        <v/>
      </c>
      <c r="E292" t="str">
        <f>IF(Allocation2!H292="","",Allocation2!H292)</f>
        <v/>
      </c>
      <c r="F292" t="str">
        <f>IF(Allocation2!I292="","",Allocation2!I292)</f>
        <v/>
      </c>
      <c r="G292" t="str">
        <f>IF(Allocation2!E292="","",Allocation2!J292)</f>
        <v/>
      </c>
      <c r="H292" t="str">
        <f>IF(Allocation2!E292="","",Allocation2!K292)</f>
        <v/>
      </c>
      <c r="I292" t="str">
        <f>IF(Allocation2!E292="","",Allocation2!L292)</f>
        <v/>
      </c>
      <c r="J292" t="str">
        <f>IF($A292="","",Allocation2!X292)</f>
        <v/>
      </c>
      <c r="K292" t="str">
        <f>IF($A292="","",$H292*IF(AND(LEFT($D292,3)="BAC",$F292="INIT"),600,IF(LEFT($D292,3)="BAC",480,IF(AND(LEFT($D292,3)="MAS",$F292="INIT"),520,IF(LEFT($D292,3)="MAS",420,IF($F292="INIT",1000,700))))))</f>
        <v/>
      </c>
      <c r="L292" t="str">
        <f>IF($A292="","",SUMIFS($G$1:$G$349,$A$1:$A$349,$A292,$B$1:$B$349,$B292))</f>
        <v/>
      </c>
      <c r="M292" t="str">
        <f>IF($A292="","",SUMIFS($H$1:$H$349,$A$1:$A$349,$A292,$B$1:$B$349,$B292))</f>
        <v/>
      </c>
      <c r="N292" t="str">
        <f>IF($A292="","",SUMIFS($I$1:$I$349,$A$1:$A$349,$A292,$B$1:$B$349,$B292))</f>
        <v/>
      </c>
      <c r="O292" t="str">
        <f>IF($A292="","",SUMIFS($K$1:$K$349,$A$1:$A$349,$A292,$B$1:$B$349,$B292))</f>
        <v/>
      </c>
      <c r="P292" t="str">
        <f>IF($A292="","",SUMIFS($J$1:$J$349,$A$1:$A$349,$A292,$B$1:$B$349,$B292))</f>
        <v/>
      </c>
      <c r="Q292" t="str">
        <f>IF($A292="","",SUMIFS($G$1:$G$349,$A$1:$A$349,$A292,$C$1:$C$349,$C292))</f>
        <v/>
      </c>
      <c r="R292" t="str">
        <f>IF($A292="","",SUMIFS($H$1:$H$349,$A$1:$A$349,$A292,$C$1:$C$349,$C292))</f>
        <v/>
      </c>
      <c r="S292" t="str">
        <f>IF($A292="","",SUMIFS($I$1:$I$349,$A$1:$A$349,$A292,$C$1:$C$349,$C292))</f>
        <v/>
      </c>
      <c r="T292" t="str">
        <f>IF($A292="","",SUMIFS($G$1:$G$349,$A$1:$A$349,$A292))</f>
        <v/>
      </c>
      <c r="U292" t="str">
        <f>IF($A292="","",SUMIFS($H$1:$H$349,$A$1:$A$349,$A292))</f>
        <v/>
      </c>
      <c r="V292" t="str">
        <f>IF($A292="","",SUMIFS($I$1:$I$349,$A$1:$A$349,$A292))</f>
        <v/>
      </c>
      <c r="W292" t="str">
        <f>IF($A292="","",Allocation2!Y292)</f>
        <v/>
      </c>
      <c r="X292" t="str">
        <f>IF($A292="","",Allocation2!Z292)</f>
        <v/>
      </c>
      <c r="Y292" t="str">
        <f>IF($A292="","",Allocation2!AA292)</f>
        <v/>
      </c>
      <c r="Z292" t="str">
        <f>IF($A292="","",Allocation2!AB292)</f>
        <v/>
      </c>
      <c r="AA292" t="str">
        <f>IF($A292="","",Allocation2!AC292)</f>
        <v/>
      </c>
      <c r="AB292" t="str">
        <f>IF($A292="","",Allocation2!AD292)</f>
        <v/>
      </c>
      <c r="AC292" t="str">
        <f>IF($A292="","",IF(ALLOC!$N$4="VOL_EFF",$G292,IF(ALLOC!$N$4="VOL_CLASS",$H292,$I292)))</f>
        <v/>
      </c>
      <c r="AD292" t="str">
        <f>IF($A292="","",IF(ALLOC!$N$4="VOL_EFF",$L292,IF(ALLOC!$N$4="VOL_CLASS",$M292,$N292)))</f>
        <v/>
      </c>
      <c r="AE292" t="str">
        <f>IF($A292="","",IF(ALLOC!$N$3="VOL_EFF",$L292,IF(ALLOC!$N$3="VOL_CLASS",$M292,$N292)))</f>
        <v/>
      </c>
      <c r="AF292" t="str">
        <f>IF($A292="","",IF(ALLOC!$N$3="VOL_EFF",$Q292,IF(ALLOC!$N$3="VOL_CLASS",$R292,$S292)))</f>
        <v/>
      </c>
      <c r="AG292" t="str">
        <f>IF($A292="","",IF(ALLOC!$N$1="VOL_EFF",$Q292,IF(ALLOC!$N$1="VOL_CLASS",$R292,$S292)))</f>
        <v/>
      </c>
      <c r="AH292" t="str">
        <f>IF($A292="","",IF(ALLOC!$N$1="VOL_EFF",$T292,IF(ALLOC!$N$1="VOL_CLASS",$U292,$V292)))</f>
        <v/>
      </c>
      <c r="AI292" t="str">
        <f>IF($A292="","",$W292*IFERROR($K292/$O292,0))</f>
        <v/>
      </c>
      <c r="AJ292" t="str">
        <f>IF($A292="","",$X292*IFERROR($K292/$O292,0))</f>
        <v/>
      </c>
      <c r="AK292" t="str">
        <f>IF($A292="","",$Y292*IFERROR($G292/$L292,0)+$Z292*IFERROR($J292/$P292,0))</f>
        <v/>
      </c>
      <c r="AL292" t="str">
        <f>IF($A292="","",$AA292*IFERROR($AC292/$AD292,0))</f>
        <v/>
      </c>
      <c r="AM292" t="str">
        <f>IF($A292="","",$AB292*IFERROR($AG292/$AH292,0)*IFERROR($AE292/$AF292,0)*IFERROR($AC292/$AD292,0))</f>
        <v/>
      </c>
      <c r="AN292" t="str">
        <f>IF($A292="","",$I292-($AI292+$AJ292+$AK292+$AL292+$AM292+$AR292))</f>
        <v/>
      </c>
      <c r="AO292" t="str">
        <f>IF($A292="","",Allocation2!AE292)</f>
        <v/>
      </c>
      <c r="AP292" t="str">
        <f>IF($A292="","",IF(ALLOC!$N$2="VOL_EFF",$Q292,IF(ALLOC!$N$2="VOL_CLASS",$R292,$S292)))</f>
        <v/>
      </c>
      <c r="AQ292" t="str">
        <f>IF($A292="","",IF(ALLOC!$N$2="VOL_EFF",$T292,IF(ALLOC!$N$2="VOL_CLASS",$U292,$V292)))</f>
        <v/>
      </c>
      <c r="AR292" t="str">
        <f>IF($A292="","",$AO292*IFERROR($AP292/$AQ292,0)*IFERROR($AE292/$AF292,0)*IFERROR($AC292/$AD292,0))</f>
        <v/>
      </c>
    </row>
    <row r="293" spans="1:46" x14ac:dyDescent="0.45">
      <c r="A293" t="str">
        <f>IF(Allocation2!D293="","",Allocation2!D293)</f>
        <v/>
      </c>
      <c r="B293" t="str">
        <f>IF(Allocation2!E293="","",Allocation2!E293)</f>
        <v/>
      </c>
      <c r="C293" t="str">
        <f>IF(Allocation2!F293="","",Allocation2!F293)</f>
        <v/>
      </c>
      <c r="D293" t="str">
        <f>IF(Allocation2!G293="","",Allocation2!G293)</f>
        <v/>
      </c>
      <c r="E293" t="str">
        <f>IF(Allocation2!H293="","",Allocation2!H293)</f>
        <v/>
      </c>
      <c r="F293" t="str">
        <f>IF(Allocation2!I293="","",Allocation2!I293)</f>
        <v/>
      </c>
      <c r="G293" t="str">
        <f>IF(Allocation2!E293="","",Allocation2!J293)</f>
        <v/>
      </c>
      <c r="H293" t="str">
        <f>IF(Allocation2!E293="","",Allocation2!K293)</f>
        <v/>
      </c>
      <c r="I293" t="str">
        <f>IF(Allocation2!E293="","",Allocation2!L293)</f>
        <v/>
      </c>
      <c r="J293" t="str">
        <f>IF($A293="","",Allocation2!X293)</f>
        <v/>
      </c>
      <c r="K293" t="str">
        <f>IF($A293="","",$H293*IF(AND(LEFT($D293,3)="BAC",$F293="INIT"),600,IF(LEFT($D293,3)="BAC",480,IF(AND(LEFT($D293,3)="MAS",$F293="INIT"),520,IF(LEFT($D293,3)="MAS",420,IF($F293="INIT",1000,700))))))</f>
        <v/>
      </c>
      <c r="L293" t="str">
        <f>IF($A293="","",SUMIFS($G$1:$G$349,$A$1:$A$349,$A293,$B$1:$B$349,$B293))</f>
        <v/>
      </c>
      <c r="M293" t="str">
        <f>IF($A293="","",SUMIFS($H$1:$H$349,$A$1:$A$349,$A293,$B$1:$B$349,$B293))</f>
        <v/>
      </c>
      <c r="N293" t="str">
        <f>IF($A293="","",SUMIFS($I$1:$I$349,$A$1:$A$349,$A293,$B$1:$B$349,$B293))</f>
        <v/>
      </c>
      <c r="O293" t="str">
        <f>IF($A293="","",SUMIFS($K$1:$K$349,$A$1:$A$349,$A293,$B$1:$B$349,$B293))</f>
        <v/>
      </c>
      <c r="P293" t="str">
        <f>IF($A293="","",SUMIFS($J$1:$J$349,$A$1:$A$349,$A293,$B$1:$B$349,$B293))</f>
        <v/>
      </c>
      <c r="Q293" t="str">
        <f>IF($A293="","",SUMIFS($G$1:$G$349,$A$1:$A$349,$A293,$C$1:$C$349,$C293))</f>
        <v/>
      </c>
      <c r="R293" t="str">
        <f>IF($A293="","",SUMIFS($H$1:$H$349,$A$1:$A$349,$A293,$C$1:$C$349,$C293))</f>
        <v/>
      </c>
      <c r="S293" t="str">
        <f>IF($A293="","",SUMIFS($I$1:$I$349,$A$1:$A$349,$A293,$C$1:$C$349,$C293))</f>
        <v/>
      </c>
      <c r="T293" t="str">
        <f>IF($A293="","",SUMIFS($G$1:$G$349,$A$1:$A$349,$A293))</f>
        <v/>
      </c>
      <c r="U293" t="str">
        <f>IF($A293="","",SUMIFS($H$1:$H$349,$A$1:$A$349,$A293))</f>
        <v/>
      </c>
      <c r="V293" t="str">
        <f>IF($A293="","",SUMIFS($I$1:$I$349,$A$1:$A$349,$A293))</f>
        <v/>
      </c>
      <c r="W293" t="str">
        <f>IF($A293="","",Allocation2!Y293)</f>
        <v/>
      </c>
      <c r="X293" t="str">
        <f>IF($A293="","",Allocation2!Z293)</f>
        <v/>
      </c>
      <c r="Y293" t="str">
        <f>IF($A293="","",Allocation2!AA293)</f>
        <v/>
      </c>
      <c r="Z293" t="str">
        <f>IF($A293="","",Allocation2!AB293)</f>
        <v/>
      </c>
      <c r="AA293" t="str">
        <f>IF($A293="","",Allocation2!AC293)</f>
        <v/>
      </c>
      <c r="AB293" t="str">
        <f>IF($A293="","",Allocation2!AD293)</f>
        <v/>
      </c>
      <c r="AC293" t="str">
        <f>IF($A293="","",IF(ALLOC!$N$4="VOL_EFF",$G293,IF(ALLOC!$N$4="VOL_CLASS",$H293,$I293)))</f>
        <v/>
      </c>
      <c r="AD293" t="str">
        <f>IF($A293="","",IF(ALLOC!$N$4="VOL_EFF",$L293,IF(ALLOC!$N$4="VOL_CLASS",$M293,$N293)))</f>
        <v/>
      </c>
      <c r="AE293" t="str">
        <f>IF($A293="","",IF(ALLOC!$N$3="VOL_EFF",$L293,IF(ALLOC!$N$3="VOL_CLASS",$M293,$N293)))</f>
        <v/>
      </c>
      <c r="AF293" t="str">
        <f>IF($A293="","",IF(ALLOC!$N$3="VOL_EFF",$Q293,IF(ALLOC!$N$3="VOL_CLASS",$R293,$S293)))</f>
        <v/>
      </c>
      <c r="AG293" t="str">
        <f>IF($A293="","",IF(ALLOC!$N$1="VOL_EFF",$Q293,IF(ALLOC!$N$1="VOL_CLASS",$R293,$S293)))</f>
        <v/>
      </c>
      <c r="AH293" t="str">
        <f>IF($A293="","",IF(ALLOC!$N$1="VOL_EFF",$T293,IF(ALLOC!$N$1="VOL_CLASS",$U293,$V293)))</f>
        <v/>
      </c>
      <c r="AI293" t="str">
        <f>IF($A293="","",$W293*IFERROR($K293/$O293,0))</f>
        <v/>
      </c>
      <c r="AJ293" t="str">
        <f>IF($A293="","",$X293*IFERROR($K293/$O293,0))</f>
        <v/>
      </c>
      <c r="AK293" t="str">
        <f>IF($A293="","",$Y293*IFERROR($G293/$L293,0)+$Z293*IFERROR($J293/$P293,0))</f>
        <v/>
      </c>
      <c r="AL293" t="str">
        <f>IF($A293="","",$AA293*IFERROR($AC293/$AD293,0))</f>
        <v/>
      </c>
      <c r="AM293" t="str">
        <f>IF($A293="","",$AB293*IFERROR($AG293/$AH293,0)*IFERROR($AE293/$AF293,0)*IFERROR($AC293/$AD293,0))</f>
        <v/>
      </c>
      <c r="AN293" t="str">
        <f>IF($A293="","",$I293-($AI293+$AJ293+$AK293+$AL293+$AM293+$AR293))</f>
        <v/>
      </c>
      <c r="AO293" t="str">
        <f>IF($A293="","",Allocation2!AE293)</f>
        <v/>
      </c>
      <c r="AP293" t="str">
        <f>IF($A293="","",IF(ALLOC!$N$2="VOL_EFF",$Q293,IF(ALLOC!$N$2="VOL_CLASS",$R293,$S293)))</f>
        <v/>
      </c>
      <c r="AQ293" t="str">
        <f>IF($A293="","",IF(ALLOC!$N$2="VOL_EFF",$T293,IF(ALLOC!$N$2="VOL_CLASS",$U293,$V293)))</f>
        <v/>
      </c>
      <c r="AR293" t="str">
        <f>IF($A293="","",$AO293*IFERROR($AP293/$AQ293,0)*IFERROR($AE293/$AF293,0)*IFERROR($AC293/$AD293,0))</f>
        <v/>
      </c>
    </row>
    <row r="294" spans="1:46" x14ac:dyDescent="0.45">
      <c r="A294" t="str">
        <f>IF(Allocation2!D294="","",Allocation2!D294)</f>
        <v/>
      </c>
      <c r="B294" t="str">
        <f>IF(Allocation2!E294="","",Allocation2!E294)</f>
        <v/>
      </c>
      <c r="C294" t="str">
        <f>IF(Allocation2!F294="","",Allocation2!F294)</f>
        <v/>
      </c>
      <c r="D294" t="str">
        <f>IF(Allocation2!G294="","",Allocation2!G294)</f>
        <v/>
      </c>
      <c r="E294" t="str">
        <f>IF(Allocation2!H294="","",Allocation2!H294)</f>
        <v/>
      </c>
      <c r="F294" t="str">
        <f>IF(Allocation2!I294="","",Allocation2!I294)</f>
        <v/>
      </c>
      <c r="G294" t="str">
        <f>IF(Allocation2!E294="","",Allocation2!J294)</f>
        <v/>
      </c>
      <c r="H294" t="str">
        <f>IF(Allocation2!E294="","",Allocation2!K294)</f>
        <v/>
      </c>
      <c r="I294" t="str">
        <f>IF(Allocation2!E294="","",Allocation2!L294)</f>
        <v/>
      </c>
      <c r="J294" t="str">
        <f>IF($A294="","",Allocation2!X294)</f>
        <v/>
      </c>
      <c r="K294" t="str">
        <f>IF($A294="","",$H294*IF(AND(LEFT($D294,3)="BAC",$F294="INIT"),600,IF(LEFT($D294,3)="BAC",480,IF(AND(LEFT($D294,3)="MAS",$F294="INIT"),520,IF(LEFT($D294,3)="MAS",420,IF($F294="INIT",1000,700))))))</f>
        <v/>
      </c>
      <c r="L294" t="str">
        <f>IF($A294="","",SUMIFS($G$1:$G$349,$A$1:$A$349,$A294,$B$1:$B$349,$B294))</f>
        <v/>
      </c>
      <c r="M294" t="str">
        <f>IF($A294="","",SUMIFS($H$1:$H$349,$A$1:$A$349,$A294,$B$1:$B$349,$B294))</f>
        <v/>
      </c>
      <c r="N294" t="str">
        <f>IF($A294="","",SUMIFS($I$1:$I$349,$A$1:$A$349,$A294,$B$1:$B$349,$B294))</f>
        <v/>
      </c>
      <c r="O294" t="str">
        <f>IF($A294="","",SUMIFS($K$1:$K$349,$A$1:$A$349,$A294,$B$1:$B$349,$B294))</f>
        <v/>
      </c>
      <c r="P294" t="str">
        <f>IF($A294="","",SUMIFS($J$1:$J$349,$A$1:$A$349,$A294,$B$1:$B$349,$B294))</f>
        <v/>
      </c>
      <c r="Q294" t="str">
        <f>IF($A294="","",SUMIFS($G$1:$G$349,$A$1:$A$349,$A294,$C$1:$C$349,$C294))</f>
        <v/>
      </c>
      <c r="R294" t="str">
        <f>IF($A294="","",SUMIFS($H$1:$H$349,$A$1:$A$349,$A294,$C$1:$C$349,$C294))</f>
        <v/>
      </c>
      <c r="S294" t="str">
        <f>IF($A294="","",SUMIFS($I$1:$I$349,$A$1:$A$349,$A294,$C$1:$C$349,$C294))</f>
        <v/>
      </c>
      <c r="T294" t="str">
        <f>IF($A294="","",SUMIFS($G$1:$G$349,$A$1:$A$349,$A294))</f>
        <v/>
      </c>
      <c r="U294" t="str">
        <f>IF($A294="","",SUMIFS($H$1:$H$349,$A$1:$A$349,$A294))</f>
        <v/>
      </c>
      <c r="V294" t="str">
        <f>IF($A294="","",SUMIFS($I$1:$I$349,$A$1:$A$349,$A294))</f>
        <v/>
      </c>
      <c r="W294" t="str">
        <f>IF($A294="","",Allocation2!Y294)</f>
        <v/>
      </c>
      <c r="X294" t="str">
        <f>IF($A294="","",Allocation2!Z294)</f>
        <v/>
      </c>
      <c r="Y294" t="str">
        <f>IF($A294="","",Allocation2!AA294)</f>
        <v/>
      </c>
      <c r="Z294" t="str">
        <f>IF($A294="","",Allocation2!AB294)</f>
        <v/>
      </c>
      <c r="AA294" t="str">
        <f>IF($A294="","",Allocation2!AC294)</f>
        <v/>
      </c>
      <c r="AB294" t="str">
        <f>IF($A294="","",Allocation2!AD294)</f>
        <v/>
      </c>
      <c r="AC294" t="str">
        <f>IF($A294="","",IF(ALLOC!$N$4="VOL_EFF",$G294,IF(ALLOC!$N$4="VOL_CLASS",$H294,$I294)))</f>
        <v/>
      </c>
      <c r="AD294" t="str">
        <f>IF($A294="","",IF(ALLOC!$N$4="VOL_EFF",$L294,IF(ALLOC!$N$4="VOL_CLASS",$M294,$N294)))</f>
        <v/>
      </c>
      <c r="AE294" t="str">
        <f>IF($A294="","",IF(ALLOC!$N$3="VOL_EFF",$L294,IF(ALLOC!$N$3="VOL_CLASS",$M294,$N294)))</f>
        <v/>
      </c>
      <c r="AF294" t="str">
        <f>IF($A294="","",IF(ALLOC!$N$3="VOL_EFF",$Q294,IF(ALLOC!$N$3="VOL_CLASS",$R294,$S294)))</f>
        <v/>
      </c>
      <c r="AG294" t="str">
        <f>IF($A294="","",IF(ALLOC!$N$1="VOL_EFF",$Q294,IF(ALLOC!$N$1="VOL_CLASS",$R294,$S294)))</f>
        <v/>
      </c>
      <c r="AH294" t="str">
        <f>IF($A294="","",IF(ALLOC!$N$1="VOL_EFF",$T294,IF(ALLOC!$N$1="VOL_CLASS",$U294,$V294)))</f>
        <v/>
      </c>
      <c r="AI294" t="str">
        <f>IF($A294="","",$W294*IFERROR($K294/$O294,0))</f>
        <v/>
      </c>
      <c r="AJ294" t="str">
        <f>IF($A294="","",$X294*IFERROR($K294/$O294,0))</f>
        <v/>
      </c>
      <c r="AK294" t="str">
        <f>IF($A294="","",$Y294*IFERROR($G294/$L294,0)+$Z294*IFERROR($J294/$P294,0))</f>
        <v/>
      </c>
      <c r="AL294" t="str">
        <f>IF($A294="","",$AA294*IFERROR($AC294/$AD294,0))</f>
        <v/>
      </c>
      <c r="AM294" t="str">
        <f>IF($A294="","",$AB294*IFERROR($AG294/$AH294,0)*IFERROR($AE294/$AF294,0)*IFERROR($AC294/$AD294,0))</f>
        <v/>
      </c>
      <c r="AN294" t="str">
        <f>IF($A294="","",$I294-($AI294+$AJ294+$AK294+$AL294+$AM294+$AR294))</f>
        <v/>
      </c>
      <c r="AO294" t="str">
        <f>IF($A294="","",Allocation2!AE294)</f>
        <v/>
      </c>
      <c r="AP294" t="str">
        <f>IF($A294="","",IF(ALLOC!$N$2="VOL_EFF",$Q294,IF(ALLOC!$N$2="VOL_CLASS",$R294,$S294)))</f>
        <v/>
      </c>
      <c r="AQ294" t="str">
        <f>IF($A294="","",IF(ALLOC!$N$2="VOL_EFF",$T294,IF(ALLOC!$N$2="VOL_CLASS",$U294,$V294)))</f>
        <v/>
      </c>
      <c r="AR294" t="str">
        <f>IF($A294="","",$AO294*IFERROR($AP294/$AQ294,0)*IFERROR($AE294/$AF294,0)*IFERROR($AC294/$AD294,0))</f>
        <v/>
      </c>
    </row>
    <row r="295" spans="1:46" x14ac:dyDescent="0.45">
      <c r="A295" t="str">
        <f>IF(Allocation2!D295="","",Allocation2!D295)</f>
        <v/>
      </c>
      <c r="B295" t="str">
        <f>IF(Allocation2!E295="","",Allocation2!E295)</f>
        <v/>
      </c>
      <c r="C295" t="str">
        <f>IF(Allocation2!F295="","",Allocation2!F295)</f>
        <v/>
      </c>
      <c r="D295" t="str">
        <f>IF(Allocation2!G295="","",Allocation2!G295)</f>
        <v/>
      </c>
      <c r="E295" t="str">
        <f>IF(Allocation2!H295="","",Allocation2!H295)</f>
        <v/>
      </c>
      <c r="F295" t="str">
        <f>IF(Allocation2!I295="","",Allocation2!I295)</f>
        <v/>
      </c>
      <c r="G295" t="str">
        <f>IF(Allocation2!E295="","",Allocation2!J295)</f>
        <v/>
      </c>
      <c r="H295" t="str">
        <f>IF(Allocation2!E295="","",Allocation2!K295)</f>
        <v/>
      </c>
      <c r="I295" t="str">
        <f>IF(Allocation2!E295="","",Allocation2!L295)</f>
        <v/>
      </c>
      <c r="J295" t="str">
        <f>IF($A295="","",Allocation2!X295)</f>
        <v/>
      </c>
      <c r="K295" t="str">
        <f>IF($A295="","",$H295*IF(AND(LEFT($D295,3)="BAC",$F295="INIT"),600,IF(LEFT($D295,3)="BAC",480,IF(AND(LEFT($D295,3)="MAS",$F295="INIT"),520,IF(LEFT($D295,3)="MAS",420,IF($F295="INIT",1000,700))))))</f>
        <v/>
      </c>
      <c r="L295" t="str">
        <f>IF($A295="","",SUMIFS($G$1:$G$349,$A$1:$A$349,$A295,$B$1:$B$349,$B295))</f>
        <v/>
      </c>
      <c r="M295" t="str">
        <f>IF($A295="","",SUMIFS($H$1:$H$349,$A$1:$A$349,$A295,$B$1:$B$349,$B295))</f>
        <v/>
      </c>
      <c r="N295" t="str">
        <f>IF($A295="","",SUMIFS($I$1:$I$349,$A$1:$A$349,$A295,$B$1:$B$349,$B295))</f>
        <v/>
      </c>
      <c r="O295" t="str">
        <f>IF($A295="","",SUMIFS($K$1:$K$349,$A$1:$A$349,$A295,$B$1:$B$349,$B295))</f>
        <v/>
      </c>
      <c r="P295" t="str">
        <f>IF($A295="","",SUMIFS($J$1:$J$349,$A$1:$A$349,$A295,$B$1:$B$349,$B295))</f>
        <v/>
      </c>
      <c r="Q295" t="str">
        <f>IF($A295="","",SUMIFS($G$1:$G$349,$A$1:$A$349,$A295,$C$1:$C$349,$C295))</f>
        <v/>
      </c>
      <c r="R295" t="str">
        <f>IF($A295="","",SUMIFS($H$1:$H$349,$A$1:$A$349,$A295,$C$1:$C$349,$C295))</f>
        <v/>
      </c>
      <c r="S295" t="str">
        <f>IF($A295="","",SUMIFS($I$1:$I$349,$A$1:$A$349,$A295,$C$1:$C$349,$C295))</f>
        <v/>
      </c>
      <c r="T295" t="str">
        <f>IF($A295="","",SUMIFS($G$1:$G$349,$A$1:$A$349,$A295))</f>
        <v/>
      </c>
      <c r="U295" t="str">
        <f>IF($A295="","",SUMIFS($H$1:$H$349,$A$1:$A$349,$A295))</f>
        <v/>
      </c>
      <c r="V295" t="str">
        <f>IF($A295="","",SUMIFS($I$1:$I$349,$A$1:$A$349,$A295))</f>
        <v/>
      </c>
      <c r="W295" t="str">
        <f>IF($A295="","",Allocation2!Y295)</f>
        <v/>
      </c>
      <c r="X295" t="str">
        <f>IF($A295="","",Allocation2!Z295)</f>
        <v/>
      </c>
      <c r="Y295" t="str">
        <f>IF($A295="","",Allocation2!AA295)</f>
        <v/>
      </c>
      <c r="Z295" t="str">
        <f>IF($A295="","",Allocation2!AB295)</f>
        <v/>
      </c>
      <c r="AA295" t="str">
        <f>IF($A295="","",Allocation2!AC295)</f>
        <v/>
      </c>
      <c r="AB295" t="str">
        <f>IF($A295="","",Allocation2!AD295)</f>
        <v/>
      </c>
      <c r="AC295" t="str">
        <f>IF($A295="","",IF(ALLOC!$N$4="VOL_EFF",$G295,IF(ALLOC!$N$4="VOL_CLASS",$H295,$I295)))</f>
        <v/>
      </c>
      <c r="AD295" t="str">
        <f>IF($A295="","",IF(ALLOC!$N$4="VOL_EFF",$L295,IF(ALLOC!$N$4="VOL_CLASS",$M295,$N295)))</f>
        <v/>
      </c>
      <c r="AE295" t="str">
        <f>IF($A295="","",IF(ALLOC!$N$3="VOL_EFF",$L295,IF(ALLOC!$N$3="VOL_CLASS",$M295,$N295)))</f>
        <v/>
      </c>
      <c r="AF295" t="str">
        <f>IF($A295="","",IF(ALLOC!$N$3="VOL_EFF",$Q295,IF(ALLOC!$N$3="VOL_CLASS",$R295,$S295)))</f>
        <v/>
      </c>
      <c r="AG295" t="str">
        <f>IF($A295="","",IF(ALLOC!$N$1="VOL_EFF",$Q295,IF(ALLOC!$N$1="VOL_CLASS",$R295,$S295)))</f>
        <v/>
      </c>
      <c r="AH295" t="str">
        <f>IF($A295="","",IF(ALLOC!$N$1="VOL_EFF",$T295,IF(ALLOC!$N$1="VOL_CLASS",$U295,$V295)))</f>
        <v/>
      </c>
      <c r="AI295" t="str">
        <f>IF($A295="","",$W295*IFERROR($K295/$O295,0))</f>
        <v/>
      </c>
      <c r="AJ295" t="str">
        <f>IF($A295="","",$X295*IFERROR($K295/$O295,0))</f>
        <v/>
      </c>
      <c r="AK295" t="str">
        <f>IF($A295="","",$Y295*IFERROR($G295/$L295,0)+$Z295*IFERROR($J295/$P295,0))</f>
        <v/>
      </c>
      <c r="AL295" t="str">
        <f>IF($A295="","",$AA295*IFERROR($AC295/$AD295,0))</f>
        <v/>
      </c>
      <c r="AM295" t="str">
        <f>IF($A295="","",$AB295*IFERROR($AG295/$AH295,0)*IFERROR($AE295/$AF295,0)*IFERROR($AC295/$AD295,0))</f>
        <v/>
      </c>
      <c r="AN295" t="str">
        <f>IF($A295="","",$I295-($AI295+$AJ295+$AK295+$AL295+$AM295+$AR295))</f>
        <v/>
      </c>
      <c r="AO295" t="str">
        <f>IF($A295="","",Allocation2!AE295)</f>
        <v/>
      </c>
      <c r="AP295" t="str">
        <f>IF($A295="","",IF(ALLOC!$N$2="VOL_EFF",$Q295,IF(ALLOC!$N$2="VOL_CLASS",$R295,$S295)))</f>
        <v/>
      </c>
      <c r="AQ295" t="str">
        <f>IF($A295="","",IF(ALLOC!$N$2="VOL_EFF",$T295,IF(ALLOC!$N$2="VOL_CLASS",$U295,$V295)))</f>
        <v/>
      </c>
      <c r="AR295" t="str">
        <f>IF($A295="","",$AO295*IFERROR($AP295/$AQ295,0)*IFERROR($AE295/$AF295,0)*IFERROR($AC295/$AD295,0))</f>
        <v/>
      </c>
    </row>
    <row r="296" spans="1:46" x14ac:dyDescent="0.45">
      <c r="A296" t="str">
        <f>IF(Allocation2!D296="","",Allocation2!D296)</f>
        <v/>
      </c>
      <c r="B296" t="str">
        <f>IF(Allocation2!E296="","",Allocation2!E296)</f>
        <v/>
      </c>
      <c r="C296" t="str">
        <f>IF(Allocation2!F296="","",Allocation2!F296)</f>
        <v/>
      </c>
      <c r="D296" t="str">
        <f>IF(Allocation2!G296="","",Allocation2!G296)</f>
        <v/>
      </c>
      <c r="E296" t="str">
        <f>IF(Allocation2!H296="","",Allocation2!H296)</f>
        <v/>
      </c>
      <c r="F296" t="str">
        <f>IF(Allocation2!I296="","",Allocation2!I296)</f>
        <v/>
      </c>
      <c r="G296" t="str">
        <f>IF(Allocation2!E296="","",Allocation2!J296)</f>
        <v/>
      </c>
      <c r="H296" t="str">
        <f>IF(Allocation2!E296="","",Allocation2!K296)</f>
        <v/>
      </c>
      <c r="I296" t="str">
        <f>IF(Allocation2!E296="","",Allocation2!L296)</f>
        <v/>
      </c>
      <c r="J296" t="str">
        <f>IF($A296="","",Allocation2!X296)</f>
        <v/>
      </c>
      <c r="K296" t="str">
        <f>IF($A296="","",$H296*IF(AND(LEFT($D296,3)="BAC",$F296="INIT"),600,IF(LEFT($D296,3)="BAC",480,IF(AND(LEFT($D296,3)="MAS",$F296="INIT"),520,IF(LEFT($D296,3)="MAS",420,IF($F296="INIT",1000,700))))))</f>
        <v/>
      </c>
      <c r="L296" t="str">
        <f>IF($A296="","",SUMIFS($G$1:$G$349,$A$1:$A$349,$A296,$B$1:$B$349,$B296))</f>
        <v/>
      </c>
      <c r="M296" t="str">
        <f>IF($A296="","",SUMIFS($H$1:$H$349,$A$1:$A$349,$A296,$B$1:$B$349,$B296))</f>
        <v/>
      </c>
      <c r="N296" t="str">
        <f>IF($A296="","",SUMIFS($I$1:$I$349,$A$1:$A$349,$A296,$B$1:$B$349,$B296))</f>
        <v/>
      </c>
      <c r="O296" t="str">
        <f>IF($A296="","",SUMIFS($K$1:$K$349,$A$1:$A$349,$A296,$B$1:$B$349,$B296))</f>
        <v/>
      </c>
      <c r="P296" t="str">
        <f>IF($A296="","",SUMIFS($J$1:$J$349,$A$1:$A$349,$A296,$B$1:$B$349,$B296))</f>
        <v/>
      </c>
      <c r="Q296" t="str">
        <f>IF($A296="","",SUMIFS($G$1:$G$349,$A$1:$A$349,$A296,$C$1:$C$349,$C296))</f>
        <v/>
      </c>
      <c r="R296" t="str">
        <f>IF($A296="","",SUMIFS($H$1:$H$349,$A$1:$A$349,$A296,$C$1:$C$349,$C296))</f>
        <v/>
      </c>
      <c r="S296" t="str">
        <f>IF($A296="","",SUMIFS($I$1:$I$349,$A$1:$A$349,$A296,$C$1:$C$349,$C296))</f>
        <v/>
      </c>
      <c r="T296" t="str">
        <f>IF($A296="","",SUMIFS($G$1:$G$349,$A$1:$A$349,$A296))</f>
        <v/>
      </c>
      <c r="U296" t="str">
        <f>IF($A296="","",SUMIFS($H$1:$H$349,$A$1:$A$349,$A296))</f>
        <v/>
      </c>
      <c r="V296" t="str">
        <f>IF($A296="","",SUMIFS($I$1:$I$349,$A$1:$A$349,$A296))</f>
        <v/>
      </c>
      <c r="W296" t="str">
        <f>IF($A296="","",Allocation2!Y296)</f>
        <v/>
      </c>
      <c r="X296" t="str">
        <f>IF($A296="","",Allocation2!Z296)</f>
        <v/>
      </c>
      <c r="Y296" t="str">
        <f>IF($A296="","",Allocation2!AA296)</f>
        <v/>
      </c>
      <c r="Z296" t="str">
        <f>IF($A296="","",Allocation2!AB296)</f>
        <v/>
      </c>
      <c r="AA296" t="str">
        <f>IF($A296="","",Allocation2!AC296)</f>
        <v/>
      </c>
      <c r="AB296" t="str">
        <f>IF($A296="","",Allocation2!AD296)</f>
        <v/>
      </c>
      <c r="AC296" t="str">
        <f>IF($A296="","",IF(ALLOC!$N$4="VOL_EFF",$G296,IF(ALLOC!$N$4="VOL_CLASS",$H296,$I296)))</f>
        <v/>
      </c>
      <c r="AD296" t="str">
        <f>IF($A296="","",IF(ALLOC!$N$4="VOL_EFF",$L296,IF(ALLOC!$N$4="VOL_CLASS",$M296,$N296)))</f>
        <v/>
      </c>
      <c r="AE296" t="str">
        <f>IF($A296="","",IF(ALLOC!$N$3="VOL_EFF",$L296,IF(ALLOC!$N$3="VOL_CLASS",$M296,$N296)))</f>
        <v/>
      </c>
      <c r="AF296" t="str">
        <f>IF($A296="","",IF(ALLOC!$N$3="VOL_EFF",$Q296,IF(ALLOC!$N$3="VOL_CLASS",$R296,$S296)))</f>
        <v/>
      </c>
      <c r="AG296" t="str">
        <f>IF($A296="","",IF(ALLOC!$N$1="VOL_EFF",$Q296,IF(ALLOC!$N$1="VOL_CLASS",$R296,$S296)))</f>
        <v/>
      </c>
      <c r="AH296" t="str">
        <f>IF($A296="","",IF(ALLOC!$N$1="VOL_EFF",$T296,IF(ALLOC!$N$1="VOL_CLASS",$U296,$V296)))</f>
        <v/>
      </c>
      <c r="AI296" t="str">
        <f>IF($A296="","",$W296*IFERROR($K296/$O296,0))</f>
        <v/>
      </c>
      <c r="AJ296" t="str">
        <f>IF($A296="","",$X296*IFERROR($K296/$O296,0))</f>
        <v/>
      </c>
      <c r="AK296" t="str">
        <f>IF($A296="","",$Y296*IFERROR($G296/$L296,0)+$Z296*IFERROR($J296/$P296,0))</f>
        <v/>
      </c>
      <c r="AL296" t="str">
        <f>IF($A296="","",$AA296*IFERROR($AC296/$AD296,0))</f>
        <v/>
      </c>
      <c r="AM296" t="str">
        <f>IF($A296="","",$AB296*IFERROR($AG296/$AH296,0)*IFERROR($AE296/$AF296,0)*IFERROR($AC296/$AD296,0))</f>
        <v/>
      </c>
      <c r="AN296" t="str">
        <f>IF($A296="","",$I296-($AI296+$AJ296+$AK296+$AL296+$AM296+$AR296))</f>
        <v/>
      </c>
      <c r="AO296" t="str">
        <f>IF($A296="","",Allocation2!AE296)</f>
        <v/>
      </c>
      <c r="AP296" t="str">
        <f>IF($A296="","",IF(ALLOC!$N$2="VOL_EFF",$Q296,IF(ALLOC!$N$2="VOL_CLASS",$R296,$S296)))</f>
        <v/>
      </c>
      <c r="AQ296" t="str">
        <f>IF($A296="","",IF(ALLOC!$N$2="VOL_EFF",$T296,IF(ALLOC!$N$2="VOL_CLASS",$U296,$V296)))</f>
        <v/>
      </c>
      <c r="AR296" t="str">
        <f>IF($A296="","",$AO296*IFERROR($AP296/$AQ296,0)*IFERROR($AE296/$AF296,0)*IFERROR($AC296/$AD296,0))</f>
        <v/>
      </c>
    </row>
    <row r="297" spans="1:46" x14ac:dyDescent="0.45">
      <c r="A297" t="str">
        <f>IF(Allocation2!D297="","",Allocation2!D297)</f>
        <v/>
      </c>
      <c r="B297" t="str">
        <f>IF(Allocation2!E297="","",Allocation2!E297)</f>
        <v/>
      </c>
      <c r="C297" t="str">
        <f>IF(Allocation2!F297="","",Allocation2!F297)</f>
        <v/>
      </c>
      <c r="D297" t="str">
        <f>IF(Allocation2!G297="","",Allocation2!G297)</f>
        <v/>
      </c>
      <c r="E297" t="str">
        <f>IF(Allocation2!H297="","",Allocation2!H297)</f>
        <v/>
      </c>
      <c r="F297" t="str">
        <f>IF(Allocation2!I297="","",Allocation2!I297)</f>
        <v/>
      </c>
      <c r="G297" t="str">
        <f>IF(Allocation2!E297="","",Allocation2!J297)</f>
        <v/>
      </c>
      <c r="H297" t="str">
        <f>IF(Allocation2!E297="","",Allocation2!K297)</f>
        <v/>
      </c>
      <c r="I297" t="str">
        <f>IF(Allocation2!E297="","",Allocation2!L297)</f>
        <v/>
      </c>
      <c r="J297" t="str">
        <f>IF($A297="","",Allocation2!X297)</f>
        <v/>
      </c>
      <c r="K297" t="str">
        <f>IF($A297="","",$H297*IF(AND(LEFT($D297,3)="BAC",$F297="INIT"),600,IF(LEFT($D297,3)="BAC",480,IF(AND(LEFT($D297,3)="MAS",$F297="INIT"),520,IF(LEFT($D297,3)="MAS",420,IF($F297="INIT",1000,700))))))</f>
        <v/>
      </c>
      <c r="L297" t="str">
        <f>IF($A297="","",SUMIFS($G$1:$G$349,$A$1:$A$349,$A297,$B$1:$B$349,$B297))</f>
        <v/>
      </c>
      <c r="M297" t="str">
        <f>IF($A297="","",SUMIFS($H$1:$H$349,$A$1:$A$349,$A297,$B$1:$B$349,$B297))</f>
        <v/>
      </c>
      <c r="N297" t="str">
        <f>IF($A297="","",SUMIFS($I$1:$I$349,$A$1:$A$349,$A297,$B$1:$B$349,$B297))</f>
        <v/>
      </c>
      <c r="O297" t="str">
        <f>IF($A297="","",SUMIFS($K$1:$K$349,$A$1:$A$349,$A297,$B$1:$B$349,$B297))</f>
        <v/>
      </c>
      <c r="P297" t="str">
        <f>IF($A297="","",SUMIFS($J$1:$J$349,$A$1:$A$349,$A297,$B$1:$B$349,$B297))</f>
        <v/>
      </c>
      <c r="Q297" t="str">
        <f>IF($A297="","",SUMIFS($G$1:$G$349,$A$1:$A$349,$A297,$C$1:$C$349,$C297))</f>
        <v/>
      </c>
      <c r="R297" t="str">
        <f>IF($A297="","",SUMIFS($H$1:$H$349,$A$1:$A$349,$A297,$C$1:$C$349,$C297))</f>
        <v/>
      </c>
      <c r="S297" t="str">
        <f>IF($A297="","",SUMIFS($I$1:$I$349,$A$1:$A$349,$A297,$C$1:$C$349,$C297))</f>
        <v/>
      </c>
      <c r="T297" t="str">
        <f>IF($A297="","",SUMIFS($G$1:$G$349,$A$1:$A$349,$A297))</f>
        <v/>
      </c>
      <c r="U297" t="str">
        <f>IF($A297="","",SUMIFS($H$1:$H$349,$A$1:$A$349,$A297))</f>
        <v/>
      </c>
      <c r="V297" t="str">
        <f>IF($A297="","",SUMIFS($I$1:$I$349,$A$1:$A$349,$A297))</f>
        <v/>
      </c>
      <c r="W297" t="str">
        <f>IF($A297="","",Allocation2!Y297)</f>
        <v/>
      </c>
      <c r="X297" t="str">
        <f>IF($A297="","",Allocation2!Z297)</f>
        <v/>
      </c>
      <c r="Y297" t="str">
        <f>IF($A297="","",Allocation2!AA297)</f>
        <v/>
      </c>
      <c r="Z297" t="str">
        <f>IF($A297="","",Allocation2!AB297)</f>
        <v/>
      </c>
      <c r="AA297" t="str">
        <f>IF($A297="","",Allocation2!AC297)</f>
        <v/>
      </c>
      <c r="AB297" t="str">
        <f>IF($A297="","",Allocation2!AD297)</f>
        <v/>
      </c>
      <c r="AC297" t="str">
        <f>IF($A297="","",IF(ALLOC!$N$4="VOL_EFF",$G297,IF(ALLOC!$N$4="VOL_CLASS",$H297,$I297)))</f>
        <v/>
      </c>
      <c r="AD297" t="str">
        <f>IF($A297="","",IF(ALLOC!$N$4="VOL_EFF",$L297,IF(ALLOC!$N$4="VOL_CLASS",$M297,$N297)))</f>
        <v/>
      </c>
      <c r="AE297" t="str">
        <f>IF($A297="","",IF(ALLOC!$N$3="VOL_EFF",$L297,IF(ALLOC!$N$3="VOL_CLASS",$M297,$N297)))</f>
        <v/>
      </c>
      <c r="AF297" t="str">
        <f>IF($A297="","",IF(ALLOC!$N$3="VOL_EFF",$Q297,IF(ALLOC!$N$3="VOL_CLASS",$R297,$S297)))</f>
        <v/>
      </c>
      <c r="AG297" t="str">
        <f>IF($A297="","",IF(ALLOC!$N$1="VOL_EFF",$Q297,IF(ALLOC!$N$1="VOL_CLASS",$R297,$S297)))</f>
        <v/>
      </c>
      <c r="AH297" t="str">
        <f>IF($A297="","",IF(ALLOC!$N$1="VOL_EFF",$T297,IF(ALLOC!$N$1="VOL_CLASS",$U297,$V297)))</f>
        <v/>
      </c>
      <c r="AI297" t="str">
        <f>IF($A297="","",$W297*IFERROR($K297/$O297,0))</f>
        <v/>
      </c>
      <c r="AJ297" t="str">
        <f>IF($A297="","",$X297*IFERROR($K297/$O297,0))</f>
        <v/>
      </c>
      <c r="AK297" t="str">
        <f>IF($A297="","",$Y297*IFERROR($G297/$L297,0)+$Z297*IFERROR($J297/$P297,0))</f>
        <v/>
      </c>
      <c r="AL297" t="str">
        <f>IF($A297="","",$AA297*IFERROR($AC297/$AD297,0))</f>
        <v/>
      </c>
      <c r="AM297" t="str">
        <f>IF($A297="","",$AB297*IFERROR($AG297/$AH297,0)*IFERROR($AE297/$AF297,0)*IFERROR($AC297/$AD297,0))</f>
        <v/>
      </c>
      <c r="AN297" t="str">
        <f>IF($A297="","",$I297-($AI297+$AJ297+$AK297+$AL297+$AM297+$AR297))</f>
        <v/>
      </c>
      <c r="AO297" t="str">
        <f>IF($A297="","",Allocation2!AE297)</f>
        <v/>
      </c>
      <c r="AP297" t="str">
        <f>IF($A297="","",IF(ALLOC!$N$2="VOL_EFF",$Q297,IF(ALLOC!$N$2="VOL_CLASS",$R297,$S297)))</f>
        <v/>
      </c>
      <c r="AQ297" t="str">
        <f>IF($A297="","",IF(ALLOC!$N$2="VOL_EFF",$T297,IF(ALLOC!$N$2="VOL_CLASS",$U297,$V297)))</f>
        <v/>
      </c>
      <c r="AR297" t="str">
        <f>IF($A297="","",$AO297*IFERROR($AP297/$AQ297,0)*IFERROR($AE297/$AF297,0)*IFERROR($AC297/$AD297,0))</f>
        <v/>
      </c>
    </row>
    <row r="298" spans="1:46" x14ac:dyDescent="0.45">
      <c r="A298" t="str">
        <f>IF(Allocation2!D298="","",Allocation2!D298)</f>
        <v/>
      </c>
      <c r="B298" t="str">
        <f>IF(Allocation2!E298="","",Allocation2!E298)</f>
        <v/>
      </c>
      <c r="C298" t="str">
        <f>IF(Allocation2!F298="","",Allocation2!F298)</f>
        <v/>
      </c>
      <c r="D298" t="str">
        <f>IF(Allocation2!G298="","",Allocation2!G298)</f>
        <v/>
      </c>
      <c r="E298" t="str">
        <f>IF(Allocation2!H298="","",Allocation2!H298)</f>
        <v/>
      </c>
      <c r="F298" t="str">
        <f>IF(Allocation2!I298="","",Allocation2!I298)</f>
        <v/>
      </c>
      <c r="G298" t="str">
        <f>IF(Allocation2!E298="","",Allocation2!J298)</f>
        <v/>
      </c>
      <c r="H298" t="str">
        <f>IF(Allocation2!E298="","",Allocation2!K298)</f>
        <v/>
      </c>
      <c r="I298" t="str">
        <f>IF(Allocation2!E298="","",Allocation2!L298)</f>
        <v/>
      </c>
      <c r="J298" t="str">
        <f>IF($A298="","",Allocation2!X298)</f>
        <v/>
      </c>
      <c r="K298" t="str">
        <f>IF($A298="","",$H298*IF(AND(LEFT($D298,3)="BAC",$F298="INIT"),600,IF(LEFT($D298,3)="BAC",480,IF(AND(LEFT($D298,3)="MAS",$F298="INIT"),520,IF(LEFT($D298,3)="MAS",420,IF($F298="INIT",1000,700))))))</f>
        <v/>
      </c>
      <c r="L298" t="str">
        <f>IF($A298="","",SUMIFS($G$1:$G$349,$A$1:$A$349,$A298,$B$1:$B$349,$B298))</f>
        <v/>
      </c>
      <c r="M298" t="str">
        <f>IF($A298="","",SUMIFS($H$1:$H$349,$A$1:$A$349,$A298,$B$1:$B$349,$B298))</f>
        <v/>
      </c>
      <c r="N298" t="str">
        <f>IF($A298="","",SUMIFS($I$1:$I$349,$A$1:$A$349,$A298,$B$1:$B$349,$B298))</f>
        <v/>
      </c>
      <c r="O298" t="str">
        <f>IF($A298="","",SUMIFS($K$1:$K$349,$A$1:$A$349,$A298,$B$1:$B$349,$B298))</f>
        <v/>
      </c>
      <c r="P298" t="str">
        <f>IF($A298="","",SUMIFS($J$1:$J$349,$A$1:$A$349,$A298,$B$1:$B$349,$B298))</f>
        <v/>
      </c>
      <c r="Q298" t="str">
        <f>IF($A298="","",SUMIFS($G$1:$G$349,$A$1:$A$349,$A298,$C$1:$C$349,$C298))</f>
        <v/>
      </c>
      <c r="R298" t="str">
        <f>IF($A298="","",SUMIFS($H$1:$H$349,$A$1:$A$349,$A298,$C$1:$C$349,$C298))</f>
        <v/>
      </c>
      <c r="S298" t="str">
        <f>IF($A298="","",SUMIFS($I$1:$I$349,$A$1:$A$349,$A298,$C$1:$C$349,$C298))</f>
        <v/>
      </c>
      <c r="T298" t="str">
        <f>IF($A298="","",SUMIFS($G$1:$G$349,$A$1:$A$349,$A298))</f>
        <v/>
      </c>
      <c r="U298" t="str">
        <f>IF($A298="","",SUMIFS($H$1:$H$349,$A$1:$A$349,$A298))</f>
        <v/>
      </c>
      <c r="V298" t="str">
        <f>IF($A298="","",SUMIFS($I$1:$I$349,$A$1:$A$349,$A298))</f>
        <v/>
      </c>
      <c r="W298" t="str">
        <f>IF($A298="","",Allocation2!Y298)</f>
        <v/>
      </c>
      <c r="X298" t="str">
        <f>IF($A298="","",Allocation2!Z298)</f>
        <v/>
      </c>
      <c r="Y298" t="str">
        <f>IF($A298="","",Allocation2!AA298)</f>
        <v/>
      </c>
      <c r="Z298" t="str">
        <f>IF($A298="","",Allocation2!AB298)</f>
        <v/>
      </c>
      <c r="AA298" t="str">
        <f>IF($A298="","",Allocation2!AC298)</f>
        <v/>
      </c>
      <c r="AB298" t="str">
        <f>IF($A298="","",Allocation2!AD298)</f>
        <v/>
      </c>
      <c r="AC298" t="str">
        <f>IF($A298="","",IF(ALLOC!$N$4="VOL_EFF",$G298,IF(ALLOC!$N$4="VOL_CLASS",$H298,$I298)))</f>
        <v/>
      </c>
      <c r="AD298" t="str">
        <f>IF($A298="","",IF(ALLOC!$N$4="VOL_EFF",$L298,IF(ALLOC!$N$4="VOL_CLASS",$M298,$N298)))</f>
        <v/>
      </c>
      <c r="AE298" t="str">
        <f>IF($A298="","",IF(ALLOC!$N$3="VOL_EFF",$L298,IF(ALLOC!$N$3="VOL_CLASS",$M298,$N298)))</f>
        <v/>
      </c>
      <c r="AF298" t="str">
        <f>IF($A298="","",IF(ALLOC!$N$3="VOL_EFF",$Q298,IF(ALLOC!$N$3="VOL_CLASS",$R298,$S298)))</f>
        <v/>
      </c>
      <c r="AG298" t="str">
        <f>IF($A298="","",IF(ALLOC!$N$1="VOL_EFF",$Q298,IF(ALLOC!$N$1="VOL_CLASS",$R298,$S298)))</f>
        <v/>
      </c>
      <c r="AH298" t="str">
        <f>IF($A298="","",IF(ALLOC!$N$1="VOL_EFF",$T298,IF(ALLOC!$N$1="VOL_CLASS",$U298,$V298)))</f>
        <v/>
      </c>
      <c r="AI298" t="str">
        <f>IF($A298="","",$W298*IFERROR($K298/$O298,0))</f>
        <v/>
      </c>
      <c r="AJ298" t="str">
        <f>IF($A298="","",$X298*IFERROR($K298/$O298,0))</f>
        <v/>
      </c>
      <c r="AK298" t="str">
        <f>IF($A298="","",$Y298*IFERROR($G298/$L298,0)+$Z298*IFERROR($J298/$P298,0))</f>
        <v/>
      </c>
      <c r="AL298" t="str">
        <f>IF($A298="","",$AA298*IFERROR($AC298/$AD298,0))</f>
        <v/>
      </c>
      <c r="AM298" t="str">
        <f>IF($A298="","",$AB298*IFERROR($AG298/$AH298,0)*IFERROR($AE298/$AF298,0)*IFERROR($AC298/$AD298,0))</f>
        <v/>
      </c>
      <c r="AN298" t="str">
        <f>IF($A298="","",$I298-($AI298+$AJ298+$AK298+$AL298+$AM298+$AR298))</f>
        <v/>
      </c>
      <c r="AO298" t="str">
        <f>IF($A298="","",Allocation2!AE298)</f>
        <v/>
      </c>
      <c r="AP298" t="str">
        <f>IF($A298="","",IF(ALLOC!$N$2="VOL_EFF",$Q298,IF(ALLOC!$N$2="VOL_CLASS",$R298,$S298)))</f>
        <v/>
      </c>
      <c r="AQ298" t="str">
        <f>IF($A298="","",IF(ALLOC!$N$2="VOL_EFF",$T298,IF(ALLOC!$N$2="VOL_CLASS",$U298,$V298)))</f>
        <v/>
      </c>
      <c r="AR298" t="str">
        <f>IF($A298="","",$AO298*IFERROR($AP298/$AQ298,0)*IFERROR($AE298/$AF298,0)*IFERROR($AC298/$AD298,0))</f>
        <v/>
      </c>
    </row>
    <row r="299" spans="1:46" x14ac:dyDescent="0.45">
      <c r="A299" t="str">
        <f>IF(Allocation2!D299="","",Allocation2!D299)</f>
        <v/>
      </c>
      <c r="B299" t="str">
        <f>IF(Allocation2!E299="","",Allocation2!E299)</f>
        <v/>
      </c>
      <c r="C299" t="str">
        <f>IF(Allocation2!F299="","",Allocation2!F299)</f>
        <v/>
      </c>
      <c r="D299" t="str">
        <f>IF(Allocation2!G299="","",Allocation2!G299)</f>
        <v/>
      </c>
      <c r="E299" t="str">
        <f>IF(Allocation2!H299="","",Allocation2!H299)</f>
        <v/>
      </c>
      <c r="F299" t="str">
        <f>IF(Allocation2!I299="","",Allocation2!I299)</f>
        <v/>
      </c>
      <c r="G299" t="str">
        <f>IF(Allocation2!E299="","",Allocation2!J299)</f>
        <v/>
      </c>
      <c r="H299" t="str">
        <f>IF(Allocation2!E299="","",Allocation2!K299)</f>
        <v/>
      </c>
      <c r="I299" t="str">
        <f>IF(Allocation2!E299="","",Allocation2!L299)</f>
        <v/>
      </c>
      <c r="J299" t="str">
        <f>IF($A299="","",Allocation2!X299)</f>
        <v/>
      </c>
      <c r="K299" t="str">
        <f>IF($A299="","",$H299*IF(AND(LEFT($D299,3)="BAC",$F299="INIT"),600,IF(LEFT($D299,3)="BAC",480,IF(AND(LEFT($D299,3)="MAS",$F299="INIT"),520,IF(LEFT($D299,3)="MAS",420,IF($F299="INIT",1000,700))))))</f>
        <v/>
      </c>
      <c r="L299" t="str">
        <f>IF($A299="","",SUMIFS($G$1:$G$349,$A$1:$A$349,$A299,$B$1:$B$349,$B299))</f>
        <v/>
      </c>
      <c r="M299" t="str">
        <f>IF($A299="","",SUMIFS($H$1:$H$349,$A$1:$A$349,$A299,$B$1:$B$349,$B299))</f>
        <v/>
      </c>
      <c r="N299" t="str">
        <f>IF($A299="","",SUMIFS($I$1:$I$349,$A$1:$A$349,$A299,$B$1:$B$349,$B299))</f>
        <v/>
      </c>
      <c r="O299" t="str">
        <f>IF($A299="","",SUMIFS($K$1:$K$349,$A$1:$A$349,$A299,$B$1:$B$349,$B299))</f>
        <v/>
      </c>
      <c r="P299" t="str">
        <f>IF($A299="","",SUMIFS($J$1:$J$349,$A$1:$A$349,$A299,$B$1:$B$349,$B299))</f>
        <v/>
      </c>
      <c r="Q299" t="str">
        <f>IF($A299="","",SUMIFS($G$1:$G$349,$A$1:$A$349,$A299,$C$1:$C$349,$C299))</f>
        <v/>
      </c>
      <c r="R299" t="str">
        <f>IF($A299="","",SUMIFS($H$1:$H$349,$A$1:$A$349,$A299,$C$1:$C$349,$C299))</f>
        <v/>
      </c>
      <c r="S299" t="str">
        <f>IF($A299="","",SUMIFS($I$1:$I$349,$A$1:$A$349,$A299,$C$1:$C$349,$C299))</f>
        <v/>
      </c>
      <c r="T299" t="str">
        <f>IF($A299="","",SUMIFS($G$1:$G$349,$A$1:$A$349,$A299))</f>
        <v/>
      </c>
      <c r="U299" t="str">
        <f>IF($A299="","",SUMIFS($H$1:$H$349,$A$1:$A$349,$A299))</f>
        <v/>
      </c>
      <c r="V299" t="str">
        <f>IF($A299="","",SUMIFS($I$1:$I$349,$A$1:$A$349,$A299))</f>
        <v/>
      </c>
      <c r="W299" t="str">
        <f>IF($A299="","",Allocation2!Y299)</f>
        <v/>
      </c>
      <c r="X299" t="str">
        <f>IF($A299="","",Allocation2!Z299)</f>
        <v/>
      </c>
      <c r="Y299" t="str">
        <f>IF($A299="","",Allocation2!AA299)</f>
        <v/>
      </c>
      <c r="Z299" t="str">
        <f>IF($A299="","",Allocation2!AB299)</f>
        <v/>
      </c>
      <c r="AA299" t="str">
        <f>IF($A299="","",Allocation2!AC299)</f>
        <v/>
      </c>
      <c r="AB299" t="str">
        <f>IF($A299="","",Allocation2!AD299)</f>
        <v/>
      </c>
      <c r="AC299" t="str">
        <f>IF($A299="","",IF(ALLOC!$N$4="VOL_EFF",$G299,IF(ALLOC!$N$4="VOL_CLASS",$H299,$I299)))</f>
        <v/>
      </c>
      <c r="AD299" t="str">
        <f>IF($A299="","",IF(ALLOC!$N$4="VOL_EFF",$L299,IF(ALLOC!$N$4="VOL_CLASS",$M299,$N299)))</f>
        <v/>
      </c>
      <c r="AE299" t="str">
        <f>IF($A299="","",IF(ALLOC!$N$3="VOL_EFF",$L299,IF(ALLOC!$N$3="VOL_CLASS",$M299,$N299)))</f>
        <v/>
      </c>
      <c r="AF299" t="str">
        <f>IF($A299="","",IF(ALLOC!$N$3="VOL_EFF",$Q299,IF(ALLOC!$N$3="VOL_CLASS",$R299,$S299)))</f>
        <v/>
      </c>
      <c r="AG299" t="str">
        <f>IF($A299="","",IF(ALLOC!$N$1="VOL_EFF",$Q299,IF(ALLOC!$N$1="VOL_CLASS",$R299,$S299)))</f>
        <v/>
      </c>
      <c r="AH299" t="str">
        <f>IF($A299="","",IF(ALLOC!$N$1="VOL_EFF",$T299,IF(ALLOC!$N$1="VOL_CLASS",$U299,$V299)))</f>
        <v/>
      </c>
      <c r="AI299" t="str">
        <f>IF($A299="","",$W299*IFERROR($K299/$O299,0))</f>
        <v/>
      </c>
      <c r="AJ299" t="str">
        <f>IF($A299="","",$X299*IFERROR($K299/$O299,0))</f>
        <v/>
      </c>
      <c r="AK299" t="str">
        <f>IF($A299="","",$Y299*IFERROR($G299/$L299,0)+$Z299*IFERROR($J299/$P299,0))</f>
        <v/>
      </c>
      <c r="AL299" t="str">
        <f>IF($A299="","",$AA299*IFERROR($AC299/$AD299,0))</f>
        <v/>
      </c>
      <c r="AM299" t="str">
        <f>IF($A299="","",$AB299*IFERROR($AG299/$AH299,0)*IFERROR($AE299/$AF299,0)*IFERROR($AC299/$AD299,0))</f>
        <v/>
      </c>
      <c r="AN299" t="str">
        <f>IF($A299="","",$I299-($AI299+$AJ299+$AK299+$AL299+$AM299+$AR299))</f>
        <v/>
      </c>
      <c r="AO299" t="str">
        <f>IF($A299="","",Allocation2!AE299)</f>
        <v/>
      </c>
      <c r="AP299" t="str">
        <f>IF($A299="","",IF(ALLOC!$N$2="VOL_EFF",$Q299,IF(ALLOC!$N$2="VOL_CLASS",$R299,$S299)))</f>
        <v/>
      </c>
      <c r="AQ299" t="str">
        <f>IF($A299="","",IF(ALLOC!$N$2="VOL_EFF",$T299,IF(ALLOC!$N$2="VOL_CLASS",$U299,$V299)))</f>
        <v/>
      </c>
      <c r="AR299" t="str">
        <f>IF($A299="","",$AO299*IFERROR($AP299/$AQ299,0)*IFERROR($AE299/$AF299,0)*IFERROR($AC299/$AD299,0))</f>
        <v/>
      </c>
    </row>
    <row r="300" spans="1:46" x14ac:dyDescent="0.45">
      <c r="A300" t="str">
        <f>IF(Allocation2!D300="","",Allocation2!D300)</f>
        <v/>
      </c>
      <c r="B300" t="str">
        <f>IF(Allocation2!E300="","",Allocation2!E300)</f>
        <v/>
      </c>
      <c r="C300" t="str">
        <f>IF(Allocation2!F300="","",Allocation2!F300)</f>
        <v/>
      </c>
      <c r="D300" t="str">
        <f>IF(Allocation2!G300="","",Allocation2!G300)</f>
        <v/>
      </c>
      <c r="E300" t="str">
        <f>IF(Allocation2!H300="","",Allocation2!H300)</f>
        <v/>
      </c>
      <c r="F300" t="str">
        <f>IF(Allocation2!I300="","",Allocation2!I300)</f>
        <v/>
      </c>
      <c r="G300" t="str">
        <f>IF(Allocation2!E300="","",Allocation2!J300)</f>
        <v/>
      </c>
      <c r="H300" t="str">
        <f>IF(Allocation2!E300="","",Allocation2!K300)</f>
        <v/>
      </c>
      <c r="I300" t="str">
        <f>IF(Allocation2!E300="","",Allocation2!L300)</f>
        <v/>
      </c>
      <c r="J300" t="str">
        <f>IF($A300="","",Allocation2!X300)</f>
        <v/>
      </c>
      <c r="K300" t="str">
        <f>IF($A300="","",$H300*IF(AND(LEFT($D300,3)="BAC",$F300="INIT"),600,IF(LEFT($D300,3)="BAC",480,IF(AND(LEFT($D300,3)="MAS",$F300="INIT"),520,IF(LEFT($D300,3)="MAS",420,IF($F300="INIT",1000,700))))))</f>
        <v/>
      </c>
      <c r="L300" t="str">
        <f>IF($A300="","",SUMIFS($G$1:$G$349,$A$1:$A$349,$A300,$B$1:$B$349,$B300))</f>
        <v/>
      </c>
      <c r="M300" t="str">
        <f>IF($A300="","",SUMIFS($H$1:$H$349,$A$1:$A$349,$A300,$B$1:$B$349,$B300))</f>
        <v/>
      </c>
      <c r="N300" t="str">
        <f>IF($A300="","",SUMIFS($I$1:$I$349,$A$1:$A$349,$A300,$B$1:$B$349,$B300))</f>
        <v/>
      </c>
      <c r="O300" t="str">
        <f>IF($A300="","",SUMIFS($K$1:$K$349,$A$1:$A$349,$A300,$B$1:$B$349,$B300))</f>
        <v/>
      </c>
      <c r="P300" t="str">
        <f>IF($A300="","",SUMIFS($J$1:$J$349,$A$1:$A$349,$A300,$B$1:$B$349,$B300))</f>
        <v/>
      </c>
      <c r="Q300" t="str">
        <f>IF($A300="","",SUMIFS($G$1:$G$349,$A$1:$A$349,$A300,$C$1:$C$349,$C300))</f>
        <v/>
      </c>
      <c r="R300" t="str">
        <f>IF($A300="","",SUMIFS($H$1:$H$349,$A$1:$A$349,$A300,$C$1:$C$349,$C300))</f>
        <v/>
      </c>
      <c r="S300" t="str">
        <f>IF($A300="","",SUMIFS($I$1:$I$349,$A$1:$A$349,$A300,$C$1:$C$349,$C300))</f>
        <v/>
      </c>
      <c r="T300" t="str">
        <f>IF($A300="","",SUMIFS($G$1:$G$349,$A$1:$A$349,$A300))</f>
        <v/>
      </c>
      <c r="U300" t="str">
        <f>IF($A300="","",SUMIFS($H$1:$H$349,$A$1:$A$349,$A300))</f>
        <v/>
      </c>
      <c r="V300" t="str">
        <f>IF($A300="","",SUMIFS($I$1:$I$349,$A$1:$A$349,$A300))</f>
        <v/>
      </c>
      <c r="W300" t="str">
        <f>IF($A300="","",Allocation2!Y300)</f>
        <v/>
      </c>
      <c r="X300" t="str">
        <f>IF($A300="","",Allocation2!Z300)</f>
        <v/>
      </c>
      <c r="Y300" t="str">
        <f>IF($A300="","",Allocation2!AA300)</f>
        <v/>
      </c>
      <c r="Z300" t="str">
        <f>IF($A300="","",Allocation2!AB300)</f>
        <v/>
      </c>
      <c r="AA300" t="str">
        <f>IF($A300="","",Allocation2!AC300)</f>
        <v/>
      </c>
      <c r="AB300" t="str">
        <f>IF($A300="","",Allocation2!AD300)</f>
        <v/>
      </c>
      <c r="AC300" t="str">
        <f>IF($A300="","",IF(ALLOC!$N$4="VOL_EFF",$G300,IF(ALLOC!$N$4="VOL_CLASS",$H300,$I300)))</f>
        <v/>
      </c>
      <c r="AD300" t="str">
        <f>IF($A300="","",IF(ALLOC!$N$4="VOL_EFF",$L300,IF(ALLOC!$N$4="VOL_CLASS",$M300,$N300)))</f>
        <v/>
      </c>
      <c r="AE300" t="str">
        <f>IF($A300="","",IF(ALLOC!$N$3="VOL_EFF",$L300,IF(ALLOC!$N$3="VOL_CLASS",$M300,$N300)))</f>
        <v/>
      </c>
      <c r="AF300" t="str">
        <f>IF($A300="","",IF(ALLOC!$N$3="VOL_EFF",$Q300,IF(ALLOC!$N$3="VOL_CLASS",$R300,$S300)))</f>
        <v/>
      </c>
      <c r="AG300" t="str">
        <f>IF($A300="","",IF(ALLOC!$N$1="VOL_EFF",$Q300,IF(ALLOC!$N$1="VOL_CLASS",$R300,$S300)))</f>
        <v/>
      </c>
      <c r="AH300" t="str">
        <f>IF($A300="","",IF(ALLOC!$N$1="VOL_EFF",$T300,IF(ALLOC!$N$1="VOL_CLASS",$U300,$V300)))</f>
        <v/>
      </c>
      <c r="AI300" t="str">
        <f>IF($A300="","",$W300*IFERROR($K300/$O300,0))</f>
        <v/>
      </c>
      <c r="AJ300" t="str">
        <f>IF($A300="","",$X300*IFERROR($K300/$O300,0))</f>
        <v/>
      </c>
      <c r="AK300" t="str">
        <f>IF($A300="","",$Y300*IFERROR($G300/$L300,0)+$Z300*IFERROR($J300/$P300,0))</f>
        <v/>
      </c>
      <c r="AL300" t="str">
        <f>IF($A300="","",$AA300*IFERROR($AC300/$AD300,0))</f>
        <v/>
      </c>
      <c r="AM300" t="str">
        <f>IF($A300="","",$AB300*IFERROR($AG300/$AH300,0)*IFERROR($AE300/$AF300,0)*IFERROR($AC300/$AD300,0))</f>
        <v/>
      </c>
      <c r="AN300" t="str">
        <f>IF($A300="","",$I300-($AI300+$AJ300+$AK300+$AL300+$AM300+$AR300))</f>
        <v/>
      </c>
      <c r="AO300" t="str">
        <f>IF($A300="","",Allocation2!AE300)</f>
        <v/>
      </c>
      <c r="AP300" t="str">
        <f>IF($A300="","",IF(ALLOC!$N$2="VOL_EFF",$Q300,IF(ALLOC!$N$2="VOL_CLASS",$R300,$S300)))</f>
        <v/>
      </c>
      <c r="AQ300" t="str">
        <f>IF($A300="","",IF(ALLOC!$N$2="VOL_EFF",$T300,IF(ALLOC!$N$2="VOL_CLASS",$U300,$V300)))</f>
        <v/>
      </c>
      <c r="AR300" t="str">
        <f>IF($A300="","",$AO300*IFERROR($AP300/$AQ300,0)*IFERROR($AE300/$AF300,0)*IFERROR($AC300/$AD300,0))</f>
        <v/>
      </c>
    </row>
    <row r="301" spans="1:46" x14ac:dyDescent="0.45">
      <c r="A301" t="str">
        <f>IF(Allocation2!D301="","",Allocation2!D301)</f>
        <v/>
      </c>
      <c r="B301" t="str">
        <f>IF(Allocation2!E301="","",Allocation2!E301)</f>
        <v/>
      </c>
      <c r="C301" t="str">
        <f>IF(Allocation2!F301="","",Allocation2!F301)</f>
        <v/>
      </c>
      <c r="D301" t="str">
        <f>IF(Allocation2!G301="","",Allocation2!G301)</f>
        <v/>
      </c>
      <c r="E301" t="str">
        <f>IF(Allocation2!H301="","",Allocation2!H301)</f>
        <v/>
      </c>
      <c r="F301" t="str">
        <f>IF(Allocation2!I301="","",Allocation2!I301)</f>
        <v/>
      </c>
      <c r="G301" t="str">
        <f>IF(Allocation2!E301="","",Allocation2!J301)</f>
        <v/>
      </c>
      <c r="H301" t="str">
        <f>IF(Allocation2!E301="","",Allocation2!K301)</f>
        <v/>
      </c>
      <c r="I301" t="str">
        <f>IF(Allocation2!E301="","",Allocation2!L301)</f>
        <v/>
      </c>
      <c r="J301" t="str">
        <f>IF($A301="","",Allocation2!X301)</f>
        <v/>
      </c>
      <c r="K301" t="str">
        <f>IF($A301="","",$H301*IF(AND(LEFT($D301,3)="BAC",$F301="INIT"),600,IF(LEFT($D301,3)="BAC",480,IF(AND(LEFT($D301,3)="MAS",$F301="INIT"),520,IF(LEFT($D301,3)="MAS",420,IF($F301="INIT",1000,700))))))</f>
        <v/>
      </c>
      <c r="L301" t="str">
        <f>IF($A301="","",SUMIFS($G$1:$G$349,$A$1:$A$349,$A301,$B$1:$B$349,$B301))</f>
        <v/>
      </c>
      <c r="M301" t="str">
        <f>IF($A301="","",SUMIFS($H$1:$H$349,$A$1:$A$349,$A301,$B$1:$B$349,$B301))</f>
        <v/>
      </c>
      <c r="N301" t="str">
        <f>IF($A301="","",SUMIFS($I$1:$I$349,$A$1:$A$349,$A301,$B$1:$B$349,$B301))</f>
        <v/>
      </c>
      <c r="O301" t="str">
        <f>IF($A301="","",SUMIFS($K$1:$K$349,$A$1:$A$349,$A301,$B$1:$B$349,$B301))</f>
        <v/>
      </c>
      <c r="P301" t="str">
        <f>IF($A301="","",SUMIFS($J$1:$J$349,$A$1:$A$349,$A301,$B$1:$B$349,$B301))</f>
        <v/>
      </c>
      <c r="Q301" t="str">
        <f>IF($A301="","",SUMIFS($G$1:$G$349,$A$1:$A$349,$A301,$C$1:$C$349,$C301))</f>
        <v/>
      </c>
      <c r="R301" t="str">
        <f>IF($A301="","",SUMIFS($H$1:$H$349,$A$1:$A$349,$A301,$C$1:$C$349,$C301))</f>
        <v/>
      </c>
      <c r="S301" t="str">
        <f>IF($A301="","",SUMIFS($I$1:$I$349,$A$1:$A$349,$A301,$C$1:$C$349,$C301))</f>
        <v/>
      </c>
      <c r="T301" t="str">
        <f>IF($A301="","",SUMIFS($G$1:$G$349,$A$1:$A$349,$A301))</f>
        <v/>
      </c>
      <c r="U301" t="str">
        <f>IF($A301="","",SUMIFS($H$1:$H$349,$A$1:$A$349,$A301))</f>
        <v/>
      </c>
      <c r="V301" t="str">
        <f>IF($A301="","",SUMIFS($I$1:$I$349,$A$1:$A$349,$A301))</f>
        <v/>
      </c>
      <c r="W301" t="str">
        <f>IF($A301="","",Allocation2!Y301)</f>
        <v/>
      </c>
      <c r="X301" t="str">
        <f>IF($A301="","",Allocation2!Z301)</f>
        <v/>
      </c>
      <c r="Y301" t="str">
        <f>IF($A301="","",Allocation2!AA301)</f>
        <v/>
      </c>
      <c r="Z301" t="str">
        <f>IF($A301="","",Allocation2!AB301)</f>
        <v/>
      </c>
      <c r="AA301" t="str">
        <f>IF($A301="","",Allocation2!AC301)</f>
        <v/>
      </c>
      <c r="AB301" t="str">
        <f>IF($A301="","",Allocation2!AD301)</f>
        <v/>
      </c>
      <c r="AC301" t="str">
        <f>IF($A301="","",IF(ALLOC!$N$4="VOL_EFF",$G301,IF(ALLOC!$N$4="VOL_CLASS",$H301,$I301)))</f>
        <v/>
      </c>
      <c r="AD301" t="str">
        <f>IF($A301="","",IF(ALLOC!$N$4="VOL_EFF",$L301,IF(ALLOC!$N$4="VOL_CLASS",$M301,$N301)))</f>
        <v/>
      </c>
      <c r="AE301" t="str">
        <f>IF($A301="","",IF(ALLOC!$N$3="VOL_EFF",$L301,IF(ALLOC!$N$3="VOL_CLASS",$M301,$N301)))</f>
        <v/>
      </c>
      <c r="AF301" t="str">
        <f>IF($A301="","",IF(ALLOC!$N$3="VOL_EFF",$Q301,IF(ALLOC!$N$3="VOL_CLASS",$R301,$S301)))</f>
        <v/>
      </c>
      <c r="AG301" t="str">
        <f>IF($A301="","",IF(ALLOC!$N$1="VOL_EFF",$Q301,IF(ALLOC!$N$1="VOL_CLASS",$R301,$S301)))</f>
        <v/>
      </c>
      <c r="AH301" t="str">
        <f>IF($A301="","",IF(ALLOC!$N$1="VOL_EFF",$T301,IF(ALLOC!$N$1="VOL_CLASS",$U301,$V301)))</f>
        <v/>
      </c>
      <c r="AI301" t="str">
        <f>IF($A301="","",$W301*IFERROR($K301/$O301,0))</f>
        <v/>
      </c>
      <c r="AJ301" t="str">
        <f>IF($A301="","",$X301*IFERROR($K301/$O301,0))</f>
        <v/>
      </c>
      <c r="AK301" t="str">
        <f>IF($A301="","",$Y301*IFERROR($G301/$L301,0)+$Z301*IFERROR($J301/$P301,0))</f>
        <v/>
      </c>
      <c r="AL301" t="str">
        <f>IF($A301="","",$AA301*IFERROR($AC301/$AD301,0))</f>
        <v/>
      </c>
      <c r="AM301" t="str">
        <f>IF($A301="","",$AB301*IFERROR($AG301/$AH301,0)*IFERROR($AE301/$AF301,0)*IFERROR($AC301/$AD301,0))</f>
        <v/>
      </c>
      <c r="AN301" t="str">
        <f>IF($A301="","",$I301-($AI301+$AJ301+$AK301+$AL301+$AM301+$AR301))</f>
        <v/>
      </c>
      <c r="AO301" t="str">
        <f>IF($A301="","",Allocation2!AE301)</f>
        <v/>
      </c>
      <c r="AP301" t="str">
        <f>IF($A301="","",IF(ALLOC!$N$2="VOL_EFF",$Q301,IF(ALLOC!$N$2="VOL_CLASS",$R301,$S301)))</f>
        <v/>
      </c>
      <c r="AQ301" t="str">
        <f>IF($A301="","",IF(ALLOC!$N$2="VOL_EFF",$T301,IF(ALLOC!$N$2="VOL_CLASS",$U301,$V301)))</f>
        <v/>
      </c>
      <c r="AR301" t="str">
        <f>IF($A301="","",$AO301*IFERROR($AP301/$AQ301,0)*IFERROR($AE301/$AF301,0)*IFERROR($AC301/$AD301,0))</f>
        <v/>
      </c>
    </row>
    <row r="302" spans="1:46" x14ac:dyDescent="0.45">
      <c r="A302" t="str">
        <f>IF(Allocation2!D302="","",Allocation2!D302)</f>
        <v/>
      </c>
      <c r="B302" t="str">
        <f>IF(Allocation2!E302="","",Allocation2!E302)</f>
        <v/>
      </c>
      <c r="C302" t="str">
        <f>IF(Allocation2!F302="","",Allocation2!F302)</f>
        <v/>
      </c>
      <c r="D302" t="str">
        <f>IF(Allocation2!G302="","",Allocation2!G302)</f>
        <v/>
      </c>
      <c r="E302" t="str">
        <f>IF(Allocation2!H302="","",Allocation2!H302)</f>
        <v/>
      </c>
      <c r="F302" t="str">
        <f>IF(Allocation2!I302="","",Allocation2!I302)</f>
        <v/>
      </c>
      <c r="G302" t="str">
        <f>IF(Allocation2!E302="","",Allocation2!J302)</f>
        <v/>
      </c>
      <c r="H302" t="str">
        <f>IF(Allocation2!E302="","",Allocation2!K302)</f>
        <v/>
      </c>
      <c r="I302" t="str">
        <f>IF(Allocation2!E302="","",Allocation2!L302)</f>
        <v/>
      </c>
      <c r="J302" t="str">
        <f>IF($A302="","",Allocation2!X302)</f>
        <v/>
      </c>
      <c r="K302" t="str">
        <f>IF($A302="","",$H302*IF(AND(LEFT($D302,3)="BAC",$F302="INIT"),600,IF(LEFT($D302,3)="BAC",480,IF(AND(LEFT($D302,3)="MAS",$F302="INIT"),520,IF(LEFT($D302,3)="MAS",420,IF($F302="INIT",1000,700))))))</f>
        <v/>
      </c>
      <c r="L302" t="str">
        <f>IF($A302="","",SUMIFS($G$1:$G$349,$A$1:$A$349,$A302,$B$1:$B$349,$B302))</f>
        <v/>
      </c>
      <c r="M302" t="str">
        <f>IF($A302="","",SUMIFS($H$1:$H$349,$A$1:$A$349,$A302,$B$1:$B$349,$B302))</f>
        <v/>
      </c>
      <c r="N302" t="str">
        <f>IF($A302="","",SUMIFS($I$1:$I$349,$A$1:$A$349,$A302,$B$1:$B$349,$B302))</f>
        <v/>
      </c>
      <c r="O302" t="str">
        <f>IF($A302="","",SUMIFS($K$1:$K$349,$A$1:$A$349,$A302,$B$1:$B$349,$B302))</f>
        <v/>
      </c>
      <c r="P302" t="str">
        <f>IF($A302="","",SUMIFS($J$1:$J$349,$A$1:$A$349,$A302,$B$1:$B$349,$B302))</f>
        <v/>
      </c>
      <c r="Q302" t="str">
        <f>IF($A302="","",SUMIFS($G$1:$G$349,$A$1:$A$349,$A302,$C$1:$C$349,$C302))</f>
        <v/>
      </c>
      <c r="R302" t="str">
        <f>IF($A302="","",SUMIFS($H$1:$H$349,$A$1:$A$349,$A302,$C$1:$C$349,$C302))</f>
        <v/>
      </c>
      <c r="S302" t="str">
        <f>IF($A302="","",SUMIFS($I$1:$I$349,$A$1:$A$349,$A302,$C$1:$C$349,$C302))</f>
        <v/>
      </c>
      <c r="T302" t="str">
        <f>IF($A302="","",SUMIFS($G$1:$G$349,$A$1:$A$349,$A302))</f>
        <v/>
      </c>
      <c r="U302" t="str">
        <f>IF($A302="","",SUMIFS($H$1:$H$349,$A$1:$A$349,$A302))</f>
        <v/>
      </c>
      <c r="V302" t="str">
        <f>IF($A302="","",SUMIFS($I$1:$I$349,$A$1:$A$349,$A302))</f>
        <v/>
      </c>
      <c r="W302" t="str">
        <f>IF($A302="","",Allocation2!Y302)</f>
        <v/>
      </c>
      <c r="X302" t="str">
        <f>IF($A302="","",Allocation2!Z302)</f>
        <v/>
      </c>
      <c r="Y302" t="str">
        <f>IF($A302="","",Allocation2!AA302)</f>
        <v/>
      </c>
      <c r="Z302" t="str">
        <f>IF($A302="","",Allocation2!AB302)</f>
        <v/>
      </c>
      <c r="AA302" t="str">
        <f>IF($A302="","",Allocation2!AC302)</f>
        <v/>
      </c>
      <c r="AB302" t="str">
        <f>IF($A302="","",Allocation2!AD302)</f>
        <v/>
      </c>
      <c r="AC302" t="str">
        <f>IF($A302="","",IF(ALLOC!$N$4="VOL_EFF",$G302,IF(ALLOC!$N$4="VOL_CLASS",$H302,$I302)))</f>
        <v/>
      </c>
      <c r="AD302" t="str">
        <f>IF($A302="","",IF(ALLOC!$N$4="VOL_EFF",$L302,IF(ALLOC!$N$4="VOL_CLASS",$M302,$N302)))</f>
        <v/>
      </c>
      <c r="AE302" t="str">
        <f>IF($A302="","",IF(ALLOC!$N$3="VOL_EFF",$L302,IF(ALLOC!$N$3="VOL_CLASS",$M302,$N302)))</f>
        <v/>
      </c>
      <c r="AF302" t="str">
        <f>IF($A302="","",IF(ALLOC!$N$3="VOL_EFF",$Q302,IF(ALLOC!$N$3="VOL_CLASS",$R302,$S302)))</f>
        <v/>
      </c>
      <c r="AG302" t="str">
        <f>IF($A302="","",IF(ALLOC!$N$1="VOL_EFF",$Q302,IF(ALLOC!$N$1="VOL_CLASS",$R302,$S302)))</f>
        <v/>
      </c>
      <c r="AH302" t="str">
        <f>IF($A302="","",IF(ALLOC!$N$1="VOL_EFF",$T302,IF(ALLOC!$N$1="VOL_CLASS",$U302,$V302)))</f>
        <v/>
      </c>
      <c r="AI302" t="str">
        <f>IF($A302="","",$W302*IFERROR($K302/$O302,0))</f>
        <v/>
      </c>
      <c r="AJ302" t="str">
        <f>IF($A302="","",$X302*IFERROR($K302/$O302,0))</f>
        <v/>
      </c>
      <c r="AK302" t="str">
        <f>IF($A302="","",$Y302*IFERROR($G302/$L302,0)+$Z302*IFERROR($J302/$P302,0))</f>
        <v/>
      </c>
      <c r="AL302" t="str">
        <f>IF($A302="","",$AA302*IFERROR($AC302/$AD302,0))</f>
        <v/>
      </c>
      <c r="AM302" t="str">
        <f>IF($A302="","",$AB302*IFERROR($AG302/$AH302,0)*IFERROR($AE302/$AF302,0)*IFERROR($AC302/$AD302,0))</f>
        <v/>
      </c>
      <c r="AN302" t="str">
        <f>IF($A302="","",$I302-($AI302+$AJ302+$AK302+$AL302+$AM302+$AR302))</f>
        <v/>
      </c>
      <c r="AO302" t="str">
        <f>IF($A302="","",Allocation2!AE302)</f>
        <v/>
      </c>
      <c r="AP302" t="str">
        <f>IF($A302="","",IF(ALLOC!$N$2="VOL_EFF",$Q302,IF(ALLOC!$N$2="VOL_CLASS",$R302,$S302)))</f>
        <v/>
      </c>
      <c r="AQ302" t="str">
        <f>IF($A302="","",IF(ALLOC!$N$2="VOL_EFF",$T302,IF(ALLOC!$N$2="VOL_CLASS",$U302,$V302)))</f>
        <v/>
      </c>
      <c r="AR302" t="str">
        <f>IF($A302="","",$AO302*IFERROR($AP302/$AQ302,0)*IFERROR($AE302/$AF302,0)*IFERROR($AC302/$AD302,0))</f>
        <v/>
      </c>
    </row>
    <row r="303" spans="1:46" x14ac:dyDescent="0.45">
      <c r="A303" t="str">
        <f>IF(Allocation2!D303="","",Allocation2!D303)</f>
        <v/>
      </c>
      <c r="B303" t="str">
        <f>IF(Allocation2!E303="","",Allocation2!E303)</f>
        <v/>
      </c>
      <c r="C303" t="str">
        <f>IF(Allocation2!F303="","",Allocation2!F303)</f>
        <v/>
      </c>
      <c r="D303" t="str">
        <f>IF(Allocation2!G303="","",Allocation2!G303)</f>
        <v/>
      </c>
      <c r="E303" t="str">
        <f>IF(Allocation2!H303="","",Allocation2!H303)</f>
        <v/>
      </c>
      <c r="F303" t="str">
        <f>IF(Allocation2!I303="","",Allocation2!I303)</f>
        <v/>
      </c>
      <c r="G303" t="str">
        <f>IF(Allocation2!E303="","",Allocation2!J303)</f>
        <v/>
      </c>
      <c r="H303" t="str">
        <f>IF(Allocation2!E303="","",Allocation2!K303)</f>
        <v/>
      </c>
      <c r="I303" t="str">
        <f>IF(Allocation2!E303="","",Allocation2!L303)</f>
        <v/>
      </c>
      <c r="J303" t="str">
        <f>IF($A303="","",Allocation2!X303)</f>
        <v/>
      </c>
      <c r="K303" t="str">
        <f>IF($A303="","",$H303*IF(AND(LEFT($D303,3)="BAC",$F303="INIT"),600,IF(LEFT($D303,3)="BAC",480,IF(AND(LEFT($D303,3)="MAS",$F303="INIT"),520,IF(LEFT($D303,3)="MAS",420,IF($F303="INIT",1000,700))))))</f>
        <v/>
      </c>
      <c r="L303" t="str">
        <f>IF($A303="","",SUMIFS($G$1:$G$349,$A$1:$A$349,$A303,$B$1:$B$349,$B303))</f>
        <v/>
      </c>
      <c r="M303" t="str">
        <f>IF($A303="","",SUMIFS($H$1:$H$349,$A$1:$A$349,$A303,$B$1:$B$349,$B303))</f>
        <v/>
      </c>
      <c r="N303" t="str">
        <f>IF($A303="","",SUMIFS($I$1:$I$349,$A$1:$A$349,$A303,$B$1:$B$349,$B303))</f>
        <v/>
      </c>
      <c r="O303" t="str">
        <f>IF($A303="","",SUMIFS($K$1:$K$349,$A$1:$A$349,$A303,$B$1:$B$349,$B303))</f>
        <v/>
      </c>
      <c r="P303" t="str">
        <f>IF($A303="","",SUMIFS($J$1:$J$349,$A$1:$A$349,$A303,$B$1:$B$349,$B303))</f>
        <v/>
      </c>
      <c r="Q303" t="str">
        <f>IF($A303="","",SUMIFS($G$1:$G$349,$A$1:$A$349,$A303,$C$1:$C$349,$C303))</f>
        <v/>
      </c>
      <c r="R303" t="str">
        <f>IF($A303="","",SUMIFS($H$1:$H$349,$A$1:$A$349,$A303,$C$1:$C$349,$C303))</f>
        <v/>
      </c>
      <c r="S303" t="str">
        <f>IF($A303="","",SUMIFS($I$1:$I$349,$A$1:$A$349,$A303,$C$1:$C$349,$C303))</f>
        <v/>
      </c>
      <c r="T303" t="str">
        <f>IF($A303="","",SUMIFS($G$1:$G$349,$A$1:$A$349,$A303))</f>
        <v/>
      </c>
      <c r="U303" t="str">
        <f>IF($A303="","",SUMIFS($H$1:$H$349,$A$1:$A$349,$A303))</f>
        <v/>
      </c>
      <c r="V303" t="str">
        <f>IF($A303="","",SUMIFS($I$1:$I$349,$A$1:$A$349,$A303))</f>
        <v/>
      </c>
      <c r="W303" t="str">
        <f>IF($A303="","",Allocation2!Y303)</f>
        <v/>
      </c>
      <c r="X303" t="str">
        <f>IF($A303="","",Allocation2!Z303)</f>
        <v/>
      </c>
      <c r="Y303" t="str">
        <f>IF($A303="","",Allocation2!AA303)</f>
        <v/>
      </c>
      <c r="Z303" t="str">
        <f>IF($A303="","",Allocation2!AB303)</f>
        <v/>
      </c>
      <c r="AA303" t="str">
        <f>IF($A303="","",Allocation2!AC303)</f>
        <v/>
      </c>
      <c r="AB303" t="str">
        <f>IF($A303="","",Allocation2!AD303)</f>
        <v/>
      </c>
      <c r="AC303" t="str">
        <f>IF($A303="","",IF(ALLOC!$N$4="VOL_EFF",$G303,IF(ALLOC!$N$4="VOL_CLASS",$H303,$I303)))</f>
        <v/>
      </c>
      <c r="AD303" t="str">
        <f>IF($A303="","",IF(ALLOC!$N$4="VOL_EFF",$L303,IF(ALLOC!$N$4="VOL_CLASS",$M303,$N303)))</f>
        <v/>
      </c>
      <c r="AE303" t="str">
        <f>IF($A303="","",IF(ALLOC!$N$3="VOL_EFF",$L303,IF(ALLOC!$N$3="VOL_CLASS",$M303,$N303)))</f>
        <v/>
      </c>
      <c r="AF303" t="str">
        <f>IF($A303="","",IF(ALLOC!$N$3="VOL_EFF",$Q303,IF(ALLOC!$N$3="VOL_CLASS",$R303,$S303)))</f>
        <v/>
      </c>
      <c r="AG303" t="str">
        <f>IF($A303="","",IF(ALLOC!$N$1="VOL_EFF",$Q303,IF(ALLOC!$N$1="VOL_CLASS",$R303,$S303)))</f>
        <v/>
      </c>
      <c r="AH303" t="str">
        <f>IF($A303="","",IF(ALLOC!$N$1="VOL_EFF",$T303,IF(ALLOC!$N$1="VOL_CLASS",$U303,$V303)))</f>
        <v/>
      </c>
      <c r="AI303" t="str">
        <f>IF($A303="","",$W303*IFERROR($K303/$O303,0))</f>
        <v/>
      </c>
      <c r="AJ303" t="str">
        <f>IF($A303="","",$X303*IFERROR($K303/$O303,0))</f>
        <v/>
      </c>
      <c r="AK303" t="str">
        <f>IF($A303="","",$Y303*IFERROR($G303/$L303,0)+$Z303*IFERROR($J303/$P303,0))</f>
        <v/>
      </c>
      <c r="AL303" t="str">
        <f>IF($A303="","",$AA303*IFERROR($AC303/$AD303,0))</f>
        <v/>
      </c>
      <c r="AM303" t="str">
        <f>IF($A303="","",$AB303*IFERROR($AG303/$AH303,0)*IFERROR($AE303/$AF303,0)*IFERROR($AC303/$AD303,0))</f>
        <v/>
      </c>
      <c r="AN303" t="str">
        <f>IF($A303="","",$I303-($AI303+$AJ303+$AK303+$AL303+$AM303+$AR303))</f>
        <v/>
      </c>
      <c r="AO303" t="str">
        <f>IF($A303="","",Allocation2!AE303)</f>
        <v/>
      </c>
      <c r="AP303" t="str">
        <f>IF($A303="","",IF(ALLOC!$N$2="VOL_EFF",$Q303,IF(ALLOC!$N$2="VOL_CLASS",$R303,$S303)))</f>
        <v/>
      </c>
      <c r="AQ303" t="str">
        <f>IF($A303="","",IF(ALLOC!$N$2="VOL_EFF",$T303,IF(ALLOC!$N$2="VOL_CLASS",$U303,$V303)))</f>
        <v/>
      </c>
      <c r="AR303" t="str">
        <f>IF($A303="","",$AO303*IFERROR($AP303/$AQ303,0)*IFERROR($AE303/$AF303,0)*IFERROR($AC303/$AD303,0))</f>
        <v/>
      </c>
    </row>
    <row r="304" spans="1:46" x14ac:dyDescent="0.45">
      <c r="A304" t="str">
        <f>IF(Allocation2!D304="","",Allocation2!D304)</f>
        <v/>
      </c>
      <c r="B304" t="str">
        <f>IF(Allocation2!E304="","",Allocation2!E304)</f>
        <v/>
      </c>
      <c r="C304" t="str">
        <f>IF(Allocation2!F304="","",Allocation2!F304)</f>
        <v/>
      </c>
      <c r="D304" t="str">
        <f>IF(Allocation2!G304="","",Allocation2!G304)</f>
        <v/>
      </c>
      <c r="E304" t="str">
        <f>IF(Allocation2!H304="","",Allocation2!H304)</f>
        <v/>
      </c>
      <c r="F304" t="str">
        <f>IF(Allocation2!I304="","",Allocation2!I304)</f>
        <v/>
      </c>
      <c r="G304" t="str">
        <f>IF(Allocation2!E304="","",Allocation2!J304)</f>
        <v/>
      </c>
      <c r="H304" t="str">
        <f>IF(Allocation2!E304="","",Allocation2!K304)</f>
        <v/>
      </c>
      <c r="I304" t="str">
        <f>IF(Allocation2!E304="","",Allocation2!L304)</f>
        <v/>
      </c>
      <c r="J304" t="str">
        <f>IF($A304="","",Allocation2!X304)</f>
        <v/>
      </c>
      <c r="K304" t="str">
        <f>IF($A304="","",$H304*IF(AND(LEFT($D304,3)="BAC",$F304="INIT"),600,IF(LEFT($D304,3)="BAC",480,IF(AND(LEFT($D304,3)="MAS",$F304="INIT"),520,IF(LEFT($D304,3)="MAS",420,IF($F304="INIT",1000,700))))))</f>
        <v/>
      </c>
      <c r="L304" t="str">
        <f>IF($A304="","",SUMIFS($G$1:$G$349,$A$1:$A$349,$A304,$B$1:$B$349,$B304))</f>
        <v/>
      </c>
      <c r="M304" t="str">
        <f>IF($A304="","",SUMIFS($H$1:$H$349,$A$1:$A$349,$A304,$B$1:$B$349,$B304))</f>
        <v/>
      </c>
      <c r="N304" t="str">
        <f>IF($A304="","",SUMIFS($I$1:$I$349,$A$1:$A$349,$A304,$B$1:$B$349,$B304))</f>
        <v/>
      </c>
      <c r="O304" t="str">
        <f>IF($A304="","",SUMIFS($K$1:$K$349,$A$1:$A$349,$A304,$B$1:$B$349,$B304))</f>
        <v/>
      </c>
      <c r="P304" t="str">
        <f>IF($A304="","",SUMIFS($J$1:$J$349,$A$1:$A$349,$A304,$B$1:$B$349,$B304))</f>
        <v/>
      </c>
      <c r="Q304" t="str">
        <f>IF($A304="","",SUMIFS($G$1:$G$349,$A$1:$A$349,$A304,$C$1:$C$349,$C304))</f>
        <v/>
      </c>
      <c r="R304" t="str">
        <f>IF($A304="","",SUMIFS($H$1:$H$349,$A$1:$A$349,$A304,$C$1:$C$349,$C304))</f>
        <v/>
      </c>
      <c r="S304" t="str">
        <f>IF($A304="","",SUMIFS($I$1:$I$349,$A$1:$A$349,$A304,$C$1:$C$349,$C304))</f>
        <v/>
      </c>
      <c r="T304" t="str">
        <f>IF($A304="","",SUMIFS($G$1:$G$349,$A$1:$A$349,$A304))</f>
        <v/>
      </c>
      <c r="U304" t="str">
        <f>IF($A304="","",SUMIFS($H$1:$H$349,$A$1:$A$349,$A304))</f>
        <v/>
      </c>
      <c r="V304" t="str">
        <f>IF($A304="","",SUMIFS($I$1:$I$349,$A$1:$A$349,$A304))</f>
        <v/>
      </c>
      <c r="W304" t="str">
        <f>IF($A304="","",Allocation2!Y304)</f>
        <v/>
      </c>
      <c r="X304" t="str">
        <f>IF($A304="","",Allocation2!Z304)</f>
        <v/>
      </c>
      <c r="Y304" t="str">
        <f>IF($A304="","",Allocation2!AA304)</f>
        <v/>
      </c>
      <c r="Z304" t="str">
        <f>IF($A304="","",Allocation2!AB304)</f>
        <v/>
      </c>
      <c r="AA304" t="str">
        <f>IF($A304="","",Allocation2!AC304)</f>
        <v/>
      </c>
      <c r="AB304" t="str">
        <f>IF($A304="","",Allocation2!AD304)</f>
        <v/>
      </c>
      <c r="AC304" t="str">
        <f>IF($A304="","",IF(ALLOC!$N$4="VOL_EFF",$G304,IF(ALLOC!$N$4="VOL_CLASS",$H304,$I304)))</f>
        <v/>
      </c>
      <c r="AD304" t="str">
        <f>IF($A304="","",IF(ALLOC!$N$4="VOL_EFF",$L304,IF(ALLOC!$N$4="VOL_CLASS",$M304,$N304)))</f>
        <v/>
      </c>
      <c r="AE304" t="str">
        <f>IF($A304="","",IF(ALLOC!$N$3="VOL_EFF",$L304,IF(ALLOC!$N$3="VOL_CLASS",$M304,$N304)))</f>
        <v/>
      </c>
      <c r="AF304" t="str">
        <f>IF($A304="","",IF(ALLOC!$N$3="VOL_EFF",$Q304,IF(ALLOC!$N$3="VOL_CLASS",$R304,$S304)))</f>
        <v/>
      </c>
      <c r="AG304" t="str">
        <f>IF($A304="","",IF(ALLOC!$N$1="VOL_EFF",$Q304,IF(ALLOC!$N$1="VOL_CLASS",$R304,$S304)))</f>
        <v/>
      </c>
      <c r="AH304" t="str">
        <f>IF($A304="","",IF(ALLOC!$N$1="VOL_EFF",$T304,IF(ALLOC!$N$1="VOL_CLASS",$U304,$V304)))</f>
        <v/>
      </c>
      <c r="AI304" t="str">
        <f>IF($A304="","",$W304*IFERROR($K304/$O304,0))</f>
        <v/>
      </c>
      <c r="AJ304" t="str">
        <f>IF($A304="","",$X304*IFERROR($K304/$O304,0))</f>
        <v/>
      </c>
      <c r="AK304" t="str">
        <f>IF($A304="","",$Y304*IFERROR($G304/$L304,0)+$Z304*IFERROR($J304/$P304,0))</f>
        <v/>
      </c>
      <c r="AL304" t="str">
        <f>IF($A304="","",$AA304*IFERROR($AC304/$AD304,0))</f>
        <v/>
      </c>
      <c r="AM304" t="str">
        <f>IF($A304="","",$AB304*IFERROR($AG304/$AH304,0)*IFERROR($AE304/$AF304,0)*IFERROR($AC304/$AD304,0))</f>
        <v/>
      </c>
      <c r="AN304" t="str">
        <f>IF($A304="","",$I304-($AI304+$AJ304+$AK304+$AL304+$AM304+$AR304))</f>
        <v/>
      </c>
      <c r="AO304" t="str">
        <f>IF($A304="","",Allocation2!AE304)</f>
        <v/>
      </c>
      <c r="AP304" t="str">
        <f>IF($A304="","",IF(ALLOC!$N$2="VOL_EFF",$Q304,IF(ALLOC!$N$2="VOL_CLASS",$R304,$S304)))</f>
        <v/>
      </c>
      <c r="AQ304" t="str">
        <f>IF($A304="","",IF(ALLOC!$N$2="VOL_EFF",$T304,IF(ALLOC!$N$2="VOL_CLASS",$U304,$V304)))</f>
        <v/>
      </c>
      <c r="AR304" t="str">
        <f>IF($A304="","",$AO304*IFERROR($AP304/$AQ304,0)*IFERROR($AE304/$AF304,0)*IFERROR($AC304/$AD304,0))</f>
        <v/>
      </c>
    </row>
    <row r="305" spans="1:46" x14ac:dyDescent="0.45">
      <c r="A305" t="str">
        <f>IF(Allocation2!D305="","",Allocation2!D305)</f>
        <v/>
      </c>
      <c r="B305" t="str">
        <f>IF(Allocation2!E305="","",Allocation2!E305)</f>
        <v/>
      </c>
      <c r="C305" t="str">
        <f>IF(Allocation2!F305="","",Allocation2!F305)</f>
        <v/>
      </c>
      <c r="D305" t="str">
        <f>IF(Allocation2!G305="","",Allocation2!G305)</f>
        <v/>
      </c>
      <c r="E305" t="str">
        <f>IF(Allocation2!H305="","",Allocation2!H305)</f>
        <v/>
      </c>
      <c r="F305" t="str">
        <f>IF(Allocation2!I305="","",Allocation2!I305)</f>
        <v/>
      </c>
      <c r="G305" t="str">
        <f>IF(Allocation2!E305="","",Allocation2!J305)</f>
        <v/>
      </c>
      <c r="H305" t="str">
        <f>IF(Allocation2!E305="","",Allocation2!K305)</f>
        <v/>
      </c>
      <c r="I305" t="str">
        <f>IF(Allocation2!E305="","",Allocation2!L305)</f>
        <v/>
      </c>
      <c r="J305" t="str">
        <f>IF($A305="","",Allocation2!X305)</f>
        <v/>
      </c>
      <c r="K305" t="str">
        <f>IF($A305="","",$H305*IF(AND(LEFT($D305,3)="BAC",$F305="INIT"),600,IF(LEFT($D305,3)="BAC",480,IF(AND(LEFT($D305,3)="MAS",$F305="INIT"),520,IF(LEFT($D305,3)="MAS",420,IF($F305="INIT",1000,700))))))</f>
        <v/>
      </c>
      <c r="L305" t="str">
        <f>IF($A305="","",SUMIFS($G$1:$G$349,$A$1:$A$349,$A305,$B$1:$B$349,$B305))</f>
        <v/>
      </c>
      <c r="M305" t="str">
        <f>IF($A305="","",SUMIFS($H$1:$H$349,$A$1:$A$349,$A305,$B$1:$B$349,$B305))</f>
        <v/>
      </c>
      <c r="N305" t="str">
        <f>IF($A305="","",SUMIFS($I$1:$I$349,$A$1:$A$349,$A305,$B$1:$B$349,$B305))</f>
        <v/>
      </c>
      <c r="O305" t="str">
        <f>IF($A305="","",SUMIFS($K$1:$K$349,$A$1:$A$349,$A305,$B$1:$B$349,$B305))</f>
        <v/>
      </c>
      <c r="P305" t="str">
        <f>IF($A305="","",SUMIFS($J$1:$J$349,$A$1:$A$349,$A305,$B$1:$B$349,$B305))</f>
        <v/>
      </c>
      <c r="Q305" t="str">
        <f>IF($A305="","",SUMIFS($G$1:$G$349,$A$1:$A$349,$A305,$C$1:$C$349,$C305))</f>
        <v/>
      </c>
      <c r="R305" t="str">
        <f>IF($A305="","",SUMIFS($H$1:$H$349,$A$1:$A$349,$A305,$C$1:$C$349,$C305))</f>
        <v/>
      </c>
      <c r="S305" t="str">
        <f>IF($A305="","",SUMIFS($I$1:$I$349,$A$1:$A$349,$A305,$C$1:$C$349,$C305))</f>
        <v/>
      </c>
      <c r="T305" t="str">
        <f>IF($A305="","",SUMIFS($G$1:$G$349,$A$1:$A$349,$A305))</f>
        <v/>
      </c>
      <c r="U305" t="str">
        <f>IF($A305="","",SUMIFS($H$1:$H$349,$A$1:$A$349,$A305))</f>
        <v/>
      </c>
      <c r="V305" t="str">
        <f>IF($A305="","",SUMIFS($I$1:$I$349,$A$1:$A$349,$A305))</f>
        <v/>
      </c>
      <c r="W305" t="str">
        <f>IF($A305="","",Allocation2!Y305)</f>
        <v/>
      </c>
      <c r="X305" t="str">
        <f>IF($A305="","",Allocation2!Z305)</f>
        <v/>
      </c>
      <c r="Y305" t="str">
        <f>IF($A305="","",Allocation2!AA305)</f>
        <v/>
      </c>
      <c r="Z305" t="str">
        <f>IF($A305="","",Allocation2!AB305)</f>
        <v/>
      </c>
      <c r="AA305" t="str">
        <f>IF($A305="","",Allocation2!AC305)</f>
        <v/>
      </c>
      <c r="AB305" t="str">
        <f>IF($A305="","",Allocation2!AD305)</f>
        <v/>
      </c>
      <c r="AC305" t="str">
        <f>IF($A305="","",IF(ALLOC!$N$4="VOL_EFF",$G305,IF(ALLOC!$N$4="VOL_CLASS",$H305,$I305)))</f>
        <v/>
      </c>
      <c r="AD305" t="str">
        <f>IF($A305="","",IF(ALLOC!$N$4="VOL_EFF",$L305,IF(ALLOC!$N$4="VOL_CLASS",$M305,$N305)))</f>
        <v/>
      </c>
      <c r="AE305" t="str">
        <f>IF($A305="","",IF(ALLOC!$N$3="VOL_EFF",$L305,IF(ALLOC!$N$3="VOL_CLASS",$M305,$N305)))</f>
        <v/>
      </c>
      <c r="AF305" t="str">
        <f>IF($A305="","",IF(ALLOC!$N$3="VOL_EFF",$Q305,IF(ALLOC!$N$3="VOL_CLASS",$R305,$S305)))</f>
        <v/>
      </c>
      <c r="AG305" t="str">
        <f>IF($A305="","",IF(ALLOC!$N$1="VOL_EFF",$Q305,IF(ALLOC!$N$1="VOL_CLASS",$R305,$S305)))</f>
        <v/>
      </c>
      <c r="AH305" t="str">
        <f>IF($A305="","",IF(ALLOC!$N$1="VOL_EFF",$T305,IF(ALLOC!$N$1="VOL_CLASS",$U305,$V305)))</f>
        <v/>
      </c>
      <c r="AI305" t="str">
        <f>IF($A305="","",$W305*IFERROR($K305/$O305,0))</f>
        <v/>
      </c>
      <c r="AJ305" t="str">
        <f>IF($A305="","",$X305*IFERROR($K305/$O305,0))</f>
        <v/>
      </c>
      <c r="AK305" t="str">
        <f>IF($A305="","",$Y305*IFERROR($G305/$L305,0)+$Z305*IFERROR($J305/$P305,0))</f>
        <v/>
      </c>
      <c r="AL305" t="str">
        <f>IF($A305="","",$AA305*IFERROR($AC305/$AD305,0))</f>
        <v/>
      </c>
      <c r="AM305" t="str">
        <f>IF($A305="","",$AB305*IFERROR($AG305/$AH305,0)*IFERROR($AE305/$AF305,0)*IFERROR($AC305/$AD305,0))</f>
        <v/>
      </c>
      <c r="AN305" t="str">
        <f>IF($A305="","",$I305-($AI305+$AJ305+$AK305+$AL305+$AM305+$AR305))</f>
        <v/>
      </c>
      <c r="AO305" t="str">
        <f>IF($A305="","",Allocation2!AE305)</f>
        <v/>
      </c>
      <c r="AP305" t="str">
        <f>IF($A305="","",IF(ALLOC!$N$2="VOL_EFF",$Q305,IF(ALLOC!$N$2="VOL_CLASS",$R305,$S305)))</f>
        <v/>
      </c>
      <c r="AQ305" t="str">
        <f>IF($A305="","",IF(ALLOC!$N$2="VOL_EFF",$T305,IF(ALLOC!$N$2="VOL_CLASS",$U305,$V305)))</f>
        <v/>
      </c>
      <c r="AR305" t="str">
        <f>IF($A305="","",$AO305*IFERROR($AP305/$AQ305,0)*IFERROR($AE305/$AF305,0)*IFERROR($AC305/$AD305,0))</f>
        <v/>
      </c>
    </row>
    <row r="306" spans="1:46" x14ac:dyDescent="0.45">
      <c r="A306" t="str">
        <f>IF(Allocation2!D306="","",Allocation2!D306)</f>
        <v/>
      </c>
      <c r="B306" t="str">
        <f>IF(Allocation2!E306="","",Allocation2!E306)</f>
        <v/>
      </c>
      <c r="C306" t="str">
        <f>IF(Allocation2!F306="","",Allocation2!F306)</f>
        <v/>
      </c>
      <c r="D306" t="str">
        <f>IF(Allocation2!G306="","",Allocation2!G306)</f>
        <v/>
      </c>
      <c r="E306" t="str">
        <f>IF(Allocation2!H306="","",Allocation2!H306)</f>
        <v/>
      </c>
      <c r="F306" t="str">
        <f>IF(Allocation2!I306="","",Allocation2!I306)</f>
        <v/>
      </c>
      <c r="G306" t="str">
        <f>IF(Allocation2!E306="","",Allocation2!J306)</f>
        <v/>
      </c>
      <c r="H306" t="str">
        <f>IF(Allocation2!E306="","",Allocation2!K306)</f>
        <v/>
      </c>
      <c r="I306" t="str">
        <f>IF(Allocation2!E306="","",Allocation2!L306)</f>
        <v/>
      </c>
      <c r="J306" t="str">
        <f>IF($A306="","",Allocation2!X306)</f>
        <v/>
      </c>
      <c r="K306" t="str">
        <f>IF($A306="","",$H306*IF(AND(LEFT($D306,3)="BAC",$F306="INIT"),600,IF(LEFT($D306,3)="BAC",480,IF(AND(LEFT($D306,3)="MAS",$F306="INIT"),520,IF(LEFT($D306,3)="MAS",420,IF($F306="INIT",1000,700))))))</f>
        <v/>
      </c>
      <c r="L306" t="str">
        <f>IF($A306="","",SUMIFS($G$1:$G$349,$A$1:$A$349,$A306,$B$1:$B$349,$B306))</f>
        <v/>
      </c>
      <c r="M306" t="str">
        <f>IF($A306="","",SUMIFS($H$1:$H$349,$A$1:$A$349,$A306,$B$1:$B$349,$B306))</f>
        <v/>
      </c>
      <c r="N306" t="str">
        <f>IF($A306="","",SUMIFS($I$1:$I$349,$A$1:$A$349,$A306,$B$1:$B$349,$B306))</f>
        <v/>
      </c>
      <c r="O306" t="str">
        <f>IF($A306="","",SUMIFS($K$1:$K$349,$A$1:$A$349,$A306,$B$1:$B$349,$B306))</f>
        <v/>
      </c>
      <c r="P306" t="str">
        <f>IF($A306="","",SUMIFS($J$1:$J$349,$A$1:$A$349,$A306,$B$1:$B$349,$B306))</f>
        <v/>
      </c>
      <c r="Q306" t="str">
        <f>IF($A306="","",SUMIFS($G$1:$G$349,$A$1:$A$349,$A306,$C$1:$C$349,$C306))</f>
        <v/>
      </c>
      <c r="R306" t="str">
        <f>IF($A306="","",SUMIFS($H$1:$H$349,$A$1:$A$349,$A306,$C$1:$C$349,$C306))</f>
        <v/>
      </c>
      <c r="S306" t="str">
        <f>IF($A306="","",SUMIFS($I$1:$I$349,$A$1:$A$349,$A306,$C$1:$C$349,$C306))</f>
        <v/>
      </c>
      <c r="T306" t="str">
        <f>IF($A306="","",SUMIFS($G$1:$G$349,$A$1:$A$349,$A306))</f>
        <v/>
      </c>
      <c r="U306" t="str">
        <f>IF($A306="","",SUMIFS($H$1:$H$349,$A$1:$A$349,$A306))</f>
        <v/>
      </c>
      <c r="V306" t="str">
        <f>IF($A306="","",SUMIFS($I$1:$I$349,$A$1:$A$349,$A306))</f>
        <v/>
      </c>
      <c r="W306" t="str">
        <f>IF($A306="","",Allocation2!Y306)</f>
        <v/>
      </c>
      <c r="X306" t="str">
        <f>IF($A306="","",Allocation2!Z306)</f>
        <v/>
      </c>
      <c r="Y306" t="str">
        <f>IF($A306="","",Allocation2!AA306)</f>
        <v/>
      </c>
      <c r="Z306" t="str">
        <f>IF($A306="","",Allocation2!AB306)</f>
        <v/>
      </c>
      <c r="AA306" t="str">
        <f>IF($A306="","",Allocation2!AC306)</f>
        <v/>
      </c>
      <c r="AB306" t="str">
        <f>IF($A306="","",Allocation2!AD306)</f>
        <v/>
      </c>
      <c r="AC306" t="str">
        <f>IF($A306="","",IF(ALLOC!$N$4="VOL_EFF",$G306,IF(ALLOC!$N$4="VOL_CLASS",$H306,$I306)))</f>
        <v/>
      </c>
      <c r="AD306" t="str">
        <f>IF($A306="","",IF(ALLOC!$N$4="VOL_EFF",$L306,IF(ALLOC!$N$4="VOL_CLASS",$M306,$N306)))</f>
        <v/>
      </c>
      <c r="AE306" t="str">
        <f>IF($A306="","",IF(ALLOC!$N$3="VOL_EFF",$L306,IF(ALLOC!$N$3="VOL_CLASS",$M306,$N306)))</f>
        <v/>
      </c>
      <c r="AF306" t="str">
        <f>IF($A306="","",IF(ALLOC!$N$3="VOL_EFF",$Q306,IF(ALLOC!$N$3="VOL_CLASS",$R306,$S306)))</f>
        <v/>
      </c>
      <c r="AG306" t="str">
        <f>IF($A306="","",IF(ALLOC!$N$1="VOL_EFF",$Q306,IF(ALLOC!$N$1="VOL_CLASS",$R306,$S306)))</f>
        <v/>
      </c>
      <c r="AH306" t="str">
        <f>IF($A306="","",IF(ALLOC!$N$1="VOL_EFF",$T306,IF(ALLOC!$N$1="VOL_CLASS",$U306,$V306)))</f>
        <v/>
      </c>
      <c r="AI306" t="str">
        <f>IF($A306="","",$W306*IFERROR($K306/$O306,0))</f>
        <v/>
      </c>
      <c r="AJ306" t="str">
        <f>IF($A306="","",$X306*IFERROR($K306/$O306,0))</f>
        <v/>
      </c>
      <c r="AK306" t="str">
        <f>IF($A306="","",$Y306*IFERROR($G306/$L306,0)+$Z306*IFERROR($J306/$P306,0))</f>
        <v/>
      </c>
      <c r="AL306" t="str">
        <f>IF($A306="","",$AA306*IFERROR($AC306/$AD306,0))</f>
        <v/>
      </c>
      <c r="AM306" t="str">
        <f>IF($A306="","",$AB306*IFERROR($AG306/$AH306,0)*IFERROR($AE306/$AF306,0)*IFERROR($AC306/$AD306,0))</f>
        <v/>
      </c>
      <c r="AN306" t="str">
        <f>IF($A306="","",$I306-($AI306+$AJ306+$AK306+$AL306+$AM306+$AR306))</f>
        <v/>
      </c>
      <c r="AO306" t="str">
        <f>IF($A306="","",Allocation2!AE306)</f>
        <v/>
      </c>
      <c r="AP306" t="str">
        <f>IF($A306="","",IF(ALLOC!$N$2="VOL_EFF",$Q306,IF(ALLOC!$N$2="VOL_CLASS",$R306,$S306)))</f>
        <v/>
      </c>
      <c r="AQ306" t="str">
        <f>IF($A306="","",IF(ALLOC!$N$2="VOL_EFF",$T306,IF(ALLOC!$N$2="VOL_CLASS",$U306,$V306)))</f>
        <v/>
      </c>
      <c r="AR306" t="str">
        <f>IF($A306="","",$AO306*IFERROR($AP306/$AQ306,0)*IFERROR($AE306/$AF306,0)*IFERROR($AC306/$AD306,0))</f>
        <v/>
      </c>
    </row>
    <row r="307" spans="1:46" x14ac:dyDescent="0.45">
      <c r="A307" t="str">
        <f>IF(Allocation2!D307="","",Allocation2!D307)</f>
        <v/>
      </c>
      <c r="B307" t="str">
        <f>IF(Allocation2!E307="","",Allocation2!E307)</f>
        <v/>
      </c>
      <c r="C307" t="str">
        <f>IF(Allocation2!F307="","",Allocation2!F307)</f>
        <v/>
      </c>
      <c r="D307" t="str">
        <f>IF(Allocation2!G307="","",Allocation2!G307)</f>
        <v/>
      </c>
      <c r="E307" t="str">
        <f>IF(Allocation2!H307="","",Allocation2!H307)</f>
        <v/>
      </c>
      <c r="F307" t="str">
        <f>IF(Allocation2!I307="","",Allocation2!I307)</f>
        <v/>
      </c>
      <c r="G307" t="str">
        <f>IF(Allocation2!E307="","",Allocation2!J307)</f>
        <v/>
      </c>
      <c r="H307" t="str">
        <f>IF(Allocation2!E307="","",Allocation2!K307)</f>
        <v/>
      </c>
      <c r="I307" t="str">
        <f>IF(Allocation2!E307="","",Allocation2!L307)</f>
        <v/>
      </c>
      <c r="J307" t="str">
        <f>IF($A307="","",Allocation2!X307)</f>
        <v/>
      </c>
      <c r="K307" t="str">
        <f>IF($A307="","",$H307*IF(AND(LEFT($D307,3)="BAC",$F307="INIT"),600,IF(LEFT($D307,3)="BAC",480,IF(AND(LEFT($D307,3)="MAS",$F307="INIT"),520,IF(LEFT($D307,3)="MAS",420,IF($F307="INIT",1000,700))))))</f>
        <v/>
      </c>
      <c r="L307" t="str">
        <f>IF($A307="","",SUMIFS($G$1:$G$349,$A$1:$A$349,$A307,$B$1:$B$349,$B307))</f>
        <v/>
      </c>
      <c r="M307" t="str">
        <f>IF($A307="","",SUMIFS($H$1:$H$349,$A$1:$A$349,$A307,$B$1:$B$349,$B307))</f>
        <v/>
      </c>
      <c r="N307" t="str">
        <f>IF($A307="","",SUMIFS($I$1:$I$349,$A$1:$A$349,$A307,$B$1:$B$349,$B307))</f>
        <v/>
      </c>
      <c r="O307" t="str">
        <f>IF($A307="","",SUMIFS($K$1:$K$349,$A$1:$A$349,$A307,$B$1:$B$349,$B307))</f>
        <v/>
      </c>
      <c r="P307" t="str">
        <f>IF($A307="","",SUMIFS($J$1:$J$349,$A$1:$A$349,$A307,$B$1:$B$349,$B307))</f>
        <v/>
      </c>
      <c r="Q307" t="str">
        <f>IF($A307="","",SUMIFS($G$1:$G$349,$A$1:$A$349,$A307,$C$1:$C$349,$C307))</f>
        <v/>
      </c>
      <c r="R307" t="str">
        <f>IF($A307="","",SUMIFS($H$1:$H$349,$A$1:$A$349,$A307,$C$1:$C$349,$C307))</f>
        <v/>
      </c>
      <c r="S307" t="str">
        <f>IF($A307="","",SUMIFS($I$1:$I$349,$A$1:$A$349,$A307,$C$1:$C$349,$C307))</f>
        <v/>
      </c>
      <c r="T307" t="str">
        <f>IF($A307="","",SUMIFS($G$1:$G$349,$A$1:$A$349,$A307))</f>
        <v/>
      </c>
      <c r="U307" t="str">
        <f>IF($A307="","",SUMIFS($H$1:$H$349,$A$1:$A$349,$A307))</f>
        <v/>
      </c>
      <c r="V307" t="str">
        <f>IF($A307="","",SUMIFS($I$1:$I$349,$A$1:$A$349,$A307))</f>
        <v/>
      </c>
      <c r="W307" t="str">
        <f>IF($A307="","",Allocation2!Y307)</f>
        <v/>
      </c>
      <c r="X307" t="str">
        <f>IF($A307="","",Allocation2!Z307)</f>
        <v/>
      </c>
      <c r="Y307" t="str">
        <f>IF($A307="","",Allocation2!AA307)</f>
        <v/>
      </c>
      <c r="Z307" t="str">
        <f>IF($A307="","",Allocation2!AB307)</f>
        <v/>
      </c>
      <c r="AA307" t="str">
        <f>IF($A307="","",Allocation2!AC307)</f>
        <v/>
      </c>
      <c r="AB307" t="str">
        <f>IF($A307="","",Allocation2!AD307)</f>
        <v/>
      </c>
      <c r="AC307" t="str">
        <f>IF($A307="","",IF(ALLOC!$N$4="VOL_EFF",$G307,IF(ALLOC!$N$4="VOL_CLASS",$H307,$I307)))</f>
        <v/>
      </c>
      <c r="AD307" t="str">
        <f>IF($A307="","",IF(ALLOC!$N$4="VOL_EFF",$L307,IF(ALLOC!$N$4="VOL_CLASS",$M307,$N307)))</f>
        <v/>
      </c>
      <c r="AE307" t="str">
        <f>IF($A307="","",IF(ALLOC!$N$3="VOL_EFF",$L307,IF(ALLOC!$N$3="VOL_CLASS",$M307,$N307)))</f>
        <v/>
      </c>
      <c r="AF307" t="str">
        <f>IF($A307="","",IF(ALLOC!$N$3="VOL_EFF",$Q307,IF(ALLOC!$N$3="VOL_CLASS",$R307,$S307)))</f>
        <v/>
      </c>
      <c r="AG307" t="str">
        <f>IF($A307="","",IF(ALLOC!$N$1="VOL_EFF",$Q307,IF(ALLOC!$N$1="VOL_CLASS",$R307,$S307)))</f>
        <v/>
      </c>
      <c r="AH307" t="str">
        <f>IF($A307="","",IF(ALLOC!$N$1="VOL_EFF",$T307,IF(ALLOC!$N$1="VOL_CLASS",$U307,$V307)))</f>
        <v/>
      </c>
      <c r="AI307" t="str">
        <f>IF($A307="","",$W307*IFERROR($K307/$O307,0))</f>
        <v/>
      </c>
      <c r="AJ307" t="str">
        <f>IF($A307="","",$X307*IFERROR($K307/$O307,0))</f>
        <v/>
      </c>
      <c r="AK307" t="str">
        <f>IF($A307="","",$Y307*IFERROR($G307/$L307,0)+$Z307*IFERROR($J307/$P307,0))</f>
        <v/>
      </c>
      <c r="AL307" t="str">
        <f>IF($A307="","",$AA307*IFERROR($AC307/$AD307,0))</f>
        <v/>
      </c>
      <c r="AM307" t="str">
        <f>IF($A307="","",$AB307*IFERROR($AG307/$AH307,0)*IFERROR($AE307/$AF307,0)*IFERROR($AC307/$AD307,0))</f>
        <v/>
      </c>
      <c r="AN307" t="str">
        <f>IF($A307="","",$I307-($AI307+$AJ307+$AK307+$AL307+$AM307+$AR307))</f>
        <v/>
      </c>
      <c r="AO307" t="str">
        <f>IF($A307="","",Allocation2!AE307)</f>
        <v/>
      </c>
      <c r="AP307" t="str">
        <f>IF($A307="","",IF(ALLOC!$N$2="VOL_EFF",$Q307,IF(ALLOC!$N$2="VOL_CLASS",$R307,$S307)))</f>
        <v/>
      </c>
      <c r="AQ307" t="str">
        <f>IF($A307="","",IF(ALLOC!$N$2="VOL_EFF",$T307,IF(ALLOC!$N$2="VOL_CLASS",$U307,$V307)))</f>
        <v/>
      </c>
      <c r="AR307" t="str">
        <f>IF($A307="","",$AO307*IFERROR($AP307/$AQ307,0)*IFERROR($AE307/$AF307,0)*IFERROR($AC307/$AD307,0))</f>
        <v/>
      </c>
    </row>
    <row r="308" spans="1:46" x14ac:dyDescent="0.45">
      <c r="A308" t="str">
        <f>IF(Allocation2!D308="","",Allocation2!D308)</f>
        <v/>
      </c>
      <c r="B308" t="str">
        <f>IF(Allocation2!E308="","",Allocation2!E308)</f>
        <v/>
      </c>
      <c r="C308" t="str">
        <f>IF(Allocation2!F308="","",Allocation2!F308)</f>
        <v/>
      </c>
      <c r="D308" t="str">
        <f>IF(Allocation2!G308="","",Allocation2!G308)</f>
        <v/>
      </c>
      <c r="E308" t="str">
        <f>IF(Allocation2!H308="","",Allocation2!H308)</f>
        <v/>
      </c>
      <c r="F308" t="str">
        <f>IF(Allocation2!I308="","",Allocation2!I308)</f>
        <v/>
      </c>
      <c r="G308" t="str">
        <f>IF(Allocation2!E308="","",Allocation2!J308)</f>
        <v/>
      </c>
      <c r="H308" t="str">
        <f>IF(Allocation2!E308="","",Allocation2!K308)</f>
        <v/>
      </c>
      <c r="I308" t="str">
        <f>IF(Allocation2!E308="","",Allocation2!L308)</f>
        <v/>
      </c>
      <c r="J308" t="str">
        <f>IF($A308="","",Allocation2!X308)</f>
        <v/>
      </c>
      <c r="K308" t="str">
        <f>IF($A308="","",$H308*IF(AND(LEFT($D308,3)="BAC",$F308="INIT"),600,IF(LEFT($D308,3)="BAC",480,IF(AND(LEFT($D308,3)="MAS",$F308="INIT"),520,IF(LEFT($D308,3)="MAS",420,IF($F308="INIT",1000,700))))))</f>
        <v/>
      </c>
      <c r="L308" t="str">
        <f>IF($A308="","",SUMIFS($G$1:$G$349,$A$1:$A$349,$A308,$B$1:$B$349,$B308))</f>
        <v/>
      </c>
      <c r="M308" t="str">
        <f>IF($A308="","",SUMIFS($H$1:$H$349,$A$1:$A$349,$A308,$B$1:$B$349,$B308))</f>
        <v/>
      </c>
      <c r="N308" t="str">
        <f>IF($A308="","",SUMIFS($I$1:$I$349,$A$1:$A$349,$A308,$B$1:$B$349,$B308))</f>
        <v/>
      </c>
      <c r="O308" t="str">
        <f>IF($A308="","",SUMIFS($K$1:$K$349,$A$1:$A$349,$A308,$B$1:$B$349,$B308))</f>
        <v/>
      </c>
      <c r="P308" t="str">
        <f>IF($A308="","",SUMIFS($J$1:$J$349,$A$1:$A$349,$A308,$B$1:$B$349,$B308))</f>
        <v/>
      </c>
      <c r="Q308" t="str">
        <f>IF($A308="","",SUMIFS($G$1:$G$349,$A$1:$A$349,$A308,$C$1:$C$349,$C308))</f>
        <v/>
      </c>
      <c r="R308" t="str">
        <f>IF($A308="","",SUMIFS($H$1:$H$349,$A$1:$A$349,$A308,$C$1:$C$349,$C308))</f>
        <v/>
      </c>
      <c r="S308" t="str">
        <f>IF($A308="","",SUMIFS($I$1:$I$349,$A$1:$A$349,$A308,$C$1:$C$349,$C308))</f>
        <v/>
      </c>
      <c r="T308" t="str">
        <f>IF($A308="","",SUMIFS($G$1:$G$349,$A$1:$A$349,$A308))</f>
        <v/>
      </c>
      <c r="U308" t="str">
        <f>IF($A308="","",SUMIFS($H$1:$H$349,$A$1:$A$349,$A308))</f>
        <v/>
      </c>
      <c r="V308" t="str">
        <f>IF($A308="","",SUMIFS($I$1:$I$349,$A$1:$A$349,$A308))</f>
        <v/>
      </c>
      <c r="W308" t="str">
        <f>IF($A308="","",Allocation2!Y308)</f>
        <v/>
      </c>
      <c r="X308" t="str">
        <f>IF($A308="","",Allocation2!Z308)</f>
        <v/>
      </c>
      <c r="Y308" t="str">
        <f>IF($A308="","",Allocation2!AA308)</f>
        <v/>
      </c>
      <c r="Z308" t="str">
        <f>IF($A308="","",Allocation2!AB308)</f>
        <v/>
      </c>
      <c r="AA308" t="str">
        <f>IF($A308="","",Allocation2!AC308)</f>
        <v/>
      </c>
      <c r="AB308" t="str">
        <f>IF($A308="","",Allocation2!AD308)</f>
        <v/>
      </c>
      <c r="AC308" t="str">
        <f>IF($A308="","",IF(ALLOC!$N$4="VOL_EFF",$G308,IF(ALLOC!$N$4="VOL_CLASS",$H308,$I308)))</f>
        <v/>
      </c>
      <c r="AD308" t="str">
        <f>IF($A308="","",IF(ALLOC!$N$4="VOL_EFF",$L308,IF(ALLOC!$N$4="VOL_CLASS",$M308,$N308)))</f>
        <v/>
      </c>
      <c r="AE308" t="str">
        <f>IF($A308="","",IF(ALLOC!$N$3="VOL_EFF",$L308,IF(ALLOC!$N$3="VOL_CLASS",$M308,$N308)))</f>
        <v/>
      </c>
      <c r="AF308" t="str">
        <f>IF($A308="","",IF(ALLOC!$N$3="VOL_EFF",$Q308,IF(ALLOC!$N$3="VOL_CLASS",$R308,$S308)))</f>
        <v/>
      </c>
      <c r="AG308" t="str">
        <f>IF($A308="","",IF(ALLOC!$N$1="VOL_EFF",$Q308,IF(ALLOC!$N$1="VOL_CLASS",$R308,$S308)))</f>
        <v/>
      </c>
      <c r="AH308" t="str">
        <f>IF($A308="","",IF(ALLOC!$N$1="VOL_EFF",$T308,IF(ALLOC!$N$1="VOL_CLASS",$U308,$V308)))</f>
        <v/>
      </c>
      <c r="AI308" t="str">
        <f>IF($A308="","",$W308*IFERROR($K308/$O308,0))</f>
        <v/>
      </c>
      <c r="AJ308" t="str">
        <f>IF($A308="","",$X308*IFERROR($K308/$O308,0))</f>
        <v/>
      </c>
      <c r="AK308" t="str">
        <f>IF($A308="","",$Y308*IFERROR($G308/$L308,0)+$Z308*IFERROR($J308/$P308,0))</f>
        <v/>
      </c>
      <c r="AL308" t="str">
        <f>IF($A308="","",$AA308*IFERROR($AC308/$AD308,0))</f>
        <v/>
      </c>
      <c r="AM308" t="str">
        <f>IF($A308="","",$AB308*IFERROR($AG308/$AH308,0)*IFERROR($AE308/$AF308,0)*IFERROR($AC308/$AD308,0))</f>
        <v/>
      </c>
      <c r="AN308" t="str">
        <f>IF($A308="","",$I308-($AI308+$AJ308+$AK308+$AL308+$AM308+$AR308))</f>
        <v/>
      </c>
      <c r="AO308" t="str">
        <f>IF($A308="","",Allocation2!AE308)</f>
        <v/>
      </c>
      <c r="AP308" t="str">
        <f>IF($A308="","",IF(ALLOC!$N$2="VOL_EFF",$Q308,IF(ALLOC!$N$2="VOL_CLASS",$R308,$S308)))</f>
        <v/>
      </c>
      <c r="AQ308" t="str">
        <f>IF($A308="","",IF(ALLOC!$N$2="VOL_EFF",$T308,IF(ALLOC!$N$2="VOL_CLASS",$U308,$V308)))</f>
        <v/>
      </c>
      <c r="AR308" t="str">
        <f>IF($A308="","",$AO308*IFERROR($AP308/$AQ308,0)*IFERROR($AE308/$AF308,0)*IFERROR($AC308/$AD308,0))</f>
        <v/>
      </c>
    </row>
    <row r="309" spans="1:46" x14ac:dyDescent="0.45">
      <c r="A309" t="str">
        <f>IF(Allocation2!D309="","",Allocation2!D309)</f>
        <v/>
      </c>
      <c r="B309" t="str">
        <f>IF(Allocation2!E309="","",Allocation2!E309)</f>
        <v/>
      </c>
      <c r="C309" t="str">
        <f>IF(Allocation2!F309="","",Allocation2!F309)</f>
        <v/>
      </c>
      <c r="D309" t="str">
        <f>IF(Allocation2!G309="","",Allocation2!G309)</f>
        <v/>
      </c>
      <c r="E309" t="str">
        <f>IF(Allocation2!H309="","",Allocation2!H309)</f>
        <v/>
      </c>
      <c r="F309" t="str">
        <f>IF(Allocation2!I309="","",Allocation2!I309)</f>
        <v/>
      </c>
      <c r="G309" t="str">
        <f>IF(Allocation2!E309="","",Allocation2!J309)</f>
        <v/>
      </c>
      <c r="H309" t="str">
        <f>IF(Allocation2!E309="","",Allocation2!K309)</f>
        <v/>
      </c>
      <c r="I309" t="str">
        <f>IF(Allocation2!E309="","",Allocation2!L309)</f>
        <v/>
      </c>
      <c r="J309" t="str">
        <f>IF($A309="","",Allocation2!X309)</f>
        <v/>
      </c>
      <c r="K309" t="str">
        <f>IF($A309="","",$H309*IF(AND(LEFT($D309,3)="BAC",$F309="INIT"),600,IF(LEFT($D309,3)="BAC",480,IF(AND(LEFT($D309,3)="MAS",$F309="INIT"),520,IF(LEFT($D309,3)="MAS",420,IF($F309="INIT",1000,700))))))</f>
        <v/>
      </c>
      <c r="L309" t="str">
        <f>IF($A309="","",SUMIFS($G$1:$G$349,$A$1:$A$349,$A309,$B$1:$B$349,$B309))</f>
        <v/>
      </c>
      <c r="M309" t="str">
        <f>IF($A309="","",SUMIFS($H$1:$H$349,$A$1:$A$349,$A309,$B$1:$B$349,$B309))</f>
        <v/>
      </c>
      <c r="N309" t="str">
        <f>IF($A309="","",SUMIFS($I$1:$I$349,$A$1:$A$349,$A309,$B$1:$B$349,$B309))</f>
        <v/>
      </c>
      <c r="O309" t="str">
        <f>IF($A309="","",SUMIFS($K$1:$K$349,$A$1:$A$349,$A309,$B$1:$B$349,$B309))</f>
        <v/>
      </c>
      <c r="P309" t="str">
        <f>IF($A309="","",SUMIFS($J$1:$J$349,$A$1:$A$349,$A309,$B$1:$B$349,$B309))</f>
        <v/>
      </c>
      <c r="Q309" t="str">
        <f>IF($A309="","",SUMIFS($G$1:$G$349,$A$1:$A$349,$A309,$C$1:$C$349,$C309))</f>
        <v/>
      </c>
      <c r="R309" t="str">
        <f>IF($A309="","",SUMIFS($H$1:$H$349,$A$1:$A$349,$A309,$C$1:$C$349,$C309))</f>
        <v/>
      </c>
      <c r="S309" t="str">
        <f>IF($A309="","",SUMIFS($I$1:$I$349,$A$1:$A$349,$A309,$C$1:$C$349,$C309))</f>
        <v/>
      </c>
      <c r="T309" t="str">
        <f>IF($A309="","",SUMIFS($G$1:$G$349,$A$1:$A$349,$A309))</f>
        <v/>
      </c>
      <c r="U309" t="str">
        <f>IF($A309="","",SUMIFS($H$1:$H$349,$A$1:$A$349,$A309))</f>
        <v/>
      </c>
      <c r="V309" t="str">
        <f>IF($A309="","",SUMIFS($I$1:$I$349,$A$1:$A$349,$A309))</f>
        <v/>
      </c>
      <c r="W309" t="str">
        <f>IF($A309="","",Allocation2!Y309)</f>
        <v/>
      </c>
      <c r="X309" t="str">
        <f>IF($A309="","",Allocation2!Z309)</f>
        <v/>
      </c>
      <c r="Y309" t="str">
        <f>IF($A309="","",Allocation2!AA309)</f>
        <v/>
      </c>
      <c r="Z309" t="str">
        <f>IF($A309="","",Allocation2!AB309)</f>
        <v/>
      </c>
      <c r="AA309" t="str">
        <f>IF($A309="","",Allocation2!AC309)</f>
        <v/>
      </c>
      <c r="AB309" t="str">
        <f>IF($A309="","",Allocation2!AD309)</f>
        <v/>
      </c>
      <c r="AC309" t="str">
        <f>IF($A309="","",IF(ALLOC!$N$4="VOL_EFF",$G309,IF(ALLOC!$N$4="VOL_CLASS",$H309,$I309)))</f>
        <v/>
      </c>
      <c r="AD309" t="str">
        <f>IF($A309="","",IF(ALLOC!$N$4="VOL_EFF",$L309,IF(ALLOC!$N$4="VOL_CLASS",$M309,$N309)))</f>
        <v/>
      </c>
      <c r="AE309" t="str">
        <f>IF($A309="","",IF(ALLOC!$N$3="VOL_EFF",$L309,IF(ALLOC!$N$3="VOL_CLASS",$M309,$N309)))</f>
        <v/>
      </c>
      <c r="AF309" t="str">
        <f>IF($A309="","",IF(ALLOC!$N$3="VOL_EFF",$Q309,IF(ALLOC!$N$3="VOL_CLASS",$R309,$S309)))</f>
        <v/>
      </c>
      <c r="AG309" t="str">
        <f>IF($A309="","",IF(ALLOC!$N$1="VOL_EFF",$Q309,IF(ALLOC!$N$1="VOL_CLASS",$R309,$S309)))</f>
        <v/>
      </c>
      <c r="AH309" t="str">
        <f>IF($A309="","",IF(ALLOC!$N$1="VOL_EFF",$T309,IF(ALLOC!$N$1="VOL_CLASS",$U309,$V309)))</f>
        <v/>
      </c>
      <c r="AI309" t="str">
        <f>IF($A309="","",$W309*IFERROR($K309/$O309,0))</f>
        <v/>
      </c>
      <c r="AJ309" t="str">
        <f>IF($A309="","",$X309*IFERROR($K309/$O309,0))</f>
        <v/>
      </c>
      <c r="AK309" t="str">
        <f>IF($A309="","",$Y309*IFERROR($G309/$L309,0)+$Z309*IFERROR($J309/$P309,0))</f>
        <v/>
      </c>
      <c r="AL309" t="str">
        <f>IF($A309="","",$AA309*IFERROR($AC309/$AD309,0))</f>
        <v/>
      </c>
      <c r="AM309" t="str">
        <f>IF($A309="","",$AB309*IFERROR($AG309/$AH309,0)*IFERROR($AE309/$AF309,0)*IFERROR($AC309/$AD309,0))</f>
        <v/>
      </c>
      <c r="AN309" t="str">
        <f>IF($A309="","",$I309-($AI309+$AJ309+$AK309+$AL309+$AM309+$AR309))</f>
        <v/>
      </c>
      <c r="AO309" t="str">
        <f>IF($A309="","",Allocation2!AE309)</f>
        <v/>
      </c>
      <c r="AP309" t="str">
        <f>IF($A309="","",IF(ALLOC!$N$2="VOL_EFF",$Q309,IF(ALLOC!$N$2="VOL_CLASS",$R309,$S309)))</f>
        <v/>
      </c>
      <c r="AQ309" t="str">
        <f>IF($A309="","",IF(ALLOC!$N$2="VOL_EFF",$T309,IF(ALLOC!$N$2="VOL_CLASS",$U309,$V309)))</f>
        <v/>
      </c>
      <c r="AR309" t="str">
        <f>IF($A309="","",$AO309*IFERROR($AP309/$AQ309,0)*IFERROR($AE309/$AF309,0)*IFERROR($AC309/$AD309,0))</f>
        <v/>
      </c>
    </row>
    <row r="310" spans="1:46" x14ac:dyDescent="0.45">
      <c r="A310" t="str">
        <f>IF(Allocation2!D310="","",Allocation2!D310)</f>
        <v/>
      </c>
      <c r="B310" t="str">
        <f>IF(Allocation2!E310="","",Allocation2!E310)</f>
        <v/>
      </c>
      <c r="C310" t="str">
        <f>IF(Allocation2!F310="","",Allocation2!F310)</f>
        <v/>
      </c>
      <c r="D310" t="str">
        <f>IF(Allocation2!G310="","",Allocation2!G310)</f>
        <v/>
      </c>
      <c r="E310" t="str">
        <f>IF(Allocation2!H310="","",Allocation2!H310)</f>
        <v/>
      </c>
      <c r="F310" t="str">
        <f>IF(Allocation2!I310="","",Allocation2!I310)</f>
        <v/>
      </c>
      <c r="G310" t="str">
        <f>IF(Allocation2!E310="","",Allocation2!J310)</f>
        <v/>
      </c>
      <c r="H310" t="str">
        <f>IF(Allocation2!E310="","",Allocation2!K310)</f>
        <v/>
      </c>
      <c r="I310" t="str">
        <f>IF(Allocation2!E310="","",Allocation2!L310)</f>
        <v/>
      </c>
      <c r="J310" t="str">
        <f>IF($A310="","",Allocation2!X310)</f>
        <v/>
      </c>
      <c r="K310" t="str">
        <f>IF($A310="","",$H310*IF(AND(LEFT($D310,3)="BAC",$F310="INIT"),600,IF(LEFT($D310,3)="BAC",480,IF(AND(LEFT($D310,3)="MAS",$F310="INIT"),520,IF(LEFT($D310,3)="MAS",420,IF($F310="INIT",1000,700))))))</f>
        <v/>
      </c>
      <c r="L310" t="str">
        <f>IF($A310="","",SUMIFS($G$1:$G$349,$A$1:$A$349,$A310,$B$1:$B$349,$B310))</f>
        <v/>
      </c>
      <c r="M310" t="str">
        <f>IF($A310="","",SUMIFS($H$1:$H$349,$A$1:$A$349,$A310,$B$1:$B$349,$B310))</f>
        <v/>
      </c>
      <c r="N310" t="str">
        <f>IF($A310="","",SUMIFS($I$1:$I$349,$A$1:$A$349,$A310,$B$1:$B$349,$B310))</f>
        <v/>
      </c>
      <c r="O310" t="str">
        <f>IF($A310="","",SUMIFS($K$1:$K$349,$A$1:$A$349,$A310,$B$1:$B$349,$B310))</f>
        <v/>
      </c>
      <c r="P310" t="str">
        <f>IF($A310="","",SUMIFS($J$1:$J$349,$A$1:$A$349,$A310,$B$1:$B$349,$B310))</f>
        <v/>
      </c>
      <c r="Q310" t="str">
        <f>IF($A310="","",SUMIFS($G$1:$G$349,$A$1:$A$349,$A310,$C$1:$C$349,$C310))</f>
        <v/>
      </c>
      <c r="R310" t="str">
        <f>IF($A310="","",SUMIFS($H$1:$H$349,$A$1:$A$349,$A310,$C$1:$C$349,$C310))</f>
        <v/>
      </c>
      <c r="S310" t="str">
        <f>IF($A310="","",SUMIFS($I$1:$I$349,$A$1:$A$349,$A310,$C$1:$C$349,$C310))</f>
        <v/>
      </c>
      <c r="T310" t="str">
        <f>IF($A310="","",SUMIFS($G$1:$G$349,$A$1:$A$349,$A310))</f>
        <v/>
      </c>
      <c r="U310" t="str">
        <f>IF($A310="","",SUMIFS($H$1:$H$349,$A$1:$A$349,$A310))</f>
        <v/>
      </c>
      <c r="V310" t="str">
        <f>IF($A310="","",SUMIFS($I$1:$I$349,$A$1:$A$349,$A310))</f>
        <v/>
      </c>
      <c r="W310" t="str">
        <f>IF($A310="","",Allocation2!Y310)</f>
        <v/>
      </c>
      <c r="X310" t="str">
        <f>IF($A310="","",Allocation2!Z310)</f>
        <v/>
      </c>
      <c r="Y310" t="str">
        <f>IF($A310="","",Allocation2!AA310)</f>
        <v/>
      </c>
      <c r="Z310" t="str">
        <f>IF($A310="","",Allocation2!AB310)</f>
        <v/>
      </c>
      <c r="AA310" t="str">
        <f>IF($A310="","",Allocation2!AC310)</f>
        <v/>
      </c>
      <c r="AB310" t="str">
        <f>IF($A310="","",Allocation2!AD310)</f>
        <v/>
      </c>
      <c r="AC310" t="str">
        <f>IF($A310="","",IF(ALLOC!$N$4="VOL_EFF",$G310,IF(ALLOC!$N$4="VOL_CLASS",$H310,$I310)))</f>
        <v/>
      </c>
      <c r="AD310" t="str">
        <f>IF($A310="","",IF(ALLOC!$N$4="VOL_EFF",$L310,IF(ALLOC!$N$4="VOL_CLASS",$M310,$N310)))</f>
        <v/>
      </c>
      <c r="AE310" t="str">
        <f>IF($A310="","",IF(ALLOC!$N$3="VOL_EFF",$L310,IF(ALLOC!$N$3="VOL_CLASS",$M310,$N310)))</f>
        <v/>
      </c>
      <c r="AF310" t="str">
        <f>IF($A310="","",IF(ALLOC!$N$3="VOL_EFF",$Q310,IF(ALLOC!$N$3="VOL_CLASS",$R310,$S310)))</f>
        <v/>
      </c>
      <c r="AG310" t="str">
        <f>IF($A310="","",IF(ALLOC!$N$1="VOL_EFF",$Q310,IF(ALLOC!$N$1="VOL_CLASS",$R310,$S310)))</f>
        <v/>
      </c>
      <c r="AH310" t="str">
        <f>IF($A310="","",IF(ALLOC!$N$1="VOL_EFF",$T310,IF(ALLOC!$N$1="VOL_CLASS",$U310,$V310)))</f>
        <v/>
      </c>
      <c r="AI310" t="str">
        <f>IF($A310="","",$W310*IFERROR($K310/$O310,0))</f>
        <v/>
      </c>
      <c r="AJ310" t="str">
        <f>IF($A310="","",$X310*IFERROR($K310/$O310,0))</f>
        <v/>
      </c>
      <c r="AK310" t="str">
        <f>IF($A310="","",$Y310*IFERROR($G310/$L310,0)+$Z310*IFERROR($J310/$P310,0))</f>
        <v/>
      </c>
      <c r="AL310" t="str">
        <f>IF($A310="","",$AA310*IFERROR($AC310/$AD310,0))</f>
        <v/>
      </c>
      <c r="AM310" t="str">
        <f>IF($A310="","",$AB310*IFERROR($AG310/$AH310,0)*IFERROR($AE310/$AF310,0)*IFERROR($AC310/$AD310,0))</f>
        <v/>
      </c>
      <c r="AN310" t="str">
        <f>IF($A310="","",$I310-($AI310+$AJ310+$AK310+$AL310+$AM310+$AR310))</f>
        <v/>
      </c>
      <c r="AO310" t="str">
        <f>IF($A310="","",Allocation2!AE310)</f>
        <v/>
      </c>
      <c r="AP310" t="str">
        <f>IF($A310="","",IF(ALLOC!$N$2="VOL_EFF",$Q310,IF(ALLOC!$N$2="VOL_CLASS",$R310,$S310)))</f>
        <v/>
      </c>
      <c r="AQ310" t="str">
        <f>IF($A310="","",IF(ALLOC!$N$2="VOL_EFF",$T310,IF(ALLOC!$N$2="VOL_CLASS",$U310,$V310)))</f>
        <v/>
      </c>
      <c r="AR310" t="str">
        <f>IF($A310="","",$AO310*IFERROR($AP310/$AQ310,0)*IFERROR($AE310/$AF310,0)*IFERROR($AC310/$AD310,0))</f>
        <v/>
      </c>
    </row>
    <row r="311" spans="1:46" x14ac:dyDescent="0.45">
      <c r="A311" t="str">
        <f>IF(Allocation2!D311="","",Allocation2!D311)</f>
        <v/>
      </c>
      <c r="B311" t="str">
        <f>IF(Allocation2!E311="","",Allocation2!E311)</f>
        <v/>
      </c>
      <c r="C311" t="str">
        <f>IF(Allocation2!F311="","",Allocation2!F311)</f>
        <v/>
      </c>
      <c r="D311" t="str">
        <f>IF(Allocation2!G311="","",Allocation2!G311)</f>
        <v/>
      </c>
      <c r="E311" t="str">
        <f>IF(Allocation2!H311="","",Allocation2!H311)</f>
        <v/>
      </c>
      <c r="F311" t="str">
        <f>IF(Allocation2!I311="","",Allocation2!I311)</f>
        <v/>
      </c>
      <c r="G311" t="str">
        <f>IF(Allocation2!E311="","",Allocation2!J311)</f>
        <v/>
      </c>
      <c r="H311" t="str">
        <f>IF(Allocation2!E311="","",Allocation2!K311)</f>
        <v/>
      </c>
      <c r="I311" t="str">
        <f>IF(Allocation2!E311="","",Allocation2!L311)</f>
        <v/>
      </c>
      <c r="J311" t="str">
        <f>IF($A311="","",Allocation2!X311)</f>
        <v/>
      </c>
      <c r="K311" t="str">
        <f>IF($A311="","",$H311*IF(AND(LEFT($D311,3)="BAC",$F311="INIT"),600,IF(LEFT($D311,3)="BAC",480,IF(AND(LEFT($D311,3)="MAS",$F311="INIT"),520,IF(LEFT($D311,3)="MAS",420,IF($F311="INIT",1000,700))))))</f>
        <v/>
      </c>
      <c r="L311" t="str">
        <f>IF($A311="","",SUMIFS($G$1:$G$349,$A$1:$A$349,$A311,$B$1:$B$349,$B311))</f>
        <v/>
      </c>
      <c r="M311" t="str">
        <f>IF($A311="","",SUMIFS($H$1:$H$349,$A$1:$A$349,$A311,$B$1:$B$349,$B311))</f>
        <v/>
      </c>
      <c r="N311" t="str">
        <f>IF($A311="","",SUMIFS($I$1:$I$349,$A$1:$A$349,$A311,$B$1:$B$349,$B311))</f>
        <v/>
      </c>
      <c r="O311" t="str">
        <f>IF($A311="","",SUMIFS($K$1:$K$349,$A$1:$A$349,$A311,$B$1:$B$349,$B311))</f>
        <v/>
      </c>
      <c r="P311" t="str">
        <f>IF($A311="","",SUMIFS($J$1:$J$349,$A$1:$A$349,$A311,$B$1:$B$349,$B311))</f>
        <v/>
      </c>
      <c r="Q311" t="str">
        <f>IF($A311="","",SUMIFS($G$1:$G$349,$A$1:$A$349,$A311,$C$1:$C$349,$C311))</f>
        <v/>
      </c>
      <c r="R311" t="str">
        <f>IF($A311="","",SUMIFS($H$1:$H$349,$A$1:$A$349,$A311,$C$1:$C$349,$C311))</f>
        <v/>
      </c>
      <c r="S311" t="str">
        <f>IF($A311="","",SUMIFS($I$1:$I$349,$A$1:$A$349,$A311,$C$1:$C$349,$C311))</f>
        <v/>
      </c>
      <c r="T311" t="str">
        <f>IF($A311="","",SUMIFS($G$1:$G$349,$A$1:$A$349,$A311))</f>
        <v/>
      </c>
      <c r="U311" t="str">
        <f>IF($A311="","",SUMIFS($H$1:$H$349,$A$1:$A$349,$A311))</f>
        <v/>
      </c>
      <c r="V311" t="str">
        <f>IF($A311="","",SUMIFS($I$1:$I$349,$A$1:$A$349,$A311))</f>
        <v/>
      </c>
      <c r="W311" t="str">
        <f>IF($A311="","",Allocation2!Y311)</f>
        <v/>
      </c>
      <c r="X311" t="str">
        <f>IF($A311="","",Allocation2!Z311)</f>
        <v/>
      </c>
      <c r="Y311" t="str">
        <f>IF($A311="","",Allocation2!AA311)</f>
        <v/>
      </c>
      <c r="Z311" t="str">
        <f>IF($A311="","",Allocation2!AB311)</f>
        <v/>
      </c>
      <c r="AA311" t="str">
        <f>IF($A311="","",Allocation2!AC311)</f>
        <v/>
      </c>
      <c r="AB311" t="str">
        <f>IF($A311="","",Allocation2!AD311)</f>
        <v/>
      </c>
      <c r="AC311" t="str">
        <f>IF($A311="","",IF(ALLOC!$N$4="VOL_EFF",$G311,IF(ALLOC!$N$4="VOL_CLASS",$H311,$I311)))</f>
        <v/>
      </c>
      <c r="AD311" t="str">
        <f>IF($A311="","",IF(ALLOC!$N$4="VOL_EFF",$L311,IF(ALLOC!$N$4="VOL_CLASS",$M311,$N311)))</f>
        <v/>
      </c>
      <c r="AE311" t="str">
        <f>IF($A311="","",IF(ALLOC!$N$3="VOL_EFF",$L311,IF(ALLOC!$N$3="VOL_CLASS",$M311,$N311)))</f>
        <v/>
      </c>
      <c r="AF311" t="str">
        <f>IF($A311="","",IF(ALLOC!$N$3="VOL_EFF",$Q311,IF(ALLOC!$N$3="VOL_CLASS",$R311,$S311)))</f>
        <v/>
      </c>
      <c r="AG311" t="str">
        <f>IF($A311="","",IF(ALLOC!$N$1="VOL_EFF",$Q311,IF(ALLOC!$N$1="VOL_CLASS",$R311,$S311)))</f>
        <v/>
      </c>
      <c r="AH311" t="str">
        <f>IF($A311="","",IF(ALLOC!$N$1="VOL_EFF",$T311,IF(ALLOC!$N$1="VOL_CLASS",$U311,$V311)))</f>
        <v/>
      </c>
      <c r="AI311" t="str">
        <f>IF($A311="","",$W311*IFERROR($K311/$O311,0))</f>
        <v/>
      </c>
      <c r="AJ311" t="str">
        <f>IF($A311="","",$X311*IFERROR($K311/$O311,0))</f>
        <v/>
      </c>
      <c r="AK311" t="str">
        <f>IF($A311="","",$Y311*IFERROR($G311/$L311,0)+$Z311*IFERROR($J311/$P311,0))</f>
        <v/>
      </c>
      <c r="AL311" t="str">
        <f>IF($A311="","",$AA311*IFERROR($AC311/$AD311,0))</f>
        <v/>
      </c>
      <c r="AM311" t="str">
        <f>IF($A311="","",$AB311*IFERROR($AG311/$AH311,0)*IFERROR($AE311/$AF311,0)*IFERROR($AC311/$AD311,0))</f>
        <v/>
      </c>
      <c r="AN311" t="str">
        <f>IF($A311="","",$I311-($AI311+$AJ311+$AK311+$AL311+$AM311+$AR311))</f>
        <v/>
      </c>
      <c r="AO311" t="str">
        <f>IF($A311="","",Allocation2!AE311)</f>
        <v/>
      </c>
      <c r="AP311" t="str">
        <f>IF($A311="","",IF(ALLOC!$N$2="VOL_EFF",$Q311,IF(ALLOC!$N$2="VOL_CLASS",$R311,$S311)))</f>
        <v/>
      </c>
      <c r="AQ311" t="str">
        <f>IF($A311="","",IF(ALLOC!$N$2="VOL_EFF",$T311,IF(ALLOC!$N$2="VOL_CLASS",$U311,$V311)))</f>
        <v/>
      </c>
      <c r="AR311" t="str">
        <f>IF($A311="","",$AO311*IFERROR($AP311/$AQ311,0)*IFERROR($AE311/$AF311,0)*IFERROR($AC311/$AD311,0))</f>
        <v/>
      </c>
    </row>
    <row r="312" spans="1:46" x14ac:dyDescent="0.45">
      <c r="A312" t="str">
        <f>IF(Allocation2!D312="","",Allocation2!D312)</f>
        <v/>
      </c>
      <c r="B312" t="str">
        <f>IF(Allocation2!E312="","",Allocation2!E312)</f>
        <v/>
      </c>
      <c r="C312" t="str">
        <f>IF(Allocation2!F312="","",Allocation2!F312)</f>
        <v/>
      </c>
      <c r="D312" t="str">
        <f>IF(Allocation2!G312="","",Allocation2!G312)</f>
        <v/>
      </c>
      <c r="E312" t="str">
        <f>IF(Allocation2!H312="","",Allocation2!H312)</f>
        <v/>
      </c>
      <c r="F312" t="str">
        <f>IF(Allocation2!I312="","",Allocation2!I312)</f>
        <v/>
      </c>
      <c r="G312" t="str">
        <f>IF(Allocation2!E312="","",Allocation2!J312)</f>
        <v/>
      </c>
      <c r="H312" t="str">
        <f>IF(Allocation2!E312="","",Allocation2!K312)</f>
        <v/>
      </c>
      <c r="I312" t="str">
        <f>IF(Allocation2!E312="","",Allocation2!L312)</f>
        <v/>
      </c>
      <c r="J312" t="str">
        <f>IF($A312="","",Allocation2!X312)</f>
        <v/>
      </c>
      <c r="K312" t="str">
        <f>IF($A312="","",$H312*IF(AND(LEFT($D312,3)="BAC",$F312="INIT"),600,IF(LEFT($D312,3)="BAC",480,IF(AND(LEFT($D312,3)="MAS",$F312="INIT"),520,IF(LEFT($D312,3)="MAS",420,IF($F312="INIT",1000,700))))))</f>
        <v/>
      </c>
      <c r="L312" t="str">
        <f>IF($A312="","",SUMIFS($G$1:$G$349,$A$1:$A$349,$A312,$B$1:$B$349,$B312))</f>
        <v/>
      </c>
      <c r="M312" t="str">
        <f>IF($A312="","",SUMIFS($H$1:$H$349,$A$1:$A$349,$A312,$B$1:$B$349,$B312))</f>
        <v/>
      </c>
      <c r="N312" t="str">
        <f>IF($A312="","",SUMIFS($I$1:$I$349,$A$1:$A$349,$A312,$B$1:$B$349,$B312))</f>
        <v/>
      </c>
      <c r="O312" t="str">
        <f>IF($A312="","",SUMIFS($K$1:$K$349,$A$1:$A$349,$A312,$B$1:$B$349,$B312))</f>
        <v/>
      </c>
      <c r="P312" t="str">
        <f>IF($A312="","",SUMIFS($J$1:$J$349,$A$1:$A$349,$A312,$B$1:$B$349,$B312))</f>
        <v/>
      </c>
      <c r="Q312" t="str">
        <f>IF($A312="","",SUMIFS($G$1:$G$349,$A$1:$A$349,$A312,$C$1:$C$349,$C312))</f>
        <v/>
      </c>
      <c r="R312" t="str">
        <f>IF($A312="","",SUMIFS($H$1:$H$349,$A$1:$A$349,$A312,$C$1:$C$349,$C312))</f>
        <v/>
      </c>
      <c r="S312" t="str">
        <f>IF($A312="","",SUMIFS($I$1:$I$349,$A$1:$A$349,$A312,$C$1:$C$349,$C312))</f>
        <v/>
      </c>
      <c r="T312" t="str">
        <f>IF($A312="","",SUMIFS($G$1:$G$349,$A$1:$A$349,$A312))</f>
        <v/>
      </c>
      <c r="U312" t="str">
        <f>IF($A312="","",SUMIFS($H$1:$H$349,$A$1:$A$349,$A312))</f>
        <v/>
      </c>
      <c r="V312" t="str">
        <f>IF($A312="","",SUMIFS($I$1:$I$349,$A$1:$A$349,$A312))</f>
        <v/>
      </c>
      <c r="W312" t="str">
        <f>IF($A312="","",Allocation2!Y312)</f>
        <v/>
      </c>
      <c r="X312" t="str">
        <f>IF($A312="","",Allocation2!Z312)</f>
        <v/>
      </c>
      <c r="Y312" t="str">
        <f>IF($A312="","",Allocation2!AA312)</f>
        <v/>
      </c>
      <c r="Z312" t="str">
        <f>IF($A312="","",Allocation2!AB312)</f>
        <v/>
      </c>
      <c r="AA312" t="str">
        <f>IF($A312="","",Allocation2!AC312)</f>
        <v/>
      </c>
      <c r="AB312" t="str">
        <f>IF($A312="","",Allocation2!AD312)</f>
        <v/>
      </c>
      <c r="AC312" t="str">
        <f>IF($A312="","",IF(ALLOC!$N$4="VOL_EFF",$G312,IF(ALLOC!$N$4="VOL_CLASS",$H312,$I312)))</f>
        <v/>
      </c>
      <c r="AD312" t="str">
        <f>IF($A312="","",IF(ALLOC!$N$4="VOL_EFF",$L312,IF(ALLOC!$N$4="VOL_CLASS",$M312,$N312)))</f>
        <v/>
      </c>
      <c r="AE312" t="str">
        <f>IF($A312="","",IF(ALLOC!$N$3="VOL_EFF",$L312,IF(ALLOC!$N$3="VOL_CLASS",$M312,$N312)))</f>
        <v/>
      </c>
      <c r="AF312" t="str">
        <f>IF($A312="","",IF(ALLOC!$N$3="VOL_EFF",$Q312,IF(ALLOC!$N$3="VOL_CLASS",$R312,$S312)))</f>
        <v/>
      </c>
      <c r="AG312" t="str">
        <f>IF($A312="","",IF(ALLOC!$N$1="VOL_EFF",$Q312,IF(ALLOC!$N$1="VOL_CLASS",$R312,$S312)))</f>
        <v/>
      </c>
      <c r="AH312" t="str">
        <f>IF($A312="","",IF(ALLOC!$N$1="VOL_EFF",$T312,IF(ALLOC!$N$1="VOL_CLASS",$U312,$V312)))</f>
        <v/>
      </c>
      <c r="AI312" t="str">
        <f>IF($A312="","",$W312*IFERROR($K312/$O312,0))</f>
        <v/>
      </c>
      <c r="AJ312" t="str">
        <f>IF($A312="","",$X312*IFERROR($K312/$O312,0))</f>
        <v/>
      </c>
      <c r="AK312" t="str">
        <f>IF($A312="","",$Y312*IFERROR($G312/$L312,0)+$Z312*IFERROR($J312/$P312,0))</f>
        <v/>
      </c>
      <c r="AL312" t="str">
        <f>IF($A312="","",$AA312*IFERROR($AC312/$AD312,0))</f>
        <v/>
      </c>
      <c r="AM312" t="str">
        <f>IF($A312="","",$AB312*IFERROR($AG312/$AH312,0)*IFERROR($AE312/$AF312,0)*IFERROR($AC312/$AD312,0))</f>
        <v/>
      </c>
      <c r="AN312" t="str">
        <f>IF($A312="","",$I312-($AI312+$AJ312+$AK312+$AL312+$AM312+$AR312))</f>
        <v/>
      </c>
      <c r="AO312" t="str">
        <f>IF($A312="","",Allocation2!AE312)</f>
        <v/>
      </c>
      <c r="AP312" t="str">
        <f>IF($A312="","",IF(ALLOC!$N$2="VOL_EFF",$Q312,IF(ALLOC!$N$2="VOL_CLASS",$R312,$S312)))</f>
        <v/>
      </c>
      <c r="AQ312" t="str">
        <f>IF($A312="","",IF(ALLOC!$N$2="VOL_EFF",$T312,IF(ALLOC!$N$2="VOL_CLASS",$U312,$V312)))</f>
        <v/>
      </c>
      <c r="AR312" t="str">
        <f>IF($A312="","",$AO312*IFERROR($AP312/$AQ312,0)*IFERROR($AE312/$AF312,0)*IFERROR($AC312/$AD312,0))</f>
        <v/>
      </c>
    </row>
    <row r="313" spans="1:46" x14ac:dyDescent="0.45">
      <c r="A313" t="str">
        <f>IF(Allocation2!D313="","",Allocation2!D313)</f>
        <v/>
      </c>
      <c r="B313" t="str">
        <f>IF(Allocation2!E313="","",Allocation2!E313)</f>
        <v/>
      </c>
      <c r="C313" t="str">
        <f>IF(Allocation2!F313="","",Allocation2!F313)</f>
        <v/>
      </c>
      <c r="D313" t="str">
        <f>IF(Allocation2!G313="","",Allocation2!G313)</f>
        <v/>
      </c>
      <c r="E313" t="str">
        <f>IF(Allocation2!H313="","",Allocation2!H313)</f>
        <v/>
      </c>
      <c r="F313" t="str">
        <f>IF(Allocation2!I313="","",Allocation2!I313)</f>
        <v/>
      </c>
      <c r="G313" t="str">
        <f>IF(Allocation2!E313="","",Allocation2!J313)</f>
        <v/>
      </c>
      <c r="H313" t="str">
        <f>IF(Allocation2!E313="","",Allocation2!K313)</f>
        <v/>
      </c>
      <c r="I313" t="str">
        <f>IF(Allocation2!E313="","",Allocation2!L313)</f>
        <v/>
      </c>
      <c r="J313" t="str">
        <f>IF($A313="","",Allocation2!X313)</f>
        <v/>
      </c>
      <c r="K313" t="str">
        <f>IF($A313="","",$H313*IF(AND(LEFT($D313,3)="BAC",$F313="INIT"),600,IF(LEFT($D313,3)="BAC",480,IF(AND(LEFT($D313,3)="MAS",$F313="INIT"),520,IF(LEFT($D313,3)="MAS",420,IF($F313="INIT",1000,700))))))</f>
        <v/>
      </c>
      <c r="L313" t="str">
        <f>IF($A313="","",SUMIFS($G$1:$G$349,$A$1:$A$349,$A313,$B$1:$B$349,$B313))</f>
        <v/>
      </c>
      <c r="M313" t="str">
        <f>IF($A313="","",SUMIFS($H$1:$H$349,$A$1:$A$349,$A313,$B$1:$B$349,$B313))</f>
        <v/>
      </c>
      <c r="N313" t="str">
        <f>IF($A313="","",SUMIFS($I$1:$I$349,$A$1:$A$349,$A313,$B$1:$B$349,$B313))</f>
        <v/>
      </c>
      <c r="O313" t="str">
        <f>IF($A313="","",SUMIFS($K$1:$K$349,$A$1:$A$349,$A313,$B$1:$B$349,$B313))</f>
        <v/>
      </c>
      <c r="P313" t="str">
        <f>IF($A313="","",SUMIFS($J$1:$J$349,$A$1:$A$349,$A313,$B$1:$B$349,$B313))</f>
        <v/>
      </c>
      <c r="Q313" t="str">
        <f>IF($A313="","",SUMIFS($G$1:$G$349,$A$1:$A$349,$A313,$C$1:$C$349,$C313))</f>
        <v/>
      </c>
      <c r="R313" t="str">
        <f>IF($A313="","",SUMIFS($H$1:$H$349,$A$1:$A$349,$A313,$C$1:$C$349,$C313))</f>
        <v/>
      </c>
      <c r="S313" t="str">
        <f>IF($A313="","",SUMIFS($I$1:$I$349,$A$1:$A$349,$A313,$C$1:$C$349,$C313))</f>
        <v/>
      </c>
      <c r="T313" t="str">
        <f>IF($A313="","",SUMIFS($G$1:$G$349,$A$1:$A$349,$A313))</f>
        <v/>
      </c>
      <c r="U313" t="str">
        <f>IF($A313="","",SUMIFS($H$1:$H$349,$A$1:$A$349,$A313))</f>
        <v/>
      </c>
      <c r="V313" t="str">
        <f>IF($A313="","",SUMIFS($I$1:$I$349,$A$1:$A$349,$A313))</f>
        <v/>
      </c>
      <c r="W313" t="str">
        <f>IF($A313="","",Allocation2!Y313)</f>
        <v/>
      </c>
      <c r="X313" t="str">
        <f>IF($A313="","",Allocation2!Z313)</f>
        <v/>
      </c>
      <c r="Y313" t="str">
        <f>IF($A313="","",Allocation2!AA313)</f>
        <v/>
      </c>
      <c r="Z313" t="str">
        <f>IF($A313="","",Allocation2!AB313)</f>
        <v/>
      </c>
      <c r="AA313" t="str">
        <f>IF($A313="","",Allocation2!AC313)</f>
        <v/>
      </c>
      <c r="AB313" t="str">
        <f>IF($A313="","",Allocation2!AD313)</f>
        <v/>
      </c>
      <c r="AC313" t="str">
        <f>IF($A313="","",IF(ALLOC!$N$4="VOL_EFF",$G313,IF(ALLOC!$N$4="VOL_CLASS",$H313,$I313)))</f>
        <v/>
      </c>
      <c r="AD313" t="str">
        <f>IF($A313="","",IF(ALLOC!$N$4="VOL_EFF",$L313,IF(ALLOC!$N$4="VOL_CLASS",$M313,$N313)))</f>
        <v/>
      </c>
      <c r="AE313" t="str">
        <f>IF($A313="","",IF(ALLOC!$N$3="VOL_EFF",$L313,IF(ALLOC!$N$3="VOL_CLASS",$M313,$N313)))</f>
        <v/>
      </c>
      <c r="AF313" t="str">
        <f>IF($A313="","",IF(ALLOC!$N$3="VOL_EFF",$Q313,IF(ALLOC!$N$3="VOL_CLASS",$R313,$S313)))</f>
        <v/>
      </c>
      <c r="AG313" t="str">
        <f>IF($A313="","",IF(ALLOC!$N$1="VOL_EFF",$Q313,IF(ALLOC!$N$1="VOL_CLASS",$R313,$S313)))</f>
        <v/>
      </c>
      <c r="AH313" t="str">
        <f>IF($A313="","",IF(ALLOC!$N$1="VOL_EFF",$T313,IF(ALLOC!$N$1="VOL_CLASS",$U313,$V313)))</f>
        <v/>
      </c>
      <c r="AI313" t="str">
        <f>IF($A313="","",$W313*IFERROR($K313/$O313,0))</f>
        <v/>
      </c>
      <c r="AJ313" t="str">
        <f>IF($A313="","",$X313*IFERROR($K313/$O313,0))</f>
        <v/>
      </c>
      <c r="AK313" t="str">
        <f>IF($A313="","",$Y313*IFERROR($G313/$L313,0)+$Z313*IFERROR($J313/$P313,0))</f>
        <v/>
      </c>
      <c r="AL313" t="str">
        <f>IF($A313="","",$AA313*IFERROR($AC313/$AD313,0))</f>
        <v/>
      </c>
      <c r="AM313" t="str">
        <f>IF($A313="","",$AB313*IFERROR($AG313/$AH313,0)*IFERROR($AE313/$AF313,0)*IFERROR($AC313/$AD313,0))</f>
        <v/>
      </c>
      <c r="AN313" t="str">
        <f>IF($A313="","",$I313-($AI313+$AJ313+$AK313+$AL313+$AM313+$AR313))</f>
        <v/>
      </c>
      <c r="AO313" t="str">
        <f>IF($A313="","",Allocation2!AE313)</f>
        <v/>
      </c>
      <c r="AP313" t="str">
        <f>IF($A313="","",IF(ALLOC!$N$2="VOL_EFF",$Q313,IF(ALLOC!$N$2="VOL_CLASS",$R313,$S313)))</f>
        <v/>
      </c>
      <c r="AQ313" t="str">
        <f>IF($A313="","",IF(ALLOC!$N$2="VOL_EFF",$T313,IF(ALLOC!$N$2="VOL_CLASS",$U313,$V313)))</f>
        <v/>
      </c>
      <c r="AR313" t="str">
        <f>IF($A313="","",$AO313*IFERROR($AP313/$AQ313,0)*IFERROR($AE313/$AF313,0)*IFERROR($AC313/$AD313,0))</f>
        <v/>
      </c>
    </row>
    <row r="314" spans="1:46" x14ac:dyDescent="0.45">
      <c r="A314" t="str">
        <f>IF(Allocation2!D314="","",Allocation2!D314)</f>
        <v/>
      </c>
      <c r="B314" t="str">
        <f>IF(Allocation2!E314="","",Allocation2!E314)</f>
        <v/>
      </c>
      <c r="C314" t="str">
        <f>IF(Allocation2!F314="","",Allocation2!F314)</f>
        <v/>
      </c>
      <c r="D314" t="str">
        <f>IF(Allocation2!G314="","",Allocation2!G314)</f>
        <v/>
      </c>
      <c r="E314" t="str">
        <f>IF(Allocation2!H314="","",Allocation2!H314)</f>
        <v/>
      </c>
      <c r="F314" t="str">
        <f>IF(Allocation2!I314="","",Allocation2!I314)</f>
        <v/>
      </c>
      <c r="G314" t="str">
        <f>IF(Allocation2!E314="","",Allocation2!J314)</f>
        <v/>
      </c>
      <c r="H314" t="str">
        <f>IF(Allocation2!E314="","",Allocation2!K314)</f>
        <v/>
      </c>
      <c r="I314" t="str">
        <f>IF(Allocation2!E314="","",Allocation2!L314)</f>
        <v/>
      </c>
      <c r="J314" t="str">
        <f>IF($A314="","",Allocation2!X314)</f>
        <v/>
      </c>
      <c r="K314" t="str">
        <f>IF($A314="","",$H314*IF(AND(LEFT($D314,3)="BAC",$F314="INIT"),600,IF(LEFT($D314,3)="BAC",480,IF(AND(LEFT($D314,3)="MAS",$F314="INIT"),520,IF(LEFT($D314,3)="MAS",420,IF($F314="INIT",1000,700))))))</f>
        <v/>
      </c>
      <c r="L314" t="str">
        <f>IF($A314="","",SUMIFS($G$1:$G$349,$A$1:$A$349,$A314,$B$1:$B$349,$B314))</f>
        <v/>
      </c>
      <c r="M314" t="str">
        <f>IF($A314="","",SUMIFS($H$1:$H$349,$A$1:$A$349,$A314,$B$1:$B$349,$B314))</f>
        <v/>
      </c>
      <c r="N314" t="str">
        <f>IF($A314="","",SUMIFS($I$1:$I$349,$A$1:$A$349,$A314,$B$1:$B$349,$B314))</f>
        <v/>
      </c>
      <c r="O314" t="str">
        <f>IF($A314="","",SUMIFS($K$1:$K$349,$A$1:$A$349,$A314,$B$1:$B$349,$B314))</f>
        <v/>
      </c>
      <c r="P314" t="str">
        <f>IF($A314="","",SUMIFS($J$1:$J$349,$A$1:$A$349,$A314,$B$1:$B$349,$B314))</f>
        <v/>
      </c>
      <c r="Q314" t="str">
        <f>IF($A314="","",SUMIFS($G$1:$G$349,$A$1:$A$349,$A314,$C$1:$C$349,$C314))</f>
        <v/>
      </c>
      <c r="R314" t="str">
        <f>IF($A314="","",SUMIFS($H$1:$H$349,$A$1:$A$349,$A314,$C$1:$C$349,$C314))</f>
        <v/>
      </c>
      <c r="S314" t="str">
        <f>IF($A314="","",SUMIFS($I$1:$I$349,$A$1:$A$349,$A314,$C$1:$C$349,$C314))</f>
        <v/>
      </c>
      <c r="T314" t="str">
        <f>IF($A314="","",SUMIFS($G$1:$G$349,$A$1:$A$349,$A314))</f>
        <v/>
      </c>
      <c r="U314" t="str">
        <f>IF($A314="","",SUMIFS($H$1:$H$349,$A$1:$A$349,$A314))</f>
        <v/>
      </c>
      <c r="V314" t="str">
        <f>IF($A314="","",SUMIFS($I$1:$I$349,$A$1:$A$349,$A314))</f>
        <v/>
      </c>
      <c r="W314" t="str">
        <f>IF($A314="","",Allocation2!Y314)</f>
        <v/>
      </c>
      <c r="X314" t="str">
        <f>IF($A314="","",Allocation2!Z314)</f>
        <v/>
      </c>
      <c r="Y314" t="str">
        <f>IF($A314="","",Allocation2!AA314)</f>
        <v/>
      </c>
      <c r="Z314" t="str">
        <f>IF($A314="","",Allocation2!AB314)</f>
        <v/>
      </c>
      <c r="AA314" t="str">
        <f>IF($A314="","",Allocation2!AC314)</f>
        <v/>
      </c>
      <c r="AB314" t="str">
        <f>IF($A314="","",Allocation2!AD314)</f>
        <v/>
      </c>
      <c r="AC314" t="str">
        <f>IF($A314="","",IF(ALLOC!$N$4="VOL_EFF",$G314,IF(ALLOC!$N$4="VOL_CLASS",$H314,$I314)))</f>
        <v/>
      </c>
      <c r="AD314" t="str">
        <f>IF($A314="","",IF(ALLOC!$N$4="VOL_EFF",$L314,IF(ALLOC!$N$4="VOL_CLASS",$M314,$N314)))</f>
        <v/>
      </c>
      <c r="AE314" t="str">
        <f>IF($A314="","",IF(ALLOC!$N$3="VOL_EFF",$L314,IF(ALLOC!$N$3="VOL_CLASS",$M314,$N314)))</f>
        <v/>
      </c>
      <c r="AF314" t="str">
        <f>IF($A314="","",IF(ALLOC!$N$3="VOL_EFF",$Q314,IF(ALLOC!$N$3="VOL_CLASS",$R314,$S314)))</f>
        <v/>
      </c>
      <c r="AG314" t="str">
        <f>IF($A314="","",IF(ALLOC!$N$1="VOL_EFF",$Q314,IF(ALLOC!$N$1="VOL_CLASS",$R314,$S314)))</f>
        <v/>
      </c>
      <c r="AH314" t="str">
        <f>IF($A314="","",IF(ALLOC!$N$1="VOL_EFF",$T314,IF(ALLOC!$N$1="VOL_CLASS",$U314,$V314)))</f>
        <v/>
      </c>
      <c r="AI314" t="str">
        <f>IF($A314="","",$W314*IFERROR($K314/$O314,0))</f>
        <v/>
      </c>
      <c r="AJ314" t="str">
        <f>IF($A314="","",$X314*IFERROR($K314/$O314,0))</f>
        <v/>
      </c>
      <c r="AK314" t="str">
        <f>IF($A314="","",$Y314*IFERROR($G314/$L314,0)+$Z314*IFERROR($J314/$P314,0))</f>
        <v/>
      </c>
      <c r="AL314" t="str">
        <f>IF($A314="","",$AA314*IFERROR($AC314/$AD314,0))</f>
        <v/>
      </c>
      <c r="AM314" t="str">
        <f>IF($A314="","",$AB314*IFERROR($AG314/$AH314,0)*IFERROR($AE314/$AF314,0)*IFERROR($AC314/$AD314,0))</f>
        <v/>
      </c>
      <c r="AN314" t="str">
        <f>IF($A314="","",$I314-($AI314+$AJ314+$AK314+$AL314+$AM314+$AR314))</f>
        <v/>
      </c>
      <c r="AO314" t="str">
        <f>IF($A314="","",Allocation2!AE314)</f>
        <v/>
      </c>
      <c r="AP314" t="str">
        <f>IF($A314="","",IF(ALLOC!$N$2="VOL_EFF",$Q314,IF(ALLOC!$N$2="VOL_CLASS",$R314,$S314)))</f>
        <v/>
      </c>
      <c r="AQ314" t="str">
        <f>IF($A314="","",IF(ALLOC!$N$2="VOL_EFF",$T314,IF(ALLOC!$N$2="VOL_CLASS",$U314,$V314)))</f>
        <v/>
      </c>
      <c r="AR314" t="str">
        <f>IF($A314="","",$AO314*IFERROR($AP314/$AQ314,0)*IFERROR($AE314/$AF314,0)*IFERROR($AC314/$AD314,0))</f>
        <v/>
      </c>
    </row>
    <row r="315" spans="1:46" x14ac:dyDescent="0.45">
      <c r="A315" t="str">
        <f>IF(Allocation2!D315="","",Allocation2!D315)</f>
        <v/>
      </c>
      <c r="B315" t="str">
        <f>IF(Allocation2!E315="","",Allocation2!E315)</f>
        <v/>
      </c>
      <c r="C315" t="str">
        <f>IF(Allocation2!F315="","",Allocation2!F315)</f>
        <v/>
      </c>
      <c r="D315" t="str">
        <f>IF(Allocation2!G315="","",Allocation2!G315)</f>
        <v/>
      </c>
      <c r="E315" t="str">
        <f>IF(Allocation2!H315="","",Allocation2!H315)</f>
        <v/>
      </c>
      <c r="F315" t="str">
        <f>IF(Allocation2!I315="","",Allocation2!I315)</f>
        <v/>
      </c>
      <c r="G315" t="str">
        <f>IF(Allocation2!E315="","",Allocation2!J315)</f>
        <v/>
      </c>
      <c r="H315" t="str">
        <f>IF(Allocation2!E315="","",Allocation2!K315)</f>
        <v/>
      </c>
      <c r="I315" t="str">
        <f>IF(Allocation2!E315="","",Allocation2!L315)</f>
        <v/>
      </c>
      <c r="J315" t="str">
        <f>IF($A315="","",Allocation2!X315)</f>
        <v/>
      </c>
      <c r="K315" t="str">
        <f>IF($A315="","",$H315*IF(AND(LEFT($D315,3)="BAC",$F315="INIT"),600,IF(LEFT($D315,3)="BAC",480,IF(AND(LEFT($D315,3)="MAS",$F315="INIT"),520,IF(LEFT($D315,3)="MAS",420,IF($F315="INIT",1000,700))))))</f>
        <v/>
      </c>
      <c r="L315" t="str">
        <f>IF($A315="","",SUMIFS($G$1:$G$349,$A$1:$A$349,$A315,$B$1:$B$349,$B315))</f>
        <v/>
      </c>
      <c r="M315" t="str">
        <f>IF($A315="","",SUMIFS($H$1:$H$349,$A$1:$A$349,$A315,$B$1:$B$349,$B315))</f>
        <v/>
      </c>
      <c r="N315" t="str">
        <f>IF($A315="","",SUMIFS($I$1:$I$349,$A$1:$A$349,$A315,$B$1:$B$349,$B315))</f>
        <v/>
      </c>
      <c r="O315" t="str">
        <f>IF($A315="","",SUMIFS($K$1:$K$349,$A$1:$A$349,$A315,$B$1:$B$349,$B315))</f>
        <v/>
      </c>
      <c r="P315" t="str">
        <f>IF($A315="","",SUMIFS($J$1:$J$349,$A$1:$A$349,$A315,$B$1:$B$349,$B315))</f>
        <v/>
      </c>
      <c r="Q315" t="str">
        <f>IF($A315="","",SUMIFS($G$1:$G$349,$A$1:$A$349,$A315,$C$1:$C$349,$C315))</f>
        <v/>
      </c>
      <c r="R315" t="str">
        <f>IF($A315="","",SUMIFS($H$1:$H$349,$A$1:$A$349,$A315,$C$1:$C$349,$C315))</f>
        <v/>
      </c>
      <c r="S315" t="str">
        <f>IF($A315="","",SUMIFS($I$1:$I$349,$A$1:$A$349,$A315,$C$1:$C$349,$C315))</f>
        <v/>
      </c>
      <c r="T315" t="str">
        <f>IF($A315="","",SUMIFS($G$1:$G$349,$A$1:$A$349,$A315))</f>
        <v/>
      </c>
      <c r="U315" t="str">
        <f>IF($A315="","",SUMIFS($H$1:$H$349,$A$1:$A$349,$A315))</f>
        <v/>
      </c>
      <c r="V315" t="str">
        <f>IF($A315="","",SUMIFS($I$1:$I$349,$A$1:$A$349,$A315))</f>
        <v/>
      </c>
      <c r="W315" t="str">
        <f>IF($A315="","",Allocation2!Y315)</f>
        <v/>
      </c>
      <c r="X315" t="str">
        <f>IF($A315="","",Allocation2!Z315)</f>
        <v/>
      </c>
      <c r="Y315" t="str">
        <f>IF($A315="","",Allocation2!AA315)</f>
        <v/>
      </c>
      <c r="Z315" t="str">
        <f>IF($A315="","",Allocation2!AB315)</f>
        <v/>
      </c>
      <c r="AA315" t="str">
        <f>IF($A315="","",Allocation2!AC315)</f>
        <v/>
      </c>
      <c r="AB315" t="str">
        <f>IF($A315="","",Allocation2!AD315)</f>
        <v/>
      </c>
      <c r="AC315" t="str">
        <f>IF($A315="","",IF(ALLOC!$N$4="VOL_EFF",$G315,IF(ALLOC!$N$4="VOL_CLASS",$H315,$I315)))</f>
        <v/>
      </c>
      <c r="AD315" t="str">
        <f>IF($A315="","",IF(ALLOC!$N$4="VOL_EFF",$L315,IF(ALLOC!$N$4="VOL_CLASS",$M315,$N315)))</f>
        <v/>
      </c>
      <c r="AE315" t="str">
        <f>IF($A315="","",IF(ALLOC!$N$3="VOL_EFF",$L315,IF(ALLOC!$N$3="VOL_CLASS",$M315,$N315)))</f>
        <v/>
      </c>
      <c r="AF315" t="str">
        <f>IF($A315="","",IF(ALLOC!$N$3="VOL_EFF",$Q315,IF(ALLOC!$N$3="VOL_CLASS",$R315,$S315)))</f>
        <v/>
      </c>
      <c r="AG315" t="str">
        <f>IF($A315="","",IF(ALLOC!$N$1="VOL_EFF",$Q315,IF(ALLOC!$N$1="VOL_CLASS",$R315,$S315)))</f>
        <v/>
      </c>
      <c r="AH315" t="str">
        <f>IF($A315="","",IF(ALLOC!$N$1="VOL_EFF",$T315,IF(ALLOC!$N$1="VOL_CLASS",$U315,$V315)))</f>
        <v/>
      </c>
      <c r="AI315" t="str">
        <f>IF($A315="","",$W315*IFERROR($K315/$O315,0))</f>
        <v/>
      </c>
      <c r="AJ315" t="str">
        <f>IF($A315="","",$X315*IFERROR($K315/$O315,0))</f>
        <v/>
      </c>
      <c r="AK315" t="str">
        <f>IF($A315="","",$Y315*IFERROR($G315/$L315,0)+$Z315*IFERROR($J315/$P315,0))</f>
        <v/>
      </c>
      <c r="AL315" t="str">
        <f>IF($A315="","",$AA315*IFERROR($AC315/$AD315,0))</f>
        <v/>
      </c>
      <c r="AM315" t="str">
        <f>IF($A315="","",$AB315*IFERROR($AG315/$AH315,0)*IFERROR($AE315/$AF315,0)*IFERROR($AC315/$AD315,0))</f>
        <v/>
      </c>
      <c r="AN315" t="str">
        <f>IF($A315="","",$I315-($AI315+$AJ315+$AK315+$AL315+$AM315+$AR315))</f>
        <v/>
      </c>
      <c r="AO315" t="str">
        <f>IF($A315="","",Allocation2!AE315)</f>
        <v/>
      </c>
      <c r="AP315" t="str">
        <f>IF($A315="","",IF(ALLOC!$N$2="VOL_EFF",$Q315,IF(ALLOC!$N$2="VOL_CLASS",$R315,$S315)))</f>
        <v/>
      </c>
      <c r="AQ315" t="str">
        <f>IF($A315="","",IF(ALLOC!$N$2="VOL_EFF",$T315,IF(ALLOC!$N$2="VOL_CLASS",$U315,$V315)))</f>
        <v/>
      </c>
      <c r="AR315" t="str">
        <f>IF($A315="","",$AO315*IFERROR($AP315/$AQ315,0)*IFERROR($AE315/$AF315,0)*IFERROR($AC315/$AD315,0))</f>
        <v/>
      </c>
    </row>
    <row r="316" spans="1:46" x14ac:dyDescent="0.45">
      <c r="A316" t="str">
        <f>IF(Allocation2!D316="","",Allocation2!D316)</f>
        <v/>
      </c>
      <c r="B316" t="str">
        <f>IF(Allocation2!E316="","",Allocation2!E316)</f>
        <v/>
      </c>
      <c r="C316" t="str">
        <f>IF(Allocation2!F316="","",Allocation2!F316)</f>
        <v/>
      </c>
      <c r="D316" t="str">
        <f>IF(Allocation2!G316="","",Allocation2!G316)</f>
        <v/>
      </c>
      <c r="E316" t="str">
        <f>IF(Allocation2!H316="","",Allocation2!H316)</f>
        <v/>
      </c>
      <c r="F316" t="str">
        <f>IF(Allocation2!I316="","",Allocation2!I316)</f>
        <v/>
      </c>
      <c r="G316" t="str">
        <f>IF(Allocation2!E316="","",Allocation2!J316)</f>
        <v/>
      </c>
      <c r="H316" t="str">
        <f>IF(Allocation2!E316="","",Allocation2!K316)</f>
        <v/>
      </c>
      <c r="I316" t="str">
        <f>IF(Allocation2!E316="","",Allocation2!L316)</f>
        <v/>
      </c>
      <c r="J316" t="str">
        <f>IF($A316="","",Allocation2!X316)</f>
        <v/>
      </c>
      <c r="K316" t="str">
        <f>IF($A316="","",$H316*IF(AND(LEFT($D316,3)="BAC",$F316="INIT"),600,IF(LEFT($D316,3)="BAC",480,IF(AND(LEFT($D316,3)="MAS",$F316="INIT"),520,IF(LEFT($D316,3)="MAS",420,IF($F316="INIT",1000,700))))))</f>
        <v/>
      </c>
      <c r="L316" t="str">
        <f>IF($A316="","",SUMIFS($G$1:$G$349,$A$1:$A$349,$A316,$B$1:$B$349,$B316))</f>
        <v/>
      </c>
      <c r="M316" t="str">
        <f>IF($A316="","",SUMIFS($H$1:$H$349,$A$1:$A$349,$A316,$B$1:$B$349,$B316))</f>
        <v/>
      </c>
      <c r="N316" t="str">
        <f>IF($A316="","",SUMIFS($I$1:$I$349,$A$1:$A$349,$A316,$B$1:$B$349,$B316))</f>
        <v/>
      </c>
      <c r="O316" t="str">
        <f>IF($A316="","",SUMIFS($K$1:$K$349,$A$1:$A$349,$A316,$B$1:$B$349,$B316))</f>
        <v/>
      </c>
      <c r="P316" t="str">
        <f>IF($A316="","",SUMIFS($J$1:$J$349,$A$1:$A$349,$A316,$B$1:$B$349,$B316))</f>
        <v/>
      </c>
      <c r="Q316" t="str">
        <f>IF($A316="","",SUMIFS($G$1:$G$349,$A$1:$A$349,$A316,$C$1:$C$349,$C316))</f>
        <v/>
      </c>
      <c r="R316" t="str">
        <f>IF($A316="","",SUMIFS($H$1:$H$349,$A$1:$A$349,$A316,$C$1:$C$349,$C316))</f>
        <v/>
      </c>
      <c r="S316" t="str">
        <f>IF($A316="","",SUMIFS($I$1:$I$349,$A$1:$A$349,$A316,$C$1:$C$349,$C316))</f>
        <v/>
      </c>
      <c r="T316" t="str">
        <f>IF($A316="","",SUMIFS($G$1:$G$349,$A$1:$A$349,$A316))</f>
        <v/>
      </c>
      <c r="U316" t="str">
        <f>IF($A316="","",SUMIFS($H$1:$H$349,$A$1:$A$349,$A316))</f>
        <v/>
      </c>
      <c r="V316" t="str">
        <f>IF($A316="","",SUMIFS($I$1:$I$349,$A$1:$A$349,$A316))</f>
        <v/>
      </c>
      <c r="W316" t="str">
        <f>IF($A316="","",Allocation2!Y316)</f>
        <v/>
      </c>
      <c r="X316" t="str">
        <f>IF($A316="","",Allocation2!Z316)</f>
        <v/>
      </c>
      <c r="Y316" t="str">
        <f>IF($A316="","",Allocation2!AA316)</f>
        <v/>
      </c>
      <c r="Z316" t="str">
        <f>IF($A316="","",Allocation2!AB316)</f>
        <v/>
      </c>
      <c r="AA316" t="str">
        <f>IF($A316="","",Allocation2!AC316)</f>
        <v/>
      </c>
      <c r="AB316" t="str">
        <f>IF($A316="","",Allocation2!AD316)</f>
        <v/>
      </c>
      <c r="AC316" t="str">
        <f>IF($A316="","",IF(ALLOC!$N$4="VOL_EFF",$G316,IF(ALLOC!$N$4="VOL_CLASS",$H316,$I316)))</f>
        <v/>
      </c>
      <c r="AD316" t="str">
        <f>IF($A316="","",IF(ALLOC!$N$4="VOL_EFF",$L316,IF(ALLOC!$N$4="VOL_CLASS",$M316,$N316)))</f>
        <v/>
      </c>
      <c r="AE316" t="str">
        <f>IF($A316="","",IF(ALLOC!$N$3="VOL_EFF",$L316,IF(ALLOC!$N$3="VOL_CLASS",$M316,$N316)))</f>
        <v/>
      </c>
      <c r="AF316" t="str">
        <f>IF($A316="","",IF(ALLOC!$N$3="VOL_EFF",$Q316,IF(ALLOC!$N$3="VOL_CLASS",$R316,$S316)))</f>
        <v/>
      </c>
      <c r="AG316" t="str">
        <f>IF($A316="","",IF(ALLOC!$N$1="VOL_EFF",$Q316,IF(ALLOC!$N$1="VOL_CLASS",$R316,$S316)))</f>
        <v/>
      </c>
      <c r="AH316" t="str">
        <f>IF($A316="","",IF(ALLOC!$N$1="VOL_EFF",$T316,IF(ALLOC!$N$1="VOL_CLASS",$U316,$V316)))</f>
        <v/>
      </c>
      <c r="AI316" t="str">
        <f>IF($A316="","",$W316*IFERROR($K316/$O316,0))</f>
        <v/>
      </c>
      <c r="AJ316" t="str">
        <f>IF($A316="","",$X316*IFERROR($K316/$O316,0))</f>
        <v/>
      </c>
      <c r="AK316" t="str">
        <f>IF($A316="","",$Y316*IFERROR($G316/$L316,0)+$Z316*IFERROR($J316/$P316,0))</f>
        <v/>
      </c>
      <c r="AL316" t="str">
        <f>IF($A316="","",$AA316*IFERROR($AC316/$AD316,0))</f>
        <v/>
      </c>
      <c r="AM316" t="str">
        <f>IF($A316="","",$AB316*IFERROR($AG316/$AH316,0)*IFERROR($AE316/$AF316,0)*IFERROR($AC316/$AD316,0))</f>
        <v/>
      </c>
      <c r="AN316" t="str">
        <f>IF($A316="","",$I316-($AI316+$AJ316+$AK316+$AL316+$AM316+$AR316))</f>
        <v/>
      </c>
      <c r="AO316" t="str">
        <f>IF($A316="","",Allocation2!AE316)</f>
        <v/>
      </c>
      <c r="AP316" t="str">
        <f>IF($A316="","",IF(ALLOC!$N$2="VOL_EFF",$Q316,IF(ALLOC!$N$2="VOL_CLASS",$R316,$S316)))</f>
        <v/>
      </c>
      <c r="AQ316" t="str">
        <f>IF($A316="","",IF(ALLOC!$N$2="VOL_EFF",$T316,IF(ALLOC!$N$2="VOL_CLASS",$U316,$V316)))</f>
        <v/>
      </c>
      <c r="AR316" t="str">
        <f>IF($A316="","",$AO316*IFERROR($AP316/$AQ316,0)*IFERROR($AE316/$AF316,0)*IFERROR($AC316/$AD316,0))</f>
        <v/>
      </c>
    </row>
    <row r="317" spans="1:46" x14ac:dyDescent="0.45">
      <c r="A317" t="str">
        <f>IF(Allocation2!D317="","",Allocation2!D317)</f>
        <v/>
      </c>
      <c r="B317" t="str">
        <f>IF(Allocation2!E317="","",Allocation2!E317)</f>
        <v/>
      </c>
      <c r="C317" t="str">
        <f>IF(Allocation2!F317="","",Allocation2!F317)</f>
        <v/>
      </c>
      <c r="D317" t="str">
        <f>IF(Allocation2!G317="","",Allocation2!G317)</f>
        <v/>
      </c>
      <c r="E317" t="str">
        <f>IF(Allocation2!H317="","",Allocation2!H317)</f>
        <v/>
      </c>
      <c r="F317" t="str">
        <f>IF(Allocation2!I317="","",Allocation2!I317)</f>
        <v/>
      </c>
      <c r="G317" t="str">
        <f>IF(Allocation2!E317="","",Allocation2!J317)</f>
        <v/>
      </c>
      <c r="H317" t="str">
        <f>IF(Allocation2!E317="","",Allocation2!K317)</f>
        <v/>
      </c>
      <c r="I317" t="str">
        <f>IF(Allocation2!E317="","",Allocation2!L317)</f>
        <v/>
      </c>
      <c r="J317" t="str">
        <f>IF($A317="","",Allocation2!X317)</f>
        <v/>
      </c>
      <c r="K317" t="str">
        <f>IF($A317="","",$H317*IF(AND(LEFT($D317,3)="BAC",$F317="INIT"),600,IF(LEFT($D317,3)="BAC",480,IF(AND(LEFT($D317,3)="MAS",$F317="INIT"),520,IF(LEFT($D317,3)="MAS",420,IF($F317="INIT",1000,700))))))</f>
        <v/>
      </c>
      <c r="L317" t="str">
        <f>IF($A317="","",SUMIFS($G$1:$G$349,$A$1:$A$349,$A317,$B$1:$B$349,$B317))</f>
        <v/>
      </c>
      <c r="M317" t="str">
        <f>IF($A317="","",SUMIFS($H$1:$H$349,$A$1:$A$349,$A317,$B$1:$B$349,$B317))</f>
        <v/>
      </c>
      <c r="N317" t="str">
        <f>IF($A317="","",SUMIFS($I$1:$I$349,$A$1:$A$349,$A317,$B$1:$B$349,$B317))</f>
        <v/>
      </c>
      <c r="O317" t="str">
        <f>IF($A317="","",SUMIFS($K$1:$K$349,$A$1:$A$349,$A317,$B$1:$B$349,$B317))</f>
        <v/>
      </c>
      <c r="P317" t="str">
        <f>IF($A317="","",SUMIFS($J$1:$J$349,$A$1:$A$349,$A317,$B$1:$B$349,$B317))</f>
        <v/>
      </c>
      <c r="Q317" t="str">
        <f>IF($A317="","",SUMIFS($G$1:$G$349,$A$1:$A$349,$A317,$C$1:$C$349,$C317))</f>
        <v/>
      </c>
      <c r="R317" t="str">
        <f>IF($A317="","",SUMIFS($H$1:$H$349,$A$1:$A$349,$A317,$C$1:$C$349,$C317))</f>
        <v/>
      </c>
      <c r="S317" t="str">
        <f>IF($A317="","",SUMIFS($I$1:$I$349,$A$1:$A$349,$A317,$C$1:$C$349,$C317))</f>
        <v/>
      </c>
      <c r="T317" t="str">
        <f>IF($A317="","",SUMIFS($G$1:$G$349,$A$1:$A$349,$A317))</f>
        <v/>
      </c>
      <c r="U317" t="str">
        <f>IF($A317="","",SUMIFS($H$1:$H$349,$A$1:$A$349,$A317))</f>
        <v/>
      </c>
      <c r="V317" t="str">
        <f>IF($A317="","",SUMIFS($I$1:$I$349,$A$1:$A$349,$A317))</f>
        <v/>
      </c>
      <c r="W317" t="str">
        <f>IF($A317="","",Allocation2!Y317)</f>
        <v/>
      </c>
      <c r="X317" t="str">
        <f>IF($A317="","",Allocation2!Z317)</f>
        <v/>
      </c>
      <c r="Y317" t="str">
        <f>IF($A317="","",Allocation2!AA317)</f>
        <v/>
      </c>
      <c r="Z317" t="str">
        <f>IF($A317="","",Allocation2!AB317)</f>
        <v/>
      </c>
      <c r="AA317" t="str">
        <f>IF($A317="","",Allocation2!AC317)</f>
        <v/>
      </c>
      <c r="AB317" t="str">
        <f>IF($A317="","",Allocation2!AD317)</f>
        <v/>
      </c>
      <c r="AC317" t="str">
        <f>IF($A317="","",IF(ALLOC!$N$4="VOL_EFF",$G317,IF(ALLOC!$N$4="VOL_CLASS",$H317,$I317)))</f>
        <v/>
      </c>
      <c r="AD317" t="str">
        <f>IF($A317="","",IF(ALLOC!$N$4="VOL_EFF",$L317,IF(ALLOC!$N$4="VOL_CLASS",$M317,$N317)))</f>
        <v/>
      </c>
      <c r="AE317" t="str">
        <f>IF($A317="","",IF(ALLOC!$N$3="VOL_EFF",$L317,IF(ALLOC!$N$3="VOL_CLASS",$M317,$N317)))</f>
        <v/>
      </c>
      <c r="AF317" t="str">
        <f>IF($A317="","",IF(ALLOC!$N$3="VOL_EFF",$Q317,IF(ALLOC!$N$3="VOL_CLASS",$R317,$S317)))</f>
        <v/>
      </c>
      <c r="AG317" t="str">
        <f>IF($A317="","",IF(ALLOC!$N$1="VOL_EFF",$Q317,IF(ALLOC!$N$1="VOL_CLASS",$R317,$S317)))</f>
        <v/>
      </c>
      <c r="AH317" t="str">
        <f>IF($A317="","",IF(ALLOC!$N$1="VOL_EFF",$T317,IF(ALLOC!$N$1="VOL_CLASS",$U317,$V317)))</f>
        <v/>
      </c>
      <c r="AI317" t="str">
        <f>IF($A317="","",$W317*IFERROR($K317/$O317,0))</f>
        <v/>
      </c>
      <c r="AJ317" t="str">
        <f>IF($A317="","",$X317*IFERROR($K317/$O317,0))</f>
        <v/>
      </c>
      <c r="AK317" t="str">
        <f>IF($A317="","",$Y317*IFERROR($G317/$L317,0)+$Z317*IFERROR($J317/$P317,0))</f>
        <v/>
      </c>
      <c r="AL317" t="str">
        <f>IF($A317="","",$AA317*IFERROR($AC317/$AD317,0))</f>
        <v/>
      </c>
      <c r="AM317" t="str">
        <f>IF($A317="","",$AB317*IFERROR($AG317/$AH317,0)*IFERROR($AE317/$AF317,0)*IFERROR($AC317/$AD317,0))</f>
        <v/>
      </c>
      <c r="AN317" t="str">
        <f>IF($A317="","",$I317-($AI317+$AJ317+$AK317+$AL317+$AM317+$AR317))</f>
        <v/>
      </c>
      <c r="AO317" t="str">
        <f>IF($A317="","",Allocation2!AE317)</f>
        <v/>
      </c>
      <c r="AP317" t="str">
        <f>IF($A317="","",IF(ALLOC!$N$2="VOL_EFF",$Q317,IF(ALLOC!$N$2="VOL_CLASS",$R317,$S317)))</f>
        <v/>
      </c>
      <c r="AQ317" t="str">
        <f>IF($A317="","",IF(ALLOC!$N$2="VOL_EFF",$T317,IF(ALLOC!$N$2="VOL_CLASS",$U317,$V317)))</f>
        <v/>
      </c>
      <c r="AR317" t="str">
        <f>IF($A317="","",$AO317*IFERROR($AP317/$AQ317,0)*IFERROR($AE317/$AF317,0)*IFERROR($AC317/$AD317,0))</f>
        <v/>
      </c>
    </row>
    <row r="318" spans="1:46" x14ac:dyDescent="0.45">
      <c r="A318" t="str">
        <f>IF(Allocation2!D318="","",Allocation2!D318)</f>
        <v/>
      </c>
      <c r="B318" t="str">
        <f>IF(Allocation2!E318="","",Allocation2!E318)</f>
        <v/>
      </c>
      <c r="C318" t="str">
        <f>IF(Allocation2!F318="","",Allocation2!F318)</f>
        <v/>
      </c>
      <c r="D318" t="str">
        <f>IF(Allocation2!G318="","",Allocation2!G318)</f>
        <v/>
      </c>
      <c r="E318" t="str">
        <f>IF(Allocation2!H318="","",Allocation2!H318)</f>
        <v/>
      </c>
      <c r="F318" t="str">
        <f>IF(Allocation2!I318="","",Allocation2!I318)</f>
        <v/>
      </c>
      <c r="G318" t="str">
        <f>IF(Allocation2!E318="","",Allocation2!J318)</f>
        <v/>
      </c>
      <c r="H318" t="str">
        <f>IF(Allocation2!E318="","",Allocation2!K318)</f>
        <v/>
      </c>
      <c r="I318" t="str">
        <f>IF(Allocation2!E318="","",Allocation2!L318)</f>
        <v/>
      </c>
      <c r="J318" t="str">
        <f>IF($A318="","",Allocation2!X318)</f>
        <v/>
      </c>
      <c r="K318" t="str">
        <f>IF($A318="","",$H318*IF(AND(LEFT($D318,3)="BAC",$F318="INIT"),600,IF(LEFT($D318,3)="BAC",480,IF(AND(LEFT($D318,3)="MAS",$F318="INIT"),520,IF(LEFT($D318,3)="MAS",420,IF($F318="INIT",1000,700))))))</f>
        <v/>
      </c>
      <c r="L318" t="str">
        <f>IF($A318="","",SUMIFS($G$1:$G$349,$A$1:$A$349,$A318,$B$1:$B$349,$B318))</f>
        <v/>
      </c>
      <c r="M318" t="str">
        <f>IF($A318="","",SUMIFS($H$1:$H$349,$A$1:$A$349,$A318,$B$1:$B$349,$B318))</f>
        <v/>
      </c>
      <c r="N318" t="str">
        <f>IF($A318="","",SUMIFS($I$1:$I$349,$A$1:$A$349,$A318,$B$1:$B$349,$B318))</f>
        <v/>
      </c>
      <c r="O318" t="str">
        <f>IF($A318="","",SUMIFS($K$1:$K$349,$A$1:$A$349,$A318,$B$1:$B$349,$B318))</f>
        <v/>
      </c>
      <c r="P318" t="str">
        <f>IF($A318="","",SUMIFS($J$1:$J$349,$A$1:$A$349,$A318,$B$1:$B$349,$B318))</f>
        <v/>
      </c>
      <c r="Q318" t="str">
        <f>IF($A318="","",SUMIFS($G$1:$G$349,$A$1:$A$349,$A318,$C$1:$C$349,$C318))</f>
        <v/>
      </c>
      <c r="R318" t="str">
        <f>IF($A318="","",SUMIFS($H$1:$H$349,$A$1:$A$349,$A318,$C$1:$C$349,$C318))</f>
        <v/>
      </c>
      <c r="S318" t="str">
        <f>IF($A318="","",SUMIFS($I$1:$I$349,$A$1:$A$349,$A318,$C$1:$C$349,$C318))</f>
        <v/>
      </c>
      <c r="T318" t="str">
        <f>IF($A318="","",SUMIFS($G$1:$G$349,$A$1:$A$349,$A318))</f>
        <v/>
      </c>
      <c r="U318" t="str">
        <f>IF($A318="","",SUMIFS($H$1:$H$349,$A$1:$A$349,$A318))</f>
        <v/>
      </c>
      <c r="V318" t="str">
        <f>IF($A318="","",SUMIFS($I$1:$I$349,$A$1:$A$349,$A318))</f>
        <v/>
      </c>
      <c r="W318" t="str">
        <f>IF($A318="","",Allocation2!Y318)</f>
        <v/>
      </c>
      <c r="X318" t="str">
        <f>IF($A318="","",Allocation2!Z318)</f>
        <v/>
      </c>
      <c r="Y318" t="str">
        <f>IF($A318="","",Allocation2!AA318)</f>
        <v/>
      </c>
      <c r="Z318" t="str">
        <f>IF($A318="","",Allocation2!AB318)</f>
        <v/>
      </c>
      <c r="AA318" t="str">
        <f>IF($A318="","",Allocation2!AC318)</f>
        <v/>
      </c>
      <c r="AB318" t="str">
        <f>IF($A318="","",Allocation2!AD318)</f>
        <v/>
      </c>
      <c r="AC318" t="str">
        <f>IF($A318="","",IF(ALLOC!$N$4="VOL_EFF",$G318,IF(ALLOC!$N$4="VOL_CLASS",$H318,$I318)))</f>
        <v/>
      </c>
      <c r="AD318" t="str">
        <f>IF($A318="","",IF(ALLOC!$N$4="VOL_EFF",$L318,IF(ALLOC!$N$4="VOL_CLASS",$M318,$N318)))</f>
        <v/>
      </c>
      <c r="AE318" t="str">
        <f>IF($A318="","",IF(ALLOC!$N$3="VOL_EFF",$L318,IF(ALLOC!$N$3="VOL_CLASS",$M318,$N318)))</f>
        <v/>
      </c>
      <c r="AF318" t="str">
        <f>IF($A318="","",IF(ALLOC!$N$3="VOL_EFF",$Q318,IF(ALLOC!$N$3="VOL_CLASS",$R318,$S318)))</f>
        <v/>
      </c>
      <c r="AG318" t="str">
        <f>IF($A318="","",IF(ALLOC!$N$1="VOL_EFF",$Q318,IF(ALLOC!$N$1="VOL_CLASS",$R318,$S318)))</f>
        <v/>
      </c>
      <c r="AH318" t="str">
        <f>IF($A318="","",IF(ALLOC!$N$1="VOL_EFF",$T318,IF(ALLOC!$N$1="VOL_CLASS",$U318,$V318)))</f>
        <v/>
      </c>
      <c r="AI318" t="str">
        <f>IF($A318="","",$W318*IFERROR($K318/$O318,0))</f>
        <v/>
      </c>
      <c r="AJ318" t="str">
        <f>IF($A318="","",$X318*IFERROR($K318/$O318,0))</f>
        <v/>
      </c>
      <c r="AK318" t="str">
        <f>IF($A318="","",$Y318*IFERROR($G318/$L318,0)+$Z318*IFERROR($J318/$P318,0))</f>
        <v/>
      </c>
      <c r="AL318" t="str">
        <f>IF($A318="","",$AA318*IFERROR($AC318/$AD318,0))</f>
        <v/>
      </c>
      <c r="AM318" t="str">
        <f>IF($A318="","",$AB318*IFERROR($AG318/$AH318,0)*IFERROR($AE318/$AF318,0)*IFERROR($AC318/$AD318,0))</f>
        <v/>
      </c>
      <c r="AN318" t="str">
        <f>IF($A318="","",$I318-($AI318+$AJ318+$AK318+$AL318+$AM318+$AR318))</f>
        <v/>
      </c>
      <c r="AO318" t="str">
        <f>IF($A318="","",Allocation2!AE318)</f>
        <v/>
      </c>
      <c r="AP318" t="str">
        <f>IF($A318="","",IF(ALLOC!$N$2="VOL_EFF",$Q318,IF(ALLOC!$N$2="VOL_CLASS",$R318,$S318)))</f>
        <v/>
      </c>
      <c r="AQ318" t="str">
        <f>IF($A318="","",IF(ALLOC!$N$2="VOL_EFF",$T318,IF(ALLOC!$N$2="VOL_CLASS",$U318,$V318)))</f>
        <v/>
      </c>
      <c r="AR318" t="str">
        <f>IF($A318="","",$AO318*IFERROR($AP318/$AQ318,0)*IFERROR($AE318/$AF318,0)*IFERROR($AC318/$AD318,0))</f>
        <v/>
      </c>
    </row>
    <row r="319" spans="1:46" x14ac:dyDescent="0.45">
      <c r="A319" t="str">
        <f>IF(Allocation2!D319="","",Allocation2!D319)</f>
        <v/>
      </c>
      <c r="B319" t="str">
        <f>IF(Allocation2!E319="","",Allocation2!E319)</f>
        <v/>
      </c>
      <c r="C319" t="str">
        <f>IF(Allocation2!F319="","",Allocation2!F319)</f>
        <v/>
      </c>
      <c r="D319" t="str">
        <f>IF(Allocation2!G319="","",Allocation2!G319)</f>
        <v/>
      </c>
      <c r="E319" t="str">
        <f>IF(Allocation2!H319="","",Allocation2!H319)</f>
        <v/>
      </c>
      <c r="F319" t="str">
        <f>IF(Allocation2!I319="","",Allocation2!I319)</f>
        <v/>
      </c>
      <c r="G319" t="str">
        <f>IF(Allocation2!E319="","",Allocation2!J319)</f>
        <v/>
      </c>
      <c r="H319" t="str">
        <f>IF(Allocation2!E319="","",Allocation2!K319)</f>
        <v/>
      </c>
      <c r="I319" t="str">
        <f>IF(Allocation2!E319="","",Allocation2!L319)</f>
        <v/>
      </c>
      <c r="J319" t="str">
        <f>IF($A319="","",Allocation2!X319)</f>
        <v/>
      </c>
      <c r="K319" t="str">
        <f>IF($A319="","",$H319*IF(AND(LEFT($D319,3)="BAC",$F319="INIT"),600,IF(LEFT($D319,3)="BAC",480,IF(AND(LEFT($D319,3)="MAS",$F319="INIT"),520,IF(LEFT($D319,3)="MAS",420,IF($F319="INIT",1000,700))))))</f>
        <v/>
      </c>
      <c r="L319" t="str">
        <f>IF($A319="","",SUMIFS($G$1:$G$349,$A$1:$A$349,$A319,$B$1:$B$349,$B319))</f>
        <v/>
      </c>
      <c r="M319" t="str">
        <f>IF($A319="","",SUMIFS($H$1:$H$349,$A$1:$A$349,$A319,$B$1:$B$349,$B319))</f>
        <v/>
      </c>
      <c r="N319" t="str">
        <f>IF($A319="","",SUMIFS($I$1:$I$349,$A$1:$A$349,$A319,$B$1:$B$349,$B319))</f>
        <v/>
      </c>
      <c r="O319" t="str">
        <f>IF($A319="","",SUMIFS($K$1:$K$349,$A$1:$A$349,$A319,$B$1:$B$349,$B319))</f>
        <v/>
      </c>
      <c r="P319" t="str">
        <f>IF($A319="","",SUMIFS($J$1:$J$349,$A$1:$A$349,$A319,$B$1:$B$349,$B319))</f>
        <v/>
      </c>
      <c r="Q319" t="str">
        <f>IF($A319="","",SUMIFS($G$1:$G$349,$A$1:$A$349,$A319,$C$1:$C$349,$C319))</f>
        <v/>
      </c>
      <c r="R319" t="str">
        <f>IF($A319="","",SUMIFS($H$1:$H$349,$A$1:$A$349,$A319,$C$1:$C$349,$C319))</f>
        <v/>
      </c>
      <c r="S319" t="str">
        <f>IF($A319="","",SUMIFS($I$1:$I$349,$A$1:$A$349,$A319,$C$1:$C$349,$C319))</f>
        <v/>
      </c>
      <c r="T319" t="str">
        <f>IF($A319="","",SUMIFS($G$1:$G$349,$A$1:$A$349,$A319))</f>
        <v/>
      </c>
      <c r="U319" t="str">
        <f>IF($A319="","",SUMIFS($H$1:$H$349,$A$1:$A$349,$A319))</f>
        <v/>
      </c>
      <c r="V319" t="str">
        <f>IF($A319="","",SUMIFS($I$1:$I$349,$A$1:$A$349,$A319))</f>
        <v/>
      </c>
      <c r="W319" t="str">
        <f>IF($A319="","",Allocation2!Y319)</f>
        <v/>
      </c>
      <c r="X319" t="str">
        <f>IF($A319="","",Allocation2!Z319)</f>
        <v/>
      </c>
      <c r="Y319" t="str">
        <f>IF($A319="","",Allocation2!AA319)</f>
        <v/>
      </c>
      <c r="Z319" t="str">
        <f>IF($A319="","",Allocation2!AB319)</f>
        <v/>
      </c>
      <c r="AA319" t="str">
        <f>IF($A319="","",Allocation2!AC319)</f>
        <v/>
      </c>
      <c r="AB319" t="str">
        <f>IF($A319="","",Allocation2!AD319)</f>
        <v/>
      </c>
      <c r="AC319" t="str">
        <f>IF($A319="","",IF(ALLOC!$N$4="VOL_EFF",$G319,IF(ALLOC!$N$4="VOL_CLASS",$H319,$I319)))</f>
        <v/>
      </c>
      <c r="AD319" t="str">
        <f>IF($A319="","",IF(ALLOC!$N$4="VOL_EFF",$L319,IF(ALLOC!$N$4="VOL_CLASS",$M319,$N319)))</f>
        <v/>
      </c>
      <c r="AE319" t="str">
        <f>IF($A319="","",IF(ALLOC!$N$3="VOL_EFF",$L319,IF(ALLOC!$N$3="VOL_CLASS",$M319,$N319)))</f>
        <v/>
      </c>
      <c r="AF319" t="str">
        <f>IF($A319="","",IF(ALLOC!$N$3="VOL_EFF",$Q319,IF(ALLOC!$N$3="VOL_CLASS",$R319,$S319)))</f>
        <v/>
      </c>
      <c r="AG319" t="str">
        <f>IF($A319="","",IF(ALLOC!$N$1="VOL_EFF",$Q319,IF(ALLOC!$N$1="VOL_CLASS",$R319,$S319)))</f>
        <v/>
      </c>
      <c r="AH319" t="str">
        <f>IF($A319="","",IF(ALLOC!$N$1="VOL_EFF",$T319,IF(ALLOC!$N$1="VOL_CLASS",$U319,$V319)))</f>
        <v/>
      </c>
      <c r="AI319" t="str">
        <f>IF($A319="","",$W319*IFERROR($K319/$O319,0))</f>
        <v/>
      </c>
      <c r="AJ319" t="str">
        <f>IF($A319="","",$X319*IFERROR($K319/$O319,0))</f>
        <v/>
      </c>
      <c r="AK319" t="str">
        <f>IF($A319="","",$Y319*IFERROR($G319/$L319,0)+$Z319*IFERROR($J319/$P319,0))</f>
        <v/>
      </c>
      <c r="AL319" t="str">
        <f>IF($A319="","",$AA319*IFERROR($AC319/$AD319,0))</f>
        <v/>
      </c>
      <c r="AM319" t="str">
        <f>IF($A319="","",$AB319*IFERROR($AG319/$AH319,0)*IFERROR($AE319/$AF319,0)*IFERROR($AC319/$AD319,0))</f>
        <v/>
      </c>
      <c r="AN319" t="str">
        <f>IF($A319="","",$I319-($AI319+$AJ319+$AK319+$AL319+$AM319+$AR319))</f>
        <v/>
      </c>
      <c r="AO319" t="str">
        <f>IF($A319="","",Allocation2!AE319)</f>
        <v/>
      </c>
      <c r="AP319" t="str">
        <f>IF($A319="","",IF(ALLOC!$N$2="VOL_EFF",$Q319,IF(ALLOC!$N$2="VOL_CLASS",$R319,$S319)))</f>
        <v/>
      </c>
      <c r="AQ319" t="str">
        <f>IF($A319="","",IF(ALLOC!$N$2="VOL_EFF",$T319,IF(ALLOC!$N$2="VOL_CLASS",$U319,$V319)))</f>
        <v/>
      </c>
      <c r="AR319" t="str">
        <f>IF($A319="","",$AO319*IFERROR($AP319/$AQ319,0)*IFERROR($AE319/$AF319,0)*IFERROR($AC319/$AD319,0))</f>
        <v/>
      </c>
    </row>
    <row r="320" spans="1:46" x14ac:dyDescent="0.45">
      <c r="A320" t="str">
        <f>IF(Allocation2!D320="","",Allocation2!D320)</f>
        <v/>
      </c>
      <c r="B320" t="str">
        <f>IF(Allocation2!E320="","",Allocation2!E320)</f>
        <v/>
      </c>
      <c r="C320" t="str">
        <f>IF(Allocation2!F320="","",Allocation2!F320)</f>
        <v/>
      </c>
      <c r="D320" t="str">
        <f>IF(Allocation2!G320="","",Allocation2!G320)</f>
        <v/>
      </c>
      <c r="E320" t="str">
        <f>IF(Allocation2!H320="","",Allocation2!H320)</f>
        <v/>
      </c>
      <c r="F320" t="str">
        <f>IF(Allocation2!I320="","",Allocation2!I320)</f>
        <v/>
      </c>
      <c r="G320" t="str">
        <f>IF(Allocation2!E320="","",Allocation2!J320)</f>
        <v/>
      </c>
      <c r="H320" t="str">
        <f>IF(Allocation2!E320="","",Allocation2!K320)</f>
        <v/>
      </c>
      <c r="I320" t="str">
        <f>IF(Allocation2!E320="","",Allocation2!L320)</f>
        <v/>
      </c>
      <c r="J320" t="str">
        <f>IF($A320="","",Allocation2!X320)</f>
        <v/>
      </c>
      <c r="K320" t="str">
        <f>IF($A320="","",$H320*IF(AND(LEFT($D320,3)="BAC",$F320="INIT"),600,IF(LEFT($D320,3)="BAC",480,IF(AND(LEFT($D320,3)="MAS",$F320="INIT"),520,IF(LEFT($D320,3)="MAS",420,IF($F320="INIT",1000,700))))))</f>
        <v/>
      </c>
      <c r="L320" t="str">
        <f>IF($A320="","",SUMIFS($G$1:$G$349,$A$1:$A$349,$A320,$B$1:$B$349,$B320))</f>
        <v/>
      </c>
      <c r="M320" t="str">
        <f>IF($A320="","",SUMIFS($H$1:$H$349,$A$1:$A$349,$A320,$B$1:$B$349,$B320))</f>
        <v/>
      </c>
      <c r="N320" t="str">
        <f>IF($A320="","",SUMIFS($I$1:$I$349,$A$1:$A$349,$A320,$B$1:$B$349,$B320))</f>
        <v/>
      </c>
      <c r="O320" t="str">
        <f>IF($A320="","",SUMIFS($K$1:$K$349,$A$1:$A$349,$A320,$B$1:$B$349,$B320))</f>
        <v/>
      </c>
      <c r="P320" t="str">
        <f>IF($A320="","",SUMIFS($J$1:$J$349,$A$1:$A$349,$A320,$B$1:$B$349,$B320))</f>
        <v/>
      </c>
      <c r="Q320" t="str">
        <f>IF($A320="","",SUMIFS($G$1:$G$349,$A$1:$A$349,$A320,$C$1:$C$349,$C320))</f>
        <v/>
      </c>
      <c r="R320" t="str">
        <f>IF($A320="","",SUMIFS($H$1:$H$349,$A$1:$A$349,$A320,$C$1:$C$349,$C320))</f>
        <v/>
      </c>
      <c r="S320" t="str">
        <f>IF($A320="","",SUMIFS($I$1:$I$349,$A$1:$A$349,$A320,$C$1:$C$349,$C320))</f>
        <v/>
      </c>
      <c r="T320" t="str">
        <f>IF($A320="","",SUMIFS($G$1:$G$349,$A$1:$A$349,$A320))</f>
        <v/>
      </c>
      <c r="U320" t="str">
        <f>IF($A320="","",SUMIFS($H$1:$H$349,$A$1:$A$349,$A320))</f>
        <v/>
      </c>
      <c r="V320" t="str">
        <f>IF($A320="","",SUMIFS($I$1:$I$349,$A$1:$A$349,$A320))</f>
        <v/>
      </c>
      <c r="W320" t="str">
        <f>IF($A320="","",Allocation2!Y320)</f>
        <v/>
      </c>
      <c r="X320" t="str">
        <f>IF($A320="","",Allocation2!Z320)</f>
        <v/>
      </c>
      <c r="Y320" t="str">
        <f>IF($A320="","",Allocation2!AA320)</f>
        <v/>
      </c>
      <c r="Z320" t="str">
        <f>IF($A320="","",Allocation2!AB320)</f>
        <v/>
      </c>
      <c r="AA320" t="str">
        <f>IF($A320="","",Allocation2!AC320)</f>
        <v/>
      </c>
      <c r="AB320" t="str">
        <f>IF($A320="","",Allocation2!AD320)</f>
        <v/>
      </c>
      <c r="AC320" t="str">
        <f>IF($A320="","",IF(ALLOC!$N$4="VOL_EFF",$G320,IF(ALLOC!$N$4="VOL_CLASS",$H320,$I320)))</f>
        <v/>
      </c>
      <c r="AD320" t="str">
        <f>IF($A320="","",IF(ALLOC!$N$4="VOL_EFF",$L320,IF(ALLOC!$N$4="VOL_CLASS",$M320,$N320)))</f>
        <v/>
      </c>
      <c r="AE320" t="str">
        <f>IF($A320="","",IF(ALLOC!$N$3="VOL_EFF",$L320,IF(ALLOC!$N$3="VOL_CLASS",$M320,$N320)))</f>
        <v/>
      </c>
      <c r="AF320" t="str">
        <f>IF($A320="","",IF(ALLOC!$N$3="VOL_EFF",$Q320,IF(ALLOC!$N$3="VOL_CLASS",$R320,$S320)))</f>
        <v/>
      </c>
      <c r="AG320" t="str">
        <f>IF($A320="","",IF(ALLOC!$N$1="VOL_EFF",$Q320,IF(ALLOC!$N$1="VOL_CLASS",$R320,$S320)))</f>
        <v/>
      </c>
      <c r="AH320" t="str">
        <f>IF($A320="","",IF(ALLOC!$N$1="VOL_EFF",$T320,IF(ALLOC!$N$1="VOL_CLASS",$U320,$V320)))</f>
        <v/>
      </c>
      <c r="AI320" t="str">
        <f>IF($A320="","",$W320*IFERROR($K320/$O320,0))</f>
        <v/>
      </c>
      <c r="AJ320" t="str">
        <f>IF($A320="","",$X320*IFERROR($K320/$O320,0))</f>
        <v/>
      </c>
      <c r="AK320" t="str">
        <f>IF($A320="","",$Y320*IFERROR($G320/$L320,0)+$Z320*IFERROR($J320/$P320,0))</f>
        <v/>
      </c>
      <c r="AL320" t="str">
        <f>IF($A320="","",$AA320*IFERROR($AC320/$AD320,0))</f>
        <v/>
      </c>
      <c r="AM320" t="str">
        <f>IF($A320="","",$AB320*IFERROR($AG320/$AH320,0)*IFERROR($AE320/$AF320,0)*IFERROR($AC320/$AD320,0))</f>
        <v/>
      </c>
      <c r="AN320" t="str">
        <f>IF($A320="","",$I320-($AI320+$AJ320+$AK320+$AL320+$AM320+$AR320))</f>
        <v/>
      </c>
      <c r="AO320" t="str">
        <f>IF($A320="","",Allocation2!AE320)</f>
        <v/>
      </c>
      <c r="AP320" t="str">
        <f>IF($A320="","",IF(ALLOC!$N$2="VOL_EFF",$Q320,IF(ALLOC!$N$2="VOL_CLASS",$R320,$S320)))</f>
        <v/>
      </c>
      <c r="AQ320" t="str">
        <f>IF($A320="","",IF(ALLOC!$N$2="VOL_EFF",$T320,IF(ALLOC!$N$2="VOL_CLASS",$U320,$V320)))</f>
        <v/>
      </c>
      <c r="AR320" t="str">
        <f>IF($A320="","",$AO320*IFERROR($AP320/$AQ320,0)*IFERROR($AE320/$AF320,0)*IFERROR($AC320/$AD320,0))</f>
        <v/>
      </c>
    </row>
    <row r="321" spans="1:46" x14ac:dyDescent="0.45">
      <c r="A321" t="str">
        <f>IF(Allocation2!D321="","",Allocation2!D321)</f>
        <v/>
      </c>
      <c r="B321" t="str">
        <f>IF(Allocation2!E321="","",Allocation2!E321)</f>
        <v/>
      </c>
      <c r="C321" t="str">
        <f>IF(Allocation2!F321="","",Allocation2!F321)</f>
        <v/>
      </c>
      <c r="D321" t="str">
        <f>IF(Allocation2!G321="","",Allocation2!G321)</f>
        <v/>
      </c>
      <c r="E321" t="str">
        <f>IF(Allocation2!H321="","",Allocation2!H321)</f>
        <v/>
      </c>
      <c r="F321" t="str">
        <f>IF(Allocation2!I321="","",Allocation2!I321)</f>
        <v/>
      </c>
      <c r="G321" t="str">
        <f>IF(Allocation2!E321="","",Allocation2!J321)</f>
        <v/>
      </c>
      <c r="H321" t="str">
        <f>IF(Allocation2!E321="","",Allocation2!K321)</f>
        <v/>
      </c>
      <c r="I321" t="str">
        <f>IF(Allocation2!E321="","",Allocation2!L321)</f>
        <v/>
      </c>
      <c r="J321" t="str">
        <f>IF($A321="","",Allocation2!X321)</f>
        <v/>
      </c>
      <c r="K321" t="str">
        <f>IF($A321="","",$H321*IF(AND(LEFT($D321,3)="BAC",$F321="INIT"),600,IF(LEFT($D321,3)="BAC",480,IF(AND(LEFT($D321,3)="MAS",$F321="INIT"),520,IF(LEFT($D321,3)="MAS",420,IF($F321="INIT",1000,700))))))</f>
        <v/>
      </c>
      <c r="L321" t="str">
        <f>IF($A321="","",SUMIFS($G$1:$G$349,$A$1:$A$349,$A321,$B$1:$B$349,$B321))</f>
        <v/>
      </c>
      <c r="M321" t="str">
        <f>IF($A321="","",SUMIFS($H$1:$H$349,$A$1:$A$349,$A321,$B$1:$B$349,$B321))</f>
        <v/>
      </c>
      <c r="N321" t="str">
        <f>IF($A321="","",SUMIFS($I$1:$I$349,$A$1:$A$349,$A321,$B$1:$B$349,$B321))</f>
        <v/>
      </c>
      <c r="O321" t="str">
        <f>IF($A321="","",SUMIFS($K$1:$K$349,$A$1:$A$349,$A321,$B$1:$B$349,$B321))</f>
        <v/>
      </c>
      <c r="P321" t="str">
        <f>IF($A321="","",SUMIFS($J$1:$J$349,$A$1:$A$349,$A321,$B$1:$B$349,$B321))</f>
        <v/>
      </c>
      <c r="Q321" t="str">
        <f>IF($A321="","",SUMIFS($G$1:$G$349,$A$1:$A$349,$A321,$C$1:$C$349,$C321))</f>
        <v/>
      </c>
      <c r="R321" t="str">
        <f>IF($A321="","",SUMIFS($H$1:$H$349,$A$1:$A$349,$A321,$C$1:$C$349,$C321))</f>
        <v/>
      </c>
      <c r="S321" t="str">
        <f>IF($A321="","",SUMIFS($I$1:$I$349,$A$1:$A$349,$A321,$C$1:$C$349,$C321))</f>
        <v/>
      </c>
      <c r="T321" t="str">
        <f>IF($A321="","",SUMIFS($G$1:$G$349,$A$1:$A$349,$A321))</f>
        <v/>
      </c>
      <c r="U321" t="str">
        <f>IF($A321="","",SUMIFS($H$1:$H$349,$A$1:$A$349,$A321))</f>
        <v/>
      </c>
      <c r="V321" t="str">
        <f>IF($A321="","",SUMIFS($I$1:$I$349,$A$1:$A$349,$A321))</f>
        <v/>
      </c>
      <c r="W321" t="str">
        <f>IF($A321="","",Allocation2!Y321)</f>
        <v/>
      </c>
      <c r="X321" t="str">
        <f>IF($A321="","",Allocation2!Z321)</f>
        <v/>
      </c>
      <c r="Y321" t="str">
        <f>IF($A321="","",Allocation2!AA321)</f>
        <v/>
      </c>
      <c r="Z321" t="str">
        <f>IF($A321="","",Allocation2!AB321)</f>
        <v/>
      </c>
      <c r="AA321" t="str">
        <f>IF($A321="","",Allocation2!AC321)</f>
        <v/>
      </c>
      <c r="AB321" t="str">
        <f>IF($A321="","",Allocation2!AD321)</f>
        <v/>
      </c>
      <c r="AC321" t="str">
        <f>IF($A321="","",IF(ALLOC!$N$4="VOL_EFF",$G321,IF(ALLOC!$N$4="VOL_CLASS",$H321,$I321)))</f>
        <v/>
      </c>
      <c r="AD321" t="str">
        <f>IF($A321="","",IF(ALLOC!$N$4="VOL_EFF",$L321,IF(ALLOC!$N$4="VOL_CLASS",$M321,$N321)))</f>
        <v/>
      </c>
      <c r="AE321" t="str">
        <f>IF($A321="","",IF(ALLOC!$N$3="VOL_EFF",$L321,IF(ALLOC!$N$3="VOL_CLASS",$M321,$N321)))</f>
        <v/>
      </c>
      <c r="AF321" t="str">
        <f>IF($A321="","",IF(ALLOC!$N$3="VOL_EFF",$Q321,IF(ALLOC!$N$3="VOL_CLASS",$R321,$S321)))</f>
        <v/>
      </c>
      <c r="AG321" t="str">
        <f>IF($A321="","",IF(ALLOC!$N$1="VOL_EFF",$Q321,IF(ALLOC!$N$1="VOL_CLASS",$R321,$S321)))</f>
        <v/>
      </c>
      <c r="AH321" t="str">
        <f>IF($A321="","",IF(ALLOC!$N$1="VOL_EFF",$T321,IF(ALLOC!$N$1="VOL_CLASS",$U321,$V321)))</f>
        <v/>
      </c>
      <c r="AI321" t="str">
        <f>IF($A321="","",$W321*IFERROR($K321/$O321,0))</f>
        <v/>
      </c>
      <c r="AJ321" t="str">
        <f>IF($A321="","",$X321*IFERROR($K321/$O321,0))</f>
        <v/>
      </c>
      <c r="AK321" t="str">
        <f>IF($A321="","",$Y321*IFERROR($G321/$L321,0)+$Z321*IFERROR($J321/$P321,0))</f>
        <v/>
      </c>
      <c r="AL321" t="str">
        <f>IF($A321="","",$AA321*IFERROR($AC321/$AD321,0))</f>
        <v/>
      </c>
      <c r="AM321" t="str">
        <f>IF($A321="","",$AB321*IFERROR($AG321/$AH321,0)*IFERROR($AE321/$AF321,0)*IFERROR($AC321/$AD321,0))</f>
        <v/>
      </c>
      <c r="AN321" t="str">
        <f>IF($A321="","",$I321-($AI321+$AJ321+$AK321+$AL321+$AM321+$AR321))</f>
        <v/>
      </c>
      <c r="AO321" t="str">
        <f>IF($A321="","",Allocation2!AE321)</f>
        <v/>
      </c>
      <c r="AP321" t="str">
        <f>IF($A321="","",IF(ALLOC!$N$2="VOL_EFF",$Q321,IF(ALLOC!$N$2="VOL_CLASS",$R321,$S321)))</f>
        <v/>
      </c>
      <c r="AQ321" t="str">
        <f>IF($A321="","",IF(ALLOC!$N$2="VOL_EFF",$T321,IF(ALLOC!$N$2="VOL_CLASS",$U321,$V321)))</f>
        <v/>
      </c>
      <c r="AR321" t="str">
        <f>IF($A321="","",$AO321*IFERROR($AP321/$AQ321,0)*IFERROR($AE321/$AF321,0)*IFERROR($AC321/$AD321,0))</f>
        <v/>
      </c>
    </row>
    <row r="322" spans="1:46" x14ac:dyDescent="0.45">
      <c r="A322" t="str">
        <f>IF(Allocation2!D322="","",Allocation2!D322)</f>
        <v/>
      </c>
      <c r="B322" t="str">
        <f>IF(Allocation2!E322="","",Allocation2!E322)</f>
        <v/>
      </c>
      <c r="C322" t="str">
        <f>IF(Allocation2!F322="","",Allocation2!F322)</f>
        <v/>
      </c>
      <c r="D322" t="str">
        <f>IF(Allocation2!G322="","",Allocation2!G322)</f>
        <v/>
      </c>
      <c r="E322" t="str">
        <f>IF(Allocation2!H322="","",Allocation2!H322)</f>
        <v/>
      </c>
      <c r="F322" t="str">
        <f>IF(Allocation2!I322="","",Allocation2!I322)</f>
        <v/>
      </c>
      <c r="G322" t="str">
        <f>IF(Allocation2!E322="","",Allocation2!J322)</f>
        <v/>
      </c>
      <c r="H322" t="str">
        <f>IF(Allocation2!E322="","",Allocation2!K322)</f>
        <v/>
      </c>
      <c r="I322" t="str">
        <f>IF(Allocation2!E322="","",Allocation2!L322)</f>
        <v/>
      </c>
      <c r="J322" t="str">
        <f>IF($A322="","",Allocation2!X322)</f>
        <v/>
      </c>
      <c r="K322" t="str">
        <f>IF($A322="","",$H322*IF(AND(LEFT($D322,3)="BAC",$F322="INIT"),600,IF(LEFT($D322,3)="BAC",480,IF(AND(LEFT($D322,3)="MAS",$F322="INIT"),520,IF(LEFT($D322,3)="MAS",420,IF($F322="INIT",1000,700))))))</f>
        <v/>
      </c>
      <c r="L322" t="str">
        <f>IF($A322="","",SUMIFS($G$1:$G$349,$A$1:$A$349,$A322,$B$1:$B$349,$B322))</f>
        <v/>
      </c>
      <c r="M322" t="str">
        <f>IF($A322="","",SUMIFS($H$1:$H$349,$A$1:$A$349,$A322,$B$1:$B$349,$B322))</f>
        <v/>
      </c>
      <c r="N322" t="str">
        <f>IF($A322="","",SUMIFS($I$1:$I$349,$A$1:$A$349,$A322,$B$1:$B$349,$B322))</f>
        <v/>
      </c>
      <c r="O322" t="str">
        <f>IF($A322="","",SUMIFS($K$1:$K$349,$A$1:$A$349,$A322,$B$1:$B$349,$B322))</f>
        <v/>
      </c>
      <c r="P322" t="str">
        <f>IF($A322="","",SUMIFS($J$1:$J$349,$A$1:$A$349,$A322,$B$1:$B$349,$B322))</f>
        <v/>
      </c>
      <c r="Q322" t="str">
        <f>IF($A322="","",SUMIFS($G$1:$G$349,$A$1:$A$349,$A322,$C$1:$C$349,$C322))</f>
        <v/>
      </c>
      <c r="R322" t="str">
        <f>IF($A322="","",SUMIFS($H$1:$H$349,$A$1:$A$349,$A322,$C$1:$C$349,$C322))</f>
        <v/>
      </c>
      <c r="S322" t="str">
        <f>IF($A322="","",SUMIFS($I$1:$I$349,$A$1:$A$349,$A322,$C$1:$C$349,$C322))</f>
        <v/>
      </c>
      <c r="T322" t="str">
        <f>IF($A322="","",SUMIFS($G$1:$G$349,$A$1:$A$349,$A322))</f>
        <v/>
      </c>
      <c r="U322" t="str">
        <f>IF($A322="","",SUMIFS($H$1:$H$349,$A$1:$A$349,$A322))</f>
        <v/>
      </c>
      <c r="V322" t="str">
        <f>IF($A322="","",SUMIFS($I$1:$I$349,$A$1:$A$349,$A322))</f>
        <v/>
      </c>
      <c r="W322" t="str">
        <f>IF($A322="","",Allocation2!Y322)</f>
        <v/>
      </c>
      <c r="X322" t="str">
        <f>IF($A322="","",Allocation2!Z322)</f>
        <v/>
      </c>
      <c r="Y322" t="str">
        <f>IF($A322="","",Allocation2!AA322)</f>
        <v/>
      </c>
      <c r="Z322" t="str">
        <f>IF($A322="","",Allocation2!AB322)</f>
        <v/>
      </c>
      <c r="AA322" t="str">
        <f>IF($A322="","",Allocation2!AC322)</f>
        <v/>
      </c>
      <c r="AB322" t="str">
        <f>IF($A322="","",Allocation2!AD322)</f>
        <v/>
      </c>
      <c r="AC322" t="str">
        <f>IF($A322="","",IF(ALLOC!$N$4="VOL_EFF",$G322,IF(ALLOC!$N$4="VOL_CLASS",$H322,$I322)))</f>
        <v/>
      </c>
      <c r="AD322" t="str">
        <f>IF($A322="","",IF(ALLOC!$N$4="VOL_EFF",$L322,IF(ALLOC!$N$4="VOL_CLASS",$M322,$N322)))</f>
        <v/>
      </c>
      <c r="AE322" t="str">
        <f>IF($A322="","",IF(ALLOC!$N$3="VOL_EFF",$L322,IF(ALLOC!$N$3="VOL_CLASS",$M322,$N322)))</f>
        <v/>
      </c>
      <c r="AF322" t="str">
        <f>IF($A322="","",IF(ALLOC!$N$3="VOL_EFF",$Q322,IF(ALLOC!$N$3="VOL_CLASS",$R322,$S322)))</f>
        <v/>
      </c>
      <c r="AG322" t="str">
        <f>IF($A322="","",IF(ALLOC!$N$1="VOL_EFF",$Q322,IF(ALLOC!$N$1="VOL_CLASS",$R322,$S322)))</f>
        <v/>
      </c>
      <c r="AH322" t="str">
        <f>IF($A322="","",IF(ALLOC!$N$1="VOL_EFF",$T322,IF(ALLOC!$N$1="VOL_CLASS",$U322,$V322)))</f>
        <v/>
      </c>
      <c r="AI322" t="str">
        <f>IF($A322="","",$W322*IFERROR($K322/$O322,0))</f>
        <v/>
      </c>
      <c r="AJ322" t="str">
        <f>IF($A322="","",$X322*IFERROR($K322/$O322,0))</f>
        <v/>
      </c>
      <c r="AK322" t="str">
        <f>IF($A322="","",$Y322*IFERROR($G322/$L322,0)+$Z322*IFERROR($J322/$P322,0))</f>
        <v/>
      </c>
      <c r="AL322" t="str">
        <f>IF($A322="","",$AA322*IFERROR($AC322/$AD322,0))</f>
        <v/>
      </c>
      <c r="AM322" t="str">
        <f>IF($A322="","",$AB322*IFERROR($AG322/$AH322,0)*IFERROR($AE322/$AF322,0)*IFERROR($AC322/$AD322,0))</f>
        <v/>
      </c>
      <c r="AN322" t="str">
        <f>IF($A322="","",$I322-($AI322+$AJ322+$AK322+$AL322+$AM322+$AR322))</f>
        <v/>
      </c>
      <c r="AO322" t="str">
        <f>IF($A322="","",Allocation2!AE322)</f>
        <v/>
      </c>
      <c r="AP322" t="str">
        <f>IF($A322="","",IF(ALLOC!$N$2="VOL_EFF",$Q322,IF(ALLOC!$N$2="VOL_CLASS",$R322,$S322)))</f>
        <v/>
      </c>
      <c r="AQ322" t="str">
        <f>IF($A322="","",IF(ALLOC!$N$2="VOL_EFF",$T322,IF(ALLOC!$N$2="VOL_CLASS",$U322,$V322)))</f>
        <v/>
      </c>
      <c r="AR322" t="str">
        <f>IF($A322="","",$AO322*IFERROR($AP322/$AQ322,0)*IFERROR($AE322/$AF322,0)*IFERROR($AC322/$AD322,0))</f>
        <v/>
      </c>
    </row>
    <row r="323" spans="1:46" x14ac:dyDescent="0.45">
      <c r="A323" t="str">
        <f>IF(Allocation2!D323="","",Allocation2!D323)</f>
        <v/>
      </c>
      <c r="B323" t="str">
        <f>IF(Allocation2!E323="","",Allocation2!E323)</f>
        <v/>
      </c>
      <c r="C323" t="str">
        <f>IF(Allocation2!F323="","",Allocation2!F323)</f>
        <v/>
      </c>
      <c r="D323" t="str">
        <f>IF(Allocation2!G323="","",Allocation2!G323)</f>
        <v/>
      </c>
      <c r="E323" t="str">
        <f>IF(Allocation2!H323="","",Allocation2!H323)</f>
        <v/>
      </c>
      <c r="F323" t="str">
        <f>IF(Allocation2!I323="","",Allocation2!I323)</f>
        <v/>
      </c>
      <c r="G323" t="str">
        <f>IF(Allocation2!E323="","",Allocation2!J323)</f>
        <v/>
      </c>
      <c r="H323" t="str">
        <f>IF(Allocation2!E323="","",Allocation2!K323)</f>
        <v/>
      </c>
      <c r="I323" t="str">
        <f>IF(Allocation2!E323="","",Allocation2!L323)</f>
        <v/>
      </c>
      <c r="J323" t="str">
        <f>IF($A323="","",Allocation2!X323)</f>
        <v/>
      </c>
      <c r="K323" t="str">
        <f>IF($A323="","",$H323*IF(AND(LEFT($D323,3)="BAC",$F323="INIT"),600,IF(LEFT($D323,3)="BAC",480,IF(AND(LEFT($D323,3)="MAS",$F323="INIT"),520,IF(LEFT($D323,3)="MAS",420,IF($F323="INIT",1000,700))))))</f>
        <v/>
      </c>
      <c r="L323" t="str">
        <f>IF($A323="","",SUMIFS($G$1:$G$349,$A$1:$A$349,$A323,$B$1:$B$349,$B323))</f>
        <v/>
      </c>
      <c r="M323" t="str">
        <f>IF($A323="","",SUMIFS($H$1:$H$349,$A$1:$A$349,$A323,$B$1:$B$349,$B323))</f>
        <v/>
      </c>
      <c r="N323" t="str">
        <f>IF($A323="","",SUMIFS($I$1:$I$349,$A$1:$A$349,$A323,$B$1:$B$349,$B323))</f>
        <v/>
      </c>
      <c r="O323" t="str">
        <f>IF($A323="","",SUMIFS($K$1:$K$349,$A$1:$A$349,$A323,$B$1:$B$349,$B323))</f>
        <v/>
      </c>
      <c r="P323" t="str">
        <f>IF($A323="","",SUMIFS($J$1:$J$349,$A$1:$A$349,$A323,$B$1:$B$349,$B323))</f>
        <v/>
      </c>
      <c r="Q323" t="str">
        <f>IF($A323="","",SUMIFS($G$1:$G$349,$A$1:$A$349,$A323,$C$1:$C$349,$C323))</f>
        <v/>
      </c>
      <c r="R323" t="str">
        <f>IF($A323="","",SUMIFS($H$1:$H$349,$A$1:$A$349,$A323,$C$1:$C$349,$C323))</f>
        <v/>
      </c>
      <c r="S323" t="str">
        <f>IF($A323="","",SUMIFS($I$1:$I$349,$A$1:$A$349,$A323,$C$1:$C$349,$C323))</f>
        <v/>
      </c>
      <c r="T323" t="str">
        <f>IF($A323="","",SUMIFS($G$1:$G$349,$A$1:$A$349,$A323))</f>
        <v/>
      </c>
      <c r="U323" t="str">
        <f>IF($A323="","",SUMIFS($H$1:$H$349,$A$1:$A$349,$A323))</f>
        <v/>
      </c>
      <c r="V323" t="str">
        <f>IF($A323="","",SUMIFS($I$1:$I$349,$A$1:$A$349,$A323))</f>
        <v/>
      </c>
      <c r="W323" t="str">
        <f>IF($A323="","",Allocation2!Y323)</f>
        <v/>
      </c>
      <c r="X323" t="str">
        <f>IF($A323="","",Allocation2!Z323)</f>
        <v/>
      </c>
      <c r="Y323" t="str">
        <f>IF($A323="","",Allocation2!AA323)</f>
        <v/>
      </c>
      <c r="Z323" t="str">
        <f>IF($A323="","",Allocation2!AB323)</f>
        <v/>
      </c>
      <c r="AA323" t="str">
        <f>IF($A323="","",Allocation2!AC323)</f>
        <v/>
      </c>
      <c r="AB323" t="str">
        <f>IF($A323="","",Allocation2!AD323)</f>
        <v/>
      </c>
      <c r="AC323" t="str">
        <f>IF($A323="","",IF(ALLOC!$N$4="VOL_EFF",$G323,IF(ALLOC!$N$4="VOL_CLASS",$H323,$I323)))</f>
        <v/>
      </c>
      <c r="AD323" t="str">
        <f>IF($A323="","",IF(ALLOC!$N$4="VOL_EFF",$L323,IF(ALLOC!$N$4="VOL_CLASS",$M323,$N323)))</f>
        <v/>
      </c>
      <c r="AE323" t="str">
        <f>IF($A323="","",IF(ALLOC!$N$3="VOL_EFF",$L323,IF(ALLOC!$N$3="VOL_CLASS",$M323,$N323)))</f>
        <v/>
      </c>
      <c r="AF323" t="str">
        <f>IF($A323="","",IF(ALLOC!$N$3="VOL_EFF",$Q323,IF(ALLOC!$N$3="VOL_CLASS",$R323,$S323)))</f>
        <v/>
      </c>
      <c r="AG323" t="str">
        <f>IF($A323="","",IF(ALLOC!$N$1="VOL_EFF",$Q323,IF(ALLOC!$N$1="VOL_CLASS",$R323,$S323)))</f>
        <v/>
      </c>
      <c r="AH323" t="str">
        <f>IF($A323="","",IF(ALLOC!$N$1="VOL_EFF",$T323,IF(ALLOC!$N$1="VOL_CLASS",$U323,$V323)))</f>
        <v/>
      </c>
      <c r="AI323" t="str">
        <f>IF($A323="","",$W323*IFERROR($K323/$O323,0))</f>
        <v/>
      </c>
      <c r="AJ323" t="str">
        <f>IF($A323="","",$X323*IFERROR($K323/$O323,0))</f>
        <v/>
      </c>
      <c r="AK323" t="str">
        <f>IF($A323="","",$Y323*IFERROR($G323/$L323,0)+$Z323*IFERROR($J323/$P323,0))</f>
        <v/>
      </c>
      <c r="AL323" t="str">
        <f>IF($A323="","",$AA323*IFERROR($AC323/$AD323,0))</f>
        <v/>
      </c>
      <c r="AM323" t="str">
        <f>IF($A323="","",$AB323*IFERROR($AG323/$AH323,0)*IFERROR($AE323/$AF323,0)*IFERROR($AC323/$AD323,0))</f>
        <v/>
      </c>
      <c r="AN323" t="str">
        <f>IF($A323="","",$I323-($AI323+$AJ323+$AK323+$AL323+$AM323+$AR323))</f>
        <v/>
      </c>
      <c r="AO323" t="str">
        <f>IF($A323="","",Allocation2!AE323)</f>
        <v/>
      </c>
      <c r="AP323" t="str">
        <f>IF($A323="","",IF(ALLOC!$N$2="VOL_EFF",$Q323,IF(ALLOC!$N$2="VOL_CLASS",$R323,$S323)))</f>
        <v/>
      </c>
      <c r="AQ323" t="str">
        <f>IF($A323="","",IF(ALLOC!$N$2="VOL_EFF",$T323,IF(ALLOC!$N$2="VOL_CLASS",$U323,$V323)))</f>
        <v/>
      </c>
      <c r="AR323" t="str">
        <f>IF($A323="","",$AO323*IFERROR($AP323/$AQ323,0)*IFERROR($AE323/$AF323,0)*IFERROR($AC323/$AD323,0))</f>
        <v/>
      </c>
    </row>
    <row r="324" spans="1:46" x14ac:dyDescent="0.45">
      <c r="A324" t="str">
        <f>IF(Allocation2!D324="","",Allocation2!D324)</f>
        <v/>
      </c>
      <c r="B324" t="str">
        <f>IF(Allocation2!E324="","",Allocation2!E324)</f>
        <v/>
      </c>
      <c r="C324" t="str">
        <f>IF(Allocation2!F324="","",Allocation2!F324)</f>
        <v/>
      </c>
      <c r="D324" t="str">
        <f>IF(Allocation2!G324="","",Allocation2!G324)</f>
        <v/>
      </c>
      <c r="E324" t="str">
        <f>IF(Allocation2!H324="","",Allocation2!H324)</f>
        <v/>
      </c>
      <c r="F324" t="str">
        <f>IF(Allocation2!I324="","",Allocation2!I324)</f>
        <v/>
      </c>
      <c r="G324" t="str">
        <f>IF(Allocation2!E324="","",Allocation2!J324)</f>
        <v/>
      </c>
      <c r="H324" t="str">
        <f>IF(Allocation2!E324="","",Allocation2!K324)</f>
        <v/>
      </c>
      <c r="I324" t="str">
        <f>IF(Allocation2!E324="","",Allocation2!L324)</f>
        <v/>
      </c>
      <c r="J324" t="str">
        <f>IF($A324="","",Allocation2!X324)</f>
        <v/>
      </c>
      <c r="K324" t="str">
        <f>IF($A324="","",$H324*IF(AND(LEFT($D324,3)="BAC",$F324="INIT"),600,IF(LEFT($D324,3)="BAC",480,IF(AND(LEFT($D324,3)="MAS",$F324="INIT"),520,IF(LEFT($D324,3)="MAS",420,IF($F324="INIT",1000,700))))))</f>
        <v/>
      </c>
      <c r="L324" t="str">
        <f>IF($A324="","",SUMIFS($G$1:$G$349,$A$1:$A$349,$A324,$B$1:$B$349,$B324))</f>
        <v/>
      </c>
      <c r="M324" t="str">
        <f>IF($A324="","",SUMIFS($H$1:$H$349,$A$1:$A$349,$A324,$B$1:$B$349,$B324))</f>
        <v/>
      </c>
      <c r="N324" t="str">
        <f>IF($A324="","",SUMIFS($I$1:$I$349,$A$1:$A$349,$A324,$B$1:$B$349,$B324))</f>
        <v/>
      </c>
      <c r="O324" t="str">
        <f>IF($A324="","",SUMIFS($K$1:$K$349,$A$1:$A$349,$A324,$B$1:$B$349,$B324))</f>
        <v/>
      </c>
      <c r="P324" t="str">
        <f>IF($A324="","",SUMIFS($J$1:$J$349,$A$1:$A$349,$A324,$B$1:$B$349,$B324))</f>
        <v/>
      </c>
      <c r="Q324" t="str">
        <f>IF($A324="","",SUMIFS($G$1:$G$349,$A$1:$A$349,$A324,$C$1:$C$349,$C324))</f>
        <v/>
      </c>
      <c r="R324" t="str">
        <f>IF($A324="","",SUMIFS($H$1:$H$349,$A$1:$A$349,$A324,$C$1:$C$349,$C324))</f>
        <v/>
      </c>
      <c r="S324" t="str">
        <f>IF($A324="","",SUMIFS($I$1:$I$349,$A$1:$A$349,$A324,$C$1:$C$349,$C324))</f>
        <v/>
      </c>
      <c r="T324" t="str">
        <f>IF($A324="","",SUMIFS($G$1:$G$349,$A$1:$A$349,$A324))</f>
        <v/>
      </c>
      <c r="U324" t="str">
        <f>IF($A324="","",SUMIFS($H$1:$H$349,$A$1:$A$349,$A324))</f>
        <v/>
      </c>
      <c r="V324" t="str">
        <f>IF($A324="","",SUMIFS($I$1:$I$349,$A$1:$A$349,$A324))</f>
        <v/>
      </c>
      <c r="W324" t="str">
        <f>IF($A324="","",Allocation2!Y324)</f>
        <v/>
      </c>
      <c r="X324" t="str">
        <f>IF($A324="","",Allocation2!Z324)</f>
        <v/>
      </c>
      <c r="Y324" t="str">
        <f>IF($A324="","",Allocation2!AA324)</f>
        <v/>
      </c>
      <c r="Z324" t="str">
        <f>IF($A324="","",Allocation2!AB324)</f>
        <v/>
      </c>
      <c r="AA324" t="str">
        <f>IF($A324="","",Allocation2!AC324)</f>
        <v/>
      </c>
      <c r="AB324" t="str">
        <f>IF($A324="","",Allocation2!AD324)</f>
        <v/>
      </c>
      <c r="AC324" t="str">
        <f>IF($A324="","",IF(ALLOC!$N$4="VOL_EFF",$G324,IF(ALLOC!$N$4="VOL_CLASS",$H324,$I324)))</f>
        <v/>
      </c>
      <c r="AD324" t="str">
        <f>IF($A324="","",IF(ALLOC!$N$4="VOL_EFF",$L324,IF(ALLOC!$N$4="VOL_CLASS",$M324,$N324)))</f>
        <v/>
      </c>
      <c r="AE324" t="str">
        <f>IF($A324="","",IF(ALLOC!$N$3="VOL_EFF",$L324,IF(ALLOC!$N$3="VOL_CLASS",$M324,$N324)))</f>
        <v/>
      </c>
      <c r="AF324" t="str">
        <f>IF($A324="","",IF(ALLOC!$N$3="VOL_EFF",$Q324,IF(ALLOC!$N$3="VOL_CLASS",$R324,$S324)))</f>
        <v/>
      </c>
      <c r="AG324" t="str">
        <f>IF($A324="","",IF(ALLOC!$N$1="VOL_EFF",$Q324,IF(ALLOC!$N$1="VOL_CLASS",$R324,$S324)))</f>
        <v/>
      </c>
      <c r="AH324" t="str">
        <f>IF($A324="","",IF(ALLOC!$N$1="VOL_EFF",$T324,IF(ALLOC!$N$1="VOL_CLASS",$U324,$V324)))</f>
        <v/>
      </c>
      <c r="AI324" t="str">
        <f>IF($A324="","",$W324*IFERROR($K324/$O324,0))</f>
        <v/>
      </c>
      <c r="AJ324" t="str">
        <f>IF($A324="","",$X324*IFERROR($K324/$O324,0))</f>
        <v/>
      </c>
      <c r="AK324" t="str">
        <f>IF($A324="","",$Y324*IFERROR($G324/$L324,0)+$Z324*IFERROR($J324/$P324,0))</f>
        <v/>
      </c>
      <c r="AL324" t="str">
        <f>IF($A324="","",$AA324*IFERROR($AC324/$AD324,0))</f>
        <v/>
      </c>
      <c r="AM324" t="str">
        <f>IF($A324="","",$AB324*IFERROR($AG324/$AH324,0)*IFERROR($AE324/$AF324,0)*IFERROR($AC324/$AD324,0))</f>
        <v/>
      </c>
      <c r="AN324" t="str">
        <f>IF($A324="","",$I324-($AI324+$AJ324+$AK324+$AL324+$AM324+$AR324))</f>
        <v/>
      </c>
      <c r="AO324" t="str">
        <f>IF($A324="","",Allocation2!AE324)</f>
        <v/>
      </c>
      <c r="AP324" t="str">
        <f>IF($A324="","",IF(ALLOC!$N$2="VOL_EFF",$Q324,IF(ALLOC!$N$2="VOL_CLASS",$R324,$S324)))</f>
        <v/>
      </c>
      <c r="AQ324" t="str">
        <f>IF($A324="","",IF(ALLOC!$N$2="VOL_EFF",$T324,IF(ALLOC!$N$2="VOL_CLASS",$U324,$V324)))</f>
        <v/>
      </c>
      <c r="AR324" t="str">
        <f>IF($A324="","",$AO324*IFERROR($AP324/$AQ324,0)*IFERROR($AE324/$AF324,0)*IFERROR($AC324/$AD324,0))</f>
        <v/>
      </c>
    </row>
    <row r="325" spans="1:46" x14ac:dyDescent="0.45">
      <c r="A325" t="str">
        <f>IF(Allocation2!D325="","",Allocation2!D325)</f>
        <v/>
      </c>
      <c r="B325" t="str">
        <f>IF(Allocation2!E325="","",Allocation2!E325)</f>
        <v/>
      </c>
      <c r="C325" t="str">
        <f>IF(Allocation2!F325="","",Allocation2!F325)</f>
        <v/>
      </c>
      <c r="D325" t="str">
        <f>IF(Allocation2!G325="","",Allocation2!G325)</f>
        <v/>
      </c>
      <c r="E325" t="str">
        <f>IF(Allocation2!H325="","",Allocation2!H325)</f>
        <v/>
      </c>
      <c r="F325" t="str">
        <f>IF(Allocation2!I325="","",Allocation2!I325)</f>
        <v/>
      </c>
      <c r="G325" t="str">
        <f>IF(Allocation2!E325="","",Allocation2!J325)</f>
        <v/>
      </c>
      <c r="H325" t="str">
        <f>IF(Allocation2!E325="","",Allocation2!K325)</f>
        <v/>
      </c>
      <c r="I325" t="str">
        <f>IF(Allocation2!E325="","",Allocation2!L325)</f>
        <v/>
      </c>
      <c r="J325" t="str">
        <f>IF($A325="","",Allocation2!X325)</f>
        <v/>
      </c>
      <c r="K325" t="str">
        <f>IF($A325="","",$H325*IF(AND(LEFT($D325,3)="BAC",$F325="INIT"),600,IF(LEFT($D325,3)="BAC",480,IF(AND(LEFT($D325,3)="MAS",$F325="INIT"),520,IF(LEFT($D325,3)="MAS",420,IF($F325="INIT",1000,700))))))</f>
        <v/>
      </c>
      <c r="L325" t="str">
        <f>IF($A325="","",SUMIFS($G$1:$G$349,$A$1:$A$349,$A325,$B$1:$B$349,$B325))</f>
        <v/>
      </c>
      <c r="M325" t="str">
        <f>IF($A325="","",SUMIFS($H$1:$H$349,$A$1:$A$349,$A325,$B$1:$B$349,$B325))</f>
        <v/>
      </c>
      <c r="N325" t="str">
        <f>IF($A325="","",SUMIFS($I$1:$I$349,$A$1:$A$349,$A325,$B$1:$B$349,$B325))</f>
        <v/>
      </c>
      <c r="O325" t="str">
        <f>IF($A325="","",SUMIFS($K$1:$K$349,$A$1:$A$349,$A325,$B$1:$B$349,$B325))</f>
        <v/>
      </c>
      <c r="P325" t="str">
        <f>IF($A325="","",SUMIFS($J$1:$J$349,$A$1:$A$349,$A325,$B$1:$B$349,$B325))</f>
        <v/>
      </c>
      <c r="Q325" t="str">
        <f>IF($A325="","",SUMIFS($G$1:$G$349,$A$1:$A$349,$A325,$C$1:$C$349,$C325))</f>
        <v/>
      </c>
      <c r="R325" t="str">
        <f>IF($A325="","",SUMIFS($H$1:$H$349,$A$1:$A$349,$A325,$C$1:$C$349,$C325))</f>
        <v/>
      </c>
      <c r="S325" t="str">
        <f>IF($A325="","",SUMIFS($I$1:$I$349,$A$1:$A$349,$A325,$C$1:$C$349,$C325))</f>
        <v/>
      </c>
      <c r="T325" t="str">
        <f>IF($A325="","",SUMIFS($G$1:$G$349,$A$1:$A$349,$A325))</f>
        <v/>
      </c>
      <c r="U325" t="str">
        <f>IF($A325="","",SUMIFS($H$1:$H$349,$A$1:$A$349,$A325))</f>
        <v/>
      </c>
      <c r="V325" t="str">
        <f>IF($A325="","",SUMIFS($I$1:$I$349,$A$1:$A$349,$A325))</f>
        <v/>
      </c>
      <c r="W325" t="str">
        <f>IF($A325="","",Allocation2!Y325)</f>
        <v/>
      </c>
      <c r="X325" t="str">
        <f>IF($A325="","",Allocation2!Z325)</f>
        <v/>
      </c>
      <c r="Y325" t="str">
        <f>IF($A325="","",Allocation2!AA325)</f>
        <v/>
      </c>
      <c r="Z325" t="str">
        <f>IF($A325="","",Allocation2!AB325)</f>
        <v/>
      </c>
      <c r="AA325" t="str">
        <f>IF($A325="","",Allocation2!AC325)</f>
        <v/>
      </c>
      <c r="AB325" t="str">
        <f>IF($A325="","",Allocation2!AD325)</f>
        <v/>
      </c>
      <c r="AC325" t="str">
        <f>IF($A325="","",IF(ALLOC!$N$4="VOL_EFF",$G325,IF(ALLOC!$N$4="VOL_CLASS",$H325,$I325)))</f>
        <v/>
      </c>
      <c r="AD325" t="str">
        <f>IF($A325="","",IF(ALLOC!$N$4="VOL_EFF",$L325,IF(ALLOC!$N$4="VOL_CLASS",$M325,$N325)))</f>
        <v/>
      </c>
      <c r="AE325" t="str">
        <f>IF($A325="","",IF(ALLOC!$N$3="VOL_EFF",$L325,IF(ALLOC!$N$3="VOL_CLASS",$M325,$N325)))</f>
        <v/>
      </c>
      <c r="AF325" t="str">
        <f>IF($A325="","",IF(ALLOC!$N$3="VOL_EFF",$Q325,IF(ALLOC!$N$3="VOL_CLASS",$R325,$S325)))</f>
        <v/>
      </c>
      <c r="AG325" t="str">
        <f>IF($A325="","",IF(ALLOC!$N$1="VOL_EFF",$Q325,IF(ALLOC!$N$1="VOL_CLASS",$R325,$S325)))</f>
        <v/>
      </c>
      <c r="AH325" t="str">
        <f>IF($A325="","",IF(ALLOC!$N$1="VOL_EFF",$T325,IF(ALLOC!$N$1="VOL_CLASS",$U325,$V325)))</f>
        <v/>
      </c>
      <c r="AI325" t="str">
        <f>IF($A325="","",$W325*IFERROR($K325/$O325,0))</f>
        <v/>
      </c>
      <c r="AJ325" t="str">
        <f>IF($A325="","",$X325*IFERROR($K325/$O325,0))</f>
        <v/>
      </c>
      <c r="AK325" t="str">
        <f>IF($A325="","",$Y325*IFERROR($G325/$L325,0)+$Z325*IFERROR($J325/$P325,0))</f>
        <v/>
      </c>
      <c r="AL325" t="str">
        <f>IF($A325="","",$AA325*IFERROR($AC325/$AD325,0))</f>
        <v/>
      </c>
      <c r="AM325" t="str">
        <f>IF($A325="","",$AB325*IFERROR($AG325/$AH325,0)*IFERROR($AE325/$AF325,0)*IFERROR($AC325/$AD325,0))</f>
        <v/>
      </c>
      <c r="AN325" t="str">
        <f>IF($A325="","",$I325-($AI325+$AJ325+$AK325+$AL325+$AM325+$AR325))</f>
        <v/>
      </c>
      <c r="AO325" t="str">
        <f>IF($A325="","",Allocation2!AE325)</f>
        <v/>
      </c>
      <c r="AP325" t="str">
        <f>IF($A325="","",IF(ALLOC!$N$2="VOL_EFF",$Q325,IF(ALLOC!$N$2="VOL_CLASS",$R325,$S325)))</f>
        <v/>
      </c>
      <c r="AQ325" t="str">
        <f>IF($A325="","",IF(ALLOC!$N$2="VOL_EFF",$T325,IF(ALLOC!$N$2="VOL_CLASS",$U325,$V325)))</f>
        <v/>
      </c>
      <c r="AR325" t="str">
        <f>IF($A325="","",$AO325*IFERROR($AP325/$AQ325,0)*IFERROR($AE325/$AF325,0)*IFERROR($AC325/$AD325,0))</f>
        <v/>
      </c>
    </row>
    <row r="326" spans="1:46" x14ac:dyDescent="0.45">
      <c r="A326" t="str">
        <f>IF(Allocation2!D326="","",Allocation2!D326)</f>
        <v/>
      </c>
      <c r="B326" t="str">
        <f>IF(Allocation2!E326="","",Allocation2!E326)</f>
        <v/>
      </c>
      <c r="C326" t="str">
        <f>IF(Allocation2!F326="","",Allocation2!F326)</f>
        <v/>
      </c>
      <c r="D326" t="str">
        <f>IF(Allocation2!G326="","",Allocation2!G326)</f>
        <v/>
      </c>
      <c r="E326" t="str">
        <f>IF(Allocation2!H326="","",Allocation2!H326)</f>
        <v/>
      </c>
      <c r="F326" t="str">
        <f>IF(Allocation2!I326="","",Allocation2!I326)</f>
        <v/>
      </c>
      <c r="G326" t="str">
        <f>IF(Allocation2!E326="","",Allocation2!J326)</f>
        <v/>
      </c>
      <c r="H326" t="str">
        <f>IF(Allocation2!E326="","",Allocation2!K326)</f>
        <v/>
      </c>
      <c r="I326" t="str">
        <f>IF(Allocation2!E326="","",Allocation2!L326)</f>
        <v/>
      </c>
      <c r="J326" t="str">
        <f>IF($A326="","",Allocation2!X326)</f>
        <v/>
      </c>
      <c r="K326" t="str">
        <f>IF($A326="","",$H326*IF(AND(LEFT($D326,3)="BAC",$F326="INIT"),600,IF(LEFT($D326,3)="BAC",480,IF(AND(LEFT($D326,3)="MAS",$F326="INIT"),520,IF(LEFT($D326,3)="MAS",420,IF($F326="INIT",1000,700))))))</f>
        <v/>
      </c>
      <c r="L326" t="str">
        <f>IF($A326="","",SUMIFS($G$1:$G$349,$A$1:$A$349,$A326,$B$1:$B$349,$B326))</f>
        <v/>
      </c>
      <c r="M326" t="str">
        <f>IF($A326="","",SUMIFS($H$1:$H$349,$A$1:$A$349,$A326,$B$1:$B$349,$B326))</f>
        <v/>
      </c>
      <c r="N326" t="str">
        <f>IF($A326="","",SUMIFS($I$1:$I$349,$A$1:$A$349,$A326,$B$1:$B$349,$B326))</f>
        <v/>
      </c>
      <c r="O326" t="str">
        <f>IF($A326="","",SUMIFS($K$1:$K$349,$A$1:$A$349,$A326,$B$1:$B$349,$B326))</f>
        <v/>
      </c>
      <c r="P326" t="str">
        <f>IF($A326="","",SUMIFS($J$1:$J$349,$A$1:$A$349,$A326,$B$1:$B$349,$B326))</f>
        <v/>
      </c>
      <c r="Q326" t="str">
        <f>IF($A326="","",SUMIFS($G$1:$G$349,$A$1:$A$349,$A326,$C$1:$C$349,$C326))</f>
        <v/>
      </c>
      <c r="R326" t="str">
        <f>IF($A326="","",SUMIFS($H$1:$H$349,$A$1:$A$349,$A326,$C$1:$C$349,$C326))</f>
        <v/>
      </c>
      <c r="S326" t="str">
        <f>IF($A326="","",SUMIFS($I$1:$I$349,$A$1:$A$349,$A326,$C$1:$C$349,$C326))</f>
        <v/>
      </c>
      <c r="T326" t="str">
        <f>IF($A326="","",SUMIFS($G$1:$G$349,$A$1:$A$349,$A326))</f>
        <v/>
      </c>
      <c r="U326" t="str">
        <f>IF($A326="","",SUMIFS($H$1:$H$349,$A$1:$A$349,$A326))</f>
        <v/>
      </c>
      <c r="V326" t="str">
        <f>IF($A326="","",SUMIFS($I$1:$I$349,$A$1:$A$349,$A326))</f>
        <v/>
      </c>
      <c r="W326" t="str">
        <f>IF($A326="","",Allocation2!Y326)</f>
        <v/>
      </c>
      <c r="X326" t="str">
        <f>IF($A326="","",Allocation2!Z326)</f>
        <v/>
      </c>
      <c r="Y326" t="str">
        <f>IF($A326="","",Allocation2!AA326)</f>
        <v/>
      </c>
      <c r="Z326" t="str">
        <f>IF($A326="","",Allocation2!AB326)</f>
        <v/>
      </c>
      <c r="AA326" t="str">
        <f>IF($A326="","",Allocation2!AC326)</f>
        <v/>
      </c>
      <c r="AB326" t="str">
        <f>IF($A326="","",Allocation2!AD326)</f>
        <v/>
      </c>
      <c r="AC326" t="str">
        <f>IF($A326="","",IF(ALLOC!$N$4="VOL_EFF",$G326,IF(ALLOC!$N$4="VOL_CLASS",$H326,$I326)))</f>
        <v/>
      </c>
      <c r="AD326" t="str">
        <f>IF($A326="","",IF(ALLOC!$N$4="VOL_EFF",$L326,IF(ALLOC!$N$4="VOL_CLASS",$M326,$N326)))</f>
        <v/>
      </c>
      <c r="AE326" t="str">
        <f>IF($A326="","",IF(ALLOC!$N$3="VOL_EFF",$L326,IF(ALLOC!$N$3="VOL_CLASS",$M326,$N326)))</f>
        <v/>
      </c>
      <c r="AF326" t="str">
        <f>IF($A326="","",IF(ALLOC!$N$3="VOL_EFF",$Q326,IF(ALLOC!$N$3="VOL_CLASS",$R326,$S326)))</f>
        <v/>
      </c>
      <c r="AG326" t="str">
        <f>IF($A326="","",IF(ALLOC!$N$1="VOL_EFF",$Q326,IF(ALLOC!$N$1="VOL_CLASS",$R326,$S326)))</f>
        <v/>
      </c>
      <c r="AH326" t="str">
        <f>IF($A326="","",IF(ALLOC!$N$1="VOL_EFF",$T326,IF(ALLOC!$N$1="VOL_CLASS",$U326,$V326)))</f>
        <v/>
      </c>
      <c r="AI326" t="str">
        <f>IF($A326="","",$W326*IFERROR($K326/$O326,0))</f>
        <v/>
      </c>
      <c r="AJ326" t="str">
        <f>IF($A326="","",$X326*IFERROR($K326/$O326,0))</f>
        <v/>
      </c>
      <c r="AK326" t="str">
        <f>IF($A326="","",$Y326*IFERROR($G326/$L326,0)+$Z326*IFERROR($J326/$P326,0))</f>
        <v/>
      </c>
      <c r="AL326" t="str">
        <f>IF($A326="","",$AA326*IFERROR($AC326/$AD326,0))</f>
        <v/>
      </c>
      <c r="AM326" t="str">
        <f>IF($A326="","",$AB326*IFERROR($AG326/$AH326,0)*IFERROR($AE326/$AF326,0)*IFERROR($AC326/$AD326,0))</f>
        <v/>
      </c>
      <c r="AN326" t="str">
        <f>IF($A326="","",$I326-($AI326+$AJ326+$AK326+$AL326+$AM326+$AR326))</f>
        <v/>
      </c>
      <c r="AO326" t="str">
        <f>IF($A326="","",Allocation2!AE326)</f>
        <v/>
      </c>
      <c r="AP326" t="str">
        <f>IF($A326="","",IF(ALLOC!$N$2="VOL_EFF",$Q326,IF(ALLOC!$N$2="VOL_CLASS",$R326,$S326)))</f>
        <v/>
      </c>
      <c r="AQ326" t="str">
        <f>IF($A326="","",IF(ALLOC!$N$2="VOL_EFF",$T326,IF(ALLOC!$N$2="VOL_CLASS",$U326,$V326)))</f>
        <v/>
      </c>
      <c r="AR326" t="str">
        <f>IF($A326="","",$AO326*IFERROR($AP326/$AQ326,0)*IFERROR($AE326/$AF326,0)*IFERROR($AC326/$AD326,0))</f>
        <v/>
      </c>
    </row>
    <row r="327" spans="1:46" x14ac:dyDescent="0.45">
      <c r="A327" t="str">
        <f>IF(Allocation2!D327="","",Allocation2!D327)</f>
        <v/>
      </c>
      <c r="B327" t="str">
        <f>IF(Allocation2!E327="","",Allocation2!E327)</f>
        <v/>
      </c>
      <c r="C327" t="str">
        <f>IF(Allocation2!F327="","",Allocation2!F327)</f>
        <v/>
      </c>
      <c r="D327" t="str">
        <f>IF(Allocation2!G327="","",Allocation2!G327)</f>
        <v/>
      </c>
      <c r="E327" t="str">
        <f>IF(Allocation2!H327="","",Allocation2!H327)</f>
        <v/>
      </c>
      <c r="F327" t="str">
        <f>IF(Allocation2!I327="","",Allocation2!I327)</f>
        <v/>
      </c>
      <c r="G327" t="str">
        <f>IF(Allocation2!E327="","",Allocation2!J327)</f>
        <v/>
      </c>
      <c r="H327" t="str">
        <f>IF(Allocation2!E327="","",Allocation2!K327)</f>
        <v/>
      </c>
      <c r="I327" t="str">
        <f>IF(Allocation2!E327="","",Allocation2!L327)</f>
        <v/>
      </c>
      <c r="J327" t="str">
        <f>IF($A327="","",Allocation2!X327)</f>
        <v/>
      </c>
      <c r="K327" t="str">
        <f>IF($A327="","",$H327*IF(AND(LEFT($D327,3)="BAC",$F327="INIT"),600,IF(LEFT($D327,3)="BAC",480,IF(AND(LEFT($D327,3)="MAS",$F327="INIT"),520,IF(LEFT($D327,3)="MAS",420,IF($F327="INIT",1000,700))))))</f>
        <v/>
      </c>
      <c r="L327" t="str">
        <f>IF($A327="","",SUMIFS($G$1:$G$349,$A$1:$A$349,$A327,$B$1:$B$349,$B327))</f>
        <v/>
      </c>
      <c r="M327" t="str">
        <f>IF($A327="","",SUMIFS($H$1:$H$349,$A$1:$A$349,$A327,$B$1:$B$349,$B327))</f>
        <v/>
      </c>
      <c r="N327" t="str">
        <f>IF($A327="","",SUMIFS($I$1:$I$349,$A$1:$A$349,$A327,$B$1:$B$349,$B327))</f>
        <v/>
      </c>
      <c r="O327" t="str">
        <f>IF($A327="","",SUMIFS($K$1:$K$349,$A$1:$A$349,$A327,$B$1:$B$349,$B327))</f>
        <v/>
      </c>
      <c r="P327" t="str">
        <f>IF($A327="","",SUMIFS($J$1:$J$349,$A$1:$A$349,$A327,$B$1:$B$349,$B327))</f>
        <v/>
      </c>
      <c r="Q327" t="str">
        <f>IF($A327="","",SUMIFS($G$1:$G$349,$A$1:$A$349,$A327,$C$1:$C$349,$C327))</f>
        <v/>
      </c>
      <c r="R327" t="str">
        <f>IF($A327="","",SUMIFS($H$1:$H$349,$A$1:$A$349,$A327,$C$1:$C$349,$C327))</f>
        <v/>
      </c>
      <c r="S327" t="str">
        <f>IF($A327="","",SUMIFS($I$1:$I$349,$A$1:$A$349,$A327,$C$1:$C$349,$C327))</f>
        <v/>
      </c>
      <c r="T327" t="str">
        <f>IF($A327="","",SUMIFS($G$1:$G$349,$A$1:$A$349,$A327))</f>
        <v/>
      </c>
      <c r="U327" t="str">
        <f>IF($A327="","",SUMIFS($H$1:$H$349,$A$1:$A$349,$A327))</f>
        <v/>
      </c>
      <c r="V327" t="str">
        <f>IF($A327="","",SUMIFS($I$1:$I$349,$A$1:$A$349,$A327))</f>
        <v/>
      </c>
      <c r="W327" t="str">
        <f>IF($A327="","",Allocation2!Y327)</f>
        <v/>
      </c>
      <c r="X327" t="str">
        <f>IF($A327="","",Allocation2!Z327)</f>
        <v/>
      </c>
      <c r="Y327" t="str">
        <f>IF($A327="","",Allocation2!AA327)</f>
        <v/>
      </c>
      <c r="Z327" t="str">
        <f>IF($A327="","",Allocation2!AB327)</f>
        <v/>
      </c>
      <c r="AA327" t="str">
        <f>IF($A327="","",Allocation2!AC327)</f>
        <v/>
      </c>
      <c r="AB327" t="str">
        <f>IF($A327="","",Allocation2!AD327)</f>
        <v/>
      </c>
      <c r="AC327" t="str">
        <f>IF($A327="","",IF(ALLOC!$N$4="VOL_EFF",$G327,IF(ALLOC!$N$4="VOL_CLASS",$H327,$I327)))</f>
        <v/>
      </c>
      <c r="AD327" t="str">
        <f>IF($A327="","",IF(ALLOC!$N$4="VOL_EFF",$L327,IF(ALLOC!$N$4="VOL_CLASS",$M327,$N327)))</f>
        <v/>
      </c>
      <c r="AE327" t="str">
        <f>IF($A327="","",IF(ALLOC!$N$3="VOL_EFF",$L327,IF(ALLOC!$N$3="VOL_CLASS",$M327,$N327)))</f>
        <v/>
      </c>
      <c r="AF327" t="str">
        <f>IF($A327="","",IF(ALLOC!$N$3="VOL_EFF",$Q327,IF(ALLOC!$N$3="VOL_CLASS",$R327,$S327)))</f>
        <v/>
      </c>
      <c r="AG327" t="str">
        <f>IF($A327="","",IF(ALLOC!$N$1="VOL_EFF",$Q327,IF(ALLOC!$N$1="VOL_CLASS",$R327,$S327)))</f>
        <v/>
      </c>
      <c r="AH327" t="str">
        <f>IF($A327="","",IF(ALLOC!$N$1="VOL_EFF",$T327,IF(ALLOC!$N$1="VOL_CLASS",$U327,$V327)))</f>
        <v/>
      </c>
      <c r="AI327" t="str">
        <f>IF($A327="","",$W327*IFERROR($K327/$O327,0))</f>
        <v/>
      </c>
      <c r="AJ327" t="str">
        <f>IF($A327="","",$X327*IFERROR($K327/$O327,0))</f>
        <v/>
      </c>
      <c r="AK327" t="str">
        <f>IF($A327="","",$Y327*IFERROR($G327/$L327,0)+$Z327*IFERROR($J327/$P327,0))</f>
        <v/>
      </c>
      <c r="AL327" t="str">
        <f>IF($A327="","",$AA327*IFERROR($AC327/$AD327,0))</f>
        <v/>
      </c>
      <c r="AM327" t="str">
        <f>IF($A327="","",$AB327*IFERROR($AG327/$AH327,0)*IFERROR($AE327/$AF327,0)*IFERROR($AC327/$AD327,0))</f>
        <v/>
      </c>
      <c r="AN327" t="str">
        <f>IF($A327="","",$I327-($AI327+$AJ327+$AK327+$AL327+$AM327+$AR327))</f>
        <v/>
      </c>
      <c r="AO327" t="str">
        <f>IF($A327="","",Allocation2!AE327)</f>
        <v/>
      </c>
      <c r="AP327" t="str">
        <f>IF($A327="","",IF(ALLOC!$N$2="VOL_EFF",$Q327,IF(ALLOC!$N$2="VOL_CLASS",$R327,$S327)))</f>
        <v/>
      </c>
      <c r="AQ327" t="str">
        <f>IF($A327="","",IF(ALLOC!$N$2="VOL_EFF",$T327,IF(ALLOC!$N$2="VOL_CLASS",$U327,$V327)))</f>
        <v/>
      </c>
      <c r="AR327" t="str">
        <f>IF($A327="","",$AO327*IFERROR($AP327/$AQ327,0)*IFERROR($AE327/$AF327,0)*IFERROR($AC327/$AD327,0))</f>
        <v/>
      </c>
    </row>
    <row r="328" spans="1:46" x14ac:dyDescent="0.45">
      <c r="A328" t="str">
        <f>IF(Allocation2!D328="","",Allocation2!D328)</f>
        <v/>
      </c>
      <c r="B328" t="str">
        <f>IF(Allocation2!E328="","",Allocation2!E328)</f>
        <v/>
      </c>
      <c r="C328" t="str">
        <f>IF(Allocation2!F328="","",Allocation2!F328)</f>
        <v/>
      </c>
      <c r="D328" t="str">
        <f>IF(Allocation2!G328="","",Allocation2!G328)</f>
        <v/>
      </c>
      <c r="E328" t="str">
        <f>IF(Allocation2!H328="","",Allocation2!H328)</f>
        <v/>
      </c>
      <c r="F328" t="str">
        <f>IF(Allocation2!I328="","",Allocation2!I328)</f>
        <v/>
      </c>
      <c r="G328" t="str">
        <f>IF(Allocation2!E328="","",Allocation2!J328)</f>
        <v/>
      </c>
      <c r="H328" t="str">
        <f>IF(Allocation2!E328="","",Allocation2!K328)</f>
        <v/>
      </c>
      <c r="I328" t="str">
        <f>IF(Allocation2!E328="","",Allocation2!L328)</f>
        <v/>
      </c>
      <c r="J328" t="str">
        <f>IF($A328="","",Allocation2!X328)</f>
        <v/>
      </c>
      <c r="K328" t="str">
        <f>IF($A328="","",$H328*IF(AND(LEFT($D328,3)="BAC",$F328="INIT"),600,IF(LEFT($D328,3)="BAC",480,IF(AND(LEFT($D328,3)="MAS",$F328="INIT"),520,IF(LEFT($D328,3)="MAS",420,IF($F328="INIT",1000,700))))))</f>
        <v/>
      </c>
      <c r="L328" t="str">
        <f>IF($A328="","",SUMIFS($G$1:$G$349,$A$1:$A$349,$A328,$B$1:$B$349,$B328))</f>
        <v/>
      </c>
      <c r="M328" t="str">
        <f>IF($A328="","",SUMIFS($H$1:$H$349,$A$1:$A$349,$A328,$B$1:$B$349,$B328))</f>
        <v/>
      </c>
      <c r="N328" t="str">
        <f>IF($A328="","",SUMIFS($I$1:$I$349,$A$1:$A$349,$A328,$B$1:$B$349,$B328))</f>
        <v/>
      </c>
      <c r="O328" t="str">
        <f>IF($A328="","",SUMIFS($K$1:$K$349,$A$1:$A$349,$A328,$B$1:$B$349,$B328))</f>
        <v/>
      </c>
      <c r="P328" t="str">
        <f>IF($A328="","",SUMIFS($J$1:$J$349,$A$1:$A$349,$A328,$B$1:$B$349,$B328))</f>
        <v/>
      </c>
      <c r="Q328" t="str">
        <f>IF($A328="","",SUMIFS($G$1:$G$349,$A$1:$A$349,$A328,$C$1:$C$349,$C328))</f>
        <v/>
      </c>
      <c r="R328" t="str">
        <f>IF($A328="","",SUMIFS($H$1:$H$349,$A$1:$A$349,$A328,$C$1:$C$349,$C328))</f>
        <v/>
      </c>
      <c r="S328" t="str">
        <f>IF($A328="","",SUMIFS($I$1:$I$349,$A$1:$A$349,$A328,$C$1:$C$349,$C328))</f>
        <v/>
      </c>
      <c r="T328" t="str">
        <f>IF($A328="","",SUMIFS($G$1:$G$349,$A$1:$A$349,$A328))</f>
        <v/>
      </c>
      <c r="U328" t="str">
        <f>IF($A328="","",SUMIFS($H$1:$H$349,$A$1:$A$349,$A328))</f>
        <v/>
      </c>
      <c r="V328" t="str">
        <f>IF($A328="","",SUMIFS($I$1:$I$349,$A$1:$A$349,$A328))</f>
        <v/>
      </c>
      <c r="W328" t="str">
        <f>IF($A328="","",Allocation2!Y328)</f>
        <v/>
      </c>
      <c r="X328" t="str">
        <f>IF($A328="","",Allocation2!Z328)</f>
        <v/>
      </c>
      <c r="Y328" t="str">
        <f>IF($A328="","",Allocation2!AA328)</f>
        <v/>
      </c>
      <c r="Z328" t="str">
        <f>IF($A328="","",Allocation2!AB328)</f>
        <v/>
      </c>
      <c r="AA328" t="str">
        <f>IF($A328="","",Allocation2!AC328)</f>
        <v/>
      </c>
      <c r="AB328" t="str">
        <f>IF($A328="","",Allocation2!AD328)</f>
        <v/>
      </c>
      <c r="AC328" t="str">
        <f>IF($A328="","",IF(ALLOC!$N$4="VOL_EFF",$G328,IF(ALLOC!$N$4="VOL_CLASS",$H328,$I328)))</f>
        <v/>
      </c>
      <c r="AD328" t="str">
        <f>IF($A328="","",IF(ALLOC!$N$4="VOL_EFF",$L328,IF(ALLOC!$N$4="VOL_CLASS",$M328,$N328)))</f>
        <v/>
      </c>
      <c r="AE328" t="str">
        <f>IF($A328="","",IF(ALLOC!$N$3="VOL_EFF",$L328,IF(ALLOC!$N$3="VOL_CLASS",$M328,$N328)))</f>
        <v/>
      </c>
      <c r="AF328" t="str">
        <f>IF($A328="","",IF(ALLOC!$N$3="VOL_EFF",$Q328,IF(ALLOC!$N$3="VOL_CLASS",$R328,$S328)))</f>
        <v/>
      </c>
      <c r="AG328" t="str">
        <f>IF($A328="","",IF(ALLOC!$N$1="VOL_EFF",$Q328,IF(ALLOC!$N$1="VOL_CLASS",$R328,$S328)))</f>
        <v/>
      </c>
      <c r="AH328" t="str">
        <f>IF($A328="","",IF(ALLOC!$N$1="VOL_EFF",$T328,IF(ALLOC!$N$1="VOL_CLASS",$U328,$V328)))</f>
        <v/>
      </c>
      <c r="AI328" t="str">
        <f>IF($A328="","",$W328*IFERROR($K328/$O328,0))</f>
        <v/>
      </c>
      <c r="AJ328" t="str">
        <f>IF($A328="","",$X328*IFERROR($K328/$O328,0))</f>
        <v/>
      </c>
      <c r="AK328" t="str">
        <f>IF($A328="","",$Y328*IFERROR($G328/$L328,0)+$Z328*IFERROR($J328/$P328,0))</f>
        <v/>
      </c>
      <c r="AL328" t="str">
        <f>IF($A328="","",$AA328*IFERROR($AC328/$AD328,0))</f>
        <v/>
      </c>
      <c r="AM328" t="str">
        <f>IF($A328="","",$AB328*IFERROR($AG328/$AH328,0)*IFERROR($AE328/$AF328,0)*IFERROR($AC328/$AD328,0))</f>
        <v/>
      </c>
      <c r="AN328" t="str">
        <f>IF($A328="","",$I328-($AI328+$AJ328+$AK328+$AL328+$AM328+$AR328))</f>
        <v/>
      </c>
      <c r="AO328" t="str">
        <f>IF($A328="","",Allocation2!AE328)</f>
        <v/>
      </c>
      <c r="AP328" t="str">
        <f>IF($A328="","",IF(ALLOC!$N$2="VOL_EFF",$Q328,IF(ALLOC!$N$2="VOL_CLASS",$R328,$S328)))</f>
        <v/>
      </c>
      <c r="AQ328" t="str">
        <f>IF($A328="","",IF(ALLOC!$N$2="VOL_EFF",$T328,IF(ALLOC!$N$2="VOL_CLASS",$U328,$V328)))</f>
        <v/>
      </c>
      <c r="AR328" t="str">
        <f>IF($A328="","",$AO328*IFERROR($AP328/$AQ328,0)*IFERROR($AE328/$AF328,0)*IFERROR($AC328/$AD328,0))</f>
        <v/>
      </c>
    </row>
    <row r="329" spans="1:46" x14ac:dyDescent="0.45">
      <c r="A329" t="str">
        <f>IF(Allocation2!D329="","",Allocation2!D329)</f>
        <v/>
      </c>
      <c r="B329" t="str">
        <f>IF(Allocation2!E329="","",Allocation2!E329)</f>
        <v/>
      </c>
      <c r="C329" t="str">
        <f>IF(Allocation2!F329="","",Allocation2!F329)</f>
        <v/>
      </c>
      <c r="D329" t="str">
        <f>IF(Allocation2!G329="","",Allocation2!G329)</f>
        <v/>
      </c>
      <c r="E329" t="str">
        <f>IF(Allocation2!H329="","",Allocation2!H329)</f>
        <v/>
      </c>
      <c r="F329" t="str">
        <f>IF(Allocation2!I329="","",Allocation2!I329)</f>
        <v/>
      </c>
      <c r="G329" t="str">
        <f>IF(Allocation2!E329="","",Allocation2!J329)</f>
        <v/>
      </c>
      <c r="H329" t="str">
        <f>IF(Allocation2!E329="","",Allocation2!K329)</f>
        <v/>
      </c>
      <c r="I329" t="str">
        <f>IF(Allocation2!E329="","",Allocation2!L329)</f>
        <v/>
      </c>
      <c r="J329" t="str">
        <f>IF($A329="","",Allocation2!X329)</f>
        <v/>
      </c>
      <c r="K329" t="str">
        <f>IF($A329="","",$H329*IF(AND(LEFT($D329,3)="BAC",$F329="INIT"),600,IF(LEFT($D329,3)="BAC",480,IF(AND(LEFT($D329,3)="MAS",$F329="INIT"),520,IF(LEFT($D329,3)="MAS",420,IF($F329="INIT",1000,700))))))</f>
        <v/>
      </c>
      <c r="L329" t="str">
        <f>IF($A329="","",SUMIFS($G$1:$G$349,$A$1:$A$349,$A329,$B$1:$B$349,$B329))</f>
        <v/>
      </c>
      <c r="M329" t="str">
        <f>IF($A329="","",SUMIFS($H$1:$H$349,$A$1:$A$349,$A329,$B$1:$B$349,$B329))</f>
        <v/>
      </c>
      <c r="N329" t="str">
        <f>IF($A329="","",SUMIFS($I$1:$I$349,$A$1:$A$349,$A329,$B$1:$B$349,$B329))</f>
        <v/>
      </c>
      <c r="O329" t="str">
        <f>IF($A329="","",SUMIFS($K$1:$K$349,$A$1:$A$349,$A329,$B$1:$B$349,$B329))</f>
        <v/>
      </c>
      <c r="P329" t="str">
        <f>IF($A329="","",SUMIFS($J$1:$J$349,$A$1:$A$349,$A329,$B$1:$B$349,$B329))</f>
        <v/>
      </c>
      <c r="Q329" t="str">
        <f>IF($A329="","",SUMIFS($G$1:$G$349,$A$1:$A$349,$A329,$C$1:$C$349,$C329))</f>
        <v/>
      </c>
      <c r="R329" t="str">
        <f>IF($A329="","",SUMIFS($H$1:$H$349,$A$1:$A$349,$A329,$C$1:$C$349,$C329))</f>
        <v/>
      </c>
      <c r="S329" t="str">
        <f>IF($A329="","",SUMIFS($I$1:$I$349,$A$1:$A$349,$A329,$C$1:$C$349,$C329))</f>
        <v/>
      </c>
      <c r="T329" t="str">
        <f>IF($A329="","",SUMIFS($G$1:$G$349,$A$1:$A$349,$A329))</f>
        <v/>
      </c>
      <c r="U329" t="str">
        <f>IF($A329="","",SUMIFS($H$1:$H$349,$A$1:$A$349,$A329))</f>
        <v/>
      </c>
      <c r="V329" t="str">
        <f>IF($A329="","",SUMIFS($I$1:$I$349,$A$1:$A$349,$A329))</f>
        <v/>
      </c>
      <c r="W329" t="str">
        <f>IF($A329="","",Allocation2!Y329)</f>
        <v/>
      </c>
      <c r="X329" t="str">
        <f>IF($A329="","",Allocation2!Z329)</f>
        <v/>
      </c>
      <c r="Y329" t="str">
        <f>IF($A329="","",Allocation2!AA329)</f>
        <v/>
      </c>
      <c r="Z329" t="str">
        <f>IF($A329="","",Allocation2!AB329)</f>
        <v/>
      </c>
      <c r="AA329" t="str">
        <f>IF($A329="","",Allocation2!AC329)</f>
        <v/>
      </c>
      <c r="AB329" t="str">
        <f>IF($A329="","",Allocation2!AD329)</f>
        <v/>
      </c>
      <c r="AC329" t="str">
        <f>IF($A329="","",IF(ALLOC!$N$4="VOL_EFF",$G329,IF(ALLOC!$N$4="VOL_CLASS",$H329,$I329)))</f>
        <v/>
      </c>
      <c r="AD329" t="str">
        <f>IF($A329="","",IF(ALLOC!$N$4="VOL_EFF",$L329,IF(ALLOC!$N$4="VOL_CLASS",$M329,$N329)))</f>
        <v/>
      </c>
      <c r="AE329" t="str">
        <f>IF($A329="","",IF(ALLOC!$N$3="VOL_EFF",$L329,IF(ALLOC!$N$3="VOL_CLASS",$M329,$N329)))</f>
        <v/>
      </c>
      <c r="AF329" t="str">
        <f>IF($A329="","",IF(ALLOC!$N$3="VOL_EFF",$Q329,IF(ALLOC!$N$3="VOL_CLASS",$R329,$S329)))</f>
        <v/>
      </c>
      <c r="AG329" t="str">
        <f>IF($A329="","",IF(ALLOC!$N$1="VOL_EFF",$Q329,IF(ALLOC!$N$1="VOL_CLASS",$R329,$S329)))</f>
        <v/>
      </c>
      <c r="AH329" t="str">
        <f>IF($A329="","",IF(ALLOC!$N$1="VOL_EFF",$T329,IF(ALLOC!$N$1="VOL_CLASS",$U329,$V329)))</f>
        <v/>
      </c>
      <c r="AI329" t="str">
        <f>IF($A329="","",$W329*IFERROR($K329/$O329,0))</f>
        <v/>
      </c>
      <c r="AJ329" t="str">
        <f>IF($A329="","",$X329*IFERROR($K329/$O329,0))</f>
        <v/>
      </c>
      <c r="AK329" t="str">
        <f>IF($A329="","",$Y329*IFERROR($G329/$L329,0)+$Z329*IFERROR($J329/$P329,0))</f>
        <v/>
      </c>
      <c r="AL329" t="str">
        <f>IF($A329="","",$AA329*IFERROR($AC329/$AD329,0))</f>
        <v/>
      </c>
      <c r="AM329" t="str">
        <f>IF($A329="","",$AB329*IFERROR($AG329/$AH329,0)*IFERROR($AE329/$AF329,0)*IFERROR($AC329/$AD329,0))</f>
        <v/>
      </c>
      <c r="AN329" t="str">
        <f>IF($A329="","",$I329-($AI329+$AJ329+$AK329+$AL329+$AM329+$AR329))</f>
        <v/>
      </c>
      <c r="AO329" t="str">
        <f>IF($A329="","",Allocation2!AE329)</f>
        <v/>
      </c>
      <c r="AP329" t="str">
        <f>IF($A329="","",IF(ALLOC!$N$2="VOL_EFF",$Q329,IF(ALLOC!$N$2="VOL_CLASS",$R329,$S329)))</f>
        <v/>
      </c>
      <c r="AQ329" t="str">
        <f>IF($A329="","",IF(ALLOC!$N$2="VOL_EFF",$T329,IF(ALLOC!$N$2="VOL_CLASS",$U329,$V329)))</f>
        <v/>
      </c>
      <c r="AR329" t="str">
        <f>IF($A329="","",$AO329*IFERROR($AP329/$AQ329,0)*IFERROR($AE329/$AF329,0)*IFERROR($AC329/$AD329,0))</f>
        <v/>
      </c>
    </row>
    <row r="330" spans="1:46" x14ac:dyDescent="0.45">
      <c r="A330" t="str">
        <f>IF(Allocation2!D330="","",Allocation2!D330)</f>
        <v/>
      </c>
      <c r="B330" t="str">
        <f>IF(Allocation2!E330="","",Allocation2!E330)</f>
        <v/>
      </c>
      <c r="C330" t="str">
        <f>IF(Allocation2!F330="","",Allocation2!F330)</f>
        <v/>
      </c>
      <c r="D330" t="str">
        <f>IF(Allocation2!G330="","",Allocation2!G330)</f>
        <v/>
      </c>
      <c r="E330" t="str">
        <f>IF(Allocation2!H330="","",Allocation2!H330)</f>
        <v/>
      </c>
      <c r="F330" t="str">
        <f>IF(Allocation2!I330="","",Allocation2!I330)</f>
        <v/>
      </c>
      <c r="G330" t="str">
        <f>IF(Allocation2!E330="","",Allocation2!J330)</f>
        <v/>
      </c>
      <c r="H330" t="str">
        <f>IF(Allocation2!E330="","",Allocation2!K330)</f>
        <v/>
      </c>
      <c r="I330" t="str">
        <f>IF(Allocation2!E330="","",Allocation2!L330)</f>
        <v/>
      </c>
      <c r="J330" t="str">
        <f>IF($A330="","",Allocation2!X330)</f>
        <v/>
      </c>
      <c r="K330" t="str">
        <f>IF($A330="","",$H330*IF(AND(LEFT($D330,3)="BAC",$F330="INIT"),600,IF(LEFT($D330,3)="BAC",480,IF(AND(LEFT($D330,3)="MAS",$F330="INIT"),520,IF(LEFT($D330,3)="MAS",420,IF($F330="INIT",1000,700))))))</f>
        <v/>
      </c>
      <c r="L330" t="str">
        <f>IF($A330="","",SUMIFS($G$1:$G$349,$A$1:$A$349,$A330,$B$1:$B$349,$B330))</f>
        <v/>
      </c>
      <c r="M330" t="str">
        <f>IF($A330="","",SUMIFS($H$1:$H$349,$A$1:$A$349,$A330,$B$1:$B$349,$B330))</f>
        <v/>
      </c>
      <c r="N330" t="str">
        <f>IF($A330="","",SUMIFS($I$1:$I$349,$A$1:$A$349,$A330,$B$1:$B$349,$B330))</f>
        <v/>
      </c>
      <c r="O330" t="str">
        <f>IF($A330="","",SUMIFS($K$1:$K$349,$A$1:$A$349,$A330,$B$1:$B$349,$B330))</f>
        <v/>
      </c>
      <c r="P330" t="str">
        <f>IF($A330="","",SUMIFS($J$1:$J$349,$A$1:$A$349,$A330,$B$1:$B$349,$B330))</f>
        <v/>
      </c>
      <c r="Q330" t="str">
        <f>IF($A330="","",SUMIFS($G$1:$G$349,$A$1:$A$349,$A330,$C$1:$C$349,$C330))</f>
        <v/>
      </c>
      <c r="R330" t="str">
        <f>IF($A330="","",SUMIFS($H$1:$H$349,$A$1:$A$349,$A330,$C$1:$C$349,$C330))</f>
        <v/>
      </c>
      <c r="S330" t="str">
        <f>IF($A330="","",SUMIFS($I$1:$I$349,$A$1:$A$349,$A330,$C$1:$C$349,$C330))</f>
        <v/>
      </c>
      <c r="T330" t="str">
        <f>IF($A330="","",SUMIFS($G$1:$G$349,$A$1:$A$349,$A330))</f>
        <v/>
      </c>
      <c r="U330" t="str">
        <f>IF($A330="","",SUMIFS($H$1:$H$349,$A$1:$A$349,$A330))</f>
        <v/>
      </c>
      <c r="V330" t="str">
        <f>IF($A330="","",SUMIFS($I$1:$I$349,$A$1:$A$349,$A330))</f>
        <v/>
      </c>
      <c r="W330" t="str">
        <f>IF($A330="","",Allocation2!Y330)</f>
        <v/>
      </c>
      <c r="X330" t="str">
        <f>IF($A330="","",Allocation2!Z330)</f>
        <v/>
      </c>
      <c r="Y330" t="str">
        <f>IF($A330="","",Allocation2!AA330)</f>
        <v/>
      </c>
      <c r="Z330" t="str">
        <f>IF($A330="","",Allocation2!AB330)</f>
        <v/>
      </c>
      <c r="AA330" t="str">
        <f>IF($A330="","",Allocation2!AC330)</f>
        <v/>
      </c>
      <c r="AB330" t="str">
        <f>IF($A330="","",Allocation2!AD330)</f>
        <v/>
      </c>
      <c r="AC330" t="str">
        <f>IF($A330="","",IF(ALLOC!$N$4="VOL_EFF",$G330,IF(ALLOC!$N$4="VOL_CLASS",$H330,$I330)))</f>
        <v/>
      </c>
      <c r="AD330" t="str">
        <f>IF($A330="","",IF(ALLOC!$N$4="VOL_EFF",$L330,IF(ALLOC!$N$4="VOL_CLASS",$M330,$N330)))</f>
        <v/>
      </c>
      <c r="AE330" t="str">
        <f>IF($A330="","",IF(ALLOC!$N$3="VOL_EFF",$L330,IF(ALLOC!$N$3="VOL_CLASS",$M330,$N330)))</f>
        <v/>
      </c>
      <c r="AF330" t="str">
        <f>IF($A330="","",IF(ALLOC!$N$3="VOL_EFF",$Q330,IF(ALLOC!$N$3="VOL_CLASS",$R330,$S330)))</f>
        <v/>
      </c>
      <c r="AG330" t="str">
        <f>IF($A330="","",IF(ALLOC!$N$1="VOL_EFF",$Q330,IF(ALLOC!$N$1="VOL_CLASS",$R330,$S330)))</f>
        <v/>
      </c>
      <c r="AH330" t="str">
        <f>IF($A330="","",IF(ALLOC!$N$1="VOL_EFF",$T330,IF(ALLOC!$N$1="VOL_CLASS",$U330,$V330)))</f>
        <v/>
      </c>
      <c r="AI330" t="str">
        <f>IF($A330="","",$W330*IFERROR($K330/$O330,0))</f>
        <v/>
      </c>
      <c r="AJ330" t="str">
        <f>IF($A330="","",$X330*IFERROR($K330/$O330,0))</f>
        <v/>
      </c>
      <c r="AK330" t="str">
        <f>IF($A330="","",$Y330*IFERROR($G330/$L330,0)+$Z330*IFERROR($J330/$P330,0))</f>
        <v/>
      </c>
      <c r="AL330" t="str">
        <f>IF($A330="","",$AA330*IFERROR($AC330/$AD330,0))</f>
        <v/>
      </c>
      <c r="AM330" t="str">
        <f>IF($A330="","",$AB330*IFERROR($AG330/$AH330,0)*IFERROR($AE330/$AF330,0)*IFERROR($AC330/$AD330,0))</f>
        <v/>
      </c>
      <c r="AN330" t="str">
        <f>IF($A330="","",$I330-($AI330+$AJ330+$AK330+$AL330+$AM330+$AR330))</f>
        <v/>
      </c>
      <c r="AO330" t="str">
        <f>IF($A330="","",Allocation2!AE330)</f>
        <v/>
      </c>
      <c r="AP330" t="str">
        <f>IF($A330="","",IF(ALLOC!$N$2="VOL_EFF",$Q330,IF(ALLOC!$N$2="VOL_CLASS",$R330,$S330)))</f>
        <v/>
      </c>
      <c r="AQ330" t="str">
        <f>IF($A330="","",IF(ALLOC!$N$2="VOL_EFF",$T330,IF(ALLOC!$N$2="VOL_CLASS",$U330,$V330)))</f>
        <v/>
      </c>
      <c r="AR330" t="str">
        <f>IF($A330="","",$AO330*IFERROR($AP330/$AQ330,0)*IFERROR($AE330/$AF330,0)*IFERROR($AC330/$AD330,0))</f>
        <v/>
      </c>
    </row>
    <row r="331" spans="1:46" x14ac:dyDescent="0.45">
      <c r="A331" t="str">
        <f>IF(Allocation2!D331="","",Allocation2!D331)</f>
        <v/>
      </c>
      <c r="B331" t="str">
        <f>IF(Allocation2!E331="","",Allocation2!E331)</f>
        <v/>
      </c>
      <c r="C331" t="str">
        <f>IF(Allocation2!F331="","",Allocation2!F331)</f>
        <v/>
      </c>
      <c r="D331" t="str">
        <f>IF(Allocation2!G331="","",Allocation2!G331)</f>
        <v/>
      </c>
      <c r="E331" t="str">
        <f>IF(Allocation2!H331="","",Allocation2!H331)</f>
        <v/>
      </c>
      <c r="F331" t="str">
        <f>IF(Allocation2!I331="","",Allocation2!I331)</f>
        <v/>
      </c>
      <c r="G331" t="str">
        <f>IF(Allocation2!E331="","",Allocation2!J331)</f>
        <v/>
      </c>
      <c r="H331" t="str">
        <f>IF(Allocation2!E331="","",Allocation2!K331)</f>
        <v/>
      </c>
      <c r="I331" t="str">
        <f>IF(Allocation2!E331="","",Allocation2!L331)</f>
        <v/>
      </c>
      <c r="J331" t="str">
        <f>IF($A331="","",Allocation2!X331)</f>
        <v/>
      </c>
      <c r="K331" t="str">
        <f>IF($A331="","",$H331*IF(AND(LEFT($D331,3)="BAC",$F331="INIT"),600,IF(LEFT($D331,3)="BAC",480,IF(AND(LEFT($D331,3)="MAS",$F331="INIT"),520,IF(LEFT($D331,3)="MAS",420,IF($F331="INIT",1000,700))))))</f>
        <v/>
      </c>
      <c r="L331" t="str">
        <f>IF($A331="","",SUMIFS($G$1:$G$349,$A$1:$A$349,$A331,$B$1:$B$349,$B331))</f>
        <v/>
      </c>
      <c r="M331" t="str">
        <f>IF($A331="","",SUMIFS($H$1:$H$349,$A$1:$A$349,$A331,$B$1:$B$349,$B331))</f>
        <v/>
      </c>
      <c r="N331" t="str">
        <f>IF($A331="","",SUMIFS($I$1:$I$349,$A$1:$A$349,$A331,$B$1:$B$349,$B331))</f>
        <v/>
      </c>
      <c r="O331" t="str">
        <f>IF($A331="","",SUMIFS($K$1:$K$349,$A$1:$A$349,$A331,$B$1:$B$349,$B331))</f>
        <v/>
      </c>
      <c r="P331" t="str">
        <f>IF($A331="","",SUMIFS($J$1:$J$349,$A$1:$A$349,$A331,$B$1:$B$349,$B331))</f>
        <v/>
      </c>
      <c r="Q331" t="str">
        <f>IF($A331="","",SUMIFS($G$1:$G$349,$A$1:$A$349,$A331,$C$1:$C$349,$C331))</f>
        <v/>
      </c>
      <c r="R331" t="str">
        <f>IF($A331="","",SUMIFS($H$1:$H$349,$A$1:$A$349,$A331,$C$1:$C$349,$C331))</f>
        <v/>
      </c>
      <c r="S331" t="str">
        <f>IF($A331="","",SUMIFS($I$1:$I$349,$A$1:$A$349,$A331,$C$1:$C$349,$C331))</f>
        <v/>
      </c>
      <c r="T331" t="str">
        <f>IF($A331="","",SUMIFS($G$1:$G$349,$A$1:$A$349,$A331))</f>
        <v/>
      </c>
      <c r="U331" t="str">
        <f>IF($A331="","",SUMIFS($H$1:$H$349,$A$1:$A$349,$A331))</f>
        <v/>
      </c>
      <c r="V331" t="str">
        <f>IF($A331="","",SUMIFS($I$1:$I$349,$A$1:$A$349,$A331))</f>
        <v/>
      </c>
      <c r="W331" t="str">
        <f>IF($A331="","",Allocation2!Y331)</f>
        <v/>
      </c>
      <c r="X331" t="str">
        <f>IF($A331="","",Allocation2!Z331)</f>
        <v/>
      </c>
      <c r="Y331" t="str">
        <f>IF($A331="","",Allocation2!AA331)</f>
        <v/>
      </c>
      <c r="Z331" t="str">
        <f>IF($A331="","",Allocation2!AB331)</f>
        <v/>
      </c>
      <c r="AA331" t="str">
        <f>IF($A331="","",Allocation2!AC331)</f>
        <v/>
      </c>
      <c r="AB331" t="str">
        <f>IF($A331="","",Allocation2!AD331)</f>
        <v/>
      </c>
      <c r="AC331" t="str">
        <f>IF($A331="","",IF(ALLOC!$N$4="VOL_EFF",$G331,IF(ALLOC!$N$4="VOL_CLASS",$H331,$I331)))</f>
        <v/>
      </c>
      <c r="AD331" t="str">
        <f>IF($A331="","",IF(ALLOC!$N$4="VOL_EFF",$L331,IF(ALLOC!$N$4="VOL_CLASS",$M331,$N331)))</f>
        <v/>
      </c>
      <c r="AE331" t="str">
        <f>IF($A331="","",IF(ALLOC!$N$3="VOL_EFF",$L331,IF(ALLOC!$N$3="VOL_CLASS",$M331,$N331)))</f>
        <v/>
      </c>
      <c r="AF331" t="str">
        <f>IF($A331="","",IF(ALLOC!$N$3="VOL_EFF",$Q331,IF(ALLOC!$N$3="VOL_CLASS",$R331,$S331)))</f>
        <v/>
      </c>
      <c r="AG331" t="str">
        <f>IF($A331="","",IF(ALLOC!$N$1="VOL_EFF",$Q331,IF(ALLOC!$N$1="VOL_CLASS",$R331,$S331)))</f>
        <v/>
      </c>
      <c r="AH331" t="str">
        <f>IF($A331="","",IF(ALLOC!$N$1="VOL_EFF",$T331,IF(ALLOC!$N$1="VOL_CLASS",$U331,$V331)))</f>
        <v/>
      </c>
      <c r="AI331" t="str">
        <f>IF($A331="","",$W331*IFERROR($K331/$O331,0))</f>
        <v/>
      </c>
      <c r="AJ331" t="str">
        <f>IF($A331="","",$X331*IFERROR($K331/$O331,0))</f>
        <v/>
      </c>
      <c r="AK331" t="str">
        <f>IF($A331="","",$Y331*IFERROR($G331/$L331,0)+$Z331*IFERROR($J331/$P331,0))</f>
        <v/>
      </c>
      <c r="AL331" t="str">
        <f>IF($A331="","",$AA331*IFERROR($AC331/$AD331,0))</f>
        <v/>
      </c>
      <c r="AM331" t="str">
        <f>IF($A331="","",$AB331*IFERROR($AG331/$AH331,0)*IFERROR($AE331/$AF331,0)*IFERROR($AC331/$AD331,0))</f>
        <v/>
      </c>
      <c r="AN331" t="str">
        <f>IF($A331="","",$I331-($AI331+$AJ331+$AK331+$AL331+$AM331+$AR331))</f>
        <v/>
      </c>
      <c r="AO331" t="str">
        <f>IF($A331="","",Allocation2!AE331)</f>
        <v/>
      </c>
      <c r="AP331" t="str">
        <f>IF($A331="","",IF(ALLOC!$N$2="VOL_EFF",$Q331,IF(ALLOC!$N$2="VOL_CLASS",$R331,$S331)))</f>
        <v/>
      </c>
      <c r="AQ331" t="str">
        <f>IF($A331="","",IF(ALLOC!$N$2="VOL_EFF",$T331,IF(ALLOC!$N$2="VOL_CLASS",$U331,$V331)))</f>
        <v/>
      </c>
      <c r="AR331" t="str">
        <f>IF($A331="","",$AO331*IFERROR($AP331/$AQ331,0)*IFERROR($AE331/$AF331,0)*IFERROR($AC331/$AD331,0))</f>
        <v/>
      </c>
    </row>
    <row r="332" spans="1:46" x14ac:dyDescent="0.45">
      <c r="A332" t="str">
        <f>IF(Allocation2!D332="","",Allocation2!D332)</f>
        <v/>
      </c>
      <c r="B332" t="str">
        <f>IF(Allocation2!E332="","",Allocation2!E332)</f>
        <v/>
      </c>
      <c r="C332" t="str">
        <f>IF(Allocation2!F332="","",Allocation2!F332)</f>
        <v/>
      </c>
      <c r="D332" t="str">
        <f>IF(Allocation2!G332="","",Allocation2!G332)</f>
        <v/>
      </c>
      <c r="E332" t="str">
        <f>IF(Allocation2!H332="","",Allocation2!H332)</f>
        <v/>
      </c>
      <c r="F332" t="str">
        <f>IF(Allocation2!I332="","",Allocation2!I332)</f>
        <v/>
      </c>
      <c r="G332" t="str">
        <f>IF(Allocation2!E332="","",Allocation2!J332)</f>
        <v/>
      </c>
      <c r="H332" t="str">
        <f>IF(Allocation2!E332="","",Allocation2!K332)</f>
        <v/>
      </c>
      <c r="I332" t="str">
        <f>IF(Allocation2!E332="","",Allocation2!L332)</f>
        <v/>
      </c>
      <c r="J332" t="str">
        <f>IF($A332="","",Allocation2!X332)</f>
        <v/>
      </c>
      <c r="K332" t="str">
        <f>IF($A332="","",$H332*IF(AND(LEFT($D332,3)="BAC",$F332="INIT"),600,IF(LEFT($D332,3)="BAC",480,IF(AND(LEFT($D332,3)="MAS",$F332="INIT"),520,IF(LEFT($D332,3)="MAS",420,IF($F332="INIT",1000,700))))))</f>
        <v/>
      </c>
      <c r="L332" t="str">
        <f>IF($A332="","",SUMIFS($G$1:$G$349,$A$1:$A$349,$A332,$B$1:$B$349,$B332))</f>
        <v/>
      </c>
      <c r="M332" t="str">
        <f>IF($A332="","",SUMIFS($H$1:$H$349,$A$1:$A$349,$A332,$B$1:$B$349,$B332))</f>
        <v/>
      </c>
      <c r="N332" t="str">
        <f>IF($A332="","",SUMIFS($I$1:$I$349,$A$1:$A$349,$A332,$B$1:$B$349,$B332))</f>
        <v/>
      </c>
      <c r="O332" t="str">
        <f>IF($A332="","",SUMIFS($K$1:$K$349,$A$1:$A$349,$A332,$B$1:$B$349,$B332))</f>
        <v/>
      </c>
      <c r="P332" t="str">
        <f>IF($A332="","",SUMIFS($J$1:$J$349,$A$1:$A$349,$A332,$B$1:$B$349,$B332))</f>
        <v/>
      </c>
      <c r="Q332" t="str">
        <f>IF($A332="","",SUMIFS($G$1:$G$349,$A$1:$A$349,$A332,$C$1:$C$349,$C332))</f>
        <v/>
      </c>
      <c r="R332" t="str">
        <f>IF($A332="","",SUMIFS($H$1:$H$349,$A$1:$A$349,$A332,$C$1:$C$349,$C332))</f>
        <v/>
      </c>
      <c r="S332" t="str">
        <f>IF($A332="","",SUMIFS($I$1:$I$349,$A$1:$A$349,$A332,$C$1:$C$349,$C332))</f>
        <v/>
      </c>
      <c r="T332" t="str">
        <f>IF($A332="","",SUMIFS($G$1:$G$349,$A$1:$A$349,$A332))</f>
        <v/>
      </c>
      <c r="U332" t="str">
        <f>IF($A332="","",SUMIFS($H$1:$H$349,$A$1:$A$349,$A332))</f>
        <v/>
      </c>
      <c r="V332" t="str">
        <f>IF($A332="","",SUMIFS($I$1:$I$349,$A$1:$A$349,$A332))</f>
        <v/>
      </c>
      <c r="W332" t="str">
        <f>IF($A332="","",Allocation2!Y332)</f>
        <v/>
      </c>
      <c r="X332" t="str">
        <f>IF($A332="","",Allocation2!Z332)</f>
        <v/>
      </c>
      <c r="Y332" t="str">
        <f>IF($A332="","",Allocation2!AA332)</f>
        <v/>
      </c>
      <c r="Z332" t="str">
        <f>IF($A332="","",Allocation2!AB332)</f>
        <v/>
      </c>
      <c r="AA332" t="str">
        <f>IF($A332="","",Allocation2!AC332)</f>
        <v/>
      </c>
      <c r="AB332" t="str">
        <f>IF($A332="","",Allocation2!AD332)</f>
        <v/>
      </c>
      <c r="AC332" t="str">
        <f>IF($A332="","",IF(ALLOC!$N$4="VOL_EFF",$G332,IF(ALLOC!$N$4="VOL_CLASS",$H332,$I332)))</f>
        <v/>
      </c>
      <c r="AD332" t="str">
        <f>IF($A332="","",IF(ALLOC!$N$4="VOL_EFF",$L332,IF(ALLOC!$N$4="VOL_CLASS",$M332,$N332)))</f>
        <v/>
      </c>
      <c r="AE332" t="str">
        <f>IF($A332="","",IF(ALLOC!$N$3="VOL_EFF",$L332,IF(ALLOC!$N$3="VOL_CLASS",$M332,$N332)))</f>
        <v/>
      </c>
      <c r="AF332" t="str">
        <f>IF($A332="","",IF(ALLOC!$N$3="VOL_EFF",$Q332,IF(ALLOC!$N$3="VOL_CLASS",$R332,$S332)))</f>
        <v/>
      </c>
      <c r="AG332" t="str">
        <f>IF($A332="","",IF(ALLOC!$N$1="VOL_EFF",$Q332,IF(ALLOC!$N$1="VOL_CLASS",$R332,$S332)))</f>
        <v/>
      </c>
      <c r="AH332" t="str">
        <f>IF($A332="","",IF(ALLOC!$N$1="VOL_EFF",$T332,IF(ALLOC!$N$1="VOL_CLASS",$U332,$V332)))</f>
        <v/>
      </c>
      <c r="AI332" t="str">
        <f>IF($A332="","",$W332*IFERROR($K332/$O332,0))</f>
        <v/>
      </c>
      <c r="AJ332" t="str">
        <f>IF($A332="","",$X332*IFERROR($K332/$O332,0))</f>
        <v/>
      </c>
      <c r="AK332" t="str">
        <f>IF($A332="","",$Y332*IFERROR($G332/$L332,0)+$Z332*IFERROR($J332/$P332,0))</f>
        <v/>
      </c>
      <c r="AL332" t="str">
        <f>IF($A332="","",$AA332*IFERROR($AC332/$AD332,0))</f>
        <v/>
      </c>
      <c r="AM332" t="str">
        <f>IF($A332="","",$AB332*IFERROR($AG332/$AH332,0)*IFERROR($AE332/$AF332,0)*IFERROR($AC332/$AD332,0))</f>
        <v/>
      </c>
      <c r="AN332" t="str">
        <f>IF($A332="","",$I332-($AI332+$AJ332+$AK332+$AL332+$AM332+$AR332))</f>
        <v/>
      </c>
      <c r="AO332" t="str">
        <f>IF($A332="","",Allocation2!AE332)</f>
        <v/>
      </c>
      <c r="AP332" t="str">
        <f>IF($A332="","",IF(ALLOC!$N$2="VOL_EFF",$Q332,IF(ALLOC!$N$2="VOL_CLASS",$R332,$S332)))</f>
        <v/>
      </c>
      <c r="AQ332" t="str">
        <f>IF($A332="","",IF(ALLOC!$N$2="VOL_EFF",$T332,IF(ALLOC!$N$2="VOL_CLASS",$U332,$V332)))</f>
        <v/>
      </c>
      <c r="AR332" t="str">
        <f>IF($A332="","",$AO332*IFERROR($AP332/$AQ332,0)*IFERROR($AE332/$AF332,0)*IFERROR($AC332/$AD332,0))</f>
        <v/>
      </c>
    </row>
    <row r="333" spans="1:46" x14ac:dyDescent="0.45">
      <c r="A333" t="str">
        <f>IF(Allocation2!D333="","",Allocation2!D333)</f>
        <v/>
      </c>
      <c r="B333" t="str">
        <f>IF(Allocation2!E333="","",Allocation2!E333)</f>
        <v/>
      </c>
      <c r="C333" t="str">
        <f>IF(Allocation2!F333="","",Allocation2!F333)</f>
        <v/>
      </c>
      <c r="D333" t="str">
        <f>IF(Allocation2!G333="","",Allocation2!G333)</f>
        <v/>
      </c>
      <c r="E333" t="str">
        <f>IF(Allocation2!H333="","",Allocation2!H333)</f>
        <v/>
      </c>
      <c r="F333" t="str">
        <f>IF(Allocation2!I333="","",Allocation2!I333)</f>
        <v/>
      </c>
      <c r="G333" t="str">
        <f>IF(Allocation2!E333="","",Allocation2!J333)</f>
        <v/>
      </c>
      <c r="H333" t="str">
        <f>IF(Allocation2!E333="","",Allocation2!K333)</f>
        <v/>
      </c>
      <c r="I333" t="str">
        <f>IF(Allocation2!E333="","",Allocation2!L333)</f>
        <v/>
      </c>
      <c r="J333" t="str">
        <f>IF($A333="","",Allocation2!X333)</f>
        <v/>
      </c>
      <c r="K333" t="str">
        <f>IF($A333="","",$H333*IF(AND(LEFT($D333,3)="BAC",$F333="INIT"),600,IF(LEFT($D333,3)="BAC",480,IF(AND(LEFT($D333,3)="MAS",$F333="INIT"),520,IF(LEFT($D333,3)="MAS",420,IF($F333="INIT",1000,700))))))</f>
        <v/>
      </c>
      <c r="L333" t="str">
        <f>IF($A333="","",SUMIFS($G$1:$G$349,$A$1:$A$349,$A333,$B$1:$B$349,$B333))</f>
        <v/>
      </c>
      <c r="M333" t="str">
        <f>IF($A333="","",SUMIFS($H$1:$H$349,$A$1:$A$349,$A333,$B$1:$B$349,$B333))</f>
        <v/>
      </c>
      <c r="N333" t="str">
        <f>IF($A333="","",SUMIFS($I$1:$I$349,$A$1:$A$349,$A333,$B$1:$B$349,$B333))</f>
        <v/>
      </c>
      <c r="O333" t="str">
        <f>IF($A333="","",SUMIFS($K$1:$K$349,$A$1:$A$349,$A333,$B$1:$B$349,$B333))</f>
        <v/>
      </c>
      <c r="P333" t="str">
        <f>IF($A333="","",SUMIFS($J$1:$J$349,$A$1:$A$349,$A333,$B$1:$B$349,$B333))</f>
        <v/>
      </c>
      <c r="Q333" t="str">
        <f>IF($A333="","",SUMIFS($G$1:$G$349,$A$1:$A$349,$A333,$C$1:$C$349,$C333))</f>
        <v/>
      </c>
      <c r="R333" t="str">
        <f>IF($A333="","",SUMIFS($H$1:$H$349,$A$1:$A$349,$A333,$C$1:$C$349,$C333))</f>
        <v/>
      </c>
      <c r="S333" t="str">
        <f>IF($A333="","",SUMIFS($I$1:$I$349,$A$1:$A$349,$A333,$C$1:$C$349,$C333))</f>
        <v/>
      </c>
      <c r="T333" t="str">
        <f>IF($A333="","",SUMIFS($G$1:$G$349,$A$1:$A$349,$A333))</f>
        <v/>
      </c>
      <c r="U333" t="str">
        <f>IF($A333="","",SUMIFS($H$1:$H$349,$A$1:$A$349,$A333))</f>
        <v/>
      </c>
      <c r="V333" t="str">
        <f>IF($A333="","",SUMIFS($I$1:$I$349,$A$1:$A$349,$A333))</f>
        <v/>
      </c>
      <c r="W333" t="str">
        <f>IF($A333="","",Allocation2!Y333)</f>
        <v/>
      </c>
      <c r="X333" t="str">
        <f>IF($A333="","",Allocation2!Z333)</f>
        <v/>
      </c>
      <c r="Y333" t="str">
        <f>IF($A333="","",Allocation2!AA333)</f>
        <v/>
      </c>
      <c r="Z333" t="str">
        <f>IF($A333="","",Allocation2!AB333)</f>
        <v/>
      </c>
      <c r="AA333" t="str">
        <f>IF($A333="","",Allocation2!AC333)</f>
        <v/>
      </c>
      <c r="AB333" t="str">
        <f>IF($A333="","",Allocation2!AD333)</f>
        <v/>
      </c>
      <c r="AC333" t="str">
        <f>IF($A333="","",IF(ALLOC!$N$4="VOL_EFF",$G333,IF(ALLOC!$N$4="VOL_CLASS",$H333,$I333)))</f>
        <v/>
      </c>
      <c r="AD333" t="str">
        <f>IF($A333="","",IF(ALLOC!$N$4="VOL_EFF",$L333,IF(ALLOC!$N$4="VOL_CLASS",$M333,$N333)))</f>
        <v/>
      </c>
      <c r="AE333" t="str">
        <f>IF($A333="","",IF(ALLOC!$N$3="VOL_EFF",$L333,IF(ALLOC!$N$3="VOL_CLASS",$M333,$N333)))</f>
        <v/>
      </c>
      <c r="AF333" t="str">
        <f>IF($A333="","",IF(ALLOC!$N$3="VOL_EFF",$Q333,IF(ALLOC!$N$3="VOL_CLASS",$R333,$S333)))</f>
        <v/>
      </c>
      <c r="AG333" t="str">
        <f>IF($A333="","",IF(ALLOC!$N$1="VOL_EFF",$Q333,IF(ALLOC!$N$1="VOL_CLASS",$R333,$S333)))</f>
        <v/>
      </c>
      <c r="AH333" t="str">
        <f>IF($A333="","",IF(ALLOC!$N$1="VOL_EFF",$T333,IF(ALLOC!$N$1="VOL_CLASS",$U333,$V333)))</f>
        <v/>
      </c>
      <c r="AI333" t="str">
        <f>IF($A333="","",$W333*IFERROR($K333/$O333,0))</f>
        <v/>
      </c>
      <c r="AJ333" t="str">
        <f>IF($A333="","",$X333*IFERROR($K333/$O333,0))</f>
        <v/>
      </c>
      <c r="AK333" t="str">
        <f>IF($A333="","",$Y333*IFERROR($G333/$L333,0)+$Z333*IFERROR($J333/$P333,0))</f>
        <v/>
      </c>
      <c r="AL333" t="str">
        <f>IF($A333="","",$AA333*IFERROR($AC333/$AD333,0))</f>
        <v/>
      </c>
      <c r="AM333" t="str">
        <f>IF($A333="","",$AB333*IFERROR($AG333/$AH333,0)*IFERROR($AE333/$AF333,0)*IFERROR($AC333/$AD333,0))</f>
        <v/>
      </c>
      <c r="AN333" t="str">
        <f>IF($A333="","",$I333-($AI333+$AJ333+$AK333+$AL333+$AM333+$AR333))</f>
        <v/>
      </c>
      <c r="AO333" t="str">
        <f>IF($A333="","",Allocation2!AE333)</f>
        <v/>
      </c>
      <c r="AP333" t="str">
        <f>IF($A333="","",IF(ALLOC!$N$2="VOL_EFF",$Q333,IF(ALLOC!$N$2="VOL_CLASS",$R333,$S333)))</f>
        <v/>
      </c>
      <c r="AQ333" t="str">
        <f>IF($A333="","",IF(ALLOC!$N$2="VOL_EFF",$T333,IF(ALLOC!$N$2="VOL_CLASS",$U333,$V333)))</f>
        <v/>
      </c>
      <c r="AR333" t="str">
        <f>IF($A333="","",$AO333*IFERROR($AP333/$AQ333,0)*IFERROR($AE333/$AF333,0)*IFERROR($AC333/$AD333,0))</f>
        <v/>
      </c>
    </row>
    <row r="334" spans="1:46" x14ac:dyDescent="0.45">
      <c r="A334" t="str">
        <f>IF(Allocation2!D334="","",Allocation2!D334)</f>
        <v/>
      </c>
      <c r="B334" t="str">
        <f>IF(Allocation2!E334="","",Allocation2!E334)</f>
        <v/>
      </c>
      <c r="C334" t="str">
        <f>IF(Allocation2!F334="","",Allocation2!F334)</f>
        <v/>
      </c>
      <c r="D334" t="str">
        <f>IF(Allocation2!G334="","",Allocation2!G334)</f>
        <v/>
      </c>
      <c r="E334" t="str">
        <f>IF(Allocation2!H334="","",Allocation2!H334)</f>
        <v/>
      </c>
      <c r="F334" t="str">
        <f>IF(Allocation2!I334="","",Allocation2!I334)</f>
        <v/>
      </c>
      <c r="G334" t="str">
        <f>IF(Allocation2!E334="","",Allocation2!J334)</f>
        <v/>
      </c>
      <c r="H334" t="str">
        <f>IF(Allocation2!E334="","",Allocation2!K334)</f>
        <v/>
      </c>
      <c r="I334" t="str">
        <f>IF(Allocation2!E334="","",Allocation2!L334)</f>
        <v/>
      </c>
      <c r="J334" t="str">
        <f>IF($A334="","",Allocation2!X334)</f>
        <v/>
      </c>
      <c r="K334" t="str">
        <f>IF($A334="","",$H334*IF(AND(LEFT($D334,3)="BAC",$F334="INIT"),600,IF(LEFT($D334,3)="BAC",480,IF(AND(LEFT($D334,3)="MAS",$F334="INIT"),520,IF(LEFT($D334,3)="MAS",420,IF($F334="INIT",1000,700))))))</f>
        <v/>
      </c>
      <c r="L334" t="str">
        <f>IF($A334="","",SUMIFS($G$1:$G$349,$A$1:$A$349,$A334,$B$1:$B$349,$B334))</f>
        <v/>
      </c>
      <c r="M334" t="str">
        <f>IF($A334="","",SUMIFS($H$1:$H$349,$A$1:$A$349,$A334,$B$1:$B$349,$B334))</f>
        <v/>
      </c>
      <c r="N334" t="str">
        <f>IF($A334="","",SUMIFS($I$1:$I$349,$A$1:$A$349,$A334,$B$1:$B$349,$B334))</f>
        <v/>
      </c>
      <c r="O334" t="str">
        <f>IF($A334="","",SUMIFS($K$1:$K$349,$A$1:$A$349,$A334,$B$1:$B$349,$B334))</f>
        <v/>
      </c>
      <c r="P334" t="str">
        <f>IF($A334="","",SUMIFS($J$1:$J$349,$A$1:$A$349,$A334,$B$1:$B$349,$B334))</f>
        <v/>
      </c>
      <c r="Q334" t="str">
        <f>IF($A334="","",SUMIFS($G$1:$G$349,$A$1:$A$349,$A334,$C$1:$C$349,$C334))</f>
        <v/>
      </c>
      <c r="R334" t="str">
        <f>IF($A334="","",SUMIFS($H$1:$H$349,$A$1:$A$349,$A334,$C$1:$C$349,$C334))</f>
        <v/>
      </c>
      <c r="S334" t="str">
        <f>IF($A334="","",SUMIFS($I$1:$I$349,$A$1:$A$349,$A334,$C$1:$C$349,$C334))</f>
        <v/>
      </c>
      <c r="T334" t="str">
        <f>IF($A334="","",SUMIFS($G$1:$G$349,$A$1:$A$349,$A334))</f>
        <v/>
      </c>
      <c r="U334" t="str">
        <f>IF($A334="","",SUMIFS($H$1:$H$349,$A$1:$A$349,$A334))</f>
        <v/>
      </c>
      <c r="V334" t="str">
        <f>IF($A334="","",SUMIFS($I$1:$I$349,$A$1:$A$349,$A334))</f>
        <v/>
      </c>
      <c r="W334" t="str">
        <f>IF($A334="","",Allocation2!Y334)</f>
        <v/>
      </c>
      <c r="X334" t="str">
        <f>IF($A334="","",Allocation2!Z334)</f>
        <v/>
      </c>
      <c r="Y334" t="str">
        <f>IF($A334="","",Allocation2!AA334)</f>
        <v/>
      </c>
      <c r="Z334" t="str">
        <f>IF($A334="","",Allocation2!AB334)</f>
        <v/>
      </c>
      <c r="AA334" t="str">
        <f>IF($A334="","",Allocation2!AC334)</f>
        <v/>
      </c>
      <c r="AB334" t="str">
        <f>IF($A334="","",Allocation2!AD334)</f>
        <v/>
      </c>
      <c r="AC334" t="str">
        <f>IF($A334="","",IF(ALLOC!$N$4="VOL_EFF",$G334,IF(ALLOC!$N$4="VOL_CLASS",$H334,$I334)))</f>
        <v/>
      </c>
      <c r="AD334" t="str">
        <f>IF($A334="","",IF(ALLOC!$N$4="VOL_EFF",$L334,IF(ALLOC!$N$4="VOL_CLASS",$M334,$N334)))</f>
        <v/>
      </c>
      <c r="AE334" t="str">
        <f>IF($A334="","",IF(ALLOC!$N$3="VOL_EFF",$L334,IF(ALLOC!$N$3="VOL_CLASS",$M334,$N334)))</f>
        <v/>
      </c>
      <c r="AF334" t="str">
        <f>IF($A334="","",IF(ALLOC!$N$3="VOL_EFF",$Q334,IF(ALLOC!$N$3="VOL_CLASS",$R334,$S334)))</f>
        <v/>
      </c>
      <c r="AG334" t="str">
        <f>IF($A334="","",IF(ALLOC!$N$1="VOL_EFF",$Q334,IF(ALLOC!$N$1="VOL_CLASS",$R334,$S334)))</f>
        <v/>
      </c>
      <c r="AH334" t="str">
        <f>IF($A334="","",IF(ALLOC!$N$1="VOL_EFF",$T334,IF(ALLOC!$N$1="VOL_CLASS",$U334,$V334)))</f>
        <v/>
      </c>
      <c r="AI334" t="str">
        <f>IF($A334="","",$W334*IFERROR($K334/$O334,0))</f>
        <v/>
      </c>
      <c r="AJ334" t="str">
        <f>IF($A334="","",$X334*IFERROR($K334/$O334,0))</f>
        <v/>
      </c>
      <c r="AK334" t="str">
        <f>IF($A334="","",$Y334*IFERROR($G334/$L334,0)+$Z334*IFERROR($J334/$P334,0))</f>
        <v/>
      </c>
      <c r="AL334" t="str">
        <f>IF($A334="","",$AA334*IFERROR($AC334/$AD334,0))</f>
        <v/>
      </c>
      <c r="AM334" t="str">
        <f>IF($A334="","",$AB334*IFERROR($AG334/$AH334,0)*IFERROR($AE334/$AF334,0)*IFERROR($AC334/$AD334,0))</f>
        <v/>
      </c>
      <c r="AN334" t="str">
        <f>IF($A334="","",$I334-($AI334+$AJ334+$AK334+$AL334+$AM334+$AR334))</f>
        <v/>
      </c>
      <c r="AO334" t="str">
        <f>IF($A334="","",Allocation2!AE334)</f>
        <v/>
      </c>
      <c r="AP334" t="str">
        <f>IF($A334="","",IF(ALLOC!$N$2="VOL_EFF",$Q334,IF(ALLOC!$N$2="VOL_CLASS",$R334,$S334)))</f>
        <v/>
      </c>
      <c r="AQ334" t="str">
        <f>IF($A334="","",IF(ALLOC!$N$2="VOL_EFF",$T334,IF(ALLOC!$N$2="VOL_CLASS",$U334,$V334)))</f>
        <v/>
      </c>
      <c r="AR334" t="str">
        <f>IF($A334="","",$AO334*IFERROR($AP334/$AQ334,0)*IFERROR($AE334/$AF334,0)*IFERROR($AC334/$AD334,0))</f>
        <v/>
      </c>
    </row>
    <row r="335" spans="1:46" x14ac:dyDescent="0.45">
      <c r="A335" t="str">
        <f>IF(Allocation2!D335="","",Allocation2!D335)</f>
        <v/>
      </c>
      <c r="B335" t="str">
        <f>IF(Allocation2!E335="","",Allocation2!E335)</f>
        <v/>
      </c>
      <c r="C335" t="str">
        <f>IF(Allocation2!F335="","",Allocation2!F335)</f>
        <v/>
      </c>
      <c r="D335" t="str">
        <f>IF(Allocation2!G335="","",Allocation2!G335)</f>
        <v/>
      </c>
      <c r="E335" t="str">
        <f>IF(Allocation2!H335="","",Allocation2!H335)</f>
        <v/>
      </c>
      <c r="F335" t="str">
        <f>IF(Allocation2!I335="","",Allocation2!I335)</f>
        <v/>
      </c>
      <c r="G335" t="str">
        <f>IF(Allocation2!E335="","",Allocation2!J335)</f>
        <v/>
      </c>
      <c r="H335" t="str">
        <f>IF(Allocation2!E335="","",Allocation2!K335)</f>
        <v/>
      </c>
      <c r="I335" t="str">
        <f>IF(Allocation2!E335="","",Allocation2!L335)</f>
        <v/>
      </c>
      <c r="J335" t="str">
        <f>IF($A335="","",Allocation2!X335)</f>
        <v/>
      </c>
      <c r="K335" t="str">
        <f>IF($A335="","",$H335*IF(AND(LEFT($D335,3)="BAC",$F335="INIT"),600,IF(LEFT($D335,3)="BAC",480,IF(AND(LEFT($D335,3)="MAS",$F335="INIT"),520,IF(LEFT($D335,3)="MAS",420,IF($F335="INIT",1000,700))))))</f>
        <v/>
      </c>
      <c r="L335" t="str">
        <f>IF($A335="","",SUMIFS($G$1:$G$349,$A$1:$A$349,$A335,$B$1:$B$349,$B335))</f>
        <v/>
      </c>
      <c r="M335" t="str">
        <f>IF($A335="","",SUMIFS($H$1:$H$349,$A$1:$A$349,$A335,$B$1:$B$349,$B335))</f>
        <v/>
      </c>
      <c r="N335" t="str">
        <f>IF($A335="","",SUMIFS($I$1:$I$349,$A$1:$A$349,$A335,$B$1:$B$349,$B335))</f>
        <v/>
      </c>
      <c r="O335" t="str">
        <f>IF($A335="","",SUMIFS($K$1:$K$349,$A$1:$A$349,$A335,$B$1:$B$349,$B335))</f>
        <v/>
      </c>
      <c r="P335" t="str">
        <f>IF($A335="","",SUMIFS($J$1:$J$349,$A$1:$A$349,$A335,$B$1:$B$349,$B335))</f>
        <v/>
      </c>
      <c r="Q335" t="str">
        <f>IF($A335="","",SUMIFS($G$1:$G$349,$A$1:$A$349,$A335,$C$1:$C$349,$C335))</f>
        <v/>
      </c>
      <c r="R335" t="str">
        <f>IF($A335="","",SUMIFS($H$1:$H$349,$A$1:$A$349,$A335,$C$1:$C$349,$C335))</f>
        <v/>
      </c>
      <c r="S335" t="str">
        <f>IF($A335="","",SUMIFS($I$1:$I$349,$A$1:$A$349,$A335,$C$1:$C$349,$C335))</f>
        <v/>
      </c>
      <c r="T335" t="str">
        <f>IF($A335="","",SUMIFS($G$1:$G$349,$A$1:$A$349,$A335))</f>
        <v/>
      </c>
      <c r="U335" t="str">
        <f>IF($A335="","",SUMIFS($H$1:$H$349,$A$1:$A$349,$A335))</f>
        <v/>
      </c>
      <c r="V335" t="str">
        <f>IF($A335="","",SUMIFS($I$1:$I$349,$A$1:$A$349,$A335))</f>
        <v/>
      </c>
      <c r="W335" t="str">
        <f>IF($A335="","",Allocation2!Y335)</f>
        <v/>
      </c>
      <c r="X335" t="str">
        <f>IF($A335="","",Allocation2!Z335)</f>
        <v/>
      </c>
      <c r="Y335" t="str">
        <f>IF($A335="","",Allocation2!AA335)</f>
        <v/>
      </c>
      <c r="Z335" t="str">
        <f>IF($A335="","",Allocation2!AB335)</f>
        <v/>
      </c>
      <c r="AA335" t="str">
        <f>IF($A335="","",Allocation2!AC335)</f>
        <v/>
      </c>
      <c r="AB335" t="str">
        <f>IF($A335="","",Allocation2!AD335)</f>
        <v/>
      </c>
      <c r="AC335" t="str">
        <f>IF($A335="","",IF(ALLOC!$N$4="VOL_EFF",$G335,IF(ALLOC!$N$4="VOL_CLASS",$H335,$I335)))</f>
        <v/>
      </c>
      <c r="AD335" t="str">
        <f>IF($A335="","",IF(ALLOC!$N$4="VOL_EFF",$L335,IF(ALLOC!$N$4="VOL_CLASS",$M335,$N335)))</f>
        <v/>
      </c>
      <c r="AE335" t="str">
        <f>IF($A335="","",IF(ALLOC!$N$3="VOL_EFF",$L335,IF(ALLOC!$N$3="VOL_CLASS",$M335,$N335)))</f>
        <v/>
      </c>
      <c r="AF335" t="str">
        <f>IF($A335="","",IF(ALLOC!$N$3="VOL_EFF",$Q335,IF(ALLOC!$N$3="VOL_CLASS",$R335,$S335)))</f>
        <v/>
      </c>
      <c r="AG335" t="str">
        <f>IF($A335="","",IF(ALLOC!$N$1="VOL_EFF",$Q335,IF(ALLOC!$N$1="VOL_CLASS",$R335,$S335)))</f>
        <v/>
      </c>
      <c r="AH335" t="str">
        <f>IF($A335="","",IF(ALLOC!$N$1="VOL_EFF",$T335,IF(ALLOC!$N$1="VOL_CLASS",$U335,$V335)))</f>
        <v/>
      </c>
      <c r="AI335" t="str">
        <f>IF($A335="","",$W335*IFERROR($K335/$O335,0))</f>
        <v/>
      </c>
      <c r="AJ335" t="str">
        <f>IF($A335="","",$X335*IFERROR($K335/$O335,0))</f>
        <v/>
      </c>
      <c r="AK335" t="str">
        <f>IF($A335="","",$Y335*IFERROR($G335/$L335,0)+$Z335*IFERROR($J335/$P335,0))</f>
        <v/>
      </c>
      <c r="AL335" t="str">
        <f>IF($A335="","",$AA335*IFERROR($AC335/$AD335,0))</f>
        <v/>
      </c>
      <c r="AM335" t="str">
        <f>IF($A335="","",$AB335*IFERROR($AG335/$AH335,0)*IFERROR($AE335/$AF335,0)*IFERROR($AC335/$AD335,0))</f>
        <v/>
      </c>
      <c r="AN335" t="str">
        <f>IF($A335="","",$I335-($AI335+$AJ335+$AK335+$AL335+$AM335+$AR335))</f>
        <v/>
      </c>
      <c r="AO335" t="str">
        <f>IF($A335="","",Allocation2!AE335)</f>
        <v/>
      </c>
      <c r="AP335" t="str">
        <f>IF($A335="","",IF(ALLOC!$N$2="VOL_EFF",$Q335,IF(ALLOC!$N$2="VOL_CLASS",$R335,$S335)))</f>
        <v/>
      </c>
      <c r="AQ335" t="str">
        <f>IF($A335="","",IF(ALLOC!$N$2="VOL_EFF",$T335,IF(ALLOC!$N$2="VOL_CLASS",$U335,$V335)))</f>
        <v/>
      </c>
      <c r="AR335" t="str">
        <f>IF($A335="","",$AO335*IFERROR($AP335/$AQ335,0)*IFERROR($AE335/$AF335,0)*IFERROR($AC335/$AD335,0))</f>
        <v/>
      </c>
    </row>
    <row r="336" spans="1:46" x14ac:dyDescent="0.45">
      <c r="A336" t="str">
        <f>IF(Allocation2!D336="","",Allocation2!D336)</f>
        <v/>
      </c>
      <c r="B336" t="str">
        <f>IF(Allocation2!E336="","",Allocation2!E336)</f>
        <v/>
      </c>
      <c r="C336" t="str">
        <f>IF(Allocation2!F336="","",Allocation2!F336)</f>
        <v/>
      </c>
      <c r="D336" t="str">
        <f>IF(Allocation2!G336="","",Allocation2!G336)</f>
        <v/>
      </c>
      <c r="E336" t="str">
        <f>IF(Allocation2!H336="","",Allocation2!H336)</f>
        <v/>
      </c>
      <c r="F336" t="str">
        <f>IF(Allocation2!I336="","",Allocation2!I336)</f>
        <v/>
      </c>
      <c r="G336" t="str">
        <f>IF(Allocation2!E336="","",Allocation2!J336)</f>
        <v/>
      </c>
      <c r="H336" t="str">
        <f>IF(Allocation2!E336="","",Allocation2!K336)</f>
        <v/>
      </c>
      <c r="I336" t="str">
        <f>IF(Allocation2!E336="","",Allocation2!L336)</f>
        <v/>
      </c>
      <c r="J336" t="str">
        <f>IF($A336="","",Allocation2!X336)</f>
        <v/>
      </c>
      <c r="K336" t="str">
        <f>IF($A336="","",$H336*IF(AND(LEFT($D336,3)="BAC",$F336="INIT"),600,IF(LEFT($D336,3)="BAC",480,IF(AND(LEFT($D336,3)="MAS",$F336="INIT"),520,IF(LEFT($D336,3)="MAS",420,IF($F336="INIT",1000,700))))))</f>
        <v/>
      </c>
      <c r="L336" t="str">
        <f>IF($A336="","",SUMIFS($G$1:$G$349,$A$1:$A$349,$A336,$B$1:$B$349,$B336))</f>
        <v/>
      </c>
      <c r="M336" t="str">
        <f>IF($A336="","",SUMIFS($H$1:$H$349,$A$1:$A$349,$A336,$B$1:$B$349,$B336))</f>
        <v/>
      </c>
      <c r="N336" t="str">
        <f>IF($A336="","",SUMIFS($I$1:$I$349,$A$1:$A$349,$A336,$B$1:$B$349,$B336))</f>
        <v/>
      </c>
      <c r="O336" t="str">
        <f>IF($A336="","",SUMIFS($K$1:$K$349,$A$1:$A$349,$A336,$B$1:$B$349,$B336))</f>
        <v/>
      </c>
      <c r="P336" t="str">
        <f>IF($A336="","",SUMIFS($J$1:$J$349,$A$1:$A$349,$A336,$B$1:$B$349,$B336))</f>
        <v/>
      </c>
      <c r="Q336" t="str">
        <f>IF($A336="","",SUMIFS($G$1:$G$349,$A$1:$A$349,$A336,$C$1:$C$349,$C336))</f>
        <v/>
      </c>
      <c r="R336" t="str">
        <f>IF($A336="","",SUMIFS($H$1:$H$349,$A$1:$A$349,$A336,$C$1:$C$349,$C336))</f>
        <v/>
      </c>
      <c r="S336" t="str">
        <f>IF($A336="","",SUMIFS($I$1:$I$349,$A$1:$A$349,$A336,$C$1:$C$349,$C336))</f>
        <v/>
      </c>
      <c r="T336" t="str">
        <f>IF($A336="","",SUMIFS($G$1:$G$349,$A$1:$A$349,$A336))</f>
        <v/>
      </c>
      <c r="U336" t="str">
        <f>IF($A336="","",SUMIFS($H$1:$H$349,$A$1:$A$349,$A336))</f>
        <v/>
      </c>
      <c r="V336" t="str">
        <f>IF($A336="","",SUMIFS($I$1:$I$349,$A$1:$A$349,$A336))</f>
        <v/>
      </c>
      <c r="W336" t="str">
        <f>IF($A336="","",Allocation2!Y336)</f>
        <v/>
      </c>
      <c r="X336" t="str">
        <f>IF($A336="","",Allocation2!Z336)</f>
        <v/>
      </c>
      <c r="Y336" t="str">
        <f>IF($A336="","",Allocation2!AA336)</f>
        <v/>
      </c>
      <c r="Z336" t="str">
        <f>IF($A336="","",Allocation2!AB336)</f>
        <v/>
      </c>
      <c r="AA336" t="str">
        <f>IF($A336="","",Allocation2!AC336)</f>
        <v/>
      </c>
      <c r="AB336" t="str">
        <f>IF($A336="","",Allocation2!AD336)</f>
        <v/>
      </c>
      <c r="AC336" t="str">
        <f>IF($A336="","",IF(ALLOC!$N$4="VOL_EFF",$G336,IF(ALLOC!$N$4="VOL_CLASS",$H336,$I336)))</f>
        <v/>
      </c>
      <c r="AD336" t="str">
        <f>IF($A336="","",IF(ALLOC!$N$4="VOL_EFF",$L336,IF(ALLOC!$N$4="VOL_CLASS",$M336,$N336)))</f>
        <v/>
      </c>
      <c r="AE336" t="str">
        <f>IF($A336="","",IF(ALLOC!$N$3="VOL_EFF",$L336,IF(ALLOC!$N$3="VOL_CLASS",$M336,$N336)))</f>
        <v/>
      </c>
      <c r="AF336" t="str">
        <f>IF($A336="","",IF(ALLOC!$N$3="VOL_EFF",$Q336,IF(ALLOC!$N$3="VOL_CLASS",$R336,$S336)))</f>
        <v/>
      </c>
      <c r="AG336" t="str">
        <f>IF($A336="","",IF(ALLOC!$N$1="VOL_EFF",$Q336,IF(ALLOC!$N$1="VOL_CLASS",$R336,$S336)))</f>
        <v/>
      </c>
      <c r="AH336" t="str">
        <f>IF($A336="","",IF(ALLOC!$N$1="VOL_EFF",$T336,IF(ALLOC!$N$1="VOL_CLASS",$U336,$V336)))</f>
        <v/>
      </c>
      <c r="AI336" t="str">
        <f>IF($A336="","",$W336*IFERROR($K336/$O336,0))</f>
        <v/>
      </c>
      <c r="AJ336" t="str">
        <f>IF($A336="","",$X336*IFERROR($K336/$O336,0))</f>
        <v/>
      </c>
      <c r="AK336" t="str">
        <f>IF($A336="","",$Y336*IFERROR($G336/$L336,0)+$Z336*IFERROR($J336/$P336,0))</f>
        <v/>
      </c>
      <c r="AL336" t="str">
        <f>IF($A336="","",$AA336*IFERROR($AC336/$AD336,0))</f>
        <v/>
      </c>
      <c r="AM336" t="str">
        <f>IF($A336="","",$AB336*IFERROR($AG336/$AH336,0)*IFERROR($AE336/$AF336,0)*IFERROR($AC336/$AD336,0))</f>
        <v/>
      </c>
      <c r="AN336" t="str">
        <f>IF($A336="","",$I336-($AI336+$AJ336+$AK336+$AL336+$AM336+$AR336))</f>
        <v/>
      </c>
      <c r="AO336" t="str">
        <f>IF($A336="","",Allocation2!AE336)</f>
        <v/>
      </c>
      <c r="AP336" t="str">
        <f>IF($A336="","",IF(ALLOC!$N$2="VOL_EFF",$Q336,IF(ALLOC!$N$2="VOL_CLASS",$R336,$S336)))</f>
        <v/>
      </c>
      <c r="AQ336" t="str">
        <f>IF($A336="","",IF(ALLOC!$N$2="VOL_EFF",$T336,IF(ALLOC!$N$2="VOL_CLASS",$U336,$V336)))</f>
        <v/>
      </c>
      <c r="AR336" t="str">
        <f>IF($A336="","",$AO336*IFERROR($AP336/$AQ336,0)*IFERROR($AE336/$AF336,0)*IFERROR($AC336/$AD336,0))</f>
        <v/>
      </c>
    </row>
    <row r="337" spans="1:46" x14ac:dyDescent="0.45">
      <c r="A337" t="str">
        <f>IF(Allocation2!D337="","",Allocation2!D337)</f>
        <v/>
      </c>
      <c r="B337" t="str">
        <f>IF(Allocation2!E337="","",Allocation2!E337)</f>
        <v/>
      </c>
      <c r="C337" t="str">
        <f>IF(Allocation2!F337="","",Allocation2!F337)</f>
        <v/>
      </c>
      <c r="D337" t="str">
        <f>IF(Allocation2!G337="","",Allocation2!G337)</f>
        <v/>
      </c>
      <c r="E337" t="str">
        <f>IF(Allocation2!H337="","",Allocation2!H337)</f>
        <v/>
      </c>
      <c r="F337" t="str">
        <f>IF(Allocation2!I337="","",Allocation2!I337)</f>
        <v/>
      </c>
      <c r="G337" t="str">
        <f>IF(Allocation2!E337="","",Allocation2!J337)</f>
        <v/>
      </c>
      <c r="H337" t="str">
        <f>IF(Allocation2!E337="","",Allocation2!K337)</f>
        <v/>
      </c>
      <c r="I337" t="str">
        <f>IF(Allocation2!E337="","",Allocation2!L337)</f>
        <v/>
      </c>
      <c r="J337" t="str">
        <f>IF($A337="","",Allocation2!X337)</f>
        <v/>
      </c>
      <c r="K337" t="str">
        <f>IF($A337="","",$H337*IF(AND(LEFT($D337,3)="BAC",$F337="INIT"),600,IF(LEFT($D337,3)="BAC",480,IF(AND(LEFT($D337,3)="MAS",$F337="INIT"),520,IF(LEFT($D337,3)="MAS",420,IF($F337="INIT",1000,700))))))</f>
        <v/>
      </c>
      <c r="L337" t="str">
        <f>IF($A337="","",SUMIFS($G$1:$G$349,$A$1:$A$349,$A337,$B$1:$B$349,$B337))</f>
        <v/>
      </c>
      <c r="M337" t="str">
        <f>IF($A337="","",SUMIFS($H$1:$H$349,$A$1:$A$349,$A337,$B$1:$B$349,$B337))</f>
        <v/>
      </c>
      <c r="N337" t="str">
        <f>IF($A337="","",SUMIFS($I$1:$I$349,$A$1:$A$349,$A337,$B$1:$B$349,$B337))</f>
        <v/>
      </c>
      <c r="O337" t="str">
        <f>IF($A337="","",SUMIFS($K$1:$K$349,$A$1:$A$349,$A337,$B$1:$B$349,$B337))</f>
        <v/>
      </c>
      <c r="P337" t="str">
        <f>IF($A337="","",SUMIFS($J$1:$J$349,$A$1:$A$349,$A337,$B$1:$B$349,$B337))</f>
        <v/>
      </c>
      <c r="Q337" t="str">
        <f>IF($A337="","",SUMIFS($G$1:$G$349,$A$1:$A$349,$A337,$C$1:$C$349,$C337))</f>
        <v/>
      </c>
      <c r="R337" t="str">
        <f>IF($A337="","",SUMIFS($H$1:$H$349,$A$1:$A$349,$A337,$C$1:$C$349,$C337))</f>
        <v/>
      </c>
      <c r="S337" t="str">
        <f>IF($A337="","",SUMIFS($I$1:$I$349,$A$1:$A$349,$A337,$C$1:$C$349,$C337))</f>
        <v/>
      </c>
      <c r="T337" t="str">
        <f>IF($A337="","",SUMIFS($G$1:$G$349,$A$1:$A$349,$A337))</f>
        <v/>
      </c>
      <c r="U337" t="str">
        <f>IF($A337="","",SUMIFS($H$1:$H$349,$A$1:$A$349,$A337))</f>
        <v/>
      </c>
      <c r="V337" t="str">
        <f>IF($A337="","",SUMIFS($I$1:$I$349,$A$1:$A$349,$A337))</f>
        <v/>
      </c>
      <c r="W337" t="str">
        <f>IF($A337="","",Allocation2!Y337)</f>
        <v/>
      </c>
      <c r="X337" t="str">
        <f>IF($A337="","",Allocation2!Z337)</f>
        <v/>
      </c>
      <c r="Y337" t="str">
        <f>IF($A337="","",Allocation2!AA337)</f>
        <v/>
      </c>
      <c r="Z337" t="str">
        <f>IF($A337="","",Allocation2!AB337)</f>
        <v/>
      </c>
      <c r="AA337" t="str">
        <f>IF($A337="","",Allocation2!AC337)</f>
        <v/>
      </c>
      <c r="AB337" t="str">
        <f>IF($A337="","",Allocation2!AD337)</f>
        <v/>
      </c>
      <c r="AC337" t="str">
        <f>IF($A337="","",IF(ALLOC!$N$4="VOL_EFF",$G337,IF(ALLOC!$N$4="VOL_CLASS",$H337,$I337)))</f>
        <v/>
      </c>
      <c r="AD337" t="str">
        <f>IF($A337="","",IF(ALLOC!$N$4="VOL_EFF",$L337,IF(ALLOC!$N$4="VOL_CLASS",$M337,$N337)))</f>
        <v/>
      </c>
      <c r="AE337" t="str">
        <f>IF($A337="","",IF(ALLOC!$N$3="VOL_EFF",$L337,IF(ALLOC!$N$3="VOL_CLASS",$M337,$N337)))</f>
        <v/>
      </c>
      <c r="AF337" t="str">
        <f>IF($A337="","",IF(ALLOC!$N$3="VOL_EFF",$Q337,IF(ALLOC!$N$3="VOL_CLASS",$R337,$S337)))</f>
        <v/>
      </c>
      <c r="AG337" t="str">
        <f>IF($A337="","",IF(ALLOC!$N$1="VOL_EFF",$Q337,IF(ALLOC!$N$1="VOL_CLASS",$R337,$S337)))</f>
        <v/>
      </c>
      <c r="AH337" t="str">
        <f>IF($A337="","",IF(ALLOC!$N$1="VOL_EFF",$T337,IF(ALLOC!$N$1="VOL_CLASS",$U337,$V337)))</f>
        <v/>
      </c>
      <c r="AI337" t="str">
        <f>IF($A337="","",$W337*IFERROR($K337/$O337,0))</f>
        <v/>
      </c>
      <c r="AJ337" t="str">
        <f>IF($A337="","",$X337*IFERROR($K337/$O337,0))</f>
        <v/>
      </c>
      <c r="AK337" t="str">
        <f>IF($A337="","",$Y337*IFERROR($G337/$L337,0)+$Z337*IFERROR($J337/$P337,0))</f>
        <v/>
      </c>
      <c r="AL337" t="str">
        <f>IF($A337="","",$AA337*IFERROR($AC337/$AD337,0))</f>
        <v/>
      </c>
      <c r="AM337" t="str">
        <f>IF($A337="","",$AB337*IFERROR($AG337/$AH337,0)*IFERROR($AE337/$AF337,0)*IFERROR($AC337/$AD337,0))</f>
        <v/>
      </c>
      <c r="AN337" t="str">
        <f>IF($A337="","",$I337-($AI337+$AJ337+$AK337+$AL337+$AM337+$AR337))</f>
        <v/>
      </c>
      <c r="AO337" t="str">
        <f>IF($A337="","",Allocation2!AE337)</f>
        <v/>
      </c>
      <c r="AP337" t="str">
        <f>IF($A337="","",IF(ALLOC!$N$2="VOL_EFF",$Q337,IF(ALLOC!$N$2="VOL_CLASS",$R337,$S337)))</f>
        <v/>
      </c>
      <c r="AQ337" t="str">
        <f>IF($A337="","",IF(ALLOC!$N$2="VOL_EFF",$T337,IF(ALLOC!$N$2="VOL_CLASS",$U337,$V337)))</f>
        <v/>
      </c>
      <c r="AR337" t="str">
        <f>IF($A337="","",$AO337*IFERROR($AP337/$AQ337,0)*IFERROR($AE337/$AF337,0)*IFERROR($AC337/$AD337,0))</f>
        <v/>
      </c>
    </row>
    <row r="338" spans="1:46" x14ac:dyDescent="0.45">
      <c r="A338" t="str">
        <f>IF(Allocation2!D338="","",Allocation2!D338)</f>
        <v/>
      </c>
      <c r="B338" t="str">
        <f>IF(Allocation2!E338="","",Allocation2!E338)</f>
        <v/>
      </c>
      <c r="C338" t="str">
        <f>IF(Allocation2!F338="","",Allocation2!F338)</f>
        <v/>
      </c>
      <c r="D338" t="str">
        <f>IF(Allocation2!G338="","",Allocation2!G338)</f>
        <v/>
      </c>
      <c r="E338" t="str">
        <f>IF(Allocation2!H338="","",Allocation2!H338)</f>
        <v/>
      </c>
      <c r="F338" t="str">
        <f>IF(Allocation2!I338="","",Allocation2!I338)</f>
        <v/>
      </c>
      <c r="G338" t="str">
        <f>IF(Allocation2!E338="","",Allocation2!J338)</f>
        <v/>
      </c>
      <c r="H338" t="str">
        <f>IF(Allocation2!E338="","",Allocation2!K338)</f>
        <v/>
      </c>
      <c r="I338" t="str">
        <f>IF(Allocation2!E338="","",Allocation2!L338)</f>
        <v/>
      </c>
      <c r="J338" t="str">
        <f>IF($A338="","",Allocation2!X338)</f>
        <v/>
      </c>
      <c r="K338" t="str">
        <f>IF($A338="","",$H338*IF(AND(LEFT($D338,3)="BAC",$F338="INIT"),600,IF(LEFT($D338,3)="BAC",480,IF(AND(LEFT($D338,3)="MAS",$F338="INIT"),520,IF(LEFT($D338,3)="MAS",420,IF($F338="INIT",1000,700))))))</f>
        <v/>
      </c>
      <c r="L338" t="str">
        <f>IF($A338="","",SUMIFS($G$1:$G$349,$A$1:$A$349,$A338,$B$1:$B$349,$B338))</f>
        <v/>
      </c>
      <c r="M338" t="str">
        <f>IF($A338="","",SUMIFS($H$1:$H$349,$A$1:$A$349,$A338,$B$1:$B$349,$B338))</f>
        <v/>
      </c>
      <c r="N338" t="str">
        <f>IF($A338="","",SUMIFS($I$1:$I$349,$A$1:$A$349,$A338,$B$1:$B$349,$B338))</f>
        <v/>
      </c>
      <c r="O338" t="str">
        <f>IF($A338="","",SUMIFS($K$1:$K$349,$A$1:$A$349,$A338,$B$1:$B$349,$B338))</f>
        <v/>
      </c>
      <c r="P338" t="str">
        <f>IF($A338="","",SUMIFS($J$1:$J$349,$A$1:$A$349,$A338,$B$1:$B$349,$B338))</f>
        <v/>
      </c>
      <c r="Q338" t="str">
        <f>IF($A338="","",SUMIFS($G$1:$G$349,$A$1:$A$349,$A338,$C$1:$C$349,$C338))</f>
        <v/>
      </c>
      <c r="R338" t="str">
        <f>IF($A338="","",SUMIFS($H$1:$H$349,$A$1:$A$349,$A338,$C$1:$C$349,$C338))</f>
        <v/>
      </c>
      <c r="S338" t="str">
        <f>IF($A338="","",SUMIFS($I$1:$I$349,$A$1:$A$349,$A338,$C$1:$C$349,$C338))</f>
        <v/>
      </c>
      <c r="T338" t="str">
        <f>IF($A338="","",SUMIFS($G$1:$G$349,$A$1:$A$349,$A338))</f>
        <v/>
      </c>
      <c r="U338" t="str">
        <f>IF($A338="","",SUMIFS($H$1:$H$349,$A$1:$A$349,$A338))</f>
        <v/>
      </c>
      <c r="V338" t="str">
        <f>IF($A338="","",SUMIFS($I$1:$I$349,$A$1:$A$349,$A338))</f>
        <v/>
      </c>
      <c r="W338" t="str">
        <f>IF($A338="","",Allocation2!Y338)</f>
        <v/>
      </c>
      <c r="X338" t="str">
        <f>IF($A338="","",Allocation2!Z338)</f>
        <v/>
      </c>
      <c r="Y338" t="str">
        <f>IF($A338="","",Allocation2!AA338)</f>
        <v/>
      </c>
      <c r="Z338" t="str">
        <f>IF($A338="","",Allocation2!AB338)</f>
        <v/>
      </c>
      <c r="AA338" t="str">
        <f>IF($A338="","",Allocation2!AC338)</f>
        <v/>
      </c>
      <c r="AB338" t="str">
        <f>IF($A338="","",Allocation2!AD338)</f>
        <v/>
      </c>
      <c r="AC338" t="str">
        <f>IF($A338="","",IF(ALLOC!$N$4="VOL_EFF",$G338,IF(ALLOC!$N$4="VOL_CLASS",$H338,$I338)))</f>
        <v/>
      </c>
      <c r="AD338" t="str">
        <f>IF($A338="","",IF(ALLOC!$N$4="VOL_EFF",$L338,IF(ALLOC!$N$4="VOL_CLASS",$M338,$N338)))</f>
        <v/>
      </c>
      <c r="AE338" t="str">
        <f>IF($A338="","",IF(ALLOC!$N$3="VOL_EFF",$L338,IF(ALLOC!$N$3="VOL_CLASS",$M338,$N338)))</f>
        <v/>
      </c>
      <c r="AF338" t="str">
        <f>IF($A338="","",IF(ALLOC!$N$3="VOL_EFF",$Q338,IF(ALLOC!$N$3="VOL_CLASS",$R338,$S338)))</f>
        <v/>
      </c>
      <c r="AG338" t="str">
        <f>IF($A338="","",IF(ALLOC!$N$1="VOL_EFF",$Q338,IF(ALLOC!$N$1="VOL_CLASS",$R338,$S338)))</f>
        <v/>
      </c>
      <c r="AH338" t="str">
        <f>IF($A338="","",IF(ALLOC!$N$1="VOL_EFF",$T338,IF(ALLOC!$N$1="VOL_CLASS",$U338,$V338)))</f>
        <v/>
      </c>
      <c r="AI338" t="str">
        <f>IF($A338="","",$W338*IFERROR($K338/$O338,0))</f>
        <v/>
      </c>
      <c r="AJ338" t="str">
        <f>IF($A338="","",$X338*IFERROR($K338/$O338,0))</f>
        <v/>
      </c>
      <c r="AK338" t="str">
        <f>IF($A338="","",$Y338*IFERROR($G338/$L338,0)+$Z338*IFERROR($J338/$P338,0))</f>
        <v/>
      </c>
      <c r="AL338" t="str">
        <f>IF($A338="","",$AA338*IFERROR($AC338/$AD338,0))</f>
        <v/>
      </c>
      <c r="AM338" t="str">
        <f>IF($A338="","",$AB338*IFERROR($AG338/$AH338,0)*IFERROR($AE338/$AF338,0)*IFERROR($AC338/$AD338,0))</f>
        <v/>
      </c>
      <c r="AN338" t="str">
        <f>IF($A338="","",$I338-($AI338+$AJ338+$AK338+$AL338+$AM338+$AR338))</f>
        <v/>
      </c>
      <c r="AO338" t="str">
        <f>IF($A338="","",Allocation2!AE338)</f>
        <v/>
      </c>
      <c r="AP338" t="str">
        <f>IF($A338="","",IF(ALLOC!$N$2="VOL_EFF",$Q338,IF(ALLOC!$N$2="VOL_CLASS",$R338,$S338)))</f>
        <v/>
      </c>
      <c r="AQ338" t="str">
        <f>IF($A338="","",IF(ALLOC!$N$2="VOL_EFF",$T338,IF(ALLOC!$N$2="VOL_CLASS",$U338,$V338)))</f>
        <v/>
      </c>
      <c r="AR338" t="str">
        <f>IF($A338="","",$AO338*IFERROR($AP338/$AQ338,0)*IFERROR($AE338/$AF338,0)*IFERROR($AC338/$AD338,0))</f>
        <v/>
      </c>
    </row>
    <row r="339" spans="1:46" x14ac:dyDescent="0.45">
      <c r="A339" t="str">
        <f>IF(Allocation2!D339="","",Allocation2!D339)</f>
        <v/>
      </c>
      <c r="B339" t="str">
        <f>IF(Allocation2!E339="","",Allocation2!E339)</f>
        <v/>
      </c>
      <c r="C339" t="str">
        <f>IF(Allocation2!F339="","",Allocation2!F339)</f>
        <v/>
      </c>
      <c r="D339" t="str">
        <f>IF(Allocation2!G339="","",Allocation2!G339)</f>
        <v/>
      </c>
      <c r="E339" t="str">
        <f>IF(Allocation2!H339="","",Allocation2!H339)</f>
        <v/>
      </c>
      <c r="F339" t="str">
        <f>IF(Allocation2!I339="","",Allocation2!I339)</f>
        <v/>
      </c>
      <c r="G339" t="str">
        <f>IF(Allocation2!E339="","",Allocation2!J339)</f>
        <v/>
      </c>
      <c r="H339" t="str">
        <f>IF(Allocation2!E339="","",Allocation2!K339)</f>
        <v/>
      </c>
      <c r="I339" t="str">
        <f>IF(Allocation2!E339="","",Allocation2!L339)</f>
        <v/>
      </c>
      <c r="J339" t="str">
        <f>IF($A339="","",Allocation2!X339)</f>
        <v/>
      </c>
      <c r="K339" t="str">
        <f>IF($A339="","",$H339*IF(AND(LEFT($D339,3)="BAC",$F339="INIT"),600,IF(LEFT($D339,3)="BAC",480,IF(AND(LEFT($D339,3)="MAS",$F339="INIT"),520,IF(LEFT($D339,3)="MAS",420,IF($F339="INIT",1000,700))))))</f>
        <v/>
      </c>
      <c r="L339" t="str">
        <f>IF($A339="","",SUMIFS($G$1:$G$349,$A$1:$A$349,$A339,$B$1:$B$349,$B339))</f>
        <v/>
      </c>
      <c r="M339" t="str">
        <f>IF($A339="","",SUMIFS($H$1:$H$349,$A$1:$A$349,$A339,$B$1:$B$349,$B339))</f>
        <v/>
      </c>
      <c r="N339" t="str">
        <f>IF($A339="","",SUMIFS($I$1:$I$349,$A$1:$A$349,$A339,$B$1:$B$349,$B339))</f>
        <v/>
      </c>
      <c r="O339" t="str">
        <f>IF($A339="","",SUMIFS($K$1:$K$349,$A$1:$A$349,$A339,$B$1:$B$349,$B339))</f>
        <v/>
      </c>
      <c r="P339" t="str">
        <f>IF($A339="","",SUMIFS($J$1:$J$349,$A$1:$A$349,$A339,$B$1:$B$349,$B339))</f>
        <v/>
      </c>
      <c r="Q339" t="str">
        <f>IF($A339="","",SUMIFS($G$1:$G$349,$A$1:$A$349,$A339,$C$1:$C$349,$C339))</f>
        <v/>
      </c>
      <c r="R339" t="str">
        <f>IF($A339="","",SUMIFS($H$1:$H$349,$A$1:$A$349,$A339,$C$1:$C$349,$C339))</f>
        <v/>
      </c>
      <c r="S339" t="str">
        <f>IF($A339="","",SUMIFS($I$1:$I$349,$A$1:$A$349,$A339,$C$1:$C$349,$C339))</f>
        <v/>
      </c>
      <c r="T339" t="str">
        <f>IF($A339="","",SUMIFS($G$1:$G$349,$A$1:$A$349,$A339))</f>
        <v/>
      </c>
      <c r="U339" t="str">
        <f>IF($A339="","",SUMIFS($H$1:$H$349,$A$1:$A$349,$A339))</f>
        <v/>
      </c>
      <c r="V339" t="str">
        <f>IF($A339="","",SUMIFS($I$1:$I$349,$A$1:$A$349,$A339))</f>
        <v/>
      </c>
      <c r="W339" t="str">
        <f>IF($A339="","",Allocation2!Y339)</f>
        <v/>
      </c>
      <c r="X339" t="str">
        <f>IF($A339="","",Allocation2!Z339)</f>
        <v/>
      </c>
      <c r="Y339" t="str">
        <f>IF($A339="","",Allocation2!AA339)</f>
        <v/>
      </c>
      <c r="Z339" t="str">
        <f>IF($A339="","",Allocation2!AB339)</f>
        <v/>
      </c>
      <c r="AA339" t="str">
        <f>IF($A339="","",Allocation2!AC339)</f>
        <v/>
      </c>
      <c r="AB339" t="str">
        <f>IF($A339="","",Allocation2!AD339)</f>
        <v/>
      </c>
      <c r="AC339" t="str">
        <f>IF($A339="","",IF(ALLOC!$N$4="VOL_EFF",$G339,IF(ALLOC!$N$4="VOL_CLASS",$H339,$I339)))</f>
        <v/>
      </c>
      <c r="AD339" t="str">
        <f>IF($A339="","",IF(ALLOC!$N$4="VOL_EFF",$L339,IF(ALLOC!$N$4="VOL_CLASS",$M339,$N339)))</f>
        <v/>
      </c>
      <c r="AE339" t="str">
        <f>IF($A339="","",IF(ALLOC!$N$3="VOL_EFF",$L339,IF(ALLOC!$N$3="VOL_CLASS",$M339,$N339)))</f>
        <v/>
      </c>
      <c r="AF339" t="str">
        <f>IF($A339="","",IF(ALLOC!$N$3="VOL_EFF",$Q339,IF(ALLOC!$N$3="VOL_CLASS",$R339,$S339)))</f>
        <v/>
      </c>
      <c r="AG339" t="str">
        <f>IF($A339="","",IF(ALLOC!$N$1="VOL_EFF",$Q339,IF(ALLOC!$N$1="VOL_CLASS",$R339,$S339)))</f>
        <v/>
      </c>
      <c r="AH339" t="str">
        <f>IF($A339="","",IF(ALLOC!$N$1="VOL_EFF",$T339,IF(ALLOC!$N$1="VOL_CLASS",$U339,$V339)))</f>
        <v/>
      </c>
      <c r="AI339" t="str">
        <f>IF($A339="","",$W339*IFERROR($K339/$O339,0))</f>
        <v/>
      </c>
      <c r="AJ339" t="str">
        <f>IF($A339="","",$X339*IFERROR($K339/$O339,0))</f>
        <v/>
      </c>
      <c r="AK339" t="str">
        <f>IF($A339="","",$Y339*IFERROR($G339/$L339,0)+$Z339*IFERROR($J339/$P339,0))</f>
        <v/>
      </c>
      <c r="AL339" t="str">
        <f>IF($A339="","",$AA339*IFERROR($AC339/$AD339,0))</f>
        <v/>
      </c>
      <c r="AM339" t="str">
        <f>IF($A339="","",$AB339*IFERROR($AG339/$AH339,0)*IFERROR($AE339/$AF339,0)*IFERROR($AC339/$AD339,0))</f>
        <v/>
      </c>
      <c r="AN339" t="str">
        <f>IF($A339="","",$I339-($AI339+$AJ339+$AK339+$AL339+$AM339+$AR339))</f>
        <v/>
      </c>
      <c r="AO339" t="str">
        <f>IF($A339="","",Allocation2!AE339)</f>
        <v/>
      </c>
      <c r="AP339" t="str">
        <f>IF($A339="","",IF(ALLOC!$N$2="VOL_EFF",$Q339,IF(ALLOC!$N$2="VOL_CLASS",$R339,$S339)))</f>
        <v/>
      </c>
      <c r="AQ339" t="str">
        <f>IF($A339="","",IF(ALLOC!$N$2="VOL_EFF",$T339,IF(ALLOC!$N$2="VOL_CLASS",$U339,$V339)))</f>
        <v/>
      </c>
      <c r="AR339" t="str">
        <f>IF($A339="","",$AO339*IFERROR($AP339/$AQ339,0)*IFERROR($AE339/$AF339,0)*IFERROR($AC339/$AD339,0))</f>
        <v/>
      </c>
    </row>
    <row r="340" spans="1:46" x14ac:dyDescent="0.45">
      <c r="A340" t="str">
        <f>IF(Allocation2!D340="","",Allocation2!D340)</f>
        <v/>
      </c>
      <c r="B340" t="str">
        <f>IF(Allocation2!E340="","",Allocation2!E340)</f>
        <v/>
      </c>
      <c r="C340" t="str">
        <f>IF(Allocation2!F340="","",Allocation2!F340)</f>
        <v/>
      </c>
      <c r="D340" t="str">
        <f>IF(Allocation2!G340="","",Allocation2!G340)</f>
        <v/>
      </c>
      <c r="E340" t="str">
        <f>IF(Allocation2!H340="","",Allocation2!H340)</f>
        <v/>
      </c>
      <c r="F340" t="str">
        <f>IF(Allocation2!I340="","",Allocation2!I340)</f>
        <v/>
      </c>
      <c r="G340" t="str">
        <f>IF(Allocation2!E340="","",Allocation2!J340)</f>
        <v/>
      </c>
      <c r="H340" t="str">
        <f>IF(Allocation2!E340="","",Allocation2!K340)</f>
        <v/>
      </c>
      <c r="I340" t="str">
        <f>IF(Allocation2!E340="","",Allocation2!L340)</f>
        <v/>
      </c>
      <c r="J340" t="str">
        <f>IF($A340="","",Allocation2!X340)</f>
        <v/>
      </c>
      <c r="K340" t="str">
        <f>IF($A340="","",$H340*IF(AND(LEFT($D340,3)="BAC",$F340="INIT"),600,IF(LEFT($D340,3)="BAC",480,IF(AND(LEFT($D340,3)="MAS",$F340="INIT"),520,IF(LEFT($D340,3)="MAS",420,IF($F340="INIT",1000,700))))))</f>
        <v/>
      </c>
      <c r="L340" t="str">
        <f>IF($A340="","",SUMIFS($G$1:$G$349,$A$1:$A$349,$A340,$B$1:$B$349,$B340))</f>
        <v/>
      </c>
      <c r="M340" t="str">
        <f>IF($A340="","",SUMIFS($H$1:$H$349,$A$1:$A$349,$A340,$B$1:$B$349,$B340))</f>
        <v/>
      </c>
      <c r="N340" t="str">
        <f>IF($A340="","",SUMIFS($I$1:$I$349,$A$1:$A$349,$A340,$B$1:$B$349,$B340))</f>
        <v/>
      </c>
      <c r="O340" t="str">
        <f>IF($A340="","",SUMIFS($K$1:$K$349,$A$1:$A$349,$A340,$B$1:$B$349,$B340))</f>
        <v/>
      </c>
      <c r="P340" t="str">
        <f>IF($A340="","",SUMIFS($J$1:$J$349,$A$1:$A$349,$A340,$B$1:$B$349,$B340))</f>
        <v/>
      </c>
      <c r="Q340" t="str">
        <f>IF($A340="","",SUMIFS($G$1:$G$349,$A$1:$A$349,$A340,$C$1:$C$349,$C340))</f>
        <v/>
      </c>
      <c r="R340" t="str">
        <f>IF($A340="","",SUMIFS($H$1:$H$349,$A$1:$A$349,$A340,$C$1:$C$349,$C340))</f>
        <v/>
      </c>
      <c r="S340" t="str">
        <f>IF($A340="","",SUMIFS($I$1:$I$349,$A$1:$A$349,$A340,$C$1:$C$349,$C340))</f>
        <v/>
      </c>
      <c r="T340" t="str">
        <f>IF($A340="","",SUMIFS($G$1:$G$349,$A$1:$A$349,$A340))</f>
        <v/>
      </c>
      <c r="U340" t="str">
        <f>IF($A340="","",SUMIFS($H$1:$H$349,$A$1:$A$349,$A340))</f>
        <v/>
      </c>
      <c r="V340" t="str">
        <f>IF($A340="","",SUMIFS($I$1:$I$349,$A$1:$A$349,$A340))</f>
        <v/>
      </c>
      <c r="W340" t="str">
        <f>IF($A340="","",Allocation2!Y340)</f>
        <v/>
      </c>
      <c r="X340" t="str">
        <f>IF($A340="","",Allocation2!Z340)</f>
        <v/>
      </c>
      <c r="Y340" t="str">
        <f>IF($A340="","",Allocation2!AA340)</f>
        <v/>
      </c>
      <c r="Z340" t="str">
        <f>IF($A340="","",Allocation2!AB340)</f>
        <v/>
      </c>
      <c r="AA340" t="str">
        <f>IF($A340="","",Allocation2!AC340)</f>
        <v/>
      </c>
      <c r="AB340" t="str">
        <f>IF($A340="","",Allocation2!AD340)</f>
        <v/>
      </c>
      <c r="AC340" t="str">
        <f>IF($A340="","",IF(ALLOC!$N$4="VOL_EFF",$G340,IF(ALLOC!$N$4="VOL_CLASS",$H340,$I340)))</f>
        <v/>
      </c>
      <c r="AD340" t="str">
        <f>IF($A340="","",IF(ALLOC!$N$4="VOL_EFF",$L340,IF(ALLOC!$N$4="VOL_CLASS",$M340,$N340)))</f>
        <v/>
      </c>
      <c r="AE340" t="str">
        <f>IF($A340="","",IF(ALLOC!$N$3="VOL_EFF",$L340,IF(ALLOC!$N$3="VOL_CLASS",$M340,$N340)))</f>
        <v/>
      </c>
      <c r="AF340" t="str">
        <f>IF($A340="","",IF(ALLOC!$N$3="VOL_EFF",$Q340,IF(ALLOC!$N$3="VOL_CLASS",$R340,$S340)))</f>
        <v/>
      </c>
      <c r="AG340" t="str">
        <f>IF($A340="","",IF(ALLOC!$N$1="VOL_EFF",$Q340,IF(ALLOC!$N$1="VOL_CLASS",$R340,$S340)))</f>
        <v/>
      </c>
      <c r="AH340" t="str">
        <f>IF($A340="","",IF(ALLOC!$N$1="VOL_EFF",$T340,IF(ALLOC!$N$1="VOL_CLASS",$U340,$V340)))</f>
        <v/>
      </c>
      <c r="AI340" t="str">
        <f>IF($A340="","",$W340*IFERROR($K340/$O340,0))</f>
        <v/>
      </c>
      <c r="AJ340" t="str">
        <f>IF($A340="","",$X340*IFERROR($K340/$O340,0))</f>
        <v/>
      </c>
      <c r="AK340" t="str">
        <f>IF($A340="","",$Y340*IFERROR($G340/$L340,0)+$Z340*IFERROR($J340/$P340,0))</f>
        <v/>
      </c>
      <c r="AL340" t="str">
        <f>IF($A340="","",$AA340*IFERROR($AC340/$AD340,0))</f>
        <v/>
      </c>
      <c r="AM340" t="str">
        <f>IF($A340="","",$AB340*IFERROR($AG340/$AH340,0)*IFERROR($AE340/$AF340,0)*IFERROR($AC340/$AD340,0))</f>
        <v/>
      </c>
      <c r="AN340" t="str">
        <f>IF($A340="","",$I340-($AI340+$AJ340+$AK340+$AL340+$AM340+$AR340))</f>
        <v/>
      </c>
      <c r="AO340" t="str">
        <f>IF($A340="","",Allocation2!AE340)</f>
        <v/>
      </c>
      <c r="AP340" t="str">
        <f>IF($A340="","",IF(ALLOC!$N$2="VOL_EFF",$Q340,IF(ALLOC!$N$2="VOL_CLASS",$R340,$S340)))</f>
        <v/>
      </c>
      <c r="AQ340" t="str">
        <f>IF($A340="","",IF(ALLOC!$N$2="VOL_EFF",$T340,IF(ALLOC!$N$2="VOL_CLASS",$U340,$V340)))</f>
        <v/>
      </c>
      <c r="AR340" t="str">
        <f>IF($A340="","",$AO340*IFERROR($AP340/$AQ340,0)*IFERROR($AE340/$AF340,0)*IFERROR($AC340/$AD340,0))</f>
        <v/>
      </c>
    </row>
    <row r="341" spans="1:46" x14ac:dyDescent="0.45">
      <c r="A341" t="str">
        <f>IF(Allocation2!D341="","",Allocation2!D341)</f>
        <v/>
      </c>
      <c r="B341" t="str">
        <f>IF(Allocation2!E341="","",Allocation2!E341)</f>
        <v/>
      </c>
      <c r="C341" t="str">
        <f>IF(Allocation2!F341="","",Allocation2!F341)</f>
        <v/>
      </c>
      <c r="D341" t="str">
        <f>IF(Allocation2!G341="","",Allocation2!G341)</f>
        <v/>
      </c>
      <c r="E341" t="str">
        <f>IF(Allocation2!H341="","",Allocation2!H341)</f>
        <v/>
      </c>
      <c r="F341" t="str">
        <f>IF(Allocation2!I341="","",Allocation2!I341)</f>
        <v/>
      </c>
      <c r="G341" t="str">
        <f>IF(Allocation2!E341="","",Allocation2!J341)</f>
        <v/>
      </c>
      <c r="H341" t="str">
        <f>IF(Allocation2!E341="","",Allocation2!K341)</f>
        <v/>
      </c>
      <c r="I341" t="str">
        <f>IF(Allocation2!E341="","",Allocation2!L341)</f>
        <v/>
      </c>
      <c r="J341" t="str">
        <f>IF($A341="","",Allocation2!X341)</f>
        <v/>
      </c>
      <c r="K341" t="str">
        <f>IF($A341="","",$H341*IF(AND(LEFT($D341,3)="BAC",$F341="INIT"),600,IF(LEFT($D341,3)="BAC",480,IF(AND(LEFT($D341,3)="MAS",$F341="INIT"),520,IF(LEFT($D341,3)="MAS",420,IF($F341="INIT",1000,700))))))</f>
        <v/>
      </c>
      <c r="L341" t="str">
        <f>IF($A341="","",SUMIFS($G$1:$G$349,$A$1:$A$349,$A341,$B$1:$B$349,$B341))</f>
        <v/>
      </c>
      <c r="M341" t="str">
        <f>IF($A341="","",SUMIFS($H$1:$H$349,$A$1:$A$349,$A341,$B$1:$B$349,$B341))</f>
        <v/>
      </c>
      <c r="N341" t="str">
        <f>IF($A341="","",SUMIFS($I$1:$I$349,$A$1:$A$349,$A341,$B$1:$B$349,$B341))</f>
        <v/>
      </c>
      <c r="O341" t="str">
        <f>IF($A341="","",SUMIFS($K$1:$K$349,$A$1:$A$349,$A341,$B$1:$B$349,$B341))</f>
        <v/>
      </c>
      <c r="P341" t="str">
        <f>IF($A341="","",SUMIFS($J$1:$J$349,$A$1:$A$349,$A341,$B$1:$B$349,$B341))</f>
        <v/>
      </c>
      <c r="Q341" t="str">
        <f>IF($A341="","",SUMIFS($G$1:$G$349,$A$1:$A$349,$A341,$C$1:$C$349,$C341))</f>
        <v/>
      </c>
      <c r="R341" t="str">
        <f>IF($A341="","",SUMIFS($H$1:$H$349,$A$1:$A$349,$A341,$C$1:$C$349,$C341))</f>
        <v/>
      </c>
      <c r="S341" t="str">
        <f>IF($A341="","",SUMIFS($I$1:$I$349,$A$1:$A$349,$A341,$C$1:$C$349,$C341))</f>
        <v/>
      </c>
      <c r="T341" t="str">
        <f>IF($A341="","",SUMIFS($G$1:$G$349,$A$1:$A$349,$A341))</f>
        <v/>
      </c>
      <c r="U341" t="str">
        <f>IF($A341="","",SUMIFS($H$1:$H$349,$A$1:$A$349,$A341))</f>
        <v/>
      </c>
      <c r="V341" t="str">
        <f>IF($A341="","",SUMIFS($I$1:$I$349,$A$1:$A$349,$A341))</f>
        <v/>
      </c>
      <c r="W341" t="str">
        <f>IF($A341="","",Allocation2!Y341)</f>
        <v/>
      </c>
      <c r="X341" t="str">
        <f>IF($A341="","",Allocation2!Z341)</f>
        <v/>
      </c>
      <c r="Y341" t="str">
        <f>IF($A341="","",Allocation2!AA341)</f>
        <v/>
      </c>
      <c r="Z341" t="str">
        <f>IF($A341="","",Allocation2!AB341)</f>
        <v/>
      </c>
      <c r="AA341" t="str">
        <f>IF($A341="","",Allocation2!AC341)</f>
        <v/>
      </c>
      <c r="AB341" t="str">
        <f>IF($A341="","",Allocation2!AD341)</f>
        <v/>
      </c>
      <c r="AC341" t="str">
        <f>IF($A341="","",IF(ALLOC!$N$4="VOL_EFF",$G341,IF(ALLOC!$N$4="VOL_CLASS",$H341,$I341)))</f>
        <v/>
      </c>
      <c r="AD341" t="str">
        <f>IF($A341="","",IF(ALLOC!$N$4="VOL_EFF",$L341,IF(ALLOC!$N$4="VOL_CLASS",$M341,$N341)))</f>
        <v/>
      </c>
      <c r="AE341" t="str">
        <f>IF($A341="","",IF(ALLOC!$N$3="VOL_EFF",$L341,IF(ALLOC!$N$3="VOL_CLASS",$M341,$N341)))</f>
        <v/>
      </c>
      <c r="AF341" t="str">
        <f>IF($A341="","",IF(ALLOC!$N$3="VOL_EFF",$Q341,IF(ALLOC!$N$3="VOL_CLASS",$R341,$S341)))</f>
        <v/>
      </c>
      <c r="AG341" t="str">
        <f>IF($A341="","",IF(ALLOC!$N$1="VOL_EFF",$Q341,IF(ALLOC!$N$1="VOL_CLASS",$R341,$S341)))</f>
        <v/>
      </c>
      <c r="AH341" t="str">
        <f>IF($A341="","",IF(ALLOC!$N$1="VOL_EFF",$T341,IF(ALLOC!$N$1="VOL_CLASS",$U341,$V341)))</f>
        <v/>
      </c>
      <c r="AI341" t="str">
        <f>IF($A341="","",$W341*IFERROR($K341/$O341,0))</f>
        <v/>
      </c>
      <c r="AJ341" t="str">
        <f>IF($A341="","",$X341*IFERROR($K341/$O341,0))</f>
        <v/>
      </c>
      <c r="AK341" t="str">
        <f>IF($A341="","",$Y341*IFERROR($G341/$L341,0)+$Z341*IFERROR($J341/$P341,0))</f>
        <v/>
      </c>
      <c r="AL341" t="str">
        <f>IF($A341="","",$AA341*IFERROR($AC341/$AD341,0))</f>
        <v/>
      </c>
      <c r="AM341" t="str">
        <f>IF($A341="","",$AB341*IFERROR($AG341/$AH341,0)*IFERROR($AE341/$AF341,0)*IFERROR($AC341/$AD341,0))</f>
        <v/>
      </c>
      <c r="AN341" t="str">
        <f>IF($A341="","",$I341-($AI341+$AJ341+$AK341+$AL341+$AM341+$AR341))</f>
        <v/>
      </c>
      <c r="AO341" t="str">
        <f>IF($A341="","",Allocation2!AE341)</f>
        <v/>
      </c>
      <c r="AP341" t="str">
        <f>IF($A341="","",IF(ALLOC!$N$2="VOL_EFF",$Q341,IF(ALLOC!$N$2="VOL_CLASS",$R341,$S341)))</f>
        <v/>
      </c>
      <c r="AQ341" t="str">
        <f>IF($A341="","",IF(ALLOC!$N$2="VOL_EFF",$T341,IF(ALLOC!$N$2="VOL_CLASS",$U341,$V341)))</f>
        <v/>
      </c>
      <c r="AR341" t="str">
        <f>IF($A341="","",$AO341*IFERROR($AP341/$AQ341,0)*IFERROR($AE341/$AF341,0)*IFERROR($AC341/$AD341,0))</f>
        <v/>
      </c>
    </row>
    <row r="342" spans="1:46" x14ac:dyDescent="0.45">
      <c r="A342" t="str">
        <f>IF(Allocation2!D342="","",Allocation2!D342)</f>
        <v/>
      </c>
      <c r="B342" t="str">
        <f>IF(Allocation2!E342="","",Allocation2!E342)</f>
        <v/>
      </c>
      <c r="C342" t="str">
        <f>IF(Allocation2!F342="","",Allocation2!F342)</f>
        <v/>
      </c>
      <c r="D342" t="str">
        <f>IF(Allocation2!G342="","",Allocation2!G342)</f>
        <v/>
      </c>
      <c r="E342" t="str">
        <f>IF(Allocation2!H342="","",Allocation2!H342)</f>
        <v/>
      </c>
      <c r="F342" t="str">
        <f>IF(Allocation2!I342="","",Allocation2!I342)</f>
        <v/>
      </c>
      <c r="G342" t="str">
        <f>IF(Allocation2!E342="","",Allocation2!J342)</f>
        <v/>
      </c>
      <c r="H342" t="str">
        <f>IF(Allocation2!E342="","",Allocation2!K342)</f>
        <v/>
      </c>
      <c r="I342" t="str">
        <f>IF(Allocation2!E342="","",Allocation2!L342)</f>
        <v/>
      </c>
      <c r="J342" t="str">
        <f>IF($A342="","",Allocation2!X342)</f>
        <v/>
      </c>
      <c r="K342" t="str">
        <f>IF($A342="","",$H342*IF(AND(LEFT($D342,3)="BAC",$F342="INIT"),600,IF(LEFT($D342,3)="BAC",480,IF(AND(LEFT($D342,3)="MAS",$F342="INIT"),520,IF(LEFT($D342,3)="MAS",420,IF($F342="INIT",1000,700))))))</f>
        <v/>
      </c>
      <c r="L342" t="str">
        <f>IF($A342="","",SUMIFS($G$1:$G$349,$A$1:$A$349,$A342,$B$1:$B$349,$B342))</f>
        <v/>
      </c>
      <c r="M342" t="str">
        <f>IF($A342="","",SUMIFS($H$1:$H$349,$A$1:$A$349,$A342,$B$1:$B$349,$B342))</f>
        <v/>
      </c>
      <c r="N342" t="str">
        <f>IF($A342="","",SUMIFS($I$1:$I$349,$A$1:$A$349,$A342,$B$1:$B$349,$B342))</f>
        <v/>
      </c>
      <c r="O342" t="str">
        <f>IF($A342="","",SUMIFS($K$1:$K$349,$A$1:$A$349,$A342,$B$1:$B$349,$B342))</f>
        <v/>
      </c>
      <c r="P342" t="str">
        <f>IF($A342="","",SUMIFS($J$1:$J$349,$A$1:$A$349,$A342,$B$1:$B$349,$B342))</f>
        <v/>
      </c>
      <c r="Q342" t="str">
        <f>IF($A342="","",SUMIFS($G$1:$G$349,$A$1:$A$349,$A342,$C$1:$C$349,$C342))</f>
        <v/>
      </c>
      <c r="R342" t="str">
        <f>IF($A342="","",SUMIFS($H$1:$H$349,$A$1:$A$349,$A342,$C$1:$C$349,$C342))</f>
        <v/>
      </c>
      <c r="S342" t="str">
        <f>IF($A342="","",SUMIFS($I$1:$I$349,$A$1:$A$349,$A342,$C$1:$C$349,$C342))</f>
        <v/>
      </c>
      <c r="T342" t="str">
        <f>IF($A342="","",SUMIFS($G$1:$G$349,$A$1:$A$349,$A342))</f>
        <v/>
      </c>
      <c r="U342" t="str">
        <f>IF($A342="","",SUMIFS($H$1:$H$349,$A$1:$A$349,$A342))</f>
        <v/>
      </c>
      <c r="V342" t="str">
        <f>IF($A342="","",SUMIFS($I$1:$I$349,$A$1:$A$349,$A342))</f>
        <v/>
      </c>
      <c r="W342" t="str">
        <f>IF($A342="","",Allocation2!Y342)</f>
        <v/>
      </c>
      <c r="X342" t="str">
        <f>IF($A342="","",Allocation2!Z342)</f>
        <v/>
      </c>
      <c r="Y342" t="str">
        <f>IF($A342="","",Allocation2!AA342)</f>
        <v/>
      </c>
      <c r="Z342" t="str">
        <f>IF($A342="","",Allocation2!AB342)</f>
        <v/>
      </c>
      <c r="AA342" t="str">
        <f>IF($A342="","",Allocation2!AC342)</f>
        <v/>
      </c>
      <c r="AB342" t="str">
        <f>IF($A342="","",Allocation2!AD342)</f>
        <v/>
      </c>
      <c r="AC342" t="str">
        <f>IF($A342="","",IF(ALLOC!$N$4="VOL_EFF",$G342,IF(ALLOC!$N$4="VOL_CLASS",$H342,$I342)))</f>
        <v/>
      </c>
      <c r="AD342" t="str">
        <f>IF($A342="","",IF(ALLOC!$N$4="VOL_EFF",$L342,IF(ALLOC!$N$4="VOL_CLASS",$M342,$N342)))</f>
        <v/>
      </c>
      <c r="AE342" t="str">
        <f>IF($A342="","",IF(ALLOC!$N$3="VOL_EFF",$L342,IF(ALLOC!$N$3="VOL_CLASS",$M342,$N342)))</f>
        <v/>
      </c>
      <c r="AF342" t="str">
        <f>IF($A342="","",IF(ALLOC!$N$3="VOL_EFF",$Q342,IF(ALLOC!$N$3="VOL_CLASS",$R342,$S342)))</f>
        <v/>
      </c>
      <c r="AG342" t="str">
        <f>IF($A342="","",IF(ALLOC!$N$1="VOL_EFF",$Q342,IF(ALLOC!$N$1="VOL_CLASS",$R342,$S342)))</f>
        <v/>
      </c>
      <c r="AH342" t="str">
        <f>IF($A342="","",IF(ALLOC!$N$1="VOL_EFF",$T342,IF(ALLOC!$N$1="VOL_CLASS",$U342,$V342)))</f>
        <v/>
      </c>
      <c r="AI342" t="str">
        <f>IF($A342="","",$W342*IFERROR($K342/$O342,0))</f>
        <v/>
      </c>
      <c r="AJ342" t="str">
        <f>IF($A342="","",$X342*IFERROR($K342/$O342,0))</f>
        <v/>
      </c>
      <c r="AK342" t="str">
        <f>IF($A342="","",$Y342*IFERROR($G342/$L342,0)+$Z342*IFERROR($J342/$P342,0))</f>
        <v/>
      </c>
      <c r="AL342" t="str">
        <f>IF($A342="","",$AA342*IFERROR($AC342/$AD342,0))</f>
        <v/>
      </c>
      <c r="AM342" t="str">
        <f>IF($A342="","",$AB342*IFERROR($AG342/$AH342,0)*IFERROR($AE342/$AF342,0)*IFERROR($AC342/$AD342,0))</f>
        <v/>
      </c>
      <c r="AN342" t="str">
        <f>IF($A342="","",$I342-($AI342+$AJ342+$AK342+$AL342+$AM342+$AR342))</f>
        <v/>
      </c>
      <c r="AO342" t="str">
        <f>IF($A342="","",Allocation2!AE342)</f>
        <v/>
      </c>
      <c r="AP342" t="str">
        <f>IF($A342="","",IF(ALLOC!$N$2="VOL_EFF",$Q342,IF(ALLOC!$N$2="VOL_CLASS",$R342,$S342)))</f>
        <v/>
      </c>
      <c r="AQ342" t="str">
        <f>IF($A342="","",IF(ALLOC!$N$2="VOL_EFF",$T342,IF(ALLOC!$N$2="VOL_CLASS",$U342,$V342)))</f>
        <v/>
      </c>
      <c r="AR342" t="str">
        <f>IF($A342="","",$AO342*IFERROR($AP342/$AQ342,0)*IFERROR($AE342/$AF342,0)*IFERROR($AC342/$AD342,0))</f>
        <v/>
      </c>
    </row>
    <row r="343" spans="1:46" x14ac:dyDescent="0.45">
      <c r="A343" t="str">
        <f>IF(Allocation2!D343="","",Allocation2!D343)</f>
        <v/>
      </c>
      <c r="B343" t="str">
        <f>IF(Allocation2!E343="","",Allocation2!E343)</f>
        <v/>
      </c>
      <c r="C343" t="str">
        <f>IF(Allocation2!F343="","",Allocation2!F343)</f>
        <v/>
      </c>
      <c r="D343" t="str">
        <f>IF(Allocation2!G343="","",Allocation2!G343)</f>
        <v/>
      </c>
      <c r="E343" t="str">
        <f>IF(Allocation2!H343="","",Allocation2!H343)</f>
        <v/>
      </c>
      <c r="F343" t="str">
        <f>IF(Allocation2!I343="","",Allocation2!I343)</f>
        <v/>
      </c>
      <c r="G343" t="str">
        <f>IF(Allocation2!E343="","",Allocation2!J343)</f>
        <v/>
      </c>
      <c r="H343" t="str">
        <f>IF(Allocation2!E343="","",Allocation2!K343)</f>
        <v/>
      </c>
      <c r="I343" t="str">
        <f>IF(Allocation2!E343="","",Allocation2!L343)</f>
        <v/>
      </c>
      <c r="J343" t="str">
        <f>IF($A343="","",Allocation2!X343)</f>
        <v/>
      </c>
      <c r="K343" t="str">
        <f>IF($A343="","",$H343*IF(AND(LEFT($D343,3)="BAC",$F343="INIT"),600,IF(LEFT($D343,3)="BAC",480,IF(AND(LEFT($D343,3)="MAS",$F343="INIT"),520,IF(LEFT($D343,3)="MAS",420,IF($F343="INIT",1000,700))))))</f>
        <v/>
      </c>
      <c r="L343" t="str">
        <f>IF($A343="","",SUMIFS($G$1:$G$349,$A$1:$A$349,$A343,$B$1:$B$349,$B343))</f>
        <v/>
      </c>
      <c r="M343" t="str">
        <f>IF($A343="","",SUMIFS($H$1:$H$349,$A$1:$A$349,$A343,$B$1:$B$349,$B343))</f>
        <v/>
      </c>
      <c r="N343" t="str">
        <f>IF($A343="","",SUMIFS($I$1:$I$349,$A$1:$A$349,$A343,$B$1:$B$349,$B343))</f>
        <v/>
      </c>
      <c r="O343" t="str">
        <f>IF($A343="","",SUMIFS($K$1:$K$349,$A$1:$A$349,$A343,$B$1:$B$349,$B343))</f>
        <v/>
      </c>
      <c r="P343" t="str">
        <f>IF($A343="","",SUMIFS($J$1:$J$349,$A$1:$A$349,$A343,$B$1:$B$349,$B343))</f>
        <v/>
      </c>
      <c r="Q343" t="str">
        <f>IF($A343="","",SUMIFS($G$1:$G$349,$A$1:$A$349,$A343,$C$1:$C$349,$C343))</f>
        <v/>
      </c>
      <c r="R343" t="str">
        <f>IF($A343="","",SUMIFS($H$1:$H$349,$A$1:$A$349,$A343,$C$1:$C$349,$C343))</f>
        <v/>
      </c>
      <c r="S343" t="str">
        <f>IF($A343="","",SUMIFS($I$1:$I$349,$A$1:$A$349,$A343,$C$1:$C$349,$C343))</f>
        <v/>
      </c>
      <c r="T343" t="str">
        <f>IF($A343="","",SUMIFS($G$1:$G$349,$A$1:$A$349,$A343))</f>
        <v/>
      </c>
      <c r="U343" t="str">
        <f>IF($A343="","",SUMIFS($H$1:$H$349,$A$1:$A$349,$A343))</f>
        <v/>
      </c>
      <c r="V343" t="str">
        <f>IF($A343="","",SUMIFS($I$1:$I$349,$A$1:$A$349,$A343))</f>
        <v/>
      </c>
      <c r="W343" t="str">
        <f>IF($A343="","",Allocation2!Y343)</f>
        <v/>
      </c>
      <c r="X343" t="str">
        <f>IF($A343="","",Allocation2!Z343)</f>
        <v/>
      </c>
      <c r="Y343" t="str">
        <f>IF($A343="","",Allocation2!AA343)</f>
        <v/>
      </c>
      <c r="Z343" t="str">
        <f>IF($A343="","",Allocation2!AB343)</f>
        <v/>
      </c>
      <c r="AA343" t="str">
        <f>IF($A343="","",Allocation2!AC343)</f>
        <v/>
      </c>
      <c r="AB343" t="str">
        <f>IF($A343="","",Allocation2!AD343)</f>
        <v/>
      </c>
      <c r="AC343" t="str">
        <f>IF($A343="","",IF(ALLOC!$N$4="VOL_EFF",$G343,IF(ALLOC!$N$4="VOL_CLASS",$H343,$I343)))</f>
        <v/>
      </c>
      <c r="AD343" t="str">
        <f>IF($A343="","",IF(ALLOC!$N$4="VOL_EFF",$L343,IF(ALLOC!$N$4="VOL_CLASS",$M343,$N343)))</f>
        <v/>
      </c>
      <c r="AE343" t="str">
        <f>IF($A343="","",IF(ALLOC!$N$3="VOL_EFF",$L343,IF(ALLOC!$N$3="VOL_CLASS",$M343,$N343)))</f>
        <v/>
      </c>
      <c r="AF343" t="str">
        <f>IF($A343="","",IF(ALLOC!$N$3="VOL_EFF",$Q343,IF(ALLOC!$N$3="VOL_CLASS",$R343,$S343)))</f>
        <v/>
      </c>
      <c r="AG343" t="str">
        <f>IF($A343="","",IF(ALLOC!$N$1="VOL_EFF",$Q343,IF(ALLOC!$N$1="VOL_CLASS",$R343,$S343)))</f>
        <v/>
      </c>
      <c r="AH343" t="str">
        <f>IF($A343="","",IF(ALLOC!$N$1="VOL_EFF",$T343,IF(ALLOC!$N$1="VOL_CLASS",$U343,$V343)))</f>
        <v/>
      </c>
      <c r="AI343" t="str">
        <f>IF($A343="","",$W343*IFERROR($K343/$O343,0))</f>
        <v/>
      </c>
      <c r="AJ343" t="str">
        <f>IF($A343="","",$X343*IFERROR($K343/$O343,0))</f>
        <v/>
      </c>
      <c r="AK343" t="str">
        <f>IF($A343="","",$Y343*IFERROR($G343/$L343,0)+$Z343*IFERROR($J343/$P343,0))</f>
        <v/>
      </c>
      <c r="AL343" t="str">
        <f>IF($A343="","",$AA343*IFERROR($AC343/$AD343,0))</f>
        <v/>
      </c>
      <c r="AM343" t="str">
        <f>IF($A343="","",$AB343*IFERROR($AG343/$AH343,0)*IFERROR($AE343/$AF343,0)*IFERROR($AC343/$AD343,0))</f>
        <v/>
      </c>
      <c r="AN343" t="str">
        <f>IF($A343="","",$I343-($AI343+$AJ343+$AK343+$AL343+$AM343+$AR343))</f>
        <v/>
      </c>
      <c r="AO343" t="str">
        <f>IF($A343="","",Allocation2!AE343)</f>
        <v/>
      </c>
      <c r="AP343" t="str">
        <f>IF($A343="","",IF(ALLOC!$N$2="VOL_EFF",$Q343,IF(ALLOC!$N$2="VOL_CLASS",$R343,$S343)))</f>
        <v/>
      </c>
      <c r="AQ343" t="str">
        <f>IF($A343="","",IF(ALLOC!$N$2="VOL_EFF",$T343,IF(ALLOC!$N$2="VOL_CLASS",$U343,$V343)))</f>
        <v/>
      </c>
      <c r="AR343" t="str">
        <f>IF($A343="","",$AO343*IFERROR($AP343/$AQ343,0)*IFERROR($AE343/$AF343,0)*IFERROR($AC343/$AD343,0))</f>
        <v/>
      </c>
    </row>
    <row r="344" spans="1:46" x14ac:dyDescent="0.45">
      <c r="A344" t="str">
        <f>IF(Allocation2!D344="","",Allocation2!D344)</f>
        <v/>
      </c>
      <c r="B344" t="str">
        <f>IF(Allocation2!E344="","",Allocation2!E344)</f>
        <v/>
      </c>
      <c r="C344" t="str">
        <f>IF(Allocation2!F344="","",Allocation2!F344)</f>
        <v/>
      </c>
      <c r="D344" t="str">
        <f>IF(Allocation2!G344="","",Allocation2!G344)</f>
        <v/>
      </c>
      <c r="E344" t="str">
        <f>IF(Allocation2!H344="","",Allocation2!H344)</f>
        <v/>
      </c>
      <c r="F344" t="str">
        <f>IF(Allocation2!I344="","",Allocation2!I344)</f>
        <v/>
      </c>
      <c r="G344" t="str">
        <f>IF(Allocation2!E344="","",Allocation2!J344)</f>
        <v/>
      </c>
      <c r="H344" t="str">
        <f>IF(Allocation2!E344="","",Allocation2!K344)</f>
        <v/>
      </c>
      <c r="I344" t="str">
        <f>IF(Allocation2!E344="","",Allocation2!L344)</f>
        <v/>
      </c>
      <c r="J344" t="str">
        <f>IF($A344="","",Allocation2!X344)</f>
        <v/>
      </c>
      <c r="K344" t="str">
        <f>IF($A344="","",$H344*IF(AND(LEFT($D344,3)="BAC",$F344="INIT"),600,IF(LEFT($D344,3)="BAC",480,IF(AND(LEFT($D344,3)="MAS",$F344="INIT"),520,IF(LEFT($D344,3)="MAS",420,IF($F344="INIT",1000,700))))))</f>
        <v/>
      </c>
      <c r="L344" t="str">
        <f>IF($A344="","",SUMIFS($G$1:$G$349,$A$1:$A$349,$A344,$B$1:$B$349,$B344))</f>
        <v/>
      </c>
      <c r="M344" t="str">
        <f>IF($A344="","",SUMIFS($H$1:$H$349,$A$1:$A$349,$A344,$B$1:$B$349,$B344))</f>
        <v/>
      </c>
      <c r="N344" t="str">
        <f>IF($A344="","",SUMIFS($I$1:$I$349,$A$1:$A$349,$A344,$B$1:$B$349,$B344))</f>
        <v/>
      </c>
      <c r="O344" t="str">
        <f>IF($A344="","",SUMIFS($K$1:$K$349,$A$1:$A$349,$A344,$B$1:$B$349,$B344))</f>
        <v/>
      </c>
      <c r="P344" t="str">
        <f>IF($A344="","",SUMIFS($J$1:$J$349,$A$1:$A$349,$A344,$B$1:$B$349,$B344))</f>
        <v/>
      </c>
      <c r="Q344" t="str">
        <f>IF($A344="","",SUMIFS($G$1:$G$349,$A$1:$A$349,$A344,$C$1:$C$349,$C344))</f>
        <v/>
      </c>
      <c r="R344" t="str">
        <f>IF($A344="","",SUMIFS($H$1:$H$349,$A$1:$A$349,$A344,$C$1:$C$349,$C344))</f>
        <v/>
      </c>
      <c r="S344" t="str">
        <f>IF($A344="","",SUMIFS($I$1:$I$349,$A$1:$A$349,$A344,$C$1:$C$349,$C344))</f>
        <v/>
      </c>
      <c r="T344" t="str">
        <f>IF($A344="","",SUMIFS($G$1:$G$349,$A$1:$A$349,$A344))</f>
        <v/>
      </c>
      <c r="U344" t="str">
        <f>IF($A344="","",SUMIFS($H$1:$H$349,$A$1:$A$349,$A344))</f>
        <v/>
      </c>
      <c r="V344" t="str">
        <f>IF($A344="","",SUMIFS($I$1:$I$349,$A$1:$A$349,$A344))</f>
        <v/>
      </c>
      <c r="W344" t="str">
        <f>IF($A344="","",Allocation2!Y344)</f>
        <v/>
      </c>
      <c r="X344" t="str">
        <f>IF($A344="","",Allocation2!Z344)</f>
        <v/>
      </c>
      <c r="Y344" t="str">
        <f>IF($A344="","",Allocation2!AA344)</f>
        <v/>
      </c>
      <c r="Z344" t="str">
        <f>IF($A344="","",Allocation2!AB344)</f>
        <v/>
      </c>
      <c r="AA344" t="str">
        <f>IF($A344="","",Allocation2!AC344)</f>
        <v/>
      </c>
      <c r="AB344" t="str">
        <f>IF($A344="","",Allocation2!AD344)</f>
        <v/>
      </c>
      <c r="AC344" t="str">
        <f>IF($A344="","",IF(ALLOC!$N$4="VOL_EFF",$G344,IF(ALLOC!$N$4="VOL_CLASS",$H344,$I344)))</f>
        <v/>
      </c>
      <c r="AD344" t="str">
        <f>IF($A344="","",IF(ALLOC!$N$4="VOL_EFF",$L344,IF(ALLOC!$N$4="VOL_CLASS",$M344,$N344)))</f>
        <v/>
      </c>
      <c r="AE344" t="str">
        <f>IF($A344="","",IF(ALLOC!$N$3="VOL_EFF",$L344,IF(ALLOC!$N$3="VOL_CLASS",$M344,$N344)))</f>
        <v/>
      </c>
      <c r="AF344" t="str">
        <f>IF($A344="","",IF(ALLOC!$N$3="VOL_EFF",$Q344,IF(ALLOC!$N$3="VOL_CLASS",$R344,$S344)))</f>
        <v/>
      </c>
      <c r="AG344" t="str">
        <f>IF($A344="","",IF(ALLOC!$N$1="VOL_EFF",$Q344,IF(ALLOC!$N$1="VOL_CLASS",$R344,$S344)))</f>
        <v/>
      </c>
      <c r="AH344" t="str">
        <f>IF($A344="","",IF(ALLOC!$N$1="VOL_EFF",$T344,IF(ALLOC!$N$1="VOL_CLASS",$U344,$V344)))</f>
        <v/>
      </c>
      <c r="AI344" t="str">
        <f>IF($A344="","",$W344*IFERROR($K344/$O344,0))</f>
        <v/>
      </c>
      <c r="AJ344" t="str">
        <f>IF($A344="","",$X344*IFERROR($K344/$O344,0))</f>
        <v/>
      </c>
      <c r="AK344" t="str">
        <f>IF($A344="","",$Y344*IFERROR($G344/$L344,0)+$Z344*IFERROR($J344/$P344,0))</f>
        <v/>
      </c>
      <c r="AL344" t="str">
        <f>IF($A344="","",$AA344*IFERROR($AC344/$AD344,0))</f>
        <v/>
      </c>
      <c r="AM344" t="str">
        <f>IF($A344="","",$AB344*IFERROR($AG344/$AH344,0)*IFERROR($AE344/$AF344,0)*IFERROR($AC344/$AD344,0))</f>
        <v/>
      </c>
      <c r="AN344" t="str">
        <f>IF($A344="","",$I344-($AI344+$AJ344+$AK344+$AL344+$AM344+$AR344))</f>
        <v/>
      </c>
      <c r="AO344" t="str">
        <f>IF($A344="","",Allocation2!AE344)</f>
        <v/>
      </c>
      <c r="AP344" t="str">
        <f>IF($A344="","",IF(ALLOC!$N$2="VOL_EFF",$Q344,IF(ALLOC!$N$2="VOL_CLASS",$R344,$S344)))</f>
        <v/>
      </c>
      <c r="AQ344" t="str">
        <f>IF($A344="","",IF(ALLOC!$N$2="VOL_EFF",$T344,IF(ALLOC!$N$2="VOL_CLASS",$U344,$V344)))</f>
        <v/>
      </c>
      <c r="AR344" t="str">
        <f>IF($A344="","",$AO344*IFERROR($AP344/$AQ344,0)*IFERROR($AE344/$AF344,0)*IFERROR($AC344/$AD344,0))</f>
        <v/>
      </c>
    </row>
    <row r="345" spans="1:46" x14ac:dyDescent="0.45">
      <c r="A345" t="str">
        <f>IF(Allocation2!D345="","",Allocation2!D345)</f>
        <v/>
      </c>
      <c r="B345" t="str">
        <f>IF(Allocation2!E345="","",Allocation2!E345)</f>
        <v/>
      </c>
      <c r="C345" t="str">
        <f>IF(Allocation2!F345="","",Allocation2!F345)</f>
        <v/>
      </c>
      <c r="D345" t="str">
        <f>IF(Allocation2!G345="","",Allocation2!G345)</f>
        <v/>
      </c>
      <c r="E345" t="str">
        <f>IF(Allocation2!H345="","",Allocation2!H345)</f>
        <v/>
      </c>
      <c r="F345" t="str">
        <f>IF(Allocation2!I345="","",Allocation2!I345)</f>
        <v/>
      </c>
      <c r="G345" t="str">
        <f>IF(Allocation2!E345="","",Allocation2!J345)</f>
        <v/>
      </c>
      <c r="H345" t="str">
        <f>IF(Allocation2!E345="","",Allocation2!K345)</f>
        <v/>
      </c>
      <c r="I345" t="str">
        <f>IF(Allocation2!E345="","",Allocation2!L345)</f>
        <v/>
      </c>
      <c r="J345" t="str">
        <f>IF($A345="","",Allocation2!X345)</f>
        <v/>
      </c>
      <c r="K345" t="str">
        <f>IF($A345="","",$H345*IF(AND(LEFT($D345,3)="BAC",$F345="INIT"),600,IF(LEFT($D345,3)="BAC",480,IF(AND(LEFT($D345,3)="MAS",$F345="INIT"),520,IF(LEFT($D345,3)="MAS",420,IF($F345="INIT",1000,700))))))</f>
        <v/>
      </c>
      <c r="L345" t="str">
        <f>IF($A345="","",SUMIFS($G$1:$G$349,$A$1:$A$349,$A345,$B$1:$B$349,$B345))</f>
        <v/>
      </c>
      <c r="M345" t="str">
        <f>IF($A345="","",SUMIFS($H$1:$H$349,$A$1:$A$349,$A345,$B$1:$B$349,$B345))</f>
        <v/>
      </c>
      <c r="N345" t="str">
        <f>IF($A345="","",SUMIFS($I$1:$I$349,$A$1:$A$349,$A345,$B$1:$B$349,$B345))</f>
        <v/>
      </c>
      <c r="O345" t="str">
        <f>IF($A345="","",SUMIFS($K$1:$K$349,$A$1:$A$349,$A345,$B$1:$B$349,$B345))</f>
        <v/>
      </c>
      <c r="P345" t="str">
        <f>IF($A345="","",SUMIFS($J$1:$J$349,$A$1:$A$349,$A345,$B$1:$B$349,$B345))</f>
        <v/>
      </c>
      <c r="Q345" t="str">
        <f>IF($A345="","",SUMIFS($G$1:$G$349,$A$1:$A$349,$A345,$C$1:$C$349,$C345))</f>
        <v/>
      </c>
      <c r="R345" t="str">
        <f>IF($A345="","",SUMIFS($H$1:$H$349,$A$1:$A$349,$A345,$C$1:$C$349,$C345))</f>
        <v/>
      </c>
      <c r="S345" t="str">
        <f>IF($A345="","",SUMIFS($I$1:$I$349,$A$1:$A$349,$A345,$C$1:$C$349,$C345))</f>
        <v/>
      </c>
      <c r="T345" t="str">
        <f>IF($A345="","",SUMIFS($G$1:$G$349,$A$1:$A$349,$A345))</f>
        <v/>
      </c>
      <c r="U345" t="str">
        <f>IF($A345="","",SUMIFS($H$1:$H$349,$A$1:$A$349,$A345))</f>
        <v/>
      </c>
      <c r="V345" t="str">
        <f>IF($A345="","",SUMIFS($I$1:$I$349,$A$1:$A$349,$A345))</f>
        <v/>
      </c>
      <c r="W345" t="str">
        <f>IF($A345="","",Allocation2!Y345)</f>
        <v/>
      </c>
      <c r="X345" t="str">
        <f>IF($A345="","",Allocation2!Z345)</f>
        <v/>
      </c>
      <c r="Y345" t="str">
        <f>IF($A345="","",Allocation2!AA345)</f>
        <v/>
      </c>
      <c r="Z345" t="str">
        <f>IF($A345="","",Allocation2!AB345)</f>
        <v/>
      </c>
      <c r="AA345" t="str">
        <f>IF($A345="","",Allocation2!AC345)</f>
        <v/>
      </c>
      <c r="AB345" t="str">
        <f>IF($A345="","",Allocation2!AD345)</f>
        <v/>
      </c>
      <c r="AC345" t="str">
        <f>IF($A345="","",IF(ALLOC!$N$4="VOL_EFF",$G345,IF(ALLOC!$N$4="VOL_CLASS",$H345,$I345)))</f>
        <v/>
      </c>
      <c r="AD345" t="str">
        <f>IF($A345="","",IF(ALLOC!$N$4="VOL_EFF",$L345,IF(ALLOC!$N$4="VOL_CLASS",$M345,$N345)))</f>
        <v/>
      </c>
      <c r="AE345" t="str">
        <f>IF($A345="","",IF(ALLOC!$N$3="VOL_EFF",$L345,IF(ALLOC!$N$3="VOL_CLASS",$M345,$N345)))</f>
        <v/>
      </c>
      <c r="AF345" t="str">
        <f>IF($A345="","",IF(ALLOC!$N$3="VOL_EFF",$Q345,IF(ALLOC!$N$3="VOL_CLASS",$R345,$S345)))</f>
        <v/>
      </c>
      <c r="AG345" t="str">
        <f>IF($A345="","",IF(ALLOC!$N$1="VOL_EFF",$Q345,IF(ALLOC!$N$1="VOL_CLASS",$R345,$S345)))</f>
        <v/>
      </c>
      <c r="AH345" t="str">
        <f>IF($A345="","",IF(ALLOC!$N$1="VOL_EFF",$T345,IF(ALLOC!$N$1="VOL_CLASS",$U345,$V345)))</f>
        <v/>
      </c>
      <c r="AI345" t="str">
        <f>IF($A345="","",$W345*IFERROR($K345/$O345,0))</f>
        <v/>
      </c>
      <c r="AJ345" t="str">
        <f>IF($A345="","",$X345*IFERROR($K345/$O345,0))</f>
        <v/>
      </c>
      <c r="AK345" t="str">
        <f>IF($A345="","",$Y345*IFERROR($G345/$L345,0)+$Z345*IFERROR($J345/$P345,0))</f>
        <v/>
      </c>
      <c r="AL345" t="str">
        <f>IF($A345="","",$AA345*IFERROR($AC345/$AD345,0))</f>
        <v/>
      </c>
      <c r="AM345" t="str">
        <f>IF($A345="","",$AB345*IFERROR($AG345/$AH345,0)*IFERROR($AE345/$AF345,0)*IFERROR($AC345/$AD345,0))</f>
        <v/>
      </c>
      <c r="AN345" t="str">
        <f>IF($A345="","",$I345-($AI345+$AJ345+$AK345+$AL345+$AM345+$AR345))</f>
        <v/>
      </c>
      <c r="AO345" t="str">
        <f>IF($A345="","",Allocation2!AE345)</f>
        <v/>
      </c>
      <c r="AP345" t="str">
        <f>IF($A345="","",IF(ALLOC!$N$2="VOL_EFF",$Q345,IF(ALLOC!$N$2="VOL_CLASS",$R345,$S345)))</f>
        <v/>
      </c>
      <c r="AQ345" t="str">
        <f>IF($A345="","",IF(ALLOC!$N$2="VOL_EFF",$T345,IF(ALLOC!$N$2="VOL_CLASS",$U345,$V345)))</f>
        <v/>
      </c>
      <c r="AR345" t="str">
        <f>IF($A345="","",$AO345*IFERROR($AP345/$AQ345,0)*IFERROR($AE345/$AF345,0)*IFERROR($AC345/$AD345,0))</f>
        <v/>
      </c>
    </row>
    <row r="346" spans="1:46" x14ac:dyDescent="0.45">
      <c r="A346" t="str">
        <f>IF(Allocation2!D346="","",Allocation2!D346)</f>
        <v/>
      </c>
      <c r="B346" t="str">
        <f>IF(Allocation2!E346="","",Allocation2!E346)</f>
        <v/>
      </c>
      <c r="C346" t="str">
        <f>IF(Allocation2!F346="","",Allocation2!F346)</f>
        <v/>
      </c>
      <c r="D346" t="str">
        <f>IF(Allocation2!G346="","",Allocation2!G346)</f>
        <v/>
      </c>
      <c r="E346" t="str">
        <f>IF(Allocation2!H346="","",Allocation2!H346)</f>
        <v/>
      </c>
      <c r="F346" t="str">
        <f>IF(Allocation2!I346="","",Allocation2!I346)</f>
        <v/>
      </c>
      <c r="G346" t="str">
        <f>IF(Allocation2!E346="","",Allocation2!J346)</f>
        <v/>
      </c>
      <c r="H346" t="str">
        <f>IF(Allocation2!E346="","",Allocation2!K346)</f>
        <v/>
      </c>
      <c r="I346" t="str">
        <f>IF(Allocation2!E346="","",Allocation2!L346)</f>
        <v/>
      </c>
      <c r="J346" t="str">
        <f>IF($A346="","",Allocation2!X346)</f>
        <v/>
      </c>
      <c r="K346" t="str">
        <f>IF($A346="","",$H346*IF(AND(LEFT($D346,3)="BAC",$F346="INIT"),600,IF(LEFT($D346,3)="BAC",480,IF(AND(LEFT($D346,3)="MAS",$F346="INIT"),520,IF(LEFT($D346,3)="MAS",420,IF($F346="INIT",1000,700))))))</f>
        <v/>
      </c>
      <c r="L346" t="str">
        <f>IF($A346="","",SUMIFS($G$1:$G$349,$A$1:$A$349,$A346,$B$1:$B$349,$B346))</f>
        <v/>
      </c>
      <c r="M346" t="str">
        <f>IF($A346="","",SUMIFS($H$1:$H$349,$A$1:$A$349,$A346,$B$1:$B$349,$B346))</f>
        <v/>
      </c>
      <c r="N346" t="str">
        <f>IF($A346="","",SUMIFS($I$1:$I$349,$A$1:$A$349,$A346,$B$1:$B$349,$B346))</f>
        <v/>
      </c>
      <c r="O346" t="str">
        <f>IF($A346="","",SUMIFS($K$1:$K$349,$A$1:$A$349,$A346,$B$1:$B$349,$B346))</f>
        <v/>
      </c>
      <c r="P346" t="str">
        <f>IF($A346="","",SUMIFS($J$1:$J$349,$A$1:$A$349,$A346,$B$1:$B$349,$B346))</f>
        <v/>
      </c>
      <c r="Q346" t="str">
        <f>IF($A346="","",SUMIFS($G$1:$G$349,$A$1:$A$349,$A346,$C$1:$C$349,$C346))</f>
        <v/>
      </c>
      <c r="R346" t="str">
        <f>IF($A346="","",SUMIFS($H$1:$H$349,$A$1:$A$349,$A346,$C$1:$C$349,$C346))</f>
        <v/>
      </c>
      <c r="S346" t="str">
        <f>IF($A346="","",SUMIFS($I$1:$I$349,$A$1:$A$349,$A346,$C$1:$C$349,$C346))</f>
        <v/>
      </c>
      <c r="T346" t="str">
        <f>IF($A346="","",SUMIFS($G$1:$G$349,$A$1:$A$349,$A346))</f>
        <v/>
      </c>
      <c r="U346" t="str">
        <f>IF($A346="","",SUMIFS($H$1:$H$349,$A$1:$A$349,$A346))</f>
        <v/>
      </c>
      <c r="V346" t="str">
        <f>IF($A346="","",SUMIFS($I$1:$I$349,$A$1:$A$349,$A346))</f>
        <v/>
      </c>
      <c r="W346" t="str">
        <f>IF($A346="","",Allocation2!Y346)</f>
        <v/>
      </c>
      <c r="X346" t="str">
        <f>IF($A346="","",Allocation2!Z346)</f>
        <v/>
      </c>
      <c r="Y346" t="str">
        <f>IF($A346="","",Allocation2!AA346)</f>
        <v/>
      </c>
      <c r="Z346" t="str">
        <f>IF($A346="","",Allocation2!AB346)</f>
        <v/>
      </c>
      <c r="AA346" t="str">
        <f>IF($A346="","",Allocation2!AC346)</f>
        <v/>
      </c>
      <c r="AB346" t="str">
        <f>IF($A346="","",Allocation2!AD346)</f>
        <v/>
      </c>
      <c r="AC346" t="str">
        <f>IF($A346="","",IF(ALLOC!$N$4="VOL_EFF",$G346,IF(ALLOC!$N$4="VOL_CLASS",$H346,$I346)))</f>
        <v/>
      </c>
      <c r="AD346" t="str">
        <f>IF($A346="","",IF(ALLOC!$N$4="VOL_EFF",$L346,IF(ALLOC!$N$4="VOL_CLASS",$M346,$N346)))</f>
        <v/>
      </c>
      <c r="AE346" t="str">
        <f>IF($A346="","",IF(ALLOC!$N$3="VOL_EFF",$L346,IF(ALLOC!$N$3="VOL_CLASS",$M346,$N346)))</f>
        <v/>
      </c>
      <c r="AF346" t="str">
        <f>IF($A346="","",IF(ALLOC!$N$3="VOL_EFF",$Q346,IF(ALLOC!$N$3="VOL_CLASS",$R346,$S346)))</f>
        <v/>
      </c>
      <c r="AG346" t="str">
        <f>IF($A346="","",IF(ALLOC!$N$1="VOL_EFF",$Q346,IF(ALLOC!$N$1="VOL_CLASS",$R346,$S346)))</f>
        <v/>
      </c>
      <c r="AH346" t="str">
        <f>IF($A346="","",IF(ALLOC!$N$1="VOL_EFF",$T346,IF(ALLOC!$N$1="VOL_CLASS",$U346,$V346)))</f>
        <v/>
      </c>
      <c r="AI346" t="str">
        <f>IF($A346="","",$W346*IFERROR($K346/$O346,0))</f>
        <v/>
      </c>
      <c r="AJ346" t="str">
        <f>IF($A346="","",$X346*IFERROR($K346/$O346,0))</f>
        <v/>
      </c>
      <c r="AK346" t="str">
        <f>IF($A346="","",$Y346*IFERROR($G346/$L346,0)+$Z346*IFERROR($J346/$P346,0))</f>
        <v/>
      </c>
      <c r="AL346" t="str">
        <f>IF($A346="","",$AA346*IFERROR($AC346/$AD346,0))</f>
        <v/>
      </c>
      <c r="AM346" t="str">
        <f>IF($A346="","",$AB346*IFERROR($AG346/$AH346,0)*IFERROR($AE346/$AF346,0)*IFERROR($AC346/$AD346,0))</f>
        <v/>
      </c>
      <c r="AN346" t="str">
        <f>IF($A346="","",$I346-($AI346+$AJ346+$AK346+$AL346+$AM346+$AR346))</f>
        <v/>
      </c>
      <c r="AO346" t="str">
        <f>IF($A346="","",Allocation2!AE346)</f>
        <v/>
      </c>
      <c r="AP346" t="str">
        <f>IF($A346="","",IF(ALLOC!$N$2="VOL_EFF",$Q346,IF(ALLOC!$N$2="VOL_CLASS",$R346,$S346)))</f>
        <v/>
      </c>
      <c r="AQ346" t="str">
        <f>IF($A346="","",IF(ALLOC!$N$2="VOL_EFF",$T346,IF(ALLOC!$N$2="VOL_CLASS",$U346,$V346)))</f>
        <v/>
      </c>
      <c r="AR346" t="str">
        <f>IF($A346="","",$AO346*IFERROR($AP346/$AQ346,0)*IFERROR($AE346/$AF346,0)*IFERROR($AC346/$AD346,0))</f>
        <v/>
      </c>
    </row>
    <row r="347" spans="1:46" x14ac:dyDescent="0.45">
      <c r="A347" t="str">
        <f>IF(Allocation2!D347="","",Allocation2!D347)</f>
        <v/>
      </c>
      <c r="B347" t="str">
        <f>IF(Allocation2!E347="","",Allocation2!E347)</f>
        <v/>
      </c>
      <c r="C347" t="str">
        <f>IF(Allocation2!F347="","",Allocation2!F347)</f>
        <v/>
      </c>
      <c r="D347" t="str">
        <f>IF(Allocation2!G347="","",Allocation2!G347)</f>
        <v/>
      </c>
      <c r="E347" t="str">
        <f>IF(Allocation2!H347="","",Allocation2!H347)</f>
        <v/>
      </c>
      <c r="F347" t="str">
        <f>IF(Allocation2!I347="","",Allocation2!I347)</f>
        <v/>
      </c>
      <c r="G347" t="str">
        <f>IF(Allocation2!E347="","",Allocation2!J347)</f>
        <v/>
      </c>
      <c r="H347" t="str">
        <f>IF(Allocation2!E347="","",Allocation2!K347)</f>
        <v/>
      </c>
      <c r="I347" t="str">
        <f>IF(Allocation2!E347="","",Allocation2!L347)</f>
        <v/>
      </c>
      <c r="J347" t="str">
        <f>IF($A347="","",Allocation2!X347)</f>
        <v/>
      </c>
      <c r="K347" t="str">
        <f>IF($A347="","",$H347*IF(AND(LEFT($D347,3)="BAC",$F347="INIT"),600,IF(LEFT($D347,3)="BAC",480,IF(AND(LEFT($D347,3)="MAS",$F347="INIT"),520,IF(LEFT($D347,3)="MAS",420,IF($F347="INIT",1000,700))))))</f>
        <v/>
      </c>
      <c r="L347" t="str">
        <f>IF($A347="","",SUMIFS($G$1:$G$349,$A$1:$A$349,$A347,$B$1:$B$349,$B347))</f>
        <v/>
      </c>
      <c r="M347" t="str">
        <f>IF($A347="","",SUMIFS($H$1:$H$349,$A$1:$A$349,$A347,$B$1:$B$349,$B347))</f>
        <v/>
      </c>
      <c r="N347" t="str">
        <f>IF($A347="","",SUMIFS($I$1:$I$349,$A$1:$A$349,$A347,$B$1:$B$349,$B347))</f>
        <v/>
      </c>
      <c r="O347" t="str">
        <f>IF($A347="","",SUMIFS($K$1:$K$349,$A$1:$A$349,$A347,$B$1:$B$349,$B347))</f>
        <v/>
      </c>
      <c r="P347" t="str">
        <f>IF($A347="","",SUMIFS($J$1:$J$349,$A$1:$A$349,$A347,$B$1:$B$349,$B347))</f>
        <v/>
      </c>
      <c r="Q347" t="str">
        <f>IF($A347="","",SUMIFS($G$1:$G$349,$A$1:$A$349,$A347,$C$1:$C$349,$C347))</f>
        <v/>
      </c>
      <c r="R347" t="str">
        <f>IF($A347="","",SUMIFS($H$1:$H$349,$A$1:$A$349,$A347,$C$1:$C$349,$C347))</f>
        <v/>
      </c>
      <c r="S347" t="str">
        <f>IF($A347="","",SUMIFS($I$1:$I$349,$A$1:$A$349,$A347,$C$1:$C$349,$C347))</f>
        <v/>
      </c>
      <c r="T347" t="str">
        <f>IF($A347="","",SUMIFS($G$1:$G$349,$A$1:$A$349,$A347))</f>
        <v/>
      </c>
      <c r="U347" t="str">
        <f>IF($A347="","",SUMIFS($H$1:$H$349,$A$1:$A$349,$A347))</f>
        <v/>
      </c>
      <c r="V347" t="str">
        <f>IF($A347="","",SUMIFS($I$1:$I$349,$A$1:$A$349,$A347))</f>
        <v/>
      </c>
      <c r="W347" t="str">
        <f>IF($A347="","",Allocation2!Y347)</f>
        <v/>
      </c>
      <c r="X347" t="str">
        <f>IF($A347="","",Allocation2!Z347)</f>
        <v/>
      </c>
      <c r="Y347" t="str">
        <f>IF($A347="","",Allocation2!AA347)</f>
        <v/>
      </c>
      <c r="Z347" t="str">
        <f>IF($A347="","",Allocation2!AB347)</f>
        <v/>
      </c>
      <c r="AA347" t="str">
        <f>IF($A347="","",Allocation2!AC347)</f>
        <v/>
      </c>
      <c r="AB347" t="str">
        <f>IF($A347="","",Allocation2!AD347)</f>
        <v/>
      </c>
      <c r="AC347" t="str">
        <f>IF($A347="","",IF(ALLOC!$N$4="VOL_EFF",$G347,IF(ALLOC!$N$4="VOL_CLASS",$H347,$I347)))</f>
        <v/>
      </c>
      <c r="AD347" t="str">
        <f>IF($A347="","",IF(ALLOC!$N$4="VOL_EFF",$L347,IF(ALLOC!$N$4="VOL_CLASS",$M347,$N347)))</f>
        <v/>
      </c>
      <c r="AE347" t="str">
        <f>IF($A347="","",IF(ALLOC!$N$3="VOL_EFF",$L347,IF(ALLOC!$N$3="VOL_CLASS",$M347,$N347)))</f>
        <v/>
      </c>
      <c r="AF347" t="str">
        <f>IF($A347="","",IF(ALLOC!$N$3="VOL_EFF",$Q347,IF(ALLOC!$N$3="VOL_CLASS",$R347,$S347)))</f>
        <v/>
      </c>
      <c r="AG347" t="str">
        <f>IF($A347="","",IF(ALLOC!$N$1="VOL_EFF",$Q347,IF(ALLOC!$N$1="VOL_CLASS",$R347,$S347)))</f>
        <v/>
      </c>
      <c r="AH347" t="str">
        <f>IF($A347="","",IF(ALLOC!$N$1="VOL_EFF",$T347,IF(ALLOC!$N$1="VOL_CLASS",$U347,$V347)))</f>
        <v/>
      </c>
      <c r="AI347" t="str">
        <f>IF($A347="","",$W347*IFERROR($K347/$O347,0))</f>
        <v/>
      </c>
      <c r="AJ347" t="str">
        <f>IF($A347="","",$X347*IFERROR($K347/$O347,0))</f>
        <v/>
      </c>
      <c r="AK347" t="str">
        <f>IF($A347="","",$Y347*IFERROR($G347/$L347,0)+$Z347*IFERROR($J347/$P347,0))</f>
        <v/>
      </c>
      <c r="AL347" t="str">
        <f>IF($A347="","",$AA347*IFERROR($AC347/$AD347,0))</f>
        <v/>
      </c>
      <c r="AM347" t="str">
        <f>IF($A347="","",$AB347*IFERROR($AG347/$AH347,0)*IFERROR($AE347/$AF347,0)*IFERROR($AC347/$AD347,0))</f>
        <v/>
      </c>
      <c r="AN347" t="str">
        <f>IF($A347="","",$I347-($AI347+$AJ347+$AK347+$AL347+$AM347+$AR347))</f>
        <v/>
      </c>
      <c r="AO347" t="str">
        <f>IF($A347="","",Allocation2!AE347)</f>
        <v/>
      </c>
      <c r="AP347" t="str">
        <f>IF($A347="","",IF(ALLOC!$N$2="VOL_EFF",$Q347,IF(ALLOC!$N$2="VOL_CLASS",$R347,$S347)))</f>
        <v/>
      </c>
      <c r="AQ347" t="str">
        <f>IF($A347="","",IF(ALLOC!$N$2="VOL_EFF",$T347,IF(ALLOC!$N$2="VOL_CLASS",$U347,$V347)))</f>
        <v/>
      </c>
      <c r="AR347" t="str">
        <f>IF($A347="","",$AO347*IFERROR($AP347/$AQ347,0)*IFERROR($AE347/$AF347,0)*IFERROR($AC347/$AD347,0))</f>
        <v/>
      </c>
    </row>
    <row r="348" spans="1:46" x14ac:dyDescent="0.45">
      <c r="A348" t="str">
        <f>IF(Allocation2!D348="","",Allocation2!D348)</f>
        <v/>
      </c>
      <c r="B348" t="str">
        <f>IF(Allocation2!E348="","",Allocation2!E348)</f>
        <v/>
      </c>
      <c r="C348" t="str">
        <f>IF(Allocation2!F348="","",Allocation2!F348)</f>
        <v/>
      </c>
      <c r="D348" t="str">
        <f>IF(Allocation2!G348="","",Allocation2!G348)</f>
        <v/>
      </c>
      <c r="E348" t="str">
        <f>IF(Allocation2!H348="","",Allocation2!H348)</f>
        <v/>
      </c>
      <c r="F348" t="str">
        <f>IF(Allocation2!I348="","",Allocation2!I348)</f>
        <v/>
      </c>
      <c r="G348" t="str">
        <f>IF(Allocation2!E348="","",Allocation2!J348)</f>
        <v/>
      </c>
      <c r="H348" t="str">
        <f>IF(Allocation2!E348="","",Allocation2!K348)</f>
        <v/>
      </c>
      <c r="I348" t="str">
        <f>IF(Allocation2!E348="","",Allocation2!L348)</f>
        <v/>
      </c>
      <c r="J348" t="str">
        <f>IF($A348="","",Allocation2!X348)</f>
        <v/>
      </c>
      <c r="K348" t="str">
        <f>IF($A348="","",$H348*IF(AND(LEFT($D348,3)="BAC",$F348="INIT"),600,IF(LEFT($D348,3)="BAC",480,IF(AND(LEFT($D348,3)="MAS",$F348="INIT"),520,IF(LEFT($D348,3)="MAS",420,IF($F348="INIT",1000,700))))))</f>
        <v/>
      </c>
      <c r="L348" t="str">
        <f>IF($A348="","",SUMIFS($G$1:$G$349,$A$1:$A$349,$A348,$B$1:$B$349,$B348))</f>
        <v/>
      </c>
      <c r="M348" t="str">
        <f>IF($A348="","",SUMIFS($H$1:$H$349,$A$1:$A$349,$A348,$B$1:$B$349,$B348))</f>
        <v/>
      </c>
      <c r="N348" t="str">
        <f>IF($A348="","",SUMIFS($I$1:$I$349,$A$1:$A$349,$A348,$B$1:$B$349,$B348))</f>
        <v/>
      </c>
      <c r="O348" t="str">
        <f>IF($A348="","",SUMIFS($K$1:$K$349,$A$1:$A$349,$A348,$B$1:$B$349,$B348))</f>
        <v/>
      </c>
      <c r="P348" t="str">
        <f>IF($A348="","",SUMIFS($J$1:$J$349,$A$1:$A$349,$A348,$B$1:$B$349,$B348))</f>
        <v/>
      </c>
      <c r="Q348" t="str">
        <f>IF($A348="","",SUMIFS($G$1:$G$349,$A$1:$A$349,$A348,$C$1:$C$349,$C348))</f>
        <v/>
      </c>
      <c r="R348" t="str">
        <f>IF($A348="","",SUMIFS($H$1:$H$349,$A$1:$A$349,$A348,$C$1:$C$349,$C348))</f>
        <v/>
      </c>
      <c r="S348" t="str">
        <f>IF($A348="","",SUMIFS($I$1:$I$349,$A$1:$A$349,$A348,$C$1:$C$349,$C348))</f>
        <v/>
      </c>
      <c r="T348" t="str">
        <f>IF($A348="","",SUMIFS($G$1:$G$349,$A$1:$A$349,$A348))</f>
        <v/>
      </c>
      <c r="U348" t="str">
        <f>IF($A348="","",SUMIFS($H$1:$H$349,$A$1:$A$349,$A348))</f>
        <v/>
      </c>
      <c r="V348" t="str">
        <f>IF($A348="","",SUMIFS($I$1:$I$349,$A$1:$A$349,$A348))</f>
        <v/>
      </c>
      <c r="W348" t="str">
        <f>IF($A348="","",Allocation2!Y348)</f>
        <v/>
      </c>
      <c r="X348" t="str">
        <f>IF($A348="","",Allocation2!Z348)</f>
        <v/>
      </c>
      <c r="Y348" t="str">
        <f>IF($A348="","",Allocation2!AA348)</f>
        <v/>
      </c>
      <c r="Z348" t="str">
        <f>IF($A348="","",Allocation2!AB348)</f>
        <v/>
      </c>
      <c r="AA348" t="str">
        <f>IF($A348="","",Allocation2!AC348)</f>
        <v/>
      </c>
      <c r="AB348" t="str">
        <f>IF($A348="","",Allocation2!AD348)</f>
        <v/>
      </c>
      <c r="AC348" t="str">
        <f>IF($A348="","",IF(ALLOC!$N$4="VOL_EFF",$G348,IF(ALLOC!$N$4="VOL_CLASS",$H348,$I348)))</f>
        <v/>
      </c>
      <c r="AD348" t="str">
        <f>IF($A348="","",IF(ALLOC!$N$4="VOL_EFF",$L348,IF(ALLOC!$N$4="VOL_CLASS",$M348,$N348)))</f>
        <v/>
      </c>
      <c r="AE348" t="str">
        <f>IF($A348="","",IF(ALLOC!$N$3="VOL_EFF",$L348,IF(ALLOC!$N$3="VOL_CLASS",$M348,$N348)))</f>
        <v/>
      </c>
      <c r="AF348" t="str">
        <f>IF($A348="","",IF(ALLOC!$N$3="VOL_EFF",$Q348,IF(ALLOC!$N$3="VOL_CLASS",$R348,$S348)))</f>
        <v/>
      </c>
      <c r="AG348" t="str">
        <f>IF($A348="","",IF(ALLOC!$N$1="VOL_EFF",$Q348,IF(ALLOC!$N$1="VOL_CLASS",$R348,$S348)))</f>
        <v/>
      </c>
      <c r="AH348" t="str">
        <f>IF($A348="","",IF(ALLOC!$N$1="VOL_EFF",$T348,IF(ALLOC!$N$1="VOL_CLASS",$U348,$V348)))</f>
        <v/>
      </c>
      <c r="AI348" t="str">
        <f>IF($A348="","",$W348*IFERROR($K348/$O348,0))</f>
        <v/>
      </c>
      <c r="AJ348" t="str">
        <f>IF($A348="","",$X348*IFERROR($K348/$O348,0))</f>
        <v/>
      </c>
      <c r="AK348" t="str">
        <f>IF($A348="","",$Y348*IFERROR($G348/$L348,0)+$Z348*IFERROR($J348/$P348,0))</f>
        <v/>
      </c>
      <c r="AL348" t="str">
        <f>IF($A348="","",$AA348*IFERROR($AC348/$AD348,0))</f>
        <v/>
      </c>
      <c r="AM348" t="str">
        <f>IF($A348="","",$AB348*IFERROR($AG348/$AH348,0)*IFERROR($AE348/$AF348,0)*IFERROR($AC348/$AD348,0))</f>
        <v/>
      </c>
      <c r="AN348" t="str">
        <f>IF($A348="","",$I348-($AI348+$AJ348+$AK348+$AL348+$AM348+$AR348))</f>
        <v/>
      </c>
      <c r="AO348" t="str">
        <f>IF($A348="","",Allocation2!AE348)</f>
        <v/>
      </c>
      <c r="AP348" t="str">
        <f>IF($A348="","",IF(ALLOC!$N$2="VOL_EFF",$Q348,IF(ALLOC!$N$2="VOL_CLASS",$R348,$S348)))</f>
        <v/>
      </c>
      <c r="AQ348" t="str">
        <f>IF($A348="","",IF(ALLOC!$N$2="VOL_EFF",$T348,IF(ALLOC!$N$2="VOL_CLASS",$U348,$V348)))</f>
        <v/>
      </c>
      <c r="AR348" t="str">
        <f>IF($A348="","",$AO348*IFERROR($AP348/$AQ348,0)*IFERROR($AE348/$AF348,0)*IFERROR($AC348/$AD348,0))</f>
        <v/>
      </c>
    </row>
    <row r="349" spans="1:46" x14ac:dyDescent="0.45">
      <c r="A349" t="str">
        <f>IF(Allocation2!D349="","",Allocation2!D349)</f>
        <v/>
      </c>
      <c r="B349" t="str">
        <f>IF(Allocation2!E349="","",Allocation2!E349)</f>
        <v/>
      </c>
      <c r="C349" t="str">
        <f>IF(Allocation2!F349="","",Allocation2!F349)</f>
        <v/>
      </c>
      <c r="D349" t="str">
        <f>IF(Allocation2!G349="","",Allocation2!G349)</f>
        <v/>
      </c>
      <c r="E349" t="str">
        <f>IF(Allocation2!H349="","",Allocation2!H349)</f>
        <v/>
      </c>
      <c r="F349" t="str">
        <f>IF(Allocation2!I349="","",Allocation2!I349)</f>
        <v/>
      </c>
      <c r="G349" t="str">
        <f>IF(Allocation2!E349="","",Allocation2!J349)</f>
        <v/>
      </c>
      <c r="H349" t="str">
        <f>IF(Allocation2!E349="","",Allocation2!K349)</f>
        <v/>
      </c>
      <c r="I349" t="str">
        <f>IF(Allocation2!E349="","",Allocation2!L349)</f>
        <v/>
      </c>
      <c r="J349" t="str">
        <f>IF($A349="","",Allocation2!X349)</f>
        <v/>
      </c>
      <c r="K349" t="str">
        <f>IF($A349="","",$H349*IF(AND(LEFT($D349,3)="BAC",$F349="INIT"),600,IF(LEFT($D349,3)="BAC",480,IF(AND(LEFT($D349,3)="MAS",$F349="INIT"),520,IF(LEFT($D349,3)="MAS",420,IF($F349="INIT",1000,700))))))</f>
        <v/>
      </c>
      <c r="L349" t="str">
        <f>IF($A349="","",SUMIFS($G$1:$G$349,$A$1:$A$349,$A349,$B$1:$B$349,$B349))</f>
        <v/>
      </c>
      <c r="M349" t="str">
        <f>IF($A349="","",SUMIFS($H$1:$H$349,$A$1:$A$349,$A349,$B$1:$B$349,$B349))</f>
        <v/>
      </c>
      <c r="N349" t="str">
        <f>IF($A349="","",SUMIFS($I$1:$I$349,$A$1:$A$349,$A349,$B$1:$B$349,$B349))</f>
        <v/>
      </c>
      <c r="O349" t="str">
        <f>IF($A349="","",SUMIFS($K$1:$K$349,$A$1:$A$349,$A349,$B$1:$B$349,$B349))</f>
        <v/>
      </c>
      <c r="P349" t="str">
        <f>IF($A349="","",SUMIFS($J$1:$J$349,$A$1:$A$349,$A349,$B$1:$B$349,$B349))</f>
        <v/>
      </c>
      <c r="Q349" t="str">
        <f>IF($A349="","",SUMIFS($G$1:$G$349,$A$1:$A$349,$A349,$C$1:$C$349,$C349))</f>
        <v/>
      </c>
      <c r="R349" t="str">
        <f>IF($A349="","",SUMIFS($H$1:$H$349,$A$1:$A$349,$A349,$C$1:$C$349,$C349))</f>
        <v/>
      </c>
      <c r="S349" t="str">
        <f>IF($A349="","",SUMIFS($I$1:$I$349,$A$1:$A$349,$A349,$C$1:$C$349,$C349))</f>
        <v/>
      </c>
      <c r="T349" t="str">
        <f>IF($A349="","",SUMIFS($G$1:$G$349,$A$1:$A$349,$A349))</f>
        <v/>
      </c>
      <c r="U349" t="str">
        <f>IF($A349="","",SUMIFS($H$1:$H$349,$A$1:$A$349,$A349))</f>
        <v/>
      </c>
      <c r="V349" t="str">
        <f>IF($A349="","",SUMIFS($I$1:$I$349,$A$1:$A$349,$A349))</f>
        <v/>
      </c>
      <c r="W349" t="str">
        <f>IF($A349="","",Allocation2!Y349)</f>
        <v/>
      </c>
      <c r="X349" t="str">
        <f>IF($A349="","",Allocation2!Z349)</f>
        <v/>
      </c>
      <c r="Y349" t="str">
        <f>IF($A349="","",Allocation2!AA349)</f>
        <v/>
      </c>
      <c r="Z349" t="str">
        <f>IF($A349="","",Allocation2!AB349)</f>
        <v/>
      </c>
      <c r="AA349" t="str">
        <f>IF($A349="","",Allocation2!AC349)</f>
        <v/>
      </c>
      <c r="AB349" t="str">
        <f>IF($A349="","",Allocation2!AD349)</f>
        <v/>
      </c>
      <c r="AC349" t="str">
        <f>IF($A349="","",IF(ALLOC!$N$4="VOL_EFF",$G349,IF(ALLOC!$N$4="VOL_CLASS",$H349,$I349)))</f>
        <v/>
      </c>
      <c r="AD349" t="str">
        <f>IF($A349="","",IF(ALLOC!$N$4="VOL_EFF",$L349,IF(ALLOC!$N$4="VOL_CLASS",$M349,$N349)))</f>
        <v/>
      </c>
      <c r="AE349" t="str">
        <f>IF($A349="","",IF(ALLOC!$N$3="VOL_EFF",$L349,IF(ALLOC!$N$3="VOL_CLASS",$M349,$N349)))</f>
        <v/>
      </c>
      <c r="AF349" t="str">
        <f>IF($A349="","",IF(ALLOC!$N$3="VOL_EFF",$Q349,IF(ALLOC!$N$3="VOL_CLASS",$R349,$S349)))</f>
        <v/>
      </c>
      <c r="AG349" t="str">
        <f>IF($A349="","",IF(ALLOC!$N$1="VOL_EFF",$Q349,IF(ALLOC!$N$1="VOL_CLASS",$R349,$S349)))</f>
        <v/>
      </c>
      <c r="AH349" t="str">
        <f>IF($A349="","",IF(ALLOC!$N$1="VOL_EFF",$T349,IF(ALLOC!$N$1="VOL_CLASS",$U349,$V349)))</f>
        <v/>
      </c>
      <c r="AI349" t="str">
        <f>IF($A349="","",$W349*IFERROR($K349/$O349,0))</f>
        <v/>
      </c>
      <c r="AJ349" t="str">
        <f>IF($A349="","",$X349*IFERROR($K349/$O349,0))</f>
        <v/>
      </c>
      <c r="AK349" t="str">
        <f>IF($A349="","",$Y349*IFERROR($G349/$L349,0)+$Z349*IFERROR($J349/$P349,0))</f>
        <v/>
      </c>
      <c r="AL349" t="str">
        <f>IF($A349="","",$AA349*IFERROR($AC349/$AD349,0))</f>
        <v/>
      </c>
      <c r="AM349" t="str">
        <f>IF($A349="","",$AB349*IFERROR($AG349/$AH349,0)*IFERROR($AE349/$AF349,0)*IFERROR($AC349/$AD349,0))</f>
        <v/>
      </c>
      <c r="AN349" t="str">
        <f>IF($A349="","",$I349-($AI349+$AJ349+$AK349+$AL349+$AM349+$AR349))</f>
        <v/>
      </c>
      <c r="AO349" t="str">
        <f>IF($A349="","",Allocation2!AE349)</f>
        <v/>
      </c>
      <c r="AP349" t="str">
        <f>IF($A349="","",IF(ALLOC!$N$2="VOL_EFF",$Q349,IF(ALLOC!$N$2="VOL_CLASS",$R349,$S349)))</f>
        <v/>
      </c>
      <c r="AQ349" t="str">
        <f>IF($A349="","",IF(ALLOC!$N$2="VOL_EFF",$T349,IF(ALLOC!$N$2="VOL_CLASS",$U349,$V349)))</f>
        <v/>
      </c>
      <c r="AR349" t="str">
        <f>IF($A349="","",$AO349*IFERROR($AP349/$AQ349,0)*IFERROR($AE349/$AF349,0)*IFERROR($AC349/$AD349,0))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asyPacket version="1.0">
  <header version="35.0.0.6.tgk.20260209140819"/>
  <data>
    <be refId="0" clsId="MultiTemplateReportVO">
      <s key="code">TEST3</s>
      <a key="desc" refId="1" ln="4" eid="SYS_STR">
        <s>Alloc 2</s>
        <s>Alloc 2</s>
        <s>Alloc 2</s>
        <s>Alloc 2</s>
      </a>
      <be key="options" refId="2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e key="parallelizeWhat" refId="3" id="ParallWhatEnum">C</e>
        <b key="sheetNamesWithCode">N</b>
        <b key="eventsWithUnlockedSheets">N</b>
        <e key="includeTemplateInSheetName" refId="4" id="IncludeTemplateInSheetNameEnum">0</e>
        <b key="enableDrillDown">S</b>
        <u key="expControlloThreshold">1E-09</u>
        <b key="disableTGKFunctions">N</b>
        <e key="validateTransactional" refId="5" id="ValidateTransactionalEnum">C</e>
        <e key="disableLock" refId="6" id="DisableLockEnum">C</e>
        <e key="headManipPosition" refId="7" id="HeaderManipulatorPositionEnum">A</e>
        <e key="repEngine" refId="8" id="RepEngineEnum">CFG</e>
        <i key="grainSize">1000</i>
        <i key="dataLoadPSize">4</i>
        <i key="dataProcPSize">6</i>
        <b key="disableDataSaving">N</b>
      </be>
      <m key="templates" refId="9" keid="SYS_STR" veid="Reporting.com.tagetik.report.IReportTemplateVO,Reporting">
        <key>
          <s>Template00</s>
        </key>
        <val>
          <be refId="10" clsId="ReportTemplateVO">
            <s key="code">Template00</s>
            <s key="desc">cad</s>
            <m key="matrices" refId="11" keid="SYS_STR" veid="Reporting.com.tagetik.tables.IMatrixPositionBlockVO,Reporting">
              <key>
                <s>Matrix00</s>
              </key>
              <val>
                <be refId="12" clsId="MatrixPositionBlockVO">
                  <s key="positionID">Matrix00</s>
                  <be key="rows" refId="13" clsId="FilterNode">
                    <l key="dimensionOids" refId="14" ln="0" eid="DimensionOid"/>
                    <l key="AdHocParamDimensionOids" refId="15" ln="0" eid="DimensionOid"/>
                    <be key="data" refId="16" clsId="FilterNodeData">
                      <ref key="filterNode" refId="13"/>
                      <i key="segmentLevel">0</i>
                      <e key="segment" refId="17" id="SegmentEnum">CF</e>
                      <b key="placeHolder">N</b>
                      <e key="weight" refId="18" id="WeightEnum">S</e>
                      <be key="textMatchingCondition" refId="19" clsId="TextMatchingCondition">
                        <e key="op" refId="20" id="ComparisonOperatorEnum">=</e>
                        <s key="val"/>
                      </be>
                      <e key="change" refId="21" id="ChangeEnum">CHG_CF</e>
                      <e key="dataType" refId="22" id="DataType">TYPE_U</e>
                      <b key="prevailingDataType">N</b>
                      <e key="editability" refId="23" id="EditableEnum">X</e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e key="periodicCalculation" refId="24" id="PeriodicCalculationEnum">Y</e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5" ln="5" eid="Framework.com.tagetik.trees.INode,framework">
                      <be refId="26" clsId="FilterNode">
                        <l key="dimensionOids" refId="27" ln="1" eid="DimensionOid">
                          <cust clsId="DimensionOid">415A495F454455-4E-4D42574159---</cust>
                        </l>
                        <l key="AdHocParamDimensionOids" refId="28" ln="0" eid="DimensionOid"/>
                        <be key="data" refId="29" clsId="FilterNodeData">
                          <ref key="filterNode" refId="2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" clsId="TextMatchingCondition">
                            <ref key="op" refId="20"/>
                            <s key="val"/>
                          </be>
                          <e key="change" refId="31" id="ChangeEnum">CHG_N</e>
                          <ref key="dataType" refId="22"/>
                          <b key="prevailingDataType">N</b>
                          <e key="editability" refId="32" id="EditableEnum">S</e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33" id="PeriodicCalculationEnum">P</e>
                          <b key="breakLevelSubtotal">N</b>
                          <b key="alreadyDrilled">N</b>
                          <m key="nodeTypes" refId="34" keid="SYS_STR" veid="EFReportingNodeType">
                            <key>
                              <s>415A495F454455-4E-4D42574159---</s>
                            </key>
                            <val>
                              <e refId="35" id="EFReportingNodeType">N</e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3"/>
                      </be>
                      <be refId="36" clsId="FilterNode">
                        <l key="dimensionOids" refId="37" ln="1" eid="DimensionOid">
                          <cust clsId="DimensionOid">415A495F454455-4E-4953434F4D---</cust>
                        </l>
                        <l key="AdHocParamDimensionOids" refId="38" ln="0" eid="DimensionOid"/>
                        <be key="data" refId="39" clsId="FilterNodeData">
                          <ref key="filterNode" refId="3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1" keid="SYS_STR" veid="EFReportingNodeType">
                            <key>
                              <s>415A495F454455-4E-4953434F4D---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3"/>
                      </be>
                      <be refId="42" clsId="FilterNode">
                        <l key="dimensionOids" refId="43" ln="1" eid="DimensionOid">
                          <cust clsId="DimensionOid">415A495F454455-4E-49504143---</cust>
                        </l>
                        <l key="AdHocParamDimensionOids" refId="44" ln="0" eid="DimensionOid"/>
                        <be key="data" refId="45" clsId="FilterNodeData">
                          <ref key="filterNode" refId="42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7" keid="SYS_STR" veid="EFReportingNodeType">
                            <key>
                              <s>415A495F454455-4E-49504143---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3"/>
                      </be>
                      <be refId="48" clsId="FilterNode">
                        <l key="dimensionOids" refId="49" ln="1" eid="DimensionOid">
                          <cust clsId="DimensionOid">415A495F454455-4E-504947494552---</cust>
                        </l>
                        <l key="AdHocParamDimensionOids" refId="50" ln="0" eid="DimensionOid"/>
                        <be key="data" refId="51" clsId="FilterNodeData">
                          <ref key="filterNode" refId="4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" keid="SYS_STR" veid="EFReportingNodeType">
                            <key>
                              <s>415A495F454455-4E-504947494552---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3"/>
                      </be>
                      <be refId="54" clsId="FilterNode">
                        <l key="dimensionOids" refId="55" ln="1" eid="DimensionOid">
                          <cust clsId="DimensionOid">415A495F454455-4E-54554E4F4E---</cust>
                        </l>
                        <l key="AdHocParamDimensionOids" refId="56" ln="0" eid="DimensionOid"/>
                        <be key="data" refId="57" clsId="FilterNodeData">
                          <ref key="filterNode" refId="54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9" keid="SYS_STR" veid="EFReportingNodeType">
                            <key>
                              <s>415A495F454455-4E-54554E4F4E---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3"/>
                      </be>
                    </l>
                  </be>
                  <be key="columns" refId="60" clsId="FilterNode">
                    <l key="dimensionOids" refId="61" ln="0" eid="DimensionOid"/>
                    <l key="AdHocParamDimensionOids" refId="62" ln="0" eid="DimensionOid"/>
                    <be key="data" refId="63" clsId="FilterNodeData">
                      <ref key="filterNode" refId="60"/>
                      <i key="segmentLevel">0</i>
                      <ref key="segment" refId="17"/>
                      <b key="placeHolder">N</b>
                      <ref key="weight" refId="18"/>
                      <be key="textMatchingCondition" refId="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65" ln="1" eid="Framework.com.tagetik.trees.INode,framework">
                      <be refId="66" clsId="FilterNode">
                        <l key="dimensionOids" refId="67" ln="1" eid="DimensionOid">
                          <cust clsId="DimensionOid">564F43-45-4859505F50524943455F434F4546---</cust>
                        </l>
                        <l key="AdHocParamDimensionOids" refId="68" ln="0" eid="DimensionOid"/>
                        <be key="data" refId="69" clsId="FilterNodeData">
                          <ref key="filterNode" refId="66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71" keid="SYS_STR" veid="EFReportingNodeType">
                            <key>
                              <s>564F43-45-4859505F50524943455F434F4546---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60"/>
                      </be>
                    </l>
                  </be>
                  <be key="matrixFilters" refId="72" clsId="FilterNode">
                    <l key="dimensionOids" refId="73" ln="0" eid="DimensionOid"/>
                    <l key="AdHocParamDimensionOids" refId="74" ln="0" eid="DimensionOid"/>
                    <be key="data" refId="75" clsId="FilterNodeData">
                      <ref key="filterNode" refId="72"/>
                      <i key="segmentLevel">0</i>
                      <ref key="segment" refId="17"/>
                      <b key="placeHolder">N</b>
                      <ref key="weight" refId="18"/>
                      <be key="textMatchingCondition" refId="7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77" ln="1" eid="Framework.com.tagetik.trees.INode,framework">
                      <be refId="78" clsId="FilterNode">
                        <l key="dimensionOids" refId="79" ln="1" eid="DimensionOid">
                          <cust clsId="DimensionOid">534345-45-323032374255445F5631---</cust>
                        </l>
                        <l key="AdHocParamDimensionOids" refId="80" ln="0" eid="DimensionOid"/>
                        <be key="data" refId="81" clsId="FilterNodeData">
                          <ref key="filterNode" refId="78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4</cust>
                        <i key="index">0</i>
                        <l key="children" refId="83" ln="1" eid="Framework.com.tagetik.trees.INode,framework">
                          <be refId="84" clsId="FilterNode">
                            <l key="dimensionOids" refId="85" ln="1" eid="DimensionOid">
                              <cust clsId="DimensionOid">504552-45-3132---</cust>
                            </l>
                            <l key="AdHocParamDimensionOids" refId="86" ln="0" eid="DimensionOid"/>
                            <be key="data" refId="87" clsId="FilterNodeData">
                              <ref key="filterNode" refId="84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5</cust>
                            <i key="index">0</i>
                            <l key="children" refId="89" ln="1" eid="Framework.com.tagetik.trees.INode,framework">
                              <be refId="90" clsId="FilterNode">
                                <l key="dimensionOids" refId="91" ln="1" eid="DimensionOid">
                                  <cust clsId="DimensionOid">4D455F3030325F303030303031-45-4D454153555245-32--</cust>
                                </l>
                                <l key="AdHocParamDimensionOids" refId="92" ln="0" eid="DimensionOid"/>
                                <be key="data" refId="93" clsId="FilterNodeData">
                                  <ref key="filterNode" refId="90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6</cust>
                                <i key="index">0</i>
                                <ref key="parent" refId="84"/>
                              </be>
                            </l>
                            <ref key="parent" refId="78"/>
                          </be>
                        </l>
                        <ref key="parent" refId="72"/>
                      </be>
                    </l>
                  </be>
                  <be key="rowHeaders" refId="95" clsId="ReportingHeaders">
                    <m key="headers" refId="96" keid="SYS_PR_I" veid="System.Collections.IList">
                      <key>
                        <i>-1</i>
                      </key>
                      <val>
                        <l refId="97" ln="1">
                          <s>$Entity(HIERARCHY("EDU")).desc</s>
                        </l>
                      </val>
                    </m>
                    <m key="headersDims" refId="98" keid="SYS_PR_I" veid="SYS_STR">
                      <key>
                        <i>-1</i>
                      </key>
                      <val>
                        <s>AZI_EDU</s>
                      </val>
                    </m>
                  </be>
                  <be key="columnHeaders" refId="99" clsId="ReportingHeaders">
                    <m key="headers" refId="100" keid="SYS_PR_I" veid="System.Collections.IList"/>
                    <m key="headersDims" refId="101" keid="SYS_PR_I" veid="SYS_STR"/>
                  </be>
                  <e key="styleType" refId="102" id="MatrixStyleType">0</e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103" id="RowColExpansionMode">1</e>
                  <i key="maxCols">0</i>
                  <ref key="colsExpansionMode" refId="103"/>
                  <e key="columnsAutofitMode" refId="104" id="ColumnsAutofitMode">0</e>
                  <b key="isEditabilityOnDemand">N</b>
                  <b key="useForcedBoundDims">N</b>
                  <e key="disableHints" refId="105" id="MatrixHintsPolicy">C</e>
                  <e key="enableOptimization" refId="106" id="EnableLaunchFormDEOptimization">C</e>
                  <e key="tipoAllineamentoLordiIC" refId="107" id="TipoAllineamentoLordiIC">X</e>
                  <b key="bindOriginalAmountOnSave">N</b>
                  <b key="showLink">N</b>
                  <i key="index">0</i>
                  <b key="excludeValuatingSheetsWithZeroValues">N</b>
                  <m key="addictionalStyleSheets" refId="10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" ln="0" eid="Reporting.com.tagetik.tables.IMatixCellLeafPositions,Reporting"/>
                  <m key="forcedEditModes" refId="110" keid="Reporting.com.tagetik.tables.IMatixCellLeafPositions,Reporting" veid="SYS_STR"/>
                  <b key="UseTxlDeFormEditor">N</b>
                  <be key="TxDeFormsEditorDescriptor" refId="111" clsId="TxDeFormsEditorDescriptor">
                    <l key="Tabs" refId="11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3" clsId="matrixWSInfo">
                    <b key="isT">N</b>
                    <s key="wsCode">002</s>
                    <s key="tableCode">000001</s>
                  </be>
                  <be key="customFilters" refId="114" clsId="ExpCustomFiltersProspetto"/>
                </be>
              </val>
              <key>
                <s>Matrix01</s>
              </key>
              <val>
                <be refId="115" clsId="MatrixPositionBlockVO">
                  <s key="positionID">Matrix01</s>
                  <be key="rows" refId="116" clsId="FilterNode">
                    <l key="dimensionOids" refId="117" ln="0" eid="DimensionOid"/>
                    <l key="AdHocParamDimensionOids" refId="118" ln="0" eid="DimensionOid"/>
                    <be key="data" refId="119" clsId="FilterNodeData">
                      <ref key="filterNode" refId="116"/>
                      <i key="segmentLevel">0</i>
                      <ref key="segment" refId="17"/>
                      <b key="placeHolder">N</b>
                      <ref key="weight" refId="18"/>
                      <be key="textMatchingCondition" refId="1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21" ln="14" eid="Framework.com.tagetik.trees.INode,framework">
                      <be refId="122" clsId="FilterNode">
                        <l key="dimensionOids" refId="123" ln="1" eid="DimensionOid">
                          <cust clsId="DimensionOid">564F435F303130-45-4859505F4143515F425544---</cust>
                        </l>
                        <l key="AdHocParamDimensionOids" refId="124" ln="0" eid="DimensionOid"/>
                        <be key="data" refId="125" clsId="FilterNodeData">
                          <ref key="filterNode" refId="12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2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6"/>
                      </be>
                      <be refId="128" clsId="FilterNode">
                        <l key="dimensionOids" refId="129" ln="1" eid="DimensionOid">
                          <cust clsId="DimensionOid">564F435F303130-45-4859505F4252414E445F425544---</cust>
                        </l>
                        <l key="AdHocParamDimensionOids" refId="130" ln="0" eid="DimensionOid"/>
                        <be key="data" refId="131" clsId="FilterNodeData">
                          <ref key="filterNode" refId="12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16"/>
                      </be>
                      <be refId="134" clsId="FilterNode">
                        <l key="dimensionOids" refId="135" ln="1" eid="DimensionOid">
                          <cust clsId="DimensionOid">564F435F303130-45-4859505F5052494345---</cust>
                        </l>
                        <l key="AdHocParamDimensionOids" refId="136" ln="0" eid="DimensionOid"/>
                        <be key="data" refId="137" clsId="FilterNodeData">
                          <ref key="filterNode" refId="13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16"/>
                      </be>
                      <be refId="140" clsId="FilterNode">
                        <l key="dimensionOids" refId="141" ln="1" eid="DimensionOid">
                          <cust clsId="DimensionOid">564F435F303130-45-4859505F434E565F4C4541445F43414E44---</cust>
                        </l>
                        <l key="AdHocParamDimensionOids" refId="142" ln="0" eid="DimensionOid"/>
                        <be key="data" refId="143" clsId="FilterNodeData">
                          <ref key="filterNode" refId="14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4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16"/>
                      </be>
                      <be refId="146" clsId="FilterNode">
                        <l key="dimensionOids" refId="147" ln="1" eid="DimensionOid">
                          <cust clsId="DimensionOid">564F435F303130-45-4859505F434E565F41444D5F494E53---</cust>
                        </l>
                        <l key="AdHocParamDimensionOids" refId="148" ln="0" eid="DimensionOid"/>
                        <be key="data" refId="149" clsId="FilterNodeData">
                          <ref key="filterNode" refId="14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16"/>
                      </be>
                      <be refId="152" clsId="FilterNode">
                        <l key="dimensionOids" refId="153" ln="1" eid="DimensionOid">
                          <cust clsId="DimensionOid">564F435F303130-45-4859505F504153535F52415445---</cust>
                        </l>
                        <l key="AdHocParamDimensionOids" refId="154" ln="0" eid="DimensionOid"/>
                        <be key="data" refId="155" clsId="FilterNodeData">
                          <ref key="filterNode" refId="15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16"/>
                      </be>
                      <be refId="158" clsId="FilterNode">
                        <l key="dimensionOids" refId="159" ln="0" eid="DimensionOid"/>
                        <l key="AdHocParamDimensionOids" refId="160" ln="0" eid="DimensionOid"/>
                        <be key="data" refId="161" clsId="FilterNodeData">
                          <ref key="filterNode" refId="158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6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63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15</cust>
                        <s key="cod">PH</s>
                        <s key="desc"/>
                        <i key="index">0</i>
                        <ref key="parent" refId="116"/>
                      </be>
                      <be refId="164" clsId="FilterNode">
                        <l key="dimensionOids" refId="165" ln="0" eid="DimensionOid"/>
                        <l key="AdHocParamDimensionOids" refId="166" ln="0" eid="DimensionOid"/>
                        <be key="data" refId="167" clsId="FilterNodeData">
                          <ref key="filterNode" refId="164"/>
                          <s key="dim">VOC_010</s>
                          <i key="segmentLevel">0</i>
                          <ref key="segment" refId="17"/>
                          <be key="dictionaryHeader" refId="168" clsId="MultiDesc">
                            <a key="desc" refId="169" ln="4" eid="SYS_STR">
                              <s>Leviers de COUTS</s>
                              <s>Leviers de COUTS</s>
                              <s>Leviers de COUTS</s>
                              <s>Leviers de COUTS</s>
                            </a>
                          </be>
                          <b key="placeHolder">S</b>
                          <ref key="weight" refId="18"/>
                          <be key="textMatchingCondition" refId="1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1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14</cust>
                        <s key="cod">PH</s>
                        <s key="desc"/>
                        <i key="index">0</i>
                        <ref key="parent" refId="116"/>
                      </be>
                      <be refId="172" clsId="FilterNode">
                        <l key="dimensionOids" refId="173" ln="0" eid="DimensionOid"/>
                        <l key="AdHocParamDimensionOids" refId="174" ln="0" eid="DimensionOid"/>
                        <be key="data" refId="175" clsId="FilterNodeData">
                          <ref key="filterNode" refId="172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7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7" keid="SYS_STR" veid="EFReportingNodeType">
                            <key>
                              <s>14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16</cust>
                        <s key="cod">PH</s>
                        <s key="desc"/>
                        <i key="index">0</i>
                        <ref key="parent" refId="116"/>
                      </be>
                      <be refId="178" clsId="FilterNode">
                        <l key="dimensionOids" refId="179" ln="1" eid="DimensionOid">
                          <cust clsId="DimensionOid">564F435F303130-45-4859505F494E464C5F455854---</cust>
                        </l>
                        <l key="AdHocParamDimensionOids" refId="180" ln="0" eid="DimensionOid"/>
                        <be key="data" refId="181" clsId="FilterNodeData">
                          <ref key="filterNode" refId="17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i key="index">0</i>
                        <ref key="parent" refId="116"/>
                      </be>
                      <be refId="184" clsId="FilterNode">
                        <l key="dimensionOids" refId="185" ln="1" eid="DimensionOid">
                          <cust clsId="DimensionOid">564F435F303130-45-4859505F53414C415259---</cust>
                        </l>
                        <l key="AdHocParamDimensionOids" refId="186" ln="0" eid="DimensionOid"/>
                        <be key="data" refId="187" clsId="FilterNodeData">
                          <ref key="filterNode" refId="18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i key="index">0</i>
                        <ref key="parent" refId="116"/>
                      </be>
                      <be refId="190" clsId="FilterNode">
                        <l key="dimensionOids" refId="191" ln="1" eid="DimensionOid">
                          <cust clsId="DimensionOid">564F435F303130-45-4859505F4654455F5045524D---</cust>
                        </l>
                        <l key="AdHocParamDimensionOids" refId="192" ln="0" eid="DimensionOid"/>
                        <be key="data" refId="193" clsId="FilterNodeData">
                          <ref key="filterNode" refId="19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9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9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i key="index">0</i>
                        <ref key="parent" refId="116"/>
                      </be>
                      <be refId="196" clsId="FilterNode">
                        <l key="dimensionOids" refId="197" ln="1" eid="DimensionOid">
                          <cust clsId="DimensionOid">564F435F303130-45-4859505F50524F445543544956495459---</cust>
                        </l>
                        <l key="AdHocParamDimensionOids" refId="198" ln="0" eid="DimensionOid"/>
                        <be key="data" refId="199" clsId="FilterNodeData">
                          <ref key="filterNode" refId="19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i key="index">0</i>
                        <ref key="parent" refId="116"/>
                      </be>
                      <be refId="202" clsId="FilterNode">
                        <l key="dimensionOids" refId="203" ln="1" eid="DimensionOid">
                          <cust clsId="DimensionOid">564F435F303130-45-4859505F5354525543545F434F5354---</cust>
                        </l>
                        <l key="AdHocParamDimensionOids" refId="204" ln="0" eid="DimensionOid"/>
                        <be key="data" refId="205" clsId="FilterNodeData">
                          <ref key="filterNode" refId="20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i key="index">0</i>
                        <ref key="parent" refId="116"/>
                      </be>
                    </l>
                  </be>
                  <be key="columns" refId="208" clsId="FilterNode">
                    <l key="dimensionOids" refId="209" ln="0" eid="DimensionOid"/>
                    <l key="AdHocParamDimensionOids" refId="210" ln="0" eid="DimensionOid"/>
                    <be key="data" refId="211" clsId="FilterNodeData">
                      <ref key="filterNode" refId="208"/>
                      <i key="segmentLevel">0</i>
                      <ref key="segment" refId="17"/>
                      <b key="placeHolder">N</b>
                      <ref key="weight" refId="18"/>
                      <be key="textMatchingCondition" refId="21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13" ln="3" eid="Framework.com.tagetik.trees.INode,framework">
                      <be refId="214" clsId="FilterNode">
                        <l key="dimensionOids" refId="215" ln="1" eid="DimensionOid">
                          <cust clsId="DimensionOid">414E4C5F56455253494F4E-45-563031---</cust>
                        </l>
                        <l key="AdHocParamDimensionOids" refId="216" ln="0" eid="DimensionOid"/>
                        <be key="data" refId="217" clsId="FilterNodeData">
                          <ref key="filterNode" refId="214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1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19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08"/>
                      </be>
                      <be refId="220" clsId="FilterNode">
                        <l key="dimensionOids" refId="221" ln="1" eid="DimensionOid">
                          <cust clsId="DimensionOid">414E4C5F56455253494F4E-45-563032---</cust>
                        </l>
                        <l key="AdHocParamDimensionOids" refId="222" ln="0" eid="DimensionOid"/>
                        <be key="data" refId="223" clsId="FilterNodeData">
                          <ref key="filterNode" refId="220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2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25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08"/>
                      </be>
                      <be refId="226" clsId="FilterNode">
                        <l key="dimensionOids" refId="227" ln="1" eid="DimensionOid">
                          <cust clsId="DimensionOid">414E4C5F56455253494F4E-45-563033---</cust>
                        </l>
                        <l key="AdHocParamDimensionOids" refId="228" ln="0" eid="DimensionOid"/>
                        <be key="data" refId="229" clsId="FilterNodeData">
                          <ref key="filterNode" refId="226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3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31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08"/>
                      </be>
                    </l>
                  </be>
                  <be key="matrixFilters" refId="232" clsId="FilterNode">
                    <l key="dimensionOids" refId="233" ln="0" eid="DimensionOid"/>
                    <l key="AdHocParamDimensionOids" refId="234" ln="0" eid="DimensionOid"/>
                    <be key="data" refId="235" clsId="FilterNodeData">
                      <ref key="filterNode" refId="232"/>
                      <i key="segmentLevel">0</i>
                      <ref key="segment" refId="17"/>
                      <b key="placeHolder">N</b>
                      <ref key="weight" refId="18"/>
                      <be key="textMatchingCondition" refId="23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237" ln="1" eid="Framework.com.tagetik.trees.INode,framework">
                      <be refId="238" clsId="FilterNode">
                        <l key="dimensionOids" refId="239" ln="1" eid="DimensionOid">
                          <cust clsId="DimensionOid">415A495F454455-45-475250---</cust>
                        </l>
                        <l key="AdHocParamDimensionOids" refId="240" ln="0" eid="DimensionOid"/>
                        <be key="data" refId="241" clsId="FilterNodeData">
                          <ref key="filterNode" refId="23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4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243" ln="1" eid="Framework.com.tagetik.trees.INode,framework">
                          <be refId="244" clsId="FilterNode">
                            <l key="dimensionOids" refId="245" ln="1" eid="DimensionOid">
                              <cust clsId="DimensionOid">534345-45-323032374255445F5631---</cust>
                            </l>
                            <l key="AdHocParamDimensionOids" refId="246" ln="0" eid="DimensionOid"/>
                            <be key="data" refId="247" clsId="FilterNodeData">
                              <ref key="filterNode" refId="244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24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249" ln="1" eid="Framework.com.tagetik.trees.INode,framework">
                              <be refId="250" clsId="FilterNode">
                                <l key="dimensionOids" refId="251" ln="1" eid="DimensionOid">
                                  <cust clsId="DimensionOid">504552-45-3132---</cust>
                                </l>
                                <l key="AdHocParamDimensionOids" refId="252" ln="0" eid="DimensionOid"/>
                                <be key="data" refId="253" clsId="FilterNodeData">
                                  <ref key="filterNode" refId="250"/>
                                  <s key="dim">PER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25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255" ln="1" eid="Framework.com.tagetik.trees.INode,framework">
                                  <be refId="256" clsId="FilterNode">
                                    <l key="dimensionOids" refId="257" ln="1" eid="DimensionOid">
                                      <cust clsId="DimensionOid">4D455F3030325F303030303031-45-4D454153555245-32--</cust>
                                    </l>
                                    <l key="AdHocParamDimensionOids" refId="258" ln="0" eid="DimensionOid"/>
                                    <be key="data" refId="259" clsId="FilterNodeData">
                                      <ref key="filterNode" refId="256"/>
                                      <s key="dim">ME_002_000001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260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250"/>
                                  </be>
                                </l>
                                <ref key="parent" refId="244"/>
                              </be>
                            </l>
                            <ref key="parent" refId="238"/>
                          </be>
                        </l>
                        <ref key="parent" refId="232"/>
                      </be>
                    </l>
                  </be>
                  <be key="rowHeaders" refId="261" clsId="ReportingHeaders">
                    <m key="headers" refId="262" keid="SYS_PR_I" veid="System.Collections.IList">
                      <key>
                        <i>-1</i>
                      </key>
                      <val>
                        <l refId="263" ln="1">
                          <s>$Account(HIERARCHY("010")).desc</s>
                        </l>
                      </val>
                    </m>
                    <m key="headersDims" refId="264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265" clsId="ReportingHeaders">
                    <m key="headers" refId="266" keid="SYS_PR_I" veid="System.Collections.IList">
                      <key>
                        <i>-1</i>
                      </key>
                      <val>
                        <l refId="267" ln="1">
                          <s>$ANL_VERSION.desc</s>
                        </l>
                      </val>
                    </m>
                    <m key="headersDims" refId="268" keid="SYS_PR_I" veid="SYS_STR">
                      <key>
                        <i>-1</i>
                      </key>
                      <val>
                        <s>ANL_VERSION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1</i>
                  <b key="excludeValuatingSheetsWithZeroValues">N</b>
                  <m key="addictionalStyleSheets" refId="26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270" ln="0" eid="Reporting.com.tagetik.tables.IMatixCellLeafPositions,Reporting"/>
                  <m key="forcedEditModes" refId="271" keid="Reporting.com.tagetik.tables.IMatixCellLeafPositions,Reporting" veid="SYS_STR"/>
                  <b key="UseTxlDeFormEditor">N</b>
                  <be key="TxDeFormsEditorDescriptor" refId="272" clsId="TxDeFormsEditorDescriptor">
                    <l key="Tabs" refId="27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274" clsId="matrixWSInfo">
                    <b key="isT">N</b>
                    <s key="wsCode">002</s>
                    <s key="tableCode">000001</s>
                  </be>
                  <be key="customFilters" refId="275" clsId="ExpCustomFiltersProspetto"/>
                </be>
              </val>
              <key>
                <s>Matrix02</s>
              </key>
              <val>
                <be refId="276" clsId="MatrixPositionBlockVO">
                  <s key="positionID">Matrix02</s>
                  <be key="rows" refId="277" clsId="FilterNode">
                    <l key="dimensionOids" refId="278" ln="0" eid="DimensionOid"/>
                    <l key="AdHocParamDimensionOids" refId="279" ln="0" eid="DimensionOid"/>
                    <be key="data" refId="280" clsId="FilterNodeData">
                      <ref key="filterNode" refId="277"/>
                      <i key="segmentLevel">0</i>
                      <ref key="segment" refId="17"/>
                      <b key="placeHolder">N</b>
                      <ref key="weight" refId="18"/>
                      <be key="textMatchingCondition" refId="28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82" ln="1" eid="Framework.com.tagetik.trees.INode,framework">
                      <be refId="283" clsId="FilterNode">
                        <l key="dimensionOids" refId="284" ln="1" eid="DimensionOid">
                          <cust clsId="DimensionOid">564F435F303130-45-4859505F46494C455F464545---</cust>
                        </l>
                        <l key="AdHocParamDimensionOids" refId="285" ln="0" eid="DimensionOid"/>
                        <be key="data" refId="286" clsId="FilterNodeData">
                          <ref key="filterNode" refId="283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8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88" keid="SYS_STR" veid="EFReportingNodeType">
                            <key>
                              <s>564F435F303130-45-4859505F46494C455F464545---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77"/>
                      </be>
                    </l>
                  </be>
                  <be key="columns" refId="289" clsId="FilterNode">
                    <l key="dimensionOids" refId="290" ln="0" eid="DimensionOid"/>
                    <l key="AdHocParamDimensionOids" refId="291" ln="0" eid="DimensionOid"/>
                    <be key="data" refId="292" clsId="FilterNodeData">
                      <ref key="filterNode" refId="289"/>
                      <i key="segmentLevel">0</i>
                      <ref key="segment" refId="17"/>
                      <b key="placeHolder">N</b>
                      <ref key="weight" refId="18"/>
                      <be key="textMatchingCondition" refId="29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94" ln="3" eid="Framework.com.tagetik.trees.INode,framework">
                      <be refId="295" clsId="FilterNode">
                        <l key="dimensionOids" refId="296" ln="1" eid="DimensionOid">
                          <cust clsId="DimensionOid">414E4C5F56455253494F4E-45-563031---</cust>
                        </l>
                        <l key="AdHocParamDimensionOids" refId="297" ln="0" eid="DimensionOid"/>
                        <be key="data" refId="298" clsId="FilterNodeData">
                          <ref key="filterNode" refId="295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9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0" keid="SYS_STR" veid="EFReportingNodeType"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89"/>
                      </be>
                      <be refId="301" clsId="FilterNode">
                        <l key="dimensionOids" refId="302" ln="1" eid="DimensionOid">
                          <cust clsId="DimensionOid">414E4C5F56455253494F4E-45-563032---</cust>
                        </l>
                        <l key="AdHocParamDimensionOids" refId="303" ln="0" eid="DimensionOid"/>
                        <be key="data" refId="304" clsId="FilterNodeData">
                          <ref key="filterNode" refId="301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6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89"/>
                      </be>
                      <be refId="307" clsId="FilterNode">
                        <l key="dimensionOids" refId="308" ln="1" eid="DimensionOid">
                          <cust clsId="DimensionOid">414E4C5F56455253494F4E-45-563033---</cust>
                        </l>
                        <l key="AdHocParamDimensionOids" refId="309" ln="0" eid="DimensionOid"/>
                        <be key="data" refId="310" clsId="FilterNodeData">
                          <ref key="filterNode" refId="307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1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12" keid="SYS_STR" veid="EFReportingNodeType"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89"/>
                      </be>
                    </l>
                  </be>
                  <be key="matrixFilters" refId="313" clsId="FilterNode">
                    <l key="dimensionOids" refId="314" ln="0" eid="DimensionOid"/>
                    <l key="AdHocParamDimensionOids" refId="315" ln="0" eid="DimensionOid"/>
                    <be key="data" refId="316" clsId="FilterNodeData">
                      <ref key="filterNode" refId="313"/>
                      <i key="segmentLevel">0</i>
                      <ref key="segment" refId="17"/>
                      <b key="placeHolder">N</b>
                      <ref key="weight" refId="18"/>
                      <be key="textMatchingCondition" refId="3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18" ln="1" eid="Framework.com.tagetik.trees.INode,framework">
                      <be refId="319" clsId="FilterNode">
                        <l key="dimensionOids" refId="320" ln="1" eid="DimensionOid">
                          <cust clsId="DimensionOid">534345-45-323032374255445F5631---</cust>
                        </l>
                        <l key="AdHocParamDimensionOids" refId="321" ln="0" eid="DimensionOid"/>
                        <be key="data" refId="322" clsId="FilterNodeData">
                          <ref key="filterNode" refId="319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23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324" ln="1" eid="Framework.com.tagetik.trees.INode,framework">
                          <be refId="325" clsId="FilterNode">
                            <l key="dimensionOids" refId="326" ln="1" eid="DimensionOid">
                              <cust clsId="DimensionOid">504552-45-3132---</cust>
                            </l>
                            <l key="AdHocParamDimensionOids" refId="327" ln="0" eid="DimensionOid"/>
                            <be key="data" refId="328" clsId="FilterNodeData">
                              <ref key="filterNode" refId="325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329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330" ln="1" eid="Framework.com.tagetik.trees.INode,framework">
                              <be refId="331" clsId="FilterNode">
                                <l key="dimensionOids" refId="332" ln="1" eid="DimensionOid">
                                  <cust clsId="DimensionOid">4D455F3030325F303030303031-45-4D454153555245-32--</cust>
                                </l>
                                <l key="AdHocParamDimensionOids" refId="333" ln="0" eid="DimensionOid"/>
                                <be key="data" refId="334" clsId="FilterNodeData">
                                  <ref key="filterNode" refId="331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335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336" ln="1" eid="Framework.com.tagetik.trees.INode,framework">
                                  <be refId="337" clsId="FilterNode">
                                    <l key="dimensionOids" refId="338" ln="1" eid="DimensionOid">
                                      <cust clsId="DimensionOid">415A495F454455-45-475250---</cust>
                                    </l>
                                    <l key="AdHocParamDimensionOids" refId="339" ln="0" eid="DimensionOid"/>
                                    <be key="data" refId="340" clsId="FilterNodeData">
                                      <ref key="filterNode" refId="337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341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331"/>
                                  </be>
                                </l>
                                <ref key="parent" refId="325"/>
                              </be>
                            </l>
                            <ref key="parent" refId="319"/>
                          </be>
                        </l>
                        <ref key="parent" refId="313"/>
                      </be>
                    </l>
                  </be>
                  <be key="rowHeaders" refId="342" clsId="ReportingHeaders">
                    <m key="headers" refId="343" keid="SYS_PR_I" veid="System.Collections.IList">
                      <key>
                        <i>-1</i>
                      </key>
                      <val>
                        <l refId="344" ln="1">
                          <s>$Account(HIERARCHY("010")).desc</s>
                        </l>
                      </val>
                    </m>
                    <m key="headersDims" refId="345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346" clsId="ReportingHeaders">
                    <m key="headers" refId="347" keid="SYS_PR_I" veid="System.Collections.IList"/>
                    <m key="headersDims" refId="34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2</i>
                  <b key="excludeValuatingSheetsWithZeroValues">N</b>
                  <m key="addictionalStyleSheets" refId="34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0" ln="0" eid="Reporting.com.tagetik.tables.IMatixCellLeafPositions,Reporting"/>
                  <m key="forcedEditModes" refId="351" keid="Reporting.com.tagetik.tables.IMatixCellLeafPositions,Reporting" veid="SYS_STR"/>
                  <b key="UseTxlDeFormEditor">N</b>
                  <be key="TxDeFormsEditorDescriptor" refId="352" clsId="TxDeFormsEditorDescriptor">
                    <l key="Tabs" refId="35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354" clsId="matrixWSInfo">
                    <b key="isT">N</b>
                    <s key="wsCode">002</s>
                    <s key="tableCode">000001</s>
                  </be>
                  <be key="customFilters" refId="355" clsId="ExpCustomFiltersProspetto"/>
                </be>
              </val>
              <key>
                <s>Matrix06 copy00</s>
              </key>
              <val>
                <be refId="356" clsId="MatrixPositionBlockVO">
                  <s key="positionID">Matrix06 copy00</s>
                  <be key="rows" refId="357" clsId="FilterNode">
                    <l key="dimensionOids" refId="358" ln="0" eid="DimensionOid"/>
                    <l key="AdHocParamDimensionOids" refId="359" ln="0" eid="DimensionOid"/>
                    <be key="data" refId="360" clsId="FilterNodeData">
                      <ref key="filterNode" refId="357"/>
                      <i key="segmentLevel">0</i>
                      <ref key="segment" refId="17"/>
                      <b key="placeHolder">N</b>
                      <ref key="weight" refId="18"/>
                      <be key="textMatchingCondition" refId="36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362" ln="2" eid="Framework.com.tagetik.trees.INode,framework">
                      <be refId="363" clsId="FilterNode">
                        <l key="dimensionOids" refId="364" ln="1" eid="DimensionOid">
                          <cust clsId="DimensionOid">564F43-45-5445435F504C---</cust>
                        </l>
                        <l key="AdHocParamDimensionOids" refId="365" ln="0" eid="DimensionOid"/>
                        <be key="data" refId="366" clsId="FilterNodeData">
                          <ref key="filterNode" refId="363"/>
                          <s key="dim">VOC</s>
                          <i key="segmentLevel">0</i>
                          <ref key="segment" refId="17"/>
                          <be key="dictionaryHeader" refId="367" clsId="MultiDesc">
                            <a key="desc" refId="368" ln="4" eid="SYS_STR">
                              <s>Croissance CA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0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357"/>
                      </be>
                      <be refId="371" clsId="FilterNode">
                        <l key="dimensionOids" refId="372" ln="1" eid="DimensionOid">
                          <cust clsId="DimensionOid">564F43-45-5445435F454249544441---</cust>
                        </l>
                        <l key="AdHocParamDimensionOids" refId="373" ln="0" eid="DimensionOid"/>
                        <be key="data" refId="374" clsId="FilterNodeData">
                          <ref key="filterNode" refId="371"/>
                          <s key="dim">VOC</s>
                          <i key="segmentLevel">0</i>
                          <ref key="segment" refId="17"/>
                          <be key="dictionaryHeader" refId="375" clsId="MultiDesc">
                            <a key="desc" refId="376" ln="4" eid="SYS_STR">
                              <s>Marge EBITDA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7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8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357"/>
                      </be>
                    </l>
                  </be>
                  <be key="columns" refId="379" clsId="FilterNode">
                    <l key="dimensionOids" refId="380" ln="0" eid="DimensionOid"/>
                    <l key="AdHocParamDimensionOids" refId="381" ln="0" eid="DimensionOid"/>
                    <be key="data" refId="382" clsId="FilterNodeData">
                      <ref key="filterNode" refId="379"/>
                      <i key="segmentLevel">0</i>
                      <ref key="segment" refId="17"/>
                      <b key="placeHolder">N</b>
                      <ref key="weight" refId="18"/>
                      <be key="textMatchingCondition" refId="38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384" ln="1" eid="Framework.com.tagetik.trees.INode,framework">
                      <be refId="385" clsId="FilterNode">
                        <l key="dimensionOids" refId="386" ln="1" eid="DimensionOid">
                          <cust clsId="DimensionOid">414E4C5F4558455243494345-45-32303237---</cust>
                        </l>
                        <l key="AdHocParamDimensionOids" refId="387" ln="0" eid="DimensionOid"/>
                        <be key="data" refId="388" clsId="FilterNodeData">
                          <ref key="filterNode" refId="38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8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90" keid="SYS_STR" veid="EFReportingNodeType">
                            <key>
                              <s>414E4C5F4558455243494345-45-32303237---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379"/>
                      </be>
                    </l>
                  </be>
                  <be key="matrixFilters" refId="391" clsId="FilterNode">
                    <l key="dimensionOids" refId="392" ln="0" eid="DimensionOid"/>
                    <l key="AdHocParamDimensionOids" refId="393" ln="0" eid="DimensionOid"/>
                    <be key="data" refId="394" clsId="FilterNodeData">
                      <ref key="filterNode" refId="391"/>
                      <i key="segmentLevel">0</i>
                      <ref key="segment" refId="17"/>
                      <b key="placeHolder">N</b>
                      <ref key="weight" refId="18"/>
                      <be key="textMatchingCondition" refId="3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96" ln="1" eid="Framework.com.tagetik.trees.INode,framework">
                      <be refId="397" clsId="FilterNode">
                        <l key="dimensionOids" refId="398" ln="1" eid="DimensionOid">
                          <cust clsId="DimensionOid">504552-45-3132---</cust>
                        </l>
                        <l key="AdHocParamDimensionOids" refId="399" ln="0" eid="DimensionOid"/>
                        <be key="data" refId="400" clsId="FilterNodeData">
                          <ref key="filterNode" refId="397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02" ln="1" eid="Framework.com.tagetik.trees.INode,framework">
                          <be refId="403" clsId="FilterNode">
                            <l key="dimensionOids" refId="404" ln="1" eid="DimensionOid">
                              <cust clsId="DimensionOid">534345-45-323032374255445F5631---</cust>
                            </l>
                            <l key="AdHocParamDimensionOids" refId="405" ln="0" eid="DimensionOid"/>
                            <be key="data" refId="406" clsId="FilterNodeData">
                              <ref key="filterNode" refId="403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0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408" ln="1" eid="Framework.com.tagetik.trees.INode,framework">
                              <be refId="409" clsId="FilterNode">
                                <l key="dimensionOids" refId="410" ln="1" eid="DimensionOid">
                                  <cust clsId="DimensionOid">4D455F3030325F303030303034-45-414D4F554E54-32--</cust>
                                </l>
                                <l key="AdHocParamDimensionOids" refId="411" ln="0" eid="DimensionOid"/>
                                <be key="data" refId="412" clsId="FilterNodeData">
                                  <ref key="filterNode" refId="409"/>
                                  <s key="dim">ME_002_000004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41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414" ln="1" eid="Framework.com.tagetik.trees.INode,framework">
                                  <be refId="415" clsId="FilterNode">
                                    <l key="dimensionOids" refId="416" ln="1" eid="DimensionOid">
                                      <cust clsId="DimensionOid">415A495F454455-45-475250---</cust>
                                    </l>
                                    <l key="AdHocParamDimensionOids" refId="417" ln="0" eid="DimensionOid"/>
                                    <be key="data" refId="418" clsId="FilterNodeData">
                                      <ref key="filterNode" refId="415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419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409"/>
                                  </be>
                                </l>
                                <ref key="parent" refId="403"/>
                              </be>
                            </l>
                            <ref key="parent" refId="397"/>
                          </be>
                        </l>
                        <ref key="parent" refId="391"/>
                      </be>
                    </l>
                  </be>
                  <be key="rowHeaders" refId="420" clsId="ReportingHeaders">
                    <m key="headers" refId="421" keid="SYS_PR_I" veid="System.Collections.IList">
                      <key>
                        <i>-1</i>
                      </key>
                      <val>
                        <l refId="422" ln="1">
                          <s>$Account.desc</s>
                        </l>
                      </val>
                    </m>
                    <m key="headersDims" refId="423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424" clsId="ReportingHeaders">
                    <m key="headers" refId="425" keid="SYS_PR_I" veid="System.Collections.IList"/>
                    <m key="headersDims" refId="426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3</i>
                  <b key="excludeValuatingSheetsWithZeroValues">N</b>
                  <m key="addictionalStyleSheets" refId="42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28" ln="0" eid="Reporting.com.tagetik.tables.IMatixCellLeafPositions,Reporting"/>
                  <m key="forcedEditModes" refId="429" keid="Reporting.com.tagetik.tables.IMatixCellLeafPositions,Reporting" veid="SYS_STR"/>
                  <b key="UseTxlDeFormEditor">N</b>
                  <be key="TxDeFormsEditorDescriptor" refId="430" clsId="TxDeFormsEditorDescriptor">
                    <l key="Tabs" refId="431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32" clsId="matrixWSInfo">
                    <b key="isT">N</b>
                    <s key="wsCode">002</s>
                    <s key="tableCode">000004</s>
                  </be>
                  <be key="customFilters" refId="433" clsId="ExpCustomFiltersProspetto"/>
                </be>
              </val>
              <key>
                <s>Matrix05 copy00</s>
              </key>
              <val>
                <be refId="434" clsId="MatrixPositionBlockVO">
                  <s key="positionID">Matrix05 copy00</s>
                  <be key="rows" refId="435" clsId="FilterNode">
                    <l key="dimensionOids" refId="436" ln="0" eid="DimensionOid"/>
                    <l key="AdHocParamDimensionOids" refId="437" ln="0" eid="DimensionOid"/>
                    <be key="data" refId="438" clsId="FilterNodeData">
                      <ref key="filterNode" refId="435"/>
                      <i key="segmentLevel">0</i>
                      <ref key="segment" refId="17"/>
                      <b key="placeHolder">N</b>
                      <ref key="weight" refId="18"/>
                      <be key="textMatchingCondition" refId="43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40" ln="1" eid="Framework.com.tagetik.trees.INode,framework">
                      <be refId="441" clsId="FilterNode">
                        <l key="dimensionOids" refId="442" ln="1" eid="DimensionOid">
                          <cust clsId="DimensionOid">4D455F3030325F303030303032-45-564F4C5F454646-32--</cust>
                        </l>
                        <l key="AdHocParamDimensionOids" refId="443" ln="0" eid="DimensionOid"/>
                        <be key="data" refId="444" clsId="FilterNodeData">
                          <ref key="filterNode" refId="441"/>
                          <s key="dim">ME_002_000002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4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46" keid="SYS_STR" veid="EFReportingNodeType">
                            <key>
                              <s>4D455F3030325F303030303032-45-564F4C5F454646-32--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35"/>
                      </be>
                    </l>
                  </be>
                  <be key="columns" refId="447" clsId="FilterNode">
                    <l key="dimensionOids" refId="448" ln="0" eid="DimensionOid"/>
                    <l key="AdHocParamDimensionOids" refId="449" ln="0" eid="DimensionOid"/>
                    <be key="data" refId="450" clsId="FilterNodeData">
                      <ref key="filterNode" refId="447"/>
                      <i key="segmentLevel">0</i>
                      <ref key="segment" refId="17"/>
                      <b key="placeHolder">N</b>
                      <ref key="weight" refId="18"/>
                      <be key="textMatchingCondition" refId="45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452" ln="1" eid="Framework.com.tagetik.trees.INode,framework">
                      <be refId="453" clsId="FilterNode">
                        <l key="dimensionOids" refId="454" ln="1" eid="DimensionOid">
                          <cust clsId="DimensionOid">414E4C5F4558455243494345-45-32303236---</cust>
                        </l>
                        <l key="AdHocParamDimensionOids" refId="455" ln="0" eid="DimensionOid"/>
                        <be key="data" refId="456" clsId="FilterNodeData">
                          <ref key="filterNode" refId="453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5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58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47"/>
                      </be>
                    </l>
                  </be>
                  <be key="matrixFilters" refId="459" clsId="FilterNode">
                    <l key="dimensionOids" refId="460" ln="0" eid="DimensionOid"/>
                    <l key="AdHocParamDimensionOids" refId="461" ln="0" eid="DimensionOid"/>
                    <be key="data" refId="462" clsId="FilterNodeData">
                      <ref key="filterNode" refId="459"/>
                      <i key="segmentLevel">0</i>
                      <ref key="segment" refId="17"/>
                      <b key="placeHolder">N</b>
                      <ref key="weight" refId="18"/>
                      <be key="textMatchingCondition" refId="46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464" ln="1" eid="Framework.com.tagetik.trees.INode,framework">
                      <be refId="465" clsId="FilterNode">
                        <l key="dimensionOids" refId="466" ln="1" eid="DimensionOid">
                          <cust clsId="DimensionOid">534345-45-323032374255445F5631---</cust>
                        </l>
                        <l key="AdHocParamDimensionOids" refId="467" ln="0" eid="DimensionOid"/>
                        <be key="data" refId="468" clsId="FilterNodeData">
                          <ref key="filterNode" refId="465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70" ln="1" eid="Framework.com.tagetik.trees.INode,framework">
                          <be refId="471" clsId="FilterNode">
                            <l key="dimensionOids" refId="472" ln="1" eid="DimensionOid">
                              <cust clsId="DimensionOid">504552-45-3132---</cust>
                            </l>
                            <l key="AdHocParamDimensionOids" refId="473" ln="0" eid="DimensionOid"/>
                            <be key="data" refId="474" clsId="FilterNodeData">
                              <ref key="filterNode" refId="471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75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465"/>
                          </be>
                        </l>
                        <ref key="parent" refId="459"/>
                      </be>
                    </l>
                  </be>
                  <be key="rowHeaders" refId="476" clsId="ReportingHeaders">
                    <m key="headers" refId="477" keid="SYS_PR_I" veid="System.Collections.IList">
                      <key>
                        <i>-1</i>
                      </key>
                      <val>
                        <l refId="478" ln="1">
                          <s>$ME_002_000002.desc</s>
                        </l>
                      </val>
                    </m>
                    <m key="headersDims" refId="479" keid="SYS_PR_I" veid="SYS_STR">
                      <key>
                        <i>-1</i>
                      </key>
                      <val>
                        <s>ME_002_000002</s>
                      </val>
                    </m>
                  </be>
                  <be key="columnHeaders" refId="480" clsId="ReportingHeaders">
                    <m key="headers" refId="481" keid="SYS_PR_I" veid="System.Collections.IList"/>
                    <m key="headersDims" refId="482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4</i>
                  <b key="excludeValuatingSheetsWithZeroValues">N</b>
                  <m key="addictionalStyleSheets" refId="48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84" ln="0" eid="Reporting.com.tagetik.tables.IMatixCellLeafPositions,Reporting"/>
                  <m key="forcedEditModes" refId="485" keid="Reporting.com.tagetik.tables.IMatixCellLeafPositions,Reporting" veid="SYS_STR"/>
                  <b key="UseTxlDeFormEditor">N</b>
                  <be key="TxDeFormsEditorDescriptor" refId="486" clsId="TxDeFormsEditorDescriptor">
                    <l key="Tabs" refId="487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88" clsId="matrixWSInfo">
                    <b key="isT">N</b>
                    <s key="wsCode">002</s>
                    <s key="tableCode">000002</s>
                  </be>
                  <be key="customFilters" refId="489" clsId="ExpCustomFiltersProspetto"/>
                </be>
              </val>
              <key>
                <s>Matrix04</s>
              </key>
              <val>
                <be refId="490" clsId="MatrixPositionBlockVO">
                  <s key="positionID">Matrix04</s>
                  <be key="rows" refId="491" clsId="FilterNode">
                    <l key="dimensionOids" refId="492" ln="0" eid="DimensionOid"/>
                    <l key="AdHocParamDimensionOids" refId="493" ln="0" eid="DimensionOid"/>
                    <be key="data" refId="494" clsId="FilterNodeData">
                      <ref key="filterNode" refId="491"/>
                      <i key="segmentLevel">0</i>
                      <ref key="segment" refId="17"/>
                      <b key="placeHolder">N</b>
                      <ref key="weight" refId="18"/>
                      <be key="textMatchingCondition" refId="4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96" ln="3" eid="Framework.com.tagetik.trees.INode,framework">
                      <be refId="497" clsId="FilterNode">
                        <l key="dimensionOids" refId="498" ln="1" eid="DimensionOid">
                          <cust clsId="DimensionOid">564F43-4E-3031307C4341----53-45</cust>
                        </l>
                        <l key="AdHocParamDimensionOids" refId="499" ln="0" eid="DimensionOid"/>
                        <be key="data" refId="500" clsId="FilterNodeData">
                          <ref key="filterNode" refId="497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02" keid="SYS_STR" veid="EFReportingNodeType">
                            <key>
                              <s>564F43-4E-3031307C4341----53-45</s>
                            </key>
                            <val>
                              <e refId="503" id="EFReportingNodeType">VR</e>
                            </val>
                            <key>
                              <s>564F43-4E-3031307C454249544441----53-45</s>
                            </key>
                            <val>
                              <e refId="504" id="EFReportingNodeType">VF</e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91"/>
                      </be>
                      <be refId="505" clsId="FilterNode">
                        <l key="dimensionOids" refId="506" ln="1" eid="DimensionOid">
                          <cust clsId="DimensionOid">564F43-4E-3031307C454249544441----53-45</cust>
                        </l>
                        <l key="AdHocParamDimensionOids" refId="507" ln="0" eid="DimensionOid"/>
                        <be key="data" refId="508" clsId="FilterNodeData">
                          <ref key="filterNode" refId="505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ref key="nodeTypes" refId="502"/>
                          <b key="multiSelection">N</b>
                        </be>
                        <cust key="id" clsId="FilterOid">3</cust>
                        <i key="index">0</i>
                        <ref key="parent" refId="491"/>
                      </be>
                      <be refId="510" clsId="FilterNode">
                        <l key="dimensionOids" refId="511" ln="0" eid="DimensionOid"/>
                        <l key="AdHocParamDimensionOids" refId="512" ln="0" eid="DimensionOid"/>
                        <be key="data" refId="513" clsId="FilterNodeData">
                          <ref key="filterNode" refId="510"/>
                          <s key="dim">VOC</s>
                          <i key="segmentLevel">0</i>
                          <ref key="segment" refId="17"/>
                          <be key="reportingFormula" refId="514" clsId="ReportingFormula">
                            <b key="serverFormula">N</b>
                            <b key="formulaRule">N</b>
                            <s key="formula">IFERROR({3}/{2},0)</s>
                          </be>
                          <be key="dictionaryHeader" refId="515" clsId="MultiDesc">
                            <a key="desc" refId="516" ln="4" eid="SYS_STR">
                              <s>Marge EBITDA %</s>
                              <s>Marge EBITDA %</s>
                              <s>Marge EBITDA %</s>
                              <s>Marge EBITDA %</s>
                            </a>
                          </be>
                          <b key="placeHolder">S</b>
                          <ref key="weight" refId="18"/>
                          <be key="textMatchingCondition" refId="51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518" keid="SYS_STR" veid="EFReportingNodeType">
                            <key>
                              <s>3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s key="cod">PH</s>
                        <s key="desc"/>
                        <i key="index">0</i>
                        <ref key="parent" refId="491"/>
                      </be>
                    </l>
                  </be>
                  <be key="columns" refId="519" clsId="FilterNode">
                    <l key="dimensionOids" refId="520" ln="0" eid="DimensionOid"/>
                    <l key="AdHocParamDimensionOids" refId="521" ln="0" eid="DimensionOid"/>
                    <be key="data" refId="522" clsId="FilterNodeData">
                      <ref key="filterNode" refId="519"/>
                      <i key="segmentLevel">0</i>
                      <ref key="segment" refId="17"/>
                      <b key="placeHolder">N</b>
                      <ref key="weight" refId="18"/>
                      <be key="textMatchingCondition" refId="52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24" ln="1" eid="Framework.com.tagetik.trees.INode,framework">
                      <be refId="525" clsId="FilterNode">
                        <l key="dimensionOids" refId="526" ln="1" eid="DimensionOid">
                          <cust clsId="DimensionOid">414E4C5F4558455243494345-45-32303236---</cust>
                        </l>
                        <l key="AdHocParamDimensionOids" refId="527" ln="0" eid="DimensionOid"/>
                        <be key="data" refId="528" clsId="FilterNodeData">
                          <ref key="filterNode" refId="52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0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19"/>
                      </be>
                    </l>
                  </be>
                  <be key="matrixFilters" refId="531" clsId="FilterNode">
                    <l key="dimensionOids" refId="532" ln="0" eid="DimensionOid"/>
                    <l key="AdHocParamDimensionOids" refId="533" ln="0" eid="DimensionOid"/>
                    <be key="data" refId="534" clsId="FilterNodeData">
                      <ref key="filterNode" refId="531"/>
                      <i key="segmentLevel">0</i>
                      <ref key="segment" refId="17"/>
                      <b key="placeHolder">N</b>
                      <ref key="weight" refId="18"/>
                      <be key="textMatchingCondition" refId="53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536" ln="1" eid="Framework.com.tagetik.trees.INode,framework">
                      <be refId="537" clsId="FilterNode">
                        <l key="dimensionOids" refId="538" ln="1" eid="DimensionOid">
                          <cust clsId="DimensionOid">4D455F3030325F303030303034-45-414D4F554E54-32--</cust>
                        </l>
                        <l key="AdHocParamDimensionOids" refId="539" ln="0" eid="DimensionOid"/>
                        <be key="data" refId="540" clsId="FilterNodeData">
                          <ref key="filterNode" refId="537"/>
                          <s key="dim">ME_002_000004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4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542" ln="1" eid="Framework.com.tagetik.trees.INode,framework">
                          <be refId="543" clsId="FilterNode">
                            <l key="dimensionOids" refId="544" ln="1" eid="DimensionOid">
                              <cust clsId="DimensionOid">504552-45-3132---</cust>
                            </l>
                            <l key="AdHocParamDimensionOids" refId="545" ln="0" eid="DimensionOid"/>
                            <be key="data" refId="546" clsId="FilterNodeData">
                              <ref key="filterNode" refId="543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54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548" ln="1" eid="Framework.com.tagetik.trees.INode,framework">
                              <be refId="549" clsId="FilterNode">
                                <l key="dimensionOids" refId="550" ln="1" eid="DimensionOid">
                                  <cust clsId="DimensionOid">534345-45-323032374255445F5631---</cust>
                                </l>
                                <l key="AdHocParamDimensionOids" refId="551" ln="0" eid="DimensionOid"/>
                                <be key="data" refId="552" clsId="FilterNodeData">
                                  <ref key="filterNode" refId="549"/>
                                  <s key="dim">SCE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55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543"/>
                              </be>
                            </l>
                            <ref key="parent" refId="537"/>
                          </be>
                        </l>
                        <ref key="parent" refId="531"/>
                      </be>
                    </l>
                  </be>
                  <be key="rowHeaders" refId="554" clsId="ReportingHeaders">
                    <m key="headers" refId="555" keid="SYS_PR_I" veid="System.Collections.IList">
                      <key>
                        <i>-1</i>
                      </key>
                      <val>
                        <l refId="556" ln="1">
                          <s>$Account.desc</s>
                        </l>
                      </val>
                    </m>
                    <m key="headersDims" refId="557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558" clsId="ReportingHeaders">
                    <m key="headers" refId="559" keid="SYS_PR_I" veid="System.Collections.IList">
                      <key>
                        <i>-1</i>
                      </key>
                      <val>
                        <l refId="560" ln="1">
                          <s>$ANL_EXERCICE.desc</s>
                        </l>
                      </val>
                    </m>
                    <m key="headersDims" refId="561" keid="SYS_PR_I" veid="SYS_STR">
                      <key>
                        <i>-1</i>
                      </key>
                      <val>
                        <s>ANL_EXERCICE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5</i>
                  <b key="excludeValuatingSheetsWithZeroValues">N</b>
                  <m key="addictionalStyleSheets" refId="56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63" ln="0" eid="Reporting.com.tagetik.tables.IMatixCellLeafPositions,Reporting"/>
                  <m key="forcedEditModes" refId="564" keid="Reporting.com.tagetik.tables.IMatixCellLeafPositions,Reporting" veid="SYS_STR"/>
                  <b key="UseTxlDeFormEditor">N</b>
                  <be key="TxDeFormsEditorDescriptor" refId="565" clsId="TxDeFormsEditorDescriptor">
                    <l key="Tabs" refId="566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567" clsId="matrixWSInfo">
                    <b key="isT">N</b>
                    <s key="wsCode">002</s>
                    <s key="tableCode">000004</s>
                  </be>
                  <be key="customFilters" refId="568" clsId="ExpCustomFiltersProspetto"/>
                </be>
              </val>
              <key>
                <s>Matrix03</s>
              </key>
              <val>
                <be refId="569" clsId="MatrixPositionBlockVO">
                  <s key="positionID">Matrix03</s>
                  <be key="rows" refId="570" clsId="FilterNode">
                    <l key="dimensionOids" refId="571" ln="0" eid="DimensionOid"/>
                    <l key="AdHocParamDimensionOids" refId="572" ln="0" eid="DimensionOid"/>
                    <be key="data" refId="573" clsId="FilterNodeData">
                      <ref key="filterNode" refId="570"/>
                      <i key="segmentLevel">0</i>
                      <ref key="segment" refId="17"/>
                      <b key="placeHolder">N</b>
                      <ref key="weight" refId="18"/>
                      <be key="textMatchingCondition" refId="57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575" ln="1" eid="Framework.com.tagetik.trees.INode,framework">
                      <be refId="576" clsId="FilterNode">
                        <l key="dimensionOids" refId="577" ln="1" eid="DimensionOid">
                          <cust clsId="DimensionOid">434F55-45-434F554E544552---</cust>
                        </l>
                        <l key="AdHocParamDimensionOids" refId="578" ln="0" eid="DimensionOid"/>
                        <be key="data" refId="579" clsId="FilterNodeData">
                          <ref key="filterNode" refId="57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580" clsId="ReportingDinamicita">
                            <e key="dynamicType" refId="581" id="DynamicEnum">COUNTER</e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e key="pruning" refId="582" id="PruningEnum">N</e>
                            <i key="addictionalRowsToOpen">0</i>
                            <b key="allowOpenNewElements">N</b>
                          </be>
                          <be key="textMatchingCondition" refId="58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584" id="PeriodicCalculationEnum">A</e>
                          <b key="breakLevelSubtotal">N</b>
                          <b key="alreadyDrilled">N</b>
                          <m key="nodeTypes" refId="585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70"/>
                      </be>
                    </l>
                  </be>
                  <be key="columns" refId="586" clsId="FilterNode">
                    <l key="dimensionOids" refId="587" ln="0" eid="DimensionOid"/>
                    <l key="AdHocParamDimensionOids" refId="588" ln="0" eid="DimensionOid"/>
                    <be key="data" refId="589" clsId="FilterNodeData">
                      <ref key="filterNode" refId="586"/>
                      <i key="segmentLevel">0</i>
                      <ref key="segment" refId="17"/>
                      <b key="placeHolder">N</b>
                      <ref key="weight" refId="18"/>
                      <be key="textMatchingCondition" refId="59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91" ln="1" eid="Framework.com.tagetik.trees.INode,framework">
                      <be refId="592" clsId="FilterNode">
                        <l key="dimensionOids" refId="593" ln="1" eid="DimensionOid">
                          <cust clsId="DimensionOid">41575F54454246534E45425443574E425052-45-53544148525646464C5141584A484B-47524445584B594655454543454744---7C4F57537C-303030303132</cust>
                        </l>
                        <l key="AdHocParamDimensionOids" refId="594" ln="0" eid="DimensionOid"/>
                        <be key="data" refId="595" clsId="FilterNodeData">
                          <ref key="filterNode" refId="59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9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597" keid="SYS_STR" veid="EFReportingNodeType">
                            <key>
                              <s>41575F54454246534E45425443574E425052-45-53544148525646464C5141584A484B-47524445584B594655454543454744---7C4F57537C-303030303132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86"/>
                      </be>
                    </l>
                  </be>
                  <be key="matrixFilters" refId="598" clsId="FilterNode">
                    <l key="dimensionOids" refId="599" ln="0" eid="DimensionOid"/>
                    <l key="AdHocParamDimensionOids" refId="600" ln="0" eid="DimensionOid"/>
                    <be key="data" refId="601" clsId="FilterNodeData">
                      <ref key="filterNode" refId="598"/>
                      <i key="segmentLevel">0</i>
                      <ref key="segment" refId="17"/>
                      <b key="placeHolder">N</b>
                      <ref key="weight" refId="18"/>
                      <be key="textMatchingCondition" refId="60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603" clsId="ReportingHeaders">
                    <m key="headers" refId="604" keid="SYS_PR_I" veid="System.Collections.IList"/>
                    <m key="headersDims" refId="605" keid="SYS_PR_I" veid="SYS_STR"/>
                  </be>
                  <be key="columnHeaders" refId="606" clsId="ReportingHeaders">
                    <m key="headers" refId="607" keid="SYS_PR_I" veid="System.Collections.IList"/>
                    <m key="headersDims" refId="60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6</i>
                  <b key="excludeValuatingSheetsWithZeroValues">N</b>
                  <m key="addictionalStyleSheets" refId="60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10" ln="0" eid="Reporting.com.tagetik.tables.IMatixCellLeafPositions,Reporting"/>
                  <m key="forcedEditModes" refId="611" keid="Reporting.com.tagetik.tables.IMatixCellLeafPositions,Reporting" veid="SYS_STR"/>
                  <b key="UseTxlDeFormEditor">N</b>
                  <be key="TxDeFormsEditorDescriptor" refId="612" clsId="TxDeFormsEditorDescriptor">
                    <l key="Tabs" refId="61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614" clsId="matrixWSInfo">
                    <b key="isT">S</b>
                    <s key="wsCode">002</s>
                    <s key="tableCode">000012</s>
                  </be>
                  <be key="customFilters" refId="615" clsId="ExpCustomFiltersProspetto"/>
                </be>
              </val>
            </m>
            <m key="cellFields" refId="616" keid="SYS_STR" veid="CodeCellField"/>
            <m key="dictionary" refId="617" keid="SYS_STR" veid="CodeMultiDescVO"/>
            <m key="controlExpressions" refId="618" keid="SYS_STR" veid="CodedExpControlloProspetto"/>
            <m key="inlineParameters" refId="619" keid="SYS_STR" veid="CodedInlineParameter"/>
            <m key="queries" refId="620" keid="SYS_STR" veid="Reporting.com.tagetik.query.IUserDefinedQueryVO,Reporting"/>
            <be key="sheets" refId="621" clsId="FilterNode">
              <l key="dimensionOids" refId="622" ln="0" eid="DimensionOid"/>
              <l key="AdHocParamDimensionOids" refId="623" ln="0" eid="DimensionOid"/>
              <be key="data" refId="624" clsId="FilterNodeData">
                <ref key="filterNode" refId="621"/>
                <i key="segmentLevel">0</i>
                <ref key="segment" refId="17"/>
                <b key="placeHolder">N</b>
                <ref key="weight" refId="18"/>
                <be key="textMatchingCondition" refId="62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26" keid="SYS_STR" veid="ElaborationsLauncher"/>
            <m key="actionLists" refId="627" keid="SYS_STR" veid="Reporting.com.tagetik.actionlist.ISnapshotActionList,Reporting"/>
            <l key="areas" refId="628" ln="45" eid="SYS_STR">
              <s>HYP_ACQ_BUD_V01</s>
              <s>HYP_ACQ_BUD_V02</s>
              <s>HYP_ACQ_BUD_V03</s>
              <s>HYP_BRAND_BUD_V01</s>
              <s>HYP_BRAND_BUD_V02</s>
              <s>HYP_BRAND_BUD_V03</s>
              <s>HYP_CONV_ADM_V01</s>
              <s>HYP_CONV_ADM_V02</s>
              <s>HYP_CONV_ADM_V03</s>
              <s>HYP_CONV_LEAD_V01</s>
              <s>HYP_CONV_LEAD_V02</s>
              <s>HYP_CONV_LEAD_V03</s>
              <s>HYP_FEE_V01</s>
              <s>HYP_FEE_V02</s>
              <s>HYP_FEE_V03</s>
              <s>HYP_FTE_PERM_V01</s>
              <s>HYP_FTE_PERM_V02</s>
              <s>HYP_FTE_PERM_V03</s>
              <s>HYP_INFL_EXT_V01</s>
              <s>HYP_INFL_EXT_V02</s>
              <s>HYP_INFL_EXT_V03</s>
              <s>HYP_PASSAGE_V01</s>
              <s>HYP_PASSAGE_V02</s>
              <s>HYP_PASSAGE_V03</s>
              <s>HYP_PRICE_COEF_IPAC</s>
              <s>HYP_PRICE_COEF_ISCOM</s>
              <s>HYP_PRICE_COEF_MBWAY</s>
              <s>HYP_PRICE_COEF_PIGIER</s>
              <s>HYP_PRICE_COEF_TUNON</s>
              <s>HYP_PRICE_V01</s>
              <s>HYP_PRICE_V02</s>
              <s>HYP_PRICE_V03</s>
              <s>HYP_PRODUCTIVITY_V01</s>
              <s>HYP_PRODUCTIVITY_V02</s>
              <s>HYP_PRODUCTIVITY_V03</s>
              <s>HYP_SALARY_V01</s>
              <s>HYP_SALARY_V02</s>
              <s>HYP_SALARY_V03</s>
              <s>HYP_STRUCT_COST_V01</s>
              <s>HYP_STRUCT_COST_V02</s>
              <s>HYP_STRUCT_COST_V03</s>
              <s>SCENARIO_ACTIF</s>
              <s>SCENARIO_CODE</s>
              <s>TEC_EBITDA</s>
              <s>TEC_PL</s>
            </l>
            <l key="charts" refId="629" ln="0" eid="SYS_STR"/>
            <l key="pivots" refId="630" ln="0" eid="SYS_STR"/>
          </be>
        </val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e key="querySyntax" refId="639" id="UserDefinedQuerySyntax">SQL</e>
                  <m key="options" refId="640" keid="SYS_STR" veid="SYS_STR">
                    <key>
                      <s>VALIDATION_TYPE</s>
                    </key>
                    <val>
                      <s>PMS</s>
                    </val>
                    <key>
                      <s>SEEQUERYNAME</s>
                    </key>
                    <val>
                      <s>N</s>
                    </val>
                    <key>
                      <s>HEADERS</s>
                    </key>
                    <val>
                      <s>S</s>
                    </val>
                    <key>
                      <s>AUTOSIZE</s>
                    </key>
                    <val>
                      <s>S</s>
                    </val>
                    <key>
                      <s>DRAG_LEFT</s>
                    </key>
                    <val>
                      <s>N</s>
                    </val>
                    <key>
                      <s>DRAG_RIGHT</s>
                    </key>
                    <val>
                      <s>N</s>
                    </val>
                    <key>
                      <s>CREATE NAMED RANGE</s>
                    </key>
                    <val>
                      <s>N</s>
                    </val>
                    <key>
                      <s>PRESERVE_FORMAT</s>
                    </key>
                    <val>
                      <s>N</s>
                    </val>
                    <key>
                      <s>EXPANSION_MODE</s>
                    </key>
                    <val>
                      <s>0</s>
                    </val>
                    <key>
                      <s>REMOVE_FORMATS_AFTER_END</s>
                    </key>
                    <val>
                      <s>N</s>
                    </val>
                  </m>
                  <s key="cod">Query00</s>
                  <be key="multiDescVO" refId="641" clsId="MultiDesc">
                    <a key="desc" refId="642" ln="4" eid="SYS_STR">
                      <s>Query 00</s>
                      <s/>
                      <s/>
                      <s/>
                    </a>
                  </be>
                  <be key="initialResult" refId="643" clsId="QueryResult">
                    <rs key="recordset" refId="64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<field name="SCENARIO"/>
                      <field name="VERSION"/>
                      <field name="PERIODE"/>
                      <field name="EXERCICE"/>
                      <field name="ENTITY"/>
                      <field name="MARQUE"/>
                      <field name="PROGRAMME"/>
                      <field name="AN_ETUDE"/>
                      <field name="MODALITE"/>
                      <field name="VOL_EFF"/>
                      <field name="VOL_CLASS"/>
                      <field name="CA"/>
                      <field name="COST_VAC"/>
                      <field name="COST_PERM"/>
                      <field name="COST_ODIR"/>
                      <field name="COST_STRUCT"/>
                      <field name="COST_MARQUE"/>
                      <field name="COST_HOLDING"/>
                      <field name="COST_SIEGE"/>
                      <field name="COST_VARIABLE"/>
                      <field name="COST_STRUCTURE"/>
                      <field name="COST_COMPLET"/>
                      <field name="MARGE_COMPLETE"/>
                    </rs>
                    <a key="columnTypes" refId="645" ln="23" eid="SYS_PR_I"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8</i>
                      <i>3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</a>
                    <i key="rowsCount">0</i>
                    <a key="columnNames" refId="646" ln="23" eid="SYS_STR">
                      <s>SCENARIO</s>
                      <s>VERSION</s>
                      <s>PERIODE</s>
                      <s>EXERCICE</s>
                      <s>ENTITY</s>
                      <s>MARQUE</s>
                      <s>PROGRAMME</s>
                      <s>AN_ETUDE</s>
                      <s>MODALITE</s>
                      <s>VOL_EFF</s>
                      <s>VOL_CLASS</s>
                      <s>CA</s>
                      <s>COST_VAC</s>
                      <s>COST_PERM</s>
                      <s>COST_ODIR</s>
                      <s>COST_STRUCT</s>
                      <s>COST_MARQUE</s>
                      <s>COST_HOLDING</s>
                      <s>COST_SIEGE</s>
                      <s>COST_VARIABLE</s>
                      <s>COST_STRUCTURE</s>
                      <s>COST_COMPLET</s>
                      <s>MARGE_COMPLETE</s>
                    </a>
                  </be>
                  <b key="hasExcelReferences">N</b>
                  <m key="ColumnDescriptors" refId="647" keid="SYS_STR" veid="QueryColumnDescriptor">
                    <key>
                      <s>SCENARIO</s>
                    </key>
                    <val>
                      <be refId="648" clsId="QueryColumnDescriptor">
                        <s key="code">SCENARIO</s>
                        <be key="multiDescVO" refId="649" clsId="MultiDesc">
                          <a key="desc" refId="65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51" clsId="QueryColumnDescriptor">
                        <s key="code">VERSION</s>
                        <be key="multiDescVO" refId="652" clsId="MultiDesc">
                          <a key="desc" refId="65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54" clsId="QueryColumnDescriptor">
                        <s key="code">PERIODE</s>
                        <be key="multiDescVO" refId="655" clsId="MultiDesc">
                          <a key="desc" refId="65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57" clsId="QueryColumnDescriptor">
                        <s key="code">EXERCICE</s>
                        <be key="multiDescVO" refId="658" clsId="MultiDesc">
                          <a key="desc" refId="65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60" clsId="QueryColumnDescriptor">
                        <s key="code">ENTITY</s>
                        <be key="multiDescVO" refId="661" clsId="MultiDesc">
                          <a key="desc" refId="66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63" clsId="QueryColumnDescriptor">
                        <s key="code">MARQUE</s>
                        <be key="multiDescVO" refId="664" clsId="MultiDesc">
                          <a key="desc" refId="66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66" clsId="QueryColumnDescriptor">
                        <s key="code">PROGRAMME</s>
                        <be key="multiDescVO" refId="667" clsId="MultiDesc">
                          <a key="desc" refId="66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69" clsId="QueryColumnDescriptor">
                        <s key="code">AN_ETUDE</s>
                        <be key="multiDescVO" refId="670" clsId="MultiDesc">
                          <a key="desc" refId="67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72" clsId="QueryColumnDescriptor">
                        <s key="code">MODALITE</s>
                        <be key="multiDescVO" refId="673" clsId="MultiDesc">
                          <a key="desc" refId="67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75" clsId="QueryColumnDescriptor">
                        <s key="code">VOL_EFF</s>
                        <be key="multiDescVO" refId="676" clsId="MultiDesc">
                          <a key="desc" refId="67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78" clsId="QueryColumnDescriptor">
                        <s key="code">VOL_CLASS</s>
                        <be key="multiDescVO" refId="679" clsId="MultiDesc">
                          <a key="desc" refId="68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81" clsId="QueryColumnDescriptor">
                        <s key="code">CA</s>
                        <be key="multiDescVO" refId="682" clsId="MultiDesc">
                          <a key="desc" refId="68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84" clsId="QueryColumnDescriptor">
                        <s key="code">COST_VAC</s>
                        <be key="multiDescVO" refId="685" clsId="MultiDesc">
                          <a key="desc" refId="68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87" clsId="QueryColumnDescriptor">
                        <s key="code">COST_PERM</s>
                        <be key="multiDescVO" refId="688" clsId="MultiDesc">
                          <a key="desc" refId="68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90" clsId="QueryColumnDescriptor">
                        <s key="code">COST_ODIR</s>
                        <be key="multiDescVO" refId="691" clsId="MultiDesc">
                          <a key="desc" refId="69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93" clsId="QueryColumnDescriptor">
                        <s key="code">COST_STRUCT</s>
                        <be key="multiDescVO" refId="694" clsId="MultiDesc">
                          <a key="desc" refId="69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96" clsId="QueryColumnDescriptor">
                        <s key="code">COST_MARQUE</s>
                        <be key="multiDescVO" refId="697" clsId="MultiDesc">
                          <a key="desc" refId="69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99" clsId="QueryColumnDescriptor">
                        <s key="code">COST_HOLDING</s>
                        <be key="multiDescVO" refId="700" clsId="MultiDesc">
                          <a key="desc" refId="70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02" clsId="QueryColumnDescriptor">
                        <s key="code">COST_SIEGE</s>
                        <be key="multiDescVO" refId="703" clsId="MultiDesc">
                          <a key="desc" refId="70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705" clsId="QueryColumnDescriptor">
                        <s key="code">COST_VARIABLE</s>
                        <be key="multiDescVO" refId="706" clsId="MultiDesc">
                          <a key="desc" refId="70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708" clsId="QueryColumnDescriptor">
                        <s key="code">COST_STRUCTURE</s>
                        <be key="multiDescVO" refId="709" clsId="MultiDesc">
                          <a key="desc" refId="71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11" clsId="QueryColumnDescriptor">
                        <s key="code">COST_COMPLET</s>
                        <be key="multiDescVO" refId="712" clsId="MultiDesc">
                          <a key="desc" refId="71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714" clsId="QueryColumnDescriptor">
                        <s key="code">MARGE_COMPLETE</s>
                        <be key="multiDescVO" refId="715" clsId="MultiDesc">
                          <a key="desc" refId="71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17" clsId="FilterNode">
              <l key="dimensionOids" refId="718" ln="0" eid="DimensionOid"/>
              <l key="AdHocParamDimensionOids" refId="719" ln="0" eid="DimensionOid"/>
              <be key="data" refId="720" clsId="FilterNodeData">
                <ref key="filterNode" refId="717"/>
                <i key="segmentLevel">0</i>
                <ref key="segment" refId="17"/>
                <b key="placeHolder">N</b>
                <ref key="weight" refId="18"/>
                <be key="textMatchingCondition" refId="721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22" keid="SYS_STR" veid="ElaborationsLauncher"/>
            <m key="actionLists" refId="723" keid="SYS_STR" veid="Reporting.com.tagetik.actionlist.ISnapshotActionList,Reporting"/>
            <l key="areas" refId="724" ln="0" eid="SYS_STR"/>
            <l key="charts" refId="725" ln="0" eid="SYS_STR"/>
            <l key="pivots" refId="726" ln="0" eid="SYS_STR"/>
          </be>
        </val>
        <key>
          <s>Template02</s>
        </key>
        <val>
          <be refId="727" clsId="ReportTemplateVO">
            <s key="code">Template02</s>
            <s key="desc">Campagne</s>
            <m key="matrices" refId="728" keid="SYS_STR" veid="Reporting.com.tagetik.tables.IMatrixPositionBlockVO,Reporting">
              <key>
                <s>Matrix00</s>
              </key>
              <val>
                <be refId="729" clsId="MatrixPositionBlockVO">
                  <s key="positionID">Matrix00</s>
                  <be key="rows" refId="730" clsId="FilterNode">
                    <l key="dimensionOids" refId="731" ln="0" eid="DimensionOid"/>
                    <l key="AdHocParamDimensionOids" refId="732" ln="0" eid="DimensionOid"/>
                    <be key="data" refId="733" clsId="FilterNodeData">
                      <ref key="filterNode" refId="730"/>
                      <i key="segmentLevel">0</i>
                      <ref key="segment" refId="17"/>
                      <b key="placeHolder">N</b>
                      <ref key="weight" refId="18"/>
                      <be key="textMatchingCondition" refId="73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735" ln="1" eid="Framework.com.tagetik.trees.INode,framework">
                      <be refId="736" clsId="FilterNode">
                        <l key="dimensionOids" refId="737" ln="1" eid="DimensionOid">
                          <cust clsId="DimensionOid">434F55-45-434F554E544552---</cust>
                        </l>
                        <l key="AdHocParamDimensionOids" refId="738" ln="0" eid="DimensionOid"/>
                        <be key="data" refId="739" clsId="FilterNodeData">
                          <ref key="filterNode" refId="73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740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74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42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30"/>
                      </be>
                    </l>
                  </be>
                  <be key="columns" refId="743" clsId="FilterNode">
                    <l key="dimensionOids" refId="744" ln="0" eid="DimensionOid"/>
                    <l key="AdHocParamDimensionOids" refId="745" ln="0" eid="DimensionOid"/>
                    <be key="data" refId="746" clsId="FilterNodeData">
                      <ref key="filterNode" refId="743"/>
                      <i key="segmentLevel">0</i>
                      <ref key="segment" refId="17"/>
                      <b key="placeHolder">N</b>
                      <ref key="weight" refId="18"/>
                      <be key="textMatchingCondition" refId="74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748" ln="14" eid="Framework.com.tagetik.trees.INode,framework">
                      <be refId="749" clsId="FilterNode">
                        <l key="dimensionOids" refId="750" ln="1" eid="DimensionOid">
                          <cust clsId="DimensionOid">41575F54454246534E45425443574E425052-45-4B4F5650435A594342554C4D4B584F-4542464E5456474E4E58505A494C52---7C4F57537C-303030303035</cust>
                        </l>
                        <l key="AdHocParamDimensionOids" refId="751" ln="0" eid="DimensionOid"/>
                        <be key="data" refId="752" clsId="FilterNodeData">
                          <ref key="filterNode" refId="749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54" keid="SYS_STR" veid="EFReportingNodeType">
                            <key>
                              <s>41575F54454246534E45425443574E425052-45-4B4F5650435A594342554C4D4B584F-4542464E5456474E4E58505A494C52---7C4F57537C-303030303035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41575F54454246534E45425443574E425052-45-58595A55424C43525652475A52544E-4542464E5456474E4E58505A494C52---7C4F57537C-303030303035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41575F54454246534E45425443574E425052-45-554F4E41444354574C514E4A4F4E4C-4542464E5456474E4E58505A494C52---7C4F57537C-303030303035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41575F54454246534E45425443574E425052-45-424F474D594F56415A51564A424953-4542464E5456474E4E58505A494C52---7C4F57537C-303030303035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41575F54454246534E45425443574E425052-45-58535941524745584E4444475A4C55-4542464E5456474E4E58505A494C52---7C4F57537C-303030303035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41575F54454246534E45425443574E425052-45-5643544652514E454F414347444959-4542464E5456474E4E58505A494C52---7C4F57537C-303030303035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41575F54454246534E45425443574E425052-45-505548455742554249505059465341-4542464E5456474E4E58505A494C52---7C4F57537C-303030303035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41575F54454246534E45425443574E425052-45-48414F42584D4A534F515244454158-4542464E5456474E4E58505A494C52---7C4F57537C-303030303035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41575F54454246534E45425443574E425052-45-475142525856534B4950484D44574C-4542464E5456474E4E58505A494C52---7C4F57537C-303030303035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41575F54454246534E45425443574E425052-45-4D42485A434F4844594A4E4455544F-4542464E5456474E4E58505A494C52---7C4F57537C-303030303035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41575F54454246534E45425443574E425052-45-5A4B4C444D574F5148474A5A4C434B-4542464E5456474E4E58505A494C52---7C4F57537C-303030303035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41575F54454246534E45425443574E425052-45-5A555957435545475A54424B4E5252-4542464E5456474E4E58505A494C52---7C4F57537C-303030303035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41575F54454246534E45425443574E425052-45-4A564158434C534C4350535344484E-4542464E5456474E4E58505A494C52---7C4F57537C-303030303035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41575F54454246534E45425443574E425052-45-434959504D4B56445047594C595443-4542464E5456474E4E58505A494C52---7C4F57537C-303030303035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43"/>
                      </be>
                      <be refId="755" clsId="FilterNode">
                        <l key="dimensionOids" refId="756" ln="1" eid="DimensionOid">
                          <cust clsId="DimensionOid">41575F54454246534E45425443574E425052-45-58595A55424C43525652475A52544E-4542464E5456474E4E58505A494C52---7C4F57537C-303030303035</cust>
                        </l>
                        <l key="AdHocParamDimensionOids" refId="757" ln="0" eid="DimensionOid"/>
                        <be key="data" refId="758" clsId="FilterNodeData">
                          <ref key="filterNode" refId="7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3</cust>
                        <i key="index">0</i>
                        <ref key="parent" refId="743"/>
                      </be>
                      <be refId="760" clsId="FilterNode">
                        <l key="dimensionOids" refId="761" ln="1" eid="DimensionOid">
                          <cust clsId="DimensionOid">41575F54454246534E45425443574E425052-45-554F4E41444354574C514E4A4F4E4C-4542464E5456474E4E58505A494C52---7C4F57537C-303030303035</cust>
                        </l>
                        <l key="AdHocParamDimensionOids" refId="762" ln="0" eid="DimensionOid"/>
                        <be key="data" refId="763" clsId="FilterNodeData">
                          <ref key="filterNode" refId="76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4</cust>
                        <i key="index">0</i>
                        <ref key="parent" refId="743"/>
                      </be>
                      <be refId="765" clsId="FilterNode">
                        <l key="dimensionOids" refId="766" ln="1" eid="DimensionOid">
                          <cust clsId="DimensionOid">41575F54454246534E45425443574E425052-45-424F474D594F56415A51564A424953-4542464E5456474E4E58505A494C52---7C4F57537C-303030303035</cust>
                        </l>
                        <l key="AdHocParamDimensionOids" refId="767" ln="0" eid="DimensionOid"/>
                        <be key="data" refId="768" clsId="FilterNodeData">
                          <ref key="filterNode" refId="76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5</cust>
                        <i key="index">0</i>
                        <ref key="parent" refId="743"/>
                      </be>
                      <be refId="770" clsId="FilterNode">
                        <l key="dimensionOids" refId="771" ln="1" eid="DimensionOid">
                          <cust clsId="DimensionOid">41575F54454246534E45425443574E425052-45-58535941524745584E4444475A4C55-4542464E5456474E4E58505A494C52---7C4F57537C-303030303035</cust>
                        </l>
                        <l key="AdHocParamDimensionOids" refId="772" ln="0" eid="DimensionOid"/>
                        <be key="data" refId="773" clsId="FilterNodeData">
                          <ref key="filterNode" refId="77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6</cust>
                        <i key="index">0</i>
                        <ref key="parent" refId="743"/>
                      </be>
                      <be refId="775" clsId="FilterNode">
                        <l key="dimensionOids" refId="776" ln="1" eid="DimensionOid">
                          <cust clsId="DimensionOid">41575F54454246534E45425443574E425052-45-5643544652514E454F414347444959-4542464E5456474E4E58505A494C52---7C4F57537C-303030303035</cust>
                        </l>
                        <l key="AdHocParamDimensionOids" refId="777" ln="0" eid="DimensionOid"/>
                        <be key="data" refId="778" clsId="FilterNodeData">
                          <ref key="filterNode" refId="77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7</cust>
                        <i key="index">0</i>
                        <ref key="parent" refId="743"/>
                      </be>
                      <be refId="780" clsId="FilterNode">
                        <l key="dimensionOids" refId="781" ln="1" eid="DimensionOid">
                          <cust clsId="DimensionOid">41575F54454246534E45425443574E425052-45-505548455742554249505059465341-4542464E5456474E4E58505A494C52---7C4F57537C-303030303035</cust>
                        </l>
                        <l key="AdHocParamDimensionOids" refId="782" ln="0" eid="DimensionOid"/>
                        <be key="data" refId="783" clsId="FilterNodeData">
                          <ref key="filterNode" refId="78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8</cust>
                        <i key="index">0</i>
                        <ref key="parent" refId="743"/>
                      </be>
                      <be refId="785" clsId="FilterNode">
                        <l key="dimensionOids" refId="786" ln="1" eid="DimensionOid">
                          <cust clsId="DimensionOid">41575F54454246534E45425443574E425052-45-48414F42584D4A534F515244454158-4542464E5456474E4E58505A494C52---7C4F57537C-303030303035</cust>
                        </l>
                        <l key="AdHocParamDimensionOids" refId="787" ln="0" eid="DimensionOid"/>
                        <be key="data" refId="788" clsId="FilterNodeData">
                          <ref key="filterNode" refId="7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9</cust>
                        <i key="index">0</i>
                        <ref key="parent" refId="743"/>
                      </be>
                      <be refId="790" clsId="FilterNode">
                        <l key="dimensionOids" refId="791" ln="1" eid="DimensionOid">
                          <cust clsId="DimensionOid">41575F54454246534E45425443574E425052-45-475142525856534B4950484D44574C-4542464E5456474E4E58505A494C52---7C4F57537C-303030303035</cust>
                        </l>
                        <l key="AdHocParamDimensionOids" refId="792" ln="0" eid="DimensionOid"/>
                        <be key="data" refId="793" clsId="FilterNodeData">
                          <ref key="filterNode" refId="7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10</cust>
                        <i key="index">0</i>
                        <ref key="parent" refId="743"/>
                      </be>
                      <be refId="795" clsId="FilterNode">
                        <l key="dimensionOids" refId="796" ln="1" eid="DimensionOid">
                          <cust clsId="DimensionOid">41575F54454246534E45425443574E425052-45-4D42485A434F4844594A4E4455544F-4542464E5456474E4E58505A494C52---7C4F57537C-303030303035</cust>
                        </l>
                        <l key="AdHocParamDimensionOids" refId="797" ln="0" eid="DimensionOid"/>
                        <be key="data" refId="798" clsId="FilterNodeData">
                          <ref key="filterNode" refId="79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11</cust>
                        <i key="index">0</i>
                        <ref key="parent" refId="743"/>
                      </be>
                      <be refId="800" clsId="FilterNode">
                        <l key="dimensionOids" refId="801" ln="1" eid="DimensionOid">
                          <cust clsId="DimensionOid">41575F54454246534E45425443574E425052-45-5A4B4C444D574F5148474A5A4C434B-4542464E5456474E4E58505A494C52---7C4F57537C-303030303035</cust>
                        </l>
                        <l key="AdHocParamDimensionOids" refId="802" ln="0" eid="DimensionOid"/>
                        <be key="data" refId="803" clsId="FilterNodeData">
                          <ref key="filterNode" refId="8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12</cust>
                        <i key="index">0</i>
                        <ref key="parent" refId="743"/>
                      </be>
                      <be refId="805" clsId="FilterNode">
                        <l key="dimensionOids" refId="806" ln="1" eid="DimensionOid">
                          <cust clsId="DimensionOid">41575F54454246534E45425443574E425052-45-5A555957435545475A54424B4E5252-4542464E5456474E4E58505A494C52---7C4F57537C-303030303035</cust>
                        </l>
                        <l key="AdHocParamDimensionOids" refId="807" ln="0" eid="DimensionOid"/>
                        <be key="data" refId="808" clsId="FilterNodeData">
                          <ref key="filterNode" refId="8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13</cust>
                        <i key="index">0</i>
                        <ref key="parent" refId="743"/>
                      </be>
                      <be refId="810" clsId="FilterNode">
                        <l key="dimensionOids" refId="811" ln="1" eid="DimensionOid">
                          <cust clsId="DimensionOid">41575F54454246534E45425443574E425052-45-4A564158434C534C4350535344484E-4542464E5456474E4E58505A494C52---7C4F57537C-303030303035</cust>
                        </l>
                        <l key="AdHocParamDimensionOids" refId="812" ln="0" eid="DimensionOid"/>
                        <be key="data" refId="813" clsId="FilterNodeData">
                          <ref key="filterNode" refId="8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14</cust>
                        <i key="index">0</i>
                        <ref key="parent" refId="743"/>
                      </be>
                      <be refId="815" clsId="FilterNode">
                        <l key="dimensionOids" refId="816" ln="1" eid="DimensionOid">
                          <cust clsId="DimensionOid">41575F54454246534E45425443574E425052-45-434959504D4B56445047594C595443-4542464E5456474E4E58505A494C52---7C4F57537C-303030303035</cust>
                        </l>
                        <l key="AdHocParamDimensionOids" refId="817" ln="0" eid="DimensionOid"/>
                        <be key="data" refId="818" clsId="FilterNodeData">
                          <ref key="filterNode" refId="8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15</cust>
                        <i key="index">0</i>
                        <ref key="parent" refId="743"/>
                      </be>
                    </l>
                  </be>
                  <be key="matrixFilters" refId="820" clsId="FilterNode">
                    <l key="dimensionOids" refId="821" ln="0" eid="DimensionOid"/>
                    <l key="AdHocParamDimensionOids" refId="822" ln="0" eid="DimensionOid"/>
                    <be key="data" refId="823" clsId="FilterNodeData">
                      <ref key="filterNode" refId="820"/>
                      <i key="segmentLevel">0</i>
                      <ref key="segment" refId="17"/>
                      <b key="placeHolder">N</b>
                      <ref key="weight" refId="18"/>
                      <be key="textMatchingCondition" refId="82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825" ln="1" eid="Framework.com.tagetik.trees.INode,framework">
                      <be refId="826" clsId="FilterNode">
                        <l key="dimensionOids" refId="827" ln="1" eid="DimensionOid">
                          <cust clsId="DimensionOid">5343455F24-45-245343455F245F50--50-</cust>
                        </l>
                        <l key="AdHocParamDimensionOids" refId="828" ln="0" eid="DimensionOid"/>
                        <be key="data" refId="829" clsId="FilterNodeData">
                          <ref key="filterNode" refId="82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3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831" ln="1" eid="Framework.com.tagetik.trees.INode,framework">
                          <be refId="832" clsId="FilterNode">
                            <l key="dimensionOids" refId="833" ln="1" eid="DimensionOid">
                              <cust clsId="DimensionOid">504552-45-3132---</cust>
                            </l>
                            <l key="AdHocParamDimensionOids" refId="834" ln="0" eid="DimensionOid"/>
                            <be key="data" refId="835" clsId="FilterNodeData">
                              <ref key="filterNode" refId="83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3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837" ln="1" eid="Framework.com.tagetik.trees.INode,framework">
                              <be refId="838" clsId="FilterNode">
                                <l key="dimensionOids" refId="839" ln="1" eid="DimensionOid">
                                  <cust clsId="DimensionOid">415A495F454455-45-24415A495F4544555F50--50-</cust>
                                </l>
                                <l key="AdHocParamDimensionOids" refId="840" ln="0" eid="DimensionOid"/>
                                <be key="data" refId="841" clsId="FilterNodeData">
                                  <ref key="filterNode" refId="83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84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5</cust>
                                <i key="index">0</i>
                                <ref key="parent" refId="832"/>
                              </be>
                            </l>
                            <ref key="parent" refId="826"/>
                          </be>
                        </l>
                        <ref key="parent" refId="820"/>
                      </be>
                    </l>
                  </be>
                  <be key="rowHeaders" refId="843" clsId="ReportingHeaders">
                    <m key="headers" refId="844" keid="SYS_PR_I" veid="System.Collections.IList"/>
                    <m key="headersDims" refId="845" keid="SYS_PR_I" veid="SYS_STR"/>
                  </be>
                  <be key="columnHeaders" refId="846" clsId="ReportingHeaders">
                    <m key="headers" refId="847" keid="SYS_PR_I" veid="System.Collections.IList">
                      <key>
                        <i>-1</i>
                      </key>
                      <val>
                        <l refId="848" ln="1">
                          <s>$AW(HIERARCHY("TEBFSNEBTCWNBPR")).desc</s>
                        </l>
                      </val>
                    </m>
                    <m key="headersDims" refId="84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850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851" ln="0" eid="Reporting.com.tagetik.tables.IMatixCellLeafPositions,Reporting"/>
                  <m key="forcedEditModes" refId="852" keid="Reporting.com.tagetik.tables.IMatixCellLeafPositions,Reporting" veid="SYS_STR"/>
                  <b key="UseTxlDeFormEditor">N</b>
                  <be key="TxDeFormsEditorDescriptor" refId="853" clsId="TxDeFormsEditorDescriptor">
                    <l key="Tabs" refId="854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855" clsId="matrixWSInfo">
                    <b key="isT">S</b>
                    <s key="wsCode">002</s>
                    <s key="tableCode">000005</s>
                  </be>
                  <be key="customFilters" refId="856" clsId="ExpCustomFiltersProspetto"/>
                </be>
              </val>
            </m>
            <m key="cellFields" refId="857" keid="SYS_STR" veid="CodeCellField"/>
            <m key="dictionary" refId="858" keid="SYS_STR" veid="CodeMultiDescVO"/>
            <m key="controlExpressions" refId="859" keid="SYS_STR" veid="CodedExpControlloProspetto"/>
            <m key="inlineParameters" refId="860" keid="SYS_STR" veid="CodedInlineParameter"/>
            <m key="queries" refId="861" keid="SYS_STR" veid="Reporting.com.tagetik.query.IUserDefinedQueryVO,Reporting"/>
            <be key="sheets" refId="862" clsId="FilterNode">
              <l key="dimensionOids" refId="863" ln="0" eid="DimensionOid"/>
              <l key="AdHocParamDimensionOids" refId="864" ln="0" eid="DimensionOid"/>
              <be key="data" refId="865" clsId="FilterNodeData">
                <ref key="filterNode" refId="862"/>
                <i key="segmentLevel">0</i>
                <ref key="segment" refId="17"/>
                <b key="placeHolder">N</b>
                <ref key="weight" refId="18"/>
                <be key="textMatchingCondition" refId="866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867" keid="SYS_STR" veid="ElaborationsLauncher"/>
            <m key="actionLists" refId="868" keid="SYS_STR" veid="Reporting.com.tagetik.actionlist.ISnapshotActionList,Reporting"/>
            <l key="areas" refId="869" ln="0" eid="SYS_STR"/>
            <l key="charts" refId="870" ln="0" eid="SYS_STR"/>
            <l key="pivots" refId="871" ln="0" eid="SYS_STR"/>
          </be>
        </val>
        <key>
          <s>Template03</s>
        </key>
        <val>
          <be refId="872" clsId="ReportTemplateVO">
            <s key="code">Template03</s>
            <s key="desc">Moteur</s>
            <m key="matrices" refId="873" keid="SYS_STR" veid="Reporting.com.tagetik.tables.IMatrixPositionBlockVO,Reporting">
              <key>
                <s>Matrix00</s>
              </key>
              <val>
                <be refId="874" clsId="MatrixPositionBlockVO">
                  <s key="positionID">Matrix00</s>
                  <be key="rows" refId="875" clsId="FilterNode">
                    <l key="dimensionOids" refId="876" ln="0" eid="DimensionOid"/>
                    <l key="AdHocParamDimensionOids" refId="877" ln="0" eid="DimensionOid"/>
                    <be key="data" refId="878" clsId="FilterNodeData">
                      <ref key="filterNode" refId="875"/>
                      <i key="segmentLevel">0</i>
                      <ref key="segment" refId="17"/>
                      <b key="placeHolder">N</b>
                      <ref key="weight" refId="18"/>
                      <be key="textMatchingCondition" refId="87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880" ln="1" eid="Framework.com.tagetik.trees.INode,framework">
                      <be refId="881" clsId="FilterNode">
                        <l key="dimensionOids" refId="882" ln="1" eid="DimensionOid">
                          <cust clsId="DimensionOid">434F55-45-434F554E544552---</cust>
                        </l>
                        <l key="AdHocParamDimensionOids" refId="883" ln="0" eid="DimensionOid"/>
                        <be key="data" refId="884" clsId="FilterNodeData">
                          <ref key="filterNode" refId="881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885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8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87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75"/>
                      </be>
                    </l>
                  </be>
                  <be key="columns" refId="888" clsId="FilterNode">
                    <l key="dimensionOids" refId="889" ln="0" eid="DimensionOid"/>
                    <l key="AdHocParamDimensionOids" refId="890" ln="0" eid="DimensionOid"/>
                    <be key="data" refId="891" clsId="FilterNodeData">
                      <ref key="filterNode" refId="888"/>
                      <i key="segmentLevel">0</i>
                      <ref key="segment" refId="17"/>
                      <b key="placeHolder">N</b>
                      <ref key="weight" refId="18"/>
                      <be key="textMatchingCondition" refId="89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893" ln="13" eid="Framework.com.tagetik.trees.INode,framework">
                      <be refId="894" clsId="FilterNode">
                        <l key="dimensionOids" refId="895" ln="1" eid="DimensionOid">
                          <cust clsId="DimensionOid">41575F54454246534E45425443574E425052-45-445A48414A59505756525449534A56-444444564F585345544F5145475055---7C4F57537C-303030303039</cust>
                        </l>
                        <l key="AdHocParamDimensionOids" refId="896" ln="0" eid="DimensionOid"/>
                        <be key="data" refId="897" clsId="FilterNodeData">
                          <ref key="filterNode" refId="89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9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99" keid="SYS_STR" veid="EFReportingNodeType">
                            <key>
                              <s>41575F54454246534E45425443574E425052-45-445A48414A59505756525449534A56-444444564F585345544F5145475055---7C4F57537C-303030303039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41575F54454246534E45425443574E425052-45-594B4D595457554250464359485552-444444564F585345544F5145475055---7C4F57537C-303030303039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41575F54454246534E45425443574E425052-45-494459415243474A4245534B514647-444444564F585345544F5145475055---7C4F57537C-303030303039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41575F54454246534E45425443574E425052-45-594259514645545646534947425056-444444564F585345544F5145475055---7C4F57537C-303030303039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41575F54454246534E45425443574E425052-45-424F53444E434C424A414D43454F59-444444564F585345544F5145475055---7C4F57537C-303030303039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41575F54454246534E45425443574E425052-45-484E57435A515552464450464B5142-444444564F585345544F5145475055---7C4F57537C-303030303039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41575F54454246534E45425443574E425052-45-55524B575A49485947484C55524B58-444444564F585345544F5145475055---7C4F57537C-303030303039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41575F54454246534E45425443574E425052-45-51544D4C585943414D4F5457444D48-444444564F585345544F5145475055---7C4F57537C-303030303039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41575F54454246534E45425443574E425052-45-41435144575252544941484A594642-444444564F585345544F5145475055---7C4F57537C-303030303039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41575F54454246534E45425443574E425052-45-4855504D414F4D464454524454555A-444444564F585345544F5145475055---7C4F57537C-303030303039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41575F54454246534E45425443574E425052-45-4556425941515054564E514759454F-444444564F585345544F5145475055---7C4F57537C-303030303039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41575F54454246534E45425443574E425052-45-524A4A4F5743594D41514D44455A45-444444564F585345544F5145475055---7C4F57537C-303030303039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41575F54454246534E45425443574E425052-45-4F4B534E4C505854584455584C5642-444444564F585345544F5145475055---7C4F57537C-303030303039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88"/>
                      </be>
                      <be refId="900" clsId="FilterNode">
                        <l key="dimensionOids" refId="901" ln="1" eid="DimensionOid">
                          <cust clsId="DimensionOid">41575F54454246534E45425443574E425052-45-594B4D595457554250464359485552-444444564F585345544F5145475055---7C4F57537C-303030303039</cust>
                        </l>
                        <l key="AdHocParamDimensionOids" refId="902" ln="0" eid="DimensionOid"/>
                        <be key="data" refId="903" clsId="FilterNodeData">
                          <ref key="filterNode" refId="9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3</cust>
                        <i key="index">0</i>
                        <ref key="parent" refId="888"/>
                      </be>
                      <be refId="905" clsId="FilterNode">
                        <l key="dimensionOids" refId="906" ln="1" eid="DimensionOid">
                          <cust clsId="DimensionOid">41575F54454246534E45425443574E425052-45-494459415243474A4245534B514647-444444564F585345544F5145475055---7C4F57537C-303030303039</cust>
                        </l>
                        <l key="AdHocParamDimensionOids" refId="907" ln="0" eid="DimensionOid"/>
                        <be key="data" refId="908" clsId="FilterNodeData">
                          <ref key="filterNode" refId="9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4</cust>
                        <i key="index">0</i>
                        <ref key="parent" refId="888"/>
                      </be>
                      <be refId="910" clsId="FilterNode">
                        <l key="dimensionOids" refId="911" ln="1" eid="DimensionOid">
                          <cust clsId="DimensionOid">41575F54454246534E45425443574E425052-45-594259514645545646534947425056-444444564F585345544F5145475055---7C4F57537C-303030303039</cust>
                        </l>
                        <l key="AdHocParamDimensionOids" refId="912" ln="0" eid="DimensionOid"/>
                        <be key="data" refId="913" clsId="FilterNodeData">
                          <ref key="filterNode" refId="9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5</cust>
                        <i key="index">0</i>
                        <ref key="parent" refId="888"/>
                      </be>
                      <be refId="915" clsId="FilterNode">
                        <l key="dimensionOids" refId="916" ln="1" eid="DimensionOid">
                          <cust clsId="DimensionOid">41575F54454246534E45425443574E425052-45-424F53444E434C424A414D43454F59-444444564F585345544F5145475055---7C4F57537C-303030303039</cust>
                        </l>
                        <l key="AdHocParamDimensionOids" refId="917" ln="0" eid="DimensionOid"/>
                        <be key="data" refId="918" clsId="FilterNodeData">
                          <ref key="filterNode" refId="9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6</cust>
                        <i key="index">0</i>
                        <ref key="parent" refId="888"/>
                      </be>
                      <be refId="920" clsId="FilterNode">
                        <l key="dimensionOids" refId="921" ln="1" eid="DimensionOid">
                          <cust clsId="DimensionOid">41575F54454246534E45425443574E425052-45-484E57435A515552464450464B5142-444444564F585345544F5145475055---7C4F57537C-303030303039</cust>
                        </l>
                        <l key="AdHocParamDimensionOids" refId="922" ln="0" eid="DimensionOid"/>
                        <be key="data" refId="923" clsId="FilterNodeData">
                          <ref key="filterNode" refId="92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7</cust>
                        <i key="index">0</i>
                        <ref key="parent" refId="888"/>
                      </be>
                      <be refId="925" clsId="FilterNode">
                        <l key="dimensionOids" refId="926" ln="1" eid="DimensionOid">
                          <cust clsId="DimensionOid">41575F54454246534E45425443574E425052-45-55524B575A49485947484C55524B58-444444564F585345544F5145475055---7C4F57537C-303030303039</cust>
                        </l>
                        <l key="AdHocParamDimensionOids" refId="927" ln="0" eid="DimensionOid"/>
                        <be key="data" refId="928" clsId="FilterNodeData">
                          <ref key="filterNode" refId="92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8</cust>
                        <i key="index">0</i>
                        <ref key="parent" refId="888"/>
                      </be>
                      <be refId="930" clsId="FilterNode">
                        <l key="dimensionOids" refId="931" ln="1" eid="DimensionOid">
                          <cust clsId="DimensionOid">41575F54454246534E45425443574E425052-45-51544D4C585943414D4F5457444D48-444444564F585345544F5145475055---7C4F57537C-303030303039</cust>
                        </l>
                        <l key="AdHocParamDimensionOids" refId="932" ln="0" eid="DimensionOid"/>
                        <be key="data" refId="933" clsId="FilterNodeData">
                          <ref key="filterNode" refId="93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9</cust>
                        <i key="index">0</i>
                        <ref key="parent" refId="888"/>
                      </be>
                      <be refId="935" clsId="FilterNode">
                        <l key="dimensionOids" refId="936" ln="1" eid="DimensionOid">
                          <cust clsId="DimensionOid">41575F54454246534E45425443574E425052-45-41435144575252544941484A594642-444444564F585345544F5145475055---7C4F57537C-303030303039</cust>
                        </l>
                        <l key="AdHocParamDimensionOids" refId="937" ln="0" eid="DimensionOid"/>
                        <be key="data" refId="938" clsId="FilterNodeData">
                          <ref key="filterNode" refId="9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10</cust>
                        <i key="index">0</i>
                        <ref key="parent" refId="888"/>
                      </be>
                      <be refId="940" clsId="FilterNode">
                        <l key="dimensionOids" refId="941" ln="1" eid="DimensionOid">
                          <cust clsId="DimensionOid">41575F54454246534E45425443574E425052-45-4855504D414F4D464454524454555A-444444564F585345544F5145475055---7C4F57537C-303030303039</cust>
                        </l>
                        <l key="AdHocParamDimensionOids" refId="942" ln="0" eid="DimensionOid"/>
                        <be key="data" refId="943" clsId="FilterNodeData">
                          <ref key="filterNode" refId="9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11</cust>
                        <i key="index">0</i>
                        <ref key="parent" refId="888"/>
                      </be>
                      <be refId="945" clsId="FilterNode">
                        <l key="dimensionOids" refId="946" ln="1" eid="DimensionOid">
                          <cust clsId="DimensionOid">41575F54454246534E45425443574E425052-45-4556425941515054564E514759454F-444444564F585345544F5145475055---7C4F57537C-303030303039</cust>
                        </l>
                        <l key="AdHocParamDimensionOids" refId="947" ln="0" eid="DimensionOid"/>
                        <be key="data" refId="948" clsId="FilterNodeData">
                          <ref key="filterNode" refId="94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12</cust>
                        <i key="index">0</i>
                        <ref key="parent" refId="888"/>
                      </be>
                      <be refId="950" clsId="FilterNode">
                        <l key="dimensionOids" refId="951" ln="1" eid="DimensionOid">
                          <cust clsId="DimensionOid">41575F54454246534E45425443574E425052-45-524A4A4F5743594D41514D44455A45-444444564F585345544F5145475055---7C4F57537C-303030303039</cust>
                        </l>
                        <l key="AdHocParamDimensionOids" refId="952" ln="0" eid="DimensionOid"/>
                        <be key="data" refId="953" clsId="FilterNodeData">
                          <ref key="filterNode" refId="9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13</cust>
                        <i key="index">0</i>
                        <ref key="parent" refId="888"/>
                      </be>
                      <be refId="955" clsId="FilterNode">
                        <l key="dimensionOids" refId="956" ln="1" eid="DimensionOid">
                          <cust clsId="DimensionOid">41575F54454246534E45425443574E425052-45-4F4B534E4C505854584455584C5642-444444564F585345544F5145475055---7C4F57537C-303030303039</cust>
                        </l>
                        <l key="AdHocParamDimensionOids" refId="957" ln="0" eid="DimensionOid"/>
                        <be key="data" refId="958" clsId="FilterNodeData">
                          <ref key="filterNode" refId="9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14</cust>
                        <i key="index">0</i>
                        <ref key="parent" refId="888"/>
                      </be>
                    </l>
                  </be>
                  <be key="matrixFilters" refId="960" clsId="FilterNode">
                    <l key="dimensionOids" refId="961" ln="0" eid="DimensionOid"/>
                    <l key="AdHocParamDimensionOids" refId="962" ln="0" eid="DimensionOid"/>
                    <be key="data" refId="963" clsId="FilterNodeData">
                      <ref key="filterNode" refId="960"/>
                      <i key="segmentLevel">0</i>
                      <ref key="segment" refId="17"/>
                      <b key="placeHolder">N</b>
                      <ref key="weight" refId="18"/>
                      <be key="textMatchingCondition" refId="9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965" ln="1" eid="Framework.com.tagetik.trees.INode,framework">
                      <be refId="966" clsId="FilterNode">
                        <l key="dimensionOids" refId="967" ln="1" eid="DimensionOid">
                          <cust clsId="DimensionOid">5343455F24-45-245343455F245F50--50-</cust>
                        </l>
                        <l key="AdHocParamDimensionOids" refId="968" ln="0" eid="DimensionOid"/>
                        <be key="data" refId="969" clsId="FilterNodeData">
                          <ref key="filterNode" refId="96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971" ln="1" eid="Framework.com.tagetik.trees.INode,framework">
                          <be refId="972" clsId="FilterNode">
                            <l key="dimensionOids" refId="973" ln="1" eid="DimensionOid">
                              <cust clsId="DimensionOid">504552-45-3132---</cust>
                            </l>
                            <l key="AdHocParamDimensionOids" refId="974" ln="0" eid="DimensionOid"/>
                            <be key="data" refId="975" clsId="FilterNodeData">
                              <ref key="filterNode" refId="97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97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977" ln="1" eid="Framework.com.tagetik.trees.INode,framework">
                              <be refId="978" clsId="FilterNode">
                                <l key="dimensionOids" refId="979" ln="1" eid="DimensionOid">
                                  <cust clsId="DimensionOid">415A495F454455-45-24415A495F4544555F50--50-</cust>
                                </l>
                                <l key="AdHocParamDimensionOids" refId="980" ln="0" eid="DimensionOid"/>
                                <be key="data" refId="981" clsId="FilterNodeData">
                                  <ref key="filterNode" refId="97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8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972"/>
                              </be>
                            </l>
                            <ref key="parent" refId="966"/>
                          </be>
                        </l>
                        <ref key="parent" refId="960"/>
                      </be>
                    </l>
                  </be>
                  <be key="rowHeaders" refId="983" clsId="ReportingHeaders">
                    <m key="headers" refId="984" keid="SYS_PR_I" veid="System.Collections.IList"/>
                    <m key="headersDims" refId="985" keid="SYS_PR_I" veid="SYS_STR"/>
                  </be>
                  <be key="columnHeaders" refId="986" clsId="ReportingHeaders">
                    <m key="headers" refId="987" keid="SYS_PR_I" veid="System.Collections.IList">
                      <key>
                        <i>-1</i>
                      </key>
                      <val>
                        <l refId="988" ln="1">
                          <s>$AW(HIERARCHY("TEBFSNEBTCWNBPR")).desc</s>
                        </l>
                      </val>
                    </m>
                    <m key="headersDims" refId="98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990" id="RowColExpansionMode">0</e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99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992" ln="0" eid="Reporting.com.tagetik.tables.IMatixCellLeafPositions,Reporting"/>
                  <m key="forcedEditModes" refId="993" keid="Reporting.com.tagetik.tables.IMatixCellLeafPositions,Reporting" veid="SYS_STR"/>
                  <b key="UseTxlDeFormEditor">N</b>
                  <be key="TxDeFormsEditorDescriptor" refId="994" clsId="TxDeFormsEditorDescriptor">
                    <l key="Tabs" refId="99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996" clsId="matrixWSInfo">
                    <b key="isT">S</b>
                    <s key="wsCode">002</s>
                    <s key="tableCode">000009</s>
                  </be>
                  <be key="customFilters" refId="997" clsId="ExpCustomFiltersProspetto"/>
                </be>
              </val>
            </m>
            <m key="cellFields" refId="998" keid="SYS_STR" veid="CodeCellField"/>
            <m key="dictionary" refId="999" keid="SYS_STR" veid="CodeMultiDescVO"/>
            <m key="controlExpressions" refId="1000" keid="SYS_STR" veid="CodedExpControlloProspetto"/>
            <m key="inlineParameters" refId="1001" keid="SYS_STR" veid="CodedInlineParameter"/>
            <m key="queries" refId="1002" keid="SYS_STR" veid="Reporting.com.tagetik.query.IUserDefinedQueryVO,Reporting"/>
            <be key="sheets" refId="1003" clsId="FilterNode">
              <l key="dimensionOids" refId="1004" ln="0" eid="DimensionOid"/>
              <l key="AdHocParamDimensionOids" refId="1005" ln="0" eid="DimensionOid"/>
              <be key="data" refId="1006" clsId="FilterNodeData">
                <ref key="filterNode" refId="1003"/>
                <i key="segmentLevel">0</i>
                <ref key="segment" refId="17"/>
                <b key="placeHolder">N</b>
                <ref key="weight" refId="18"/>
                <be key="textMatchingCondition" refId="100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008" keid="SYS_STR" veid="ElaborationsLauncher"/>
            <m key="actionLists" refId="1009" keid="SYS_STR" veid="Reporting.com.tagetik.actionlist.ISnapshotActionList,Reporting"/>
            <l key="areas" refId="1010" ln="0" eid="SYS_STR"/>
            <l key="charts" refId="1011" ln="0" eid="SYS_STR"/>
            <l key="pivots" refId="1012" ln="0" eid="SYS_STR"/>
          </be>
        </val>
        <key>
          <s>Template04</s>
        </key>
        <val>
          <be refId="1013" clsId="ReportTemplateVO">
            <s key="code">Template04</s>
            <s key="desc">Compta</s>
            <m key="matrices" refId="1014" keid="SYS_STR" veid="Reporting.com.tagetik.tables.IMatrixPositionBlockVO,Reporting">
              <key>
                <s>Matrix00</s>
              </key>
              <val>
                <be refId="1015" clsId="MatrixPositionBlockVO">
                  <s key="positionID">Matrix00</s>
                  <be key="rows" refId="1016" clsId="FilterNode">
                    <l key="dimensionOids" refId="1017" ln="0" eid="DimensionOid"/>
                    <l key="AdHocParamDimensionOids" refId="1018" ln="0" eid="DimensionOid"/>
                    <be key="data" refId="1019" clsId="FilterNodeData">
                      <ref key="filterNode" refId="1016"/>
                      <i key="segmentLevel">0</i>
                      <ref key="segment" refId="17"/>
                      <b key="placeHolder">N</b>
                      <ref key="weight" refId="18"/>
                      <be key="textMatchingCondition" refId="10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021" ln="1" eid="Framework.com.tagetik.trees.INode,framework">
                      <be refId="1022" clsId="FilterNode">
                        <l key="dimensionOids" refId="1023" ln="1" eid="DimensionOid">
                          <cust clsId="DimensionOid">434F55-45-434F554E544552---</cust>
                        </l>
                        <l key="AdHocParamDimensionOids" refId="1024" ln="0" eid="DimensionOid"/>
                        <be key="data" refId="1025" clsId="FilterNodeData">
                          <ref key="filterNode" refId="102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02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02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28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16"/>
                      </be>
                    </l>
                  </be>
                  <be key="columns" refId="1029" clsId="FilterNode">
                    <l key="dimensionOids" refId="1030" ln="0" eid="DimensionOid"/>
                    <l key="AdHocParamDimensionOids" refId="1031" ln="0" eid="DimensionOid"/>
                    <be key="data" refId="1032" clsId="FilterNodeData">
                      <ref key="filterNode" refId="1029"/>
                      <i key="segmentLevel">0</i>
                      <ref key="segment" refId="17"/>
                      <b key="placeHolder">N</b>
                      <ref key="weight" refId="18"/>
                      <be key="textMatchingCondition" refId="103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034" ln="6" eid="Framework.com.tagetik.trees.INode,framework">
                      <be refId="1035" clsId="FilterNode">
                        <l key="dimensionOids" refId="1036" ln="1" eid="DimensionOid">
                          <cust clsId="DimensionOid">41575F54454246534E45425443574E425052-45-435A51454C46414E5A494C45504447-484B54425A505356434A5753454447---7C4F57537C-303030303034</cust>
                        </l>
                        <l key="AdHocParamDimensionOids" refId="1037" ln="0" eid="DimensionOid"/>
                        <be key="data" refId="1038" clsId="FilterNodeData">
                          <ref key="filterNode" refId="10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40" keid="SYS_STR" veid="EFReportingNodeType">
                            <key>
                              <s>41575F54454246534E45425443574E425052-45-435A51454C46414E5A494C45504447-484B54425A505356434A5753454447---7C4F57537C-303030303034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41575F54454246534E45425443574E425052-45-444C4D455745485359435359484444-484B54425A505356434A5753454447---7C4F57537C-303030303034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41575F54454246534E45425443574E425052-45-564F59414B4442434F565046454342-484B54425A505356434A5753454447---7C4F57537C-303030303034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41575F54454246534E45425443574E425052-45-524855534F484E584D4E4A574C4E56-484B54425A505356434A5753454447---7C4F57537C-303030303034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41575F54454246534E45425443574E425052-45-5855524E5456584E555143514E4641-484B54425A505356434A5753454447---7C4F57537C-303030303034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41575F54454246534E45425443574E425052-45-54514E4B4C4B4C535A524C4D454A57-484B54425A505356434A5753454447---7C4F57537C-303030303034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29"/>
                      </be>
                      <be refId="1041" clsId="FilterNode">
                        <l key="dimensionOids" refId="1042" ln="1" eid="DimensionOid">
                          <cust clsId="DimensionOid">41575F54454246534E45425443574E425052-45-444C4D455745485359435359484444-484B54425A505356434A5753454447---7C4F57537C-303030303034</cust>
                        </l>
                        <l key="AdHocParamDimensionOids" refId="1043" ln="0" eid="DimensionOid"/>
                        <be key="data" refId="1044" clsId="FilterNodeData">
                          <ref key="filterNode" refId="104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4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3</cust>
                        <i key="index">0</i>
                        <ref key="parent" refId="1029"/>
                      </be>
                      <be refId="1046" clsId="FilterNode">
                        <l key="dimensionOids" refId="1047" ln="1" eid="DimensionOid">
                          <cust clsId="DimensionOid">41575F54454246534E45425443574E425052-45-564F59414B4442434F565046454342-484B54425A505356434A5753454447---7C4F57537C-303030303034</cust>
                        </l>
                        <l key="AdHocParamDimensionOids" refId="1048" ln="0" eid="DimensionOid"/>
                        <be key="data" refId="1049" clsId="FilterNodeData">
                          <ref key="filterNode" refId="10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4</cust>
                        <i key="index">0</i>
                        <ref key="parent" refId="1029"/>
                      </be>
                      <be refId="1051" clsId="FilterNode">
                        <l key="dimensionOids" refId="1052" ln="1" eid="DimensionOid">
                          <cust clsId="DimensionOid">41575F54454246534E45425443574E425052-45-524855534F484E584D4E4A574C4E56-484B54425A505356434A5753454447---7C4F57537C-303030303034</cust>
                        </l>
                        <l key="AdHocParamDimensionOids" refId="1053" ln="0" eid="DimensionOid"/>
                        <be key="data" refId="1054" clsId="FilterNodeData">
                          <ref key="filterNode" refId="10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5</cust>
                        <i key="index">0</i>
                        <ref key="parent" refId="1029"/>
                      </be>
                      <be refId="1056" clsId="FilterNode">
                        <l key="dimensionOids" refId="1057" ln="1" eid="DimensionOid">
                          <cust clsId="DimensionOid">41575F54454246534E45425443574E425052-45-5855524E5456584E555143514E4641-484B54425A505356434A5753454447---7C4F57537C-303030303034</cust>
                        </l>
                        <l key="AdHocParamDimensionOids" refId="1058" ln="0" eid="DimensionOid"/>
                        <be key="data" refId="1059" clsId="FilterNodeData">
                          <ref key="filterNode" refId="10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6</cust>
                        <i key="index">0</i>
                        <ref key="parent" refId="1029"/>
                      </be>
                      <be refId="1061" clsId="FilterNode">
                        <l key="dimensionOids" refId="1062" ln="1" eid="DimensionOid">
                          <cust clsId="DimensionOid">41575F54454246534E45425443574E425052-45-54514E4B4C4B4C535A524C4D454A57-484B54425A505356434A5753454447---7C4F57537C-303030303034</cust>
                        </l>
                        <l key="AdHocParamDimensionOids" refId="1063" ln="0" eid="DimensionOid"/>
                        <be key="data" refId="1064" clsId="FilterNodeData">
                          <ref key="filterNode" refId="10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7</cust>
                        <i key="index">0</i>
                        <ref key="parent" refId="1029"/>
                      </be>
                    </l>
                  </be>
                  <be key="matrixFilters" refId="1066" clsId="FilterNode">
                    <l key="dimensionOids" refId="1067" ln="0" eid="DimensionOid"/>
                    <l key="AdHocParamDimensionOids" refId="1068" ln="0" eid="DimensionOid"/>
                    <be key="data" refId="1069" clsId="FilterNodeData">
                      <ref key="filterNode" refId="1066"/>
                      <i key="segmentLevel">0</i>
                      <ref key="segment" refId="17"/>
                      <b key="placeHolder">N</b>
                      <ref key="weight" refId="18"/>
                      <be key="textMatchingCondition" refId="107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1071" ln="1" eid="Framework.com.tagetik.trees.INode,framework">
                      <be refId="1072" clsId="FilterNode">
                        <l key="dimensionOids" refId="1073" ln="1" eid="DimensionOid">
                          <cust clsId="DimensionOid">5343455F24-45-245343455F245F50--50-</cust>
                        </l>
                        <l key="AdHocParamDimensionOids" refId="1074" ln="0" eid="DimensionOid"/>
                        <be key="data" refId="1075" clsId="FilterNodeData">
                          <ref key="filterNode" refId="107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7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077" ln="1" eid="Framework.com.tagetik.trees.INode,framework">
                          <be refId="1078" clsId="FilterNode">
                            <l key="dimensionOids" refId="1079" ln="1" eid="DimensionOid">
                              <cust clsId="DimensionOid">504552-45-3132---</cust>
                            </l>
                            <l key="AdHocParamDimensionOids" refId="1080" ln="0" eid="DimensionOid"/>
                            <be key="data" refId="1081" clsId="FilterNodeData">
                              <ref key="filterNode" refId="107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08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1083" ln="1" eid="Framework.com.tagetik.trees.INode,framework">
                              <be refId="1084" clsId="FilterNode">
                                <l key="dimensionOids" refId="1085" ln="1" eid="DimensionOid">
                                  <cust clsId="DimensionOid">415A495F454455-45-24415A495F4544555F50--50-</cust>
                                </l>
                                <l key="AdHocParamDimensionOids" refId="1086" ln="0" eid="DimensionOid"/>
                                <be key="data" refId="1087" clsId="FilterNodeData">
                                  <ref key="filterNode" refId="1084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088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1078"/>
                              </be>
                            </l>
                            <ref key="parent" refId="1072"/>
                          </be>
                        </l>
                        <ref key="parent" refId="1066"/>
                      </be>
                    </l>
                  </be>
                  <be key="rowHeaders" refId="1089" clsId="ReportingHeaders">
                    <m key="headers" refId="1090" keid="SYS_PR_I" veid="System.Collections.IList"/>
                    <m key="headersDims" refId="1091" keid="SYS_PR_I" veid="SYS_STR"/>
                  </be>
                  <be key="columnHeaders" refId="1092" clsId="ReportingHeaders">
                    <m key="headers" refId="1093" keid="SYS_PR_I" veid="System.Collections.IList">
                      <key>
                        <i>-1</i>
                      </key>
                      <val>
                        <l refId="1094" ln="1">
                          <s>$AW(HIERARCHY("TEBFSNEBTCWNBPR")).desc</s>
                        </l>
                      </val>
                    </m>
                    <m key="headersDims" refId="1095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096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7" ln="0" eid="Reporting.com.tagetik.tables.IMatixCellLeafPositions,Reporting"/>
                  <m key="forcedEditModes" refId="1098" keid="Reporting.com.tagetik.tables.IMatixCellLeafPositions,Reporting" veid="SYS_STR"/>
                  <b key="UseTxlDeFormEditor">N</b>
                  <be key="TxDeFormsEditorDescriptor" refId="1099" clsId="TxDeFormsEditorDescriptor">
                    <l key="Tabs" refId="1100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01" clsId="matrixWSInfo">
                    <b key="isT">S</b>
                    <s key="wsCode">002</s>
                    <s key="tableCode">000004</s>
                  </be>
                  <be key="customFilters" refId="1102" clsId="ExpCustomFiltersProspetto"/>
                </be>
              </val>
            </m>
            <m key="cellFields" refId="1103" keid="SYS_STR" veid="CodeCellField"/>
            <m key="dictionary" refId="1104" keid="SYS_STR" veid="CodeMultiDescVO"/>
            <m key="controlExpressions" refId="1105" keid="SYS_STR" veid="CodedExpControlloProspetto"/>
            <m key="inlineParameters" refId="1106" keid="SYS_STR" veid="CodedInlineParameter"/>
            <m key="queries" refId="1107" keid="SYS_STR" veid="Reporting.com.tagetik.query.IUserDefinedQueryVO,Reporting"/>
            <be key="sheets" refId="1108" clsId="FilterNode">
              <l key="dimensionOids" refId="1109" ln="0" eid="DimensionOid"/>
              <l key="AdHocParamDimensionOids" refId="1110" ln="0" eid="DimensionOid"/>
              <be key="data" refId="1111" clsId="FilterNodeData">
                <ref key="filterNode" refId="1108"/>
                <i key="segmentLevel">0</i>
                <ref key="segment" refId="17"/>
                <b key="placeHolder">N</b>
                <ref key="weight" refId="18"/>
                <be key="textMatchingCondition" refId="1112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113" keid="SYS_STR" veid="ElaborationsLauncher"/>
            <m key="actionLists" refId="1114" keid="SYS_STR" veid="Reporting.com.tagetik.actionlist.ISnapshotActionList,Reporting"/>
            <l key="areas" refId="1115" ln="0" eid="SYS_STR"/>
            <l key="charts" refId="1116" ln="0" eid="SYS_STR"/>
            <l key="pivots" refId="1117" ln="0" eid="SYS_STR"/>
          </be>
        </val>
        <key>
          <s>Template05</s>
        </key>
        <val>
          <be refId="1118" clsId="ReportTemplateVO">
            <s key="code">Template05</s>
            <s key="desc">PNL</s>
            <m key="matrices" refId="1119" keid="SYS_STR" veid="Reporting.com.tagetik.tables.IMatrixPositionBlockVO,Reporting">
              <key>
                <s>Matrix00</s>
              </key>
              <val>
                <be refId="1120" clsId="MatrixPositionBlockVO">
                  <s key="positionID">Matrix00</s>
                  <be key="rows" refId="1121" clsId="FilterNode">
                    <l key="dimensionOids" refId="1122" ln="0" eid="DimensionOid"/>
                    <l key="AdHocParamDimensionOids" refId="1123" ln="0" eid="DimensionOid"/>
                    <be key="data" refId="1124" clsId="FilterNodeData">
                      <ref key="filterNode" refId="1121"/>
                      <i key="segmentLevel">0</i>
                      <ref key="segment" refId="17"/>
                      <b key="placeHolder">N</b>
                      <ref key="weight" refId="18"/>
                      <be key="textMatchingCondition" refId="112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126" ln="1" eid="Framework.com.tagetik.trees.INode,framework">
                      <be refId="1127" clsId="FilterNode">
                        <l key="dimensionOids" refId="1128" ln="1" eid="DimensionOid">
                          <cust clsId="DimensionOid">434F55-45-434F554E544552---</cust>
                        </l>
                        <l key="AdHocParamDimensionOids" refId="1129" ln="0" eid="DimensionOid"/>
                        <be key="data" refId="1130" clsId="FilterNodeData">
                          <ref key="filterNode" refId="1127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131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13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33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21"/>
                      </be>
                    </l>
                  </be>
                  <be key="columns" refId="1134" clsId="FilterNode">
                    <l key="dimensionOids" refId="1135" ln="0" eid="DimensionOid"/>
                    <l key="AdHocParamDimensionOids" refId="1136" ln="0" eid="DimensionOid"/>
                    <be key="data" refId="1137" clsId="FilterNodeData">
                      <ref key="filterNode" refId="1134"/>
                      <i key="segmentLevel">0</i>
                      <ref key="segment" refId="17"/>
                      <b key="placeHolder">N</b>
                      <ref key="weight" refId="18"/>
                      <be key="textMatchingCondition" refId="1138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139" ln="7" eid="Framework.com.tagetik.trees.INode,framework">
                      <be refId="1140" clsId="FilterNode">
                        <l key="dimensionOids" refId="1141" ln="1" eid="DimensionOid">
                          <cust clsId="DimensionOid">41575F54454246534E45425443574E425052-45-4C4B4E4E4A554D5948574C55514751-5A4344524F4341424B4F4A54535548---7C4F57537C-303030303037</cust>
                        </l>
                        <l key="AdHocParamDimensionOids" refId="1142" ln="0" eid="DimensionOid"/>
                        <be key="data" refId="1143" clsId="FilterNodeData">
                          <ref key="filterNode" refId="11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45" keid="SYS_STR" veid="EFReportingNodeType">
                            <key>
                              <s>41575F54454246534E45425443574E425052-45-4C4B4E4E4A554D5948574C55514751-5A4344524F4341424B4F4A54535548---7C4F57537C-303030303037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41575F54454246534E45425443574E425052-45-445059474654445A4B4C4C4A5A5A53-5A4344524F4341424B4F4A54535548---7C4F57537C-303030303037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41575F54454246534E45425443574E425052-45-4E4F4943475547494E4D4A434B4957-5A4344524F4341424B4F4A54535548---7C4F57537C-303030303037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41575F54454246534E45425443574E425052-45-4C4C4C4E51474B5346454345525457-5A4344524F4341424B4F4A54535548---7C4F57537C-303030303037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41575F54454246534E45425443574E425052-45-5259454F534F505959464A4B564D52-5A4344524F4341424B4F4A54535548---7C4F57537C-303030303037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41575F54454246534E45425443574E425052-45-5A47575150555A46484E5A5A444D4B-5A4344524F4341424B4F4A54535548---7C4F57537C-303030303037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41575F54454246534E45425443574E425052-45-474A524B41544A4B495A504E4C4847-5A4344524F4341424B4F4A54535548---7C4F57537C-303030303037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34"/>
                      </be>
                      <be refId="1146" clsId="FilterNode">
                        <l key="dimensionOids" refId="1147" ln="1" eid="DimensionOid">
                          <cust clsId="DimensionOid">41575F54454246534E45425443574E425052-45-445059474654445A4B4C4C4A5A5A53-5A4344524F4341424B4F4A54535548---7C4F57537C-303030303037</cust>
                        </l>
                        <l key="AdHocParamDimensionOids" refId="1148" ln="0" eid="DimensionOid"/>
                        <be key="data" refId="1149" clsId="FilterNodeData">
                          <ref key="filterNode" refId="11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3</cust>
                        <i key="index">0</i>
                        <ref key="parent" refId="1134"/>
                      </be>
                      <be refId="1151" clsId="FilterNode">
                        <l key="dimensionOids" refId="1152" ln="1" eid="DimensionOid">
                          <cust clsId="DimensionOid">41575F54454246534E45425443574E425052-45-4E4F4943475547494E4D4A434B4957-5A4344524F4341424B4F4A54535548---7C4F57537C-303030303037</cust>
                        </l>
                        <l key="AdHocParamDimensionOids" refId="1153" ln="0" eid="DimensionOid"/>
                        <be key="data" refId="1154" clsId="FilterNodeData">
                          <ref key="filterNode" refId="11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4</cust>
                        <i key="index">0</i>
                        <ref key="parent" refId="1134"/>
                      </be>
                      <be refId="1156" clsId="FilterNode">
                        <l key="dimensionOids" refId="1157" ln="1" eid="DimensionOid">
                          <cust clsId="DimensionOid">41575F54454246534E45425443574E425052-45-4C4C4C4E51474B5346454345525457-5A4344524F4341424B4F4A54535548---7C4F57537C-303030303037</cust>
                        </l>
                        <l key="AdHocParamDimensionOids" refId="1158" ln="0" eid="DimensionOid"/>
                        <be key="data" refId="1159" clsId="FilterNodeData">
                          <ref key="filterNode" refId="11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5</cust>
                        <i key="index">0</i>
                        <ref key="parent" refId="1134"/>
                      </be>
                      <be refId="1161" clsId="FilterNode">
                        <l key="dimensionOids" refId="1162" ln="1" eid="DimensionOid">
                          <cust clsId="DimensionOid">41575F54454246534E45425443574E425052-45-5259454F534F505959464A4B564D52-5A4344524F4341424B4F4A54535548---7C4F57537C-303030303037</cust>
                        </l>
                        <l key="AdHocParamDimensionOids" refId="1163" ln="0" eid="DimensionOid"/>
                        <be key="data" refId="1164" clsId="FilterNodeData">
                          <ref key="filterNode" refId="11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6</cust>
                        <i key="index">0</i>
                        <ref key="parent" refId="1134"/>
                      </be>
                      <be refId="1166" clsId="FilterNode">
                        <l key="dimensionOids" refId="1167" ln="1" eid="DimensionOid">
                          <cust clsId="DimensionOid">41575F54454246534E45425443574E425052-45-5A47575150555A46484E5A5A444D4B-5A4344524F4341424B4F4A54535548---7C4F57537C-303030303037</cust>
                        </l>
                        <l key="AdHocParamDimensionOids" refId="1168" ln="0" eid="DimensionOid"/>
                        <be key="data" refId="1169" clsId="FilterNodeData">
                          <ref key="filterNode" refId="11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7</cust>
                        <i key="index">0</i>
                        <ref key="parent" refId="1134"/>
                      </be>
                      <be refId="1171" clsId="FilterNode">
                        <l key="dimensionOids" refId="1172" ln="1" eid="DimensionOid">
                          <cust clsId="DimensionOid">41575F54454246534E45425443574E425052-45-474A524B41544A4B495A504E4C4847-5A4344524F4341424B4F4A54535548---7C4F57537C-303030303037</cust>
                        </l>
                        <l key="AdHocParamDimensionOids" refId="1173" ln="0" eid="DimensionOid"/>
                        <be key="data" refId="1174" clsId="FilterNodeData">
                          <ref key="filterNode" refId="117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8</cust>
                        <i key="index">0</i>
                        <ref key="parent" refId="1134"/>
                      </be>
                    </l>
                  </be>
                  <be key="matrixFilters" refId="1176" clsId="FilterNode">
                    <l key="dimensionOids" refId="1177" ln="0" eid="DimensionOid"/>
                    <l key="AdHocParamDimensionOids" refId="1178" ln="0" eid="DimensionOid"/>
                    <be key="data" refId="1179" clsId="FilterNodeData">
                      <ref key="filterNode" refId="1176"/>
                      <i key="segmentLevel">0</i>
                      <ref key="segment" refId="17"/>
                      <b key="placeHolder">N</b>
                      <ref key="weight" refId="18"/>
                      <be key="textMatchingCondition" refId="118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1181" clsId="ReportingHeaders">
                    <m key="headers" refId="1182" keid="SYS_PR_I" veid="System.Collections.IList"/>
                    <m key="headersDims" refId="1183" keid="SYS_PR_I" veid="SYS_STR"/>
                  </be>
                  <be key="columnHeaders" refId="1184" clsId="ReportingHeaders">
                    <m key="headers" refId="1185" keid="SYS_PR_I" veid="System.Collections.IList">
                      <key>
                        <i>-1</i>
                      </key>
                      <val>
                        <l refId="1186" ln="1">
                          <s>$AW(HIERARCHY("TEBFSNEBTCWNBPR")).desc</s>
                        </l>
                      </val>
                    </m>
                    <m key="headersDims" refId="1187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18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189" ln="0" eid="Reporting.com.tagetik.tables.IMatixCellLeafPositions,Reporting"/>
                  <m key="forcedEditModes" refId="1190" keid="Reporting.com.tagetik.tables.IMatixCellLeafPositions,Reporting" veid="SYS_STR"/>
                  <b key="UseTxlDeFormEditor">N</b>
                  <be key="TxDeFormsEditorDescriptor" refId="1191" clsId="TxDeFormsEditorDescriptor">
                    <l key="Tabs" refId="119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93" clsId="matrixWSInfo">
                    <b key="isT">S</b>
                    <s key="wsCode">002</s>
                    <s key="tableCode">000007</s>
                  </be>
                  <be key="customFilters" refId="1194" clsId="ExpCustomFiltersProspetto"/>
                </be>
              </val>
            </m>
            <m key="cellFields" refId="1195" keid="SYS_STR" veid="CodeCellField"/>
            <m key="dictionary" refId="1196" keid="SYS_STR" veid="CodeMultiDescVO"/>
            <m key="controlExpressions" refId="1197" keid="SYS_STR" veid="CodedExpControlloProspetto"/>
            <m key="inlineParameters" refId="1198" keid="SYS_STR" veid="CodedInlineParameter"/>
            <m key="queries" refId="1199" keid="SYS_STR" veid="Reporting.com.tagetik.query.IUserDefinedQueryVO,Reporting"/>
            <be key="sheets" refId="1200" clsId="FilterNode">
              <l key="dimensionOids" refId="1201" ln="0" eid="DimensionOid"/>
              <l key="AdHocParamDimensionOids" refId="1202" ln="0" eid="DimensionOid"/>
              <be key="data" refId="1203" clsId="FilterNodeData">
                <ref key="filterNode" refId="1200"/>
                <i key="segmentLevel">0</i>
                <ref key="segment" refId="17"/>
                <b key="placeHolder">N</b>
                <ref key="weight" refId="18"/>
                <be key="textMatchingCondition" refId="1204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205" keid="SYS_STR" veid="ElaborationsLauncher"/>
            <m key="actionLists" refId="1206" keid="SYS_STR" veid="Reporting.com.tagetik.actionlist.ISnapshotActionList,Reporting"/>
            <l key="areas" refId="1207" ln="0" eid="SYS_STR"/>
            <l key="charts" refId="1208" ln="0" eid="SYS_STR"/>
            <l key="pivots" refId="1209" ln="0" eid="SYS_STR"/>
          </be>
        </val>
        <key>
          <s>Template06</s>
        </key>
        <val>
          <be refId="1210" clsId="ReportTemplateVO">
            <s key="code">Template06</s>
            <s key="desc">PIL</s>
            <m key="matrices" refId="1211" keid="SYS_STR" veid="Reporting.com.tagetik.tables.IMatrixPositionBlockVO,Reporting">
              <key>
                <s>Matrix01</s>
              </key>
              <val>
                <be refId="1212" clsId="MatrixPositionBlockVO">
                  <s key="positionID">Matrix01</s>
                  <be key="rows" refId="1213" clsId="FilterNode">
                    <l key="dimensionOids" refId="1214" ln="0" eid="DimensionOid"/>
                    <l key="AdHocParamDimensionOids" refId="1215" ln="0" eid="DimensionOid"/>
                    <be key="data" refId="1216" clsId="FilterNodeData">
                      <ref key="filterNode" refId="1213"/>
                      <i key="segmentLevel">0</i>
                      <ref key="segment" refId="17"/>
                      <b key="placeHolder">N</b>
                      <ref key="weight" refId="18"/>
                      <be key="textMatchingCondition" refId="12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218" ln="1" eid="Framework.com.tagetik.trees.INode,framework">
                      <be refId="1219" clsId="FilterNode">
                        <l key="dimensionOids" refId="1220" ln="1" eid="DimensionOid">
                          <cust clsId="DimensionOid">434F55-45-434F554E544552---</cust>
                        </l>
                        <l key="AdHocParamDimensionOids" refId="1221" ln="0" eid="DimensionOid"/>
                        <be key="data" refId="1222" clsId="FilterNodeData">
                          <ref key="filterNode" refId="1219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223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2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2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26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227" ln="0" eid="Framework.com.tagetik.trees.INode,framework"/>
                        <ref key="parent" refId="1213"/>
                      </be>
                    </l>
                  </be>
                  <be key="columns" refId="1228" clsId="FilterNode">
                    <l key="dimensionOids" refId="1229" ln="0" eid="DimensionOid"/>
                    <l key="AdHocParamDimensionOids" refId="1230" ln="0" eid="DimensionOid"/>
                    <be key="data" refId="1231" clsId="FilterNodeData">
                      <ref key="filterNode" refId="1228"/>
                      <i key="segmentLevel">0</i>
                      <ref key="segment" refId="17"/>
                      <b key="placeHolder">N</b>
                      <ref key="weight" refId="18"/>
                      <be key="textMatchingCondition" refId="123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233" ln="9" eid="Framework.com.tagetik.trees.INode,framework">
                      <be refId="1234" clsId="FilterNode">
                        <l key="dimensionOids" refId="1235" ln="1" eid="DimensionOid">
                          <cust clsId="DimensionOid">41575F54454246534E45425443574E425052-45-57584343594A424858544452534856-4B494D46534D42435A5950434B5152---7C4F57537C-303030303038</cust>
                        </l>
                        <l key="AdHocParamDimensionOids" refId="1236" ln="0" eid="DimensionOid"/>
                        <be key="data" refId="1237" clsId="FilterNodeData">
                          <ref key="filterNode" refId="123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3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3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s key="cod"/>
                        <s key="desc"/>
                        <i key="index">3</i>
                        <l key="children" refId="1241" ln="0" eid="Framework.com.tagetik.trees.INode,framework"/>
                        <ref key="parent" refId="1228"/>
                      </be>
                      <be refId="1242" clsId="FilterNode">
                        <l key="dimensionOids" refId="1243" ln="1" eid="DimensionOid">
                          <cust clsId="DimensionOid">41575F54454246534E45425443574E425052-45-534B4847474A5551555A4D59465145-4B494D46534D42435A5950434B5152---7C4F57537C-303030303038</cust>
                        </l>
                        <l key="AdHocParamDimensionOids" refId="1244" ln="0" eid="DimensionOid"/>
                        <be key="data" refId="1245" clsId="FilterNodeData">
                          <ref key="filterNode" refId="124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4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4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s key="cod"/>
                        <s key="desc"/>
                        <i key="index">4</i>
                        <l key="children" refId="1249" ln="0" eid="Framework.com.tagetik.trees.INode,framework"/>
                        <ref key="parent" refId="1228"/>
                      </be>
                      <be refId="1250" clsId="FilterNode">
                        <l key="dimensionOids" refId="1251" ln="1" eid="DimensionOid">
                          <cust clsId="DimensionOid">41575F54454246534E45425443574E425052-45-4E4F4C4857474C524A4B4E4E555645-4B494D46534D42435A5950434B5152---7C4F57537C-303030303038</cust>
                        </l>
                        <l key="AdHocParamDimensionOids" refId="1252" ln="0" eid="DimensionOid"/>
                        <be key="data" refId="1253" clsId="FilterNodeData">
                          <ref key="filterNode" refId="12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5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5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s key="cod"/>
                        <s key="desc"/>
                        <i key="index">5</i>
                        <l key="children" refId="1257" ln="0" eid="Framework.com.tagetik.trees.INode,framework"/>
                        <ref key="parent" refId="1228"/>
                      </be>
                      <be refId="1258" clsId="FilterNode">
                        <l key="dimensionOids" refId="1259" ln="1" eid="DimensionOid">
                          <cust clsId="DimensionOid">41575F54454246534E45425443574E425052-45-50464E4A42555057555A4245454946-4B494D46534D42435A5950434B5152---7C4F57537C-303030303038</cust>
                        </l>
                        <l key="AdHocParamDimensionOids" refId="1260" ln="0" eid="DimensionOid"/>
                        <be key="data" refId="1261" clsId="FilterNodeData">
                          <ref key="filterNode" refId="1258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63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64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s key="cod"/>
                        <s key="desc"/>
                        <i key="index">6</i>
                        <l key="children" refId="1265" ln="0" eid="Framework.com.tagetik.trees.INode,framework"/>
                        <ref key="parent" refId="1228"/>
                      </be>
                      <be refId="1266" clsId="FilterNode">
                        <l key="dimensionOids" refId="1267" ln="1" eid="DimensionOid">
                          <cust clsId="DimensionOid">41575F54454246534E45425443574E425052-45-4E4D524641554D485A4F4553524155-4B494D46534D42435A5950434B5152---7C4F57537C-303030303038</cust>
                        </l>
                        <l key="AdHocParamDimensionOids" refId="1268" ln="0" eid="DimensionOid"/>
                        <be key="data" refId="1269" clsId="FilterNodeData">
                          <ref key="filterNode" refId="12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1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72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s key="cod"/>
                        <s key="desc"/>
                        <i key="index">7</i>
                        <l key="children" refId="1273" ln="0" eid="Framework.com.tagetik.trees.INode,framework"/>
                        <ref key="parent" refId="1228"/>
                      </be>
                      <be refId="1274" clsId="FilterNode">
                        <l key="dimensionOids" refId="1275" ln="1" eid="DimensionOid">
                          <cust clsId="DimensionOid">41575F54454246534E45425443574E425052-45-46514E4155474A514D435248544B54-4B494D46534D42435A5950434B5152---7C4F57537C-303030303038</cust>
                        </l>
                        <l key="AdHocParamDimensionOids" refId="1276" ln="0" eid="DimensionOid"/>
                        <be key="data" refId="1277" clsId="FilterNodeData">
                          <ref key="filterNode" refId="127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s key="cod"/>
                        <s key="desc"/>
                        <i key="index">8</i>
                        <l key="children" refId="1281" ln="0" eid="Framework.com.tagetik.trees.INode,framework"/>
                        <ref key="parent" refId="1228"/>
                      </be>
                      <be refId="1282" clsId="FilterNode">
                        <l key="dimensionOids" refId="1283" ln="1" eid="DimensionOid">
                          <cust clsId="DimensionOid">41575F54454246534E45425443574E425052-45-4D474F575943425958525459564148-4B494D46534D42435A5950434B5152---7C4F57537C-303030303038</cust>
                        </l>
                        <l key="AdHocParamDimensionOids" refId="1284" ln="0" eid="DimensionOid"/>
                        <be key="data" refId="1285" clsId="FilterNodeData">
                          <ref key="filterNode" refId="128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28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s key="cod"/>
                        <s key="desc"/>
                        <i key="index">9</i>
                        <l key="children" refId="1289" ln="0" eid="Framework.com.tagetik.trees.INode,framework"/>
                        <ref key="parent" refId="1228"/>
                      </be>
                      <be refId="1290" clsId="FilterNode">
                        <l key="dimensionOids" refId="1291" ln="1" eid="DimensionOid">
                          <cust clsId="DimensionOid">41575F54454246534E45425443574E425052-45-434643525257465344474150495453-4B494D46534D42435A5950434B5152---7C4F57537C-303030303038</cust>
                        </l>
                        <l key="AdHocParamDimensionOids" refId="1292" ln="0" eid="DimensionOid"/>
                        <be key="data" refId="1293" clsId="FilterNodeData">
                          <ref key="filterNode" refId="12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9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9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s key="cod"/>
                        <s key="desc"/>
                        <i key="index">10</i>
                        <l key="children" refId="1297" ln="0" eid="Framework.com.tagetik.trees.INode,framework"/>
                        <ref key="parent" refId="1228"/>
                      </be>
                      <be refId="1298" clsId="FilterNode">
                        <l key="dimensionOids" refId="1299" ln="1" eid="DimensionOid">
                          <cust clsId="DimensionOid">41575F54454246534E45425443574E425052-45-415A44545A5951504B494953494A44-4B494D46534D42435A5950434B5152---7C4F57537C-303030303038</cust>
                        </l>
                        <l key="AdHocParamDimensionOids" refId="1300" ln="0" eid="DimensionOid"/>
                        <be key="data" refId="1301" clsId="FilterNodeData">
                          <ref key="filterNode" refId="1298"/>
                          <s key="dim">AW_TEBFSNEBTCWNBPR</s>
                          <i key="segmentLevel">0</i>
                          <ref key="segment" refId="17"/>
                          <be key="HideRC" refId="1302" clsId="HideRCBean">
                            <e key="HideMode" refId="1303" id="HideRCSEnum">HA</e>
                            <b key="ExcludeFormulas">N</b>
                            <b key="ExcludeTextCells">N</b>
                            <b key="ExcludeHeaders">S</b>
                            <b key="CheckAllMatrices">N</b>
                            <b key="hideEditableCells">N</b>
                          </be>
                          <b key="placeHolder">N</b>
                          <ref key="weight" refId="18"/>
                          <be key="textMatchingCondition" refId="13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05" keid="SYS_STR" veid="EFReportingNodeType"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13</cust>
                        <i key="index">0</i>
                        <ref key="parent" refId="1228"/>
                      </be>
                    </l>
                  </be>
                  <be key="matrixFilters" refId="1306" clsId="FilterNode">
                    <l key="dimensionOids" refId="1307" ln="0" eid="DimensionOid"/>
                    <l key="AdHocParamDimensionOids" refId="1308" ln="0" eid="DimensionOid"/>
                    <be key="data" refId="1309" clsId="FilterNodeData">
                      <ref key="filterNode" refId="1306"/>
                      <i key="segmentLevel">0</i>
                      <ref key="segment" refId="17"/>
                      <b key="placeHolder">N</b>
                      <ref key="weight" refId="18"/>
                      <be key="textMatchingCondition" refId="131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11" ln="1" eid="Framework.com.tagetik.trees.INode,framework">
                      <be refId="1312" clsId="FilterNode">
                        <l key="dimensionOids" refId="1313" ln="1" eid="DimensionOid">
                          <cust clsId="DimensionOid">5343455F24-45-323032374255445F5631-244F524947494E414C--</cust>
                        </l>
                        <l key="AdHocParamDimensionOids" refId="1314" ln="0" eid="DimensionOid"/>
                        <be key="data" refId="1315" clsId="FilterNodeData">
                          <ref key="filterNode" refId="131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1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317" ln="1" eid="Framework.com.tagetik.trees.INode,framework">
                          <be refId="1318" clsId="FilterNode">
                            <l key="dimensionOids" refId="1319" ln="1" eid="DimensionOid">
                              <cust clsId="DimensionOid">504552-45-3132---</cust>
                            </l>
                            <l key="AdHocParamDimensionOids" refId="1320" ln="0" eid="DimensionOid"/>
                            <be key="data" refId="1321" clsId="FilterNodeData">
                              <ref key="filterNode" refId="131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32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1312"/>
                          </be>
                        </l>
                        <ref key="parent" refId="1306"/>
                      </be>
                    </l>
                  </be>
                  <be key="rowHeaders" refId="1323" clsId="ReportingHeaders">
                    <m key="headers" refId="1324" keid="SYS_PR_I" veid="System.Collections.IList"/>
                    <m key="headersDims" refId="1325" keid="SYS_PR_I" veid="SYS_STR"/>
                  </be>
                  <be key="columnHeaders" refId="1326" clsId="ReportingHeaders">
                    <m key="headers" refId="1327" keid="SYS_PR_I" veid="System.Collections.IList">
                      <key>
                        <i>-1</i>
                      </key>
                      <val>
                        <l refId="1328" ln="1">
                          <s>$AW(HIERARCHY("TEBFSNEBTCWNBPR")).desc</s>
                        </l>
                      </val>
                    </m>
                    <m key="headersDims" refId="132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330" ln="0" eid="SYS_STR"/>
                  <b key="bindOriginalAmountOnSave">N</b>
                  <b key="showLink">N</b>
                  <i key="index">1</i>
                  <b key="excludeValuatingSheetsWithZeroValues">N</b>
                  <m key="addictionalStyleSheets" refId="133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332" ln="0" eid="Reporting.com.tagetik.tables.IMatixCellLeafPositions,Reporting"/>
                  <m key="forcedEditModes" refId="1333" keid="Reporting.com.tagetik.tables.IMatixCellLeafPositions,Reporting" veid="SYS_STR"/>
                  <b key="UseTxlDeFormEditor">N</b>
                  <be key="TxDeFormsEditorDescriptor" refId="1334" clsId="TxDeFormsEditorDescriptor">
                    <l key="Tabs" refId="133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336" clsId="matrixWSInfo">
                    <b key="isT">S</b>
                    <s key="wsCode">002</s>
                    <s key="tableCode">000008</s>
                  </be>
                  <be key="customFilters" refId="1337" clsId="ExpCustomFiltersProspetto"/>
                </be>
              </val>
            </m>
            <m key="cellFields" refId="1338" keid="SYS_STR" veid="CodeCellField"/>
            <m key="dictionary" refId="1339" keid="SYS_STR" veid="CodeMultiDescVO"/>
            <m key="controlExpressions" refId="1340" keid="SYS_STR" veid="CodedExpControlloProspetto"/>
            <m key="inlineParameters" refId="1341" keid="SYS_STR" veid="CodedInlineParameter"/>
            <m key="queries" refId="1342" keid="SYS_STR" veid="Reporting.com.tagetik.query.IUserDefinedQueryVO,Reporting"/>
            <be key="sheets" refId="1343" clsId="FilterNode">
              <l key="dimensionOids" refId="1344" ln="0" eid="DimensionOid"/>
              <l key="AdHocParamDimensionOids" refId="1345" ln="0" eid="DimensionOid"/>
              <be key="data" refId="1346" clsId="FilterNodeData">
                <ref key="filterNode" refId="1343"/>
                <i key="segmentLevel">0</i>
                <ref key="segment" refId="17"/>
                <b key="placeHolder">N</b>
                <ref key="weight" refId="18"/>
                <be key="textMatchingCondition" refId="134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348" keid="SYS_STR" veid="ElaborationsLauncher"/>
            <m key="actionLists" refId="1349" keid="SYS_STR" veid="Reporting.com.tagetik.actionlist.ISnapshotActionList,Reporting"/>
            <l key="areas" refId="1350" ln="2" eid="SYS_STR">
              <s>BUD_REF_CAP</s>
              <s>HYP_CAP_RETENU</s>
            </l>
            <l key="charts" refId="1351" ln="0" eid="SYS_STR"/>
            <l key="pivots" refId="1352" ln="0" eid="SYS_STR"/>
          </be>
        </val>
        <key>
          <s>Template09</s>
        </key>
        <val>
          <be refId="1353" clsId="ReportTemplateVO">
            <s key="code">Template09</s>
            <s key="desc">ALLOC</s>
            <m key="matrices" refId="1354" keid="SYS_STR" veid="Reporting.com.tagetik.tables.IMatrixPositionBlockVO,Reporting">
              <key>
                <s>Matrix00 copy00</s>
              </key>
              <val>
                <be refId="1355" clsId="MatrixPositionBlockVO">
                  <s key="positionID">Matrix00 copy00</s>
                  <be key="rows" refId="1356" clsId="FilterNode">
                    <l key="dimensionOids" refId="1357" ln="0" eid="DimensionOid"/>
                    <l key="AdHocParamDimensionOids" refId="1358" ln="0" eid="DimensionOid"/>
                    <be key="data" refId="1359" clsId="FilterNodeData">
                      <ref key="filterNode" refId="1356"/>
                      <i key="segmentLevel">0</i>
                      <ref key="segment" refId="17"/>
                      <b key="placeHolder">N</b>
                      <ref key="weight" refId="18"/>
                      <be key="textMatchingCondition" refId="136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361" ln="1" eid="Framework.com.tagetik.trees.INode,framework">
                      <be refId="1362" clsId="FilterNode">
                        <l key="dimensionOids" refId="1363" ln="1" eid="DimensionOid">
                          <cust clsId="DimensionOid">434F55-45-434F554E544552---</cust>
                        </l>
                        <l key="AdHocParamDimensionOids" refId="1364" ln="0" eid="DimensionOid"/>
                        <be key="data" refId="1365" clsId="FilterNodeData">
                          <ref key="filterNode" refId="136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36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36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368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69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70" ln="0" eid="Framework.com.tagetik.trees.INode,framework"/>
                        <ref key="parent" refId="1356"/>
                      </be>
                    </l>
                  </be>
                  <be key="columns" refId="1371" clsId="FilterNode">
                    <l key="dimensionOids" refId="1372" ln="0" eid="DimensionOid"/>
                    <l key="AdHocParamDimensionOids" refId="1373" ln="0" eid="DimensionOid"/>
                    <be key="data" refId="1374" clsId="FilterNodeData">
                      <ref key="filterNode" refId="1371"/>
                      <i key="segmentLevel">0</i>
                      <ref key="segment" refId="17"/>
                      <b key="placeHolder">N</b>
                      <ref key="weight" refId="18"/>
                      <be key="textMatchingCondition" refId="137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376" ln="2" eid="Framework.com.tagetik.trees.INode,framework">
                      <be refId="1377" clsId="FilterNode">
                        <l key="dimensionOids" refId="1378" ln="1" eid="DimensionOid">
                          <cust clsId="DimensionOid">41575F54454246534E45425443574E425052-45-5A434D4956414747534452414E4E48-484949434C4E4D535352494E574256---7C4F57537C-303030303031</cust>
                        </l>
                        <l key="AdHocParamDimensionOids" refId="1379" ln="0" eid="DimensionOid"/>
                        <be key="data" refId="1380" clsId="FilterNodeData">
                          <ref key="filterNode" refId="1377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82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83" keid="SYS_STR" veid="EFReportingNodeType">
                            <key>
                              <s>41575F54454246534E45425443574E425052-45-5A434D4956414747534452414E4E48-484949434C4E4D535352494E574256---7C4F57537C-303030303031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84" ln="0" eid="Framework.com.tagetik.trees.INode,framework"/>
                        <ref key="parent" refId="1371"/>
                      </be>
                      <be refId="1385" clsId="FilterNode">
                        <l key="dimensionOids" refId="1386" ln="1" eid="DimensionOid">
                          <cust clsId="DimensionOid">41575F54454246534E45425443574E425052-45-544F59424A4B474B4C4E414C59504F-484949434C4E4D535352494E574256---7C4F57537C-303030303031</cust>
                        </l>
                        <l key="AdHocParamDimensionOids" refId="1387" ln="0" eid="DimensionOid"/>
                        <be key="data" refId="1388" clsId="FilterNodeData">
                          <ref key="filterNode" refId="13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90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91" keid="SYS_STR" veid="EFReportingNodeType">
                            <key>
                              <s>41575F54454246534E45425443574E425052-45-544F59424A4B474B4C4E414C59504F-484949434C4E4D535352494E574256---7C4F57537C-303030303031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s key="cod"/>
                        <s key="desc"/>
                        <i key="index">1</i>
                        <l key="children" refId="1392" ln="0" eid="Framework.com.tagetik.trees.INode,framework"/>
                        <ref key="parent" refId="1371"/>
                      </be>
                    </l>
                  </be>
                  <be key="matrixFilters" refId="1393" clsId="FilterNode">
                    <l key="dimensionOids" refId="1394" ln="0" eid="DimensionOid"/>
                    <l key="AdHocParamDimensionOids" refId="1395" ln="0" eid="DimensionOid"/>
                    <be key="data" refId="1396" clsId="FilterNodeData">
                      <ref key="filterNode" refId="1393"/>
                      <i key="segmentLevel">0</i>
                      <ref key="segment" refId="17"/>
                      <b key="placeHolder">N</b>
                      <ref key="weight" refId="18"/>
                      <be key="textMatchingCondition" refId="139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98" ln="1" eid="Framework.com.tagetik.trees.INode,framework">
                      <be refId="1399" clsId="FilterNode">
                        <l key="dimensionOids" refId="1400" ln="1" eid="DimensionOid">
                          <cust clsId="DimensionOid">504552-45-3132---</cust>
                        </l>
                        <l key="AdHocParamDimensionOids" refId="1401" ln="0" eid="DimensionOid"/>
                        <be key="data" refId="1402" clsId="FilterNodeData">
                          <ref key="filterNode" refId="1399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0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404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405" ln="1" eid="Framework.com.tagetik.trees.INode,framework">
                          <be refId="1406" clsId="FilterNode">
                            <l key="dimensionOids" refId="1407" ln="1" eid="DimensionOid">
                              <cust clsId="DimensionOid">534345-45-323032374255445F5631---</cust>
                            </l>
                            <l key="AdHocParamDimensionOids" refId="1408" ln="0" eid="DimensionOid"/>
                            <be key="data" refId="1409" clsId="FilterNodeData">
                              <ref key="filterNode" refId="1406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410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l key="nav" refId="1411" ln="0" eid="ScenarioModifierValue"/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s key="cod"/>
                            <s key="desc"/>
                            <i key="index">0</i>
                            <l key="children" refId="1412" ln="1" eid="Framework.com.tagetik.trees.INode,framework">
                              <be refId="1413" clsId="FilterNode">
                                <l key="dimensionOids" refId="1414" ln="1" eid="DimensionOid">
                                  <cust clsId="DimensionOid">414E4C5F56455253494F4E-45-47454E---</cust>
                                </l>
                                <l key="AdHocParamDimensionOids" refId="1415" ln="0" eid="DimensionOid"/>
                                <be key="data" refId="1416" clsId="FilterNodeData">
                                  <ref key="filterNode" refId="1413"/>
                                  <s key="dim">ANL_VERSION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417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l key="nav" refId="1418" ln="0" eid="ScenarioModifierValue"/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s key="cod"/>
                                <s key="desc"/>
                                <i key="index">0</i>
                                <l key="children" refId="1419" ln="1" eid="Framework.com.tagetik.trees.INode,framework">
                                  <be refId="1420" clsId="FilterNode">
                                    <l key="dimensionOids" refId="1421" ln="1" eid="DimensionOid">
                                      <cust clsId="DimensionOid">415A49-45-475250---</cust>
                                    </l>
                                    <l key="AdHocParamDimensionOids" refId="1422" ln="0" eid="DimensionOid"/>
                                    <be key="data" refId="1423" clsId="FilterNodeData">
                                      <ref key="filterNode" refId="1420"/>
                                      <s key="dim">AZI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1424" clsId="TextMatchingCondition">
                                        <ref key="op" refId="20"/>
                                        <s key="val"/>
                                      </be>
                                      <ref key="change" refId="2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l key="nav" refId="1425" ln="0" eid="ScenarioModifierValue"/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584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6</cust>
                                    <s key="cod"/>
                                    <s key="desc"/>
                                    <i key="index">0</i>
                                    <l key="children" refId="1426" ln="1" eid="Framework.com.tagetik.trees.INode,framework">
                                      <be refId="1427" clsId="FilterNode">
                                        <l key="dimensionOids" refId="1428" ln="4" eid="DimensionOid">
                                          <cust clsId="DimensionOid">564F435F303130-45-414C4C4F435F4252414E445F43414D50---</cust>
                                          <cust clsId="DimensionOid">564F435F303130-45-414C4C4F435F43414D505F434C415353---</cust>
                                          <cust clsId="DimensionOid">564F435F303130-45-414C4C4F435F4752505F484F4C44494E47---</cust>
                                          <cust clsId="DimensionOid">564F435F303130-45-414C4C4F435F4752505F4D4152515545---</cust>
                                        </l>
                                        <l key="AdHocParamDimensionOids" refId="1429" ln="0" eid="DimensionOid"/>
                                        <be key="data" refId="1430" clsId="FilterNodeData">
                                          <ref key="filterNode" refId="1427"/>
                                          <s key="dim">VOC_010</s>
                                          <i key="segmentLevel">0</i>
                                          <ref key="segment" refId="17"/>
                                          <b key="placeHolder">N</b>
                                          <ref key="weight" refId="18"/>
                                          <be key="textMatchingCondition" refId="1431" clsId="TextMatchingCondition">
                                            <ref key="op" refId="20"/>
                                            <s key="val"/>
                                          </be>
                                          <ref key="change" refId="21"/>
                                          <ref key="dataType" refId="22"/>
                                          <b key="prevailingDataType">N</b>
                                          <ref key="editability" refId="23"/>
                                          <b key="signChange">N</b>
                                          <b key="nativeSignChange">N</b>
                                          <i key="sco">0</i>
                                          <b key="applyFiltersForForcedScenarioPeriodoMap">N</b>
                                          <b key="lineSplit">N</b>
                                          <b key="addRCRow">N</b>
                                          <b key="complementary">N</b>
                                          <ref key="periodicCalculation" refId="584"/>
                                          <b key="breakLevelSubtotal">N</b>
                                          <b key="alreadyDrilled">N</b>
                                          <b key="multiSelection">N</b>
                                        </be>
                                        <cust key="id" clsId="FilterOid">7</cust>
                                        <i key="index">0</i>
                                        <ref key="parent" refId="1420"/>
                                      </be>
                                    </l>
                                    <ref key="parent" refId="1413"/>
                                  </be>
                                </l>
                                <ref key="parent" refId="1406"/>
                              </be>
                            </l>
                            <ref key="parent" refId="1399"/>
                          </be>
                        </l>
                        <ref key="parent" refId="1393"/>
                      </be>
                    </l>
                  </be>
                  <be key="rowHeaders" refId="1432" clsId="ReportingHeaders">
                    <m key="headers" refId="1433" keid="SYS_PR_I" veid="System.Collections.IList"/>
                    <m key="headersDims" refId="1434" keid="SYS_PR_I" veid="SYS_STR"/>
                  </be>
                  <be key="columnHeaders" refId="1435" clsId="ReportingHeaders">
                    <m key="headers" refId="1436" keid="SYS_PR_I" veid="System.Collections.IList"/>
                    <m key="headersDims" refId="1437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438" ln="0" eid="SYS_STR"/>
                  <b key="bindOriginalAmountOnSave">N</b>
                  <b key="showLink">N</b>
                  <i key="index">0</i>
                  <b key="excludeValuatingSheetsWithZeroValues">N</b>
                  <m key="addictionalStyleSheets" refId="143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440" ln="0" eid="Reporting.com.tagetik.tables.IMatixCellLeafPositions,Reporting"/>
                  <m key="forcedEditModes" refId="1441" keid="Reporting.com.tagetik.tables.IMatixCellLeafPositions,Reporting" veid="SYS_STR"/>
                  <b key="UseTxlDeFormEditor">N</b>
                  <be key="TxDeFormsEditorDescriptor" refId="1442" clsId="TxDeFormsEditorDescriptor">
                    <l key="Tabs" refId="144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444" clsId="matrixWSInfo">
                    <b key="isT">S</b>
                    <s key="wsCode">002</s>
                    <s key="tableCode">000001</s>
                  </be>
                  <be key="customFilters" refId="1445" clsId="ExpCustomFiltersProspetto"/>
                </be>
              </val>
            </m>
            <m key="cellFields" refId="1446" keid="SYS_STR" veid="CodeCellField"/>
            <m key="dictionary" refId="1447" keid="SYS_STR" veid="CodeMultiDescVO"/>
            <m key="controlExpressions" refId="1448" keid="SYS_STR" veid="CodedExpControlloProspetto"/>
            <m key="inlineParameters" refId="1449" keid="SYS_STR" veid="CodedInlineParameter"/>
            <m key="queries" refId="1450" keid="SYS_STR" veid="Reporting.com.tagetik.query.IUserDefinedQueryVO,Reporting"/>
            <be key="sheets" refId="1451" clsId="FilterNode">
              <l key="dimensionOids" refId="1452" ln="0" eid="DimensionOid"/>
              <l key="AdHocParamDimensionOids" refId="1453" ln="0" eid="DimensionOid"/>
              <be key="data" refId="1454" clsId="FilterNodeData">
                <ref key="filterNode" refId="1451"/>
                <i key="segmentLevel">0</i>
                <ref key="segment" refId="17"/>
                <b key="placeHolder">N</b>
                <ref key="weight" refId="18"/>
                <be key="textMatchingCondition" refId="145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456" keid="SYS_STR" veid="ElaborationsLauncher"/>
            <m key="actionLists" refId="1457" keid="SYS_STR" veid="Reporting.com.tagetik.actionlist.ISnapshotActionList,Reporting"/>
            <l key="areas" refId="1458" ln="4" eid="SYS_STR">
              <s>ALLOC_BRAND_CAMP</s>
              <s>ALLOC_CAMP_CLASS</s>
              <s>ALLOC_GRP_BRAND</s>
              <s>ALLOC_GRP_MARQUE</s>
            </l>
            <l key="charts" refId="1459" ln="0" eid="SYS_STR"/>
            <l key="pivots" refId="1460" ln="0" eid="SYS_STR"/>
          </be>
        </val>
      </m>
      <m key="templateLayouts" refId="1461" keid="SYS_STR" veid="Reporting.com.tagetik.report.IReportTemplateLayoutVO,Reporting">
        <key>
          <s>Template00</s>
        </key>
        <val>
          <be refId="1462" clsId="ReportTemplateLayoutVO">
            <i key="index">0</i>
            <s key="code">Template00</s>
            <m key="cellFieldAddresses" refId="1463" keid="SYS_STR" veid="Reporting.com.tagetik.spreadsheet.gridwrappers.IGridReaderVO,Reporting"/>
            <m key="controlExpressionsAddresses" refId="1464" keid="SYS_STR" veid="Reporting.com.tagetik.spreadsheet.gridwrappers.IGridReaderVO,Reporting"/>
            <m key="inlineParameterAddresses" refId="1465" keid="SYS_STR" veid="Reporting.com.tagetik.spreadsheet.gridwrappers.IGridReaderVO,Reporting"/>
            <m key="dictionaryAddresses" refId="1466" keid="SYS_STR" veid="Reporting.com.tagetik.spreadsheet.gridwrappers.IGridReaderVO,Reporting"/>
            <m key="hyperlinkAddresses" refId="1467" keid="SYS_STR" veid="Reporting.com.tagetik.spreadsheet.gridwrappers.IGridReaderVO,Reporting"/>
            <m key="matrixGridReaders" refId="1468" keid="SYS_STR" veid="Reporting.com.tagetik.spreadsheet.gridwrappers.IGridReaderVO,Reporting">
              <key>
                <s>Matrix00</s>
              </key>
              <val>
                <be refId="1469" clsId="ExcelCompactGridReaderVO">
                  <be key="element" refId="1470" clsId="BasicLogicalElement">
                    <i key="columnHeadersCount">0</i>
                    <i key="rowHeadersCount">1</i>
                    <i key="valueColumns">1</i>
                    <i key="valueRows">5</i>
                  </be>
                  <s key="firstCell">I12</s>
                </be>
              </val>
              <key>
                <s>Matrix05 copy00</s>
              </key>
              <val>
                <be refId="1471" clsId="ExcelCompactGridReaderVO">
                  <be key="element" refId="1472" clsId="BasicLogicalElement">
                    <i key="columnHeadersCount">0</i>
                    <i key="rowHeadersCount">1</i>
                    <i key="valueColumns">1</i>
                    <i key="valueRows">1</i>
                  </be>
                  <s key="firstCell">B15</s>
                </be>
              </val>
              <key>
                <s>Matrix02</s>
              </key>
              <val>
                <be refId="1473" clsId="ExcelCompactGridReaderVO">
                  <be key="element" refId="1474" clsId="BasicLogicalElement">
                    <i key="columnHeadersCount">0</i>
                    <i key="rowHeadersCount">1</i>
                    <i key="valueColumns">3</i>
                    <i key="valueRows">1</i>
                  </be>
                  <s key="firstCell">B39</s>
                </be>
              </val>
              <key>
                <s>Matrix01</s>
              </key>
              <val>
                <be refId="1475" clsId="ExcelCompactGridReaderVO">
                  <be key="element" refId="1476" clsId="BasicLogicalElement">
                    <i key="columnHeadersCount">1</i>
                    <i key="rowHeadersCount">1</i>
                    <i key="valueColumns">3</i>
                    <i key="valueRows">14</i>
                  </be>
                  <s key="firstCell">B22</s>
                </be>
              </val>
              <key>
                <s>Matrix06 copy00</s>
              </key>
              <val>
                <be refId="1477" clsId="ExcelCompactGridReaderVO">
                  <be key="element" refId="1478" clsId="BasicLogicalElement">
                    <i key="columnHeadersCount">0</i>
                    <i key="rowHeadersCount">1</i>
                    <i key="valueColumns">1</i>
                    <i key="valueRows">2</i>
                  </be>
                  <s key="firstCell">E5</s>
                </be>
              </val>
              <key>
                <s>Matrix04</s>
              </key>
              <val>
                <be refId="1479" clsId="ExcelCompactGridReaderVO">
                  <be key="element" refId="1480" clsId="BasicLogicalElement">
                    <i key="columnHeadersCount">1</i>
                    <i key="rowHeadersCount">1</i>
                    <i key="valueColumns">1</i>
                    <i key="valueRows">3</i>
                  </be>
                  <s key="firstCell">B11</s>
                </be>
              </val>
              <key>
                <s>Matrix03</s>
              </key>
              <val>
                <be refId="1481" clsId="ExcelCompactGridReaderVO">
                  <be key="element" refId="1482" clsId="BasicLogicalElement">
                    <i key="columnHeadersCount">0</i>
                    <i key="rowHeadersCount">0</i>
                    <i key="valueColumns">1</i>
                    <i key="valueRows">1</i>
                  </be>
                  <s key="firstCell">C5</s>
                </be>
              </val>
            </m>
            <m key="queryGridReaders" refId="1483" keid="SYS_STR" veid="Reporting.com.tagetik.spreadsheet.gridwrappers.IGridReaderVO,Reporting"/>
          </be>
        </val>
        <key>
          <s>Template01</s>
        </key>
        <val>
          <be refId="1484" clsId="ReportTemplateLayoutVO">
            <i key="index">3</i>
            <s key="code">Template01</s>
            <m key="cellFieldAddresses" refId="1485" keid="SYS_STR" veid="Reporting.com.tagetik.spreadsheet.gridwrappers.IGridReaderVO,Reporting"/>
            <m key="controlExpressionsAddresses" refId="1486" keid="SYS_STR" veid="Reporting.com.tagetik.spreadsheet.gridwrappers.IGridReaderVO,Reporting"/>
            <m key="inlineParameterAddresses" refId="1487" keid="SYS_STR" veid="Reporting.com.tagetik.spreadsheet.gridwrappers.IGridReaderVO,Reporting"/>
            <m key="dictionaryAddresses" refId="1488" keid="SYS_STR" veid="Reporting.com.tagetik.spreadsheet.gridwrappers.IGridReaderVO,Reporting"/>
            <m key="hyperlinkAddresses" refId="1489" keid="SYS_STR" veid="Reporting.com.tagetik.spreadsheet.gridwrappers.IGridReaderVO,Reporting"/>
            <m key="matrixGridReaders" refId="1490" keid="SYS_STR" veid="Reporting.com.tagetik.spreadsheet.gridwrappers.IGridReaderVO,Reporting"/>
            <m key="queryGridReaders" refId="1491" keid="SYS_STR" veid="Reporting.com.tagetik.spreadsheet.gridwrappers.IGridReaderVO,Reporting">
              <key>
                <s>Query00</s>
              </key>
              <val>
                <be refId="1492" clsId="ExcelCompactGridReaderVO">
                  <be key="element" refId="1493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Template02</s>
        </key>
        <val>
          <be refId="1494" clsId="ReportTemplateLayoutVO">
            <i key="index">4</i>
            <s key="code">Template02</s>
            <m key="cellFieldAddresses" refId="1495" keid="SYS_STR" veid="Reporting.com.tagetik.spreadsheet.gridwrappers.IGridReaderVO,Reporting"/>
            <m key="controlExpressionsAddresses" refId="1496" keid="SYS_STR" veid="Reporting.com.tagetik.spreadsheet.gridwrappers.IGridReaderVO,Reporting"/>
            <m key="inlineParameterAddresses" refId="1497" keid="SYS_STR" veid="Reporting.com.tagetik.spreadsheet.gridwrappers.IGridReaderVO,Reporting"/>
            <m key="dictionaryAddresses" refId="1498" keid="SYS_STR" veid="Reporting.com.tagetik.spreadsheet.gridwrappers.IGridReaderVO,Reporting"/>
            <m key="hyperlinkAddresses" refId="1499" keid="SYS_STR" veid="Reporting.com.tagetik.spreadsheet.gridwrappers.IGridReaderVO,Reporting"/>
            <m key="matrixGridReaders" refId="1500" keid="SYS_STR" veid="Reporting.com.tagetik.spreadsheet.gridwrappers.IGridReaderVO,Reporting">
              <key>
                <s>Matrix00</s>
              </key>
              <val>
                <be refId="1501" clsId="ExcelCompactGridReaderVO">
                  <be key="element" refId="1502" clsId="BasicLogicalElement">
                    <i key="columnHeadersCount">1</i>
                    <i key="rowHeadersCount">0</i>
                    <i key="valueColumns">14</i>
                    <i key="valueRows">1</i>
                  </be>
                  <s key="firstCell">A1</s>
                </be>
              </val>
            </m>
            <m key="queryGridReaders" refId="1503" keid="SYS_STR" veid="Reporting.com.tagetik.spreadsheet.gridwrappers.IGridReaderVO,Reporting"/>
          </be>
        </val>
        <key>
          <s>Template03</s>
        </key>
        <val>
          <be refId="1504" clsId="ReportTemplateLayoutVO">
            <i key="index">5</i>
            <s key="code">Template03</s>
            <m key="cellFieldAddresses" refId="1505" keid="SYS_STR" veid="Reporting.com.tagetik.spreadsheet.gridwrappers.IGridReaderVO,Reporting"/>
            <m key="controlExpressionsAddresses" refId="1506" keid="SYS_STR" veid="Reporting.com.tagetik.spreadsheet.gridwrappers.IGridReaderVO,Reporting"/>
            <m key="inlineParameterAddresses" refId="1507" keid="SYS_STR" veid="Reporting.com.tagetik.spreadsheet.gridwrappers.IGridReaderVO,Reporting"/>
            <m key="dictionaryAddresses" refId="1508" keid="SYS_STR" veid="Reporting.com.tagetik.spreadsheet.gridwrappers.IGridReaderVO,Reporting"/>
            <m key="hyperlinkAddresses" refId="1509" keid="SYS_STR" veid="Reporting.com.tagetik.spreadsheet.gridwrappers.IGridReaderVO,Reporting"/>
            <m key="matrixGridReaders" refId="1510" keid="SYS_STR" veid="Reporting.com.tagetik.spreadsheet.gridwrappers.IGridReaderVO,Reporting">
              <key>
                <s>Matrix00</s>
              </key>
              <val>
                <be refId="1511" clsId="ExcelCompactGridReaderVO">
                  <be key="element" refId="1512" clsId="BasicLogicalElement">
                    <i key="columnHeadersCount">1</i>
                    <i key="rowHeadersCount">0</i>
                    <i key="valueColumns">13</i>
                    <i key="valueRows">1</i>
                  </be>
                  <s key="firstCell">A1</s>
                </be>
              </val>
            </m>
            <m key="queryGridReaders" refId="1513" keid="SYS_STR" veid="Reporting.com.tagetik.spreadsheet.gridwrappers.IGridReaderVO,Reporting"/>
          </be>
        </val>
        <key>
          <s>Template04</s>
        </key>
        <val>
          <be refId="1514" clsId="ReportTemplateLayoutVO">
            <i key="index">6</i>
            <s key="code">Template04</s>
            <m key="cellFieldAddresses" refId="1515" keid="SYS_STR" veid="Reporting.com.tagetik.spreadsheet.gridwrappers.IGridReaderVO,Reporting"/>
            <m key="controlExpressionsAddresses" refId="1516" keid="SYS_STR" veid="Reporting.com.tagetik.spreadsheet.gridwrappers.IGridReaderVO,Reporting"/>
            <m key="inlineParameterAddresses" refId="1517" keid="SYS_STR" veid="Reporting.com.tagetik.spreadsheet.gridwrappers.IGridReaderVO,Reporting"/>
            <m key="dictionaryAddresses" refId="1518" keid="SYS_STR" veid="Reporting.com.tagetik.spreadsheet.gridwrappers.IGridReaderVO,Reporting"/>
            <m key="hyperlinkAddresses" refId="1519" keid="SYS_STR" veid="Reporting.com.tagetik.spreadsheet.gridwrappers.IGridReaderVO,Reporting"/>
            <m key="matrixGridReaders" refId="1520" keid="SYS_STR" veid="Reporting.com.tagetik.spreadsheet.gridwrappers.IGridReaderVO,Reporting">
              <key>
                <s>Matrix00</s>
              </key>
              <val>
                <be refId="1521" clsId="ExcelCompactGridReaderVO">
                  <be key="element" refId="1522" clsId="BasicLogicalElement">
                    <i key="columnHeadersCount">1</i>
                    <i key="rowHeadersCount">0</i>
                    <i key="valueColumns">6</i>
                    <i key="valueRows">1</i>
                  </be>
                  <s key="firstCell">A1</s>
                </be>
              </val>
            </m>
            <m key="queryGridReaders" refId="1523" keid="SYS_STR" veid="Reporting.com.tagetik.spreadsheet.gridwrappers.IGridReaderVO,Reporting"/>
          </be>
        </val>
        <key>
          <s>Template05</s>
        </key>
        <val>
          <be refId="1524" clsId="ReportTemplateLayoutVO">
            <i key="index">7</i>
            <s key="code">Template05</s>
            <m key="cellFieldAddresses" refId="1525" keid="SYS_STR" veid="Reporting.com.tagetik.spreadsheet.gridwrappers.IGridReaderVO,Reporting"/>
            <m key="controlExpressionsAddresses" refId="1526" keid="SYS_STR" veid="Reporting.com.tagetik.spreadsheet.gridwrappers.IGridReaderVO,Reporting"/>
            <m key="inlineParameterAddresses" refId="1527" keid="SYS_STR" veid="Reporting.com.tagetik.spreadsheet.gridwrappers.IGridReaderVO,Reporting"/>
            <m key="dictionaryAddresses" refId="1528" keid="SYS_STR" veid="Reporting.com.tagetik.spreadsheet.gridwrappers.IGridReaderVO,Reporting"/>
            <m key="hyperlinkAddresses" refId="1529" keid="SYS_STR" veid="Reporting.com.tagetik.spreadsheet.gridwrappers.IGridReaderVO,Reporting"/>
            <m key="matrixGridReaders" refId="1530" keid="SYS_STR" veid="Reporting.com.tagetik.spreadsheet.gridwrappers.IGridReaderVO,Reporting">
              <key>
                <s>Matrix00</s>
              </key>
              <val>
                <be refId="1531" clsId="ExcelCompactGridReaderVO">
                  <be key="element" refId="1532" clsId="BasicLogicalElement">
                    <i key="columnHeadersCount">1</i>
                    <i key="rowHeadersCount">0</i>
                    <i key="valueColumns">7</i>
                    <i key="valueRows">1</i>
                  </be>
                  <s key="firstCell">A1</s>
                </be>
              </val>
            </m>
            <m key="queryGridReaders" refId="1533" keid="SYS_STR" veid="Reporting.com.tagetik.spreadsheet.gridwrappers.IGridReaderVO,Reporting"/>
          </be>
        </val>
        <key>
          <s>Template06</s>
        </key>
        <val>
          <be refId="1534" clsId="ReportTemplateLayoutVO">
            <i key="index">1</i>
            <s key="code">Template06</s>
            <m key="cellFieldAddresses" refId="1535" keid="SYS_STR" veid="Reporting.com.tagetik.spreadsheet.gridwrappers.IGridReaderVO,Reporting"/>
            <m key="controlExpressionsAddresses" refId="1536" keid="SYS_STR" veid="Reporting.com.tagetik.spreadsheet.gridwrappers.IGridReaderVO,Reporting"/>
            <m key="inlineParameterAddresses" refId="1537" keid="SYS_STR" veid="Reporting.com.tagetik.spreadsheet.gridwrappers.IGridReaderVO,Reporting"/>
            <m key="dictionaryAddresses" refId="1538" keid="SYS_STR" veid="Reporting.com.tagetik.spreadsheet.gridwrappers.IGridReaderVO,Reporting"/>
            <m key="hyperlinkAddresses" refId="1539" keid="SYS_STR" veid="Reporting.com.tagetik.spreadsheet.gridwrappers.IGridReaderVO,Reporting"/>
            <m key="matrixGridReaders" refId="1540" keid="SYS_STR" veid="Reporting.com.tagetik.spreadsheet.gridwrappers.IGridReaderVO,Reporting">
              <key>
                <s>Matrix01</s>
              </key>
              <val>
                <be refId="1541" clsId="ExcelCompactGridReaderVO">
                  <be key="element" refId="1542" clsId="BasicLogicalElement">
                    <i key="columnHeadersCount">1</i>
                    <i key="rowHeadersCount">0</i>
                    <i key="valueColumns">9</i>
                    <i key="valueRows">1</i>
                  </be>
                  <s key="firstCell">D14</s>
                </be>
              </val>
            </m>
            <m key="queryGridReaders" refId="1543" keid="SYS_STR" veid="Reporting.com.tagetik.spreadsheet.gridwrappers.IGridReaderVO,Reporting"/>
          </be>
        </val>
        <key>
          <s>Template09</s>
        </key>
        <val>
          <be refId="1544" clsId="ReportTemplateLayoutVO">
            <i key="index">2</i>
            <s key="code">Template09</s>
            <m key="cellFieldAddresses" refId="1545" keid="SYS_STR" veid="Reporting.com.tagetik.spreadsheet.gridwrappers.IGridReaderVO,Reporting"/>
            <m key="controlExpressionsAddresses" refId="1546" keid="SYS_STR" veid="Reporting.com.tagetik.spreadsheet.gridwrappers.IGridReaderVO,Reporting"/>
            <m key="inlineParameterAddresses" refId="1547" keid="SYS_STR" veid="Reporting.com.tagetik.spreadsheet.gridwrappers.IGridReaderVO,Reporting"/>
            <m key="dictionaryAddresses" refId="1548" keid="SYS_STR" veid="Reporting.com.tagetik.spreadsheet.gridwrappers.IGridReaderVO,Reporting"/>
            <m key="hyperlinkAddresses" refId="1549" keid="SYS_STR" veid="Reporting.com.tagetik.spreadsheet.gridwrappers.IGridReaderVO,Reporting"/>
            <m key="matrixGridReaders" refId="1550" keid="SYS_STR" veid="Reporting.com.tagetik.spreadsheet.gridwrappers.IGridReaderVO,Reporting">
              <key>
                <s>Matrix00 copy00</s>
              </key>
              <val>
                <be refId="1551" clsId="ExcelCompactGridReaderVO">
                  <be key="element" refId="1552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1553" keid="SYS_STR" veid="Reporting.com.tagetik.spreadsheet.gridwrappers.IGridReaderVO,Reporting"/>
          </be>
        </val>
      </m>
      <m key="adHocParameters" refId="1554" keid="SYS_STR" veid="ProspParametro"/>
      <l key="parametersToBeRequested" refId="1555" ln="2" eid="ParameterInfo">
        <be refId="1556" clsId="ParameterInfo">
          <cust key="oid" clsId="DimensionOid">415A495F454455-45-24415A495F4544555F50--50-</cust>
          <b key="explicitlyUsed">S</b>
          <b key="forced">N</b>
          <b key="advanced">N</b>
        </be>
        <be refId="1557" clsId="ParameterInfo">
          <cust key="oid" clsId="DimensionOid">5343455F24-45-245343455F245F50--50-</cust>
          <b key="explicitlyUsed">S</b>
          <b key="forced">N</b>
          <b key="advanced">N</b>
        </be>
      </l>
    </be>
  </data>
</easyPacket>
</file>

<file path=customXml/itemProps1.xml><?xml version="1.0" encoding="utf-8"?>
<ds:datastoreItem xmlns:ds="http://schemas.openxmlformats.org/officeDocument/2006/customXml" ds:itemID="{F34C522E-D607-4FF2-A93B-E3132AACB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Allocation2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Bouzidi</dc:creator>
  <cp:lastModifiedBy>Saad El meziati</cp:lastModifiedBy>
  <dcterms:created xsi:type="dcterms:W3CDTF">2026-08-19T10:07:49Z</dcterms:created>
  <dcterms:modified xsi:type="dcterms:W3CDTF">2026-08-26T13:56:50Z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GK_DBID">
    <vt:lpwstr>TGK_HANASTD_01</vt:lpwstr>
  </property>
  <property fmtid="{D5CDD505-2E9C-101B-9397-08002B2CF9AE}" pid="3" name="TGK_VERSION">
    <vt:lpwstr>35.0.0.6.tgk.20260209140819</vt:lpwstr>
  </property>
  <property fmtid="{D5CDD505-2E9C-101B-9397-08002B2CF9AE}" pid="4" name="TGK_DOCID">
    <vt:lpwstr>96ea4baa-69fa-4a80-8a31-630d3d62e063</vt:lpwstr>
  </property>
  <property fmtid="{D5CDD505-2E9C-101B-9397-08002B2CF9AE}" pid="5" name="TGK_STATUS">
    <vt:lpwstr>ADH_TPL</vt:lpwstr>
  </property>
  <property fmtid="{D5CDD505-2E9C-101B-9397-08002B2CF9AE}" pid="6" name="TGK_CUSTOM_XML">
    <vt:lpwstr>{F34C522E-D607-4FF2-A93B-E3132AACB149}</vt:lpwstr>
  </property>
</Properties>
</file>