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rage (EBITD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 &quot;€&quot;;-#,##0 &quot;€&quot;;&quot;-&quot;"/>
    <numFmt numFmtId="166" formatCode="+0.0%;-0.0%;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1606D"/>
      <sz val="9"/>
    </font>
    <font>
      <name val="Arial"/>
      <b val="1"/>
      <color rgb="00FFFFFF"/>
      <sz val="11"/>
    </font>
    <font>
      <name val="Arial"/>
      <b val="1"/>
      <color rgb="00152230"/>
      <sz val="10"/>
    </font>
    <font>
      <name val="Arial"/>
      <b val="1"/>
      <color rgb="00152230"/>
      <sz val="11"/>
    </font>
    <font>
      <name val="Arial"/>
      <i val="1"/>
      <color rgb="007D8B98"/>
      <sz val="8.5"/>
    </font>
    <font>
      <name val="Arial"/>
      <b val="1"/>
      <color rgb="000A5A48"/>
      <sz val="10"/>
    </font>
    <font>
      <name val="Arial"/>
      <b val="1"/>
      <color rgb="000A5A48"/>
      <sz val="11"/>
    </font>
    <font>
      <name val="Arial"/>
      <b val="1"/>
      <color rgb="00FFFFFF"/>
      <sz val="9"/>
    </font>
    <font>
      <name val="Arial"/>
      <b val="1"/>
      <color rgb="00152230"/>
      <sz val="9.5"/>
    </font>
    <font>
      <name val="Arial"/>
      <color rgb="0051606D"/>
      <sz val="9.5"/>
    </font>
    <font>
      <name val="Arial"/>
      <color rgb="007D8B98"/>
      <sz val="9.5"/>
    </font>
    <font>
      <name val="Arial"/>
      <i val="1"/>
      <color rgb="007D8B98"/>
      <sz val="8"/>
    </font>
    <font>
      <name val="Arial"/>
      <color rgb="00152230"/>
      <sz val="10"/>
    </font>
    <font>
      <name val="Arial"/>
      <color rgb="00B3641C"/>
      <sz val="9.5"/>
    </font>
    <font>
      <name val="Arial"/>
      <b val="1"/>
      <color rgb="00152230"/>
      <sz val="9"/>
    </font>
    <font>
      <name val="Arial"/>
      <b val="1"/>
      <color rgb="00FFFFFF"/>
      <sz val="10"/>
    </font>
    <font>
      <name val="Arial"/>
      <color rgb="00152230"/>
      <sz val="9.5"/>
    </font>
    <font>
      <name val="Arial"/>
      <b val="1"/>
      <color rgb="003D4F8F"/>
      <sz val="10"/>
    </font>
  </fonts>
  <fills count="8">
    <fill>
      <patternFill/>
    </fill>
    <fill>
      <patternFill patternType="gray125"/>
    </fill>
    <fill>
      <patternFill patternType="solid">
        <fgColor rgb="000A5A48"/>
      </patternFill>
    </fill>
    <fill>
      <patternFill patternType="solid">
        <fgColor rgb="000D7A62"/>
      </patternFill>
    </fill>
    <fill>
      <patternFill patternType="solid">
        <fgColor rgb="00FFF6DA"/>
      </patternFill>
    </fill>
    <fill>
      <patternFill patternType="solid">
        <fgColor rgb="00E3EFEA"/>
      </patternFill>
    </fill>
    <fill>
      <patternFill patternType="solid">
        <fgColor rgb="003D4F8F"/>
      </patternFill>
    </fill>
    <fill>
      <patternFill patternType="solid">
        <fgColor rgb="00FBFCFB"/>
      </patternFill>
    </fill>
  </fills>
  <borders count="6">
    <border>
      <left/>
      <right/>
      <top/>
      <bottom/>
      <diagonal/>
    </border>
    <border>
      <left style="medium">
        <color rgb="00E8B84B"/>
      </left>
      <right style="medium">
        <color rgb="00E8B84B"/>
      </right>
      <top style="medium">
        <color rgb="00E8B84B"/>
      </top>
      <bottom style="medium">
        <color rgb="00E8B84B"/>
      </bottom>
    </border>
    <border>
      <left style="thin">
        <color rgb="00C8D2DA"/>
      </left>
      <right style="thin">
        <color rgb="00C8D2DA"/>
      </right>
      <top style="thin">
        <color rgb="00C8D2DA"/>
      </top>
      <bottom style="thin">
        <color rgb="00C8D2DA"/>
      </bottom>
    </border>
    <border>
      <left/>
      <right/>
      <top style="thin">
        <color rgb="00C8D2DA"/>
      </top>
      <bottom/>
      <diagonal/>
    </border>
    <border>
      <left/>
      <right style="thin">
        <color rgb="00C8D2DA"/>
      </right>
      <top style="thin">
        <color rgb="00C8D2DA"/>
      </top>
      <bottom/>
      <diagonal/>
    </border>
    <border>
      <left/>
      <right style="thin">
        <color rgb="00C8D2DA"/>
      </right>
      <top style="thin">
        <color rgb="00C8D2DA"/>
      </top>
      <bottom style="thin">
        <color rgb="00C8D2DA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9" fillId="2" borderId="2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horizontal="left" vertical="center"/>
    </xf>
    <xf numFmtId="165" fontId="4" fillId="5" borderId="2" applyAlignment="1" pivotButton="0" quotePrefix="0" xfId="0">
      <alignment horizontal="right" vertical="center"/>
    </xf>
    <xf numFmtId="0" fontId="0" fillId="5" borderId="0" pivotButton="0" quotePrefix="0" xfId="0"/>
    <xf numFmtId="0" fontId="10" fillId="5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164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0" borderId="0" applyAlignment="1" pivotButton="0" quotePrefix="0" xfId="0">
      <alignment horizontal="left" vertical="center"/>
    </xf>
    <xf numFmtId="165" fontId="14" fillId="0" borderId="2" applyAlignment="1" pivotButton="0" quotePrefix="0" xfId="0">
      <alignment horizontal="right" vertical="center"/>
    </xf>
    <xf numFmtId="165" fontId="15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center" vertical="center" wrapText="1"/>
    </xf>
    <xf numFmtId="166" fontId="15" fillId="0" borderId="2" applyAlignment="1" pivotButton="0" quotePrefix="0" xfId="0">
      <alignment horizontal="right" vertical="center"/>
    </xf>
    <xf numFmtId="166" fontId="10" fillId="0" borderId="2" applyAlignment="1" pivotButton="0" quotePrefix="0" xfId="0">
      <alignment horizontal="right" vertical="center"/>
    </xf>
    <xf numFmtId="166" fontId="11" fillId="0" borderId="2" applyAlignment="1" pivotButton="0" quotePrefix="0" xfId="0">
      <alignment horizontal="right" vertical="center"/>
    </xf>
    <xf numFmtId="0" fontId="16" fillId="0" borderId="2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4" fontId="19" fillId="0" borderId="2" applyAlignment="1" pivotButton="0" quotePrefix="0" xfId="0">
      <alignment horizontal="center" vertical="center" wrapText="1"/>
    </xf>
    <xf numFmtId="165" fontId="19" fillId="0" borderId="2" applyAlignment="1" pivotButton="0" quotePrefix="0" xfId="0">
      <alignment horizontal="center" vertical="center" wrapText="1"/>
    </xf>
    <xf numFmtId="166" fontId="19" fillId="0" borderId="2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4" customWidth="1" min="5" max="5"/>
    <col width="13" customWidth="1" min="6" max="6"/>
    <col width="15" customWidth="1" min="7" max="7"/>
  </cols>
  <sheetData>
    <row r="1" ht="28" customHeight="1">
      <c r="A1" s="1" t="inlineStr">
        <is>
          <t xml:space="preserve">  POSTE DE COMMANDE CFO — Cadrage 2027 · piloté par l'EBITDA</t>
        </is>
      </c>
    </row>
    <row r="2" ht="20" customHeight="1">
      <c r="A2" s="2" t="inlineStr">
        <is>
          <t xml:space="preserve">  L'EBITDA (€) est l'engagement. La croissance du CA est le garde-fou — jamais sacrifiée. Cases jaunes = décision CFO.</t>
        </is>
      </c>
    </row>
    <row r="4" ht="22" customHeight="1">
      <c r="A4" s="3" t="inlineStr">
        <is>
          <t>①  L'ENGAGEMENT  —  ce que le CFO signe</t>
        </is>
      </c>
    </row>
    <row r="5" ht="20" customHeight="1">
      <c r="A5" s="4" t="inlineStr">
        <is>
          <t>Amélioration EBITDA vs 2026</t>
        </is>
      </c>
      <c r="B5" s="5" t="n">
        <v>0.05</v>
      </c>
      <c r="C5" s="6" t="inlineStr">
        <is>
          <t>le curseur central : de combien on fait progresser le résultat</t>
        </is>
      </c>
    </row>
    <row r="6" ht="20" customHeight="1">
      <c r="A6" s="4" t="inlineStr">
        <is>
          <t>Plancher de croissance CA</t>
        </is>
      </c>
      <c r="B6" s="5" t="n">
        <v>0.03</v>
      </c>
      <c r="C6" s="6" t="inlineStr">
        <is>
          <t>garde-fou : on refuse de descendre sous ce rythme de croissance</t>
        </is>
      </c>
    </row>
    <row r="7" ht="20" customHeight="1">
      <c r="A7" s="7" t="inlineStr">
        <is>
          <t>→ EBITDA cible 2027 (€)</t>
        </is>
      </c>
      <c r="B7" s="8">
        <f>3845790*(1+B5)</f>
        <v/>
      </c>
      <c r="C7" s="9">
        <f> EBITDA 2026 × (1 + amélioration)  ·  la marge en découle, on ne la fixe pas en rond</f>
        <v/>
      </c>
    </row>
    <row r="9" ht="22" customHeight="1">
      <c r="A9" s="3" t="inlineStr">
        <is>
          <t>②  RÉCONCILIATION  —  engagement  vs  construit (leviers)</t>
        </is>
      </c>
    </row>
    <row r="10">
      <c r="A10" s="10" t="inlineStr">
        <is>
          <t>Indicateur</t>
        </is>
      </c>
      <c r="B10" s="11" t="inlineStr">
        <is>
          <t>Référence 2026</t>
        </is>
      </c>
      <c r="C10" s="11" t="inlineStr">
        <is>
          <t>Engagement</t>
        </is>
      </c>
      <c r="D10" s="11" t="inlineStr">
        <is>
          <t>Construit 2027</t>
        </is>
      </c>
      <c r="E10" s="11" t="inlineStr">
        <is>
          <t>Écart</t>
        </is>
      </c>
      <c r="F10" s="12" t="n"/>
      <c r="G10" s="11" t="inlineStr">
        <is>
          <t>Statut</t>
        </is>
      </c>
    </row>
    <row r="11" ht="19" customHeight="1">
      <c r="A11" s="13" t="inlineStr">
        <is>
          <t>EBITDA (€)  ◆ l'ancre</t>
        </is>
      </c>
      <c r="B11" s="14" t="n">
        <v>3845790</v>
      </c>
      <c r="C11" s="14">
        <f>B7</f>
        <v/>
      </c>
      <c r="D11" s="14" t="n">
        <v>4111498</v>
      </c>
      <c r="E11" s="14">
        <f>D11-C11</f>
        <v/>
      </c>
      <c r="F11" s="15" t="n"/>
      <c r="G11" s="16">
        <f>IF(D11&gt;=C11,"🟢 TENU","🔴 À COMBLER")</f>
        <v/>
      </c>
    </row>
    <row r="12">
      <c r="A12" s="17" t="inlineStr">
        <is>
          <t>Marge EBITDA %</t>
        </is>
      </c>
      <c r="B12" s="18">
        <f>3845790/23098985</f>
        <v/>
      </c>
      <c r="C12" s="19" t="inlineStr">
        <is>
          <t>—</t>
        </is>
      </c>
      <c r="D12" s="18">
        <f>D11/D13</f>
        <v/>
      </c>
      <c r="E12" s="20" t="inlineStr">
        <is>
          <t>conséquence, pas objectif</t>
        </is>
      </c>
      <c r="G12" s="21" t="inlineStr"/>
    </row>
    <row r="13" ht="19" customHeight="1">
      <c r="A13" s="22" t="inlineStr">
        <is>
          <t>Chiffre d'affaires (€)</t>
        </is>
      </c>
      <c r="B13" s="23" t="n">
        <v>23098985</v>
      </c>
      <c r="C13" s="24">
        <f>23098985*(1+B6)</f>
        <v/>
      </c>
      <c r="D13" s="23" t="n">
        <v>24231704</v>
      </c>
      <c r="E13" s="23">
        <f>D13-C13</f>
        <v/>
      </c>
      <c r="G13" s="25">
        <f>IF(D13&gt;=C13,"🟢 OK","🔴 SOUS PLANCHER")</f>
        <v/>
      </c>
    </row>
    <row r="14" ht="19" customHeight="1">
      <c r="A14" s="17" t="inlineStr">
        <is>
          <t>Croissance CA</t>
        </is>
      </c>
      <c r="B14" s="19" t="inlineStr">
        <is>
          <t>—</t>
        </is>
      </c>
      <c r="C14" s="26">
        <f>B6</f>
        <v/>
      </c>
      <c r="D14" s="27">
        <f>D13/23098985-1</f>
        <v/>
      </c>
      <c r="E14" s="28">
        <f>D14-C14</f>
        <v/>
      </c>
      <c r="G14" s="29">
        <f>IF(D14&gt;=C14,"🟢 marge saine","⚠️ vérifier")</f>
        <v/>
      </c>
    </row>
    <row r="16" ht="22" customHeight="1">
      <c r="A16" s="30" t="inlineStr">
        <is>
          <t>③  QUALITÉ  —  l'EBITDA est-il « sain » ou acheté en affamant la croissance ?</t>
        </is>
      </c>
    </row>
    <row r="17" ht="18" customHeight="1">
      <c r="A17" s="31" t="inlineStr">
        <is>
          <t>Intensité marketing (% du CA)</t>
        </is>
      </c>
      <c r="B17" s="32">
        <f>1212886/D13</f>
        <v/>
      </c>
      <c r="C17" s="6" t="inlineStr">
        <is>
          <t>trop bas = on a coupé l'acquisition → cohorte future en danger</t>
        </is>
      </c>
    </row>
    <row r="18" ht="18" customHeight="1">
      <c r="A18" s="31" t="inlineStr">
        <is>
          <t>EBITDA par étudiant (€)</t>
        </is>
      </c>
      <c r="B18" s="33">
        <f>D11/3176</f>
        <v/>
      </c>
      <c r="C18" s="6" t="inlineStr">
        <is>
          <t>la rentabilité unitaire, à surveiller par marque</t>
        </is>
      </c>
    </row>
    <row r="19" ht="18" customHeight="1">
      <c r="A19" s="31" t="inlineStr">
        <is>
          <t>Croissance CA vs plancher</t>
        </is>
      </c>
      <c r="B19" s="34">
        <f>D14-B6</f>
        <v/>
      </c>
      <c r="C19" s="6" t="inlineStr">
        <is>
          <t>positif = on tient l'engagement SANS sacrifier la croissance</t>
        </is>
      </c>
    </row>
    <row r="21" ht="22" customHeight="1">
      <c r="A21" s="3" t="inlineStr">
        <is>
          <t>④  LECTURE  —  la décision</t>
        </is>
      </c>
    </row>
    <row r="22" ht="58" customHeight="1">
      <c r="A22" s="35">
        <f>IF(AND(D11&gt;=C11,D13&gt;=C13),"✅ Scénario validé : l EBITDA engagé est tenu ("&amp;TEXT(D11,"#,##0")&amp;" €) ET la croissance du CA ("&amp;TEXT(D14,"+0.0%")&amp;") reste au-dessus du plancher. On signe.",IF(D11&lt;C11,"⚠️ EBITDA sous l engagement de "&amp;TEXT(C11-D11,"#,##0")&amp;" € → pousser les leviers (prix, acquisition sur les campus à fort rendement, productivité) ou revoir l ambition.","🔴 EBITDA tenu MAIS croissance CA sous le plancher → la marge est achetée en affamant la croissance. Refuser : ré-investir en acquisition."))</f>
        <v/>
      </c>
      <c r="B22" s="36" t="n"/>
      <c r="C22" s="36" t="n"/>
      <c r="D22" s="36" t="n"/>
      <c r="E22" s="36" t="n"/>
      <c r="F22" s="36" t="n"/>
      <c r="G22" s="36" t="n"/>
    </row>
    <row r="23"/>
    <row r="24"/>
    <row r="26" ht="44" customHeight="1">
      <c r="A26" s="37" t="inlineStr">
        <is>
          <t>Principe : on ancre sur l'EBITDA (valorisation &amp; covenants), on borne la croissance du CA par un plancher (soutenabilité — dans l'enseignement, couper l'acquisition aujourd'hui réduit la cohorte de demain), et on lit l'ÉCART comme le sujet d'arbitrage — pas comme une erreur à annuler. La marge se déduit, elle ne se fixe pas en rond.</t>
        </is>
      </c>
    </row>
    <row r="27"/>
  </sheetData>
  <mergeCells count="19">
    <mergeCell ref="E12:F12"/>
    <mergeCell ref="C6:G6"/>
    <mergeCell ref="A4:G4"/>
    <mergeCell ref="C5:G5"/>
    <mergeCell ref="E14:F14"/>
    <mergeCell ref="A22:G24"/>
    <mergeCell ref="A9:G9"/>
    <mergeCell ref="E10:F10"/>
    <mergeCell ref="E13:F13"/>
    <mergeCell ref="A26:G27"/>
    <mergeCell ref="A1:G1"/>
    <mergeCell ref="E11:F11"/>
    <mergeCell ref="A16:G16"/>
    <mergeCell ref="C17:G17"/>
    <mergeCell ref="C7:G7"/>
    <mergeCell ref="A21:G21"/>
    <mergeCell ref="C19:G19"/>
    <mergeCell ref="A2:G2"/>
    <mergeCell ref="C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2026-09-01T22:25:27Z</dcterms:created>
  <dcterms:modified xsi:type="dcterms:W3CDTF">2026-09-01T22:25:27Z</dcterms:modified>
</cp:coreProperties>
</file>