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roposition CFO" sheetId="1" state="visible" r:id="rId1"/>
  </sheets>
  <definedNames/>
  <calcPr calcId="124519" fullCalcOnLoad="1"/>
</workbook>
</file>

<file path=xl/styles.xml><?xml version="1.0" encoding="utf-8"?>
<styleSheet xmlns="http://schemas.openxmlformats.org/spreadsheetml/2006/main">
  <numFmts count="6">
    <numFmt numFmtId="164" formatCode="# ##0 &quot;€&quot;;[Red]-# ##0 &quot;€&quot;"/>
    <numFmt numFmtId="165" formatCode="0.0%"/>
    <numFmt numFmtId="166" formatCode="0.0"/>
    <numFmt numFmtId="167" formatCode="# ##0"/>
    <numFmt numFmtId="168" formatCode="+0.00&quot; pts&quot;"/>
    <numFmt numFmtId="169" formatCode="+0.00&quot;%&quot;"/>
  </numFmts>
  <fonts count="7">
    <font>
      <name val="Calibri"/>
      <family val="2"/>
      <color theme="1"/>
      <sz val="11"/>
      <scheme val="minor"/>
    </font>
    <font>
      <b val="1"/>
      <color rgb="001F3864"/>
      <sz val="16"/>
    </font>
    <font>
      <i val="1"/>
      <color rgb="00595959"/>
      <sz val="9"/>
    </font>
    <font>
      <b val="1"/>
      <color rgb="00FFFFFF"/>
      <sz val="11"/>
    </font>
    <font>
      <b val="1"/>
    </font>
    <font>
      <b val="1"/>
      <color rgb="009C5700"/>
    </font>
    <font>
      <b val="1"/>
      <color rgb="00375623"/>
    </font>
  </fonts>
  <fills count="7">
    <fill>
      <patternFill/>
    </fill>
    <fill>
      <patternFill patternType="gray125"/>
    </fill>
    <fill>
      <patternFill patternType="solid">
        <fgColor rgb="002E5496"/>
      </patternFill>
    </fill>
    <fill>
      <patternFill patternType="solid">
        <fgColor rgb="00FFF2CC"/>
      </patternFill>
    </fill>
    <fill>
      <patternFill patternType="solid">
        <fgColor rgb="00D9E1F2"/>
      </patternFill>
    </fill>
    <fill>
      <patternFill patternType="solid">
        <fgColor rgb="001F3864"/>
      </patternFill>
    </fill>
    <fill>
      <patternFill patternType="solid">
        <fgColor rgb="00E2EFDA"/>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5">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horizontal="left" vertical="center"/>
    </xf>
    <xf numFmtId="0" fontId="4" fillId="0" borderId="1" applyAlignment="1" pivotButton="0" quotePrefix="0" xfId="0">
      <alignment horizontal="left" vertical="center"/>
    </xf>
    <xf numFmtId="164" fontId="5" fillId="3" borderId="1" applyAlignment="1" pivotButton="0" quotePrefix="0" xfId="0">
      <alignment horizontal="right" vertical="center"/>
    </xf>
    <xf numFmtId="0" fontId="0" fillId="0" borderId="1" pivotButton="0" quotePrefix="0" xfId="0"/>
    <xf numFmtId="165" fontId="5" fillId="3" borderId="1" applyAlignment="1" pivotButton="0" quotePrefix="0" xfId="0">
      <alignment horizontal="right" vertical="center"/>
    </xf>
    <xf numFmtId="164" fontId="0" fillId="4" borderId="1" applyAlignment="1" pivotButton="0" quotePrefix="0" xfId="0">
      <alignment horizontal="right" vertical="center"/>
    </xf>
    <xf numFmtId="0" fontId="0" fillId="4" borderId="1" pivotButton="0" quotePrefix="0" xfId="0"/>
    <xf numFmtId="165" fontId="0" fillId="4" borderId="1" applyAlignment="1" pivotButton="0" quotePrefix="0" xfId="0">
      <alignment horizontal="right" vertical="center"/>
    </xf>
    <xf numFmtId="0" fontId="3" fillId="5" borderId="1" applyAlignment="1" pivotButton="0" quotePrefix="0" xfId="0">
      <alignment horizontal="center" vertical="center"/>
    </xf>
    <xf numFmtId="166" fontId="5" fillId="3" borderId="1" applyAlignment="1" pivotButton="0" quotePrefix="0" xfId="0">
      <alignment horizontal="center" vertical="center"/>
    </xf>
    <xf numFmtId="0" fontId="0" fillId="0" borderId="1" applyAlignment="1" pivotButton="0" quotePrefix="0" xfId="0">
      <alignment horizontal="center" vertical="center"/>
    </xf>
    <xf numFmtId="167" fontId="5" fillId="3" borderId="1" applyAlignment="1" pivotButton="0" quotePrefix="0" xfId="0">
      <alignment horizontal="right" vertical="center"/>
    </xf>
    <xf numFmtId="164" fontId="0" fillId="0" borderId="1" applyAlignment="1" pivotButton="0" quotePrefix="0" xfId="0">
      <alignment horizontal="right" vertical="center"/>
    </xf>
    <xf numFmtId="164" fontId="6" fillId="6" borderId="1" applyAlignment="1" pivotButton="0" quotePrefix="0" xfId="0">
      <alignment horizontal="right" vertical="center"/>
    </xf>
    <xf numFmtId="168" fontId="6" fillId="6" borderId="1" applyAlignment="1" pivotButton="0" quotePrefix="0" xfId="0">
      <alignment horizontal="center" vertical="center"/>
    </xf>
    <xf numFmtId="169" fontId="6" fillId="6" borderId="1" applyAlignment="1" pivotButton="0" quotePrefix="0" xfId="0">
      <alignment horizontal="center" vertical="center"/>
    </xf>
    <xf numFmtId="0" fontId="4" fillId="4" borderId="1" applyAlignment="1" pivotButton="0" quotePrefix="0" xfId="0">
      <alignment horizontal="left" vertical="center"/>
    </xf>
    <xf numFmtId="164" fontId="4" fillId="4" borderId="1" applyAlignment="1" pivotButton="0" quotePrefix="0" xfId="0">
      <alignment horizontal="right" vertical="center"/>
    </xf>
    <xf numFmtId="0" fontId="4" fillId="4" borderId="1" applyAlignment="1" pivotButton="0" quotePrefix="0" xfId="0">
      <alignment horizontal="center" vertical="center"/>
    </xf>
    <xf numFmtId="0" fontId="4" fillId="0" borderId="0" applyAlignment="1" pivotButton="0" quotePrefix="0" xfId="0">
      <alignment horizontal="left" vertical="center"/>
    </xf>
    <xf numFmtId="165" fontId="4" fillId="4" borderId="1" applyAlignment="1" pivotButton="0" quotePrefix="0" xfId="0">
      <alignment horizontal="right" vertical="center"/>
    </xf>
    <xf numFmtId="0" fontId="2" fillId="0" borderId="0"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I37"/>
  <sheetViews>
    <sheetView showGridLines="0" workbookViewId="0">
      <selection activeCell="A1" sqref="A1"/>
    </sheetView>
  </sheetViews>
  <sheetFormatPr baseColWidth="8" defaultRowHeight="15"/>
  <cols>
    <col width="2" customWidth="1" min="1" max="1"/>
    <col width="31" customWidth="1" min="2" max="2"/>
    <col width="10" customWidth="1" min="3" max="3"/>
    <col width="8" customWidth="1" min="4" max="4"/>
    <col width="13" customWidth="1" min="5" max="5"/>
    <col width="14" customWidth="1" min="6" max="6"/>
    <col width="13" customWidth="1" min="7" max="7"/>
    <col width="12" customWidth="1" min="8" max="8"/>
    <col width="14" customWidth="1" min="9" max="9"/>
    <col width="2" customWidth="1" min="10" max="10"/>
  </cols>
  <sheetData>
    <row r="2">
      <c r="B2" s="1" t="inlineStr">
        <is>
          <t>PROPOSITION CFO — atteindre la cible par cascade de leviers</t>
        </is>
      </c>
    </row>
    <row r="3">
      <c r="B3" s="2" t="inlineStr">
        <is>
          <t>Le CFO pose son ambition (2 cibles). L'outil propose les leviers, du moins risque au plus risque, et alerte si la cible depasse les bornes realistes.</t>
        </is>
      </c>
    </row>
    <row r="5">
      <c r="B5" s="3" t="inlineStr">
        <is>
          <t xml:space="preserve">  ①  SAISIE DU CFO   (cellules jaunes = a saisir)</t>
        </is>
      </c>
    </row>
    <row r="6">
      <c r="B6" s="4" t="inlineStr">
        <is>
          <t>CA de reference 2026</t>
        </is>
      </c>
      <c r="C6" s="5" t="n">
        <v>22544725</v>
      </c>
      <c r="D6" s="6" t="n"/>
      <c r="E6" s="6" t="n"/>
      <c r="F6" s="6" t="n"/>
      <c r="G6" s="6" t="n"/>
      <c r="H6" s="6" t="n"/>
      <c r="I6" s="6" t="n"/>
    </row>
    <row r="7">
      <c r="B7" s="4" t="inlineStr">
        <is>
          <t>Croissance CA cible</t>
        </is>
      </c>
      <c r="C7" s="7" t="n">
        <v>0.06</v>
      </c>
      <c r="D7" s="6" t="n"/>
      <c r="E7" s="6" t="n"/>
      <c r="F7" s="6" t="n"/>
      <c r="G7" s="6" t="n"/>
      <c r="H7" s="6" t="n"/>
      <c r="I7" s="6" t="n"/>
    </row>
    <row r="8">
      <c r="B8" s="4" t="inlineStr">
        <is>
          <t>CA construit actuel (leviers en place)</t>
        </is>
      </c>
      <c r="C8" s="5" t="n">
        <v>23200000</v>
      </c>
      <c r="D8" s="6" t="n"/>
      <c r="E8" s="6" t="n"/>
      <c r="F8" s="6" t="n"/>
      <c r="G8" s="6" t="n"/>
      <c r="H8" s="6" t="n"/>
      <c r="I8" s="6" t="n"/>
    </row>
    <row r="9">
      <c r="B9" s="4" t="inlineStr">
        <is>
          <t>Marge EBITDA cible</t>
        </is>
      </c>
      <c r="C9" s="7" t="n">
        <v>0.16</v>
      </c>
      <c r="D9" s="6" t="n"/>
      <c r="E9" s="6" t="n"/>
      <c r="F9" s="6" t="n"/>
      <c r="G9" s="6" t="n"/>
      <c r="H9" s="6" t="n"/>
      <c r="I9" s="6" t="n"/>
    </row>
    <row r="10">
      <c r="B10" s="4" t="inlineStr">
        <is>
          <t>Couts construits @ CA cible (leviers neutres)</t>
        </is>
      </c>
      <c r="C10" s="5" t="n">
        <v>20300000</v>
      </c>
      <c r="D10" s="6" t="n"/>
      <c r="E10" s="6" t="n"/>
      <c r="F10" s="6" t="n"/>
      <c r="G10" s="6" t="n"/>
      <c r="H10" s="6" t="n"/>
      <c r="I10" s="6" t="n"/>
    </row>
    <row r="12">
      <c r="B12" s="3" t="inlineStr">
        <is>
          <t xml:space="preserve">  ②  CE QUE CA IMPLIQUE   (calcule)</t>
        </is>
      </c>
    </row>
    <row r="13">
      <c r="B13" s="4" t="inlineStr">
        <is>
          <t>CA cible</t>
        </is>
      </c>
      <c r="C13" s="8">
        <f>C6*(1+C7)</f>
        <v/>
      </c>
      <c r="D13" s="9" t="n"/>
      <c r="E13" s="9" t="n"/>
      <c r="F13" s="9" t="n"/>
      <c r="G13" s="9" t="n"/>
      <c r="H13" s="9" t="n"/>
      <c r="I13" s="9" t="n"/>
    </row>
    <row r="14">
      <c r="B14" s="4" t="inlineStr">
        <is>
          <t>Ecart CA a combler</t>
        </is>
      </c>
      <c r="C14" s="8">
        <f>MAX(0,C13-C8)</f>
        <v/>
      </c>
      <c r="D14" s="9" t="n"/>
      <c r="E14" s="9" t="n"/>
      <c r="F14" s="9" t="n"/>
      <c r="G14" s="9" t="n"/>
      <c r="H14" s="9" t="n"/>
      <c r="I14" s="9" t="n"/>
    </row>
    <row r="15">
      <c r="B15" s="4" t="inlineStr">
        <is>
          <t>EBITDA cible</t>
        </is>
      </c>
      <c r="C15" s="8">
        <f>C13*C9</f>
        <v/>
      </c>
      <c r="D15" s="9" t="n"/>
      <c r="E15" s="9" t="n"/>
      <c r="F15" s="9" t="n"/>
      <c r="G15" s="9" t="n"/>
      <c r="H15" s="9" t="n"/>
      <c r="I15" s="9" t="n"/>
    </row>
    <row r="16">
      <c r="B16" s="4" t="inlineStr">
        <is>
          <t>EBITDA construit</t>
        </is>
      </c>
      <c r="C16" s="8">
        <f>C13-C10</f>
        <v/>
      </c>
      <c r="D16" s="9" t="n"/>
      <c r="E16" s="9" t="n"/>
      <c r="F16" s="9" t="n"/>
      <c r="G16" s="9" t="n"/>
      <c r="H16" s="9" t="n"/>
      <c r="I16" s="9" t="n"/>
    </row>
    <row r="17">
      <c r="B17" s="4" t="inlineStr">
        <is>
          <t>Marge construite</t>
        </is>
      </c>
      <c r="C17" s="10">
        <f>C16/C13</f>
        <v/>
      </c>
      <c r="D17" s="9" t="n"/>
      <c r="E17" s="9" t="n"/>
      <c r="F17" s="9" t="n"/>
      <c r="G17" s="9" t="n"/>
      <c r="H17" s="9" t="n"/>
      <c r="I17" s="9" t="n"/>
    </row>
    <row r="18">
      <c r="B18" s="4" t="inlineStr">
        <is>
          <t>Couts a reduire</t>
        </is>
      </c>
      <c r="C18" s="8">
        <f>MAX(0,C15-C16)</f>
        <v/>
      </c>
      <c r="D18" s="9" t="n"/>
      <c r="E18" s="9" t="n"/>
      <c r="F18" s="9" t="n"/>
      <c r="G18" s="9" t="n"/>
      <c r="H18" s="9" t="n"/>
      <c r="I18" s="9" t="n"/>
    </row>
    <row r="20">
      <c r="B20" s="3" t="inlineStr">
        <is>
          <t xml:space="preserve">  ③  MOLETTE CA — cascade de priorite (comble l'ecart CA)</t>
        </is>
      </c>
    </row>
    <row r="21">
      <c r="B21" s="11" t="inlineStr">
        <is>
          <t>Levier</t>
        </is>
      </c>
      <c r="C21" s="11" t="inlineStr">
        <is>
          <t>Borne</t>
        </is>
      </c>
      <c r="D21" s="11" t="inlineStr">
        <is>
          <t>Unite</t>
        </is>
      </c>
      <c r="E21" s="11" t="inlineStr">
        <is>
          <t>Rendt €/u</t>
        </is>
      </c>
      <c r="F21" s="11" t="inlineStr">
        <is>
          <t>Apport max €</t>
        </is>
      </c>
      <c r="G21" s="11" t="inlineStr">
        <is>
          <t>Tire €</t>
        </is>
      </c>
      <c r="H21" s="11" t="inlineStr">
        <is>
          <t>Applique</t>
        </is>
      </c>
      <c r="I21" s="11" t="inlineStr">
        <is>
          <t>Reste €</t>
        </is>
      </c>
    </row>
    <row r="22">
      <c r="B22" s="4" t="inlineStr">
        <is>
          <t>Conversion lead→cand</t>
        </is>
      </c>
      <c r="C22" s="12" t="n">
        <v>2</v>
      </c>
      <c r="D22" s="13" t="inlineStr">
        <is>
          <t>pts</t>
        </is>
      </c>
      <c r="E22" s="14" t="n">
        <v>202902</v>
      </c>
      <c r="F22" s="15">
        <f>C22*E22</f>
        <v/>
      </c>
      <c r="G22" s="16">
        <f>MIN(F22,MAX(0,$C$14))</f>
        <v/>
      </c>
      <c r="H22" s="17">
        <f>IF(E22=0,0,G22/E22)</f>
        <v/>
      </c>
      <c r="I22" s="15">
        <f>$C$14-G22</f>
        <v/>
      </c>
    </row>
    <row r="23">
      <c r="B23" s="4" t="inlineStr">
        <is>
          <t>Taux de passage</t>
        </is>
      </c>
      <c r="C23" s="12" t="n">
        <v>1.5</v>
      </c>
      <c r="D23" s="13" t="inlineStr">
        <is>
          <t>pts</t>
        </is>
      </c>
      <c r="E23" s="14" t="n">
        <v>112724</v>
      </c>
      <c r="F23" s="15">
        <f>C23*E23</f>
        <v/>
      </c>
      <c r="G23" s="16">
        <f>MIN(F23,MAX(0,I22))</f>
        <v/>
      </c>
      <c r="H23" s="17">
        <f>IF(E23=0,0,G23/E23)</f>
        <v/>
      </c>
      <c r="I23" s="15">
        <f>I22-G23</f>
        <v/>
      </c>
    </row>
    <row r="24">
      <c r="B24" s="4" t="inlineStr">
        <is>
          <t>Prix</t>
        </is>
      </c>
      <c r="C24" s="12" t="n">
        <v>3</v>
      </c>
      <c r="D24" s="13" t="inlineStr">
        <is>
          <t>%</t>
        </is>
      </c>
      <c r="E24" s="14" t="n">
        <v>225447</v>
      </c>
      <c r="F24" s="15">
        <f>C24*E24</f>
        <v/>
      </c>
      <c r="G24" s="16">
        <f>MIN(F24,MAX(0,I23))</f>
        <v/>
      </c>
      <c r="H24" s="18">
        <f>IF(E24=0,0,G24/E24)</f>
        <v/>
      </c>
      <c r="I24" s="15">
        <f>I23-G24</f>
        <v/>
      </c>
    </row>
    <row r="25">
      <c r="B25" s="4" t="inlineStr">
        <is>
          <t>Budget acquisition</t>
        </is>
      </c>
      <c r="C25" s="12" t="n">
        <v>30</v>
      </c>
      <c r="D25" s="13" t="inlineStr">
        <is>
          <t>%</t>
        </is>
      </c>
      <c r="E25" s="14" t="n">
        <v>16667</v>
      </c>
      <c r="F25" s="15">
        <f>C25*E25</f>
        <v/>
      </c>
      <c r="G25" s="16">
        <f>MIN(F25,MAX(0,I24))</f>
        <v/>
      </c>
      <c r="H25" s="18">
        <f>IF(E25=0,0,G25/E25)</f>
        <v/>
      </c>
      <c r="I25" s="15">
        <f>I24-G25</f>
        <v/>
      </c>
    </row>
    <row r="26">
      <c r="B26" s="19" t="inlineStr">
        <is>
          <t>CA propose = construit + tire</t>
        </is>
      </c>
      <c r="C26" s="9" t="n"/>
      <c r="D26" s="9" t="n"/>
      <c r="E26" s="9" t="n"/>
      <c r="F26" s="20">
        <f>C8+SUM(G22:G25)</f>
        <v/>
      </c>
      <c r="G26" s="21" t="inlineStr">
        <is>
          <t>Residu</t>
        </is>
      </c>
      <c r="I26" s="20">
        <f>I25</f>
        <v/>
      </c>
    </row>
    <row r="27">
      <c r="B27" s="22">
        <f>IF(I25&lt;=1,"✅ Cible CA atteignable dans les bornes","⛔ Cible CA hors bornes  |  max atteignable = "&amp;TEXT(C8+SUM(F22:F25),"# ##0")&amp;" €  (soit +"&amp;TEXT((C8+SUM(F22:F25))/C6-1,"0.0%")&amp;")  |  ecart residuel = "&amp;TEXT(I25,"# ##0")&amp;" €")</f>
        <v/>
      </c>
    </row>
    <row r="29">
      <c r="B29" s="3" t="inlineStr">
        <is>
          <t xml:space="preserve">  ④  MOLETTE EBITDA — cascade cote couts (comble les couts a reduire)</t>
        </is>
      </c>
    </row>
    <row r="30">
      <c r="B30" s="11" t="inlineStr">
        <is>
          <t>Levier</t>
        </is>
      </c>
      <c r="C30" s="11" t="inlineStr">
        <is>
          <t>Borne</t>
        </is>
      </c>
      <c r="D30" s="11" t="inlineStr">
        <is>
          <t>Unite</t>
        </is>
      </c>
      <c r="E30" s="11" t="inlineStr">
        <is>
          <t>Rendt €/u</t>
        </is>
      </c>
      <c r="F30" s="11" t="inlineStr">
        <is>
          <t>Apport max €</t>
        </is>
      </c>
      <c r="G30" s="11" t="inlineStr">
        <is>
          <t>Tire €</t>
        </is>
      </c>
      <c r="H30" s="11" t="inlineStr">
        <is>
          <t>Applique</t>
        </is>
      </c>
      <c r="I30" s="11" t="inlineStr">
        <is>
          <t>Reste €</t>
        </is>
      </c>
    </row>
    <row r="31">
      <c r="B31" s="4" t="inlineStr">
        <is>
          <t>Productivite</t>
        </is>
      </c>
      <c r="C31" s="12" t="n">
        <v>2</v>
      </c>
      <c r="D31" s="13" t="inlineStr">
        <is>
          <t>%</t>
        </is>
      </c>
      <c r="E31" s="14" t="n">
        <v>80000</v>
      </c>
      <c r="F31" s="15">
        <f>C31*E31</f>
        <v/>
      </c>
      <c r="G31" s="16">
        <f>MIN(F31,MAX(0,$C$18))</f>
        <v/>
      </c>
      <c r="H31" s="18">
        <f>IF(E31=0,0,G31/E31)</f>
        <v/>
      </c>
      <c r="I31" s="15">
        <f>$C$18-G31</f>
        <v/>
      </c>
    </row>
    <row r="32">
      <c r="B32" s="4" t="inlineStr">
        <is>
          <t>Couts de structure</t>
        </is>
      </c>
      <c r="C32" s="12" t="n">
        <v>1.5</v>
      </c>
      <c r="D32" s="13" t="inlineStr">
        <is>
          <t>%</t>
        </is>
      </c>
      <c r="E32" s="14" t="n">
        <v>90000</v>
      </c>
      <c r="F32" s="15">
        <f>C32*E32</f>
        <v/>
      </c>
      <c r="G32" s="16">
        <f>MIN(F32,MAX(0,I31))</f>
        <v/>
      </c>
      <c r="H32" s="18">
        <f>IF(E32=0,0,G32/E32)</f>
        <v/>
      </c>
      <c r="I32" s="15">
        <f>I31-G32</f>
        <v/>
      </c>
    </row>
    <row r="33">
      <c r="B33" s="4" t="inlineStr">
        <is>
          <t>Masse salariale</t>
        </is>
      </c>
      <c r="C33" s="12" t="n">
        <v>3</v>
      </c>
      <c r="D33" s="13" t="inlineStr">
        <is>
          <t>%</t>
        </is>
      </c>
      <c r="E33" s="14" t="n">
        <v>33000</v>
      </c>
      <c r="F33" s="15">
        <f>C33*E33</f>
        <v/>
      </c>
      <c r="G33" s="16">
        <f>MIN(F33,MAX(0,I32))</f>
        <v/>
      </c>
      <c r="H33" s="18">
        <f>IF(E33=0,0,G33/E33)</f>
        <v/>
      </c>
      <c r="I33" s="15">
        <f>I32-G33</f>
        <v/>
      </c>
    </row>
    <row r="34">
      <c r="B34" s="19" t="inlineStr">
        <is>
          <t>EBITDA propose = construit + reduction</t>
        </is>
      </c>
      <c r="C34" s="9" t="n"/>
      <c r="D34" s="9" t="n"/>
      <c r="E34" s="9" t="n"/>
      <c r="F34" s="20">
        <f>C16+SUM(G31:G33)</f>
        <v/>
      </c>
      <c r="G34" s="21" t="inlineStr">
        <is>
          <t>Marge</t>
        </is>
      </c>
      <c r="I34" s="23">
        <f>(C16+SUM(G31:G33))/C13</f>
        <v/>
      </c>
    </row>
    <row r="35">
      <c r="B35" s="22">
        <f>IF(I33&lt;=1,"✅ Cible EBITDA atteignable dans les bornes","⛔ Cible EBITDA hors bornes  |  marge max = "&amp;TEXT((C16+SUM(F31:F33))/C13,"0.0%")&amp;"  |  couts residuels a trouver = "&amp;TEXT(I33,"# ##0")&amp;" €")</f>
        <v/>
      </c>
    </row>
    <row r="37" ht="46" customHeight="1">
      <c r="B37" s="24" t="inlineStr">
        <is>
          <t>Comment lire : chaque molette tire ses leviers DANS L'ORDRE, chacun jusqu'a sa borne, jusqu'a combler l'ecart. Le dernier levier ne bouge que partiellement. Si tout est au max et qu'il reste un ecart -&gt; la cible est hors bornes (garde-fou). Colonnes jaunes = a saisir (cibles, bornes, rendements) ; colonnes vertes = proposition calculee.</t>
        </is>
      </c>
    </row>
  </sheetData>
  <mergeCells count="25">
    <mergeCell ref="B9"/>
    <mergeCell ref="D13:I13"/>
    <mergeCell ref="B6"/>
    <mergeCell ref="D17:I17"/>
    <mergeCell ref="B3:I3"/>
    <mergeCell ref="D16:I16"/>
    <mergeCell ref="B27:I27"/>
    <mergeCell ref="D7:I7"/>
    <mergeCell ref="B12:I12"/>
    <mergeCell ref="B2:I2"/>
    <mergeCell ref="D18:I18"/>
    <mergeCell ref="B7"/>
    <mergeCell ref="D9:I9"/>
    <mergeCell ref="D8:I8"/>
    <mergeCell ref="D15:I15"/>
    <mergeCell ref="B29:I29"/>
    <mergeCell ref="D14:I14"/>
    <mergeCell ref="B37:I37"/>
    <mergeCell ref="B8"/>
    <mergeCell ref="D10:I10"/>
    <mergeCell ref="B20:I20"/>
    <mergeCell ref="B5:I5"/>
    <mergeCell ref="B10"/>
    <mergeCell ref="D6:I6"/>
    <mergeCell ref="B35:I35"/>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2026-08-19T21:43:25Z</dcterms:created>
  <dcterms:modified xsi:type="dcterms:W3CDTF">2026-08-19T21:43:25Z</dcterms:modified>
</cp:coreProperties>
</file>